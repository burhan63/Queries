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0C15913E-182C-4797-B170-65AD0192B5DD}" xr6:coauthVersionLast="47" xr6:coauthVersionMax="47" xr10:uidLastSave="{00000000-0000-0000-0000-000000000000}"/>
  <bookViews>
    <workbookView xWindow="-120" yWindow="-120" windowWidth="20730" windowHeight="11160" firstSheet="4" activeTab="6" xr2:uid="{24E66DE4-8299-401A-8780-6CB72499C233}"/>
  </bookViews>
  <sheets>
    <sheet name="HL" sheetId="2" state="hidden" r:id="rId1"/>
    <sheet name="MO" sheetId="3" state="hidden" r:id="rId2"/>
    <sheet name="NMO" sheetId="4" state="hidden" r:id="rId3"/>
    <sheet name="Sheet2" sheetId="6" state="hidden" r:id="rId4"/>
    <sheet name="Sheet1" sheetId="5" r:id="rId5"/>
    <sheet name="Premium" sheetId="7" r:id="rId6"/>
    <sheet name="Working proper" sheetId="9" r:id="rId7"/>
    <sheet name="Assorted Cod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G3" i="9"/>
  <c r="H3" i="9"/>
  <c r="F4" i="9"/>
  <c r="H4" i="9" s="1"/>
  <c r="G4" i="9"/>
  <c r="F5" i="9"/>
  <c r="H5" i="9" s="1"/>
  <c r="G5" i="9"/>
  <c r="F6" i="9"/>
  <c r="G6" i="9"/>
  <c r="H6" i="9"/>
  <c r="F7" i="9"/>
  <c r="G7" i="9"/>
  <c r="H7" i="9"/>
  <c r="F8" i="9"/>
  <c r="H8" i="9" s="1"/>
  <c r="G8" i="9"/>
  <c r="F9" i="9"/>
  <c r="H9" i="9" s="1"/>
  <c r="G9" i="9"/>
  <c r="F10" i="9"/>
  <c r="G10" i="9"/>
  <c r="H10" i="9"/>
  <c r="F11" i="9"/>
  <c r="G11" i="9"/>
  <c r="H11" i="9"/>
  <c r="F12" i="9"/>
  <c r="H12" i="9" s="1"/>
  <c r="G12" i="9"/>
  <c r="F13" i="9"/>
  <c r="H13" i="9" s="1"/>
  <c r="G13" i="9"/>
  <c r="F14" i="9"/>
  <c r="G14" i="9"/>
  <c r="H14" i="9"/>
  <c r="F15" i="9"/>
  <c r="G15" i="9"/>
  <c r="H15" i="9"/>
  <c r="F16" i="9"/>
  <c r="H16" i="9" s="1"/>
  <c r="G16" i="9"/>
  <c r="F17" i="9"/>
  <c r="H17" i="9" s="1"/>
  <c r="G17" i="9"/>
  <c r="F18" i="9"/>
  <c r="G18" i="9"/>
  <c r="H18" i="9"/>
  <c r="F19" i="9"/>
  <c r="G19" i="9"/>
  <c r="H19" i="9"/>
  <c r="F20" i="9"/>
  <c r="H20" i="9" s="1"/>
  <c r="G20" i="9"/>
  <c r="F21" i="9"/>
  <c r="H21" i="9" s="1"/>
  <c r="G21" i="9"/>
  <c r="F22" i="9"/>
  <c r="G22" i="9"/>
  <c r="H22" i="9"/>
  <c r="F23" i="9"/>
  <c r="G23" i="9"/>
  <c r="H23" i="9"/>
  <c r="F24" i="9"/>
  <c r="H24" i="9" s="1"/>
  <c r="G24" i="9"/>
  <c r="F25" i="9"/>
  <c r="H25" i="9" s="1"/>
  <c r="G25" i="9"/>
  <c r="F26" i="9"/>
  <c r="G26" i="9"/>
  <c r="H26" i="9"/>
  <c r="F27" i="9"/>
  <c r="G27" i="9"/>
  <c r="H27" i="9"/>
  <c r="F28" i="9"/>
  <c r="H28" i="9" s="1"/>
  <c r="G28" i="9"/>
  <c r="F29" i="9"/>
  <c r="H29" i="9" s="1"/>
  <c r="G29" i="9"/>
  <c r="F30" i="9"/>
  <c r="G30" i="9"/>
  <c r="H30" i="9"/>
  <c r="F31" i="9"/>
  <c r="G31" i="9"/>
  <c r="H31" i="9"/>
  <c r="F32" i="9"/>
  <c r="H32" i="9" s="1"/>
  <c r="G32" i="9"/>
  <c r="F33" i="9"/>
  <c r="H33" i="9" s="1"/>
  <c r="G33" i="9"/>
  <c r="G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2" i="9"/>
  <c r="F2" i="9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2" i="7"/>
  <c r="C3" i="4"/>
  <c r="C3" i="3"/>
  <c r="C3" i="2"/>
  <c r="H2" i="9" l="1"/>
</calcChain>
</file>

<file path=xl/sharedStrings.xml><?xml version="1.0" encoding="utf-8"?>
<sst xmlns="http://schemas.openxmlformats.org/spreadsheetml/2006/main" count="570" uniqueCount="190">
  <si>
    <t>UIC Working 31July25</t>
  </si>
  <si>
    <t>UIC Summary till 31July25</t>
  </si>
  <si>
    <t>Class</t>
  </si>
  <si>
    <t>KHI/HO/D/EG/CMTP/1254/09/2024</t>
  </si>
  <si>
    <t>EG</t>
  </si>
  <si>
    <t>31July25</t>
  </si>
  <si>
    <t>KHI/HO/D/EG/CAR/P/1301/06/2025</t>
  </si>
  <si>
    <t>KHI/HO/D/EG/EET/P/1272/12/2024</t>
  </si>
  <si>
    <t>KHI/HO/D/EG/MBD/P/1292/03/2025</t>
  </si>
  <si>
    <t>KHI/HO/D/EG/EET/P/1277/01/2025</t>
  </si>
  <si>
    <t>KHI/HO/D/EG/EET/P/1293/05/2025</t>
  </si>
  <si>
    <t>KHI/HO/D/FR/ND/P/23405/05/2025</t>
  </si>
  <si>
    <t>FR</t>
  </si>
  <si>
    <t>KHI/HO/D/FR/ND/P/23444/06/2025</t>
  </si>
  <si>
    <t>KHI/HO/D/FR/ND/P/23029/10/2024</t>
  </si>
  <si>
    <t>KHI/HO/D/FR/ND/P/23030/10/2024</t>
  </si>
  <si>
    <t>KHI/HO/D/FR/ND/P/23031/10/2024</t>
  </si>
  <si>
    <t>KHI/HO/D/FR/ND/P/23032/10/2024</t>
  </si>
  <si>
    <t>KHI/HO/D/FR/ND/P/23033/10/2024</t>
  </si>
  <si>
    <t>KHI/HO/D/FR/ND/P/23176/12/2024</t>
  </si>
  <si>
    <t>KHI/HO/D/FR/ND/P/23364/03/2025</t>
  </si>
  <si>
    <t>KHI/HO/D/FR/ND/P/23212/01/2025</t>
  </si>
  <si>
    <t>KHI/HO/D/HLGRP HEALTH/P/3414/05/2025</t>
  </si>
  <si>
    <t>HL</t>
  </si>
  <si>
    <t>KHI/HO/D/HLGRP HEALTH/P/3415/05/2025</t>
  </si>
  <si>
    <t>KHI/HO/D/HLGRP HEALTH/P/3416/05/2025</t>
  </si>
  <si>
    <t>KHI/HO/D/HLGRP HEALTH/P/3417/05/2025</t>
  </si>
  <si>
    <t>KHI/HO/D/HLGRP HEALTH/P/3418/05/2025</t>
  </si>
  <si>
    <t>KHI/HO/D/HLGRP HEALTH/P/3419/05/2025</t>
  </si>
  <si>
    <t>KHI/HO/D/HLGRP HEALTH/P/3420/05/2025</t>
  </si>
  <si>
    <t>KHI/HO/D/HLGRP HEALTH/P/3421/05/2025</t>
  </si>
  <si>
    <t>KHI/HO/D/HLGRP HEALTH/P/3422/05/2025</t>
  </si>
  <si>
    <t>KHI/HO/D/HLGRP HEALTH/P/3423/05/2025</t>
  </si>
  <si>
    <t>KHI/HO/D/HLGRP HEALTH/P/3424/05/2025</t>
  </si>
  <si>
    <t>KHI/HO/D/HLGRP HEALTH/P/3425/05/2025</t>
  </si>
  <si>
    <t>KHI/HO/D/HLGRP HEALTH/P/3426/05/2025</t>
  </si>
  <si>
    <t>KHI/HO/D/HLGRP HEALTH/P/3427/05/2025</t>
  </si>
  <si>
    <t>KHI/HO/D/HLGRP HEALTH/P/3428/05/2025</t>
  </si>
  <si>
    <t>KHI/HO/D/HLGRP HEALTH/P/3429/05/2025</t>
  </si>
  <si>
    <t>KHI/HO/D/HLGRP HEALTH/P/3430/05/2025</t>
  </si>
  <si>
    <t>KHI/HO/D/HLGRP HEALTH/P/3431/05/2025</t>
  </si>
  <si>
    <t>KHI/HO/D/HLGRP HEALTH/P/3432/05/2025</t>
  </si>
  <si>
    <t>KHI/HO/D/HLGRP HEALTH/P/3433/05/2025</t>
  </si>
  <si>
    <t>KHI/HO/D/HLGRP HEALTH/P/3434/05/2025</t>
  </si>
  <si>
    <t>KHI/HO/D/HLGRP HEALTH/P/3435/05/2025</t>
  </si>
  <si>
    <t>KHI/HO/D/HLGRP HEALTH/P/3436/05/2025</t>
  </si>
  <si>
    <t>KHI/HO/D/HLGRP HEALTH/P/3407/03/2025</t>
  </si>
  <si>
    <t>KHI/HO/D/HLGRP HEALTH/P/3409/03/2025</t>
  </si>
  <si>
    <t>KHI/HO/D/HLGRP HEALTH/P/3408/03/2025</t>
  </si>
  <si>
    <t>KHI/HO/D/HLGRP HEALTH/P/3410/03/2025</t>
  </si>
  <si>
    <t>KHI/HO/D/HLGRP HEALTH/P/3321/09/2024</t>
  </si>
  <si>
    <t>KHI/HO/D/HLGRP HEALTH/P/3322/09/2024</t>
  </si>
  <si>
    <t>KHI/HO/D/HLGRP HEALTH/P/3323/09/2024</t>
  </si>
  <si>
    <t>KHI/HO/D/HLGRP HEALTH/P/3325/09/2024</t>
  </si>
  <si>
    <t>KHI/HO/D/HLGRP HEALTH/P/3338/09/2024</t>
  </si>
  <si>
    <t>KHI/HO/D/MI/ARC/P/4657/09/2024</t>
  </si>
  <si>
    <t>MI</t>
  </si>
  <si>
    <t>KHI/HO/D/MI/CRP/C/3606/03/2025</t>
  </si>
  <si>
    <t>KHI/HO/D/MI/BB/P/4698/12/2024</t>
  </si>
  <si>
    <t>KHI/HO/D/MI/CRP/C/2797/10/2024</t>
  </si>
  <si>
    <t>KHI/HO/D/MI/CRP/C/2799/10/2024</t>
  </si>
  <si>
    <t>KHI/HO/D/MI/CRP/C/2800/10/2024</t>
  </si>
  <si>
    <t>KHI/HO/D/MI/CRP/C/2801/10/2024</t>
  </si>
  <si>
    <t>KHI/HO/D/MI/CRP/C/2802/10/2024</t>
  </si>
  <si>
    <t>KHI/HO/D/MI/CRP/C/2803/10/2024</t>
  </si>
  <si>
    <t>KHI/HO/D/MI/CRP/C/2804/10/2024</t>
  </si>
  <si>
    <t>KHI/HO/D/MI/CRP/C/2805/10/2024</t>
  </si>
  <si>
    <t>KHI/HO/D/MI/CRP/C/2806/10/2024</t>
  </si>
  <si>
    <t>KHI/HO/D/MI/CRP/C/2807/10/2024</t>
  </si>
  <si>
    <t>KHI/HO/D/MI/CRP/C/2927/12/2024</t>
  </si>
  <si>
    <t>KHI/HO/D/MI/LST/P/86/12/2024</t>
  </si>
  <si>
    <t>KHI/HO/D/MI/PA/P/4700/12/2024</t>
  </si>
  <si>
    <t>KHI/HO/D/MI/PA/P/4701/12/2024</t>
  </si>
  <si>
    <t>KHI/HO/D/MI/PA/P/4702/12/2024</t>
  </si>
  <si>
    <t>KHI/HO/D/MI/PA/P/4703/12/2024</t>
  </si>
  <si>
    <t>KHI/HO/D/MI/PA/P/4704/12/2024</t>
  </si>
  <si>
    <t>KHI/HO/D/MI/PA/P/4705/12/2024</t>
  </si>
  <si>
    <t>KHI/HO/D/MI/PA/P/4706/12/2024</t>
  </si>
  <si>
    <t>KHI/HO/D/MI/PA/P/4707/12/2024</t>
  </si>
  <si>
    <t>KHI/HO/D/MI/PA/P/4708/12/2024</t>
  </si>
  <si>
    <t>KHI/HO/D/MI/PA/P/4709/12/2024</t>
  </si>
  <si>
    <t>KHI/HO/D/MI/PUL/P/4717/01/2025</t>
  </si>
  <si>
    <t>KHI/HO/D/MI/PA/P/4773/05/2025</t>
  </si>
  <si>
    <t>KHI/HO/D/MO/PC COMP/P/109714/05/2025</t>
  </si>
  <si>
    <t>MO</t>
  </si>
  <si>
    <t>KHI/HO/D/MO/PC TTT/P/110266/06/2025</t>
  </si>
  <si>
    <t>KHI/HO/D/MO/PC COMP/P/108365/03/2025</t>
  </si>
  <si>
    <t>KHI/HO/D/MO/PC COMP/P/105109/12/2024</t>
  </si>
  <si>
    <t>KHI/HO/D/MO/PC COMP/P/105700/01/2025</t>
  </si>
  <si>
    <t>KHI/HO/D/MR/IMPORTS/P/45100/05/2025</t>
  </si>
  <si>
    <t>MR</t>
  </si>
  <si>
    <t>KHI/HO/D/MR/IMPORTS/P/45246/06/2025</t>
  </si>
  <si>
    <t>KHI/HO/D/MR/IMPORTS/P/44862/03/2025</t>
  </si>
  <si>
    <t>KHI/HO/D/MR/IMPORTS/P/43659/10/2024</t>
  </si>
  <si>
    <t>KHI/HO/D/MR/IMPORTS/P/43681/10/2024</t>
  </si>
  <si>
    <t>KHI/HO/D/MR/IMPORTS/P/44250/12/2024</t>
  </si>
  <si>
    <t>Claims Need to Book</t>
  </si>
  <si>
    <t>STL Loss #</t>
  </si>
  <si>
    <t>KHI/HO/0020/MI/PA/92/2561/07/2025</t>
  </si>
  <si>
    <t>KHI/HO/0020/MI/PA/92/2562/07/2025</t>
  </si>
  <si>
    <t>KHI/HO/0020/MI/PA/92/2563/07/2025</t>
  </si>
  <si>
    <t>KHI/HO/0020/MI/PA/92/2564/07/2025</t>
  </si>
  <si>
    <t>KHI/HO/0020/MI/PA/01/2565/07/2025</t>
  </si>
  <si>
    <t>KHI/HO/0020/MI/PA/92/2566/07/2025</t>
  </si>
  <si>
    <t>KHI/HO/0020/MI/BB/88/2567/07/2025</t>
  </si>
  <si>
    <t>KHI/HO/0020/MI/PA/92/2568/07/2025</t>
  </si>
  <si>
    <t>KHI/HO/0020/MI/PA/92/2569/07/2025</t>
  </si>
  <si>
    <t>KHI/HO/0020/MI/PA/92/2570/07/2025</t>
  </si>
  <si>
    <t>KHI/HO/0220/FR/ND/92/2089/07/2025</t>
  </si>
  <si>
    <t>KHI/HO/0420/MR/IMPORTS/92/0775/07/2025</t>
  </si>
  <si>
    <t>KHI/HO/0020/MI/PA/92/2572/07/2025</t>
  </si>
  <si>
    <t>KHI/HO/0020/EG/CAR/92/1329/07/2025</t>
  </si>
  <si>
    <t>KHI/HO/0020/MI/PUL/92/2573/07/2025</t>
  </si>
  <si>
    <t>KHI/HO/0220/FR/ND/92/2090/07/2025</t>
  </si>
  <si>
    <t>KHI/HO/0220/FR/ND/92/2092/07/2025</t>
  </si>
  <si>
    <t>KHI/HO/0420/MR/IMPORTS/92/0776/07/2025</t>
  </si>
  <si>
    <t>KHI/HO/0020/MI/ARC/92/2574/07/2025</t>
  </si>
  <si>
    <t>KHI/HO/0020/EG/EET/92/1330/07/2025</t>
  </si>
  <si>
    <t>KHI/HO/0020/EG/EET/92/1331/07/2025</t>
  </si>
  <si>
    <t>KHI/HO/0020/MI/PA/92/2575/07/2025</t>
  </si>
  <si>
    <t>KHI/HO/0020/EG/CMT92/1332/07/2025</t>
  </si>
  <si>
    <t>KHI/HO/0220/FR/ND/92/2093/07/2025</t>
  </si>
  <si>
    <t>KHI/HO/0420/MR/IMPORTS/92/0777/07/2025</t>
  </si>
  <si>
    <t>KHI/HO/0020/EG/MBD/92/1333/07/2025</t>
  </si>
  <si>
    <t>KHI/HO/0020/EG/EET/92/1334/07/2025</t>
  </si>
  <si>
    <t>KHI/HO/0020/MI/CRP/92/2576/07/2025</t>
  </si>
  <si>
    <t>KHI/HO/0020/MI/CRP/92/2577/07/2025</t>
  </si>
  <si>
    <t>KHI/HO/0220/FR/ND/92/2094/07/2025</t>
  </si>
  <si>
    <t>KHI/HO/0220/FR/ND/92/2095/07/2025</t>
  </si>
  <si>
    <t>KHI/HO/0020/MI/CRP/92/2578/07/2025</t>
  </si>
  <si>
    <t>KHI/HO/0220/FR/ND/92/2096/07/2025</t>
  </si>
  <si>
    <t>KHI/HO/0420/MR/IMPORTS/92/0778/07/2025</t>
  </si>
  <si>
    <t>KHI/HO/0220/FR/ND/92/2097/07/2025</t>
  </si>
  <si>
    <t>KHI/HO/0420/MR/IMPORTS/92/0779/07/2025</t>
  </si>
  <si>
    <t>KHI/HO/0020/MI/CRP/92/2579/07/2025</t>
  </si>
  <si>
    <t>KHI/HO/0420/MR/IMPORTS/92/0780/07/2025</t>
  </si>
  <si>
    <t>KHI/HO/0220/FR/ND/92/2098/07/2025</t>
  </si>
  <si>
    <t>KHI/HO/0020/MI/CRP/92/2580/07/2025</t>
  </si>
  <si>
    <t>KHI/HO/0220/FR/ND/92/2099/07/2025</t>
  </si>
  <si>
    <t>KHI/HO/0020/MI/CRP/92/2581/07/2025</t>
  </si>
  <si>
    <t>KHI/HO/0020/MI/CRP/92/2582/07/2025</t>
  </si>
  <si>
    <t>KHI/HO/0020/MI/CRP/92/2583/07/2025</t>
  </si>
  <si>
    <t>KHI/HO/0020/MI/CRP/92/2584/07/2025</t>
  </si>
  <si>
    <t>KHI/HO/0020/MI/CRP/92/2585/07/2025</t>
  </si>
  <si>
    <t>KHI/HO/0020/MI/CRP/92/2586/07/2025</t>
  </si>
  <si>
    <t>KHI/HO/0020/MI/CRP/92/2587/07/2025</t>
  </si>
  <si>
    <t>KHI/HO/0020/MI/CRP/92/2588/07/2025</t>
  </si>
  <si>
    <t>PREMIUM</t>
  </si>
  <si>
    <t>CLAIM</t>
  </si>
  <si>
    <t>STATUS</t>
  </si>
  <si>
    <t xml:space="preserve">POLICY </t>
  </si>
  <si>
    <t>AMOUNT</t>
  </si>
  <si>
    <t>Assorted Code</t>
  </si>
  <si>
    <t>POLICY</t>
  </si>
  <si>
    <t>ASSORTED_CODE</t>
  </si>
  <si>
    <t>040000197498</t>
  </si>
  <si>
    <t>040000197501</t>
  </si>
  <si>
    <t>040000197502</t>
  </si>
  <si>
    <t>040000199188</t>
  </si>
  <si>
    <t>040000199193</t>
  </si>
  <si>
    <t>040000199195</t>
  </si>
  <si>
    <t>040000199182</t>
  </si>
  <si>
    <t>040000199183</t>
  </si>
  <si>
    <t>040000199189</t>
  </si>
  <si>
    <t>040000199190</t>
  </si>
  <si>
    <t>040000199196</t>
  </si>
  <si>
    <t>040000199200</t>
  </si>
  <si>
    <t>040000199203</t>
  </si>
  <si>
    <t>040000197497</t>
  </si>
  <si>
    <t>040000199185</t>
  </si>
  <si>
    <t>040000199186</t>
  </si>
  <si>
    <t>040000199187</t>
  </si>
  <si>
    <t>040000199194</t>
  </si>
  <si>
    <t>040000199198</t>
  </si>
  <si>
    <t>040000199199</t>
  </si>
  <si>
    <t>040000199202</t>
  </si>
  <si>
    <t>040000199204</t>
  </si>
  <si>
    <t>040000199205</t>
  </si>
  <si>
    <t>040000199206</t>
  </si>
  <si>
    <t>040000199191</t>
  </si>
  <si>
    <t>040000199192</t>
  </si>
  <si>
    <t>040000199201</t>
  </si>
  <si>
    <t>040000187553</t>
  </si>
  <si>
    <t>040000185351</t>
  </si>
  <si>
    <t>040000185356</t>
  </si>
  <si>
    <t>040000185353</t>
  </si>
  <si>
    <t>040000185350</t>
  </si>
  <si>
    <t>Policy Number</t>
  </si>
  <si>
    <t>Premium</t>
  </si>
  <si>
    <t>13Aug250081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</si>
</sst>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0"/>
      <name val="ARIAL"/>
      <family val="2"/>
    </font>
    <font>
      <b/>
      <sz val="9"/>
      <color theme="1"/>
      <name val="Segoe UI"/>
      <family val="2"/>
      <charset val="1"/>
    </font>
    <font>
      <b/>
      <sz val="10"/>
      <color indexed="8"/>
      <name val="ARIAL"/>
      <family val="2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4" borderId="5" xfId="0" applyFont="1" applyFill="1" applyBorder="1"/>
    <xf numFmtId="0" fontId="2" fillId="4" borderId="6" xfId="0" applyFont="1" applyFill="1" applyBorder="1"/>
    <xf numFmtId="0" fontId="0" fillId="0" borderId="8" xfId="0" applyBorder="1"/>
    <xf numFmtId="0" fontId="4" fillId="3" borderId="0" xfId="0" applyFont="1" applyFill="1" applyAlignment="1">
      <alignment vertical="top"/>
    </xf>
    <xf numFmtId="14" fontId="4" fillId="3" borderId="0" xfId="1" quotePrefix="1" applyNumberFormat="1" applyFont="1" applyFill="1" applyBorder="1" applyAlignment="1">
      <alignment horizontal="center" vertical="top"/>
    </xf>
    <xf numFmtId="164" fontId="2" fillId="4" borderId="7" xfId="1" applyNumberFormat="1" applyFont="1" applyFill="1" applyBorder="1"/>
    <xf numFmtId="164" fontId="0" fillId="0" borderId="9" xfId="1" applyNumberFormat="1" applyFont="1" applyBorder="1"/>
    <xf numFmtId="164" fontId="0" fillId="0" borderId="8" xfId="1" applyNumberFormat="1" applyFont="1" applyBorder="1" applyAlignment="1">
      <alignment vertical="top"/>
    </xf>
    <xf numFmtId="0" fontId="2" fillId="0" borderId="10" xfId="0" applyFont="1" applyBorder="1"/>
    <xf numFmtId="43" fontId="0" fillId="0" borderId="0" xfId="1" applyFont="1"/>
    <xf numFmtId="43" fontId="0" fillId="5" borderId="0" xfId="1" applyFont="1" applyFill="1"/>
    <xf numFmtId="43" fontId="0" fillId="0" borderId="0" xfId="1" applyFont="1" applyFill="1"/>
    <xf numFmtId="43" fontId="0" fillId="6" borderId="0" xfId="1" applyFont="1" applyFill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165" fontId="7" fillId="0" borderId="0" xfId="1" applyNumberFormat="1" applyFont="1" applyAlignment="1">
      <alignment vertical="top"/>
    </xf>
    <xf numFmtId="0" fontId="8" fillId="0" borderId="0" xfId="0" applyFont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wrapText="1"/>
    </xf>
  </cellXfs>
  <cellStyles count="2">
    <cellStyle name="Comma" xfId="1" builtinId="3"/>
    <cellStyle name="Normal" xfId="0" builtinId="0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511694</xdr:colOff>
      <xdr:row>23</xdr:row>
      <xdr:rowOff>76571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6A787-0D3C-4215-DAC5-962B0E4C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13294" cy="42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689E-5815-441A-B99C-3F13B2270151}">
  <dimension ref="A1:C35"/>
  <sheetViews>
    <sheetView workbookViewId="0">
      <selection activeCell="C1" sqref="C1"/>
    </sheetView>
  </sheetViews>
  <sheetFormatPr defaultRowHeight="15" x14ac:dyDescent="0.25"/>
  <cols>
    <col min="1" max="1" width="37.7109375" bestFit="1" customWidth="1"/>
    <col min="2" max="2" width="7.42578125" bestFit="1" customWidth="1"/>
    <col min="3" max="3" width="24.5703125" bestFit="1" customWidth="1"/>
  </cols>
  <sheetData>
    <row r="1" spans="1:3" ht="15.75" x14ac:dyDescent="0.25">
      <c r="A1" s="16" t="s">
        <v>0</v>
      </c>
      <c r="B1" s="17"/>
      <c r="C1" s="4" t="s">
        <v>96</v>
      </c>
    </row>
    <row r="2" spans="1:3" ht="16.5" thickBot="1" x14ac:dyDescent="0.3">
      <c r="A2" s="18"/>
      <c r="B2" s="19"/>
      <c r="C2" s="5" t="s">
        <v>5</v>
      </c>
    </row>
    <row r="3" spans="1:3" x14ac:dyDescent="0.25">
      <c r="A3" s="1" t="s">
        <v>1</v>
      </c>
      <c r="B3" s="2" t="s">
        <v>2</v>
      </c>
      <c r="C3" s="6">
        <f>SUBTOTAL(9,C4:C35)</f>
        <v>15268541.039999997</v>
      </c>
    </row>
    <row r="4" spans="1:3" x14ac:dyDescent="0.25">
      <c r="A4" s="3" t="s">
        <v>39</v>
      </c>
      <c r="B4" t="s">
        <v>23</v>
      </c>
      <c r="C4" s="7">
        <v>3788420.3</v>
      </c>
    </row>
    <row r="5" spans="1:3" x14ac:dyDescent="0.25">
      <c r="A5" s="3" t="s">
        <v>54</v>
      </c>
      <c r="B5" t="s">
        <v>23</v>
      </c>
      <c r="C5" s="7">
        <v>2781490.6799999997</v>
      </c>
    </row>
    <row r="6" spans="1:3" x14ac:dyDescent="0.25">
      <c r="A6" s="3" t="s">
        <v>33</v>
      </c>
      <c r="B6" t="s">
        <v>23</v>
      </c>
      <c r="C6" s="7">
        <v>2088941.54</v>
      </c>
    </row>
    <row r="7" spans="1:3" x14ac:dyDescent="0.25">
      <c r="A7" s="3" t="s">
        <v>46</v>
      </c>
      <c r="B7" t="s">
        <v>23</v>
      </c>
      <c r="C7" s="7">
        <v>1936753.379999999</v>
      </c>
    </row>
    <row r="8" spans="1:3" x14ac:dyDescent="0.25">
      <c r="A8" s="3" t="s">
        <v>35</v>
      </c>
      <c r="B8" t="s">
        <v>23</v>
      </c>
      <c r="C8" s="7">
        <v>908783.4</v>
      </c>
    </row>
    <row r="9" spans="1:3" x14ac:dyDescent="0.25">
      <c r="A9" s="3" t="s">
        <v>25</v>
      </c>
      <c r="B9" t="s">
        <v>23</v>
      </c>
      <c r="C9" s="7">
        <v>501987.36</v>
      </c>
    </row>
    <row r="10" spans="1:3" x14ac:dyDescent="0.25">
      <c r="A10" s="3" t="s">
        <v>47</v>
      </c>
      <c r="B10" t="s">
        <v>23</v>
      </c>
      <c r="C10" s="7">
        <v>422324.91999999993</v>
      </c>
    </row>
    <row r="11" spans="1:3" x14ac:dyDescent="0.25">
      <c r="A11" s="3" t="s">
        <v>37</v>
      </c>
      <c r="B11" t="s">
        <v>23</v>
      </c>
      <c r="C11" s="7">
        <v>414463.56</v>
      </c>
    </row>
    <row r="12" spans="1:3" x14ac:dyDescent="0.25">
      <c r="A12" s="3" t="s">
        <v>29</v>
      </c>
      <c r="B12" t="s">
        <v>23</v>
      </c>
      <c r="C12" s="7">
        <v>235790.94</v>
      </c>
    </row>
    <row r="13" spans="1:3" x14ac:dyDescent="0.25">
      <c r="A13" s="3" t="s">
        <v>31</v>
      </c>
      <c r="B13" t="s">
        <v>23</v>
      </c>
      <c r="C13" s="7">
        <v>217149.38</v>
      </c>
    </row>
    <row r="14" spans="1:3" x14ac:dyDescent="0.25">
      <c r="A14" s="3" t="s">
        <v>48</v>
      </c>
      <c r="B14" t="s">
        <v>23</v>
      </c>
      <c r="C14" s="7">
        <v>210271.60000000009</v>
      </c>
    </row>
    <row r="15" spans="1:3" x14ac:dyDescent="0.25">
      <c r="A15" s="3" t="s">
        <v>50</v>
      </c>
      <c r="B15" t="s">
        <v>23</v>
      </c>
      <c r="C15" s="7">
        <v>203476.08000000007</v>
      </c>
    </row>
    <row r="16" spans="1:3" x14ac:dyDescent="0.25">
      <c r="A16" s="3" t="s">
        <v>49</v>
      </c>
      <c r="B16" t="s">
        <v>23</v>
      </c>
      <c r="C16" s="7">
        <v>164271.24</v>
      </c>
    </row>
    <row r="17" spans="1:3" x14ac:dyDescent="0.25">
      <c r="A17" s="3" t="s">
        <v>30</v>
      </c>
      <c r="B17" t="s">
        <v>23</v>
      </c>
      <c r="C17" s="7">
        <v>136657.07999999999</v>
      </c>
    </row>
    <row r="18" spans="1:3" x14ac:dyDescent="0.25">
      <c r="A18" s="3" t="s">
        <v>43</v>
      </c>
      <c r="B18" t="s">
        <v>23</v>
      </c>
      <c r="C18" s="7">
        <v>127071.7</v>
      </c>
    </row>
    <row r="19" spans="1:3" x14ac:dyDescent="0.25">
      <c r="A19" s="3" t="s">
        <v>26</v>
      </c>
      <c r="B19" t="s">
        <v>23</v>
      </c>
      <c r="C19" s="7">
        <v>115196.06</v>
      </c>
    </row>
    <row r="20" spans="1:3" x14ac:dyDescent="0.25">
      <c r="A20" s="3" t="s">
        <v>40</v>
      </c>
      <c r="B20" t="s">
        <v>23</v>
      </c>
      <c r="C20" s="7">
        <v>115193.12</v>
      </c>
    </row>
    <row r="21" spans="1:3" x14ac:dyDescent="0.25">
      <c r="A21" s="3" t="s">
        <v>27</v>
      </c>
      <c r="B21" t="s">
        <v>23</v>
      </c>
      <c r="C21" s="7">
        <v>110831.14</v>
      </c>
    </row>
    <row r="22" spans="1:3" x14ac:dyDescent="0.25">
      <c r="A22" s="3" t="s">
        <v>24</v>
      </c>
      <c r="B22" t="s">
        <v>23</v>
      </c>
      <c r="C22" s="7">
        <v>110220.59999999999</v>
      </c>
    </row>
    <row r="23" spans="1:3" x14ac:dyDescent="0.25">
      <c r="A23" s="3" t="s">
        <v>34</v>
      </c>
      <c r="B23" t="s">
        <v>23</v>
      </c>
      <c r="C23" s="7">
        <v>106918.98</v>
      </c>
    </row>
    <row r="24" spans="1:3" x14ac:dyDescent="0.25">
      <c r="A24" s="3" t="s">
        <v>45</v>
      </c>
      <c r="B24" t="s">
        <v>23</v>
      </c>
      <c r="C24" s="7">
        <v>105298.06</v>
      </c>
    </row>
    <row r="25" spans="1:3" x14ac:dyDescent="0.25">
      <c r="A25" s="3" t="s">
        <v>38</v>
      </c>
      <c r="B25" t="s">
        <v>23</v>
      </c>
      <c r="C25" s="7">
        <v>88425.4</v>
      </c>
    </row>
    <row r="26" spans="1:3" x14ac:dyDescent="0.25">
      <c r="A26" s="3" t="s">
        <v>41</v>
      </c>
      <c r="B26" t="s">
        <v>23</v>
      </c>
      <c r="C26" s="7">
        <v>70801.08</v>
      </c>
    </row>
    <row r="27" spans="1:3" x14ac:dyDescent="0.25">
      <c r="A27" s="3" t="s">
        <v>22</v>
      </c>
      <c r="B27" t="s">
        <v>23</v>
      </c>
      <c r="C27" s="7">
        <v>60451.299999999996</v>
      </c>
    </row>
    <row r="28" spans="1:3" x14ac:dyDescent="0.25">
      <c r="A28" s="3" t="s">
        <v>51</v>
      </c>
      <c r="B28" t="s">
        <v>23</v>
      </c>
      <c r="C28" s="7">
        <v>58926.559999999939</v>
      </c>
    </row>
    <row r="29" spans="1:3" x14ac:dyDescent="0.25">
      <c r="A29" s="3" t="s">
        <v>36</v>
      </c>
      <c r="B29" t="s">
        <v>23</v>
      </c>
      <c r="C29" s="7">
        <v>46880.26</v>
      </c>
    </row>
    <row r="30" spans="1:3" x14ac:dyDescent="0.25">
      <c r="A30" s="3" t="s">
        <v>44</v>
      </c>
      <c r="B30" t="s">
        <v>23</v>
      </c>
      <c r="C30" s="7">
        <v>39982.04</v>
      </c>
    </row>
    <row r="31" spans="1:3" x14ac:dyDescent="0.25">
      <c r="A31" s="3" t="s">
        <v>28</v>
      </c>
      <c r="B31" t="s">
        <v>23</v>
      </c>
      <c r="C31" s="7">
        <v>37480.1</v>
      </c>
    </row>
    <row r="32" spans="1:3" x14ac:dyDescent="0.25">
      <c r="A32" s="3" t="s">
        <v>32</v>
      </c>
      <c r="B32" t="s">
        <v>23</v>
      </c>
      <c r="C32" s="7">
        <v>37189.040000000001</v>
      </c>
    </row>
    <row r="33" spans="1:3" x14ac:dyDescent="0.25">
      <c r="A33" s="3" t="s">
        <v>42</v>
      </c>
      <c r="B33" t="s">
        <v>23</v>
      </c>
      <c r="C33" s="7">
        <v>21126.84</v>
      </c>
    </row>
    <row r="34" spans="1:3" x14ac:dyDescent="0.25">
      <c r="A34" s="3" t="s">
        <v>52</v>
      </c>
      <c r="B34" t="s">
        <v>23</v>
      </c>
      <c r="C34" s="7">
        <v>3282.2799999999988</v>
      </c>
    </row>
    <row r="35" spans="1:3" x14ac:dyDescent="0.25">
      <c r="A35" s="3" t="s">
        <v>53</v>
      </c>
      <c r="B35" t="s">
        <v>23</v>
      </c>
      <c r="C35" s="7">
        <v>2485.0200000000004</v>
      </c>
    </row>
  </sheetData>
  <sortState xmlns:xlrd2="http://schemas.microsoft.com/office/spreadsheetml/2017/richdata2" ref="A4:C35">
    <sortCondition descending="1" ref="C4:C35"/>
  </sortState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DA4B-5E54-4BC3-8A62-56D438258DB6}">
  <dimension ref="A1:C8"/>
  <sheetViews>
    <sheetView workbookViewId="0">
      <selection activeCell="B18" sqref="B18"/>
    </sheetView>
  </sheetViews>
  <sheetFormatPr defaultRowHeight="15" x14ac:dyDescent="0.25"/>
  <cols>
    <col min="1" max="1" width="38.85546875" bestFit="1" customWidth="1"/>
    <col min="2" max="2" width="7.42578125" bestFit="1" customWidth="1"/>
    <col min="3" max="3" width="24.5703125" bestFit="1" customWidth="1"/>
  </cols>
  <sheetData>
    <row r="1" spans="1:3" ht="15.75" x14ac:dyDescent="0.25">
      <c r="A1" s="16" t="s">
        <v>0</v>
      </c>
      <c r="B1" s="17"/>
      <c r="C1" s="4" t="s">
        <v>96</v>
      </c>
    </row>
    <row r="2" spans="1:3" ht="16.5" thickBot="1" x14ac:dyDescent="0.3">
      <c r="A2" s="18"/>
      <c r="B2" s="19"/>
      <c r="C2" s="5" t="s">
        <v>5</v>
      </c>
    </row>
    <row r="3" spans="1:3" x14ac:dyDescent="0.25">
      <c r="A3" s="1" t="s">
        <v>1</v>
      </c>
      <c r="B3" s="2" t="s">
        <v>2</v>
      </c>
      <c r="C3" s="6">
        <f>SUBTOTAL(9,C4:C8)</f>
        <v>29880306.739999998</v>
      </c>
    </row>
    <row r="4" spans="1:3" x14ac:dyDescent="0.25">
      <c r="A4" s="3" t="s">
        <v>85</v>
      </c>
      <c r="B4" t="s">
        <v>84</v>
      </c>
      <c r="C4" s="7">
        <v>13529000.939999999</v>
      </c>
    </row>
    <row r="5" spans="1:3" x14ac:dyDescent="0.25">
      <c r="A5" s="3" t="s">
        <v>83</v>
      </c>
      <c r="B5" t="s">
        <v>84</v>
      </c>
      <c r="C5" s="7">
        <v>7631259.0199999996</v>
      </c>
    </row>
    <row r="6" spans="1:3" x14ac:dyDescent="0.25">
      <c r="A6" s="3" t="s">
        <v>87</v>
      </c>
      <c r="B6" t="s">
        <v>84</v>
      </c>
      <c r="C6" s="7">
        <v>4509567.2199999988</v>
      </c>
    </row>
    <row r="7" spans="1:3" x14ac:dyDescent="0.25">
      <c r="A7" s="3" t="s">
        <v>88</v>
      </c>
      <c r="B7" t="s">
        <v>84</v>
      </c>
      <c r="C7" s="7">
        <v>4156544.84</v>
      </c>
    </row>
    <row r="8" spans="1:3" x14ac:dyDescent="0.25">
      <c r="A8" s="3" t="s">
        <v>86</v>
      </c>
      <c r="B8" t="s">
        <v>84</v>
      </c>
      <c r="C8" s="7">
        <v>53934.719999999972</v>
      </c>
    </row>
  </sheetData>
  <sortState xmlns:xlrd2="http://schemas.microsoft.com/office/spreadsheetml/2017/richdata2" ref="A4:C8">
    <sortCondition descending="1" ref="C3:C8"/>
  </sortState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38BB-7975-458B-BDFC-09CEAED14325}">
  <dimension ref="A1:D52"/>
  <sheetViews>
    <sheetView workbookViewId="0">
      <selection activeCell="G39" sqref="G39"/>
    </sheetView>
  </sheetViews>
  <sheetFormatPr defaultRowHeight="15" x14ac:dyDescent="0.25"/>
  <cols>
    <col min="1" max="1" width="38.85546875" bestFit="1" customWidth="1"/>
    <col min="2" max="2" width="7.42578125" bestFit="1" customWidth="1"/>
    <col min="3" max="3" width="24.5703125" bestFit="1" customWidth="1"/>
    <col min="4" max="4" width="40" bestFit="1" customWidth="1"/>
  </cols>
  <sheetData>
    <row r="1" spans="1:4" ht="15.75" x14ac:dyDescent="0.25">
      <c r="A1" s="16" t="s">
        <v>0</v>
      </c>
      <c r="B1" s="17"/>
      <c r="C1" s="4" t="s">
        <v>96</v>
      </c>
    </row>
    <row r="2" spans="1:4" ht="16.5" thickBot="1" x14ac:dyDescent="0.3">
      <c r="A2" s="18"/>
      <c r="B2" s="19"/>
      <c r="C2" s="5" t="s">
        <v>5</v>
      </c>
    </row>
    <row r="3" spans="1:4" ht="15.75" thickBot="1" x14ac:dyDescent="0.3">
      <c r="A3" s="1" t="s">
        <v>1</v>
      </c>
      <c r="B3" s="2" t="s">
        <v>2</v>
      </c>
      <c r="C3" s="6">
        <f>SUBTOTAL(9,C4:C52)</f>
        <v>100038030.64000002</v>
      </c>
      <c r="D3" s="9" t="s">
        <v>97</v>
      </c>
    </row>
    <row r="4" spans="1:4" x14ac:dyDescent="0.25">
      <c r="A4" s="3" t="s">
        <v>71</v>
      </c>
      <c r="B4" t="s">
        <v>56</v>
      </c>
      <c r="C4" s="7">
        <v>13790507.460000001</v>
      </c>
      <c r="D4" t="s">
        <v>98</v>
      </c>
    </row>
    <row r="5" spans="1:4" x14ac:dyDescent="0.25">
      <c r="A5" s="3" t="s">
        <v>75</v>
      </c>
      <c r="B5" t="s">
        <v>56</v>
      </c>
      <c r="C5" s="7">
        <v>13175208.659999996</v>
      </c>
      <c r="D5" t="s">
        <v>99</v>
      </c>
    </row>
    <row r="6" spans="1:4" x14ac:dyDescent="0.25">
      <c r="A6" s="3" t="s">
        <v>77</v>
      </c>
      <c r="B6" t="s">
        <v>56</v>
      </c>
      <c r="C6" s="7">
        <v>10335494.299999997</v>
      </c>
      <c r="D6" t="s">
        <v>100</v>
      </c>
    </row>
    <row r="7" spans="1:4" x14ac:dyDescent="0.25">
      <c r="A7" s="3" t="s">
        <v>78</v>
      </c>
      <c r="B7" t="s">
        <v>56</v>
      </c>
      <c r="C7" s="7">
        <v>7572933.9600000009</v>
      </c>
      <c r="D7" t="s">
        <v>101</v>
      </c>
    </row>
    <row r="8" spans="1:4" x14ac:dyDescent="0.25">
      <c r="A8" s="3" t="s">
        <v>79</v>
      </c>
      <c r="B8" t="s">
        <v>56</v>
      </c>
      <c r="C8" s="7">
        <v>7245154.9400000013</v>
      </c>
      <c r="D8" t="s">
        <v>102</v>
      </c>
    </row>
    <row r="9" spans="1:4" x14ac:dyDescent="0.25">
      <c r="A9" t="s">
        <v>74</v>
      </c>
      <c r="B9" t="s">
        <v>56</v>
      </c>
      <c r="C9" s="7">
        <v>5736656.1600000001</v>
      </c>
      <c r="D9" t="s">
        <v>103</v>
      </c>
    </row>
    <row r="10" spans="1:4" x14ac:dyDescent="0.25">
      <c r="A10" t="s">
        <v>58</v>
      </c>
      <c r="B10" t="s">
        <v>56</v>
      </c>
      <c r="C10" s="7">
        <v>4978302.3000000007</v>
      </c>
      <c r="D10" t="s">
        <v>104</v>
      </c>
    </row>
    <row r="11" spans="1:4" x14ac:dyDescent="0.25">
      <c r="A11" t="s">
        <v>80</v>
      </c>
      <c r="B11" t="s">
        <v>56</v>
      </c>
      <c r="C11" s="7">
        <v>4779366.1999999993</v>
      </c>
      <c r="D11" t="s">
        <v>105</v>
      </c>
    </row>
    <row r="12" spans="1:4" x14ac:dyDescent="0.25">
      <c r="A12" s="3" t="s">
        <v>76</v>
      </c>
      <c r="B12" t="s">
        <v>56</v>
      </c>
      <c r="C12" s="7">
        <v>3945243.6000000015</v>
      </c>
      <c r="D12" t="s">
        <v>106</v>
      </c>
    </row>
    <row r="13" spans="1:4" x14ac:dyDescent="0.25">
      <c r="A13" s="3" t="s">
        <v>73</v>
      </c>
      <c r="B13" t="s">
        <v>56</v>
      </c>
      <c r="C13" s="7">
        <v>3607624.92</v>
      </c>
      <c r="D13" t="s">
        <v>107</v>
      </c>
    </row>
    <row r="14" spans="1:4" x14ac:dyDescent="0.25">
      <c r="A14" s="3" t="s">
        <v>19</v>
      </c>
      <c r="B14" t="s">
        <v>12</v>
      </c>
      <c r="C14" s="7">
        <v>3572378.1799999997</v>
      </c>
      <c r="D14" t="s">
        <v>108</v>
      </c>
    </row>
    <row r="15" spans="1:4" x14ac:dyDescent="0.25">
      <c r="A15" s="8" t="s">
        <v>91</v>
      </c>
      <c r="B15" t="s">
        <v>90</v>
      </c>
      <c r="C15" s="7">
        <v>3407017.04</v>
      </c>
      <c r="D15" t="s">
        <v>109</v>
      </c>
    </row>
    <row r="16" spans="1:4" x14ac:dyDescent="0.25">
      <c r="A16" s="3" t="s">
        <v>72</v>
      </c>
      <c r="B16" t="s">
        <v>56</v>
      </c>
      <c r="C16" s="7">
        <v>3393600.9000000004</v>
      </c>
      <c r="D16" t="s">
        <v>110</v>
      </c>
    </row>
    <row r="17" spans="1:4" x14ac:dyDescent="0.25">
      <c r="A17" s="3" t="s">
        <v>6</v>
      </c>
      <c r="B17" t="s">
        <v>4</v>
      </c>
      <c r="C17" s="7">
        <v>2140567.94</v>
      </c>
      <c r="D17" t="s">
        <v>111</v>
      </c>
    </row>
    <row r="18" spans="1:4" x14ac:dyDescent="0.25">
      <c r="A18" s="3" t="s">
        <v>81</v>
      </c>
      <c r="B18" t="s">
        <v>56</v>
      </c>
      <c r="C18" s="7">
        <v>1907262.1799999997</v>
      </c>
      <c r="D18" t="s">
        <v>112</v>
      </c>
    </row>
    <row r="19" spans="1:4" x14ac:dyDescent="0.25">
      <c r="A19" s="3" t="s">
        <v>21</v>
      </c>
      <c r="B19" t="s">
        <v>12</v>
      </c>
      <c r="C19" s="7">
        <v>1446351.3600000003</v>
      </c>
      <c r="D19" t="s">
        <v>113</v>
      </c>
    </row>
    <row r="20" spans="1:4" x14ac:dyDescent="0.25">
      <c r="A20" s="3" t="s">
        <v>18</v>
      </c>
      <c r="B20" t="s">
        <v>12</v>
      </c>
      <c r="C20" s="7">
        <v>1330407.7599999998</v>
      </c>
      <c r="D20" t="s">
        <v>114</v>
      </c>
    </row>
    <row r="21" spans="1:4" x14ac:dyDescent="0.25">
      <c r="A21" s="3" t="s">
        <v>95</v>
      </c>
      <c r="B21" t="s">
        <v>90</v>
      </c>
      <c r="C21" s="7">
        <v>1133253.4399999995</v>
      </c>
      <c r="D21" t="s">
        <v>115</v>
      </c>
    </row>
    <row r="22" spans="1:4" x14ac:dyDescent="0.25">
      <c r="A22" s="3" t="s">
        <v>55</v>
      </c>
      <c r="B22" t="s">
        <v>56</v>
      </c>
      <c r="C22" s="7">
        <v>1032144.1999999993</v>
      </c>
      <c r="D22" t="s">
        <v>116</v>
      </c>
    </row>
    <row r="23" spans="1:4" x14ac:dyDescent="0.25">
      <c r="A23" s="3" t="s">
        <v>7</v>
      </c>
      <c r="B23" t="s">
        <v>4</v>
      </c>
      <c r="C23" s="7">
        <v>978970.75999999978</v>
      </c>
      <c r="D23" t="s">
        <v>117</v>
      </c>
    </row>
    <row r="24" spans="1:4" x14ac:dyDescent="0.25">
      <c r="A24" s="3" t="s">
        <v>9</v>
      </c>
      <c r="B24" t="s">
        <v>4</v>
      </c>
      <c r="C24" s="7">
        <v>801193.52</v>
      </c>
      <c r="D24" t="s">
        <v>118</v>
      </c>
    </row>
    <row r="25" spans="1:4" x14ac:dyDescent="0.25">
      <c r="A25" s="8" t="s">
        <v>82</v>
      </c>
      <c r="B25" t="s">
        <v>56</v>
      </c>
      <c r="C25" s="7">
        <v>666370.6</v>
      </c>
      <c r="D25" t="s">
        <v>119</v>
      </c>
    </row>
    <row r="26" spans="1:4" x14ac:dyDescent="0.25">
      <c r="A26" s="3" t="s">
        <v>3</v>
      </c>
      <c r="B26" t="s">
        <v>4</v>
      </c>
      <c r="C26" s="7">
        <v>513756.55999999959</v>
      </c>
      <c r="D26" t="s">
        <v>120</v>
      </c>
    </row>
    <row r="27" spans="1:4" x14ac:dyDescent="0.25">
      <c r="A27" s="8" t="s">
        <v>13</v>
      </c>
      <c r="B27" t="s">
        <v>12</v>
      </c>
      <c r="C27" s="7">
        <v>501925.62</v>
      </c>
      <c r="D27" t="s">
        <v>121</v>
      </c>
    </row>
    <row r="28" spans="1:4" x14ac:dyDescent="0.25">
      <c r="A28" s="8" t="s">
        <v>89</v>
      </c>
      <c r="B28" t="s">
        <v>90</v>
      </c>
      <c r="C28" s="7">
        <v>452267.06</v>
      </c>
      <c r="D28" t="s">
        <v>122</v>
      </c>
    </row>
    <row r="29" spans="1:4" x14ac:dyDescent="0.25">
      <c r="A29" s="3" t="s">
        <v>8</v>
      </c>
      <c r="B29" t="s">
        <v>4</v>
      </c>
      <c r="C29" s="7">
        <v>321821.85999999987</v>
      </c>
      <c r="D29" t="s">
        <v>123</v>
      </c>
    </row>
    <row r="30" spans="1:4" x14ac:dyDescent="0.25">
      <c r="A30" s="8" t="s">
        <v>10</v>
      </c>
      <c r="B30" t="s">
        <v>4</v>
      </c>
      <c r="C30" s="7">
        <v>293204.24</v>
      </c>
      <c r="D30" t="s">
        <v>124</v>
      </c>
    </row>
    <row r="31" spans="1:4" x14ac:dyDescent="0.25">
      <c r="A31" s="3" t="s">
        <v>69</v>
      </c>
      <c r="B31" t="s">
        <v>56</v>
      </c>
      <c r="C31" s="7">
        <v>148799.26</v>
      </c>
      <c r="D31" t="s">
        <v>125</v>
      </c>
    </row>
    <row r="32" spans="1:4" x14ac:dyDescent="0.25">
      <c r="A32" s="3" t="s">
        <v>70</v>
      </c>
      <c r="B32" t="s">
        <v>56</v>
      </c>
      <c r="C32" s="7">
        <v>148289.90000000002</v>
      </c>
      <c r="D32" t="s">
        <v>126</v>
      </c>
    </row>
    <row r="33" spans="1:4" x14ac:dyDescent="0.25">
      <c r="A33" s="3" t="s">
        <v>17</v>
      </c>
      <c r="B33" t="s">
        <v>12</v>
      </c>
      <c r="C33" s="7">
        <v>147335.58000000007</v>
      </c>
      <c r="D33" t="s">
        <v>127</v>
      </c>
    </row>
    <row r="34" spans="1:4" x14ac:dyDescent="0.25">
      <c r="A34" s="8" t="s">
        <v>11</v>
      </c>
      <c r="B34" t="s">
        <v>12</v>
      </c>
      <c r="C34" s="7">
        <v>136936.38</v>
      </c>
      <c r="D34" t="s">
        <v>128</v>
      </c>
    </row>
    <row r="35" spans="1:4" x14ac:dyDescent="0.25">
      <c r="A35" s="3" t="s">
        <v>57</v>
      </c>
      <c r="B35" t="s">
        <v>56</v>
      </c>
      <c r="C35" s="7">
        <v>71569.179999999935</v>
      </c>
      <c r="D35" t="s">
        <v>129</v>
      </c>
    </row>
    <row r="36" spans="1:4" x14ac:dyDescent="0.25">
      <c r="A36" s="3" t="s">
        <v>15</v>
      </c>
      <c r="B36" t="s">
        <v>12</v>
      </c>
      <c r="C36" s="7">
        <v>71063.179999999935</v>
      </c>
      <c r="D36" t="s">
        <v>130</v>
      </c>
    </row>
    <row r="37" spans="1:4" x14ac:dyDescent="0.25">
      <c r="A37" s="3" t="s">
        <v>92</v>
      </c>
      <c r="B37" t="s">
        <v>90</v>
      </c>
      <c r="C37" s="7">
        <v>70614.040000000008</v>
      </c>
      <c r="D37" t="s">
        <v>131</v>
      </c>
    </row>
    <row r="38" spans="1:4" x14ac:dyDescent="0.25">
      <c r="A38" s="3" t="s">
        <v>16</v>
      </c>
      <c r="B38" t="s">
        <v>12</v>
      </c>
      <c r="C38" s="7">
        <v>37429.419999999984</v>
      </c>
      <c r="D38" t="s">
        <v>132</v>
      </c>
    </row>
    <row r="39" spans="1:4" x14ac:dyDescent="0.25">
      <c r="A39" s="3" t="s">
        <v>94</v>
      </c>
      <c r="B39" t="s">
        <v>90</v>
      </c>
      <c r="C39" s="7">
        <v>33998.200000000012</v>
      </c>
      <c r="D39" t="s">
        <v>133</v>
      </c>
    </row>
    <row r="40" spans="1:4" x14ac:dyDescent="0.25">
      <c r="A40" s="3" t="s">
        <v>59</v>
      </c>
      <c r="B40" t="s">
        <v>56</v>
      </c>
      <c r="C40" s="7">
        <v>30923.859999999986</v>
      </c>
      <c r="D40" t="s">
        <v>134</v>
      </c>
    </row>
    <row r="41" spans="1:4" x14ac:dyDescent="0.25">
      <c r="A41" s="3" t="s">
        <v>93</v>
      </c>
      <c r="B41" t="s">
        <v>90</v>
      </c>
      <c r="C41" s="7">
        <v>19465.039999999994</v>
      </c>
      <c r="D41" t="s">
        <v>135</v>
      </c>
    </row>
    <row r="42" spans="1:4" x14ac:dyDescent="0.25">
      <c r="A42" s="3" t="s">
        <v>14</v>
      </c>
      <c r="B42" t="s">
        <v>12</v>
      </c>
      <c r="C42" s="7">
        <v>15189.459999999992</v>
      </c>
      <c r="D42" t="s">
        <v>136</v>
      </c>
    </row>
    <row r="43" spans="1:4" x14ac:dyDescent="0.25">
      <c r="A43" s="3" t="s">
        <v>64</v>
      </c>
      <c r="B43" t="s">
        <v>56</v>
      </c>
      <c r="C43" s="7">
        <v>8165.9599999999991</v>
      </c>
      <c r="D43" t="s">
        <v>137</v>
      </c>
    </row>
    <row r="44" spans="1:4" x14ac:dyDescent="0.25">
      <c r="A44" s="3" t="s">
        <v>20</v>
      </c>
      <c r="B44" t="s">
        <v>12</v>
      </c>
      <c r="C44" s="7">
        <v>6496.8999999999942</v>
      </c>
      <c r="D44" t="s">
        <v>138</v>
      </c>
    </row>
    <row r="45" spans="1:4" x14ac:dyDescent="0.25">
      <c r="A45" s="3" t="s">
        <v>61</v>
      </c>
      <c r="B45" t="s">
        <v>56</v>
      </c>
      <c r="C45" s="7">
        <v>6251.3600000000006</v>
      </c>
      <c r="D45" t="s">
        <v>139</v>
      </c>
    </row>
    <row r="46" spans="1:4" x14ac:dyDescent="0.25">
      <c r="A46" t="s">
        <v>60</v>
      </c>
      <c r="B46" t="s">
        <v>56</v>
      </c>
      <c r="C46" s="7">
        <v>5889.8399999999965</v>
      </c>
      <c r="D46" t="s">
        <v>140</v>
      </c>
    </row>
    <row r="47" spans="1:4" x14ac:dyDescent="0.25">
      <c r="A47" t="s">
        <v>62</v>
      </c>
      <c r="B47" t="s">
        <v>56</v>
      </c>
      <c r="C47" s="7">
        <v>5787.5599999999977</v>
      </c>
      <c r="D47" t="s">
        <v>141</v>
      </c>
    </row>
    <row r="48" spans="1:4" x14ac:dyDescent="0.25">
      <c r="A48" t="s">
        <v>63</v>
      </c>
      <c r="B48" t="s">
        <v>56</v>
      </c>
      <c r="C48" s="7">
        <v>4821.1200000000026</v>
      </c>
      <c r="D48" t="s">
        <v>142</v>
      </c>
    </row>
    <row r="49" spans="1:4" x14ac:dyDescent="0.25">
      <c r="A49" s="3" t="s">
        <v>67</v>
      </c>
      <c r="B49" t="s">
        <v>56</v>
      </c>
      <c r="C49" s="7">
        <v>3887.9399999999987</v>
      </c>
      <c r="D49" t="s">
        <v>143</v>
      </c>
    </row>
    <row r="50" spans="1:4" x14ac:dyDescent="0.25">
      <c r="A50" s="3" t="s">
        <v>66</v>
      </c>
      <c r="B50" t="s">
        <v>56</v>
      </c>
      <c r="C50" s="7">
        <v>3047.9399999999987</v>
      </c>
      <c r="D50" t="s">
        <v>144</v>
      </c>
    </row>
    <row r="51" spans="1:4" x14ac:dyDescent="0.25">
      <c r="A51" s="3" t="s">
        <v>68</v>
      </c>
      <c r="B51" t="s">
        <v>56</v>
      </c>
      <c r="C51" s="7">
        <v>2764.9399999999987</v>
      </c>
      <c r="D51" t="s">
        <v>145</v>
      </c>
    </row>
    <row r="52" spans="1:4" x14ac:dyDescent="0.25">
      <c r="A52" s="3" t="s">
        <v>65</v>
      </c>
      <c r="B52" t="s">
        <v>56</v>
      </c>
      <c r="C52" s="7">
        <v>317.86000000000058</v>
      </c>
      <c r="D52" t="s">
        <v>146</v>
      </c>
    </row>
  </sheetData>
  <sortState xmlns:xlrd2="http://schemas.microsoft.com/office/spreadsheetml/2017/richdata2" ref="A4:C52">
    <sortCondition descending="1" ref="C3:C52"/>
  </sortState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0CBA-5213-4B00-BDC4-1A864EEEA67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B4BA-B7BE-446E-ABF9-B3A5D7A6A8E2}">
  <dimension ref="A1:C67"/>
  <sheetViews>
    <sheetView topLeftCell="A50" workbookViewId="0">
      <selection activeCell="A36" sqref="A36:C67"/>
    </sheetView>
  </sheetViews>
  <sheetFormatPr defaultRowHeight="15" x14ac:dyDescent="0.25"/>
  <cols>
    <col min="1" max="1" width="8.7109375" customWidth="1"/>
    <col min="2" max="2" width="36.7109375" bestFit="1" customWidth="1"/>
    <col min="3" max="3" width="13.140625" style="10" bestFit="1" customWidth="1"/>
  </cols>
  <sheetData>
    <row r="1" spans="1:3" x14ac:dyDescent="0.25">
      <c r="A1" s="14" t="s">
        <v>149</v>
      </c>
      <c r="B1" s="14" t="s">
        <v>150</v>
      </c>
      <c r="C1" s="15" t="s">
        <v>151</v>
      </c>
    </row>
    <row r="2" spans="1:3" x14ac:dyDescent="0.25">
      <c r="A2" t="s">
        <v>148</v>
      </c>
      <c r="B2" t="s">
        <v>38</v>
      </c>
      <c r="C2" s="11">
        <v>88425</v>
      </c>
    </row>
    <row r="3" spans="1:3" x14ac:dyDescent="0.25">
      <c r="A3" t="s">
        <v>148</v>
      </c>
      <c r="B3" t="s">
        <v>41</v>
      </c>
      <c r="C3" s="11">
        <v>70801</v>
      </c>
    </row>
    <row r="4" spans="1:3" x14ac:dyDescent="0.25">
      <c r="A4" t="s">
        <v>148</v>
      </c>
      <c r="B4" t="s">
        <v>28</v>
      </c>
      <c r="C4" s="11">
        <v>37480</v>
      </c>
    </row>
    <row r="5" spans="1:3" x14ac:dyDescent="0.25">
      <c r="A5" t="s">
        <v>148</v>
      </c>
      <c r="B5" t="s">
        <v>39</v>
      </c>
      <c r="C5" s="11">
        <v>3788420</v>
      </c>
    </row>
    <row r="6" spans="1:3" x14ac:dyDescent="0.25">
      <c r="A6" t="s">
        <v>148</v>
      </c>
      <c r="B6" t="s">
        <v>47</v>
      </c>
      <c r="C6" s="11">
        <v>7861</v>
      </c>
    </row>
    <row r="7" spans="1:3" x14ac:dyDescent="0.25">
      <c r="A7" t="s">
        <v>148</v>
      </c>
      <c r="B7" t="s">
        <v>48</v>
      </c>
      <c r="C7" s="11">
        <v>210272</v>
      </c>
    </row>
    <row r="8" spans="1:3" x14ac:dyDescent="0.25">
      <c r="A8" t="s">
        <v>148</v>
      </c>
      <c r="B8" t="s">
        <v>27</v>
      </c>
      <c r="C8" s="11">
        <v>110831</v>
      </c>
    </row>
    <row r="9" spans="1:3" x14ac:dyDescent="0.25">
      <c r="A9" t="s">
        <v>148</v>
      </c>
      <c r="B9" t="s">
        <v>31</v>
      </c>
      <c r="C9" s="11">
        <v>217149</v>
      </c>
    </row>
    <row r="10" spans="1:3" x14ac:dyDescent="0.25">
      <c r="A10" t="s">
        <v>148</v>
      </c>
      <c r="B10" t="s">
        <v>24</v>
      </c>
      <c r="C10" s="11">
        <v>110221</v>
      </c>
    </row>
    <row r="11" spans="1:3" x14ac:dyDescent="0.25">
      <c r="A11" t="s">
        <v>148</v>
      </c>
      <c r="B11" t="s">
        <v>37</v>
      </c>
      <c r="C11" s="11">
        <v>414464</v>
      </c>
    </row>
    <row r="12" spans="1:3" x14ac:dyDescent="0.25">
      <c r="A12" t="s">
        <v>148</v>
      </c>
      <c r="B12" t="s">
        <v>30</v>
      </c>
      <c r="C12" s="11">
        <v>136657</v>
      </c>
    </row>
    <row r="13" spans="1:3" x14ac:dyDescent="0.25">
      <c r="A13" t="s">
        <v>148</v>
      </c>
      <c r="B13" t="s">
        <v>35</v>
      </c>
      <c r="C13" s="11">
        <v>908783</v>
      </c>
    </row>
    <row r="14" spans="1:3" x14ac:dyDescent="0.25">
      <c r="A14" t="s">
        <v>148</v>
      </c>
      <c r="B14" t="s">
        <v>25</v>
      </c>
      <c r="C14" s="11">
        <v>501987</v>
      </c>
    </row>
    <row r="15" spans="1:3" x14ac:dyDescent="0.25">
      <c r="A15" t="s">
        <v>148</v>
      </c>
      <c r="B15" t="s">
        <v>22</v>
      </c>
      <c r="C15" s="11">
        <v>60451</v>
      </c>
    </row>
    <row r="16" spans="1:3" x14ac:dyDescent="0.25">
      <c r="A16" t="s">
        <v>148</v>
      </c>
      <c r="B16" t="s">
        <v>47</v>
      </c>
      <c r="C16" s="11">
        <v>414464</v>
      </c>
    </row>
    <row r="17" spans="1:3" x14ac:dyDescent="0.25">
      <c r="A17" t="s">
        <v>148</v>
      </c>
      <c r="B17" t="s">
        <v>29</v>
      </c>
      <c r="C17" s="11">
        <v>235791</v>
      </c>
    </row>
    <row r="18" spans="1:3" x14ac:dyDescent="0.25">
      <c r="A18" t="s">
        <v>148</v>
      </c>
      <c r="B18" t="s">
        <v>44</v>
      </c>
      <c r="C18" s="11">
        <v>39982</v>
      </c>
    </row>
    <row r="19" spans="1:3" x14ac:dyDescent="0.25">
      <c r="A19" t="s">
        <v>148</v>
      </c>
      <c r="B19" t="s">
        <v>52</v>
      </c>
      <c r="C19" s="11">
        <v>3282</v>
      </c>
    </row>
    <row r="20" spans="1:3" x14ac:dyDescent="0.25">
      <c r="A20" t="s">
        <v>148</v>
      </c>
      <c r="B20" t="s">
        <v>53</v>
      </c>
      <c r="C20" s="11">
        <v>2485</v>
      </c>
    </row>
    <row r="21" spans="1:3" x14ac:dyDescent="0.25">
      <c r="A21" t="s">
        <v>148</v>
      </c>
      <c r="B21" t="s">
        <v>33</v>
      </c>
      <c r="C21" s="11">
        <v>2088942</v>
      </c>
    </row>
    <row r="22" spans="1:3" x14ac:dyDescent="0.25">
      <c r="A22" t="s">
        <v>148</v>
      </c>
      <c r="B22" t="s">
        <v>46</v>
      </c>
      <c r="C22" s="11">
        <v>1936753</v>
      </c>
    </row>
    <row r="23" spans="1:3" x14ac:dyDescent="0.25">
      <c r="A23" t="s">
        <v>148</v>
      </c>
      <c r="B23" t="s">
        <v>45</v>
      </c>
      <c r="C23" s="11">
        <v>105298</v>
      </c>
    </row>
    <row r="24" spans="1:3" x14ac:dyDescent="0.25">
      <c r="A24" t="s">
        <v>148</v>
      </c>
      <c r="B24" t="s">
        <v>51</v>
      </c>
      <c r="C24" s="11">
        <v>58927</v>
      </c>
    </row>
    <row r="25" spans="1:3" x14ac:dyDescent="0.25">
      <c r="A25" t="s">
        <v>148</v>
      </c>
      <c r="B25" t="s">
        <v>36</v>
      </c>
      <c r="C25" s="11">
        <v>46880</v>
      </c>
    </row>
    <row r="26" spans="1:3" x14ac:dyDescent="0.25">
      <c r="A26" t="s">
        <v>148</v>
      </c>
      <c r="B26" t="s">
        <v>32</v>
      </c>
      <c r="C26" s="11">
        <v>37189</v>
      </c>
    </row>
    <row r="27" spans="1:3" x14ac:dyDescent="0.25">
      <c r="A27" t="s">
        <v>148</v>
      </c>
      <c r="B27" t="s">
        <v>42</v>
      </c>
      <c r="C27" s="11">
        <v>21127</v>
      </c>
    </row>
    <row r="28" spans="1:3" x14ac:dyDescent="0.25">
      <c r="A28" t="s">
        <v>148</v>
      </c>
      <c r="B28" t="s">
        <v>34</v>
      </c>
      <c r="C28" s="11">
        <v>106919</v>
      </c>
    </row>
    <row r="29" spans="1:3" x14ac:dyDescent="0.25">
      <c r="A29" t="s">
        <v>148</v>
      </c>
      <c r="B29" t="s">
        <v>43</v>
      </c>
      <c r="C29" s="11">
        <v>127072</v>
      </c>
    </row>
    <row r="30" spans="1:3" x14ac:dyDescent="0.25">
      <c r="A30" t="s">
        <v>148</v>
      </c>
      <c r="B30" t="s">
        <v>26</v>
      </c>
      <c r="C30" s="11">
        <v>115196</v>
      </c>
    </row>
    <row r="31" spans="1:3" x14ac:dyDescent="0.25">
      <c r="A31" t="s">
        <v>148</v>
      </c>
      <c r="B31" t="s">
        <v>40</v>
      </c>
      <c r="C31" s="11">
        <v>115193</v>
      </c>
    </row>
    <row r="32" spans="1:3" x14ac:dyDescent="0.25">
      <c r="A32" t="s">
        <v>148</v>
      </c>
      <c r="B32" t="s">
        <v>54</v>
      </c>
      <c r="C32" s="11">
        <v>2781491</v>
      </c>
    </row>
    <row r="33" spans="1:3" x14ac:dyDescent="0.25">
      <c r="A33" t="s">
        <v>148</v>
      </c>
      <c r="B33" t="s">
        <v>50</v>
      </c>
      <c r="C33" s="11">
        <v>203476</v>
      </c>
    </row>
    <row r="34" spans="1:3" x14ac:dyDescent="0.25">
      <c r="A34" t="s">
        <v>148</v>
      </c>
      <c r="B34" t="s">
        <v>49</v>
      </c>
      <c r="C34" s="11">
        <v>164271</v>
      </c>
    </row>
    <row r="35" spans="1:3" x14ac:dyDescent="0.25">
      <c r="C35" s="12"/>
    </row>
    <row r="36" spans="1:3" x14ac:dyDescent="0.25">
      <c r="A36" t="s">
        <v>147</v>
      </c>
      <c r="B36" t="s">
        <v>38</v>
      </c>
      <c r="C36" s="13">
        <v>88425</v>
      </c>
    </row>
    <row r="37" spans="1:3" x14ac:dyDescent="0.25">
      <c r="A37" t="s">
        <v>147</v>
      </c>
      <c r="B37" t="s">
        <v>41</v>
      </c>
      <c r="C37" s="13">
        <v>70801</v>
      </c>
    </row>
    <row r="38" spans="1:3" x14ac:dyDescent="0.25">
      <c r="A38" t="s">
        <v>147</v>
      </c>
      <c r="B38" t="s">
        <v>44</v>
      </c>
      <c r="C38" s="13">
        <v>39982</v>
      </c>
    </row>
    <row r="39" spans="1:3" x14ac:dyDescent="0.25">
      <c r="A39" t="s">
        <v>147</v>
      </c>
      <c r="B39" t="s">
        <v>28</v>
      </c>
      <c r="C39" s="13">
        <v>37480</v>
      </c>
    </row>
    <row r="40" spans="1:3" x14ac:dyDescent="0.25">
      <c r="A40" t="s">
        <v>147</v>
      </c>
      <c r="B40" t="s">
        <v>25</v>
      </c>
      <c r="C40" s="13">
        <v>501987</v>
      </c>
    </row>
    <row r="41" spans="1:3" x14ac:dyDescent="0.25">
      <c r="A41" t="s">
        <v>147</v>
      </c>
      <c r="B41" t="s">
        <v>47</v>
      </c>
      <c r="C41" s="13">
        <v>422325</v>
      </c>
    </row>
    <row r="42" spans="1:3" x14ac:dyDescent="0.25">
      <c r="A42" t="s">
        <v>147</v>
      </c>
      <c r="B42" t="s">
        <v>31</v>
      </c>
      <c r="C42" s="13">
        <v>217149</v>
      </c>
    </row>
    <row r="43" spans="1:3" x14ac:dyDescent="0.25">
      <c r="A43" t="s">
        <v>147</v>
      </c>
      <c r="B43" t="s">
        <v>40</v>
      </c>
      <c r="C43" s="13">
        <v>115193</v>
      </c>
    </row>
    <row r="44" spans="1:3" x14ac:dyDescent="0.25">
      <c r="A44" t="s">
        <v>147</v>
      </c>
      <c r="B44" t="s">
        <v>48</v>
      </c>
      <c r="C44" s="13">
        <v>210272</v>
      </c>
    </row>
    <row r="45" spans="1:3" x14ac:dyDescent="0.25">
      <c r="A45" t="s">
        <v>147</v>
      </c>
      <c r="B45" t="s">
        <v>50</v>
      </c>
      <c r="C45" s="13">
        <v>203476</v>
      </c>
    </row>
    <row r="46" spans="1:3" x14ac:dyDescent="0.25">
      <c r="A46" t="s">
        <v>147</v>
      </c>
      <c r="B46" t="s">
        <v>24</v>
      </c>
      <c r="C46" s="13">
        <v>110221</v>
      </c>
    </row>
    <row r="47" spans="1:3" x14ac:dyDescent="0.25">
      <c r="A47" t="s">
        <v>147</v>
      </c>
      <c r="B47" t="s">
        <v>37</v>
      </c>
      <c r="C47" s="13">
        <v>414464</v>
      </c>
    </row>
    <row r="48" spans="1:3" x14ac:dyDescent="0.25">
      <c r="A48" t="s">
        <v>147</v>
      </c>
      <c r="B48" t="s">
        <v>29</v>
      </c>
      <c r="C48" s="13">
        <v>235791</v>
      </c>
    </row>
    <row r="49" spans="1:3" x14ac:dyDescent="0.25">
      <c r="A49" t="s">
        <v>147</v>
      </c>
      <c r="B49" t="s">
        <v>30</v>
      </c>
      <c r="C49" s="13">
        <v>136657</v>
      </c>
    </row>
    <row r="50" spans="1:3" x14ac:dyDescent="0.25">
      <c r="A50" t="s">
        <v>147</v>
      </c>
      <c r="B50" t="s">
        <v>35</v>
      </c>
      <c r="C50" s="13">
        <v>908783</v>
      </c>
    </row>
    <row r="51" spans="1:3" x14ac:dyDescent="0.25">
      <c r="A51" t="s">
        <v>147</v>
      </c>
      <c r="B51" t="s">
        <v>36</v>
      </c>
      <c r="C51" s="13">
        <v>46880</v>
      </c>
    </row>
    <row r="52" spans="1:3" x14ac:dyDescent="0.25">
      <c r="A52" t="s">
        <v>147</v>
      </c>
      <c r="B52" t="s">
        <v>52</v>
      </c>
      <c r="C52" s="13">
        <v>3282</v>
      </c>
    </row>
    <row r="53" spans="1:3" x14ac:dyDescent="0.25">
      <c r="A53" t="s">
        <v>147</v>
      </c>
      <c r="B53" t="s">
        <v>54</v>
      </c>
      <c r="C53" s="13">
        <v>2781491</v>
      </c>
    </row>
    <row r="54" spans="1:3" x14ac:dyDescent="0.25">
      <c r="A54" t="s">
        <v>147</v>
      </c>
      <c r="B54" t="s">
        <v>51</v>
      </c>
      <c r="C54" s="13">
        <v>58927</v>
      </c>
    </row>
    <row r="55" spans="1:3" x14ac:dyDescent="0.25">
      <c r="A55" t="s">
        <v>147</v>
      </c>
      <c r="B55" t="s">
        <v>32</v>
      </c>
      <c r="C55" s="13">
        <v>37189</v>
      </c>
    </row>
    <row r="56" spans="1:3" x14ac:dyDescent="0.25">
      <c r="A56" t="s">
        <v>147</v>
      </c>
      <c r="B56" t="s">
        <v>42</v>
      </c>
      <c r="C56" s="13">
        <v>21127</v>
      </c>
    </row>
    <row r="57" spans="1:3" x14ac:dyDescent="0.25">
      <c r="A57" t="s">
        <v>147</v>
      </c>
      <c r="B57" t="s">
        <v>53</v>
      </c>
      <c r="C57" s="13">
        <v>2485</v>
      </c>
    </row>
    <row r="58" spans="1:3" x14ac:dyDescent="0.25">
      <c r="A58" t="s">
        <v>147</v>
      </c>
      <c r="B58" t="s">
        <v>45</v>
      </c>
      <c r="C58" s="13">
        <v>105298</v>
      </c>
    </row>
    <row r="59" spans="1:3" x14ac:dyDescent="0.25">
      <c r="A59" t="s">
        <v>147</v>
      </c>
      <c r="B59" t="s">
        <v>26</v>
      </c>
      <c r="C59" s="13">
        <v>115196</v>
      </c>
    </row>
    <row r="60" spans="1:3" x14ac:dyDescent="0.25">
      <c r="A60" t="s">
        <v>147</v>
      </c>
      <c r="B60" t="s">
        <v>43</v>
      </c>
      <c r="C60" s="13">
        <v>127072</v>
      </c>
    </row>
    <row r="61" spans="1:3" x14ac:dyDescent="0.25">
      <c r="A61" t="s">
        <v>147</v>
      </c>
      <c r="B61" t="s">
        <v>27</v>
      </c>
      <c r="C61" s="13">
        <v>110831</v>
      </c>
    </row>
    <row r="62" spans="1:3" x14ac:dyDescent="0.25">
      <c r="A62" t="s">
        <v>147</v>
      </c>
      <c r="B62" t="s">
        <v>34</v>
      </c>
      <c r="C62" s="13">
        <v>106919</v>
      </c>
    </row>
    <row r="63" spans="1:3" x14ac:dyDescent="0.25">
      <c r="A63" t="s">
        <v>147</v>
      </c>
      <c r="B63" t="s">
        <v>39</v>
      </c>
      <c r="C63" s="13">
        <v>3788420</v>
      </c>
    </row>
    <row r="64" spans="1:3" x14ac:dyDescent="0.25">
      <c r="A64" t="s">
        <v>147</v>
      </c>
      <c r="B64" t="s">
        <v>33</v>
      </c>
      <c r="C64" s="13">
        <v>2088942</v>
      </c>
    </row>
    <row r="65" spans="1:3" x14ac:dyDescent="0.25">
      <c r="A65" t="s">
        <v>147</v>
      </c>
      <c r="B65" t="s">
        <v>46</v>
      </c>
      <c r="C65" s="13">
        <v>1936753</v>
      </c>
    </row>
    <row r="66" spans="1:3" x14ac:dyDescent="0.25">
      <c r="A66" t="s">
        <v>147</v>
      </c>
      <c r="B66" t="s">
        <v>49</v>
      </c>
      <c r="C66" s="13">
        <v>164271</v>
      </c>
    </row>
    <row r="67" spans="1:3" x14ac:dyDescent="0.25">
      <c r="A67" t="s">
        <v>147</v>
      </c>
      <c r="B67" t="s">
        <v>22</v>
      </c>
      <c r="C67" s="13">
        <v>60451</v>
      </c>
    </row>
  </sheetData>
  <sortState xmlns:xlrd2="http://schemas.microsoft.com/office/spreadsheetml/2017/richdata2" ref="A2:C67">
    <sortCondition ref="A2:A6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4EEA-7959-461E-B269-77030F72BBD7}">
  <dimension ref="A1:C33"/>
  <sheetViews>
    <sheetView workbookViewId="0">
      <selection activeCell="B2" sqref="B2"/>
    </sheetView>
  </sheetViews>
  <sheetFormatPr defaultRowHeight="15" x14ac:dyDescent="0.25"/>
  <cols>
    <col min="1" max="1" width="37.7109375" bestFit="1" customWidth="1"/>
    <col min="2" max="2" width="13.28515625" bestFit="1" customWidth="1"/>
    <col min="3" max="3" width="13.7109375" bestFit="1" customWidth="1"/>
  </cols>
  <sheetData>
    <row r="1" spans="1:3" x14ac:dyDescent="0.25">
      <c r="C1" t="s">
        <v>152</v>
      </c>
    </row>
    <row r="2" spans="1:3" x14ac:dyDescent="0.25">
      <c r="A2" t="s">
        <v>38</v>
      </c>
      <c r="B2" s="13">
        <v>88425</v>
      </c>
      <c r="C2" t="str">
        <f>VLOOKUP(A2,'Assorted Codes'!A:B,2,0)</f>
        <v>040000199199</v>
      </c>
    </row>
    <row r="3" spans="1:3" x14ac:dyDescent="0.25">
      <c r="A3" t="s">
        <v>41</v>
      </c>
      <c r="B3" s="13">
        <v>70801</v>
      </c>
      <c r="C3" t="str">
        <f>VLOOKUP(A3,'Assorted Codes'!A:B,2,0)</f>
        <v>040000199202</v>
      </c>
    </row>
    <row r="4" spans="1:3" x14ac:dyDescent="0.25">
      <c r="A4" t="s">
        <v>44</v>
      </c>
      <c r="B4" s="13">
        <v>39982</v>
      </c>
      <c r="C4" t="str">
        <f>VLOOKUP(A4,'Assorted Codes'!A:B,2,0)</f>
        <v>040000199205</v>
      </c>
    </row>
    <row r="5" spans="1:3" x14ac:dyDescent="0.25">
      <c r="A5" t="s">
        <v>28</v>
      </c>
      <c r="B5" s="13">
        <v>37480</v>
      </c>
      <c r="C5" t="str">
        <f>VLOOKUP(A5,'Assorted Codes'!A:B,2,0)</f>
        <v>040000199188</v>
      </c>
    </row>
    <row r="6" spans="1:3" x14ac:dyDescent="0.25">
      <c r="A6" t="s">
        <v>25</v>
      </c>
      <c r="B6" s="13">
        <v>501987</v>
      </c>
      <c r="C6" t="str">
        <f>VLOOKUP(A6,'Assorted Codes'!A:B,2,0)</f>
        <v>040000199185</v>
      </c>
    </row>
    <row r="7" spans="1:3" x14ac:dyDescent="0.25">
      <c r="A7" t="s">
        <v>47</v>
      </c>
      <c r="B7" s="13">
        <v>422325</v>
      </c>
      <c r="C7" t="str">
        <f>VLOOKUP(A7,'Assorted Codes'!A:B,2,0)</f>
        <v>040000197501</v>
      </c>
    </row>
    <row r="8" spans="1:3" x14ac:dyDescent="0.25">
      <c r="A8" t="s">
        <v>31</v>
      </c>
      <c r="B8" s="13">
        <v>217149</v>
      </c>
      <c r="C8" t="str">
        <f>VLOOKUP(A8,'Assorted Codes'!A:B,2,0)</f>
        <v>040000199191</v>
      </c>
    </row>
    <row r="9" spans="1:3" x14ac:dyDescent="0.25">
      <c r="A9" t="s">
        <v>40</v>
      </c>
      <c r="B9" s="13">
        <v>115193</v>
      </c>
      <c r="C9" t="str">
        <f>VLOOKUP(A9,'Assorted Codes'!A:B,2,0)</f>
        <v>040000199201</v>
      </c>
    </row>
    <row r="10" spans="1:3" x14ac:dyDescent="0.25">
      <c r="A10" t="s">
        <v>48</v>
      </c>
      <c r="B10" s="13">
        <v>210272</v>
      </c>
      <c r="C10" t="str">
        <f>VLOOKUP(A10,'Assorted Codes'!A:B,2,0)</f>
        <v>040000197498</v>
      </c>
    </row>
    <row r="11" spans="1:3" x14ac:dyDescent="0.25">
      <c r="A11" t="s">
        <v>50</v>
      </c>
      <c r="B11" s="13">
        <v>203476</v>
      </c>
      <c r="C11" t="str">
        <f>VLOOKUP(A11,'Assorted Codes'!A:B,2,0)</f>
        <v>040000185350</v>
      </c>
    </row>
    <row r="12" spans="1:3" x14ac:dyDescent="0.25">
      <c r="A12" t="s">
        <v>24</v>
      </c>
      <c r="B12" s="13">
        <v>110221</v>
      </c>
      <c r="C12" t="str">
        <f>VLOOKUP(A12,'Assorted Codes'!A:B,2,0)</f>
        <v>040000199183</v>
      </c>
    </row>
    <row r="13" spans="1:3" x14ac:dyDescent="0.25">
      <c r="A13" t="s">
        <v>37</v>
      </c>
      <c r="B13" s="13">
        <v>414464</v>
      </c>
      <c r="C13" t="str">
        <f>VLOOKUP(A13,'Assorted Codes'!A:B,2,0)</f>
        <v>040000199198</v>
      </c>
    </row>
    <row r="14" spans="1:3" x14ac:dyDescent="0.25">
      <c r="A14" t="s">
        <v>29</v>
      </c>
      <c r="B14" s="13">
        <v>235791</v>
      </c>
      <c r="C14" t="str">
        <f>VLOOKUP(A14,'Assorted Codes'!A:B,2,0)</f>
        <v>040000199189</v>
      </c>
    </row>
    <row r="15" spans="1:3" x14ac:dyDescent="0.25">
      <c r="A15" t="s">
        <v>30</v>
      </c>
      <c r="B15" s="13">
        <v>136657</v>
      </c>
      <c r="C15" t="str">
        <f>VLOOKUP(A15,'Assorted Codes'!A:B,2,0)</f>
        <v>040000199190</v>
      </c>
    </row>
    <row r="16" spans="1:3" x14ac:dyDescent="0.25">
      <c r="A16" t="s">
        <v>35</v>
      </c>
      <c r="B16" s="13">
        <v>908783</v>
      </c>
      <c r="C16" t="str">
        <f>VLOOKUP(A16,'Assorted Codes'!A:B,2,0)</f>
        <v>040000199195</v>
      </c>
    </row>
    <row r="17" spans="1:3" x14ac:dyDescent="0.25">
      <c r="A17" t="s">
        <v>36</v>
      </c>
      <c r="B17" s="13">
        <v>46880</v>
      </c>
      <c r="C17" t="str">
        <f>VLOOKUP(A17,'Assorted Codes'!A:B,2,0)</f>
        <v>040000199196</v>
      </c>
    </row>
    <row r="18" spans="1:3" x14ac:dyDescent="0.25">
      <c r="A18" t="s">
        <v>52</v>
      </c>
      <c r="B18" s="13">
        <v>3282</v>
      </c>
      <c r="C18" t="str">
        <f>VLOOKUP(A18,'Assorted Codes'!A:B,2,0)</f>
        <v>040000185353</v>
      </c>
    </row>
    <row r="19" spans="1:3" x14ac:dyDescent="0.25">
      <c r="A19" t="s">
        <v>54</v>
      </c>
      <c r="B19" s="13">
        <v>2781491</v>
      </c>
      <c r="C19" t="str">
        <f>VLOOKUP(A19,'Assorted Codes'!A:B,2,0)</f>
        <v>040000187553</v>
      </c>
    </row>
    <row r="20" spans="1:3" x14ac:dyDescent="0.25">
      <c r="A20" t="s">
        <v>51</v>
      </c>
      <c r="B20" s="13">
        <v>58927</v>
      </c>
      <c r="C20" t="str">
        <f>VLOOKUP(A20,'Assorted Codes'!A:B,2,0)</f>
        <v>040000185351</v>
      </c>
    </row>
    <row r="21" spans="1:3" x14ac:dyDescent="0.25">
      <c r="A21" t="s">
        <v>32</v>
      </c>
      <c r="B21" s="13">
        <v>37189</v>
      </c>
      <c r="C21" t="str">
        <f>VLOOKUP(A21,'Assorted Codes'!A:B,2,0)</f>
        <v>040000199192</v>
      </c>
    </row>
    <row r="22" spans="1:3" x14ac:dyDescent="0.25">
      <c r="A22" t="s">
        <v>42</v>
      </c>
      <c r="B22" s="13">
        <v>21127</v>
      </c>
      <c r="C22" t="str">
        <f>VLOOKUP(A22,'Assorted Codes'!A:B,2,0)</f>
        <v>040000199203</v>
      </c>
    </row>
    <row r="23" spans="1:3" x14ac:dyDescent="0.25">
      <c r="A23" t="s">
        <v>53</v>
      </c>
      <c r="B23" s="13">
        <v>2485</v>
      </c>
      <c r="C23" t="str">
        <f>VLOOKUP(A23,'Assorted Codes'!A:B,2,0)</f>
        <v>040000185356</v>
      </c>
    </row>
    <row r="24" spans="1:3" x14ac:dyDescent="0.25">
      <c r="A24" t="s">
        <v>45</v>
      </c>
      <c r="B24" s="13">
        <v>105298</v>
      </c>
      <c r="C24" t="str">
        <f>VLOOKUP(A24,'Assorted Codes'!A:B,2,0)</f>
        <v>040000199206</v>
      </c>
    </row>
    <row r="25" spans="1:3" x14ac:dyDescent="0.25">
      <c r="A25" t="s">
        <v>26</v>
      </c>
      <c r="B25" s="13">
        <v>115196</v>
      </c>
      <c r="C25" t="str">
        <f>VLOOKUP(A25,'Assorted Codes'!A:B,2,0)</f>
        <v>040000199186</v>
      </c>
    </row>
    <row r="26" spans="1:3" x14ac:dyDescent="0.25">
      <c r="A26" t="s">
        <v>43</v>
      </c>
      <c r="B26" s="13">
        <v>127072</v>
      </c>
      <c r="C26" t="str">
        <f>VLOOKUP(A26,'Assorted Codes'!A:B,2,0)</f>
        <v>040000199204</v>
      </c>
    </row>
    <row r="27" spans="1:3" x14ac:dyDescent="0.25">
      <c r="A27" t="s">
        <v>27</v>
      </c>
      <c r="B27" s="13">
        <v>110831</v>
      </c>
      <c r="C27" t="str">
        <f>VLOOKUP(A27,'Assorted Codes'!A:B,2,0)</f>
        <v>040000199187</v>
      </c>
    </row>
    <row r="28" spans="1:3" x14ac:dyDescent="0.25">
      <c r="A28" t="s">
        <v>34</v>
      </c>
      <c r="B28" s="13">
        <v>106919</v>
      </c>
      <c r="C28" t="str">
        <f>VLOOKUP(A28,'Assorted Codes'!A:B,2,0)</f>
        <v>040000199194</v>
      </c>
    </row>
    <row r="29" spans="1:3" x14ac:dyDescent="0.25">
      <c r="A29" t="s">
        <v>39</v>
      </c>
      <c r="B29" s="13">
        <v>3788420</v>
      </c>
      <c r="C29" t="str">
        <f>VLOOKUP(A29,'Assorted Codes'!A:B,2,0)</f>
        <v>040000199200</v>
      </c>
    </row>
    <row r="30" spans="1:3" x14ac:dyDescent="0.25">
      <c r="A30" t="s">
        <v>33</v>
      </c>
      <c r="B30" s="13">
        <v>2088942</v>
      </c>
      <c r="C30" t="str">
        <f>VLOOKUP(A30,'Assorted Codes'!A:B,2,0)</f>
        <v>040000199193</v>
      </c>
    </row>
    <row r="31" spans="1:3" x14ac:dyDescent="0.25">
      <c r="A31" t="s">
        <v>46</v>
      </c>
      <c r="B31" s="13">
        <v>1936753</v>
      </c>
      <c r="C31" t="str">
        <f>VLOOKUP(A31,'Assorted Codes'!A:B,2,0)</f>
        <v>040000197497</v>
      </c>
    </row>
    <row r="32" spans="1:3" x14ac:dyDescent="0.25">
      <c r="A32" t="s">
        <v>49</v>
      </c>
      <c r="B32" s="13">
        <v>164271</v>
      </c>
      <c r="C32" t="str">
        <f>VLOOKUP(A32,'Assorted Codes'!A:B,2,0)</f>
        <v>040000197502</v>
      </c>
    </row>
    <row r="33" spans="1:3" x14ac:dyDescent="0.25">
      <c r="A33" t="s">
        <v>22</v>
      </c>
      <c r="B33" s="13">
        <v>60451</v>
      </c>
      <c r="C33" t="str">
        <f>VLOOKUP(A33,'Assorted Codes'!A:B,2,0)</f>
        <v>040000199182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294A-887B-437B-AF87-EFA7BF59A31A}">
  <dimension ref="A1:H33"/>
  <sheetViews>
    <sheetView tabSelected="1" workbookViewId="0">
      <selection activeCell="F2" sqref="F2"/>
    </sheetView>
  </sheetViews>
  <sheetFormatPr defaultRowHeight="15" x14ac:dyDescent="0.25"/>
  <cols>
    <col min="1" max="1" width="37.7109375" bestFit="1" customWidth="1"/>
    <col min="2" max="2" width="13.7109375" bestFit="1" customWidth="1"/>
    <col min="3" max="3" width="8" bestFit="1" customWidth="1"/>
    <col min="4" max="4" width="9" bestFit="1" customWidth="1"/>
    <col min="5" max="5" width="12" bestFit="1" customWidth="1"/>
    <col min="6" max="6" width="62.85546875" customWidth="1"/>
    <col min="7" max="7" width="51.28515625" customWidth="1"/>
    <col min="8" max="8" width="32.85546875" customWidth="1"/>
  </cols>
  <sheetData>
    <row r="1" spans="1:8" x14ac:dyDescent="0.25">
      <c r="A1" t="s">
        <v>187</v>
      </c>
      <c r="B1" t="s">
        <v>152</v>
      </c>
      <c r="D1" t="s">
        <v>188</v>
      </c>
      <c r="E1" s="24" t="s">
        <v>189</v>
      </c>
    </row>
    <row r="2" spans="1:8" ht="260.25" customHeight="1" x14ac:dyDescent="0.25">
      <c r="A2" t="s">
        <v>38</v>
      </c>
      <c r="B2" s="21" t="s">
        <v>174</v>
      </c>
      <c r="C2" s="22">
        <v>88425</v>
      </c>
      <c r="D2" s="23">
        <f>ROUND(C2,0)</f>
        <v>88425</v>
      </c>
      <c r="E2" s="24" t="s">
        <v>189</v>
      </c>
      <c r="F2" s="25" t="str">
        <f t="shared" ref="F2:F33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6" t="str">
        <f>"('"&amp;E2&amp;"','"&amp;B2&amp;"','"&amp;D2&amp;"',(select max(to_number(i.premium_rcv_detail_code))+1
from ins_premium_det i),'"&amp;D2&amp;"','"&amp;D2&amp;"','02', '11000003','00','Request by Mr.Omair Ahsan 15-Aug-2025 add premium allocation no 13Aug250081');"</f>
        <v>('13Aug250081','040000199199','88425',(select max(to_number(i.premium_rcv_detail_code))+1
from ins_premium_det i),'88425','88425','02', '11000003','00','Request by Mr.Omair Ahsan 15-Aug-2025 add premium allocation no 13Aug250081');</v>
      </c>
      <c r="H2" s="27" t="str">
        <f>F2&amp;G2</f>
        <v>insert into ins_premium_det (premium_rcv_code,assorted_code, rec_amount,premium_rcv_detail_code,remaining_amt, payrec, mode_code,coinsurance_code,class_cd,it_remarks) values('13Aug250081','040000199199','88425',(select max(to_number(i.premium_rcv_detail_code))+1
from ins_premium_det i),'88425','88425','02', '11000003','00','Request by Mr.Omair Ahsan 15-Aug-2025 add premium allocation no 13Aug250081');</v>
      </c>
    </row>
    <row r="3" spans="1:8" ht="255" x14ac:dyDescent="0.25">
      <c r="A3" t="s">
        <v>41</v>
      </c>
      <c r="B3" s="21" t="s">
        <v>175</v>
      </c>
      <c r="C3" s="22">
        <v>70801</v>
      </c>
      <c r="D3" s="23">
        <f t="shared" ref="D3:D33" si="1">ROUND(C3,0)</f>
        <v>70801</v>
      </c>
      <c r="E3" s="24" t="s">
        <v>189</v>
      </c>
      <c r="F3" s="25" t="str">
        <f t="shared" si="0"/>
        <v>insert into ins_premium_det (premium_rcv_code,assorted_code, rec_amount,premium_rcv_detail_code,remaining_amt, payrec, mode_code,coinsurance_code,class_cd,it_remarks) values</v>
      </c>
      <c r="G3" s="26" t="str">
        <f t="shared" ref="G3:G33" si="2">"('"&amp;E3&amp;"','"&amp;B3&amp;"','"&amp;D3&amp;"',(select max(to_number(i.premium_rcv_detail_code))+1
from ins_premium_det i),'"&amp;D3&amp;"','"&amp;D3&amp;"','02', '11000003','00','Request by Mr.Omair Ahsan 15-Aug-2025 add premium allocation no 13Aug250081');"</f>
        <v>('13Aug250081','040000199202','70801',(select max(to_number(i.premium_rcv_detail_code))+1
from ins_premium_det i),'70801','70801','02', '11000003','00','Request by Mr.Omair Ahsan 15-Aug-2025 add premium allocation no 13Aug250081');</v>
      </c>
      <c r="H3" s="27" t="str">
        <f t="shared" ref="H3:H33" si="3">F3&amp;G3</f>
        <v>insert into ins_premium_det (premium_rcv_code,assorted_code, rec_amount,premium_rcv_detail_code,remaining_amt, payrec, mode_code,coinsurance_code,class_cd,it_remarks) values('13Aug250081','040000199202','70801',(select max(to_number(i.premium_rcv_detail_code))+1
from ins_premium_det i),'70801','70801','02', '11000003','00','Request by Mr.Omair Ahsan 15-Aug-2025 add premium allocation no 13Aug250081');</v>
      </c>
    </row>
    <row r="4" spans="1:8" ht="255" x14ac:dyDescent="0.25">
      <c r="A4" t="s">
        <v>44</v>
      </c>
      <c r="B4" s="21" t="s">
        <v>177</v>
      </c>
      <c r="C4" s="22">
        <v>39982</v>
      </c>
      <c r="D4" s="23">
        <f t="shared" si="1"/>
        <v>39982</v>
      </c>
      <c r="E4" s="24" t="s">
        <v>189</v>
      </c>
      <c r="F4" s="25" t="str">
        <f t="shared" si="0"/>
        <v>insert into ins_premium_det (premium_rcv_code,assorted_code, rec_amount,premium_rcv_detail_code,remaining_amt, payrec, mode_code,coinsurance_code,class_cd,it_remarks) values</v>
      </c>
      <c r="G4" s="26" t="str">
        <f t="shared" si="2"/>
        <v>('13Aug250081','040000199205','39982',(select max(to_number(i.premium_rcv_detail_code))+1
from ins_premium_det i),'39982','39982','02', '11000003','00','Request by Mr.Omair Ahsan 15-Aug-2025 add premium allocation no 13Aug250081');</v>
      </c>
      <c r="H4" s="27" t="str">
        <f t="shared" si="3"/>
        <v>insert into ins_premium_det (premium_rcv_code,assorted_code, rec_amount,premium_rcv_detail_code,remaining_amt, payrec, mode_code,coinsurance_code,class_cd,it_remarks) values('13Aug250081','040000199205','39982',(select max(to_number(i.premium_rcv_detail_code))+1
from ins_premium_det i),'39982','39982','02', '11000003','00','Request by Mr.Omair Ahsan 15-Aug-2025 add premium allocation no 13Aug250081');</v>
      </c>
    </row>
    <row r="5" spans="1:8" ht="255" x14ac:dyDescent="0.25">
      <c r="A5" t="s">
        <v>28</v>
      </c>
      <c r="B5" s="21" t="s">
        <v>158</v>
      </c>
      <c r="C5" s="22">
        <v>37480</v>
      </c>
      <c r="D5" s="23">
        <f t="shared" si="1"/>
        <v>37480</v>
      </c>
      <c r="E5" s="24" t="s">
        <v>189</v>
      </c>
      <c r="F5" s="25" t="str">
        <f t="shared" si="0"/>
        <v>insert into ins_premium_det (premium_rcv_code,assorted_code, rec_amount,premium_rcv_detail_code,remaining_amt, payrec, mode_code,coinsurance_code,class_cd,it_remarks) values</v>
      </c>
      <c r="G5" s="26" t="str">
        <f t="shared" si="2"/>
        <v>('13Aug250081','040000199188','37480',(select max(to_number(i.premium_rcv_detail_code))+1
from ins_premium_det i),'37480','37480','02', '11000003','00','Request by Mr.Omair Ahsan 15-Aug-2025 add premium allocation no 13Aug250081');</v>
      </c>
      <c r="H5" s="27" t="str">
        <f t="shared" si="3"/>
        <v>insert into ins_premium_det (premium_rcv_code,assorted_code, rec_amount,premium_rcv_detail_code,remaining_amt, payrec, mode_code,coinsurance_code,class_cd,it_remarks) values('13Aug250081','040000199188','37480',(select max(to_number(i.premium_rcv_detail_code))+1
from ins_premium_det i),'37480','37480','02', '11000003','00','Request by Mr.Omair Ahsan 15-Aug-2025 add premium allocation no 13Aug250081');</v>
      </c>
    </row>
    <row r="6" spans="1:8" ht="255" x14ac:dyDescent="0.25">
      <c r="A6" t="s">
        <v>25</v>
      </c>
      <c r="B6" s="21" t="s">
        <v>169</v>
      </c>
      <c r="C6" s="22">
        <v>501987</v>
      </c>
      <c r="D6" s="23">
        <f t="shared" si="1"/>
        <v>501987</v>
      </c>
      <c r="E6" s="24" t="s">
        <v>189</v>
      </c>
      <c r="F6" s="25" t="str">
        <f t="shared" si="0"/>
        <v>insert into ins_premium_det (premium_rcv_code,assorted_code, rec_amount,premium_rcv_detail_code,remaining_amt, payrec, mode_code,coinsurance_code,class_cd,it_remarks) values</v>
      </c>
      <c r="G6" s="26" t="str">
        <f t="shared" si="2"/>
        <v>('13Aug250081','040000199185','501987',(select max(to_number(i.premium_rcv_detail_code))+1
from ins_premium_det i),'501987','501987','02', '11000003','00','Request by Mr.Omair Ahsan 15-Aug-2025 add premium allocation no 13Aug250081');</v>
      </c>
      <c r="H6" s="27" t="str">
        <f t="shared" si="3"/>
        <v>insert into ins_premium_det (premium_rcv_code,assorted_code, rec_amount,premium_rcv_detail_code,remaining_amt, payrec, mode_code,coinsurance_code,class_cd,it_remarks) values('13Aug250081','040000199185','501987',(select max(to_number(i.premium_rcv_detail_code))+1
from ins_premium_det i),'501987','501987','02', '11000003','00','Request by Mr.Omair Ahsan 15-Aug-2025 add premium allocation no 13Aug250081');</v>
      </c>
    </row>
    <row r="7" spans="1:8" ht="255" x14ac:dyDescent="0.25">
      <c r="A7" t="s">
        <v>47</v>
      </c>
      <c r="B7" s="21" t="s">
        <v>156</v>
      </c>
      <c r="C7" s="22">
        <v>422325</v>
      </c>
      <c r="D7" s="23">
        <f t="shared" si="1"/>
        <v>422325</v>
      </c>
      <c r="E7" s="24" t="s">
        <v>189</v>
      </c>
      <c r="F7" s="25" t="str">
        <f t="shared" si="0"/>
        <v>insert into ins_premium_det (premium_rcv_code,assorted_code, rec_amount,premium_rcv_detail_code,remaining_amt, payrec, mode_code,coinsurance_code,class_cd,it_remarks) values</v>
      </c>
      <c r="G7" s="26" t="str">
        <f t="shared" si="2"/>
        <v>('13Aug250081','040000197501','422325',(select max(to_number(i.premium_rcv_detail_code))+1
from ins_premium_det i),'422325','422325','02', '11000003','00','Request by Mr.Omair Ahsan 15-Aug-2025 add premium allocation no 13Aug250081');</v>
      </c>
      <c r="H7" s="27" t="str">
        <f t="shared" si="3"/>
        <v>insert into ins_premium_det (premium_rcv_code,assorted_code, rec_amount,premium_rcv_detail_code,remaining_amt, payrec, mode_code,coinsurance_code,class_cd,it_remarks) values('13Aug250081','040000197501','422325',(select max(to_number(i.premium_rcv_detail_code))+1
from ins_premium_det i),'422325','422325','02', '11000003','00','Request by Mr.Omair Ahsan 15-Aug-2025 add premium allocation no 13Aug250081');</v>
      </c>
    </row>
    <row r="8" spans="1:8" ht="255" x14ac:dyDescent="0.25">
      <c r="A8" t="s">
        <v>31</v>
      </c>
      <c r="B8" s="21" t="s">
        <v>179</v>
      </c>
      <c r="C8" s="22">
        <v>217149</v>
      </c>
      <c r="D8" s="23">
        <f t="shared" si="1"/>
        <v>217149</v>
      </c>
      <c r="E8" s="24" t="s">
        <v>189</v>
      </c>
      <c r="F8" s="25" t="str">
        <f t="shared" si="0"/>
        <v>insert into ins_premium_det (premium_rcv_code,assorted_code, rec_amount,premium_rcv_detail_code,remaining_amt, payrec, mode_code,coinsurance_code,class_cd,it_remarks) values</v>
      </c>
      <c r="G8" s="26" t="str">
        <f t="shared" si="2"/>
        <v>('13Aug250081','040000199191','217149',(select max(to_number(i.premium_rcv_detail_code))+1
from ins_premium_det i),'217149','217149','02', '11000003','00','Request by Mr.Omair Ahsan 15-Aug-2025 add premium allocation no 13Aug250081');</v>
      </c>
      <c r="H8" s="27" t="str">
        <f t="shared" si="3"/>
        <v>insert into ins_premium_det (premium_rcv_code,assorted_code, rec_amount,premium_rcv_detail_code,remaining_amt, payrec, mode_code,coinsurance_code,class_cd,it_remarks) values('13Aug250081','040000199191','217149',(select max(to_number(i.premium_rcv_detail_code))+1
from ins_premium_det i),'217149','217149','02', '11000003','00','Request by Mr.Omair Ahsan 15-Aug-2025 add premium allocation no 13Aug250081');</v>
      </c>
    </row>
    <row r="9" spans="1:8" ht="255" x14ac:dyDescent="0.25">
      <c r="A9" t="s">
        <v>40</v>
      </c>
      <c r="B9" s="21" t="s">
        <v>181</v>
      </c>
      <c r="C9" s="22">
        <v>115193</v>
      </c>
      <c r="D9" s="23">
        <f t="shared" si="1"/>
        <v>115193</v>
      </c>
      <c r="E9" s="24" t="s">
        <v>189</v>
      </c>
      <c r="F9" s="25" t="str">
        <f t="shared" si="0"/>
        <v>insert into ins_premium_det (premium_rcv_code,assorted_code, rec_amount,premium_rcv_detail_code,remaining_amt, payrec, mode_code,coinsurance_code,class_cd,it_remarks) values</v>
      </c>
      <c r="G9" s="26" t="str">
        <f t="shared" si="2"/>
        <v>('13Aug250081','040000199201','115193',(select max(to_number(i.premium_rcv_detail_code))+1
from ins_premium_det i),'115193','115193','02', '11000003','00','Request by Mr.Omair Ahsan 15-Aug-2025 add premium allocation no 13Aug250081');</v>
      </c>
      <c r="H9" s="27" t="str">
        <f t="shared" si="3"/>
        <v>insert into ins_premium_det (premium_rcv_code,assorted_code, rec_amount,premium_rcv_detail_code,remaining_amt, payrec, mode_code,coinsurance_code,class_cd,it_remarks) values('13Aug250081','040000199201','115193',(select max(to_number(i.premium_rcv_detail_code))+1
from ins_premium_det i),'115193','115193','02', '11000003','00','Request by Mr.Omair Ahsan 15-Aug-2025 add premium allocation no 13Aug250081');</v>
      </c>
    </row>
    <row r="10" spans="1:8" ht="255" x14ac:dyDescent="0.25">
      <c r="A10" t="s">
        <v>48</v>
      </c>
      <c r="B10" s="21" t="s">
        <v>155</v>
      </c>
      <c r="C10" s="22">
        <v>210272</v>
      </c>
      <c r="D10" s="23">
        <f t="shared" si="1"/>
        <v>210272</v>
      </c>
      <c r="E10" s="24" t="s">
        <v>189</v>
      </c>
      <c r="F10" s="25" t="str">
        <f t="shared" si="0"/>
        <v>insert into ins_premium_det (premium_rcv_code,assorted_code, rec_amount,premium_rcv_detail_code,remaining_amt, payrec, mode_code,coinsurance_code,class_cd,it_remarks) values</v>
      </c>
      <c r="G10" s="26" t="str">
        <f t="shared" si="2"/>
        <v>('13Aug250081','040000197498','210272',(select max(to_number(i.premium_rcv_detail_code))+1
from ins_premium_det i),'210272','210272','02', '11000003','00','Request by Mr.Omair Ahsan 15-Aug-2025 add premium allocation no 13Aug250081');</v>
      </c>
      <c r="H10" s="27" t="str">
        <f t="shared" si="3"/>
        <v>insert into ins_premium_det (premium_rcv_code,assorted_code, rec_amount,premium_rcv_detail_code,remaining_amt, payrec, mode_code,coinsurance_code,class_cd,it_remarks) values('13Aug250081','040000197498','210272',(select max(to_number(i.premium_rcv_detail_code))+1
from ins_premium_det i),'210272','210272','02', '11000003','00','Request by Mr.Omair Ahsan 15-Aug-2025 add premium allocation no 13Aug250081');</v>
      </c>
    </row>
    <row r="11" spans="1:8" ht="255" x14ac:dyDescent="0.25">
      <c r="A11" t="s">
        <v>50</v>
      </c>
      <c r="B11" s="21" t="s">
        <v>186</v>
      </c>
      <c r="C11" s="22">
        <v>203476</v>
      </c>
      <c r="D11" s="23">
        <f t="shared" si="1"/>
        <v>203476</v>
      </c>
      <c r="E11" s="24" t="s">
        <v>189</v>
      </c>
      <c r="F11" s="25" t="str">
        <f t="shared" si="0"/>
        <v>insert into ins_premium_det (premium_rcv_code,assorted_code, rec_amount,premium_rcv_detail_code,remaining_amt, payrec, mode_code,coinsurance_code,class_cd,it_remarks) values</v>
      </c>
      <c r="G11" s="26" t="str">
        <f t="shared" si="2"/>
        <v>('13Aug250081','040000185350','203476',(select max(to_number(i.premium_rcv_detail_code))+1
from ins_premium_det i),'203476','203476','02', '11000003','00','Request by Mr.Omair Ahsan 15-Aug-2025 add premium allocation no 13Aug250081');</v>
      </c>
      <c r="H11" s="27" t="str">
        <f t="shared" si="3"/>
        <v>insert into ins_premium_det (premium_rcv_code,assorted_code, rec_amount,premium_rcv_detail_code,remaining_amt, payrec, mode_code,coinsurance_code,class_cd,it_remarks) values('13Aug250081','040000185350','203476',(select max(to_number(i.premium_rcv_detail_code))+1
from ins_premium_det i),'203476','203476','02', '11000003','00','Request by Mr.Omair Ahsan 15-Aug-2025 add premium allocation no 13Aug250081');</v>
      </c>
    </row>
    <row r="12" spans="1:8" ht="255" x14ac:dyDescent="0.25">
      <c r="A12" t="s">
        <v>24</v>
      </c>
      <c r="B12" s="21" t="s">
        <v>162</v>
      </c>
      <c r="C12" s="22">
        <v>110221</v>
      </c>
      <c r="D12" s="23">
        <f t="shared" si="1"/>
        <v>110221</v>
      </c>
      <c r="E12" s="24" t="s">
        <v>189</v>
      </c>
      <c r="F12" s="25" t="str">
        <f t="shared" si="0"/>
        <v>insert into ins_premium_det (premium_rcv_code,assorted_code, rec_amount,premium_rcv_detail_code,remaining_amt, payrec, mode_code,coinsurance_code,class_cd,it_remarks) values</v>
      </c>
      <c r="G12" s="26" t="str">
        <f t="shared" si="2"/>
        <v>('13Aug250081','040000199183','110221',(select max(to_number(i.premium_rcv_detail_code))+1
from ins_premium_det i),'110221','110221','02', '11000003','00','Request by Mr.Omair Ahsan 15-Aug-2025 add premium allocation no 13Aug250081');</v>
      </c>
      <c r="H12" s="27" t="str">
        <f t="shared" si="3"/>
        <v>insert into ins_premium_det (premium_rcv_code,assorted_code, rec_amount,premium_rcv_detail_code,remaining_amt, payrec, mode_code,coinsurance_code,class_cd,it_remarks) values('13Aug250081','040000199183','110221',(select max(to_number(i.premium_rcv_detail_code))+1
from ins_premium_det i),'110221','110221','02', '11000003','00','Request by Mr.Omair Ahsan 15-Aug-2025 add premium allocation no 13Aug250081');</v>
      </c>
    </row>
    <row r="13" spans="1:8" ht="255" x14ac:dyDescent="0.25">
      <c r="A13" t="s">
        <v>37</v>
      </c>
      <c r="B13" s="21" t="s">
        <v>173</v>
      </c>
      <c r="C13" s="22">
        <v>414464</v>
      </c>
      <c r="D13" s="23">
        <f t="shared" si="1"/>
        <v>414464</v>
      </c>
      <c r="E13" s="24" t="s">
        <v>189</v>
      </c>
      <c r="F13" s="25" t="str">
        <f t="shared" si="0"/>
        <v>insert into ins_premium_det (premium_rcv_code,assorted_code, rec_amount,premium_rcv_detail_code,remaining_amt, payrec, mode_code,coinsurance_code,class_cd,it_remarks) values</v>
      </c>
      <c r="G13" s="26" t="str">
        <f t="shared" si="2"/>
        <v>('13Aug250081','040000199198','414464',(select max(to_number(i.premium_rcv_detail_code))+1
from ins_premium_det i),'414464','414464','02', '11000003','00','Request by Mr.Omair Ahsan 15-Aug-2025 add premium allocation no 13Aug250081');</v>
      </c>
      <c r="H13" s="27" t="str">
        <f t="shared" si="3"/>
        <v>insert into ins_premium_det (premium_rcv_code,assorted_code, rec_amount,premium_rcv_detail_code,remaining_amt, payrec, mode_code,coinsurance_code,class_cd,it_remarks) values('13Aug250081','040000199198','414464',(select max(to_number(i.premium_rcv_detail_code))+1
from ins_premium_det i),'414464','414464','02', '11000003','00','Request by Mr.Omair Ahsan 15-Aug-2025 add premium allocation no 13Aug250081');</v>
      </c>
    </row>
    <row r="14" spans="1:8" ht="255" x14ac:dyDescent="0.25">
      <c r="A14" t="s">
        <v>29</v>
      </c>
      <c r="B14" s="21" t="s">
        <v>163</v>
      </c>
      <c r="C14" s="22">
        <v>235791</v>
      </c>
      <c r="D14" s="23">
        <f t="shared" si="1"/>
        <v>235791</v>
      </c>
      <c r="E14" s="24" t="s">
        <v>189</v>
      </c>
      <c r="F14" s="25" t="str">
        <f t="shared" si="0"/>
        <v>insert into ins_premium_det (premium_rcv_code,assorted_code, rec_amount,premium_rcv_detail_code,remaining_amt, payrec, mode_code,coinsurance_code,class_cd,it_remarks) values</v>
      </c>
      <c r="G14" s="26" t="str">
        <f t="shared" si="2"/>
        <v>('13Aug250081','040000199189','235791',(select max(to_number(i.premium_rcv_detail_code))+1
from ins_premium_det i),'235791','235791','02', '11000003','00','Request by Mr.Omair Ahsan 15-Aug-2025 add premium allocation no 13Aug250081');</v>
      </c>
      <c r="H14" s="27" t="str">
        <f t="shared" si="3"/>
        <v>insert into ins_premium_det (premium_rcv_code,assorted_code, rec_amount,premium_rcv_detail_code,remaining_amt, payrec, mode_code,coinsurance_code,class_cd,it_remarks) values('13Aug250081','040000199189','235791',(select max(to_number(i.premium_rcv_detail_code))+1
from ins_premium_det i),'235791','235791','02', '11000003','00','Request by Mr.Omair Ahsan 15-Aug-2025 add premium allocation no 13Aug250081');</v>
      </c>
    </row>
    <row r="15" spans="1:8" ht="255" x14ac:dyDescent="0.25">
      <c r="A15" t="s">
        <v>30</v>
      </c>
      <c r="B15" s="21" t="s">
        <v>164</v>
      </c>
      <c r="C15" s="22">
        <v>136657</v>
      </c>
      <c r="D15" s="23">
        <f t="shared" si="1"/>
        <v>136657</v>
      </c>
      <c r="E15" s="24" t="s">
        <v>189</v>
      </c>
      <c r="F15" s="25" t="str">
        <f t="shared" si="0"/>
        <v>insert into ins_premium_det (premium_rcv_code,assorted_code, rec_amount,premium_rcv_detail_code,remaining_amt, payrec, mode_code,coinsurance_code,class_cd,it_remarks) values</v>
      </c>
      <c r="G15" s="26" t="str">
        <f t="shared" si="2"/>
        <v>('13Aug250081','040000199190','136657',(select max(to_number(i.premium_rcv_detail_code))+1
from ins_premium_det i),'136657','136657','02', '11000003','00','Request by Mr.Omair Ahsan 15-Aug-2025 add premium allocation no 13Aug250081');</v>
      </c>
      <c r="H15" s="27" t="str">
        <f t="shared" si="3"/>
        <v>insert into ins_premium_det (premium_rcv_code,assorted_code, rec_amount,premium_rcv_detail_code,remaining_amt, payrec, mode_code,coinsurance_code,class_cd,it_remarks) values('13Aug250081','040000199190','136657',(select max(to_number(i.premium_rcv_detail_code))+1
from ins_premium_det i),'136657','136657','02', '11000003','00','Request by Mr.Omair Ahsan 15-Aug-2025 add premium allocation no 13Aug250081');</v>
      </c>
    </row>
    <row r="16" spans="1:8" ht="255" x14ac:dyDescent="0.25">
      <c r="A16" t="s">
        <v>35</v>
      </c>
      <c r="B16" s="21" t="s">
        <v>160</v>
      </c>
      <c r="C16" s="22">
        <v>908783</v>
      </c>
      <c r="D16" s="23">
        <f t="shared" si="1"/>
        <v>908783</v>
      </c>
      <c r="E16" s="24" t="s">
        <v>189</v>
      </c>
      <c r="F16" s="25" t="str">
        <f t="shared" si="0"/>
        <v>insert into ins_premium_det (premium_rcv_code,assorted_code, rec_amount,premium_rcv_detail_code,remaining_amt, payrec, mode_code,coinsurance_code,class_cd,it_remarks) values</v>
      </c>
      <c r="G16" s="26" t="str">
        <f t="shared" si="2"/>
        <v>('13Aug250081','040000199195','908783',(select max(to_number(i.premium_rcv_detail_code))+1
from ins_premium_det i),'908783','908783','02', '11000003','00','Request by Mr.Omair Ahsan 15-Aug-2025 add premium allocation no 13Aug250081');</v>
      </c>
      <c r="H16" s="27" t="str">
        <f t="shared" si="3"/>
        <v>insert into ins_premium_det (premium_rcv_code,assorted_code, rec_amount,premium_rcv_detail_code,remaining_amt, payrec, mode_code,coinsurance_code,class_cd,it_remarks) values('13Aug250081','040000199195','908783',(select max(to_number(i.premium_rcv_detail_code))+1
from ins_premium_det i),'908783','908783','02', '11000003','00','Request by Mr.Omair Ahsan 15-Aug-2025 add premium allocation no 13Aug250081');</v>
      </c>
    </row>
    <row r="17" spans="1:8" ht="255" x14ac:dyDescent="0.25">
      <c r="A17" t="s">
        <v>36</v>
      </c>
      <c r="B17" s="21" t="s">
        <v>165</v>
      </c>
      <c r="C17" s="22">
        <v>46880</v>
      </c>
      <c r="D17" s="23">
        <f t="shared" si="1"/>
        <v>46880</v>
      </c>
      <c r="E17" s="24" t="s">
        <v>189</v>
      </c>
      <c r="F17" s="25" t="str">
        <f t="shared" si="0"/>
        <v>insert into ins_premium_det (premium_rcv_code,assorted_code, rec_amount,premium_rcv_detail_code,remaining_amt, payrec, mode_code,coinsurance_code,class_cd,it_remarks) values</v>
      </c>
      <c r="G17" s="26" t="str">
        <f t="shared" si="2"/>
        <v>('13Aug250081','040000199196','46880',(select max(to_number(i.premium_rcv_detail_code))+1
from ins_premium_det i),'46880','46880','02', '11000003','00','Request by Mr.Omair Ahsan 15-Aug-2025 add premium allocation no 13Aug250081');</v>
      </c>
      <c r="H17" s="27" t="str">
        <f t="shared" si="3"/>
        <v>insert into ins_premium_det (premium_rcv_code,assorted_code, rec_amount,premium_rcv_detail_code,remaining_amt, payrec, mode_code,coinsurance_code,class_cd,it_remarks) values('13Aug250081','040000199196','46880',(select max(to_number(i.premium_rcv_detail_code))+1
from ins_premium_det i),'46880','46880','02', '11000003','00','Request by Mr.Omair Ahsan 15-Aug-2025 add premium allocation no 13Aug250081');</v>
      </c>
    </row>
    <row r="18" spans="1:8" ht="255" x14ac:dyDescent="0.25">
      <c r="A18" t="s">
        <v>52</v>
      </c>
      <c r="B18" s="21" t="s">
        <v>185</v>
      </c>
      <c r="C18" s="22">
        <v>3282</v>
      </c>
      <c r="D18" s="23">
        <f t="shared" si="1"/>
        <v>3282</v>
      </c>
      <c r="E18" s="24" t="s">
        <v>189</v>
      </c>
      <c r="F18" s="25" t="str">
        <f t="shared" si="0"/>
        <v>insert into ins_premium_det (premium_rcv_code,assorted_code, rec_amount,premium_rcv_detail_code,remaining_amt, payrec, mode_code,coinsurance_code,class_cd,it_remarks) values</v>
      </c>
      <c r="G18" s="26" t="str">
        <f t="shared" si="2"/>
        <v>('13Aug250081','040000185353','3282',(select max(to_number(i.premium_rcv_detail_code))+1
from ins_premium_det i),'3282','3282','02', '11000003','00','Request by Mr.Omair Ahsan 15-Aug-2025 add premium allocation no 13Aug250081');</v>
      </c>
      <c r="H18" s="27" t="str">
        <f t="shared" si="3"/>
        <v>insert into ins_premium_det (premium_rcv_code,assorted_code, rec_amount,premium_rcv_detail_code,remaining_amt, payrec, mode_code,coinsurance_code,class_cd,it_remarks) values('13Aug250081','040000185353','3282',(select max(to_number(i.premium_rcv_detail_code))+1
from ins_premium_det i),'3282','3282','02', '11000003','00','Request by Mr.Omair Ahsan 15-Aug-2025 add premium allocation no 13Aug250081');</v>
      </c>
    </row>
    <row r="19" spans="1:8" ht="255" x14ac:dyDescent="0.25">
      <c r="A19" t="s">
        <v>54</v>
      </c>
      <c r="B19" s="21" t="s">
        <v>182</v>
      </c>
      <c r="C19" s="22">
        <v>2781491</v>
      </c>
      <c r="D19" s="23">
        <f t="shared" si="1"/>
        <v>2781491</v>
      </c>
      <c r="E19" s="24" t="s">
        <v>189</v>
      </c>
      <c r="F19" s="25" t="str">
        <f t="shared" si="0"/>
        <v>insert into ins_premium_det (premium_rcv_code,assorted_code, rec_amount,premium_rcv_detail_code,remaining_amt, payrec, mode_code,coinsurance_code,class_cd,it_remarks) values</v>
      </c>
      <c r="G19" s="26" t="str">
        <f t="shared" si="2"/>
        <v>('13Aug250081','040000187553','2781491',(select max(to_number(i.premium_rcv_detail_code))+1
from ins_premium_det i),'2781491','2781491','02', '11000003','00','Request by Mr.Omair Ahsan 15-Aug-2025 add premium allocation no 13Aug250081');</v>
      </c>
      <c r="H19" s="27" t="str">
        <f t="shared" si="3"/>
        <v>insert into ins_premium_det (premium_rcv_code,assorted_code, rec_amount,premium_rcv_detail_code,remaining_amt, payrec, mode_code,coinsurance_code,class_cd,it_remarks) values('13Aug250081','040000187553','2781491',(select max(to_number(i.premium_rcv_detail_code))+1
from ins_premium_det i),'2781491','2781491','02', '11000003','00','Request by Mr.Omair Ahsan 15-Aug-2025 add premium allocation no 13Aug250081');</v>
      </c>
    </row>
    <row r="20" spans="1:8" ht="255" x14ac:dyDescent="0.25">
      <c r="A20" t="s">
        <v>51</v>
      </c>
      <c r="B20" s="21" t="s">
        <v>183</v>
      </c>
      <c r="C20" s="22">
        <v>58927</v>
      </c>
      <c r="D20" s="23">
        <f t="shared" si="1"/>
        <v>58927</v>
      </c>
      <c r="E20" s="24" t="s">
        <v>189</v>
      </c>
      <c r="F20" s="25" t="str">
        <f t="shared" si="0"/>
        <v>insert into ins_premium_det (premium_rcv_code,assorted_code, rec_amount,premium_rcv_detail_code,remaining_amt, payrec, mode_code,coinsurance_code,class_cd,it_remarks) values</v>
      </c>
      <c r="G20" s="26" t="str">
        <f t="shared" si="2"/>
        <v>('13Aug250081','040000185351','58927',(select max(to_number(i.premium_rcv_detail_code))+1
from ins_premium_det i),'58927','58927','02', '11000003','00','Request by Mr.Omair Ahsan 15-Aug-2025 add premium allocation no 13Aug250081');</v>
      </c>
      <c r="H20" s="27" t="str">
        <f t="shared" si="3"/>
        <v>insert into ins_premium_det (premium_rcv_code,assorted_code, rec_amount,premium_rcv_detail_code,remaining_amt, payrec, mode_code,coinsurance_code,class_cd,it_remarks) values('13Aug250081','040000185351','58927',(select max(to_number(i.premium_rcv_detail_code))+1
from ins_premium_det i),'58927','58927','02', '11000003','00','Request by Mr.Omair Ahsan 15-Aug-2025 add premium allocation no 13Aug250081');</v>
      </c>
    </row>
    <row r="21" spans="1:8" ht="255" x14ac:dyDescent="0.25">
      <c r="A21" t="s">
        <v>32</v>
      </c>
      <c r="B21" s="21" t="s">
        <v>180</v>
      </c>
      <c r="C21" s="22">
        <v>37189</v>
      </c>
      <c r="D21" s="23">
        <f t="shared" si="1"/>
        <v>37189</v>
      </c>
      <c r="E21" s="24" t="s">
        <v>189</v>
      </c>
      <c r="F21" s="25" t="str">
        <f t="shared" si="0"/>
        <v>insert into ins_premium_det (premium_rcv_code,assorted_code, rec_amount,premium_rcv_detail_code,remaining_amt, payrec, mode_code,coinsurance_code,class_cd,it_remarks) values</v>
      </c>
      <c r="G21" s="26" t="str">
        <f t="shared" si="2"/>
        <v>('13Aug250081','040000199192','37189',(select max(to_number(i.premium_rcv_detail_code))+1
from ins_premium_det i),'37189','37189','02', '11000003','00','Request by Mr.Omair Ahsan 15-Aug-2025 add premium allocation no 13Aug250081');</v>
      </c>
      <c r="H21" s="27" t="str">
        <f t="shared" si="3"/>
        <v>insert into ins_premium_det (premium_rcv_code,assorted_code, rec_amount,premium_rcv_detail_code,remaining_amt, payrec, mode_code,coinsurance_code,class_cd,it_remarks) values('13Aug250081','040000199192','37189',(select max(to_number(i.premium_rcv_detail_code))+1
from ins_premium_det i),'37189','37189','02', '11000003','00','Request by Mr.Omair Ahsan 15-Aug-2025 add premium allocation no 13Aug250081');</v>
      </c>
    </row>
    <row r="22" spans="1:8" ht="255" x14ac:dyDescent="0.25">
      <c r="A22" t="s">
        <v>42</v>
      </c>
      <c r="B22" s="21" t="s">
        <v>167</v>
      </c>
      <c r="C22" s="22">
        <v>21127</v>
      </c>
      <c r="D22" s="23">
        <f t="shared" si="1"/>
        <v>21127</v>
      </c>
      <c r="E22" s="24" t="s">
        <v>189</v>
      </c>
      <c r="F22" s="25" t="str">
        <f t="shared" si="0"/>
        <v>insert into ins_premium_det (premium_rcv_code,assorted_code, rec_amount,premium_rcv_detail_code,remaining_amt, payrec, mode_code,coinsurance_code,class_cd,it_remarks) values</v>
      </c>
      <c r="G22" s="26" t="str">
        <f t="shared" si="2"/>
        <v>('13Aug250081','040000199203','21127',(select max(to_number(i.premium_rcv_detail_code))+1
from ins_premium_det i),'21127','21127','02', '11000003','00','Request by Mr.Omair Ahsan 15-Aug-2025 add premium allocation no 13Aug250081');</v>
      </c>
      <c r="H22" s="27" t="str">
        <f t="shared" si="3"/>
        <v>insert into ins_premium_det (premium_rcv_code,assorted_code, rec_amount,premium_rcv_detail_code,remaining_amt, payrec, mode_code,coinsurance_code,class_cd,it_remarks) values('13Aug250081','040000199203','21127',(select max(to_number(i.premium_rcv_detail_code))+1
from ins_premium_det i),'21127','21127','02', '11000003','00','Request by Mr.Omair Ahsan 15-Aug-2025 add premium allocation no 13Aug250081');</v>
      </c>
    </row>
    <row r="23" spans="1:8" ht="255" x14ac:dyDescent="0.25">
      <c r="A23" t="s">
        <v>53</v>
      </c>
      <c r="B23" s="21" t="s">
        <v>184</v>
      </c>
      <c r="C23" s="22">
        <v>2485</v>
      </c>
      <c r="D23" s="23">
        <f t="shared" si="1"/>
        <v>2485</v>
      </c>
      <c r="E23" s="24" t="s">
        <v>189</v>
      </c>
      <c r="F23" s="25" t="str">
        <f t="shared" si="0"/>
        <v>insert into ins_premium_det (premium_rcv_code,assorted_code, rec_amount,premium_rcv_detail_code,remaining_amt, payrec, mode_code,coinsurance_code,class_cd,it_remarks) values</v>
      </c>
      <c r="G23" s="26" t="str">
        <f t="shared" si="2"/>
        <v>('13Aug250081','040000185356','2485',(select max(to_number(i.premium_rcv_detail_code))+1
from ins_premium_det i),'2485','2485','02', '11000003','00','Request by Mr.Omair Ahsan 15-Aug-2025 add premium allocation no 13Aug250081');</v>
      </c>
      <c r="H23" s="27" t="str">
        <f t="shared" si="3"/>
        <v>insert into ins_premium_det (premium_rcv_code,assorted_code, rec_amount,premium_rcv_detail_code,remaining_amt, payrec, mode_code,coinsurance_code,class_cd,it_remarks) values('13Aug250081','040000185356','2485',(select max(to_number(i.premium_rcv_detail_code))+1
from ins_premium_det i),'2485','2485','02', '11000003','00','Request by Mr.Omair Ahsan 15-Aug-2025 add premium allocation no 13Aug250081');</v>
      </c>
    </row>
    <row r="24" spans="1:8" ht="255" x14ac:dyDescent="0.25">
      <c r="A24" t="s">
        <v>45</v>
      </c>
      <c r="B24" s="21" t="s">
        <v>178</v>
      </c>
      <c r="C24" s="22">
        <v>105298</v>
      </c>
      <c r="D24" s="23">
        <f t="shared" si="1"/>
        <v>105298</v>
      </c>
      <c r="E24" s="24" t="s">
        <v>189</v>
      </c>
      <c r="F24" s="25" t="str">
        <f t="shared" si="0"/>
        <v>insert into ins_premium_det (premium_rcv_code,assorted_code, rec_amount,premium_rcv_detail_code,remaining_amt, payrec, mode_code,coinsurance_code,class_cd,it_remarks) values</v>
      </c>
      <c r="G24" s="26" t="str">
        <f t="shared" si="2"/>
        <v>('13Aug250081','040000199206','105298',(select max(to_number(i.premium_rcv_detail_code))+1
from ins_premium_det i),'105298','105298','02', '11000003','00','Request by Mr.Omair Ahsan 15-Aug-2025 add premium allocation no 13Aug250081');</v>
      </c>
      <c r="H24" s="27" t="str">
        <f t="shared" si="3"/>
        <v>insert into ins_premium_det (premium_rcv_code,assorted_code, rec_amount,premium_rcv_detail_code,remaining_amt, payrec, mode_code,coinsurance_code,class_cd,it_remarks) values('13Aug250081','040000199206','105298',(select max(to_number(i.premium_rcv_detail_code))+1
from ins_premium_det i),'105298','105298','02', '11000003','00','Request by Mr.Omair Ahsan 15-Aug-2025 add premium allocation no 13Aug250081');</v>
      </c>
    </row>
    <row r="25" spans="1:8" ht="255" x14ac:dyDescent="0.25">
      <c r="A25" t="s">
        <v>26</v>
      </c>
      <c r="B25" s="21" t="s">
        <v>170</v>
      </c>
      <c r="C25" s="22">
        <v>115196</v>
      </c>
      <c r="D25" s="23">
        <f t="shared" si="1"/>
        <v>115196</v>
      </c>
      <c r="E25" s="24" t="s">
        <v>189</v>
      </c>
      <c r="F25" s="25" t="str">
        <f t="shared" si="0"/>
        <v>insert into ins_premium_det (premium_rcv_code,assorted_code, rec_amount,premium_rcv_detail_code,remaining_amt, payrec, mode_code,coinsurance_code,class_cd,it_remarks) values</v>
      </c>
      <c r="G25" s="26" t="str">
        <f t="shared" si="2"/>
        <v>('13Aug250081','040000199186','115196',(select max(to_number(i.premium_rcv_detail_code))+1
from ins_premium_det i),'115196','115196','02', '11000003','00','Request by Mr.Omair Ahsan 15-Aug-2025 add premium allocation no 13Aug250081');</v>
      </c>
      <c r="H25" s="27" t="str">
        <f t="shared" si="3"/>
        <v>insert into ins_premium_det (premium_rcv_code,assorted_code, rec_amount,premium_rcv_detail_code,remaining_amt, payrec, mode_code,coinsurance_code,class_cd,it_remarks) values('13Aug250081','040000199186','115196',(select max(to_number(i.premium_rcv_detail_code))+1
from ins_premium_det i),'115196','115196','02', '11000003','00','Request by Mr.Omair Ahsan 15-Aug-2025 add premium allocation no 13Aug250081');</v>
      </c>
    </row>
    <row r="26" spans="1:8" ht="255" x14ac:dyDescent="0.25">
      <c r="A26" t="s">
        <v>43</v>
      </c>
      <c r="B26" s="21" t="s">
        <v>176</v>
      </c>
      <c r="C26" s="22">
        <v>127072</v>
      </c>
      <c r="D26" s="23">
        <f t="shared" si="1"/>
        <v>127072</v>
      </c>
      <c r="E26" s="24" t="s">
        <v>189</v>
      </c>
      <c r="F26" s="25" t="str">
        <f t="shared" si="0"/>
        <v>insert into ins_premium_det (premium_rcv_code,assorted_code, rec_amount,premium_rcv_detail_code,remaining_amt, payrec, mode_code,coinsurance_code,class_cd,it_remarks) values</v>
      </c>
      <c r="G26" s="26" t="str">
        <f t="shared" si="2"/>
        <v>('13Aug250081','040000199204','127072',(select max(to_number(i.premium_rcv_detail_code))+1
from ins_premium_det i),'127072','127072','02', '11000003','00','Request by Mr.Omair Ahsan 15-Aug-2025 add premium allocation no 13Aug250081');</v>
      </c>
      <c r="H26" s="27" t="str">
        <f t="shared" si="3"/>
        <v>insert into ins_premium_det (premium_rcv_code,assorted_code, rec_amount,premium_rcv_detail_code,remaining_amt, payrec, mode_code,coinsurance_code,class_cd,it_remarks) values('13Aug250081','040000199204','127072',(select max(to_number(i.premium_rcv_detail_code))+1
from ins_premium_det i),'127072','127072','02', '11000003','00','Request by Mr.Omair Ahsan 15-Aug-2025 add premium allocation no 13Aug250081');</v>
      </c>
    </row>
    <row r="27" spans="1:8" ht="255" x14ac:dyDescent="0.25">
      <c r="A27" t="s">
        <v>27</v>
      </c>
      <c r="B27" s="21" t="s">
        <v>171</v>
      </c>
      <c r="C27" s="22">
        <v>110831</v>
      </c>
      <c r="D27" s="23">
        <f t="shared" si="1"/>
        <v>110831</v>
      </c>
      <c r="E27" s="24" t="s">
        <v>189</v>
      </c>
      <c r="F27" s="25" t="str">
        <f t="shared" si="0"/>
        <v>insert into ins_premium_det (premium_rcv_code,assorted_code, rec_amount,premium_rcv_detail_code,remaining_amt, payrec, mode_code,coinsurance_code,class_cd,it_remarks) values</v>
      </c>
      <c r="G27" s="26" t="str">
        <f t="shared" si="2"/>
        <v>('13Aug250081','040000199187','110831',(select max(to_number(i.premium_rcv_detail_code))+1
from ins_premium_det i),'110831','110831','02', '11000003','00','Request by Mr.Omair Ahsan 15-Aug-2025 add premium allocation no 13Aug250081');</v>
      </c>
      <c r="H27" s="27" t="str">
        <f t="shared" si="3"/>
        <v>insert into ins_premium_det (premium_rcv_code,assorted_code, rec_amount,premium_rcv_detail_code,remaining_amt, payrec, mode_code,coinsurance_code,class_cd,it_remarks) values('13Aug250081','040000199187','110831',(select max(to_number(i.premium_rcv_detail_code))+1
from ins_premium_det i),'110831','110831','02', '11000003','00','Request by Mr.Omair Ahsan 15-Aug-2025 add premium allocation no 13Aug250081');</v>
      </c>
    </row>
    <row r="28" spans="1:8" ht="255" x14ac:dyDescent="0.25">
      <c r="A28" t="s">
        <v>34</v>
      </c>
      <c r="B28" s="21" t="s">
        <v>172</v>
      </c>
      <c r="C28" s="22">
        <v>106919</v>
      </c>
      <c r="D28" s="23">
        <f t="shared" si="1"/>
        <v>106919</v>
      </c>
      <c r="E28" s="24" t="s">
        <v>189</v>
      </c>
      <c r="F28" s="25" t="str">
        <f t="shared" si="0"/>
        <v>insert into ins_premium_det (premium_rcv_code,assorted_code, rec_amount,premium_rcv_detail_code,remaining_amt, payrec, mode_code,coinsurance_code,class_cd,it_remarks) values</v>
      </c>
      <c r="G28" s="26" t="str">
        <f t="shared" si="2"/>
        <v>('13Aug250081','040000199194','106919',(select max(to_number(i.premium_rcv_detail_code))+1
from ins_premium_det i),'106919','106919','02', '11000003','00','Request by Mr.Omair Ahsan 15-Aug-2025 add premium allocation no 13Aug250081');</v>
      </c>
      <c r="H28" s="27" t="str">
        <f t="shared" si="3"/>
        <v>insert into ins_premium_det (premium_rcv_code,assorted_code, rec_amount,premium_rcv_detail_code,remaining_amt, payrec, mode_code,coinsurance_code,class_cd,it_remarks) values('13Aug250081','040000199194','106919',(select max(to_number(i.premium_rcv_detail_code))+1
from ins_premium_det i),'106919','106919','02', '11000003','00','Request by Mr.Omair Ahsan 15-Aug-2025 add premium allocation no 13Aug250081');</v>
      </c>
    </row>
    <row r="29" spans="1:8" ht="255" x14ac:dyDescent="0.25">
      <c r="A29" t="s">
        <v>39</v>
      </c>
      <c r="B29" s="21" t="s">
        <v>166</v>
      </c>
      <c r="C29" s="22">
        <v>3788420</v>
      </c>
      <c r="D29" s="23">
        <f t="shared" si="1"/>
        <v>3788420</v>
      </c>
      <c r="E29" s="24" t="s">
        <v>189</v>
      </c>
      <c r="F29" s="25" t="str">
        <f t="shared" si="0"/>
        <v>insert into ins_premium_det (premium_rcv_code,assorted_code, rec_amount,premium_rcv_detail_code,remaining_amt, payrec, mode_code,coinsurance_code,class_cd,it_remarks) values</v>
      </c>
      <c r="G29" s="26" t="str">
        <f t="shared" si="2"/>
        <v>('13Aug250081','040000199200','3788420',(select max(to_number(i.premium_rcv_detail_code))+1
from ins_premium_det i),'3788420','3788420','02', '11000003','00','Request by Mr.Omair Ahsan 15-Aug-2025 add premium allocation no 13Aug250081');</v>
      </c>
      <c r="H29" s="27" t="str">
        <f t="shared" si="3"/>
        <v>insert into ins_premium_det (premium_rcv_code,assorted_code, rec_amount,premium_rcv_detail_code,remaining_amt, payrec, mode_code,coinsurance_code,class_cd,it_remarks) values('13Aug250081','040000199200','3788420',(select max(to_number(i.premium_rcv_detail_code))+1
from ins_premium_det i),'3788420','3788420','02', '11000003','00','Request by Mr.Omair Ahsan 15-Aug-2025 add premium allocation no 13Aug250081');</v>
      </c>
    </row>
    <row r="30" spans="1:8" ht="255" x14ac:dyDescent="0.25">
      <c r="A30" t="s">
        <v>33</v>
      </c>
      <c r="B30" s="21" t="s">
        <v>159</v>
      </c>
      <c r="C30" s="22">
        <v>2088942</v>
      </c>
      <c r="D30" s="23">
        <f t="shared" si="1"/>
        <v>2088942</v>
      </c>
      <c r="E30" s="24" t="s">
        <v>189</v>
      </c>
      <c r="F30" s="25" t="str">
        <f t="shared" si="0"/>
        <v>insert into ins_premium_det (premium_rcv_code,assorted_code, rec_amount,premium_rcv_detail_code,remaining_amt, payrec, mode_code,coinsurance_code,class_cd,it_remarks) values</v>
      </c>
      <c r="G30" s="26" t="str">
        <f t="shared" si="2"/>
        <v>('13Aug250081','040000199193','2088942',(select max(to_number(i.premium_rcv_detail_code))+1
from ins_premium_det i),'2088942','2088942','02', '11000003','00','Request by Mr.Omair Ahsan 15-Aug-2025 add premium allocation no 13Aug250081');</v>
      </c>
      <c r="H30" s="27" t="str">
        <f t="shared" si="3"/>
        <v>insert into ins_premium_det (premium_rcv_code,assorted_code, rec_amount,premium_rcv_detail_code,remaining_amt, payrec, mode_code,coinsurance_code,class_cd,it_remarks) values('13Aug250081','040000199193','2088942',(select max(to_number(i.premium_rcv_detail_code))+1
from ins_premium_det i),'2088942','2088942','02', '11000003','00','Request by Mr.Omair Ahsan 15-Aug-2025 add premium allocation no 13Aug250081');</v>
      </c>
    </row>
    <row r="31" spans="1:8" ht="255" x14ac:dyDescent="0.25">
      <c r="A31" t="s">
        <v>46</v>
      </c>
      <c r="B31" s="21" t="s">
        <v>168</v>
      </c>
      <c r="C31" s="22">
        <v>1936753</v>
      </c>
      <c r="D31" s="23">
        <f t="shared" si="1"/>
        <v>1936753</v>
      </c>
      <c r="E31" s="24" t="s">
        <v>189</v>
      </c>
      <c r="F31" s="25" t="str">
        <f t="shared" si="0"/>
        <v>insert into ins_premium_det (premium_rcv_code,assorted_code, rec_amount,premium_rcv_detail_code,remaining_amt, payrec, mode_code,coinsurance_code,class_cd,it_remarks) values</v>
      </c>
      <c r="G31" s="26" t="str">
        <f t="shared" si="2"/>
        <v>('13Aug250081','040000197497','1936753',(select max(to_number(i.premium_rcv_detail_code))+1
from ins_premium_det i),'1936753','1936753','02', '11000003','00','Request by Mr.Omair Ahsan 15-Aug-2025 add premium allocation no 13Aug250081');</v>
      </c>
      <c r="H31" s="27" t="str">
        <f t="shared" si="3"/>
        <v>insert into ins_premium_det (premium_rcv_code,assorted_code, rec_amount,premium_rcv_detail_code,remaining_amt, payrec, mode_code,coinsurance_code,class_cd,it_remarks) values('13Aug250081','040000197497','1936753',(select max(to_number(i.premium_rcv_detail_code))+1
from ins_premium_det i),'1936753','1936753','02', '11000003','00','Request by Mr.Omair Ahsan 15-Aug-2025 add premium allocation no 13Aug250081');</v>
      </c>
    </row>
    <row r="32" spans="1:8" ht="255" x14ac:dyDescent="0.25">
      <c r="A32" t="s">
        <v>49</v>
      </c>
      <c r="B32" s="21" t="s">
        <v>157</v>
      </c>
      <c r="C32" s="22">
        <v>164271</v>
      </c>
      <c r="D32" s="23">
        <f t="shared" si="1"/>
        <v>164271</v>
      </c>
      <c r="E32" s="24" t="s">
        <v>189</v>
      </c>
      <c r="F32" s="25" t="str">
        <f t="shared" si="0"/>
        <v>insert into ins_premium_det (premium_rcv_code,assorted_code, rec_amount,premium_rcv_detail_code,remaining_amt, payrec, mode_code,coinsurance_code,class_cd,it_remarks) values</v>
      </c>
      <c r="G32" s="26" t="str">
        <f t="shared" si="2"/>
        <v>('13Aug250081','040000197502','164271',(select max(to_number(i.premium_rcv_detail_code))+1
from ins_premium_det i),'164271','164271','02', '11000003','00','Request by Mr.Omair Ahsan 15-Aug-2025 add premium allocation no 13Aug250081');</v>
      </c>
      <c r="H32" s="27" t="str">
        <f t="shared" si="3"/>
        <v>insert into ins_premium_det (premium_rcv_code,assorted_code, rec_amount,premium_rcv_detail_code,remaining_amt, payrec, mode_code,coinsurance_code,class_cd,it_remarks) values('13Aug250081','040000197502','164271',(select max(to_number(i.premium_rcv_detail_code))+1
from ins_premium_det i),'164271','164271','02', '11000003','00','Request by Mr.Omair Ahsan 15-Aug-2025 add premium allocation no 13Aug250081');</v>
      </c>
    </row>
    <row r="33" spans="1:8" ht="255" x14ac:dyDescent="0.25">
      <c r="A33" t="s">
        <v>22</v>
      </c>
      <c r="B33" s="21" t="s">
        <v>161</v>
      </c>
      <c r="C33" s="22">
        <v>60451</v>
      </c>
      <c r="D33" s="23">
        <f t="shared" si="1"/>
        <v>60451</v>
      </c>
      <c r="E33" s="24" t="s">
        <v>189</v>
      </c>
      <c r="F33" s="25" t="str">
        <f t="shared" si="0"/>
        <v>insert into ins_premium_det (premium_rcv_code,assorted_code, rec_amount,premium_rcv_detail_code,remaining_amt, payrec, mode_code,coinsurance_code,class_cd,it_remarks) values</v>
      </c>
      <c r="G33" s="26" t="str">
        <f t="shared" si="2"/>
        <v>('13Aug250081','040000199182','60451',(select max(to_number(i.premium_rcv_detail_code))+1
from ins_premium_det i),'60451','60451','02', '11000003','00','Request by Mr.Omair Ahsan 15-Aug-2025 add premium allocation no 13Aug250081');</v>
      </c>
      <c r="H33" s="27" t="str">
        <f t="shared" si="3"/>
        <v>insert into ins_premium_det (premium_rcv_code,assorted_code, rec_amount,premium_rcv_detail_code,remaining_amt, payrec, mode_code,coinsurance_code,class_cd,it_remarks) values('13Aug250081','040000199182','60451',(select max(to_number(i.premium_rcv_detail_code))+1
from ins_premium_det i),'60451','60451','02', '11000003','00','Request by Mr.Omair Ahsan 15-Aug-2025 add premium allocation no 13Aug250081');</v>
      </c>
    </row>
  </sheetData>
  <conditionalFormatting sqref="A2:B2 B3:B33">
    <cfRule type="expression" dxfId="2" priority="1" stopIfTrue="1">
      <formula>AND(COUNTIF($A$3:$B$3, A2)+COUNTIF($B$4:$B$187, A2)&gt;1,NOT(ISBLANK(A2)))</formula>
    </cfRule>
    <cfRule type="expression" dxfId="1" priority="2" stopIfTrue="1">
      <formula>AND(COUNTIF($A$3:$B$3, A2)+COUNTIF($B$4:$B$187, A2)&gt;1,NOT(ISBLANK(A2)))</formula>
    </cfRule>
    <cfRule type="expression" dxfId="0" priority="3" stopIfTrue="1">
      <formula>AND(COUNTIF($A$3:$B$3, A2)+COUNTIF($B$4:$B$187, A2)&gt;1,NOT(ISBLANK(A2)))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E815-1875-4D01-9375-F210AA521554}">
  <dimension ref="A1:C33"/>
  <sheetViews>
    <sheetView workbookViewId="0">
      <selection activeCell="E7" sqref="E7"/>
    </sheetView>
  </sheetViews>
  <sheetFormatPr defaultColWidth="7.85546875" defaultRowHeight="15" x14ac:dyDescent="0.25"/>
  <cols>
    <col min="1" max="1" width="37.7109375" bestFit="1" customWidth="1"/>
    <col min="2" max="2" width="15" bestFit="1" customWidth="1"/>
  </cols>
  <sheetData>
    <row r="1" spans="1:3" s="20" customFormat="1" ht="12" x14ac:dyDescent="0.2">
      <c r="A1" s="20" t="s">
        <v>153</v>
      </c>
      <c r="B1" s="20" t="s">
        <v>154</v>
      </c>
      <c r="C1" s="20" t="s">
        <v>188</v>
      </c>
    </row>
    <row r="2" spans="1:3" x14ac:dyDescent="0.25">
      <c r="A2" t="s">
        <v>48</v>
      </c>
      <c r="B2" t="s">
        <v>155</v>
      </c>
      <c r="C2">
        <v>210272</v>
      </c>
    </row>
    <row r="3" spans="1:3" x14ac:dyDescent="0.25">
      <c r="A3" t="s">
        <v>47</v>
      </c>
      <c r="B3" t="s">
        <v>156</v>
      </c>
      <c r="C3">
        <v>422325</v>
      </c>
    </row>
    <row r="4" spans="1:3" x14ac:dyDescent="0.25">
      <c r="A4" t="s">
        <v>49</v>
      </c>
      <c r="B4" t="s">
        <v>157</v>
      </c>
      <c r="C4">
        <v>164271</v>
      </c>
    </row>
    <row r="5" spans="1:3" x14ac:dyDescent="0.25">
      <c r="A5" t="s">
        <v>28</v>
      </c>
      <c r="B5" t="s">
        <v>158</v>
      </c>
      <c r="C5">
        <v>37480</v>
      </c>
    </row>
    <row r="6" spans="1:3" x14ac:dyDescent="0.25">
      <c r="A6" t="s">
        <v>33</v>
      </c>
      <c r="B6" t="s">
        <v>159</v>
      </c>
      <c r="C6">
        <v>2088942</v>
      </c>
    </row>
    <row r="7" spans="1:3" x14ac:dyDescent="0.25">
      <c r="A7" t="s">
        <v>35</v>
      </c>
      <c r="B7" t="s">
        <v>160</v>
      </c>
      <c r="C7">
        <v>908783</v>
      </c>
    </row>
    <row r="8" spans="1:3" x14ac:dyDescent="0.25">
      <c r="A8" t="s">
        <v>22</v>
      </c>
      <c r="B8" t="s">
        <v>161</v>
      </c>
      <c r="C8">
        <v>60451</v>
      </c>
    </row>
    <row r="9" spans="1:3" x14ac:dyDescent="0.25">
      <c r="A9" t="s">
        <v>24</v>
      </c>
      <c r="B9" t="s">
        <v>162</v>
      </c>
      <c r="C9">
        <v>110221</v>
      </c>
    </row>
    <row r="10" spans="1:3" x14ac:dyDescent="0.25">
      <c r="A10" t="s">
        <v>29</v>
      </c>
      <c r="B10" t="s">
        <v>163</v>
      </c>
      <c r="C10">
        <v>235791</v>
      </c>
    </row>
    <row r="11" spans="1:3" x14ac:dyDescent="0.25">
      <c r="A11" t="s">
        <v>30</v>
      </c>
      <c r="B11" t="s">
        <v>164</v>
      </c>
      <c r="C11">
        <v>136657</v>
      </c>
    </row>
    <row r="12" spans="1:3" x14ac:dyDescent="0.25">
      <c r="A12" t="s">
        <v>36</v>
      </c>
      <c r="B12" t="s">
        <v>165</v>
      </c>
      <c r="C12">
        <v>46880</v>
      </c>
    </row>
    <row r="13" spans="1:3" x14ac:dyDescent="0.25">
      <c r="A13" t="s">
        <v>39</v>
      </c>
      <c r="B13" t="s">
        <v>166</v>
      </c>
      <c r="C13">
        <v>3788420</v>
      </c>
    </row>
    <row r="14" spans="1:3" x14ac:dyDescent="0.25">
      <c r="A14" t="s">
        <v>42</v>
      </c>
      <c r="B14" t="s">
        <v>167</v>
      </c>
      <c r="C14">
        <v>21127</v>
      </c>
    </row>
    <row r="15" spans="1:3" x14ac:dyDescent="0.25">
      <c r="A15" t="s">
        <v>46</v>
      </c>
      <c r="B15" t="s">
        <v>168</v>
      </c>
      <c r="C15">
        <v>1936753</v>
      </c>
    </row>
    <row r="16" spans="1:3" x14ac:dyDescent="0.25">
      <c r="A16" t="s">
        <v>25</v>
      </c>
      <c r="B16" t="s">
        <v>169</v>
      </c>
      <c r="C16">
        <v>501987</v>
      </c>
    </row>
    <row r="17" spans="1:3" x14ac:dyDescent="0.25">
      <c r="A17" t="s">
        <v>26</v>
      </c>
      <c r="B17" t="s">
        <v>170</v>
      </c>
      <c r="C17">
        <v>115196</v>
      </c>
    </row>
    <row r="18" spans="1:3" x14ac:dyDescent="0.25">
      <c r="A18" t="s">
        <v>27</v>
      </c>
      <c r="B18" t="s">
        <v>171</v>
      </c>
      <c r="C18">
        <v>110831</v>
      </c>
    </row>
    <row r="19" spans="1:3" x14ac:dyDescent="0.25">
      <c r="A19" t="s">
        <v>34</v>
      </c>
      <c r="B19" t="s">
        <v>172</v>
      </c>
      <c r="C19">
        <v>106919</v>
      </c>
    </row>
    <row r="20" spans="1:3" x14ac:dyDescent="0.25">
      <c r="A20" t="s">
        <v>37</v>
      </c>
      <c r="B20" t="s">
        <v>173</v>
      </c>
      <c r="C20">
        <v>414464</v>
      </c>
    </row>
    <row r="21" spans="1:3" x14ac:dyDescent="0.25">
      <c r="A21" t="s">
        <v>38</v>
      </c>
      <c r="B21" t="s">
        <v>174</v>
      </c>
      <c r="C21">
        <v>88425</v>
      </c>
    </row>
    <row r="22" spans="1:3" x14ac:dyDescent="0.25">
      <c r="A22" t="s">
        <v>41</v>
      </c>
      <c r="B22" t="s">
        <v>175</v>
      </c>
      <c r="C22">
        <v>70801</v>
      </c>
    </row>
    <row r="23" spans="1:3" x14ac:dyDescent="0.25">
      <c r="A23" t="s">
        <v>43</v>
      </c>
      <c r="B23" t="s">
        <v>176</v>
      </c>
      <c r="C23">
        <v>127072</v>
      </c>
    </row>
    <row r="24" spans="1:3" x14ac:dyDescent="0.25">
      <c r="A24" t="s">
        <v>44</v>
      </c>
      <c r="B24" t="s">
        <v>177</v>
      </c>
      <c r="C24">
        <v>39982</v>
      </c>
    </row>
    <row r="25" spans="1:3" x14ac:dyDescent="0.25">
      <c r="A25" t="s">
        <v>45</v>
      </c>
      <c r="B25" t="s">
        <v>178</v>
      </c>
      <c r="C25">
        <v>105298</v>
      </c>
    </row>
    <row r="26" spans="1:3" x14ac:dyDescent="0.25">
      <c r="A26" t="s">
        <v>31</v>
      </c>
      <c r="B26" t="s">
        <v>179</v>
      </c>
      <c r="C26">
        <v>217149</v>
      </c>
    </row>
    <row r="27" spans="1:3" x14ac:dyDescent="0.25">
      <c r="A27" t="s">
        <v>32</v>
      </c>
      <c r="B27" t="s">
        <v>180</v>
      </c>
      <c r="C27">
        <v>37189</v>
      </c>
    </row>
    <row r="28" spans="1:3" x14ac:dyDescent="0.25">
      <c r="A28" t="s">
        <v>40</v>
      </c>
      <c r="B28" t="s">
        <v>181</v>
      </c>
      <c r="C28">
        <v>115193</v>
      </c>
    </row>
    <row r="29" spans="1:3" x14ac:dyDescent="0.25">
      <c r="A29" t="s">
        <v>54</v>
      </c>
      <c r="B29" t="s">
        <v>182</v>
      </c>
      <c r="C29">
        <v>2781491</v>
      </c>
    </row>
    <row r="30" spans="1:3" x14ac:dyDescent="0.25">
      <c r="A30" t="s">
        <v>51</v>
      </c>
      <c r="B30" t="s">
        <v>183</v>
      </c>
      <c r="C30">
        <v>58927</v>
      </c>
    </row>
    <row r="31" spans="1:3" x14ac:dyDescent="0.25">
      <c r="A31" t="s">
        <v>53</v>
      </c>
      <c r="B31" t="s">
        <v>184</v>
      </c>
      <c r="C31">
        <v>2485</v>
      </c>
    </row>
    <row r="32" spans="1:3" x14ac:dyDescent="0.25">
      <c r="A32" t="s">
        <v>52</v>
      </c>
      <c r="B32" t="s">
        <v>185</v>
      </c>
      <c r="C32">
        <v>3282</v>
      </c>
    </row>
    <row r="33" spans="1:3" x14ac:dyDescent="0.25">
      <c r="A33" t="s">
        <v>50</v>
      </c>
      <c r="B33" t="s">
        <v>186</v>
      </c>
      <c r="C33">
        <v>203476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HL</vt:lpstr>
      <vt:lpstr>MO</vt:lpstr>
      <vt:lpstr>NMO</vt:lpstr>
      <vt:lpstr>Sheet2</vt:lpstr>
      <vt:lpstr>Sheet1</vt:lpstr>
      <vt:lpstr>Premium</vt:lpstr>
      <vt:lpstr>Working proper</vt:lpstr>
      <vt:lpstr>Assorted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Ali</dc:creator>
  <cp:lastModifiedBy>IT User Software</cp:lastModifiedBy>
  <dcterms:created xsi:type="dcterms:W3CDTF">2025-07-25T15:56:38Z</dcterms:created>
  <dcterms:modified xsi:type="dcterms:W3CDTF">2025-08-15T07:15:05Z</dcterms:modified>
</cp:coreProperties>
</file>