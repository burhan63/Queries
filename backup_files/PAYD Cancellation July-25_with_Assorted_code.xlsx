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han.ali\Desktop\"/>
    </mc:Choice>
  </mc:AlternateContent>
  <xr:revisionPtr revIDLastSave="0" documentId="8_{A86938DC-8560-4003-A9AC-49B634F9F950}" xr6:coauthVersionLast="47" xr6:coauthVersionMax="47" xr10:uidLastSave="{00000000-0000-0000-0000-000000000000}"/>
  <bookViews>
    <workbookView xWindow="-120" yWindow="-120" windowWidth="20730" windowHeight="11160" xr2:uid="{1D1D9353-EF2E-40EB-8FA5-4F4515DF5D1D}"/>
  </bookViews>
  <sheets>
    <sheet name="IT For Cancellation" sheetId="1" r:id="rId1"/>
  </sheets>
  <definedNames>
    <definedName name="_xlnm._FilterDatabase" localSheetId="0" hidden="1">'IT For Cancellation'!$A$2:$P$48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<sst xmlns="http://schemas.openxmlformats.org/spreadsheetml/2006/main" count="611" uniqueCount="371">
  <si>
    <t>Policy</t>
  </si>
  <si>
    <t>Count of Policy</t>
  </si>
  <si>
    <t>Sum of Outstanding</t>
  </si>
  <si>
    <t>Portal Outstanding</t>
  </si>
  <si>
    <t>Client Name</t>
  </si>
  <si>
    <t>Vehicle Name</t>
  </si>
  <si>
    <t>REG</t>
  </si>
  <si>
    <t>ENGINE</t>
  </si>
  <si>
    <t>CHASSIS</t>
  </si>
  <si>
    <t>U/D Custodian</t>
  </si>
  <si>
    <t>Category</t>
  </si>
  <si>
    <t>Remakrs</t>
  </si>
  <si>
    <t>Action Plan</t>
  </si>
  <si>
    <t>Tracker removal status</t>
  </si>
  <si>
    <t>KHI/HO/D/MO/PD COMP/P/108096/03/2025</t>
  </si>
  <si>
    <t>Mr. Waleed Dilawar Chughtai CNIC No. 35202-9571948-5 Cell No. 0309-2234555</t>
  </si>
  <si>
    <t>ROCKY</t>
  </si>
  <si>
    <t>BCU-727</t>
  </si>
  <si>
    <t>A200S-0021286</t>
  </si>
  <si>
    <t>K080872</t>
  </si>
  <si>
    <t>Saad</t>
  </si>
  <si>
    <t>INDIVIDUAL</t>
  </si>
  <si>
    <t>09000870-Digital sales - DA</t>
  </si>
  <si>
    <t>No Repond No call attend</t>
  </si>
  <si>
    <t>Process for cancellation letter Done</t>
  </si>
  <si>
    <t>Arrange Tracker Removal</t>
  </si>
  <si>
    <t>KHI/HO/D/MO/PD COMP/P/76581/10/2023</t>
  </si>
  <si>
    <t>Mr. Adeeb Ahmed Khan Afridi 
CNIC No. 42201-0763314-1
Cell No. 0333-2227000</t>
  </si>
  <si>
    <t>TOYOTA HILUX ROCCO</t>
  </si>
  <si>
    <t>LF-1001</t>
  </si>
  <si>
    <t>1GD5235195</t>
  </si>
  <si>
    <t>GUN126R-5556774</t>
  </si>
  <si>
    <t>CORPORATE SALES AGENT</t>
  </si>
  <si>
    <t>09000355-Asif Azeem</t>
  </si>
  <si>
    <t>Process for cancellation</t>
  </si>
  <si>
    <t>Policy cancelled</t>
  </si>
  <si>
    <t>KHI/HO/D/MO/PD COMP/P/100881/10/2024</t>
  </si>
  <si>
    <t>Mr. Muhammad Sadiq
CNIC: 4220123592889
Phone Number: 0345-3288433</t>
  </si>
  <si>
    <t>HYUNDAI TUCSON</t>
  </si>
  <si>
    <t>BL-4551</t>
  </si>
  <si>
    <t>G4NALU014733</t>
  </si>
  <si>
    <t>PMHJ2813SLN200793</t>
  </si>
  <si>
    <t>09000210-Tariq Shahzad</t>
  </si>
  <si>
    <t>KHI/HO/D/MO/PD COMP/P/80869/01/2024</t>
  </si>
  <si>
    <t>Mr. Muhammad Abuzar
CNIC No: 5440076316243
Phone Number:  03355599919</t>
  </si>
  <si>
    <t>TOYOTA YARIS ATIV AT</t>
  </si>
  <si>
    <t>AAT-937</t>
  </si>
  <si>
    <t>2A08578</t>
  </si>
  <si>
    <t>NSP150R7004902</t>
  </si>
  <si>
    <t>KHI/HO/D/MO/PD COMP/P/90757/06/2024</t>
  </si>
  <si>
    <t>Mr. Adnan Saleem 
CNIC No. 42301-3410019-3
Phone Number. 0321-2490331</t>
  </si>
  <si>
    <t>TOYOTA COROLLA ALTIS</t>
  </si>
  <si>
    <t>BWX-544</t>
  </si>
  <si>
    <t>Q096927</t>
  </si>
  <si>
    <t>ZRE171R-6074422</t>
  </si>
  <si>
    <t>KHI/HO/D/MO/PD COMP/P/90615/06/2024</t>
  </si>
  <si>
    <t>Mr. Zain Wali
CNIC No. 54400-4072897-7
Cell No. 0300-9381843</t>
  </si>
  <si>
    <t>HONDA CIVIC</t>
  </si>
  <si>
    <t>BXK-440</t>
  </si>
  <si>
    <t>L15BG7912297</t>
  </si>
  <si>
    <t>NFBFE1653NR002326</t>
  </si>
  <si>
    <t>KHI/HO/D/MO/PD COMP/P/89332/05/2024</t>
  </si>
  <si>
    <t>Mr. Shahzor Gul 
CNIC No. 41305-4889332-7
Cell No. 0334-2081326</t>
  </si>
  <si>
    <t>SUZUKI ALTO VXR</t>
  </si>
  <si>
    <t>BWE-617</t>
  </si>
  <si>
    <t>6R219838</t>
  </si>
  <si>
    <t>NF1AET3061119828</t>
  </si>
  <si>
    <t>09000316-Jamil Uddin Rumi</t>
  </si>
  <si>
    <t>KHI/HO/D/MO/PD COMP/P/100042/10/2024</t>
  </si>
  <si>
    <t>Mr. Furqan Ahmed 
CNIC No. 42201-6453019-5
Cell No. 0300-8259661</t>
  </si>
  <si>
    <t>KIA KIA STONIC</t>
  </si>
  <si>
    <t>BL-5669</t>
  </si>
  <si>
    <t>G4LCPS185185</t>
  </si>
  <si>
    <t>NNAYB54BZPP702694</t>
  </si>
  <si>
    <t>KHI/HO/D/MO/PD COMP/P/90337/06/2024</t>
  </si>
  <si>
    <t>HAMDAM PAPER PRODUCTS (PRIVATE) LIMITED
NTN NO: 3167053-9
User Details: Mr. Muhammad Salman Siddiqui
CNIC No. 42101-1895482-5
Cell No. 0321-9217001</t>
  </si>
  <si>
    <t>GLORY GLORY 580</t>
  </si>
  <si>
    <t>BM-1387</t>
  </si>
  <si>
    <t>SFG15T-22036238</t>
  </si>
  <si>
    <t>PDFS80PALR23L4105</t>
  </si>
  <si>
    <t>09000207-Muhammad Haris</t>
  </si>
  <si>
    <t>KHI/HO/D/MO/PD COMP/P/103693/12/2024</t>
  </si>
  <si>
    <t>Mrs. Aamna Muhammad Sadiq 
CNIC No. 42201-6862207-0
Cell No. 0345-3288433</t>
  </si>
  <si>
    <t>HONDA BRV I-VTEC</t>
  </si>
  <si>
    <t>BH-7334</t>
  </si>
  <si>
    <t>L15Z14802446</t>
  </si>
  <si>
    <t>NFBDG1836LR019101</t>
  </si>
  <si>
    <t>KHI/HO/D/MO/PD COMP/P/85947/03/2024</t>
  </si>
  <si>
    <t>Mr. Muhammad Ikram Khan
CNIC# 42201-4177215-1
CELL# 0321-2026818</t>
  </si>
  <si>
    <t>PROTON SAGA</t>
  </si>
  <si>
    <t>BVK-857</t>
  </si>
  <si>
    <t>S4PEWQ0751</t>
  </si>
  <si>
    <t>NKPBT3SRRMP000090</t>
  </si>
  <si>
    <t>09000221-Muhammad Irfan</t>
  </si>
  <si>
    <t>Don’t tracker removed</t>
  </si>
  <si>
    <t>KHI/HO/D/MO/PD COMP/P/93042/07/2024</t>
  </si>
  <si>
    <t>Mr. Muhammad Fawwad Rafique
CNIC: 3520255084927
Phone Number: 03014356040</t>
  </si>
  <si>
    <t>CHANGAN Changan OSHAN X7</t>
  </si>
  <si>
    <t>AZZ-293</t>
  </si>
  <si>
    <t>IL473ZQ7NN8AH069773</t>
  </si>
  <si>
    <t>NKMASE2E6N1000834</t>
  </si>
  <si>
    <t>KHI/HO/D/MO/PD COMP/P/104470/12/2024</t>
  </si>
  <si>
    <t>Mr. Muhammad Taseer
CNIC#37405-2978527-7 
CELL#0316-5254300</t>
  </si>
  <si>
    <t>SUZUKI Every VXR</t>
  </si>
  <si>
    <t>R06AR1000379</t>
  </si>
  <si>
    <t>NF1ADE17V00100381</t>
  </si>
  <si>
    <t xml:space="preserve">Process for cancellation </t>
  </si>
  <si>
    <t>KHI/HO/D/MO/PD COMP/P/91219/06/2024</t>
  </si>
  <si>
    <t>Mr. Anjum Sarfraz
CNIC No. 61101-2013958-3
Cell No. 0323-5666666</t>
  </si>
  <si>
    <t>HONDA CIVIC I-VTEC  ORIEL</t>
  </si>
  <si>
    <t>BTQ-340</t>
  </si>
  <si>
    <t>R18Z16919793</t>
  </si>
  <si>
    <t>NFBFC6661MR072014</t>
  </si>
  <si>
    <t>KHI/HO/D/MO/PD COMP/P/96796/09/2024</t>
  </si>
  <si>
    <t>Mr. Shahid Lakhani 
CNIC No. 42301-7312429-5
Cell No. 0333-2104884</t>
  </si>
  <si>
    <t>CHANGAN CHANGAN OSHAN X7</t>
  </si>
  <si>
    <t>BM-3337</t>
  </si>
  <si>
    <t>PN8AH02608</t>
  </si>
  <si>
    <t>P1004422</t>
  </si>
  <si>
    <t>KHI/HO/D/MO/PD COMP/P/86986/04/2024</t>
  </si>
  <si>
    <t>Muhammad Abbas 
CNIC:42101-7272953-7
Contact Details : 0313 -2775444</t>
  </si>
  <si>
    <t>TOYOTA COROLLA</t>
  </si>
  <si>
    <t>BKA-486</t>
  </si>
  <si>
    <t>Z485827</t>
  </si>
  <si>
    <t>NZE170R-4112106</t>
  </si>
  <si>
    <t>Saad new</t>
  </si>
  <si>
    <t>KHI/HO/D/MO/PD COMP/P/87680/04/2024</t>
  </si>
  <si>
    <t>Mr. Aneeq Ahmed Saleem
CNIC: 3310010856161
Cell: 0321-6671553</t>
  </si>
  <si>
    <t>HONDA CITY I-VTEC</t>
  </si>
  <si>
    <t>LEA-11-6006</t>
  </si>
  <si>
    <t>L13Z13421032</t>
  </si>
  <si>
    <t>NFBGM1545BR116744</t>
  </si>
  <si>
    <t>09000305-Jawaria Kaleem</t>
  </si>
  <si>
    <t>KHI/HO/D/MO/PD COMP/P/91245/06/2024</t>
  </si>
  <si>
    <t>Mr. Syed Hammad Ahmed
CNIC: 37405-8541413-5
Phone Number: 03028293908</t>
  </si>
  <si>
    <t>SUZUKI WAGON-R</t>
  </si>
  <si>
    <t>BWT-076</t>
  </si>
  <si>
    <t>R06A-H096819</t>
  </si>
  <si>
    <t>MH95S-167446</t>
  </si>
  <si>
    <t>KHI/HO/D/MO/PD COMP/P/88024/04/2024</t>
  </si>
  <si>
    <t>Syed Muhammad Salman Ali
CNIC# 42201-3911455-9
CELL# 0300-8280976</t>
  </si>
  <si>
    <t>TOYOTA FORTUNER</t>
  </si>
  <si>
    <t>BF-4765</t>
  </si>
  <si>
    <t>2TR7605217</t>
  </si>
  <si>
    <t>TGN51R-9401109</t>
  </si>
  <si>
    <t>KHI/HO/D/MO/PD COMP/P/72337/06/2023</t>
  </si>
  <si>
    <t>Ahmed Raza Khan 
CNIC No. 42101-7083040-7
Cell No. 0314-2989367</t>
  </si>
  <si>
    <t>HONDA CITY</t>
  </si>
  <si>
    <t>AZT-722</t>
  </si>
  <si>
    <t>L13Z1-5421829</t>
  </si>
  <si>
    <t>NFBGM154XDR139536</t>
  </si>
  <si>
    <t>KHI/HO/D/MO/PD COMP/P/64847/11/2022</t>
  </si>
  <si>
    <t>M/S. ARIF HABIB LIMITED
User: Mr. Amir Hassan
Cell No: 03218282839</t>
  </si>
  <si>
    <t>SUZUKI ALTO AGS A/T</t>
  </si>
  <si>
    <t>193511</t>
  </si>
  <si>
    <t>1093470</t>
  </si>
  <si>
    <t>09000313-Abdus Saboor Khan</t>
  </si>
  <si>
    <t>KHI/HO/D/MO/PD COMP/P/89302/05/2024</t>
  </si>
  <si>
    <t>Mr. Muhammad Adil
CNIC: 3520213168697
Cell: 03000065829</t>
  </si>
  <si>
    <t>HYUNDAI SONATA</t>
  </si>
  <si>
    <t>AKC-208</t>
  </si>
  <si>
    <t>124616</t>
  </si>
  <si>
    <t>400458</t>
  </si>
  <si>
    <t>KHI/HO/D/MO/PD COMP/P/61391/06/2022</t>
  </si>
  <si>
    <t>M/s. The Bank Of Khyber A/c. Mr. Muhammad Junaid Khan
CNIC# 17301-8296093-5
CELL# 0300-8580978</t>
  </si>
  <si>
    <t>SUZUKI CULTUS VXL</t>
  </si>
  <si>
    <t>ARX-688</t>
  </si>
  <si>
    <t>165436</t>
  </si>
  <si>
    <t>10065402</t>
  </si>
  <si>
    <t>09000163-Azmat Burhan</t>
  </si>
  <si>
    <t>KHI/HO/D/MO/PD COMP/P/86948/04/2024</t>
  </si>
  <si>
    <t>Mr. Pankaj Kumar 
CNIC No. 43103-9419634-3
Cell No. 0333-7308407</t>
  </si>
  <si>
    <t>DAIHATSU MIRA EIS</t>
  </si>
  <si>
    <t>BUP-341</t>
  </si>
  <si>
    <t>KF-J615249</t>
  </si>
  <si>
    <t>LA350S-0074350</t>
  </si>
  <si>
    <t>Agency Details</t>
  </si>
  <si>
    <t>KHI/HO/D/MO/PD COMP/P/106785/01/2025</t>
  </si>
  <si>
    <t>Mr. Muhammad Naseer 
CNIC No. 33105-2659411-7
Cell No. 0333-8294111</t>
  </si>
  <si>
    <t>BG-2304</t>
  </si>
  <si>
    <t>2TRA254997</t>
  </si>
  <si>
    <t>TGN156R-04407724</t>
  </si>
  <si>
    <t>Shoukat</t>
  </si>
  <si>
    <t>Process for Cancellation Customer is not agree to pay will confirm about cancellation</t>
  </si>
  <si>
    <t>KHI/HO/D/MO/PD COMP/P/97824/09/2024</t>
  </si>
  <si>
    <t>Mr. Arslan Siddique 
CNIC No. 42201-9485631-5
Cell No. 0312-2029905</t>
  </si>
  <si>
    <t>TOYOTA COROLLA ALTIS GRAN</t>
  </si>
  <si>
    <t>BZH-777</t>
  </si>
  <si>
    <t>Q352730</t>
  </si>
  <si>
    <t>ZRE172R-7051839</t>
  </si>
  <si>
    <t>Process for cancellation Participant is not agree to pay Vehicel sold</t>
  </si>
  <si>
    <t>KHI/HO/D/MO/PD COMP/P/101404/11/2024</t>
  </si>
  <si>
    <t>Mrs. Mehnaz Jamil Ahmed 
CNIC No. 42201-8108065-8
Cell No. 0300-8259661</t>
  </si>
  <si>
    <t>TOYOTA YARIS GLI A/T</t>
  </si>
  <si>
    <t>2A70445</t>
  </si>
  <si>
    <t>NSP150R-7047703</t>
  </si>
  <si>
    <t>Policy Cancelled in system Os not paid</t>
  </si>
  <si>
    <t>Tracker removed</t>
  </si>
  <si>
    <t>KHI/HO/D/MO/PD COMP/P/88912/05/2024</t>
  </si>
  <si>
    <t>SHAZYS SERVICES (PRIVATE) LIMITED
User Details: Mrs. Sabiha Aziz Sadik
CNIC No: 342301-0892835-4
NTN No. 9622622-2
Cell No: 03220880354</t>
  </si>
  <si>
    <t>TOYOTA PRIUS</t>
  </si>
  <si>
    <t>BUX-171</t>
  </si>
  <si>
    <t>2ZR-8425446</t>
  </si>
  <si>
    <t>ZVW50-6123889</t>
  </si>
  <si>
    <t>Process for Cancellation, Customer is not agree to pay</t>
  </si>
  <si>
    <t>KHI/HO/D/MO/PD COMP/P/94842/08/2024</t>
  </si>
  <si>
    <t>Ms. Kiran Sultana
CNIC No. 42201-7788668-0
Cell No. 0333-2463198</t>
  </si>
  <si>
    <t>BMX-664</t>
  </si>
  <si>
    <t>Q332667</t>
  </si>
  <si>
    <t>ZRE172R7031792</t>
  </si>
  <si>
    <t>Process for cancellation customer is not agree to pay</t>
  </si>
  <si>
    <t>Tracker Removed</t>
  </si>
  <si>
    <t>KHI/HO/D/MO/PD COMP/P/85332/03/2024</t>
  </si>
  <si>
    <t>Mr. Waqar Manzoor 
CNIC No. 42501-8196511-7
Cell No. 0300-0564617</t>
  </si>
  <si>
    <t>PROTON X70</t>
  </si>
  <si>
    <t>BL-1055</t>
  </si>
  <si>
    <t>3G15TDN3WA3108223</t>
  </si>
  <si>
    <t>NKPNL2EVRNP000243</t>
  </si>
  <si>
    <t>KHI/HO/D/MO/PD COMP/P/79970/12/2023</t>
  </si>
  <si>
    <t>Mr. Mian Abdul Rashid
CNIC No: 3520014794957
Phone Number:  03009415885</t>
  </si>
  <si>
    <t>TOYOTA AQUA HYBRID</t>
  </si>
  <si>
    <t>ABV-537</t>
  </si>
  <si>
    <t>6691295</t>
  </si>
  <si>
    <t>NHP10-2191710</t>
  </si>
  <si>
    <t>KHI/HO/D/MO/PD COMP/P/59776/03/2022</t>
  </si>
  <si>
    <t>M/s. Meconsult Engineering Services
User: Mr. Sultan Farooq
NTN: 6873427-1 CNIC# 42201-4880231-7
CELL# 0333-2111018</t>
  </si>
  <si>
    <t>KIA SPORTAGE AWD-CW</t>
  </si>
  <si>
    <t>BK-2896</t>
  </si>
  <si>
    <t>G4NAMH328767</t>
  </si>
  <si>
    <t>NNAQL51AZKP516454</t>
  </si>
  <si>
    <t>09000226-Yasir Muhammad</t>
  </si>
  <si>
    <t>Process for Cancellation system, Participant is paying current bills</t>
  </si>
  <si>
    <t>Don’t Arrange tracker removal</t>
  </si>
  <si>
    <t>KHI/HO/D/MO/PD COMP/P/81917/01/2024</t>
  </si>
  <si>
    <t>Mr. Rana Muhammad Zuhaib
CNIC No: 4230181844525
Phone Number:  03326858607</t>
  </si>
  <si>
    <t>TOYOTA RAIZE</t>
  </si>
  <si>
    <t>BL-7258</t>
  </si>
  <si>
    <t>REF</t>
  </si>
  <si>
    <t>A200A-0057795</t>
  </si>
  <si>
    <t xml:space="preserve">Process it for Cancellation old outstandig </t>
  </si>
  <si>
    <t>KHI/HO/D/MO/PD COMP/P/70965/05/2023</t>
  </si>
  <si>
    <t xml:space="preserve">Process it for Cancellation </t>
  </si>
  <si>
    <t>Arrange  Tracker removal</t>
  </si>
  <si>
    <t>KHI/HO/D/MO/PD COMP/P/76719/10/2023</t>
  </si>
  <si>
    <t>Mr. Muhammad Wasif Uz Zaman Khan
CNIC: 4210113290286
Phone Number: 03330325122</t>
  </si>
  <si>
    <t>SUZUKI Suzuki Swift GL CV</t>
  </si>
  <si>
    <t>BXT-665</t>
  </si>
  <si>
    <t>108974</t>
  </si>
  <si>
    <t>K12MR-1008964</t>
  </si>
  <si>
    <t>Process it for cancellation and share letter</t>
  </si>
  <si>
    <t>KHI/HO/D/MO/PD COMP/P/89604/05/2024</t>
  </si>
  <si>
    <t>Mr. Abdul Khalil 
CNIC: 3710117193139
Cell :0333-5189323</t>
  </si>
  <si>
    <t>KIA SPORTAGE FWD</t>
  </si>
  <si>
    <t>ARE-863</t>
  </si>
  <si>
    <t>G4NALH322516</t>
  </si>
  <si>
    <t>NNAQL51AZKP504606</t>
  </si>
  <si>
    <t>Arrange tracker removal</t>
  </si>
  <si>
    <t>KHI/HO/D/MO/PD COMP/P/102902/11/2024</t>
  </si>
  <si>
    <t>Mr. Amjed Bahadur Ali 
CNIC No. 42201-0502803-7
Cell No. 0300-8292526</t>
  </si>
  <si>
    <t>SUZUKI SWIFT A/T</t>
  </si>
  <si>
    <t>BUF-978</t>
  </si>
  <si>
    <t>PKS13050864</t>
  </si>
  <si>
    <t>RS413PK-10050875</t>
  </si>
  <si>
    <t>KHI/HO/D/MO/PD COMP/P/76682/10/2023</t>
  </si>
  <si>
    <t>Mr. Syed Muhammad Aleem Uddin
CNIC: 4210156217755
Phone Number: 03330325122</t>
  </si>
  <si>
    <t>SUZUKI WAGON R VXL</t>
  </si>
  <si>
    <t>BWU-662</t>
  </si>
  <si>
    <t>PK10B236979</t>
  </si>
  <si>
    <t>A1J310PK10136927</t>
  </si>
  <si>
    <t>Process it for Cancellation</t>
  </si>
  <si>
    <t>KHI/HO/D/MO/PD COMP/P/67399/02/2023</t>
  </si>
  <si>
    <t>Mr. Muhammad Ibrahim
CNIC# 42401-2050893-5
CELL# 0347-2803823</t>
  </si>
  <si>
    <t>SUZUKI CULTUS VXR</t>
  </si>
  <si>
    <t>BTY-163</t>
  </si>
  <si>
    <t>PK10K171567</t>
  </si>
  <si>
    <t>NF1AVK31H10071557</t>
  </si>
  <si>
    <t>09000387-Gulnaz Fatima</t>
  </si>
  <si>
    <t>Process for Cancellation Participants current policy OS is Clear  83060</t>
  </si>
  <si>
    <t>KHI/HO/D/MO/PD COMP/P/97980/09/2024</t>
  </si>
  <si>
    <t>Mr. Karim Jiwani 
CNIC No. 42201-0647509-3
Cell No. 0300-8248795</t>
  </si>
  <si>
    <t>TOYOTA VITZ</t>
  </si>
  <si>
    <t>BSL-806</t>
  </si>
  <si>
    <t>1KR-2555372</t>
  </si>
  <si>
    <t>KSP130-4030704</t>
  </si>
  <si>
    <t>KHI/HO/D/MO/PD COMP/P/88262/05/2024</t>
  </si>
  <si>
    <t>Altaf Hussain
CNIC: 3610316422113
Cell: 03006295210</t>
  </si>
  <si>
    <t>LEB-14-7718</t>
  </si>
  <si>
    <t>ZZR5091825</t>
  </si>
  <si>
    <t>ZVW301392722</t>
  </si>
  <si>
    <t>Process for Cancellation expired case not renewed</t>
  </si>
  <si>
    <t>KHI/HO/D/MO/PD COMP/P/88751/05/2024</t>
  </si>
  <si>
    <t>Mr. Sabir Ali 
CNIC No. 33103-3528852-1
Cell No. 0334-9242923</t>
  </si>
  <si>
    <t>MG HS MG HS</t>
  </si>
  <si>
    <t>ADL-472</t>
  </si>
  <si>
    <t>15E4E5MGM3050186</t>
  </si>
  <si>
    <t>LSJA24U93MN058318</t>
  </si>
  <si>
    <t>Process for Cancellation Customer is not agree to pay</t>
  </si>
  <si>
    <t>KHI/HO/D/MO/PD COMP/P/89530/05/2024</t>
  </si>
  <si>
    <t>Mr. Irfan Yaqoob
CNIC: 42501-8289186-9
Phone Number: 0321-2823180</t>
  </si>
  <si>
    <t>BNK-548</t>
  </si>
  <si>
    <t>R18Z12939897</t>
  </si>
  <si>
    <t>NFBFC6656JR043319</t>
  </si>
  <si>
    <t xml:space="preserve">In process for tracker removal </t>
  </si>
  <si>
    <t>KHI/HO/D/MO/PD COMP/P/83768/02/2024</t>
  </si>
  <si>
    <t>Mr Faizan Ahmed
CNIC# 4250121313647
PHONE# 03330325159</t>
  </si>
  <si>
    <t>BVV-068</t>
  </si>
  <si>
    <t>PK10K193136</t>
  </si>
  <si>
    <t>10093138</t>
  </si>
  <si>
    <t>In process for tracker removal</t>
  </si>
  <si>
    <t>KHI/HO/D/MO/PD COMP/P/98039/09/2024</t>
  </si>
  <si>
    <t>Mr. Imran Ali Shoukat
CNIC: 3630255219099
Cell: 03057085600</t>
  </si>
  <si>
    <t>CHERRY CHERRY Tiggo 4 Pro</t>
  </si>
  <si>
    <t>BAK-732</t>
  </si>
  <si>
    <t>SQRE4T15CAQNE0050</t>
  </si>
  <si>
    <t>PCE5A28T1900599</t>
  </si>
  <si>
    <t>shoukat</t>
  </si>
  <si>
    <t>Process it for cancellation</t>
  </si>
  <si>
    <t>Arrange Tracker removal</t>
  </si>
  <si>
    <t>KHI/HO/D/MO/PD COMP/P/97539/09/2024</t>
  </si>
  <si>
    <t>Ms. Aasia Ahmed
CNIC No. 42501-6716054-2
Cell No. 0333-1038366</t>
  </si>
  <si>
    <t>SUZUKI Swift GLX VVT</t>
  </si>
  <si>
    <t>CAG-272</t>
  </si>
  <si>
    <t>K12MR1021776</t>
  </si>
  <si>
    <t>NF1SZC63S00204461</t>
  </si>
  <si>
    <t>040000118249</t>
  </si>
  <si>
    <t>040000114337</t>
  </si>
  <si>
    <t>040000138732</t>
  </si>
  <si>
    <t>040000130518</t>
  </si>
  <si>
    <t>040000160274</t>
  </si>
  <si>
    <t>040000169213</t>
  </si>
  <si>
    <t>040000161833</t>
  </si>
  <si>
    <t>040000155330</t>
  </si>
  <si>
    <t>040000155091</t>
  </si>
  <si>
    <t>040000176418</t>
  </si>
  <si>
    <t>040000163156</t>
  </si>
  <si>
    <t>040000145192</t>
  </si>
  <si>
    <t>040000172440</t>
  </si>
  <si>
    <t>040000155270</t>
  </si>
  <si>
    <t>040000172026</t>
  </si>
  <si>
    <t>040000170685</t>
  </si>
  <si>
    <t>040000171618</t>
  </si>
  <si>
    <t>040000168361</t>
  </si>
  <si>
    <t>040000184752</t>
  </si>
  <si>
    <t>040000166143</t>
  </si>
  <si>
    <t>040000184815</t>
  </si>
  <si>
    <t>040000184584</t>
  </si>
  <si>
    <t>040000188074</t>
  </si>
  <si>
    <t>040000183370</t>
  </si>
  <si>
    <t>040000173332</t>
  </si>
  <si>
    <t>040000173848</t>
  </si>
  <si>
    <t>040000173122</t>
  </si>
  <si>
    <t>040000147529</t>
  </si>
  <si>
    <t>040000181010</t>
  </si>
  <si>
    <t>040000175615</t>
  </si>
  <si>
    <t>040000178786</t>
  </si>
  <si>
    <t>040000173816</t>
  </si>
  <si>
    <t>040000174175</t>
  </si>
  <si>
    <t>040000174088</t>
  </si>
  <si>
    <t>040000176385</t>
  </si>
  <si>
    <t>040000170646</t>
  </si>
  <si>
    <t>040000175199</t>
  </si>
  <si>
    <t>040000187147</t>
  </si>
  <si>
    <t>040000184260</t>
  </si>
  <si>
    <t>040000175796</t>
  </si>
  <si>
    <t>040000191406</t>
  </si>
  <si>
    <t>040000195285</t>
  </si>
  <si>
    <t>040000197036</t>
  </si>
  <si>
    <t>040000188667</t>
  </si>
  <si>
    <t>040000192366</t>
  </si>
  <si>
    <t>040000190427</t>
  </si>
  <si>
    <t>Assorted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</si>
</sst>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0"/>
      <color indexed="8"/>
      <name val="Arial"/>
      <family val="2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indexed="8"/>
      <name val="Aptos Narrow"/>
      <family val="2"/>
      <scheme val="minor"/>
    </font>
    <font>
      <b/>
      <sz val="10"/>
      <color indexed="8"/>
      <name val="Arial"/>
      <family val="2"/>
    </font>
    <font>
      <b/>
      <sz val="10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43" fontId="2" fillId="0" borderId="0" applyFont="0" applyFill="0" applyBorder="0" applyAlignment="0" applyProtection="0">
      <alignment vertical="top"/>
    </xf>
  </cellStyleXfs>
  <cellXfs count="21">
    <xf numFmtId="0" fontId="0" fillId="0" borderId="0" xfId="0">
      <alignment vertical="top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64" fontId="4" fillId="4" borderId="1" xfId="1" applyNumberFormat="1" applyFont="1" applyFill="1" applyBorder="1">
      <alignment vertical="top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3" fontId="6" fillId="2" borderId="1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left" vertical="top"/>
    </xf>
    <xf numFmtId="164" fontId="3" fillId="0" borderId="1" xfId="1" applyNumberFormat="1" applyFont="1" applyFill="1" applyBorder="1" applyAlignment="1">
      <alignment horizontal="left" vertical="top"/>
    </xf>
    <xf numFmtId="164" fontId="3" fillId="0" borderId="1" xfId="1" applyNumberFormat="1" applyFont="1" applyBorder="1" applyAlignment="1">
      <alignment horizontal="left" vertical="top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right" vertical="top"/>
    </xf>
    <xf numFmtId="164" fontId="3" fillId="3" borderId="1" xfId="1" applyNumberFormat="1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475A5-E61F-4F2F-BF3B-3F5377169E55}">
  <dimension ref="A1:P48"/>
  <sheetViews>
    <sheetView tabSelected="1" workbookViewId="0">
      <selection activeCell="B6" sqref="B6"/>
    </sheetView>
  </sheetViews>
  <sheetFormatPr defaultRowHeight="12.75" x14ac:dyDescent="0.2"/>
  <cols>
    <col min="1" max="1" width="36.7109375" bestFit="1" customWidth="1"/>
    <col min="2" max="2" width="36.7109375" customWidth="1"/>
    <col min="3" max="3" width="13.28515625" bestFit="1" customWidth="1"/>
    <col min="4" max="4" width="16.85546875" bestFit="1" customWidth="1"/>
    <col min="5" max="5" width="17.28515625" bestFit="1" customWidth="1"/>
    <col min="6" max="6" width="89.7109375" customWidth="1"/>
    <col min="7" max="7" width="28.85546875" bestFit="1" customWidth="1"/>
    <col min="8" max="8" width="18.28515625" bestFit="1" customWidth="1"/>
    <col min="9" max="9" width="19.7109375" bestFit="1" customWidth="1"/>
    <col min="10" max="10" width="20.85546875" bestFit="1" customWidth="1"/>
    <col min="11" max="11" width="12.85546875" bestFit="1" customWidth="1"/>
    <col min="12" max="12" width="24.28515625" bestFit="1" customWidth="1"/>
    <col min="13" max="13" width="24.7109375" bestFit="1" customWidth="1"/>
    <col min="14" max="14" width="69.85546875" bestFit="1" customWidth="1"/>
    <col min="15" max="15" width="31.140625" bestFit="1" customWidth="1"/>
    <col min="16" max="16" width="25.85546875" bestFit="1" customWidth="1"/>
  </cols>
  <sheetData>
    <row r="1" spans="1:16" x14ac:dyDescent="0.2">
      <c r="E1" s="5">
        <f>SUBTOTAL(9,E3:E48)</f>
        <v>1384337</v>
      </c>
    </row>
    <row r="2" spans="1:16" ht="15" x14ac:dyDescent="0.2">
      <c r="A2" s="6" t="s">
        <v>0</v>
      </c>
      <c r="B2" s="6" t="s">
        <v>370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7" t="s">
        <v>10</v>
      </c>
      <c r="M2" s="8" t="s">
        <v>176</v>
      </c>
      <c r="N2" s="6" t="s">
        <v>11</v>
      </c>
      <c r="O2" s="6" t="s">
        <v>12</v>
      </c>
      <c r="P2" s="6" t="s">
        <v>13</v>
      </c>
    </row>
    <row r="3" spans="1:16" ht="13.5" x14ac:dyDescent="0.25">
      <c r="A3" s="9" t="s">
        <v>14</v>
      </c>
      <c r="B3" s="9" t="s">
        <v>366</v>
      </c>
      <c r="C3" s="10">
        <v>1</v>
      </c>
      <c r="D3" s="11">
        <v>37449</v>
      </c>
      <c r="E3" s="12">
        <v>89098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19</v>
      </c>
      <c r="K3" s="1" t="s">
        <v>20</v>
      </c>
      <c r="L3" s="3" t="s">
        <v>21</v>
      </c>
      <c r="M3" s="9" t="s">
        <v>22</v>
      </c>
      <c r="N3" s="9" t="s">
        <v>23</v>
      </c>
      <c r="O3" s="9" t="s">
        <v>24</v>
      </c>
      <c r="P3" s="9" t="s">
        <v>25</v>
      </c>
    </row>
    <row r="4" spans="1:16" ht="13.5" x14ac:dyDescent="0.2">
      <c r="A4" s="9" t="s">
        <v>26</v>
      </c>
      <c r="B4" s="9" t="s">
        <v>332</v>
      </c>
      <c r="C4" s="10">
        <v>6</v>
      </c>
      <c r="D4" s="11">
        <v>35603</v>
      </c>
      <c r="E4" s="12">
        <v>35603</v>
      </c>
      <c r="F4" s="13" t="s">
        <v>27</v>
      </c>
      <c r="G4" s="13" t="s">
        <v>28</v>
      </c>
      <c r="H4" s="13" t="s">
        <v>29</v>
      </c>
      <c r="I4" s="13" t="s">
        <v>30</v>
      </c>
      <c r="J4" s="13" t="s">
        <v>31</v>
      </c>
      <c r="K4" s="1" t="s">
        <v>20</v>
      </c>
      <c r="L4" s="1" t="s">
        <v>32</v>
      </c>
      <c r="M4" s="9" t="s">
        <v>33</v>
      </c>
      <c r="N4" s="9" t="s">
        <v>34</v>
      </c>
      <c r="O4" s="9" t="s">
        <v>35</v>
      </c>
      <c r="P4" s="9" t="s">
        <v>25</v>
      </c>
    </row>
    <row r="5" spans="1:16" ht="13.5" x14ac:dyDescent="0.2">
      <c r="A5" s="9" t="s">
        <v>36</v>
      </c>
      <c r="B5" s="9" t="s">
        <v>346</v>
      </c>
      <c r="C5" s="10">
        <v>2</v>
      </c>
      <c r="D5" s="11">
        <v>33893</v>
      </c>
      <c r="E5" s="12">
        <v>33893</v>
      </c>
      <c r="F5" s="13" t="s">
        <v>37</v>
      </c>
      <c r="G5" s="13" t="s">
        <v>38</v>
      </c>
      <c r="H5" s="13" t="s">
        <v>39</v>
      </c>
      <c r="I5" s="13" t="s">
        <v>40</v>
      </c>
      <c r="J5" s="13" t="s">
        <v>41</v>
      </c>
      <c r="K5" s="1" t="s">
        <v>20</v>
      </c>
      <c r="L5" s="1" t="s">
        <v>21</v>
      </c>
      <c r="M5" s="9" t="s">
        <v>42</v>
      </c>
      <c r="N5" s="9" t="s">
        <v>34</v>
      </c>
      <c r="O5" s="9" t="s">
        <v>35</v>
      </c>
      <c r="P5" s="9" t="s">
        <v>25</v>
      </c>
    </row>
    <row r="6" spans="1:16" ht="13.5" x14ac:dyDescent="0.2">
      <c r="A6" s="9" t="s">
        <v>43</v>
      </c>
      <c r="B6" s="9" t="s">
        <v>330</v>
      </c>
      <c r="C6" s="10">
        <v>7</v>
      </c>
      <c r="D6" s="11">
        <v>32209</v>
      </c>
      <c r="E6" s="12">
        <v>32209</v>
      </c>
      <c r="F6" s="13" t="s">
        <v>44</v>
      </c>
      <c r="G6" s="13" t="s">
        <v>45</v>
      </c>
      <c r="H6" s="13" t="s">
        <v>46</v>
      </c>
      <c r="I6" s="13" t="s">
        <v>47</v>
      </c>
      <c r="J6" s="13" t="s">
        <v>48</v>
      </c>
      <c r="K6" s="1" t="s">
        <v>20</v>
      </c>
      <c r="L6" s="1" t="s">
        <v>21</v>
      </c>
      <c r="M6" s="9" t="s">
        <v>33</v>
      </c>
      <c r="N6" s="9" t="s">
        <v>34</v>
      </c>
      <c r="O6" s="9" t="s">
        <v>35</v>
      </c>
      <c r="P6" s="9" t="s">
        <v>25</v>
      </c>
    </row>
    <row r="7" spans="1:16" ht="13.5" x14ac:dyDescent="0.2">
      <c r="A7" s="9" t="s">
        <v>49</v>
      </c>
      <c r="B7" s="9" t="s">
        <v>363</v>
      </c>
      <c r="C7" s="10">
        <v>6</v>
      </c>
      <c r="D7" s="11">
        <v>32016</v>
      </c>
      <c r="E7" s="12">
        <v>32016</v>
      </c>
      <c r="F7" s="13" t="s">
        <v>50</v>
      </c>
      <c r="G7" s="13" t="s">
        <v>51</v>
      </c>
      <c r="H7" s="13" t="s">
        <v>52</v>
      </c>
      <c r="I7" s="13" t="s">
        <v>53</v>
      </c>
      <c r="J7" s="13" t="s">
        <v>54</v>
      </c>
      <c r="K7" s="1" t="s">
        <v>20</v>
      </c>
      <c r="L7" s="1" t="s">
        <v>21</v>
      </c>
      <c r="M7" s="9" t="s">
        <v>42</v>
      </c>
      <c r="N7" s="9" t="s">
        <v>34</v>
      </c>
      <c r="O7" s="9" t="s">
        <v>35</v>
      </c>
      <c r="P7" s="9" t="s">
        <v>25</v>
      </c>
    </row>
    <row r="8" spans="1:16" ht="13.5" x14ac:dyDescent="0.2">
      <c r="A8" s="9" t="s">
        <v>55</v>
      </c>
      <c r="B8" s="9" t="s">
        <v>353</v>
      </c>
      <c r="C8" s="10">
        <v>3</v>
      </c>
      <c r="D8" s="11">
        <v>27000</v>
      </c>
      <c r="E8" s="12">
        <v>27000</v>
      </c>
      <c r="F8" s="13" t="s">
        <v>56</v>
      </c>
      <c r="G8" s="13" t="s">
        <v>57</v>
      </c>
      <c r="H8" s="13" t="s">
        <v>58</v>
      </c>
      <c r="I8" s="13" t="s">
        <v>59</v>
      </c>
      <c r="J8" s="13" t="s">
        <v>60</v>
      </c>
      <c r="K8" s="1" t="s">
        <v>20</v>
      </c>
      <c r="L8" s="1" t="s">
        <v>21</v>
      </c>
      <c r="M8" s="9" t="s">
        <v>42</v>
      </c>
      <c r="N8" s="9" t="s">
        <v>34</v>
      </c>
      <c r="O8" s="9" t="s">
        <v>35</v>
      </c>
      <c r="P8" s="9" t="s">
        <v>25</v>
      </c>
    </row>
    <row r="9" spans="1:16" ht="13.5" x14ac:dyDescent="0.2">
      <c r="A9" s="9" t="s">
        <v>61</v>
      </c>
      <c r="B9" s="9" t="s">
        <v>349</v>
      </c>
      <c r="C9" s="10">
        <v>9</v>
      </c>
      <c r="D9" s="11">
        <v>26958</v>
      </c>
      <c r="E9" s="12">
        <v>26958</v>
      </c>
      <c r="F9" s="13" t="s">
        <v>62</v>
      </c>
      <c r="G9" s="13" t="s">
        <v>63</v>
      </c>
      <c r="H9" s="13" t="s">
        <v>64</v>
      </c>
      <c r="I9" s="13" t="s">
        <v>65</v>
      </c>
      <c r="J9" s="13" t="s">
        <v>66</v>
      </c>
      <c r="K9" s="1" t="s">
        <v>20</v>
      </c>
      <c r="L9" s="2" t="s">
        <v>32</v>
      </c>
      <c r="M9" s="9" t="s">
        <v>67</v>
      </c>
      <c r="N9" s="9" t="s">
        <v>34</v>
      </c>
      <c r="O9" s="9" t="s">
        <v>24</v>
      </c>
      <c r="P9" s="9" t="s">
        <v>25</v>
      </c>
    </row>
    <row r="10" spans="1:16" ht="13.5" x14ac:dyDescent="0.2">
      <c r="A10" s="9" t="s">
        <v>68</v>
      </c>
      <c r="B10" s="9" t="s">
        <v>361</v>
      </c>
      <c r="C10" s="10">
        <v>2</v>
      </c>
      <c r="D10" s="11">
        <v>23651</v>
      </c>
      <c r="E10" s="12">
        <v>23651</v>
      </c>
      <c r="F10" s="13" t="s">
        <v>69</v>
      </c>
      <c r="G10" s="13" t="s">
        <v>70</v>
      </c>
      <c r="H10" s="13" t="s">
        <v>71</v>
      </c>
      <c r="I10" s="13" t="s">
        <v>72</v>
      </c>
      <c r="J10" s="13" t="s">
        <v>73</v>
      </c>
      <c r="K10" s="1" t="s">
        <v>20</v>
      </c>
      <c r="L10" s="1" t="s">
        <v>21</v>
      </c>
      <c r="M10" s="9" t="s">
        <v>42</v>
      </c>
      <c r="N10" s="9" t="s">
        <v>34</v>
      </c>
      <c r="O10" s="9" t="s">
        <v>35</v>
      </c>
      <c r="P10" s="9" t="s">
        <v>25</v>
      </c>
    </row>
    <row r="11" spans="1:16" ht="13.5" x14ac:dyDescent="0.25">
      <c r="A11" s="9" t="s">
        <v>74</v>
      </c>
      <c r="B11" s="9" t="s">
        <v>360</v>
      </c>
      <c r="C11" s="10">
        <v>2</v>
      </c>
      <c r="D11" s="11">
        <v>22393</v>
      </c>
      <c r="E11" s="12">
        <v>22393</v>
      </c>
      <c r="F11" s="13" t="s">
        <v>75</v>
      </c>
      <c r="G11" s="13" t="s">
        <v>76</v>
      </c>
      <c r="H11" s="13" t="s">
        <v>77</v>
      </c>
      <c r="I11" s="13" t="s">
        <v>78</v>
      </c>
      <c r="J11" s="13" t="s">
        <v>79</v>
      </c>
      <c r="K11" s="1" t="s">
        <v>20</v>
      </c>
      <c r="L11" s="3" t="s">
        <v>32</v>
      </c>
      <c r="M11" s="9" t="s">
        <v>80</v>
      </c>
      <c r="N11" s="9" t="s">
        <v>34</v>
      </c>
      <c r="O11" s="9" t="s">
        <v>24</v>
      </c>
      <c r="P11" s="9" t="s">
        <v>25</v>
      </c>
    </row>
    <row r="12" spans="1:16" ht="13.5" x14ac:dyDescent="0.2">
      <c r="A12" s="9" t="s">
        <v>81</v>
      </c>
      <c r="B12" s="9" t="s">
        <v>364</v>
      </c>
      <c r="C12" s="10">
        <v>2</v>
      </c>
      <c r="D12" s="11">
        <v>21672</v>
      </c>
      <c r="E12" s="12">
        <v>21672</v>
      </c>
      <c r="F12" s="13" t="s">
        <v>82</v>
      </c>
      <c r="G12" s="13" t="s">
        <v>83</v>
      </c>
      <c r="H12" s="13" t="s">
        <v>84</v>
      </c>
      <c r="I12" s="13" t="s">
        <v>85</v>
      </c>
      <c r="J12" s="13" t="s">
        <v>86</v>
      </c>
      <c r="K12" s="1" t="s">
        <v>20</v>
      </c>
      <c r="L12" s="1" t="s">
        <v>21</v>
      </c>
      <c r="M12" s="9" t="s">
        <v>22</v>
      </c>
      <c r="N12" s="9" t="s">
        <v>34</v>
      </c>
      <c r="O12" s="9" t="s">
        <v>35</v>
      </c>
      <c r="P12" s="9" t="s">
        <v>25</v>
      </c>
    </row>
    <row r="13" spans="1:16" ht="13.5" x14ac:dyDescent="0.2">
      <c r="A13" s="9" t="s">
        <v>87</v>
      </c>
      <c r="B13" s="9" t="s">
        <v>329</v>
      </c>
      <c r="C13" s="10">
        <v>7</v>
      </c>
      <c r="D13" s="11">
        <v>20928</v>
      </c>
      <c r="E13" s="12">
        <v>20928</v>
      </c>
      <c r="F13" s="13" t="s">
        <v>88</v>
      </c>
      <c r="G13" s="13" t="s">
        <v>89</v>
      </c>
      <c r="H13" s="13" t="s">
        <v>90</v>
      </c>
      <c r="I13" s="13" t="s">
        <v>91</v>
      </c>
      <c r="J13" s="13" t="s">
        <v>92</v>
      </c>
      <c r="K13" s="1" t="s">
        <v>20</v>
      </c>
      <c r="L13" s="1" t="s">
        <v>21</v>
      </c>
      <c r="M13" s="9" t="s">
        <v>93</v>
      </c>
      <c r="N13" s="9" t="s">
        <v>34</v>
      </c>
      <c r="O13" s="9" t="s">
        <v>35</v>
      </c>
      <c r="P13" s="9" t="s">
        <v>94</v>
      </c>
    </row>
    <row r="14" spans="1:16" ht="13.5" x14ac:dyDescent="0.2">
      <c r="A14" s="9" t="s">
        <v>95</v>
      </c>
      <c r="B14" s="9" t="s">
        <v>354</v>
      </c>
      <c r="C14" s="10">
        <v>3</v>
      </c>
      <c r="D14" s="11">
        <v>20921</v>
      </c>
      <c r="E14" s="12">
        <v>20921</v>
      </c>
      <c r="F14" s="13" t="s">
        <v>96</v>
      </c>
      <c r="G14" s="13" t="s">
        <v>97</v>
      </c>
      <c r="H14" s="13" t="s">
        <v>98</v>
      </c>
      <c r="I14" s="13" t="s">
        <v>99</v>
      </c>
      <c r="J14" s="13" t="s">
        <v>100</v>
      </c>
      <c r="K14" s="1" t="s">
        <v>20</v>
      </c>
      <c r="L14" s="1" t="s">
        <v>21</v>
      </c>
      <c r="M14" s="9" t="s">
        <v>42</v>
      </c>
      <c r="N14" s="9" t="s">
        <v>34</v>
      </c>
      <c r="O14" s="9" t="s">
        <v>35</v>
      </c>
      <c r="P14" s="9" t="s">
        <v>25</v>
      </c>
    </row>
    <row r="15" spans="1:16" ht="13.5" x14ac:dyDescent="0.2">
      <c r="A15" s="9" t="s">
        <v>101</v>
      </c>
      <c r="B15" s="9" t="s">
        <v>368</v>
      </c>
      <c r="C15" s="10">
        <v>4</v>
      </c>
      <c r="D15" s="11">
        <v>18990</v>
      </c>
      <c r="E15" s="12">
        <v>18990</v>
      </c>
      <c r="F15" s="13" t="s">
        <v>102</v>
      </c>
      <c r="G15" s="13" t="s">
        <v>103</v>
      </c>
      <c r="H15" s="13">
        <v>0</v>
      </c>
      <c r="I15" s="13" t="s">
        <v>104</v>
      </c>
      <c r="J15" s="13" t="s">
        <v>105</v>
      </c>
      <c r="K15" s="1" t="s">
        <v>20</v>
      </c>
      <c r="L15" s="1" t="s">
        <v>21</v>
      </c>
      <c r="M15" s="9" t="s">
        <v>22</v>
      </c>
      <c r="N15" s="9" t="s">
        <v>106</v>
      </c>
      <c r="O15" s="9" t="s">
        <v>24</v>
      </c>
      <c r="P15" s="9" t="s">
        <v>25</v>
      </c>
    </row>
    <row r="16" spans="1:16" ht="13.5" x14ac:dyDescent="0.2">
      <c r="A16" s="9" t="s">
        <v>107</v>
      </c>
      <c r="B16" s="9" t="s">
        <v>358</v>
      </c>
      <c r="C16" s="10">
        <v>6</v>
      </c>
      <c r="D16" s="11">
        <v>18694</v>
      </c>
      <c r="E16" s="12">
        <v>18694</v>
      </c>
      <c r="F16" s="13" t="s">
        <v>108</v>
      </c>
      <c r="G16" s="13" t="s">
        <v>109</v>
      </c>
      <c r="H16" s="13" t="s">
        <v>110</v>
      </c>
      <c r="I16" s="13" t="s">
        <v>111</v>
      </c>
      <c r="J16" s="13" t="s">
        <v>112</v>
      </c>
      <c r="K16" s="1" t="s">
        <v>20</v>
      </c>
      <c r="L16" s="1" t="s">
        <v>21</v>
      </c>
      <c r="M16" s="9" t="s">
        <v>42</v>
      </c>
      <c r="N16" s="9" t="s">
        <v>106</v>
      </c>
      <c r="O16" s="9" t="s">
        <v>24</v>
      </c>
      <c r="P16" s="9" t="s">
        <v>25</v>
      </c>
    </row>
    <row r="17" spans="1:16" ht="13.5" x14ac:dyDescent="0.2">
      <c r="A17" s="9" t="s">
        <v>113</v>
      </c>
      <c r="B17" s="9" t="s">
        <v>347</v>
      </c>
      <c r="C17" s="10">
        <v>2</v>
      </c>
      <c r="D17" s="11">
        <v>18153</v>
      </c>
      <c r="E17" s="12">
        <v>18153</v>
      </c>
      <c r="F17" s="13" t="s">
        <v>114</v>
      </c>
      <c r="G17" s="13" t="s">
        <v>115</v>
      </c>
      <c r="H17" s="13" t="s">
        <v>116</v>
      </c>
      <c r="I17" s="13" t="s">
        <v>117</v>
      </c>
      <c r="J17" s="13" t="s">
        <v>118</v>
      </c>
      <c r="K17" s="1" t="s">
        <v>20</v>
      </c>
      <c r="L17" s="1" t="s">
        <v>21</v>
      </c>
      <c r="M17" s="9" t="s">
        <v>42</v>
      </c>
      <c r="N17" s="9" t="s">
        <v>106</v>
      </c>
      <c r="O17" s="9" t="s">
        <v>24</v>
      </c>
      <c r="P17" s="9" t="s">
        <v>25</v>
      </c>
    </row>
    <row r="18" spans="1:16" ht="13.5" x14ac:dyDescent="0.25">
      <c r="A18" s="9" t="s">
        <v>119</v>
      </c>
      <c r="B18" s="9" t="s">
        <v>339</v>
      </c>
      <c r="C18" s="10">
        <v>5</v>
      </c>
      <c r="D18" s="11">
        <v>10929</v>
      </c>
      <c r="E18" s="11">
        <v>10929</v>
      </c>
      <c r="F18" s="13" t="s">
        <v>120</v>
      </c>
      <c r="G18" s="13" t="s">
        <v>121</v>
      </c>
      <c r="H18" s="13" t="s">
        <v>122</v>
      </c>
      <c r="I18" s="13" t="s">
        <v>123</v>
      </c>
      <c r="J18" s="13" t="s">
        <v>124</v>
      </c>
      <c r="K18" s="14" t="s">
        <v>125</v>
      </c>
      <c r="L18" s="9" t="s">
        <v>21</v>
      </c>
      <c r="M18" s="3" t="s">
        <v>93</v>
      </c>
      <c r="N18" s="9" t="s">
        <v>106</v>
      </c>
      <c r="O18" s="9" t="s">
        <v>24</v>
      </c>
      <c r="P18" s="9" t="s">
        <v>94</v>
      </c>
    </row>
    <row r="19" spans="1:16" ht="13.5" x14ac:dyDescent="0.25">
      <c r="A19" s="9" t="s">
        <v>126</v>
      </c>
      <c r="B19" s="9" t="s">
        <v>340</v>
      </c>
      <c r="C19" s="10">
        <v>4</v>
      </c>
      <c r="D19" s="11">
        <v>10907</v>
      </c>
      <c r="E19" s="11">
        <v>10907</v>
      </c>
      <c r="F19" s="13" t="s">
        <v>127</v>
      </c>
      <c r="G19" s="13" t="s">
        <v>128</v>
      </c>
      <c r="H19" s="13" t="s">
        <v>129</v>
      </c>
      <c r="I19" s="13" t="s">
        <v>130</v>
      </c>
      <c r="J19" s="13" t="s">
        <v>131</v>
      </c>
      <c r="K19" s="14" t="s">
        <v>125</v>
      </c>
      <c r="L19" s="9" t="s">
        <v>21</v>
      </c>
      <c r="M19" s="3" t="s">
        <v>132</v>
      </c>
      <c r="N19" s="9" t="s">
        <v>106</v>
      </c>
      <c r="O19" s="9" t="s">
        <v>24</v>
      </c>
      <c r="P19" s="9" t="s">
        <v>25</v>
      </c>
    </row>
    <row r="20" spans="1:16" ht="13.5" x14ac:dyDescent="0.25">
      <c r="A20" s="9" t="s">
        <v>133</v>
      </c>
      <c r="B20" s="9" t="s">
        <v>333</v>
      </c>
      <c r="C20" s="10">
        <v>4</v>
      </c>
      <c r="D20" s="11">
        <v>10415</v>
      </c>
      <c r="E20" s="11">
        <v>10415</v>
      </c>
      <c r="F20" s="13" t="s">
        <v>134</v>
      </c>
      <c r="G20" s="13" t="s">
        <v>135</v>
      </c>
      <c r="H20" s="13" t="s">
        <v>136</v>
      </c>
      <c r="I20" s="13" t="s">
        <v>137</v>
      </c>
      <c r="J20" s="13" t="s">
        <v>138</v>
      </c>
      <c r="K20" s="14" t="s">
        <v>125</v>
      </c>
      <c r="L20" s="9" t="s">
        <v>21</v>
      </c>
      <c r="M20" s="4" t="s">
        <v>42</v>
      </c>
      <c r="N20" s="9" t="s">
        <v>106</v>
      </c>
      <c r="O20" s="9" t="s">
        <v>24</v>
      </c>
      <c r="P20" s="9" t="s">
        <v>25</v>
      </c>
    </row>
    <row r="21" spans="1:16" ht="13.5" x14ac:dyDescent="0.25">
      <c r="A21" s="9" t="s">
        <v>139</v>
      </c>
      <c r="B21" s="9" t="s">
        <v>338</v>
      </c>
      <c r="C21" s="10">
        <v>5</v>
      </c>
      <c r="D21" s="11">
        <v>10092</v>
      </c>
      <c r="E21" s="11">
        <v>10092</v>
      </c>
      <c r="F21" s="13" t="s">
        <v>140</v>
      </c>
      <c r="G21" s="13" t="s">
        <v>141</v>
      </c>
      <c r="H21" s="13" t="s">
        <v>142</v>
      </c>
      <c r="I21" s="13" t="s">
        <v>143</v>
      </c>
      <c r="J21" s="13" t="s">
        <v>144</v>
      </c>
      <c r="K21" s="14" t="s">
        <v>125</v>
      </c>
      <c r="L21" s="9" t="s">
        <v>32</v>
      </c>
      <c r="M21" s="3" t="s">
        <v>33</v>
      </c>
      <c r="N21" s="9" t="s">
        <v>106</v>
      </c>
      <c r="O21" s="9" t="s">
        <v>24</v>
      </c>
      <c r="P21" s="9" t="s">
        <v>25</v>
      </c>
    </row>
    <row r="22" spans="1:16" ht="13.5" x14ac:dyDescent="0.25">
      <c r="A22" s="9" t="s">
        <v>145</v>
      </c>
      <c r="B22" s="9" t="s">
        <v>351</v>
      </c>
      <c r="C22" s="10">
        <v>7</v>
      </c>
      <c r="D22" s="11">
        <v>10085</v>
      </c>
      <c r="E22" s="11">
        <v>10085</v>
      </c>
      <c r="F22" s="13" t="s">
        <v>146</v>
      </c>
      <c r="G22" s="13" t="s">
        <v>147</v>
      </c>
      <c r="H22" s="13" t="s">
        <v>148</v>
      </c>
      <c r="I22" s="13" t="s">
        <v>149</v>
      </c>
      <c r="J22" s="13" t="s">
        <v>150</v>
      </c>
      <c r="K22" s="14" t="s">
        <v>125</v>
      </c>
      <c r="L22" s="9" t="s">
        <v>32</v>
      </c>
      <c r="M22" s="3" t="s">
        <v>33</v>
      </c>
      <c r="N22" s="9" t="s">
        <v>106</v>
      </c>
      <c r="O22" s="9" t="s">
        <v>24</v>
      </c>
      <c r="P22" s="9" t="s">
        <v>94</v>
      </c>
    </row>
    <row r="23" spans="1:16" ht="13.5" x14ac:dyDescent="0.25">
      <c r="A23" s="9" t="s">
        <v>151</v>
      </c>
      <c r="B23" s="9" t="s">
        <v>327</v>
      </c>
      <c r="C23" s="10">
        <v>11</v>
      </c>
      <c r="D23" s="11">
        <v>9910</v>
      </c>
      <c r="E23" s="11">
        <v>9910</v>
      </c>
      <c r="F23" s="13" t="s">
        <v>152</v>
      </c>
      <c r="G23" s="13" t="s">
        <v>153</v>
      </c>
      <c r="H23" s="13">
        <v>0</v>
      </c>
      <c r="I23" s="13" t="s">
        <v>154</v>
      </c>
      <c r="J23" s="13" t="s">
        <v>155</v>
      </c>
      <c r="K23" s="14" t="s">
        <v>125</v>
      </c>
      <c r="L23" s="9" t="s">
        <v>32</v>
      </c>
      <c r="M23" s="3" t="s">
        <v>156</v>
      </c>
      <c r="N23" s="9" t="s">
        <v>106</v>
      </c>
      <c r="O23" s="9" t="s">
        <v>24</v>
      </c>
      <c r="P23" s="9" t="s">
        <v>94</v>
      </c>
    </row>
    <row r="24" spans="1:16" ht="13.5" x14ac:dyDescent="0.25">
      <c r="A24" s="9" t="s">
        <v>157</v>
      </c>
      <c r="B24" s="9" t="s">
        <v>355</v>
      </c>
      <c r="C24" s="10">
        <v>1</v>
      </c>
      <c r="D24" s="11">
        <v>9826</v>
      </c>
      <c r="E24" s="11">
        <v>9826</v>
      </c>
      <c r="F24" s="13" t="s">
        <v>158</v>
      </c>
      <c r="G24" s="13" t="s">
        <v>159</v>
      </c>
      <c r="H24" s="13" t="s">
        <v>160</v>
      </c>
      <c r="I24" s="13" t="s">
        <v>161</v>
      </c>
      <c r="J24" s="13" t="s">
        <v>162</v>
      </c>
      <c r="K24" s="14" t="s">
        <v>125</v>
      </c>
      <c r="L24" s="9" t="s">
        <v>21</v>
      </c>
      <c r="M24" s="3" t="s">
        <v>93</v>
      </c>
      <c r="N24" s="9" t="s">
        <v>106</v>
      </c>
      <c r="O24" s="9" t="s">
        <v>24</v>
      </c>
      <c r="P24" s="9" t="s">
        <v>25</v>
      </c>
    </row>
    <row r="25" spans="1:16" ht="13.5" x14ac:dyDescent="0.25">
      <c r="A25" s="9" t="s">
        <v>163</v>
      </c>
      <c r="B25" s="9" t="s">
        <v>324</v>
      </c>
      <c r="C25" s="10">
        <v>5</v>
      </c>
      <c r="D25" s="11">
        <v>9450</v>
      </c>
      <c r="E25" s="11">
        <v>9450</v>
      </c>
      <c r="F25" s="13" t="s">
        <v>164</v>
      </c>
      <c r="G25" s="13" t="s">
        <v>165</v>
      </c>
      <c r="H25" s="13" t="s">
        <v>166</v>
      </c>
      <c r="I25" s="13" t="s">
        <v>167</v>
      </c>
      <c r="J25" s="13" t="s">
        <v>168</v>
      </c>
      <c r="K25" s="14" t="s">
        <v>125</v>
      </c>
      <c r="L25" s="9" t="s">
        <v>32</v>
      </c>
      <c r="M25" s="3" t="s">
        <v>169</v>
      </c>
      <c r="N25" s="9" t="s">
        <v>106</v>
      </c>
      <c r="O25" s="9" t="s">
        <v>24</v>
      </c>
      <c r="P25" s="9" t="s">
        <v>94</v>
      </c>
    </row>
    <row r="26" spans="1:16" ht="13.5" x14ac:dyDescent="0.25">
      <c r="A26" s="9" t="s">
        <v>170</v>
      </c>
      <c r="B26" s="9" t="s">
        <v>359</v>
      </c>
      <c r="C26" s="10">
        <v>3</v>
      </c>
      <c r="D26" s="11">
        <v>9035</v>
      </c>
      <c r="E26" s="11">
        <v>9035</v>
      </c>
      <c r="F26" s="13" t="s">
        <v>171</v>
      </c>
      <c r="G26" s="13" t="s">
        <v>172</v>
      </c>
      <c r="H26" s="13" t="s">
        <v>173</v>
      </c>
      <c r="I26" s="13" t="s">
        <v>174</v>
      </c>
      <c r="J26" s="13" t="s">
        <v>175</v>
      </c>
      <c r="K26" s="14" t="s">
        <v>125</v>
      </c>
      <c r="L26" s="9" t="s">
        <v>21</v>
      </c>
      <c r="M26" s="3" t="s">
        <v>42</v>
      </c>
      <c r="N26" s="1" t="s">
        <v>23</v>
      </c>
      <c r="O26" s="9" t="s">
        <v>24</v>
      </c>
      <c r="P26" s="9" t="s">
        <v>25</v>
      </c>
    </row>
    <row r="27" spans="1:16" ht="15" x14ac:dyDescent="0.25">
      <c r="A27" s="15" t="s">
        <v>177</v>
      </c>
      <c r="B27" s="9" t="s">
        <v>365</v>
      </c>
      <c r="C27" s="16">
        <v>3</v>
      </c>
      <c r="D27" s="17">
        <v>76463</v>
      </c>
      <c r="E27" s="17">
        <v>128753</v>
      </c>
      <c r="F27" s="15" t="s">
        <v>178</v>
      </c>
      <c r="G27" s="15" t="s">
        <v>141</v>
      </c>
      <c r="H27" s="15" t="s">
        <v>179</v>
      </c>
      <c r="I27" s="15" t="s">
        <v>180</v>
      </c>
      <c r="J27" s="15" t="s">
        <v>181</v>
      </c>
      <c r="K27" s="18" t="s">
        <v>182</v>
      </c>
      <c r="L27" s="18" t="s">
        <v>21</v>
      </c>
      <c r="M27" s="3" t="s">
        <v>22</v>
      </c>
      <c r="N27" s="18" t="s">
        <v>183</v>
      </c>
      <c r="O27" s="15" t="s">
        <v>24</v>
      </c>
      <c r="P27" s="15" t="s">
        <v>25</v>
      </c>
    </row>
    <row r="28" spans="1:16" ht="15" x14ac:dyDescent="0.2">
      <c r="A28" s="15" t="s">
        <v>184</v>
      </c>
      <c r="B28" s="9" t="s">
        <v>345</v>
      </c>
      <c r="C28" s="16">
        <v>7</v>
      </c>
      <c r="D28" s="17">
        <v>12179</v>
      </c>
      <c r="E28" s="17">
        <v>115306</v>
      </c>
      <c r="F28" s="15" t="s">
        <v>185</v>
      </c>
      <c r="G28" s="15" t="s">
        <v>186</v>
      </c>
      <c r="H28" s="15" t="s">
        <v>187</v>
      </c>
      <c r="I28" s="15" t="s">
        <v>188</v>
      </c>
      <c r="J28" s="15" t="s">
        <v>189</v>
      </c>
      <c r="K28" s="18" t="s">
        <v>182</v>
      </c>
      <c r="L28" s="18" t="s">
        <v>21</v>
      </c>
      <c r="M28" s="15" t="s">
        <v>42</v>
      </c>
      <c r="N28" s="18" t="s">
        <v>190</v>
      </c>
      <c r="O28" s="15" t="s">
        <v>24</v>
      </c>
      <c r="P28" s="15" t="s">
        <v>25</v>
      </c>
    </row>
    <row r="29" spans="1:16" ht="15" x14ac:dyDescent="0.2">
      <c r="A29" s="15" t="s">
        <v>191</v>
      </c>
      <c r="B29" s="9" t="s">
        <v>367</v>
      </c>
      <c r="C29" s="16">
        <v>5</v>
      </c>
      <c r="D29" s="17">
        <v>19443</v>
      </c>
      <c r="E29" s="17">
        <v>89850</v>
      </c>
      <c r="F29" s="15" t="s">
        <v>192</v>
      </c>
      <c r="G29" s="15" t="s">
        <v>193</v>
      </c>
      <c r="H29" s="15">
        <v>0</v>
      </c>
      <c r="I29" s="15" t="s">
        <v>194</v>
      </c>
      <c r="J29" s="15" t="s">
        <v>195</v>
      </c>
      <c r="K29" s="18" t="s">
        <v>182</v>
      </c>
      <c r="L29" s="18" t="s">
        <v>21</v>
      </c>
      <c r="M29" s="15" t="s">
        <v>42</v>
      </c>
      <c r="N29" s="18" t="s">
        <v>196</v>
      </c>
      <c r="O29" s="15" t="s">
        <v>24</v>
      </c>
      <c r="P29" s="19" t="s">
        <v>197</v>
      </c>
    </row>
    <row r="30" spans="1:16" ht="15" x14ac:dyDescent="0.2">
      <c r="A30" s="15" t="s">
        <v>198</v>
      </c>
      <c r="B30" s="9" t="s">
        <v>348</v>
      </c>
      <c r="C30" s="16">
        <v>7</v>
      </c>
      <c r="D30" s="17">
        <v>60221</v>
      </c>
      <c r="E30" s="17">
        <v>60221</v>
      </c>
      <c r="F30" s="15" t="s">
        <v>199</v>
      </c>
      <c r="G30" s="15" t="s">
        <v>200</v>
      </c>
      <c r="H30" s="15" t="s">
        <v>201</v>
      </c>
      <c r="I30" s="15" t="s">
        <v>202</v>
      </c>
      <c r="J30" s="15" t="s">
        <v>203</v>
      </c>
      <c r="K30" s="18" t="s">
        <v>182</v>
      </c>
      <c r="L30" s="18" t="s">
        <v>21</v>
      </c>
      <c r="M30" s="15" t="s">
        <v>42</v>
      </c>
      <c r="N30" s="18" t="s">
        <v>204</v>
      </c>
      <c r="O30" s="15" t="s">
        <v>24</v>
      </c>
      <c r="P30" s="15" t="s">
        <v>25</v>
      </c>
    </row>
    <row r="31" spans="1:16" ht="15" x14ac:dyDescent="0.2">
      <c r="A31" s="15" t="s">
        <v>205</v>
      </c>
      <c r="B31" s="9" t="s">
        <v>352</v>
      </c>
      <c r="C31" s="16">
        <v>8</v>
      </c>
      <c r="D31" s="17">
        <v>5226</v>
      </c>
      <c r="E31" s="17">
        <v>54441</v>
      </c>
      <c r="F31" s="15" t="s">
        <v>206</v>
      </c>
      <c r="G31" s="15" t="s">
        <v>186</v>
      </c>
      <c r="H31" s="15" t="s">
        <v>207</v>
      </c>
      <c r="I31" s="15" t="s">
        <v>208</v>
      </c>
      <c r="J31" s="15" t="s">
        <v>209</v>
      </c>
      <c r="K31" s="18" t="s">
        <v>182</v>
      </c>
      <c r="L31" s="18" t="s">
        <v>21</v>
      </c>
      <c r="M31" s="15" t="s">
        <v>42</v>
      </c>
      <c r="N31" s="20" t="s">
        <v>210</v>
      </c>
      <c r="O31" s="15" t="s">
        <v>24</v>
      </c>
      <c r="P31" s="19" t="s">
        <v>211</v>
      </c>
    </row>
    <row r="32" spans="1:16" ht="15" x14ac:dyDescent="0.2">
      <c r="A32" s="15" t="s">
        <v>212</v>
      </c>
      <c r="B32" s="9" t="s">
        <v>341</v>
      </c>
      <c r="C32" s="16">
        <v>9</v>
      </c>
      <c r="D32" s="17">
        <v>988</v>
      </c>
      <c r="E32" s="17">
        <v>43517</v>
      </c>
      <c r="F32" s="15" t="s">
        <v>213</v>
      </c>
      <c r="G32" s="15" t="s">
        <v>214</v>
      </c>
      <c r="H32" s="15" t="s">
        <v>215</v>
      </c>
      <c r="I32" s="15" t="s">
        <v>216</v>
      </c>
      <c r="J32" s="15" t="s">
        <v>217</v>
      </c>
      <c r="K32" s="18" t="s">
        <v>182</v>
      </c>
      <c r="L32" s="18" t="s">
        <v>32</v>
      </c>
      <c r="M32" s="15" t="s">
        <v>33</v>
      </c>
      <c r="N32" s="18" t="s">
        <v>106</v>
      </c>
      <c r="O32" s="15" t="s">
        <v>24</v>
      </c>
      <c r="P32" s="15" t="s">
        <v>25</v>
      </c>
    </row>
    <row r="33" spans="1:16" ht="15" x14ac:dyDescent="0.2">
      <c r="A33" s="15" t="s">
        <v>218</v>
      </c>
      <c r="B33" s="9" t="s">
        <v>328</v>
      </c>
      <c r="C33" s="16">
        <v>7</v>
      </c>
      <c r="D33" s="17">
        <v>2320</v>
      </c>
      <c r="E33" s="17">
        <v>17808</v>
      </c>
      <c r="F33" s="15" t="s">
        <v>219</v>
      </c>
      <c r="G33" s="15" t="s">
        <v>220</v>
      </c>
      <c r="H33" s="15" t="s">
        <v>221</v>
      </c>
      <c r="I33" s="15" t="s">
        <v>222</v>
      </c>
      <c r="J33" s="15" t="s">
        <v>223</v>
      </c>
      <c r="K33" s="15" t="s">
        <v>182</v>
      </c>
      <c r="L33" s="18" t="s">
        <v>21</v>
      </c>
      <c r="M33" s="15" t="s">
        <v>33</v>
      </c>
      <c r="N33" s="15" t="s">
        <v>196</v>
      </c>
      <c r="O33" s="15" t="s">
        <v>24</v>
      </c>
      <c r="P33" s="15" t="s">
        <v>25</v>
      </c>
    </row>
    <row r="34" spans="1:16" ht="15" x14ac:dyDescent="0.2">
      <c r="A34" s="15" t="s">
        <v>224</v>
      </c>
      <c r="B34" s="9" t="s">
        <v>325</v>
      </c>
      <c r="C34" s="16">
        <v>5</v>
      </c>
      <c r="D34" s="17">
        <v>2557</v>
      </c>
      <c r="E34" s="17">
        <v>17509</v>
      </c>
      <c r="F34" s="15" t="s">
        <v>225</v>
      </c>
      <c r="G34" s="15" t="s">
        <v>226</v>
      </c>
      <c r="H34" s="15" t="s">
        <v>227</v>
      </c>
      <c r="I34" s="15" t="s">
        <v>228</v>
      </c>
      <c r="J34" s="15" t="s">
        <v>229</v>
      </c>
      <c r="K34" s="15" t="s">
        <v>182</v>
      </c>
      <c r="L34" s="18" t="s">
        <v>32</v>
      </c>
      <c r="M34" s="15" t="s">
        <v>230</v>
      </c>
      <c r="N34" s="15" t="s">
        <v>231</v>
      </c>
      <c r="O34" s="15" t="s">
        <v>24</v>
      </c>
      <c r="P34" s="19" t="s">
        <v>232</v>
      </c>
    </row>
    <row r="35" spans="1:16" ht="15" x14ac:dyDescent="0.2">
      <c r="A35" s="15" t="s">
        <v>233</v>
      </c>
      <c r="B35" s="9" t="s">
        <v>334</v>
      </c>
      <c r="C35" s="16">
        <v>10</v>
      </c>
      <c r="D35" s="17">
        <v>1017</v>
      </c>
      <c r="E35" s="17">
        <v>16265</v>
      </c>
      <c r="F35" s="15" t="s">
        <v>234</v>
      </c>
      <c r="G35" s="15" t="s">
        <v>235</v>
      </c>
      <c r="H35" s="15" t="s">
        <v>236</v>
      </c>
      <c r="I35" s="15" t="s">
        <v>237</v>
      </c>
      <c r="J35" s="15" t="s">
        <v>238</v>
      </c>
      <c r="K35" s="15" t="s">
        <v>182</v>
      </c>
      <c r="L35" s="18" t="s">
        <v>21</v>
      </c>
      <c r="M35" s="15" t="s">
        <v>33</v>
      </c>
      <c r="N35" s="15" t="s">
        <v>239</v>
      </c>
      <c r="O35" s="15" t="s">
        <v>24</v>
      </c>
      <c r="P35" s="19" t="s">
        <v>197</v>
      </c>
    </row>
    <row r="36" spans="1:16" ht="15" x14ac:dyDescent="0.2">
      <c r="A36" s="15" t="s">
        <v>240</v>
      </c>
      <c r="B36" s="9" t="s">
        <v>335</v>
      </c>
      <c r="C36" s="16">
        <v>5</v>
      </c>
      <c r="D36" s="17">
        <v>1882</v>
      </c>
      <c r="E36" s="17">
        <v>15864</v>
      </c>
      <c r="F36" s="15" t="s">
        <v>140</v>
      </c>
      <c r="G36" s="15" t="s">
        <v>141</v>
      </c>
      <c r="H36" s="15" t="s">
        <v>142</v>
      </c>
      <c r="I36" s="15" t="s">
        <v>143</v>
      </c>
      <c r="J36" s="15" t="s">
        <v>144</v>
      </c>
      <c r="K36" s="15" t="s">
        <v>182</v>
      </c>
      <c r="L36" s="18" t="s">
        <v>32</v>
      </c>
      <c r="M36" s="15" t="s">
        <v>33</v>
      </c>
      <c r="N36" s="15" t="s">
        <v>241</v>
      </c>
      <c r="O36" s="15" t="s">
        <v>24</v>
      </c>
      <c r="P36" s="15" t="s">
        <v>242</v>
      </c>
    </row>
    <row r="37" spans="1:16" ht="15" x14ac:dyDescent="0.2">
      <c r="A37" s="15" t="s">
        <v>243</v>
      </c>
      <c r="B37" s="9" t="s">
        <v>331</v>
      </c>
      <c r="C37" s="16">
        <v>3</v>
      </c>
      <c r="D37" s="17">
        <v>5012</v>
      </c>
      <c r="E37" s="17">
        <v>15667</v>
      </c>
      <c r="F37" s="15" t="s">
        <v>244</v>
      </c>
      <c r="G37" s="15" t="s">
        <v>245</v>
      </c>
      <c r="H37" s="15" t="s">
        <v>246</v>
      </c>
      <c r="I37" s="15" t="s">
        <v>247</v>
      </c>
      <c r="J37" s="15" t="s">
        <v>248</v>
      </c>
      <c r="K37" s="15" t="s">
        <v>182</v>
      </c>
      <c r="L37" s="18" t="s">
        <v>21</v>
      </c>
      <c r="M37" s="15" t="s">
        <v>33</v>
      </c>
      <c r="N37" s="15" t="s">
        <v>249</v>
      </c>
      <c r="O37" s="15" t="s">
        <v>24</v>
      </c>
      <c r="P37" s="15" t="s">
        <v>242</v>
      </c>
    </row>
    <row r="38" spans="1:16" ht="15" x14ac:dyDescent="0.2">
      <c r="A38" s="15" t="s">
        <v>250</v>
      </c>
      <c r="B38" s="9" t="s">
        <v>356</v>
      </c>
      <c r="C38" s="16">
        <v>4</v>
      </c>
      <c r="D38" s="17">
        <v>4366</v>
      </c>
      <c r="E38" s="17">
        <v>15415</v>
      </c>
      <c r="F38" s="15" t="s">
        <v>251</v>
      </c>
      <c r="G38" s="15" t="s">
        <v>252</v>
      </c>
      <c r="H38" s="15" t="s">
        <v>253</v>
      </c>
      <c r="I38" s="15" t="s">
        <v>254</v>
      </c>
      <c r="J38" s="15" t="s">
        <v>255</v>
      </c>
      <c r="K38" s="15" t="s">
        <v>182</v>
      </c>
      <c r="L38" s="18" t="s">
        <v>32</v>
      </c>
      <c r="M38" s="15" t="s">
        <v>93</v>
      </c>
      <c r="N38" s="15" t="s">
        <v>241</v>
      </c>
      <c r="O38" s="15" t="s">
        <v>24</v>
      </c>
      <c r="P38" s="15" t="s">
        <v>256</v>
      </c>
    </row>
    <row r="39" spans="1:16" ht="15" x14ac:dyDescent="0.2">
      <c r="A39" s="15" t="s">
        <v>257</v>
      </c>
      <c r="B39" s="9" t="s">
        <v>369</v>
      </c>
      <c r="C39" s="16">
        <v>4</v>
      </c>
      <c r="D39" s="17">
        <v>4220</v>
      </c>
      <c r="E39" s="17">
        <v>15274</v>
      </c>
      <c r="F39" s="15" t="s">
        <v>258</v>
      </c>
      <c r="G39" s="15" t="s">
        <v>259</v>
      </c>
      <c r="H39" s="15" t="s">
        <v>260</v>
      </c>
      <c r="I39" s="15" t="s">
        <v>261</v>
      </c>
      <c r="J39" s="15" t="s">
        <v>262</v>
      </c>
      <c r="K39" s="15" t="s">
        <v>182</v>
      </c>
      <c r="L39" s="18" t="s">
        <v>21</v>
      </c>
      <c r="M39" s="15" t="s">
        <v>42</v>
      </c>
      <c r="N39" s="15" t="s">
        <v>241</v>
      </c>
      <c r="O39" s="15" t="s">
        <v>24</v>
      </c>
      <c r="P39" s="15" t="s">
        <v>256</v>
      </c>
    </row>
    <row r="40" spans="1:16" ht="15" x14ac:dyDescent="0.2">
      <c r="A40" s="15" t="s">
        <v>263</v>
      </c>
      <c r="B40" s="9" t="s">
        <v>337</v>
      </c>
      <c r="C40" s="16">
        <v>4</v>
      </c>
      <c r="D40" s="17">
        <v>3256</v>
      </c>
      <c r="E40" s="17">
        <v>14811</v>
      </c>
      <c r="F40" s="15" t="s">
        <v>264</v>
      </c>
      <c r="G40" s="15" t="s">
        <v>265</v>
      </c>
      <c r="H40" s="15" t="s">
        <v>266</v>
      </c>
      <c r="I40" s="15" t="s">
        <v>267</v>
      </c>
      <c r="J40" s="15" t="s">
        <v>268</v>
      </c>
      <c r="K40" s="15" t="s">
        <v>182</v>
      </c>
      <c r="L40" s="18" t="s">
        <v>21</v>
      </c>
      <c r="M40" s="15" t="s">
        <v>33</v>
      </c>
      <c r="N40" s="15" t="s">
        <v>269</v>
      </c>
      <c r="O40" s="15" t="s">
        <v>24</v>
      </c>
      <c r="P40" s="15" t="s">
        <v>242</v>
      </c>
    </row>
    <row r="41" spans="1:16" ht="15" x14ac:dyDescent="0.2">
      <c r="A41" s="15" t="s">
        <v>270</v>
      </c>
      <c r="B41" s="9" t="s">
        <v>326</v>
      </c>
      <c r="C41" s="16">
        <v>11</v>
      </c>
      <c r="D41" s="17">
        <v>1831</v>
      </c>
      <c r="E41" s="17">
        <v>14730</v>
      </c>
      <c r="F41" s="15" t="s">
        <v>271</v>
      </c>
      <c r="G41" s="15" t="s">
        <v>272</v>
      </c>
      <c r="H41" s="15" t="s">
        <v>273</v>
      </c>
      <c r="I41" s="15" t="s">
        <v>274</v>
      </c>
      <c r="J41" s="15" t="s">
        <v>275</v>
      </c>
      <c r="K41" s="15" t="s">
        <v>182</v>
      </c>
      <c r="L41" s="18" t="s">
        <v>32</v>
      </c>
      <c r="M41" s="15" t="s">
        <v>276</v>
      </c>
      <c r="N41" s="15" t="s">
        <v>277</v>
      </c>
      <c r="O41" s="15" t="s">
        <v>24</v>
      </c>
      <c r="P41" s="19" t="s">
        <v>232</v>
      </c>
    </row>
    <row r="42" spans="1:16" ht="15" x14ac:dyDescent="0.2">
      <c r="A42" s="15" t="s">
        <v>278</v>
      </c>
      <c r="B42" s="9" t="s">
        <v>342</v>
      </c>
      <c r="C42" s="16">
        <v>7</v>
      </c>
      <c r="D42" s="17">
        <v>1555</v>
      </c>
      <c r="E42" s="17">
        <v>12883</v>
      </c>
      <c r="F42" s="15" t="s">
        <v>279</v>
      </c>
      <c r="G42" s="15" t="s">
        <v>280</v>
      </c>
      <c r="H42" s="15" t="s">
        <v>281</v>
      </c>
      <c r="I42" s="15" t="s">
        <v>282</v>
      </c>
      <c r="J42" s="15" t="s">
        <v>283</v>
      </c>
      <c r="K42" s="15" t="s">
        <v>182</v>
      </c>
      <c r="L42" s="18" t="s">
        <v>21</v>
      </c>
      <c r="M42" s="15" t="s">
        <v>42</v>
      </c>
      <c r="N42" s="15" t="s">
        <v>210</v>
      </c>
      <c r="O42" s="15" t="s">
        <v>24</v>
      </c>
      <c r="P42" s="15" t="s">
        <v>242</v>
      </c>
    </row>
    <row r="43" spans="1:16" ht="15" x14ac:dyDescent="0.2">
      <c r="A43" s="15" t="s">
        <v>284</v>
      </c>
      <c r="B43" s="9" t="s">
        <v>336</v>
      </c>
      <c r="C43" s="16">
        <v>4</v>
      </c>
      <c r="D43" s="17">
        <v>3513</v>
      </c>
      <c r="E43" s="17">
        <v>12386</v>
      </c>
      <c r="F43" s="15" t="s">
        <v>285</v>
      </c>
      <c r="G43" s="15" t="s">
        <v>200</v>
      </c>
      <c r="H43" s="15" t="s">
        <v>286</v>
      </c>
      <c r="I43" s="15" t="s">
        <v>287</v>
      </c>
      <c r="J43" s="15" t="s">
        <v>288</v>
      </c>
      <c r="K43" s="15" t="s">
        <v>182</v>
      </c>
      <c r="L43" s="18" t="s">
        <v>32</v>
      </c>
      <c r="M43" s="15" t="s">
        <v>132</v>
      </c>
      <c r="N43" s="15" t="s">
        <v>289</v>
      </c>
      <c r="O43" s="15" t="s">
        <v>24</v>
      </c>
      <c r="P43" s="15" t="s">
        <v>242</v>
      </c>
    </row>
    <row r="44" spans="1:16" ht="15" x14ac:dyDescent="0.2">
      <c r="A44" s="15" t="s">
        <v>290</v>
      </c>
      <c r="B44" s="9" t="s">
        <v>350</v>
      </c>
      <c r="C44" s="16">
        <v>3</v>
      </c>
      <c r="D44" s="17">
        <v>393</v>
      </c>
      <c r="E44" s="17">
        <v>11811</v>
      </c>
      <c r="F44" s="15" t="s">
        <v>291</v>
      </c>
      <c r="G44" s="15" t="s">
        <v>292</v>
      </c>
      <c r="H44" s="15" t="s">
        <v>293</v>
      </c>
      <c r="I44" s="15" t="s">
        <v>294</v>
      </c>
      <c r="J44" s="15" t="s">
        <v>295</v>
      </c>
      <c r="K44" s="15" t="s">
        <v>182</v>
      </c>
      <c r="L44" s="18" t="s">
        <v>21</v>
      </c>
      <c r="M44" s="15" t="s">
        <v>42</v>
      </c>
      <c r="N44" s="15" t="s">
        <v>296</v>
      </c>
      <c r="O44" s="15" t="s">
        <v>24</v>
      </c>
      <c r="P44" s="15" t="s">
        <v>242</v>
      </c>
    </row>
    <row r="45" spans="1:16" ht="15" x14ac:dyDescent="0.2">
      <c r="A45" s="15" t="s">
        <v>297</v>
      </c>
      <c r="B45" s="9" t="s">
        <v>357</v>
      </c>
      <c r="C45" s="16">
        <v>2</v>
      </c>
      <c r="D45" s="17">
        <v>3928</v>
      </c>
      <c r="E45" s="17">
        <v>8997</v>
      </c>
      <c r="F45" s="15" t="s">
        <v>298</v>
      </c>
      <c r="G45" s="15" t="s">
        <v>57</v>
      </c>
      <c r="H45" s="15" t="s">
        <v>299</v>
      </c>
      <c r="I45" s="15" t="s">
        <v>300</v>
      </c>
      <c r="J45" s="15" t="s">
        <v>301</v>
      </c>
      <c r="K45" s="15" t="s">
        <v>182</v>
      </c>
      <c r="L45" s="18" t="s">
        <v>21</v>
      </c>
      <c r="M45" s="15" t="s">
        <v>42</v>
      </c>
      <c r="N45" s="15" t="s">
        <v>269</v>
      </c>
      <c r="O45" s="15" t="s">
        <v>24</v>
      </c>
      <c r="P45" s="19" t="s">
        <v>302</v>
      </c>
    </row>
    <row r="46" spans="1:16" ht="15" x14ac:dyDescent="0.2">
      <c r="A46" s="15" t="s">
        <v>303</v>
      </c>
      <c r="B46" s="9" t="s">
        <v>343</v>
      </c>
      <c r="C46" s="16">
        <v>7</v>
      </c>
      <c r="D46" s="17">
        <v>756</v>
      </c>
      <c r="E46" s="17">
        <v>8792</v>
      </c>
      <c r="F46" s="15" t="s">
        <v>304</v>
      </c>
      <c r="G46" s="15" t="s">
        <v>272</v>
      </c>
      <c r="H46" s="15" t="s">
        <v>305</v>
      </c>
      <c r="I46" s="15" t="s">
        <v>306</v>
      </c>
      <c r="J46" s="15" t="s">
        <v>307</v>
      </c>
      <c r="K46" s="15" t="s">
        <v>182</v>
      </c>
      <c r="L46" s="18" t="s">
        <v>21</v>
      </c>
      <c r="M46" s="15" t="s">
        <v>42</v>
      </c>
      <c r="N46" s="15" t="s">
        <v>241</v>
      </c>
      <c r="O46" s="15" t="s">
        <v>24</v>
      </c>
      <c r="P46" s="19" t="s">
        <v>308</v>
      </c>
    </row>
    <row r="47" spans="1:16" ht="15" x14ac:dyDescent="0.2">
      <c r="A47" s="15" t="s">
        <v>309</v>
      </c>
      <c r="B47" s="9" t="s">
        <v>344</v>
      </c>
      <c r="C47" s="16">
        <v>4</v>
      </c>
      <c r="D47" s="17">
        <v>1143</v>
      </c>
      <c r="E47" s="17">
        <v>67520</v>
      </c>
      <c r="F47" s="15" t="s">
        <v>310</v>
      </c>
      <c r="G47" s="15" t="s">
        <v>311</v>
      </c>
      <c r="H47" s="15" t="s">
        <v>312</v>
      </c>
      <c r="I47" s="15" t="s">
        <v>313</v>
      </c>
      <c r="J47" s="15" t="s">
        <v>314</v>
      </c>
      <c r="K47" s="15" t="s">
        <v>315</v>
      </c>
      <c r="L47" s="18" t="s">
        <v>21</v>
      </c>
      <c r="M47" s="15" t="s">
        <v>42</v>
      </c>
      <c r="N47" s="18" t="s">
        <v>316</v>
      </c>
      <c r="O47" s="15" t="s">
        <v>24</v>
      </c>
      <c r="P47" s="18" t="s">
        <v>317</v>
      </c>
    </row>
    <row r="48" spans="1:16" ht="15" x14ac:dyDescent="0.2">
      <c r="A48" s="15" t="s">
        <v>318</v>
      </c>
      <c r="B48" s="9" t="s">
        <v>362</v>
      </c>
      <c r="C48" s="16">
        <v>6</v>
      </c>
      <c r="D48" s="17">
        <v>17841</v>
      </c>
      <c r="E48" s="17">
        <v>93689</v>
      </c>
      <c r="F48" s="15" t="s">
        <v>319</v>
      </c>
      <c r="G48" s="15" t="s">
        <v>320</v>
      </c>
      <c r="H48" s="15" t="s">
        <v>321</v>
      </c>
      <c r="I48" s="15" t="s">
        <v>322</v>
      </c>
      <c r="J48" s="15" t="s">
        <v>323</v>
      </c>
      <c r="K48" s="15" t="s">
        <v>315</v>
      </c>
      <c r="L48" s="18" t="s">
        <v>21</v>
      </c>
      <c r="M48" s="15" t="s">
        <v>42</v>
      </c>
      <c r="N48" s="15" t="s">
        <v>241</v>
      </c>
      <c r="O48" s="15" t="s">
        <v>24</v>
      </c>
      <c r="P48" s="18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For Cancellation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obaid.gulraiz@salaamtakaful.com</dc:creator>
  <cp:lastModifiedBy>IT User Software</cp:lastModifiedBy>
  <dcterms:created xsi:type="dcterms:W3CDTF">2025-07-18T10:14:21Z</dcterms:created>
  <dcterms:modified xsi:type="dcterms:W3CDTF">2025-07-30T04:54:27Z</dcterms:modified>
</cp:coreProperties>
</file>