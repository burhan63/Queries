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backup_files/"/>
    </mc:Choice>
  </mc:AlternateContent>
  <xr:revisionPtr revIDLastSave="32" documentId="8_{4DD931B7-68EC-4815-A26C-883BADDFE0AD}" xr6:coauthVersionLast="47" xr6:coauthVersionMax="47" xr10:uidLastSave="{67FFFD5F-17AE-4104-876E-5FDFF2C6FFEF}"/>
  <bookViews>
    <workbookView xWindow="-120" yWindow="-120" windowWidth="20730" windowHeight="11160" xr2:uid="{8A989224-3E83-4351-B45D-B7FCA63ACD61}"/>
  </bookViews>
  <sheets>
    <sheet name="IT Working sheet " sheetId="1" r:id="rId1"/>
    <sheet name="09000210" sheetId="5" r:id="rId2"/>
    <sheet name="Already Marked Digital" sheetId="4" r:id="rId3"/>
    <sheet name="Sheet1" sheetId="2" r:id="rId4"/>
  </sheets>
  <definedNames>
    <definedName name="_xlnm._FilterDatabase" localSheetId="0" hidden="1">'IT Working sheet '!$A$1:$Z$222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9" i="1" l="1"/>
  <c r="C221" i="1"/>
  <c r="C220" i="1"/>
  <c r="C219" i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C198" i="1"/>
  <c r="C197" i="1"/>
  <c r="D197" i="1" s="1"/>
  <c r="C196" i="1"/>
  <c r="D196" i="1" s="1"/>
  <c r="C190" i="1"/>
  <c r="C189" i="1"/>
  <c r="C188" i="1"/>
  <c r="C186" i="1"/>
  <c r="C185" i="1"/>
  <c r="C184" i="1"/>
  <c r="C162" i="1"/>
  <c r="D162" i="1" s="1"/>
  <c r="C161" i="1"/>
  <c r="C160" i="1"/>
  <c r="D160" i="1" s="1"/>
  <c r="C159" i="1"/>
  <c r="C158" i="1"/>
  <c r="D158" i="1" s="1"/>
  <c r="C156" i="1"/>
  <c r="C139" i="1"/>
  <c r="D139" i="1" s="1"/>
  <c r="C138" i="1"/>
  <c r="C137" i="1"/>
  <c r="C136" i="1"/>
  <c r="C133" i="1"/>
  <c r="C132" i="1"/>
  <c r="C131" i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42" i="1"/>
  <c r="C41" i="1"/>
  <c r="C40" i="1"/>
  <c r="C39" i="1"/>
  <c r="C35" i="1"/>
  <c r="D35" i="1" s="1"/>
  <c r="C16" i="1"/>
  <c r="D16" i="1" s="1"/>
  <c r="C15" i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Q4" i="1"/>
  <c r="Q3" i="1"/>
  <c r="Q2" i="1"/>
</calcChain>
</file>

<file path=xl/sharedStrings.xml><?xml version="1.0" encoding="utf-8"?>
<sst xmlns="http://schemas.openxmlformats.org/spreadsheetml/2006/main" count="3145" uniqueCount="1263">
  <si>
    <t>S.No</t>
  </si>
  <si>
    <t>Policy Number</t>
  </si>
  <si>
    <t>Policy Issuance Date</t>
  </si>
  <si>
    <t>Customer Name</t>
  </si>
  <si>
    <t>Contact Number</t>
  </si>
  <si>
    <t>VehicleNumber</t>
  </si>
  <si>
    <t xml:space="preserve">Make </t>
  </si>
  <si>
    <t xml:space="preserve">Model </t>
  </si>
  <si>
    <t>Value</t>
  </si>
  <si>
    <t>Up Front Charges</t>
  </si>
  <si>
    <t>Rates</t>
  </si>
  <si>
    <t>Sales Date</t>
  </si>
  <si>
    <t>Gross Cont</t>
  </si>
  <si>
    <t>Net Cont</t>
  </si>
  <si>
    <t>Gross Cont (Fresh *2)</t>
  </si>
  <si>
    <t>Deferred Commission</t>
  </si>
  <si>
    <t>Commission %</t>
  </si>
  <si>
    <t>Agency</t>
  </si>
  <si>
    <t>Tagging</t>
  </si>
  <si>
    <t>Commission Status</t>
  </si>
  <si>
    <t>Custodian Name</t>
  </si>
  <si>
    <t xml:space="preserve">Category </t>
  </si>
  <si>
    <t>Channel</t>
  </si>
  <si>
    <t>Sub Channel</t>
  </si>
  <si>
    <t>KHI/HO/D/MO/PC COMP/P/110102/06/2025</t>
  </si>
  <si>
    <t>Zain ul abidin</t>
  </si>
  <si>
    <t>0300 2348932</t>
  </si>
  <si>
    <t>BVB-723</t>
  </si>
  <si>
    <t>ALTO VXR</t>
  </si>
  <si>
    <t>FRE</t>
  </si>
  <si>
    <t xml:space="preserve">Hamna Ali </t>
  </si>
  <si>
    <t>Comprehensive</t>
  </si>
  <si>
    <t>Other</t>
  </si>
  <si>
    <t>KHI/HO/D/MO/PC COMP/P/110104/06/2025</t>
  </si>
  <si>
    <t>BTY-041</t>
  </si>
  <si>
    <t>KHI/HO/D/MO/PC COMP/P/110238/06/2025</t>
  </si>
  <si>
    <t>BWX-068</t>
  </si>
  <si>
    <t>COROLLA XLI 1.3</t>
  </si>
  <si>
    <t>REN</t>
  </si>
  <si>
    <t>Retail Renewal</t>
  </si>
  <si>
    <t>Retail Renewal (July-2025)</t>
  </si>
  <si>
    <t>Corolla Cross 1.8 HV X</t>
  </si>
  <si>
    <t>COROLLA ALTIS</t>
  </si>
  <si>
    <t>ALTO VXL AGS</t>
  </si>
  <si>
    <t>KIA SPORTAGE</t>
  </si>
  <si>
    <t>YARIS CVT</t>
  </si>
  <si>
    <t>KHI/HO/D/MO/PC COMP/P/110441/07/2025</t>
  </si>
  <si>
    <t>Mohammad Tariq Deen</t>
  </si>
  <si>
    <t>0333-3618220</t>
  </si>
  <si>
    <t>BYT-442</t>
  </si>
  <si>
    <t>EK Wagon</t>
  </si>
  <si>
    <t>LHR/LHR/D/MO/PC COMP/P/110475/07/2025</t>
  </si>
  <si>
    <t>Shoaib Nazir</t>
  </si>
  <si>
    <t>0307-9379517</t>
  </si>
  <si>
    <t>RIC 19 450</t>
  </si>
  <si>
    <t>LHR/LHR/D/MO/PC COMP/P/110352/07/2025</t>
  </si>
  <si>
    <t>Rasul Bakhsh Siraj</t>
  </si>
  <si>
    <t>0320-4800112</t>
  </si>
  <si>
    <t>LE-18-8813</t>
  </si>
  <si>
    <t>CITY 1.5 ASPIRE</t>
  </si>
  <si>
    <t>KHI/HO/D/MO/PC COMP/P/110480/07/2025</t>
  </si>
  <si>
    <t>Mukhtar Ahmed</t>
  </si>
  <si>
    <t>0333-2286698</t>
  </si>
  <si>
    <t>BXF-950</t>
  </si>
  <si>
    <t>SAGA</t>
  </si>
  <si>
    <t>KHI/HO/D/MO/PC COMP/P/110452/07/2025</t>
  </si>
  <si>
    <t>Nida Hussain</t>
  </si>
  <si>
    <t>0321-2029596</t>
  </si>
  <si>
    <t>DAYZ</t>
  </si>
  <si>
    <t>Retail Renewal (June-2025)</t>
  </si>
  <si>
    <t>KHI/HO/D/MO/PC COMP/P/110537/07/2025</t>
  </si>
  <si>
    <t>Muhammad Asif</t>
  </si>
  <si>
    <t>0336-0001977</t>
  </si>
  <si>
    <t>CAC-708</t>
  </si>
  <si>
    <t>KHI/HO/D/MO/PC COMP/P/110478/07/2025</t>
  </si>
  <si>
    <t>Sameer Ul Haq</t>
  </si>
  <si>
    <t>0323-2035147</t>
  </si>
  <si>
    <t>BXE-201</t>
  </si>
  <si>
    <t>KHI/HO/D/MO/PC COMP/P/110449/07/2025</t>
  </si>
  <si>
    <t>Tariq Altaf</t>
  </si>
  <si>
    <t>0321-2587658</t>
  </si>
  <si>
    <t>BP-0274</t>
  </si>
  <si>
    <t>RAIZE</t>
  </si>
  <si>
    <t>KHI/HO/D/MO/PC COMP/P/110540/07/2025</t>
  </si>
  <si>
    <t>Topline Securities Limited</t>
  </si>
  <si>
    <t>0331-3219274</t>
  </si>
  <si>
    <t>BK-1720</t>
  </si>
  <si>
    <t>SPORTAGE</t>
  </si>
  <si>
    <t>KHI/HO/D/MO/PC COMP/P/110512/07/2025</t>
  </si>
  <si>
    <t>Sheikh Mansoor Ali Masood</t>
  </si>
  <si>
    <t>0300-8271290</t>
  </si>
  <si>
    <t>BM-7300</t>
  </si>
  <si>
    <t>PROTON X70 EXECUTIVE AWD</t>
  </si>
  <si>
    <t>..</t>
  </si>
  <si>
    <t>KHI/HO/D/MO/PC COMP/P/110516/07/2025</t>
  </si>
  <si>
    <t>Muhammad Yaseen Baloch</t>
  </si>
  <si>
    <t>0300-2025750</t>
  </si>
  <si>
    <t>BVT-719</t>
  </si>
  <si>
    <t>09000870/Digital sales - DA</t>
  </si>
  <si>
    <t>LHR/LHR/D/MO/PC COMP/P/110338/07/2025</t>
  </si>
  <si>
    <t>Muhammad Ammad Sohail Bhopal</t>
  </si>
  <si>
    <t>0333-4352333</t>
  </si>
  <si>
    <t>BDW-457</t>
  </si>
  <si>
    <t>SANTA FE AWD</t>
  </si>
  <si>
    <t>KHI/HO/D/MO/PC COMP/P/110240/06/2025</t>
  </si>
  <si>
    <t>Roshna Razzaq</t>
  </si>
  <si>
    <t>0331-9747508</t>
  </si>
  <si>
    <t>ABQ-082</t>
  </si>
  <si>
    <t>PICANTO A/T</t>
  </si>
  <si>
    <t>LHR/LHR/D/MO/PC COMP/P/109750/06/2025</t>
  </si>
  <si>
    <t>Zulfiqar Ali</t>
  </si>
  <si>
    <t>0322-4081828</t>
  </si>
  <si>
    <t>ADC-197</t>
  </si>
  <si>
    <t>WAGON R VXL</t>
  </si>
  <si>
    <t>LHR/LHR/D/MO/PC COMP/P/110250/06/2025</t>
  </si>
  <si>
    <t>Tariq Mehmood</t>
  </si>
  <si>
    <t>0334-5282712</t>
  </si>
  <si>
    <t>AED-513</t>
  </si>
  <si>
    <t>BRV I-VTEC</t>
  </si>
  <si>
    <t>LHR/LHR/D/MO/PC COMP/P/110111/06/2025</t>
  </si>
  <si>
    <t xml:space="preserve">Progressive Textile </t>
  </si>
  <si>
    <t>0300-8661774</t>
  </si>
  <si>
    <t>AKN-625</t>
  </si>
  <si>
    <t>Swift GLX CVT</t>
  </si>
  <si>
    <t>KHI/HO/D/MO/PC COMP/P/110021/06/2025</t>
  </si>
  <si>
    <t>Haris Anwaar</t>
  </si>
  <si>
    <t>0300-3252100</t>
  </si>
  <si>
    <t>AKR-897</t>
  </si>
  <si>
    <t>FORTUNER 645B 4X4 AT V</t>
  </si>
  <si>
    <t>KHI/HO/D/MO/PC COMP/P/109994/06/2025</t>
  </si>
  <si>
    <t>Saima Irfan</t>
  </si>
  <si>
    <t>0321-2766331</t>
  </si>
  <si>
    <t>ATD-461</t>
  </si>
  <si>
    <t>COROLLA GLI M/T 1.3</t>
  </si>
  <si>
    <t>LHR/LHR/D/MO/PC COMP/P/109996/06/2025</t>
  </si>
  <si>
    <t>Furqan Muhammad Khan</t>
  </si>
  <si>
    <t>0331-5569874</t>
  </si>
  <si>
    <t>AZF-967</t>
  </si>
  <si>
    <t>ALSVIN</t>
  </si>
  <si>
    <t>KHI/HO/D/MO/PC COMP/P/110182/06/2025</t>
  </si>
  <si>
    <t>Khalid Deen</t>
  </si>
  <si>
    <t>0334-2904798</t>
  </si>
  <si>
    <t>BK-5923</t>
  </si>
  <si>
    <t>KHI/HO/D/MO/PC COMP/P/109991/06/2025</t>
  </si>
  <si>
    <t>Saima Bano</t>
  </si>
  <si>
    <t>0331-2198961</t>
  </si>
  <si>
    <t>BK-6225</t>
  </si>
  <si>
    <t>HS</t>
  </si>
  <si>
    <t>KHI/HO/D/MO/PC COMP/P/109939/06/2025</t>
  </si>
  <si>
    <t xml:space="preserve">Harris Bin Shakir </t>
  </si>
  <si>
    <t>0345-2145480</t>
  </si>
  <si>
    <t>BML-992</t>
  </si>
  <si>
    <t>PASSO A/T</t>
  </si>
  <si>
    <t>Direct Renewal</t>
  </si>
  <si>
    <t>(Direct Renewal June-2025)</t>
  </si>
  <si>
    <t>KHI/HO/D/MO/PC COMP/P/109930/06/2025</t>
  </si>
  <si>
    <t>Faiq Ali HPA Meezan Bank Staff</t>
  </si>
  <si>
    <t>0302-3935860</t>
  </si>
  <si>
    <t>BMZ-608</t>
  </si>
  <si>
    <t>WAGON-R</t>
  </si>
  <si>
    <t>KHI/HO/D/MO/PC COMP/P/109882/06/2025</t>
  </si>
  <si>
    <t>Muhammad Waqas</t>
  </si>
  <si>
    <t>0333-3455790</t>
  </si>
  <si>
    <t>BWV-941</t>
  </si>
  <si>
    <t>KHI/HO/D/MO/PC COMP/P/110080/06/2025</t>
  </si>
  <si>
    <t>Shazia Babar</t>
  </si>
  <si>
    <t>0333-3811163</t>
  </si>
  <si>
    <t>BWY-293</t>
  </si>
  <si>
    <t>YARIS GLI CVT</t>
  </si>
  <si>
    <t>KHI/HO/D/MO/PC COMP/P/110005/06/2025</t>
  </si>
  <si>
    <t>Raheel Asghar</t>
  </si>
  <si>
    <t>0326-7666223</t>
  </si>
  <si>
    <t>BYX-298</t>
  </si>
  <si>
    <t>KHI/HO/D/MO/PC COMP/P/110055/06/2025</t>
  </si>
  <si>
    <t>Samana Rashid</t>
  </si>
  <si>
    <t>0300-8221869</t>
  </si>
  <si>
    <t>ATJ-949</t>
  </si>
  <si>
    <t>COROLLA GLI</t>
  </si>
  <si>
    <t>Direct Renewal (May-2025)</t>
  </si>
  <si>
    <t>LHR/LHR/D/MO/PC COMP/P/109860/06/2025</t>
  </si>
  <si>
    <t>Kashif Iqbal Malik</t>
  </si>
  <si>
    <t>0333-4242848</t>
  </si>
  <si>
    <t>APL-4</t>
  </si>
  <si>
    <t>Retail Renewal (May-2025)</t>
  </si>
  <si>
    <t>KHI/HO/D/MO/PD COMP/P/110175/06/2025</t>
  </si>
  <si>
    <t>Muhammad Tayyab</t>
  </si>
  <si>
    <t>0323-4179417</t>
  </si>
  <si>
    <t>ALP-818</t>
  </si>
  <si>
    <t>Suzuki Swift GL CVT</t>
  </si>
  <si>
    <t>-</t>
  </si>
  <si>
    <t>Pay As You Drive</t>
  </si>
  <si>
    <t>KHI/HO/D/MO/PC COMP/P/109768/06/2025</t>
  </si>
  <si>
    <t>ZAREEN GUL</t>
  </si>
  <si>
    <t>0333-3638261</t>
  </si>
  <si>
    <t>BRT-723</t>
  </si>
  <si>
    <t>LHR/LHR/D/MO/PC COMP/P/110518/07/2025</t>
  </si>
  <si>
    <t>Shehar Bano</t>
  </si>
  <si>
    <t>0332-9253454</t>
  </si>
  <si>
    <t>AYW-172</t>
  </si>
  <si>
    <t>ALTO</t>
  </si>
  <si>
    <t>KHI/HO/D/MO/MC COMP/P/110077/06/2025</t>
  </si>
  <si>
    <t>Mr. Muhammad Hassan Raza</t>
  </si>
  <si>
    <t>KTD-2229</t>
  </si>
  <si>
    <t>HONDA - Prider 100</t>
  </si>
  <si>
    <t>Syed Waqas Shah</t>
  </si>
  <si>
    <t>KHI/HO/D/MO/PD COMP/P/109905/06/2025</t>
  </si>
  <si>
    <t>Shakeel Ahmed</t>
  </si>
  <si>
    <t>CBR-607</t>
  </si>
  <si>
    <t>Suzuki ALTO</t>
  </si>
  <si>
    <t>KHI/HO/D/MO/PC COMP/P/110275/06/2025</t>
  </si>
  <si>
    <t>Muhammad Noor Kamran</t>
  </si>
  <si>
    <t>BRT-862</t>
  </si>
  <si>
    <t>Fresh</t>
  </si>
  <si>
    <t>KHI/HO/D/MO/PC COMP/P/110348/07/2025</t>
  </si>
  <si>
    <t>Mr. Mufti Ehsan Waquar Ahmed</t>
  </si>
  <si>
    <t>CAB-064</t>
  </si>
  <si>
    <t>SUZUKI - ALTO VXR</t>
  </si>
  <si>
    <t>PAYD Renewal</t>
  </si>
  <si>
    <t>PAYD Renewal (July-2025)</t>
  </si>
  <si>
    <t>KHI/HO/D/MO/PC COMP/P/110556/07/2025</t>
  </si>
  <si>
    <t>Mr. Muhammad Moez Syed</t>
  </si>
  <si>
    <t>BVL-164</t>
  </si>
  <si>
    <t>SUZUKI ALTO VXR</t>
  </si>
  <si>
    <t>Direct Renewal (July-2025)</t>
  </si>
  <si>
    <t>KHI/HO/D/MO/PC COMP/P/110520/07/2025</t>
  </si>
  <si>
    <t>Mr. Adil Hussain</t>
  </si>
  <si>
    <t>BMV-766</t>
  </si>
  <si>
    <t>SUZUKI CULTUS</t>
  </si>
  <si>
    <t>KHI/HO/D/MO/PC COMP/P/110425/07/2025</t>
  </si>
  <si>
    <t>Mr. Israr Ahmed Khan</t>
  </si>
  <si>
    <t>BXB-104</t>
  </si>
  <si>
    <t>KHI/HO/D/MO/CV/P/110054/06/2025</t>
  </si>
  <si>
    <t>M.R Industries</t>
  </si>
  <si>
    <t>JZ-2455</t>
  </si>
  <si>
    <t>MASTER - FORLAND</t>
  </si>
  <si>
    <t>LHR/LHR/D/MO/PC COMP/P/109970/06/2025</t>
  </si>
  <si>
    <t>Ms. Firdose Sultana</t>
  </si>
  <si>
    <t>APG-310</t>
  </si>
  <si>
    <t>SUZUKI - ALTO VXL</t>
  </si>
  <si>
    <t>LHR/LHR/D/MO/PC COMP/P/109899/06/2025</t>
  </si>
  <si>
    <t>Ms. Ammara Lodhi</t>
  </si>
  <si>
    <t>APG-338</t>
  </si>
  <si>
    <t>LHR/LHR/D/MO/PC COMP/P/109781/06/2025</t>
  </si>
  <si>
    <t>Mrs. Mohsina Azhar</t>
  </si>
  <si>
    <t>ARY-319</t>
  </si>
  <si>
    <t>SUZUKI - Suzuki Swift</t>
  </si>
  <si>
    <t>LHR/LHR/D/MO/PC COMP/P/110032/06/2025</t>
  </si>
  <si>
    <t>Mr. Muhammad Mubeen Arif</t>
  </si>
  <si>
    <t>ASB-753</t>
  </si>
  <si>
    <t>SUZUKI - Swift GLX CVT</t>
  </si>
  <si>
    <t>KHI/HO/D/MO/PC COMP/P/110092/06/2025</t>
  </si>
  <si>
    <t>Mr. Osman Saeed Khan</t>
  </si>
  <si>
    <t>AZG-116</t>
  </si>
  <si>
    <t>FORTUNER 4X4 AT LEGENDER</t>
  </si>
  <si>
    <t>KHI/HO/D/MO/PC COMP/P/109921/06/2025</t>
  </si>
  <si>
    <t>Mr. Raja Atif Shabbir HPA Meezan Bank (Staff)</t>
  </si>
  <si>
    <t>BBB-420</t>
  </si>
  <si>
    <t>LHR/LHR/D/MO/PC COMP/P/110094/06/2025</t>
  </si>
  <si>
    <t>Mr. Habib Ullah Khan</t>
  </si>
  <si>
    <t>BCG-115</t>
  </si>
  <si>
    <t>SUZUKI - CULTUS AGS</t>
  </si>
  <si>
    <t>KHI/HO/D/MO/PC COMP/P/110242/06/2025</t>
  </si>
  <si>
    <t>Ms. Mehak Naz HPA Meezan Bank (Staff)</t>
  </si>
  <si>
    <t>BFC-768</t>
  </si>
  <si>
    <t>SUZUKI - MEHRAN VXR</t>
  </si>
  <si>
    <t>KHI/HO/D/MO/PC COMP/P/109896/06/2025</t>
  </si>
  <si>
    <t>Mr. Junaid Ahmed HPA M/s. Meezan Bank Limited Staff Loan</t>
  </si>
  <si>
    <t>BGW-557</t>
  </si>
  <si>
    <t>SUZUKI - MEHRAN VXR CNG</t>
  </si>
  <si>
    <t>KHI/HO/D/MO/PC COMP/P/110034/06/2025</t>
  </si>
  <si>
    <t>Mr. Muhammad Umer Farooq</t>
  </si>
  <si>
    <t>BH-1755</t>
  </si>
  <si>
    <t>HONDA - VEZEL HYBRID A/T</t>
  </si>
  <si>
    <t>KHI/HO/D/MO/PC COMP/P/109908/06/2025</t>
  </si>
  <si>
    <t>Mr. Imran</t>
  </si>
  <si>
    <t>BQH-884</t>
  </si>
  <si>
    <t>TOYOTA PASSO</t>
  </si>
  <si>
    <t>KHI/HO/D/MO/PC COMP/P/109985/06/2025</t>
  </si>
  <si>
    <t>Mr. Ghulam Saqlain</t>
  </si>
  <si>
    <t>BUP-075</t>
  </si>
  <si>
    <t>SUZUKI - ALTO</t>
  </si>
  <si>
    <t>KHI/HO/D/MO/PC COMP/P/110060/06/2025</t>
  </si>
  <si>
    <t>Mr. Mohsin Mobeen</t>
  </si>
  <si>
    <t>BWR-208</t>
  </si>
  <si>
    <t>CHANGAN - ALSVIN LUMEIRE</t>
  </si>
  <si>
    <t>KHI/HO/D/MO/PC COMP/P/109983/06/2025</t>
  </si>
  <si>
    <t>Mr. Fahad Suria</t>
  </si>
  <si>
    <t>0323-2828955 / 03212411377</t>
  </si>
  <si>
    <t>BXU-357</t>
  </si>
  <si>
    <t>KHI/HO/D/MO/PC COMP/P/109830/06/2025</t>
  </si>
  <si>
    <t>Javeriah</t>
  </si>
  <si>
    <t>BZX-595</t>
  </si>
  <si>
    <t>SUZUKI - ALTO AGS A/T</t>
  </si>
  <si>
    <t>KHI/HO/D/MO/PC COMP/P/110272/06/2025</t>
  </si>
  <si>
    <t>Maha Wadood</t>
  </si>
  <si>
    <t>CAA-952</t>
  </si>
  <si>
    <t>SUZUKI - ALTO VXL AGS</t>
  </si>
  <si>
    <t>KHI/HO/D/MO/PD COMP/P/109803/06/2025</t>
  </si>
  <si>
    <t>Mr. Touseef Khan</t>
  </si>
  <si>
    <t>0300-3588375</t>
  </si>
  <si>
    <t>BJ-4733</t>
  </si>
  <si>
    <t>MG ZS</t>
  </si>
  <si>
    <t>KHI/HO/D/MO/PD COMP/P/109863/06/2025</t>
  </si>
  <si>
    <t>Mr. Abdul Rehman</t>
  </si>
  <si>
    <t>BZW-873</t>
  </si>
  <si>
    <t>PAYD Renewal (June-2025)</t>
  </si>
  <si>
    <t>KHI/HO/D/MO/PC COMP/P/110043/06/2025</t>
  </si>
  <si>
    <t>Haleem Ul Hassan</t>
  </si>
  <si>
    <t>0300 8733901</t>
  </si>
  <si>
    <t>AGM-496</t>
  </si>
  <si>
    <t xml:space="preserve">Honda Civic </t>
  </si>
  <si>
    <t>Muhammad Danish Azhar</t>
  </si>
  <si>
    <t>Facebook</t>
  </si>
  <si>
    <t>KHI/HO/D/MO/PC COMP/P/110088/06/2025</t>
  </si>
  <si>
    <t>Steve Simon</t>
  </si>
  <si>
    <t>0327-2835001</t>
  </si>
  <si>
    <t>Un-Reg</t>
  </si>
  <si>
    <t xml:space="preserve">JAC T9 Hunter </t>
  </si>
  <si>
    <t>KHI/HO/D/MO/PC COMP/P/110264/06/2025</t>
  </si>
  <si>
    <t>Muhammad Fahad Khalid Rathore</t>
  </si>
  <si>
    <t>0345 3274286</t>
  </si>
  <si>
    <t>BWD-410</t>
  </si>
  <si>
    <t xml:space="preserve">Hyundai Elentra </t>
  </si>
  <si>
    <t>KHI/HO/D/MO/PC COMP/P/110559/07/2025</t>
  </si>
  <si>
    <t>Kamran Ali</t>
  </si>
  <si>
    <t>0300-0122937</t>
  </si>
  <si>
    <t>BRM-579</t>
  </si>
  <si>
    <t xml:space="preserve">SUZUKI - ALTO VXR </t>
  </si>
  <si>
    <t>KHI/HO/D/MO/PC COMP/P/110465/07/2025</t>
  </si>
  <si>
    <t>Muhammed Mohsin</t>
  </si>
  <si>
    <t>0305-9450243</t>
  </si>
  <si>
    <t>BBR-625</t>
  </si>
  <si>
    <t xml:space="preserve">HONDA - CITY I-VTEC </t>
  </si>
  <si>
    <t>KHI/HO/D/MO/PC COMP/P/110527/07/2025</t>
  </si>
  <si>
    <t>Latif Akbar</t>
  </si>
  <si>
    <t>0331-8976727</t>
  </si>
  <si>
    <t>SA-6822</t>
  </si>
  <si>
    <t xml:space="preserve">NISSAN - CLIPPER A/T </t>
  </si>
  <si>
    <t>KHI/HO/D/MO/PC COMP/P/110553/07/2025</t>
  </si>
  <si>
    <t>Jamil Ahmed Siddiqui</t>
  </si>
  <si>
    <t>0333-3454948</t>
  </si>
  <si>
    <t>BWY-049</t>
  </si>
  <si>
    <t xml:space="preserve">SUZUKI - ALTO </t>
  </si>
  <si>
    <t>KHI/HO/D/MO/CV/P/110552/07/2025</t>
  </si>
  <si>
    <t>Muhammad Irfan</t>
  </si>
  <si>
    <t>0313-2273281</t>
  </si>
  <si>
    <t xml:space="preserve">SUZUKI - RAVI PICK UP </t>
  </si>
  <si>
    <t>KHI/HO/D/MO/PC COMP/P/110306/07/2025</t>
  </si>
  <si>
    <t>Fizza Mashhood Jafri</t>
  </si>
  <si>
    <t>0313-0442760</t>
  </si>
  <si>
    <t>BXF-201</t>
  </si>
  <si>
    <t xml:space="preserve">PROTON - SAGA </t>
  </si>
  <si>
    <t>LHR/LHR/D/MO/PC COMP/P/110481/07/2025</t>
  </si>
  <si>
    <t>Zain Ul Abideen</t>
  </si>
  <si>
    <t>0334-7193808</t>
  </si>
  <si>
    <t>ASJ-819</t>
  </si>
  <si>
    <t xml:space="preserve">SUZUKI - Swift GLX CVT </t>
  </si>
  <si>
    <t>LHR/LHR/D/MO/PC COMP/P/110305/07/2025</t>
  </si>
  <si>
    <t>Mona Imran CNIC # 37405-61817</t>
  </si>
  <si>
    <t>0321-5365055</t>
  </si>
  <si>
    <t>AZT-172</t>
  </si>
  <si>
    <t xml:space="preserve">HONDA - BRV I-VTEC </t>
  </si>
  <si>
    <t>KHI/HO/D/MO/PC COMP/P/110549/07/2025</t>
  </si>
  <si>
    <t>Kiran</t>
  </si>
  <si>
    <t>0300-8250056</t>
  </si>
  <si>
    <t>BRM-832</t>
  </si>
  <si>
    <t xml:space="preserve">HONDA - CIVIC I-VTEC ORIEL </t>
  </si>
  <si>
    <t>LHR/LHR/D/MO/PC COMP/P/110411/07/2025</t>
  </si>
  <si>
    <t>Samia Altaf Hussain</t>
  </si>
  <si>
    <t>0332-3010097</t>
  </si>
  <si>
    <t xml:space="preserve">HONDA - CITY 1.2 LS CVT </t>
  </si>
  <si>
    <t>KHI/HO/D/MO/PC COMP/P/110508/07/2025</t>
  </si>
  <si>
    <t>Hussain Ac Ressichem Pvt Ltd</t>
  </si>
  <si>
    <t>0300-8266063</t>
  </si>
  <si>
    <t>BK-6702</t>
  </si>
  <si>
    <t xml:space="preserve">KIA - SPORTAGE AWD </t>
  </si>
  <si>
    <t>LHR/LHR/D/MO/PC COMP/P/110558/07/2025</t>
  </si>
  <si>
    <t>Muhammad Rashid Butt</t>
  </si>
  <si>
    <t>0323-6108108</t>
  </si>
  <si>
    <t>BEC-108</t>
  </si>
  <si>
    <t xml:space="preserve">HAVAL - Haval Jolion Turbo 1.5L AT </t>
  </si>
  <si>
    <t>KHI/HO/D/MO/PC COMP/P/110445/07/2025</t>
  </si>
  <si>
    <t>Asfara Tariq</t>
  </si>
  <si>
    <t>BG-6037</t>
  </si>
  <si>
    <t xml:space="preserve">TOYOTA - FORTUNER </t>
  </si>
  <si>
    <t>LHR/LHR/D/MO/PC COMP/P/110413/07/2025</t>
  </si>
  <si>
    <t>Fazal Ali</t>
  </si>
  <si>
    <t>0333-5423421</t>
  </si>
  <si>
    <t>BEC-720</t>
  </si>
  <si>
    <t>KHI/HO/D/MO/PC COMP/P/109884/06/2025</t>
  </si>
  <si>
    <t>Toyota Central Motors User Iqbal Fareed</t>
  </si>
  <si>
    <t>0346-8222391</t>
  </si>
  <si>
    <t>BPX-355</t>
  </si>
  <si>
    <t xml:space="preserve">SUZUKI - WAGON R VXL </t>
  </si>
  <si>
    <t>KHI/HO/D/MO/PC COMP/P/109885/06/2025</t>
  </si>
  <si>
    <t>Toyota Central Motors User Shahid Ilyas</t>
  </si>
  <si>
    <t>0300-2953245</t>
  </si>
  <si>
    <t>BKU-806</t>
  </si>
  <si>
    <t xml:space="preserve">SUZUKI - CULTUS </t>
  </si>
  <si>
    <t>KHI/HO/D/MO/PC COMP/P/109903/06/2025</t>
  </si>
  <si>
    <t>Gul Faraz Khan</t>
  </si>
  <si>
    <t>0300-2647043</t>
  </si>
  <si>
    <t>BWC-254</t>
  </si>
  <si>
    <t>LHR/LHR/D/MO/PC COMP/P/109982/06/2025</t>
  </si>
  <si>
    <t>Nasir Wakeel</t>
  </si>
  <si>
    <t>0308-6110710</t>
  </si>
  <si>
    <t>ARW 722</t>
  </si>
  <si>
    <t xml:space="preserve">SUZUKI - ALTO AGS A/T </t>
  </si>
  <si>
    <t>LHR/LHR/D/MO/PC COMP/P/109800/06/2025</t>
  </si>
  <si>
    <t>Farhana Gulshan</t>
  </si>
  <si>
    <t>0331-8686243</t>
  </si>
  <si>
    <t>ASE-528</t>
  </si>
  <si>
    <t xml:space="preserve">SUZUKI - ALTO VXL AGS </t>
  </si>
  <si>
    <t>KHI/HO/D/MO/PC COMP/P/110081/06/2025</t>
  </si>
  <si>
    <t>Sheerin Ashhar</t>
  </si>
  <si>
    <t>0321-4421065</t>
  </si>
  <si>
    <t>ATX-577</t>
  </si>
  <si>
    <t>LHR/LHR/D/MO/PC COMP/P/110093/06/2025</t>
  </si>
  <si>
    <t>Habib Ullah Khan</t>
  </si>
  <si>
    <t>0330-5485656</t>
  </si>
  <si>
    <t>AVU-378</t>
  </si>
  <si>
    <t xml:space="preserve">TOYOTA COROLLA GRAND X </t>
  </si>
  <si>
    <t>KHI/HO/D/MO/PC COMP/P/109801/06/2025</t>
  </si>
  <si>
    <t>Sohail Ahmed</t>
  </si>
  <si>
    <t>BBF-140</t>
  </si>
  <si>
    <t xml:space="preserve">TOYOTA - COROLLA </t>
  </si>
  <si>
    <t>KHI/HO/D/MO/PC COMP/P/109977/06/2025</t>
  </si>
  <si>
    <t>Sehr Pirzada</t>
  </si>
  <si>
    <t>0306-2740771</t>
  </si>
  <si>
    <t>BD-3565</t>
  </si>
  <si>
    <t xml:space="preserve">TOYOTA - LAND CRUISER PRADO TZ </t>
  </si>
  <si>
    <t>KHI/HO/D/MO/PC COMP/P/109767/06/2025</t>
  </si>
  <si>
    <t>Muzafar Hussain Talpur</t>
  </si>
  <si>
    <t>0333-7141203</t>
  </si>
  <si>
    <t>BQR-347</t>
  </si>
  <si>
    <t>TOYOTA
COROLLA GLI</t>
  </si>
  <si>
    <t>KHI/HO/D/MO/PC COMP/P/110148/06/2025</t>
  </si>
  <si>
    <t>Talat Abbasi</t>
  </si>
  <si>
    <t>0333-2112311</t>
  </si>
  <si>
    <t>BTT-649</t>
  </si>
  <si>
    <t xml:space="preserve">SUZUKI - ALTO VXR E-2 </t>
  </si>
  <si>
    <t>KHI/HO/D/MO/PC COMP/P/110132/06/2025</t>
  </si>
  <si>
    <t>Muhammad Waqar Shaikh</t>
  </si>
  <si>
    <t>0333-2168273</t>
  </si>
  <si>
    <t>BWG-868</t>
  </si>
  <si>
    <t>KHI/HO/D/MO/PC COMP/P/109975/06/2025</t>
  </si>
  <si>
    <t>Nidae Fatima Asim</t>
  </si>
  <si>
    <t>0315-2100200</t>
  </si>
  <si>
    <t>BZZ-719</t>
  </si>
  <si>
    <t>SUZUKI - ALTO VXL AGS 2024</t>
  </si>
  <si>
    <t>KHI/HO/D/MO/PC COMP/P/110243/06/2025</t>
  </si>
  <si>
    <t>Misbah Rizwan</t>
  </si>
  <si>
    <t>CZ-7583</t>
  </si>
  <si>
    <t xml:space="preserve">SUZUKI - BOLAN </t>
  </si>
  <si>
    <t>LHR/LHR/D/MO/PC COMP/P/109849/06/2025</t>
  </si>
  <si>
    <t>Muhammad Arif Qazi</t>
  </si>
  <si>
    <t>0321-5005529</t>
  </si>
  <si>
    <t>EF-263</t>
  </si>
  <si>
    <t xml:space="preserve">HONDA - CITY ASPIRE M/T </t>
  </si>
  <si>
    <t>KHI/HO/D/MO/PC COMP/P/110146/06/2025</t>
  </si>
  <si>
    <t>Muhammad Bin Majid</t>
  </si>
  <si>
    <t>0332-8911128</t>
  </si>
  <si>
    <t>FG-499</t>
  </si>
  <si>
    <t xml:space="preserve">TOYOTA - COROLLA ALTIS 1.6 </t>
  </si>
  <si>
    <t>KHI/HO/D/MO/PD COMP/P/110147/06/2025</t>
  </si>
  <si>
    <t>Younus Abdul Hameed</t>
  </si>
  <si>
    <t>0333-3256182</t>
  </si>
  <si>
    <t>CZ-2002</t>
  </si>
  <si>
    <t xml:space="preserve">DAIHATSU - HIJET VAN A/T </t>
  </si>
  <si>
    <t>KHI/HO/D/MO/PC COMP/P/109894/06/2025</t>
  </si>
  <si>
    <t>Syed Musharraf Ali</t>
  </si>
  <si>
    <t>0333-3431015</t>
  </si>
  <si>
    <t>BRC-309</t>
  </si>
  <si>
    <t>SUZUKI ALTO VXL</t>
  </si>
  <si>
    <t>Moied Shamoon</t>
  </si>
  <si>
    <t>KHI/HO/D/MO/PC COMP/P/110095/06/2025</t>
  </si>
  <si>
    <t>Ahmad Shoukat</t>
  </si>
  <si>
    <t>0306-1981111</t>
  </si>
  <si>
    <t>LEA-18A-4082</t>
  </si>
  <si>
    <t xml:space="preserve">Suzuki Wagon R </t>
  </si>
  <si>
    <t>KHI/HO/D/MO/PC COMP/P/110456/07/2025</t>
  </si>
  <si>
    <t>Mr. Shahid Ahmed</t>
  </si>
  <si>
    <t>0333-2053266</t>
  </si>
  <si>
    <t>CAB-252</t>
  </si>
  <si>
    <t>SUZUKI - ALTO VX</t>
  </si>
  <si>
    <t>KHI/HO/D/MO/PC COMP/P/110522/07/2025</t>
  </si>
  <si>
    <t>Mr. Muhammad Shahbaz</t>
  </si>
  <si>
    <t>0303-2966004</t>
  </si>
  <si>
    <t>BXH-847</t>
  </si>
  <si>
    <t>KHI/HO/D/MO/PC COMP/P/110563/07/2025</t>
  </si>
  <si>
    <t>BXC-293</t>
  </si>
  <si>
    <t>KHI/HO/D/MO/PC COMP/P/110354/07/2025</t>
  </si>
  <si>
    <t>Mr. Raza Ali</t>
  </si>
  <si>
    <t>0336-8473291</t>
  </si>
  <si>
    <t>BXD-164</t>
  </si>
  <si>
    <t>LHR/LHR/D/MO/PC COMP/P/110307/07/2025</t>
  </si>
  <si>
    <t>Mr. Arsalan Ahmad</t>
  </si>
  <si>
    <t>0309-9333297</t>
  </si>
  <si>
    <t>ADX 998</t>
  </si>
  <si>
    <t>SUZUKI - CULTUS VXL</t>
  </si>
  <si>
    <t>LHR/LHR/D/MO/PC COMP/P/110408/07/2025</t>
  </si>
  <si>
    <t xml:space="preserve">Mr. Irfan Ahmad </t>
  </si>
  <si>
    <t>0334-9986690</t>
  </si>
  <si>
    <t>ASG-601</t>
  </si>
  <si>
    <t>SUZUKI - Swift GLX VVT</t>
  </si>
  <si>
    <t>KHI/HO/D/MO/PC COMP/P/110551/07/2025</t>
  </si>
  <si>
    <t>Mr. Shaoor Nafees</t>
  </si>
  <si>
    <t>0347-2240087</t>
  </si>
  <si>
    <t>BSX-142</t>
  </si>
  <si>
    <t>TOYOTA - COROLLA ALTIS 1.5</t>
  </si>
  <si>
    <t>KHI/HO/D/MO/PC COMP/P/110489/07/2025</t>
  </si>
  <si>
    <t>M/s. Bari's Technology Solution</t>
  </si>
  <si>
    <t>0318-2165245</t>
  </si>
  <si>
    <t>BXC-766</t>
  </si>
  <si>
    <t>BXD-766</t>
  </si>
  <si>
    <t>LHR/LHR/D/MO/PC COMP/P/110418/07/2025</t>
  </si>
  <si>
    <t>Mrs. Ayesha Sajid</t>
  </si>
  <si>
    <t>0313 8844312</t>
  </si>
  <si>
    <t>ASF-609</t>
  </si>
  <si>
    <t>HYUNDAI - Elantra GLS Sports</t>
  </si>
  <si>
    <t>LHR/LHR/D/MO/PC COMP/P/110483/07/2025</t>
  </si>
  <si>
    <t>Mr. Muhammad Asim Khan</t>
  </si>
  <si>
    <t>AZJ-735</t>
  </si>
  <si>
    <t>KIA - SORENTO 2.4 L AWD</t>
  </si>
  <si>
    <t>LHR/LHR/D/MO/PC COMP/P/110493/07/2025</t>
  </si>
  <si>
    <t>Mr. Abdul Rauf</t>
  </si>
  <si>
    <t>0322-4360668</t>
  </si>
  <si>
    <t>AZJ-289</t>
  </si>
  <si>
    <t>HYUNDAI - TUCSON</t>
  </si>
  <si>
    <t>KHI/HO/D/MO/PC COMP/P/110391/07/2025</t>
  </si>
  <si>
    <t>Mr. Muhammad Saqlain Siddiqui</t>
  </si>
  <si>
    <t>0331-2447216</t>
  </si>
  <si>
    <t>CAA-477</t>
  </si>
  <si>
    <t>TOYOTA - COROLLA ALTIS GRANDE</t>
  </si>
  <si>
    <t>KHI/HO/D/MO/PC COMP/P/109881/06/2025</t>
  </si>
  <si>
    <t>Abdul Ghaffar</t>
  </si>
  <si>
    <t>0310-0914111</t>
  </si>
  <si>
    <t>BRS-249</t>
  </si>
  <si>
    <t>LHR/LHR/D/MO/PC COMP/P/110144/06/2025</t>
  </si>
  <si>
    <t>Mr. Dilshad Hussain</t>
  </si>
  <si>
    <t>0302-9009177</t>
  </si>
  <si>
    <t>APB 557</t>
  </si>
  <si>
    <t>LHR/LHR/D/MO/PC COMP/P/109780/06/2025</t>
  </si>
  <si>
    <t>Mr. Muhammad Fawad Sehgal</t>
  </si>
  <si>
    <t>0336-9507924</t>
  </si>
  <si>
    <t>AYD-357</t>
  </si>
  <si>
    <t>SUZUKI - Swift GL CVT</t>
  </si>
  <si>
    <t>KHI/HO/D/MO/PC COMP/P/110246/06/2025</t>
  </si>
  <si>
    <t>M/S BANK ALFALAH</t>
  </si>
  <si>
    <t>0333-3675740</t>
  </si>
  <si>
    <t>BGQ-200</t>
  </si>
  <si>
    <t>MERCEDES - MERCEDEZ BENZ</t>
  </si>
  <si>
    <t>KHI/HO/D/MO/PC COMP/P/109984/06/2025</t>
  </si>
  <si>
    <t xml:space="preserve">Nasir WakeelP.E.C.H.S Medical Foundation Trust User Mr. Waris Awan </t>
  </si>
  <si>
    <t>0300-2018411</t>
  </si>
  <si>
    <t>BJ-4550</t>
  </si>
  <si>
    <t xml:space="preserve">TOYOTA - FORTUNER 645B 4X2 AT G </t>
  </si>
  <si>
    <t>KHI/HO/D/MO/PC COMP/P/109937/06/2025</t>
  </si>
  <si>
    <t>Mr. Khurram Sadiq</t>
  </si>
  <si>
    <t>0333-3932211</t>
  </si>
  <si>
    <t>BMS-189</t>
  </si>
  <si>
    <t>HONDA - CIVIC 1.8 I-VTEC VTI</t>
  </si>
  <si>
    <t>KHI/HO/D/MO/PC COMP/P/110143/06/2025</t>
  </si>
  <si>
    <t>Javed Akhtar</t>
  </si>
  <si>
    <t>0312-3552686</t>
  </si>
  <si>
    <t>BRA-326</t>
  </si>
  <si>
    <t>KHI/HO/D/MO/PC COMP/P/110261/06/2025</t>
  </si>
  <si>
    <t>Toyota Central Motors User Muhammad Siraj Ul Haq</t>
  </si>
  <si>
    <t>0333-7822427</t>
  </si>
  <si>
    <t>BWU-417</t>
  </si>
  <si>
    <t>TOYOTA - YARIS GLI CVT</t>
  </si>
  <si>
    <t>KHI/HO/D/MO/PC COMP/P/110159/06/2025</t>
  </si>
  <si>
    <t>Mr. Muhammad Ali Saleem</t>
  </si>
  <si>
    <t>0333-3174847</t>
  </si>
  <si>
    <t>BWV-540</t>
  </si>
  <si>
    <t>KHI/HO/D/MO/PC COMP/P/109805/06/2025</t>
  </si>
  <si>
    <t>Jamil Ahmed Memon</t>
  </si>
  <si>
    <t>0333-2173081</t>
  </si>
  <si>
    <t>BZX-241</t>
  </si>
  <si>
    <t>SUZUKI - WAGON R VXL AGS</t>
  </si>
  <si>
    <t>KHI/HO/D/MO/PC COMP/P/110166/06/2025</t>
  </si>
  <si>
    <t>Farhan Hafeez</t>
  </si>
  <si>
    <t>0332-3483278</t>
  </si>
  <si>
    <t>BZZ-461</t>
  </si>
  <si>
    <t>KHI/HO/D/MO/PC COMP/P/110042/06/2025</t>
  </si>
  <si>
    <t>Rabee Hamid</t>
  </si>
  <si>
    <t>BZZ-974</t>
  </si>
  <si>
    <t xml:space="preserve">SUZUKI - ALTO VXL </t>
  </si>
  <si>
    <t>KHI/HO/D/MO/PC COMP/P/109925/06/2025</t>
  </si>
  <si>
    <t>Bashir Sultan</t>
  </si>
  <si>
    <t>0302-2276719</t>
  </si>
  <si>
    <t>LHR/LHR/D/MO/PC COMP/P/109856/06/2025</t>
  </si>
  <si>
    <t>Miss. Misha Mahmood</t>
  </si>
  <si>
    <t>0300-4447415</t>
  </si>
  <si>
    <t>KIA - PICANTO A/T</t>
  </si>
  <si>
    <t>LHR/LHR/D/MO/PC COMP/P/109907/06/2025</t>
  </si>
  <si>
    <t>Mr. Malik Muhammad Shakeel Akram</t>
  </si>
  <si>
    <t>0321-5255278</t>
  </si>
  <si>
    <t>YJ-78</t>
  </si>
  <si>
    <t>Honda CITY CVT PT 1.2</t>
  </si>
  <si>
    <t>KHI/HO/D/MO/PC COMP/P/109945/06/2025</t>
  </si>
  <si>
    <t>Javeria Ali Khan</t>
  </si>
  <si>
    <t>0335-9269898</t>
  </si>
  <si>
    <t>BWY-617</t>
  </si>
  <si>
    <t xml:space="preserve">SUZUKI - Swift GL CVT </t>
  </si>
  <si>
    <t>LHR/LHR/D/MO/PC COMP/P/110091/06/2025</t>
  </si>
  <si>
    <t>Muhammad Idrees</t>
  </si>
  <si>
    <t>0302-4601607</t>
  </si>
  <si>
    <t>LEE-19-9214</t>
  </si>
  <si>
    <t>Retail Renewal (April-2025)</t>
  </si>
  <si>
    <t>LHR/LHR/D/MO/PC COMP/P/110223/06/2025</t>
  </si>
  <si>
    <t>Mr. Shafiq Khan</t>
  </si>
  <si>
    <t>0323-4526120</t>
  </si>
  <si>
    <t>ANY 278</t>
  </si>
  <si>
    <t>PEUGEOT - Peugeot</t>
  </si>
  <si>
    <t>KHI/HO/D/MO/PC COMP/P/109950/06/202</t>
  </si>
  <si>
    <t>Mr. Rooman Khan</t>
  </si>
  <si>
    <t>BWQ-584</t>
  </si>
  <si>
    <t>Renewal</t>
  </si>
  <si>
    <t>KHI/HO/D/MO/PD COMP/P/109959/06/2025</t>
  </si>
  <si>
    <t xml:space="preserve">Mr Ibad Ul Haq Quddusi  </t>
  </si>
  <si>
    <t>0334-2849714</t>
  </si>
  <si>
    <t>BM-2165</t>
  </si>
  <si>
    <t xml:space="preserve">Peugeot Turbo Active </t>
  </si>
  <si>
    <t>KHI/HO/D/MO/PC COMP/P/110427/07/2025</t>
  </si>
  <si>
    <t xml:space="preserve">Mr. Imran Habib </t>
  </si>
  <si>
    <t> 0333-2323043</t>
  </si>
  <si>
    <t>BXE-515</t>
  </si>
  <si>
    <t>CITY ASPIRE M/T</t>
  </si>
  <si>
    <t>RizwanUllah Aman</t>
  </si>
  <si>
    <t>KHI/HO/D/MO/PC COMP/P/110521/07/2025</t>
  </si>
  <si>
    <t>Mr. Muhammad Faraz Bin Sabir</t>
  </si>
  <si>
    <t>0345-8205578</t>
  </si>
  <si>
    <t>BTA-737</t>
  </si>
  <si>
    <t>YARIS ATIV CVT</t>
  </si>
  <si>
    <t>KHI/HO/D/MO/PC COMP/P/110555/07/2025</t>
  </si>
  <si>
    <t>M/s. Mustaqeem Marketing Co.</t>
  </si>
  <si>
    <t>0300 8269787/0321-2300356</t>
  </si>
  <si>
    <t>BSX-058</t>
  </si>
  <si>
    <t>PICANTO 1.0L A/T</t>
  </si>
  <si>
    <t>KHI/HO/D/MO/PC COMP/P/110164/06/2025</t>
  </si>
  <si>
    <t>Mr. Sajjad Ali Sajid</t>
  </si>
  <si>
    <t>0310-2082777</t>
  </si>
  <si>
    <t>CBW-086</t>
  </si>
  <si>
    <t>KHI/HO/D/MO/PD COMP/P/110062/06/2025</t>
  </si>
  <si>
    <t>Mr. Jahanzaib Khan</t>
  </si>
  <si>
    <t>0345-8909814</t>
  </si>
  <si>
    <t>BWF-790</t>
  </si>
  <si>
    <t>ALTO VXL</t>
  </si>
  <si>
    <t>KHI/HO/D/MO/PC COMP/P/110507/07/2025</t>
  </si>
  <si>
    <t>Mr. Khuda Dino Memon</t>
  </si>
  <si>
    <t>BPM-362</t>
  </si>
  <si>
    <t>KHI/HO/D/MO/PC COMP/P/110499/07/2025</t>
  </si>
  <si>
    <t>Mr. Hussain</t>
  </si>
  <si>
    <t>BG-9588</t>
  </si>
  <si>
    <t>KHI/HO/D/MO/PC COMP/P/110295/07/2025</t>
  </si>
  <si>
    <t>Mr. Muhammad Shafi</t>
  </si>
  <si>
    <t>OK-17-30</t>
  </si>
  <si>
    <t>KHI/HO/D/MO/PC COMP/P/110377/07/2025</t>
  </si>
  <si>
    <t>Syed Muhammad Arfeen</t>
  </si>
  <si>
    <t>0332-3758334/0311-2258743</t>
  </si>
  <si>
    <t>BKA-307</t>
  </si>
  <si>
    <t>LHR/LHR/D/MO/PC COMP/P/110183/06/2025</t>
  </si>
  <si>
    <t>M/S. STAHLCO ENGINEERING (PVT) LTD</t>
  </si>
  <si>
    <t>0321-4831868</t>
  </si>
  <si>
    <t>AKU-052</t>
  </si>
  <si>
    <t>TUSCON AWD</t>
  </si>
  <si>
    <t>KHI/HO/D/MO/PC COMP/P/110135/06/2025</t>
  </si>
  <si>
    <t>Mrs. Shaheena Shafqaat</t>
  </si>
  <si>
    <t>0300-8404742</t>
  </si>
  <si>
    <t>AKU-712</t>
  </si>
  <si>
    <t>LHR/LHR/D/MO/PC COMP/P/109755/06/2025</t>
  </si>
  <si>
    <t>Mrs. Sana Batool Zaidi</t>
  </si>
  <si>
    <t>0330-2258433</t>
  </si>
  <si>
    <t>CITY A/T</t>
  </si>
  <si>
    <t>LHR/LHR/D/MO/PC COMP/P/110129/06/2025</t>
  </si>
  <si>
    <t>Mr. Muhammad Abid Hussain</t>
  </si>
  <si>
    <t>0322-8560123</t>
  </si>
  <si>
    <t>AVH-417</t>
  </si>
  <si>
    <t xml:space="preserve">CIVIC 1.8 I-VTEC </t>
  </si>
  <si>
    <t>KHI/HO/D/MO/PC COMP/P/110002/06/2025</t>
  </si>
  <si>
    <t>Mr. Anwar Ali Bardai</t>
  </si>
  <si>
    <t>0333-2229380</t>
  </si>
  <si>
    <t>AZH-588</t>
  </si>
  <si>
    <t>SWIFT GL M/T</t>
  </si>
  <si>
    <t>KHI/HO/D/MO/PC COMP/P/109955/06/2025</t>
  </si>
  <si>
    <t>Mr. Asad Ullah Saleem</t>
  </si>
  <si>
    <t>0345-2383948</t>
  </si>
  <si>
    <t>BM-2308</t>
  </si>
  <si>
    <t>TUCSON FWD</t>
  </si>
  <si>
    <t>KHI/HO/D/MO/PC COMP/P/110117/06/2025</t>
  </si>
  <si>
    <t>Mr. Muhammad Atif</t>
  </si>
  <si>
    <t>0313-0053262</t>
  </si>
  <si>
    <t>BPG-417</t>
  </si>
  <si>
    <t>CULTUS VXL</t>
  </si>
  <si>
    <t>KHI/HO/D/MO/PC COMP/P/110035/06/2025</t>
  </si>
  <si>
    <t>Mr. Syed Tauqeer Hussain Hashmi</t>
  </si>
  <si>
    <t>0316-1058726</t>
  </si>
  <si>
    <t>BTV-122</t>
  </si>
  <si>
    <t>SWIFT A/T</t>
  </si>
  <si>
    <t>KHI/HO/D/MO/PC COMP/P/109953/06/2025</t>
  </si>
  <si>
    <t>Jalil Ahmed Farooqui</t>
  </si>
  <si>
    <t>0302-8261155</t>
  </si>
  <si>
    <t>BUL-127</t>
  </si>
  <si>
    <t>KHI/HO/D/MO/PC COMP/P/109980/06/2025</t>
  </si>
  <si>
    <t>M/s. Pakistan Employee Co-Operative Housing Society User Humayun Anwar</t>
  </si>
  <si>
    <t>0300-2516080</t>
  </si>
  <si>
    <t>BWW-867</t>
  </si>
  <si>
    <t>KHI/HO/D/MO/PC COMP/P/109944/06/2025</t>
  </si>
  <si>
    <t>Nasreen Pervaiz</t>
  </si>
  <si>
    <t>0341-2605422</t>
  </si>
  <si>
    <t>BZW-856</t>
  </si>
  <si>
    <t>LHR/LHR/D/MO/PC COMP/P/109965/06/2025</t>
  </si>
  <si>
    <t>Mr. Umer Farooq Usmani</t>
  </si>
  <si>
    <t>0333-2439596</t>
  </si>
  <si>
    <t>LEH-17-2241</t>
  </si>
  <si>
    <t>CULTUS</t>
  </si>
  <si>
    <t>KHI/HO/D/MO/PC COMP/P/110121/06/2025</t>
  </si>
  <si>
    <t>Mr. Adnan Mustafa</t>
  </si>
  <si>
    <t>0300-8249981</t>
  </si>
  <si>
    <t>REVO ROCCO</t>
  </si>
  <si>
    <t>KHI/HO/D/MO/PC COMP/P/110215/06/2025</t>
  </si>
  <si>
    <t>Mr. Usamah Waheed</t>
  </si>
  <si>
    <t>0300-5092921</t>
  </si>
  <si>
    <t>KHI/HO/D/MO/PD COMP/P/109770/06/2025</t>
  </si>
  <si>
    <t>Mr. Afzan Ahmad</t>
  </si>
  <si>
    <t>49-1521-1213891</t>
  </si>
  <si>
    <t>AEE-245</t>
  </si>
  <si>
    <t>KHI/HO/D/MO/PD COMP/P/109927/06/2025</t>
  </si>
  <si>
    <t>0300-9381843</t>
  </si>
  <si>
    <t>BYJ-940</t>
  </si>
  <si>
    <t>CIVIC</t>
  </si>
  <si>
    <t>KHI/HO/D/MO/PC COMP/P/110497/07/2025</t>
  </si>
  <si>
    <t>EHSAN (PRIVATE) LIMITED</t>
  </si>
  <si>
    <t>Un-Registered</t>
  </si>
  <si>
    <t>Muhammad Qiran Siddiqui</t>
  </si>
  <si>
    <t>KHI/HO/D/MO/PC COMP/P/110137/06/2025</t>
  </si>
  <si>
    <t>Mr. Aamir Naeem</t>
  </si>
  <si>
    <t>0343-7495030</t>
  </si>
  <si>
    <t>CY-8397</t>
  </si>
  <si>
    <t>HIJET CARGO</t>
  </si>
  <si>
    <t>Muhammad Qiran siddiqui</t>
  </si>
  <si>
    <t>KHI/HO/D/MO/PC COMP/P/110334/07/2025</t>
  </si>
  <si>
    <t>Mrs. Sofia Tariq</t>
  </si>
  <si>
    <t>0300-8442373</t>
  </si>
  <si>
    <t>AKG-988</t>
  </si>
  <si>
    <t>TOYOTA COROLLA ALTIS 1.6</t>
  </si>
  <si>
    <t>LHR/LHR/D/MO/PC COMP/P/110294/07/2025</t>
  </si>
  <si>
    <t>Mr. Mir Akber Ali Khan</t>
  </si>
  <si>
    <t>0312-3355007</t>
  </si>
  <si>
    <t>CAB-880</t>
  </si>
  <si>
    <t>HONDA CITY ASPIRE CVT PT 1.5L</t>
  </si>
  <si>
    <t>KHI/HO/D/MO/PC COMP/P/110438/07/2025</t>
  </si>
  <si>
    <t>Mr. Asif Saeed</t>
  </si>
  <si>
    <t>0300-2119946</t>
  </si>
  <si>
    <t>BM-3551</t>
  </si>
  <si>
    <t>H6 Turbo</t>
  </si>
  <si>
    <t>Retail Renewal (JULY-2025)</t>
  </si>
  <si>
    <t>KHI/HO/D/MO/PC COMP/P/110302/07/2025</t>
  </si>
  <si>
    <t>Mr. Muhammad Hashim Ghani</t>
  </si>
  <si>
    <t xml:space="preserve"> 0300-2019211</t>
  </si>
  <si>
    <t>BJV-107</t>
  </si>
  <si>
    <t>CIAZ A/T</t>
  </si>
  <si>
    <t>Direct Renewal (JULY-2025)</t>
  </si>
  <si>
    <t>KHI/HO/D/MO/PC COMP/P/110356/07/2025</t>
  </si>
  <si>
    <t>Syed Khizer Javed Ahmed Jafri</t>
  </si>
  <si>
    <t>0321-2698420</t>
  </si>
  <si>
    <t>CAB-904</t>
  </si>
  <si>
    <t xml:space="preserve">TOYOTA - YARIS </t>
  </si>
  <si>
    <t>KHI/HO/D/MO/PC COMP/P/110052/06/2025</t>
  </si>
  <si>
    <t>0313-2816156</t>
  </si>
  <si>
    <t>BGQ-018</t>
  </si>
  <si>
    <t xml:space="preserve">CULTUS </t>
  </si>
  <si>
    <t>LHR/LHR/D/MO/PC COMP/P/109948/06/2025</t>
  </si>
  <si>
    <t>Mr. Mohammad Imran Sajid</t>
  </si>
  <si>
    <t>0309-1846279</t>
  </si>
  <si>
    <t>APC-079</t>
  </si>
  <si>
    <t>WAGON R VXL AGS</t>
  </si>
  <si>
    <t>LHR/LHR/D/MO/PC COMP/P/109887/06/2025</t>
  </si>
  <si>
    <t>Mrs. Sammar Min Allah HPA Habib Bank Limited</t>
  </si>
  <si>
    <t>0303-5872022</t>
  </si>
  <si>
    <t>ARZ-487</t>
  </si>
  <si>
    <t>KHI/HO/D/MO/PC COMP/P/110150/06/2025</t>
  </si>
  <si>
    <t>Chaudhry Muhammad Naeem</t>
  </si>
  <si>
    <t>0300-9431630</t>
  </si>
  <si>
    <t>ASZ-463</t>
  </si>
  <si>
    <t>Swift GLX VVT</t>
  </si>
  <si>
    <t>KHI/HO/D/MO/PC COMP/P/110020/06/2025</t>
  </si>
  <si>
    <t>Mr. Akmal Rashid</t>
  </si>
  <si>
    <t>AXZ-510</t>
  </si>
  <si>
    <t>LHR/LHR/D/MO/PC COMP/P/110161/06/2025</t>
  </si>
  <si>
    <t>Mr. Muhammad Faizan Usman</t>
  </si>
  <si>
    <t>0333-5580583</t>
  </si>
  <si>
    <t>AZG-499</t>
  </si>
  <si>
    <t>KHI/HO/D/MO/PC COMP/P/109969/06/2025</t>
  </si>
  <si>
    <t>Nusrat Jahan</t>
  </si>
  <si>
    <t>0335-2315878</t>
  </si>
  <si>
    <t>BAM-128</t>
  </si>
  <si>
    <t>COROLLA 1.3 XLI</t>
  </si>
  <si>
    <t>LHR/LHR/D/MO/PC COMP/P/110178/06/2025</t>
  </si>
  <si>
    <t>Mr. Muhammad Aurang Zaib</t>
  </si>
  <si>
    <t>0300-9527175</t>
  </si>
  <si>
    <t>BCE-709</t>
  </si>
  <si>
    <t>KHI/HO/D/MO/PC COMP/P/109952/06/2025</t>
  </si>
  <si>
    <t>Mr. Faisal Zahid</t>
  </si>
  <si>
    <t>0300-8241592</t>
  </si>
  <si>
    <t>BK-2268</t>
  </si>
  <si>
    <t>STONIC EX PLUS 1.368 L</t>
  </si>
  <si>
    <t>KHI/HO/D/MO/PC COMP/P/109819/06/2025</t>
  </si>
  <si>
    <t>Mr. Faisal Jabbar</t>
  </si>
  <si>
    <t>BK-9197</t>
  </si>
  <si>
    <t>FORTUNER</t>
  </si>
  <si>
    <t>KHI/HO/D/MO/PC COMP/P/110200/06/2025</t>
  </si>
  <si>
    <t>Asif Agha</t>
  </si>
  <si>
    <t>0322-2242988</t>
  </si>
  <si>
    <t>BL-3825</t>
  </si>
  <si>
    <t xml:space="preserve">TUCSON </t>
  </si>
  <si>
    <t>KHI/HO/D/MO/PC COMP/P/109875/06/2025</t>
  </si>
  <si>
    <t>Mr. Muhammad Waqar Shaikh</t>
  </si>
  <si>
    <t>BM-1657</t>
  </si>
  <si>
    <t>KHI/HO/D/MO/PC COMP/P/110269/06/2025</t>
  </si>
  <si>
    <t>Mr. Shahrukh Zahid</t>
  </si>
  <si>
    <t>BMR-334</t>
  </si>
  <si>
    <t>SUZUKI SPACIA</t>
  </si>
  <si>
    <t>KHI/HO/D/MO/PC COMP/P/110210/06/2025</t>
  </si>
  <si>
    <t>Mr. Awais Mohammad Yousuf</t>
  </si>
  <si>
    <t>0300-5554480</t>
  </si>
  <si>
    <t>BQ-1217</t>
  </si>
  <si>
    <t>KHI/HO/D/MO/PC COMP/P/110075/06/2025</t>
  </si>
  <si>
    <t>EHSAN SHARIAH ADVISORS AND CONSULTANTS (PRIVATE) LIMITED</t>
  </si>
  <si>
    <t>0300-8286191</t>
  </si>
  <si>
    <t>BQZ-965</t>
  </si>
  <si>
    <t xml:space="preserve">COROLLA GLI </t>
  </si>
  <si>
    <t>KHI/HO/D/MO/PC COMP/P/110016/06/2025</t>
  </si>
  <si>
    <t>Mr. Muhammad Akbar Saeed</t>
  </si>
  <si>
    <t>BTV-448</t>
  </si>
  <si>
    <t>HONDA - CITY</t>
  </si>
  <si>
    <t>KHI/HO/D/MO/PC COMP/P/110145/06/2025</t>
  </si>
  <si>
    <t>Mr. Maulana Tanveer Ul Haq Thanvi</t>
  </si>
  <si>
    <t>BVL-863</t>
  </si>
  <si>
    <t xml:space="preserve">WAGON R VXL </t>
  </si>
  <si>
    <t>KHI/HO/D/MO/PC COMP/P/109857/06/2025</t>
  </si>
  <si>
    <t>Mr. Fahad Mukhtiar HPA Meezan Bank Limited</t>
  </si>
  <si>
    <t>0302-2647869</t>
  </si>
  <si>
    <t>BXR-329</t>
  </si>
  <si>
    <t>KHI/HO/D/MO/PC COMP/P/110044/06/2025</t>
  </si>
  <si>
    <t>Asif Saeed</t>
  </si>
  <si>
    <t>BZY-765</t>
  </si>
  <si>
    <t>ELANTRA A/T 
SUNROOF GLS</t>
  </si>
  <si>
    <t>LHR/LHR/D/MO/PC COMP/P/110270/06/2025</t>
  </si>
  <si>
    <t>Mr. Zain Ul Abideen</t>
  </si>
  <si>
    <t>0300-9618111</t>
  </si>
  <si>
    <t>LEF-19-8790</t>
  </si>
  <si>
    <t>KHI/HO/D/MO/PC COMP/P/109749/06/2025</t>
  </si>
  <si>
    <t>Qazi Mahmood Alam</t>
  </si>
  <si>
    <t xml:space="preserve"> 0307-1722695</t>
  </si>
  <si>
    <t xml:space="preserve">ALTO VXL AGS </t>
  </si>
  <si>
    <t>KHI/HO/D/MO/PD COMP/P/110344/07/2025</t>
  </si>
  <si>
    <t>Ms. Soraya Rahim</t>
  </si>
  <si>
    <t>0345-3997409</t>
  </si>
  <si>
    <t>BMT-358</t>
  </si>
  <si>
    <t>CIVIC I-VTEC
ORIEL</t>
  </si>
  <si>
    <t>KHI/HO/D/MO/PD COMP/P/110472/07/2025</t>
  </si>
  <si>
    <t xml:space="preserve">Mr. Hafiz Muhammad Majid Mahmood </t>
  </si>
  <si>
    <t xml:space="preserve"> 0335-4541200</t>
  </si>
  <si>
    <t>AAH-264</t>
  </si>
  <si>
    <t>CITY I-VTEC</t>
  </si>
  <si>
    <t>KHI/HO/D/MO/PD COMP/P/110554/07/2025</t>
  </si>
  <si>
    <t>Mr. Muhammad Azam</t>
  </si>
  <si>
    <t>BJB-744</t>
  </si>
  <si>
    <t>KHI/HO/D/MO/PC COMP/P/109645/05/2025</t>
  </si>
  <si>
    <t>MR. SHAKIR LAKHANI</t>
  </si>
  <si>
    <t xml:space="preserve"> 0300-8213579</t>
  </si>
  <si>
    <t>AXQ-506</t>
  </si>
  <si>
    <t>KHI/HO/D/MO/PC COMP/P/110301/07/2025</t>
  </si>
  <si>
    <t>Mr. Muhammad Kashif Ul Hai Khan</t>
  </si>
  <si>
    <t>0320-0288401</t>
  </si>
  <si>
    <t>CBM-192</t>
  </si>
  <si>
    <t>Suzuki Swift GLX VVT</t>
  </si>
  <si>
    <t>Beenish Awan</t>
  </si>
  <si>
    <t>KHI/HO/D/MO/PC COMP/P/110479/07/2025</t>
  </si>
  <si>
    <t>Mr. Ijaz Hussain</t>
  </si>
  <si>
    <t>0308-8344442</t>
  </si>
  <si>
    <t>ASD-062</t>
  </si>
  <si>
    <t>Toyota COROLLA CROSS HYBRID CVT</t>
  </si>
  <si>
    <t>KHI/HO/D/MO/PC COMP/P/110550/07/2025</t>
  </si>
  <si>
    <t>AL-HUDA ENGINEERING (PRIVATE) LIMITED</t>
  </si>
  <si>
    <t>0316-1124941</t>
  </si>
  <si>
    <t>SUZUKI SWIFT A/T</t>
  </si>
  <si>
    <t>KHI/HO/D/MO/MC TTT/P/109933/06/2025</t>
  </si>
  <si>
    <t xml:space="preserve">Mr. Muhammad Abbas </t>
  </si>
  <si>
    <t>0334-3302393</t>
  </si>
  <si>
    <t>UNIQUE UD 70 CDI</t>
  </si>
  <si>
    <t>Motor Bike</t>
  </si>
  <si>
    <t>KHI/HO/D/MO/PC COMP/P/109932/06/2025</t>
  </si>
  <si>
    <t>Mrs. Tazeen Shah</t>
  </si>
  <si>
    <t>0316-3996068</t>
  </si>
  <si>
    <t>CAB-863</t>
  </si>
  <si>
    <t>KHI/HO/D/MO/PC COMP/P/110047/06/2025</t>
  </si>
  <si>
    <t>Mr. Amer Hameed Khan</t>
  </si>
  <si>
    <t>0300-8663535</t>
  </si>
  <si>
    <t>AVH-916</t>
  </si>
  <si>
    <t>HONDA CIVIC 1.8 I-VTEC ORIEL</t>
  </si>
  <si>
    <t>KHI/HO/D/MO/PC COMP/P/110208/06/2025</t>
  </si>
  <si>
    <t>Mr. Khawaja Muhammad Faizul Islam</t>
  </si>
  <si>
    <t>0333-2134393</t>
  </si>
  <si>
    <t>BYD BYD ATTO 3</t>
  </si>
  <si>
    <t>KHI/HO/D/MO/PC COMP/P/110245/06/2025</t>
  </si>
  <si>
    <t>Mr. Muhammad Faisal Rafiq</t>
  </si>
  <si>
    <t>0322-7059297</t>
  </si>
  <si>
    <t>BSR-041</t>
  </si>
  <si>
    <t>Honda CITY I-VTEC</t>
  </si>
  <si>
    <t>KHI/HO/D/MO/PC COMP/P/110372/07/2025</t>
  </si>
  <si>
    <t>Mr. Sheheryar Rashid</t>
  </si>
  <si>
    <t>0333-2103031</t>
  </si>
  <si>
    <t>BJ-4946</t>
  </si>
  <si>
    <t>Toyota FORTUNER</t>
  </si>
  <si>
    <t>KHI/HO/D/MO/PC COMP/P/110407/07/2025</t>
  </si>
  <si>
    <t>Mr. Gulzar Ahmed</t>
  </si>
  <si>
    <t>0303-2845307</t>
  </si>
  <si>
    <t>BWV-460</t>
  </si>
  <si>
    <t>TOYOTA - COROLLA ALTIS</t>
  </si>
  <si>
    <t>KHI/HO/D/MO/PC COMP/P/110299/07/2025</t>
  </si>
  <si>
    <t>Mr. Muhammad Nasir Khan</t>
  </si>
  <si>
    <t>0300-8213005</t>
  </si>
  <si>
    <t>BK-3783</t>
  </si>
  <si>
    <t>Toyot FORTUNER</t>
  </si>
  <si>
    <t>KHI/HO/D/MO/PC COMP/P/110311/07/2025</t>
  </si>
  <si>
    <t>M/s. PECHS Medical Foundation (Trust)</t>
  </si>
  <si>
    <t>KZ-8486</t>
  </si>
  <si>
    <t>Toyota HILUX REVO 4X4 AT</t>
  </si>
  <si>
    <t>LHR/LHR/D/MO/PC COMP/P/110296/07/2025</t>
  </si>
  <si>
    <t>Mr. Fazal Ur Rehman Qasim Butt</t>
  </si>
  <si>
    <t>0332-5001334</t>
  </si>
  <si>
    <t>BEB-783</t>
  </si>
  <si>
    <t>Suzuki ALTO VXL AGS</t>
  </si>
  <si>
    <t>KHI/HO/D/MO/PC COMP/P/110297/07/2025</t>
  </si>
  <si>
    <t>Mrs. Masooma Mir</t>
  </si>
  <si>
    <t>0300-2146615</t>
  </si>
  <si>
    <t>BJ-4322</t>
  </si>
  <si>
    <t xml:space="preserve">HONDA - BRV I-VTEC S STD </t>
  </si>
  <si>
    <t>LHR/LHR/D/MO/PC COMP/P/110406/07/2025</t>
  </si>
  <si>
    <t>Mr. Iftikhar Hafeez</t>
  </si>
  <si>
    <t>0304-7779735</t>
  </si>
  <si>
    <t>BSN-841</t>
  </si>
  <si>
    <t>LHR/LHR/D/MO/PC COMP/P/110335/07/2025</t>
  </si>
  <si>
    <t>Mr. Yasar Mahmood</t>
  </si>
  <si>
    <t>0301-4383486</t>
  </si>
  <si>
    <t>AST-939</t>
  </si>
  <si>
    <t>Suzuki Swift GLX CVT</t>
  </si>
  <si>
    <t>KHI/HO/D/MO/PC COMP/P/110336/07/2025</t>
  </si>
  <si>
    <t>Mr. Bilal Ahmed</t>
  </si>
  <si>
    <t>0300-8233139</t>
  </si>
  <si>
    <t>BL-1881</t>
  </si>
  <si>
    <t>KIA SPORTAGE AWD</t>
  </si>
  <si>
    <t>KHI/HO/D/MO/PC COMP/P/109806/06/2025</t>
  </si>
  <si>
    <t>Mr. Mustafa Chaudhry</t>
  </si>
  <si>
    <t>0346-5021012</t>
  </si>
  <si>
    <t>BXQ-970</t>
  </si>
  <si>
    <t>Toyota YARIS ATIV X CVT 1.3</t>
  </si>
  <si>
    <t>KHI/HO/D/MO/MC COMP/P/109892/06/2025</t>
  </si>
  <si>
    <t>Mr. Muhammad Abbas HPA Meezan Bank</t>
  </si>
  <si>
    <t>KQC-9268</t>
  </si>
  <si>
    <t>CDI-70</t>
  </si>
  <si>
    <t>KHI/HO/D/MO/PC COMP/P/110008/06/2025</t>
  </si>
  <si>
    <t>Mr. Umaid Ali Qureshi</t>
  </si>
  <si>
    <t>0321-8201340</t>
  </si>
  <si>
    <t>LB-5663</t>
  </si>
  <si>
    <t>Toyota HILUX REVO</t>
  </si>
  <si>
    <t>KHI/HO/D/MO/PC COMP/P/109998/06/2025</t>
  </si>
  <si>
    <t>Mr. Kamran Majid Chauhdhary</t>
  </si>
  <si>
    <t>0323-5671111</t>
  </si>
  <si>
    <t>LE-17-9426</t>
  </si>
  <si>
    <t>SUZUKI - WAGON-R</t>
  </si>
  <si>
    <t>LEE-176536</t>
  </si>
  <si>
    <t>KHI/HO/D/MO/PC COMP/P/110082/06/2025</t>
  </si>
  <si>
    <t>Mr. Syed Huzaifa Faiz</t>
  </si>
  <si>
    <t>0335-1318485 - 0300-3924618</t>
  </si>
  <si>
    <t>BM-1364</t>
  </si>
  <si>
    <t>TOYOTA - RAIZE</t>
  </si>
  <si>
    <t>LHR/LHR/D/MO/PC COMP/P/109986/06/2025</t>
  </si>
  <si>
    <t>Mr. Syed Baber Hussain Shah Subazwari</t>
  </si>
  <si>
    <t>0345-8482631</t>
  </si>
  <si>
    <t>APC - 417</t>
  </si>
  <si>
    <t>KIA PICANTO 1.0L M/T</t>
  </si>
  <si>
    <t>KHI/HO/D/MO/PC COMP/P/110015/06/2025</t>
  </si>
  <si>
    <t>Mr. Abu Bakar</t>
  </si>
  <si>
    <t>0333-5149529</t>
  </si>
  <si>
    <t>AUW-47</t>
  </si>
  <si>
    <t>Suzuki CULTUS VXL</t>
  </si>
  <si>
    <t>KHI/HO/D/MO/PC COMP/P/109756/06/2025</t>
  </si>
  <si>
    <t>Mr. Ali Raza</t>
  </si>
  <si>
    <t>0333-4375295 / 0320-0882315</t>
  </si>
  <si>
    <t>BDY-235</t>
  </si>
  <si>
    <t>LHR/LHR/D/MO/PC COMP/P/109997/06/2025</t>
  </si>
  <si>
    <t>M/s. KS CAPITAL COWORKING (PRIVATE) LIMITED</t>
  </si>
  <si>
    <t>0333-6863852</t>
  </si>
  <si>
    <t>BDY-842</t>
  </si>
  <si>
    <t>Hyundai TUCSON</t>
  </si>
  <si>
    <t>KHI/HO/D/MO/PC COMP/P/110140/06/2025</t>
  </si>
  <si>
    <t>Yusra Waqqas</t>
  </si>
  <si>
    <t xml:space="preserve"> 0300-2360977</t>
  </si>
  <si>
    <t>BK-6078</t>
  </si>
  <si>
    <t>TOYOTA C-HR HYBRID</t>
  </si>
  <si>
    <t>KHI/HO/D/MO/PC COMP/P/109971/06/2025</t>
  </si>
  <si>
    <t>Mrs. Erum Amjad Jafri</t>
  </si>
  <si>
    <t>0333-2606899</t>
  </si>
  <si>
    <t>BNW-833</t>
  </si>
  <si>
    <t>HONDA - CITY I-TTEC A/T</t>
  </si>
  <si>
    <t>KHI/HO/D/MO/PC COMP/P/109837/06/2025</t>
  </si>
  <si>
    <t>Mr. Imran Anwer</t>
  </si>
  <si>
    <t>0300-8226647</t>
  </si>
  <si>
    <t>BWT-588</t>
  </si>
  <si>
    <t>Toyota YARIS ATIV CVT</t>
  </si>
  <si>
    <t>LHR/LHR/D/MO/PC COMP/P/109960/06/2025</t>
  </si>
  <si>
    <t>Miss. Shaheena Manzoor</t>
  </si>
  <si>
    <t>0307-7997799</t>
  </si>
  <si>
    <t>KH-647</t>
  </si>
  <si>
    <t>Toyota YARIS GLI CVT</t>
  </si>
  <si>
    <t>KHI/HO/D/MO/PD COMP/P/110345/07/2025</t>
  </si>
  <si>
    <t>Ms. Nazneen Rahim</t>
  </si>
  <si>
    <t>BMT-368</t>
  </si>
  <si>
    <t>Honda CIVIC 1.8 I-VTEC ORIEL</t>
  </si>
  <si>
    <t>KHI/HO/D/MO/PD COMP/P/110437/07/2025</t>
  </si>
  <si>
    <t>Ms. Bushra Waseem</t>
  </si>
  <si>
    <t>0300-8809800</t>
  </si>
  <si>
    <t>AST-133</t>
  </si>
  <si>
    <t>SUZUKI - WAGON R VXL</t>
  </si>
  <si>
    <t>KHI/HO/D/MO/PD COMP/P/110528/07/2025</t>
  </si>
  <si>
    <t>Mr. Wajid Hussain Ghaloo</t>
  </si>
  <si>
    <t>0345-2829033</t>
  </si>
  <si>
    <t>BLN-434</t>
  </si>
  <si>
    <t>Toyota COROLLA ALTIS 1.6</t>
  </si>
  <si>
    <t>KHI/HO/D/MO/PD COMP/P/110071/06/2025</t>
  </si>
  <si>
    <t>Mr. Khalid Hussain</t>
  </si>
  <si>
    <t>0300-9212009</t>
  </si>
  <si>
    <t>BJ-5977</t>
  </si>
  <si>
    <t>GLORY 580</t>
  </si>
  <si>
    <t>KHI/HO/D/MO/PC COMP/P/109950/06/2025</t>
  </si>
  <si>
    <t xml:space="preserve">   </t>
  </si>
  <si>
    <t>POLICY</t>
  </si>
  <si>
    <t>ASSORTED_CODE</t>
  </si>
  <si>
    <t>040000199699</t>
  </si>
  <si>
    <t>040000199767</t>
  </si>
  <si>
    <t>040000199691</t>
  </si>
  <si>
    <t>040000200091</t>
  </si>
  <si>
    <t>040000199795</t>
  </si>
  <si>
    <t>040000199833</t>
  </si>
  <si>
    <t>040000199386</t>
  </si>
  <si>
    <t>040000199602</t>
  </si>
  <si>
    <t>040000199666</t>
  </si>
  <si>
    <t>040000199694</t>
  </si>
  <si>
    <t>040000199289</t>
  </si>
  <si>
    <t>040000199314</t>
  </si>
  <si>
    <t>040000199434</t>
  </si>
  <si>
    <t>040000199534</t>
  </si>
  <si>
    <t>040000200153</t>
  </si>
  <si>
    <t>040000200282</t>
  </si>
  <si>
    <t>040000200283</t>
  </si>
  <si>
    <t>040000199951</t>
  </si>
  <si>
    <t>040000199960</t>
  </si>
  <si>
    <t>040000199962</t>
  </si>
  <si>
    <t>040000199979</t>
  </si>
  <si>
    <t>040000200103</t>
  </si>
  <si>
    <t>040000200105</t>
  </si>
  <si>
    <t>040000200115</t>
  </si>
  <si>
    <t>040000200136</t>
  </si>
  <si>
    <t>040000199595</t>
  </si>
  <si>
    <t>040000199333</t>
  </si>
  <si>
    <t>040000199918</t>
  </si>
  <si>
    <t>040000199957</t>
  </si>
  <si>
    <t>040000199566</t>
  </si>
  <si>
    <t>040000199798</t>
  </si>
  <si>
    <t>040000199660</t>
  </si>
  <si>
    <t>040000199661</t>
  </si>
  <si>
    <t>040000200227</t>
  </si>
  <si>
    <t>040000200584</t>
  </si>
  <si>
    <t>040000200342</t>
  </si>
  <si>
    <t>040000199518</t>
  </si>
  <si>
    <t>040000200409</t>
  </si>
  <si>
    <t>040000200474</t>
  </si>
  <si>
    <t>040000200475</t>
  </si>
  <si>
    <t>040000200536</t>
  </si>
  <si>
    <t>040000199071</t>
  </si>
  <si>
    <t>040000199255</t>
  </si>
  <si>
    <t>040000199968</t>
  </si>
  <si>
    <t>040000199474</t>
  </si>
  <si>
    <t>040000199498</t>
  </si>
  <si>
    <t>040000200340</t>
  </si>
  <si>
    <t>040000199700</t>
  </si>
  <si>
    <t>040000199580</t>
  </si>
  <si>
    <t>040000199712</t>
  </si>
  <si>
    <t>040000199714</t>
  </si>
  <si>
    <t>040000200398</t>
  </si>
  <si>
    <t>040000200326</t>
  </si>
  <si>
    <t>040000200469</t>
  </si>
  <si>
    <t>040000199270</t>
  </si>
  <si>
    <t>040000199999</t>
  </si>
  <si>
    <t>040000199476</t>
  </si>
  <si>
    <t>040000199515</t>
  </si>
  <si>
    <t>040000199983</t>
  </si>
  <si>
    <t>040000199581</t>
  </si>
  <si>
    <t>040000199589</t>
  </si>
  <si>
    <t>040000199593</t>
  </si>
  <si>
    <t>040000200029</t>
  </si>
  <si>
    <t>040000199621</t>
  </si>
  <si>
    <t>040000199290</t>
  </si>
  <si>
    <t>040000199679</t>
  </si>
  <si>
    <t>040000199381</t>
  </si>
  <si>
    <t>040000199411</t>
  </si>
  <si>
    <t>040000199416</t>
  </si>
  <si>
    <t>040000199530</t>
  </si>
  <si>
    <t>040000199620</t>
  </si>
  <si>
    <t>040000199648</t>
  </si>
  <si>
    <t>040000199733</t>
  </si>
  <si>
    <t>040000199749</t>
  </si>
  <si>
    <t>040000199243</t>
  </si>
  <si>
    <t>040000199241</t>
  </si>
  <si>
    <t>040000200158</t>
  </si>
  <si>
    <t>040000199791</t>
  </si>
  <si>
    <t>040000199808</t>
  </si>
  <si>
    <t>040000200430</t>
  </si>
  <si>
    <t>040000199608</t>
  </si>
  <si>
    <t>040000199670</t>
  </si>
  <si>
    <t>040000199711</t>
  </si>
  <si>
    <t>040000199809</t>
  </si>
  <si>
    <t>040000199419</t>
  </si>
  <si>
    <t>040000199577</t>
  </si>
  <si>
    <t>040000199512</t>
  </si>
  <si>
    <t>040000200528</t>
  </si>
  <si>
    <t>040000199859</t>
  </si>
  <si>
    <t>040000199312</t>
  </si>
  <si>
    <t>040000199405</t>
  </si>
  <si>
    <t>040000199468</t>
  </si>
  <si>
    <t>040000199489</t>
  </si>
  <si>
    <t>040000199582</t>
  </si>
  <si>
    <t>040000199583</t>
  </si>
  <si>
    <t>040000199658</t>
  </si>
  <si>
    <t>040000199708</t>
  </si>
  <si>
    <t>040000199713</t>
  </si>
  <si>
    <t>040000199715</t>
  </si>
  <si>
    <t>040000199758</t>
  </si>
  <si>
    <t>040000199271</t>
  </si>
  <si>
    <t>040000199803</t>
  </si>
  <si>
    <t>040000199254</t>
  </si>
  <si>
    <t>040000200516</t>
  </si>
  <si>
    <t>040000200522</t>
  </si>
  <si>
    <t>040000200538</t>
  </si>
  <si>
    <t>040000200568</t>
  </si>
  <si>
    <t>040000199866</t>
  </si>
  <si>
    <t>040000199906</t>
  </si>
  <si>
    <t>040000200586</t>
  </si>
  <si>
    <t>040000200588</t>
  </si>
  <si>
    <t>040000199959</t>
  </si>
  <si>
    <t>040000200547</t>
  </si>
  <si>
    <t>040000200548</t>
  </si>
  <si>
    <t>040000199988</t>
  </si>
  <si>
    <t>040000200595</t>
  </si>
  <si>
    <t>040000200596</t>
  </si>
  <si>
    <t>040000199378</t>
  </si>
  <si>
    <t>040000200042</t>
  </si>
  <si>
    <t>040000199406</t>
  </si>
  <si>
    <t>040000199432</t>
  </si>
  <si>
    <t>040000199638</t>
  </si>
  <si>
    <t>040000200116</t>
  </si>
  <si>
    <t>040000200415</t>
  </si>
  <si>
    <t>040000199647</t>
  </si>
  <si>
    <t>040000200297</t>
  </si>
  <si>
    <t>040000200563</t>
  </si>
  <si>
    <t>040000199824</t>
  </si>
  <si>
    <t>040000199836</t>
  </si>
  <si>
    <t>040000199924</t>
  </si>
  <si>
    <t>040000200128</t>
  </si>
  <si>
    <t>040000199637</t>
  </si>
  <si>
    <t>040000199822</t>
  </si>
  <si>
    <t>040000200132</t>
  </si>
  <si>
    <t>040000200392</t>
  </si>
  <si>
    <t>040000200393</t>
  </si>
  <si>
    <t>040000200023</t>
  </si>
  <si>
    <t>040000200033</t>
  </si>
  <si>
    <t>040000200513</t>
  </si>
  <si>
    <t>040000200531</t>
  </si>
  <si>
    <t>040000199565</t>
  </si>
  <si>
    <t>040000200024</t>
  </si>
  <si>
    <t>040000199352</t>
  </si>
  <si>
    <t>040000199408</t>
  </si>
  <si>
    <t>040000199436</t>
  </si>
  <si>
    <t>040000199701</t>
  </si>
  <si>
    <t>040000199550</t>
  </si>
  <si>
    <t>040000199653</t>
  </si>
  <si>
    <t>040000199316</t>
  </si>
  <si>
    <t>040000199437</t>
  </si>
  <si>
    <t>040000199461</t>
  </si>
  <si>
    <t>040000199467</t>
  </si>
  <si>
    <t>040000199800</t>
  </si>
  <si>
    <t>040000200281</t>
  </si>
  <si>
    <t>040000200592</t>
  </si>
  <si>
    <t>040000199914</t>
  </si>
  <si>
    <t>040000200585</t>
  </si>
  <si>
    <t>040000200589</t>
  </si>
  <si>
    <t>040000200601</t>
  </si>
  <si>
    <t>040000199936</t>
  </si>
  <si>
    <t>040000200465</t>
  </si>
  <si>
    <t>040000200301</t>
  </si>
  <si>
    <t>040000200477</t>
  </si>
  <si>
    <t>040000199989</t>
  </si>
  <si>
    <t>040000200020</t>
  </si>
  <si>
    <t>040000200026</t>
  </si>
  <si>
    <t>040000200488</t>
  </si>
  <si>
    <t>040000200504</t>
  </si>
  <si>
    <t>040000199451</t>
  </si>
  <si>
    <t>040000199807</t>
  </si>
  <si>
    <t>040000199810</t>
  </si>
  <si>
    <t>040000199811</t>
  </si>
  <si>
    <t>040000199596</t>
  </si>
  <si>
    <t>040000199597</t>
  </si>
  <si>
    <t>040000199813</t>
  </si>
  <si>
    <t>040000199455</t>
  </si>
  <si>
    <t>040000199457</t>
  </si>
  <si>
    <t>040000199399</t>
  </si>
  <si>
    <t>040000199490</t>
  </si>
  <si>
    <t>040000199574</t>
  </si>
  <si>
    <t>040000199605</t>
  </si>
  <si>
    <t>040000199615</t>
  </si>
  <si>
    <t>040000199730</t>
  </si>
  <si>
    <t>040000199584</t>
  </si>
  <si>
    <t>040000199616</t>
  </si>
  <si>
    <t>040000200037</t>
  </si>
  <si>
    <t>040000200030</t>
  </si>
  <si>
    <t>040000200036</t>
  </si>
  <si>
    <t>040000200092</t>
  </si>
  <si>
    <t>040000199874</t>
  </si>
  <si>
    <t>040000199877</t>
  </si>
  <si>
    <t>040000200537</t>
  </si>
  <si>
    <t>040000199632</t>
  </si>
  <si>
    <t>040000199646</t>
  </si>
  <si>
    <t>040000199377</t>
  </si>
  <si>
    <t>040000199963</t>
  </si>
  <si>
    <t>040000199991</t>
  </si>
  <si>
    <t>040000199409</t>
  </si>
  <si>
    <t>040000199503</t>
  </si>
  <si>
    <t>040000199562</t>
  </si>
  <si>
    <t>040000199571</t>
  </si>
  <si>
    <t>040000199345</t>
  </si>
  <si>
    <t>040000200022</t>
  </si>
  <si>
    <t>040000199369</t>
  </si>
  <si>
    <t>040000199427</t>
  </si>
  <si>
    <t>040000200494</t>
  </si>
  <si>
    <t>040000199278</t>
  </si>
  <si>
    <t>040000200405</t>
  </si>
  <si>
    <t>040000200444</t>
  </si>
  <si>
    <t>040000200471</t>
  </si>
  <si>
    <t>040000200134</t>
  </si>
  <si>
    <t>040000200587</t>
  </si>
  <si>
    <t>040000200590</t>
  </si>
  <si>
    <t>040000200421</t>
  </si>
  <si>
    <t>040000200500</t>
  </si>
  <si>
    <t>040000199318</t>
  </si>
  <si>
    <t>040000199319</t>
  </si>
  <si>
    <t>040000199422</t>
  </si>
  <si>
    <t>040000199806</t>
  </si>
  <si>
    <t>AGENCY_CODE</t>
  </si>
  <si>
    <t>09000870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</si>
</sst>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1" xfId="1" applyNumberFormat="1" applyFont="1" applyBorder="1"/>
    <xf numFmtId="164" fontId="2" fillId="3" borderId="1" xfId="1" applyNumberFormat="1" applyFont="1" applyFill="1" applyBorder="1"/>
    <xf numFmtId="164" fontId="2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right"/>
    </xf>
    <xf numFmtId="164" fontId="0" fillId="2" borderId="1" xfId="1" applyNumberFormat="1" applyFont="1" applyFill="1" applyBorder="1"/>
    <xf numFmtId="14" fontId="0" fillId="0" borderId="1" xfId="1" applyNumberFormat="1" applyFont="1" applyBorder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3486-6055-4F9E-873C-FA8B229E63FE}">
  <sheetPr filterMode="1"/>
  <dimension ref="A1:Z222"/>
  <sheetViews>
    <sheetView tabSelected="1" topLeftCell="I103" zoomScale="70" zoomScaleNormal="70" workbookViewId="0">
      <selection activeCell="N136" sqref="N136"/>
    </sheetView>
  </sheetViews>
  <sheetFormatPr defaultRowHeight="15" x14ac:dyDescent="0.25"/>
  <cols>
    <col min="1" max="1" width="16.28515625" style="4" bestFit="1" customWidth="1"/>
    <col min="2" max="2" width="47.7109375" bestFit="1" customWidth="1"/>
    <col min="3" max="4" width="47.7109375" customWidth="1"/>
    <col min="5" max="5" width="31.7109375" bestFit="1" customWidth="1"/>
    <col min="6" max="6" width="77.42578125" bestFit="1" customWidth="1"/>
    <col min="7" max="7" width="34.28515625" bestFit="1" customWidth="1"/>
    <col min="8" max="8" width="25" bestFit="1" customWidth="1"/>
    <col min="9" max="9" width="41.7109375" bestFit="1" customWidth="1"/>
    <col min="10" max="10" width="14.85546875" bestFit="1" customWidth="1"/>
    <col min="11" max="11" width="14" bestFit="1" customWidth="1"/>
    <col min="12" max="12" width="27.42578125" bestFit="1" customWidth="1"/>
    <col min="13" max="13" width="14" bestFit="1" customWidth="1"/>
    <col min="14" max="14" width="20" bestFit="1" customWidth="1"/>
    <col min="15" max="15" width="20.140625" bestFit="1" customWidth="1"/>
    <col min="16" max="16" width="17.28515625" bestFit="1" customWidth="1"/>
    <col min="17" max="17" width="32.140625" bestFit="1" customWidth="1"/>
    <col min="18" max="18" width="31.7109375" bestFit="1" customWidth="1"/>
    <col min="19" max="19" width="23.5703125" bestFit="1" customWidth="1"/>
    <col min="20" max="20" width="30.140625" bestFit="1" customWidth="1"/>
    <col min="21" max="21" width="16.7109375" bestFit="1" customWidth="1"/>
    <col min="22" max="22" width="29.140625" bestFit="1" customWidth="1"/>
    <col min="23" max="23" width="28.5703125" bestFit="1" customWidth="1"/>
    <col min="24" max="24" width="19.5703125" bestFit="1" customWidth="1"/>
    <col min="25" max="25" width="17.85546875" bestFit="1" customWidth="1"/>
    <col min="26" max="26" width="30.7109375" bestFit="1" customWidth="1"/>
  </cols>
  <sheetData>
    <row r="1" spans="1:26" x14ac:dyDescent="0.25">
      <c r="A1" s="3" t="s">
        <v>0</v>
      </c>
      <c r="B1" s="2" t="s">
        <v>1</v>
      </c>
      <c r="C1" s="2"/>
      <c r="D1" s="2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</row>
    <row r="2" spans="1:26" hidden="1" x14ac:dyDescent="0.25">
      <c r="A2" s="5">
        <v>1</v>
      </c>
      <c r="B2" s="1" t="s">
        <v>24</v>
      </c>
      <c r="C2" s="1"/>
      <c r="D2" s="1"/>
      <c r="E2" s="7">
        <v>45827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2021</v>
      </c>
      <c r="K2" s="1">
        <v>2500000</v>
      </c>
      <c r="L2" s="1">
        <v>37500</v>
      </c>
      <c r="M2" s="1">
        <v>1.4999999999999999E-2</v>
      </c>
      <c r="N2" s="1">
        <v>45827</v>
      </c>
      <c r="O2" s="1">
        <v>31897</v>
      </c>
      <c r="P2" s="1">
        <v>37500</v>
      </c>
      <c r="Q2" s="1">
        <f>O2*2</f>
        <v>63794</v>
      </c>
      <c r="R2" s="6">
        <v>573</v>
      </c>
      <c r="S2" s="1">
        <v>0</v>
      </c>
      <c r="T2" s="6" t="s">
        <v>98</v>
      </c>
      <c r="U2" s="1" t="s">
        <v>29</v>
      </c>
      <c r="V2" s="1"/>
      <c r="W2" s="1" t="s">
        <v>30</v>
      </c>
      <c r="X2" s="1" t="s">
        <v>31</v>
      </c>
      <c r="Y2" s="1" t="s">
        <v>32</v>
      </c>
      <c r="Z2" s="1" t="s">
        <v>32</v>
      </c>
    </row>
    <row r="3" spans="1:26" hidden="1" x14ac:dyDescent="0.25">
      <c r="A3" s="5">
        <v>2</v>
      </c>
      <c r="B3" s="1" t="s">
        <v>33</v>
      </c>
      <c r="C3" s="1"/>
      <c r="D3" s="1"/>
      <c r="E3" s="7">
        <v>45827</v>
      </c>
      <c r="F3" s="1" t="s">
        <v>25</v>
      </c>
      <c r="G3" s="1" t="s">
        <v>26</v>
      </c>
      <c r="H3" s="1" t="s">
        <v>34</v>
      </c>
      <c r="I3" s="1" t="s">
        <v>28</v>
      </c>
      <c r="J3" s="1">
        <v>2021</v>
      </c>
      <c r="K3" s="1">
        <v>2500000</v>
      </c>
      <c r="L3" s="1">
        <v>37500</v>
      </c>
      <c r="M3" s="1">
        <v>1.4999999999999999E-2</v>
      </c>
      <c r="N3" s="1">
        <v>45827</v>
      </c>
      <c r="O3" s="1">
        <v>31897</v>
      </c>
      <c r="P3" s="1">
        <v>37500</v>
      </c>
      <c r="Q3" s="1">
        <f t="shared" ref="Q3:Q4" si="0">O3*2</f>
        <v>63794</v>
      </c>
      <c r="R3" s="6">
        <v>563</v>
      </c>
      <c r="S3" s="1">
        <v>0</v>
      </c>
      <c r="T3" s="6" t="s">
        <v>98</v>
      </c>
      <c r="U3" s="1" t="s">
        <v>29</v>
      </c>
      <c r="V3" s="1"/>
      <c r="W3" s="1" t="s">
        <v>30</v>
      </c>
      <c r="X3" s="1" t="s">
        <v>31</v>
      </c>
      <c r="Y3" s="1" t="s">
        <v>32</v>
      </c>
      <c r="Z3" s="1" t="s">
        <v>32</v>
      </c>
    </row>
    <row r="4" spans="1:26" hidden="1" x14ac:dyDescent="0.25">
      <c r="A4" s="5">
        <v>3</v>
      </c>
      <c r="B4" s="1" t="s">
        <v>35</v>
      </c>
      <c r="C4" s="1"/>
      <c r="D4" s="1"/>
      <c r="E4" s="7">
        <v>45834</v>
      </c>
      <c r="F4" s="1" t="s">
        <v>25</v>
      </c>
      <c r="G4" s="1" t="s">
        <v>26</v>
      </c>
      <c r="H4" s="1" t="s">
        <v>36</v>
      </c>
      <c r="I4" s="1" t="s">
        <v>28</v>
      </c>
      <c r="J4" s="1">
        <v>2022</v>
      </c>
      <c r="K4" s="1">
        <v>2500000</v>
      </c>
      <c r="L4" s="1">
        <v>37500</v>
      </c>
      <c r="M4" s="1">
        <v>1.4999999999999999E-2</v>
      </c>
      <c r="N4" s="1">
        <v>45834</v>
      </c>
      <c r="O4" s="1">
        <v>31897</v>
      </c>
      <c r="P4" s="1">
        <v>37500</v>
      </c>
      <c r="Q4" s="1">
        <f t="shared" si="0"/>
        <v>63794</v>
      </c>
      <c r="R4" s="6">
        <v>563</v>
      </c>
      <c r="S4" s="1">
        <v>0</v>
      </c>
      <c r="T4" s="6" t="s">
        <v>98</v>
      </c>
      <c r="U4" s="1" t="s">
        <v>29</v>
      </c>
      <c r="V4" s="1"/>
      <c r="W4" s="1" t="s">
        <v>30</v>
      </c>
      <c r="X4" s="1" t="s">
        <v>31</v>
      </c>
      <c r="Y4" s="1" t="s">
        <v>32</v>
      </c>
      <c r="Z4" s="1" t="s">
        <v>32</v>
      </c>
    </row>
    <row r="5" spans="1:26" x14ac:dyDescent="0.25">
      <c r="A5" s="5">
        <v>4</v>
      </c>
      <c r="B5" s="1" t="s">
        <v>46</v>
      </c>
      <c r="C5" s="1" t="str">
        <f>VLOOKUP('IT Working sheet '!B5,'09000210'!B:C,2,0)</f>
        <v>040000200398</v>
      </c>
      <c r="D5" s="1" t="str">
        <f>"Update ins_assorted_clients set commission_amount = '"&amp;R5&amp;"' where assorted_code = '"&amp;C5&amp;"' and agency_code = '09000870';"</f>
        <v>Update ins_assorted_clients set commission_amount = '563' where assorted_code = '040000200398' and agency_code = '09000870';</v>
      </c>
      <c r="E5" s="7">
        <v>45846</v>
      </c>
      <c r="F5" s="1" t="s">
        <v>47</v>
      </c>
      <c r="G5" s="1" t="s">
        <v>48</v>
      </c>
      <c r="H5" s="1" t="s">
        <v>49</v>
      </c>
      <c r="I5" s="1" t="s">
        <v>50</v>
      </c>
      <c r="J5" s="1">
        <v>2023</v>
      </c>
      <c r="K5" s="1">
        <v>2500000</v>
      </c>
      <c r="L5" s="1">
        <v>35000</v>
      </c>
      <c r="M5" s="1">
        <v>1.4E-2</v>
      </c>
      <c r="N5" s="1">
        <v>45846</v>
      </c>
      <c r="O5" s="1">
        <v>29742</v>
      </c>
      <c r="P5" s="1">
        <v>35000</v>
      </c>
      <c r="Q5" s="1">
        <v>29742</v>
      </c>
      <c r="R5" s="6">
        <v>563</v>
      </c>
      <c r="S5" s="1">
        <v>0</v>
      </c>
      <c r="T5" s="6" t="s">
        <v>98</v>
      </c>
      <c r="U5" s="1" t="s">
        <v>38</v>
      </c>
      <c r="V5" s="1"/>
      <c r="W5" s="1" t="s">
        <v>30</v>
      </c>
      <c r="X5" s="1" t="s">
        <v>31</v>
      </c>
      <c r="Y5" s="1" t="s">
        <v>39</v>
      </c>
      <c r="Z5" s="1" t="s">
        <v>40</v>
      </c>
    </row>
    <row r="6" spans="1:26" x14ac:dyDescent="0.25">
      <c r="A6" s="5">
        <v>5</v>
      </c>
      <c r="B6" s="1" t="s">
        <v>51</v>
      </c>
      <c r="C6" s="1" t="str">
        <f>VLOOKUP('IT Working sheet '!B6,'09000210'!B:C,2,0)</f>
        <v>040000200465</v>
      </c>
      <c r="D6" s="1" t="str">
        <f t="shared" ref="D6:D14" si="1">"Update ins_assorted_clients set commission_amount = '"&amp;R6&amp;"' where assorted_code = '"&amp;C6&amp;"' and agency_code = '09000870';"</f>
        <v>Update ins_assorted_clients set commission_amount = '563' where assorted_code = '040000200465' and agency_code = '09000870';</v>
      </c>
      <c r="E6" s="7">
        <v>45847</v>
      </c>
      <c r="F6" s="1" t="s">
        <v>52</v>
      </c>
      <c r="G6" s="1" t="s">
        <v>53</v>
      </c>
      <c r="H6" s="1" t="s">
        <v>54</v>
      </c>
      <c r="I6" s="1" t="s">
        <v>28</v>
      </c>
      <c r="J6" s="1">
        <v>2019</v>
      </c>
      <c r="K6" s="1">
        <v>2300000</v>
      </c>
      <c r="L6" s="1">
        <v>46000</v>
      </c>
      <c r="M6" s="1">
        <v>0.02</v>
      </c>
      <c r="N6" s="1">
        <v>45847</v>
      </c>
      <c r="O6" s="1">
        <v>39299</v>
      </c>
      <c r="P6" s="1">
        <v>46000</v>
      </c>
      <c r="Q6" s="1">
        <v>39299</v>
      </c>
      <c r="R6" s="6">
        <v>563</v>
      </c>
      <c r="S6" s="1">
        <v>0</v>
      </c>
      <c r="T6" s="6" t="s">
        <v>98</v>
      </c>
      <c r="U6" s="1" t="s">
        <v>38</v>
      </c>
      <c r="V6" s="1"/>
      <c r="W6" s="1" t="s">
        <v>30</v>
      </c>
      <c r="X6" s="1" t="s">
        <v>31</v>
      </c>
      <c r="Y6" s="1" t="s">
        <v>39</v>
      </c>
      <c r="Z6" s="1" t="s">
        <v>40</v>
      </c>
    </row>
    <row r="7" spans="1:26" x14ac:dyDescent="0.25">
      <c r="A7" s="5">
        <v>6</v>
      </c>
      <c r="B7" s="1" t="s">
        <v>55</v>
      </c>
      <c r="C7" s="1" t="str">
        <f>VLOOKUP('IT Working sheet '!B7,'09000210'!B:C,2,0)</f>
        <v>040000200132</v>
      </c>
      <c r="D7" s="1" t="str">
        <f t="shared" si="1"/>
        <v>Update ins_assorted_clients set commission_amount = '563' where assorted_code = '040000200132' and agency_code = '09000870';</v>
      </c>
      <c r="E7" s="7">
        <v>45841</v>
      </c>
      <c r="F7" s="1" t="s">
        <v>56</v>
      </c>
      <c r="G7" s="1" t="s">
        <v>57</v>
      </c>
      <c r="H7" s="1" t="s">
        <v>58</v>
      </c>
      <c r="I7" s="1" t="s">
        <v>59</v>
      </c>
      <c r="J7" s="1">
        <v>2017</v>
      </c>
      <c r="K7" s="1">
        <v>3300000</v>
      </c>
      <c r="L7" s="1">
        <v>49500</v>
      </c>
      <c r="M7" s="1">
        <v>1.4999999999999999E-2</v>
      </c>
      <c r="N7" s="1">
        <v>45841</v>
      </c>
      <c r="O7" s="1">
        <v>42291</v>
      </c>
      <c r="P7" s="1">
        <v>49500</v>
      </c>
      <c r="Q7" s="1">
        <v>42291</v>
      </c>
      <c r="R7" s="6">
        <v>563</v>
      </c>
      <c r="S7" s="1">
        <v>0</v>
      </c>
      <c r="T7" s="6" t="s">
        <v>98</v>
      </c>
      <c r="U7" s="1" t="s">
        <v>38</v>
      </c>
      <c r="V7" s="1"/>
      <c r="W7" s="1" t="s">
        <v>30</v>
      </c>
      <c r="X7" s="1" t="s">
        <v>31</v>
      </c>
      <c r="Y7" s="1" t="s">
        <v>39</v>
      </c>
      <c r="Z7" s="1" t="s">
        <v>40</v>
      </c>
    </row>
    <row r="8" spans="1:26" x14ac:dyDescent="0.25">
      <c r="A8" s="5">
        <v>7</v>
      </c>
      <c r="B8" s="1" t="s">
        <v>60</v>
      </c>
      <c r="C8" s="1" t="str">
        <f>VLOOKUP('IT Working sheet '!B8,'09000210'!B:C,2,0)</f>
        <v>040000200474</v>
      </c>
      <c r="D8" s="1" t="str">
        <f t="shared" si="1"/>
        <v>Update ins_assorted_clients set commission_amount = '563' where assorted_code = '040000200474' and agency_code = '09000870';</v>
      </c>
      <c r="E8" s="7">
        <v>45848</v>
      </c>
      <c r="F8" s="1" t="s">
        <v>61</v>
      </c>
      <c r="G8" s="1" t="s">
        <v>62</v>
      </c>
      <c r="H8" s="1" t="s">
        <v>63</v>
      </c>
      <c r="I8" s="1" t="s">
        <v>64</v>
      </c>
      <c r="J8" s="1">
        <v>2022</v>
      </c>
      <c r="K8" s="1">
        <v>2519200</v>
      </c>
      <c r="L8" s="1">
        <v>50384</v>
      </c>
      <c r="M8" s="1">
        <v>0.02</v>
      </c>
      <c r="N8" s="1">
        <v>45848</v>
      </c>
      <c r="O8" s="1">
        <v>43003</v>
      </c>
      <c r="P8" s="1">
        <v>50384</v>
      </c>
      <c r="Q8" s="1">
        <v>43003</v>
      </c>
      <c r="R8" s="6">
        <v>563</v>
      </c>
      <c r="S8" s="1">
        <v>0</v>
      </c>
      <c r="T8" s="6" t="s">
        <v>98</v>
      </c>
      <c r="U8" s="1" t="s">
        <v>38</v>
      </c>
      <c r="V8" s="1"/>
      <c r="W8" s="1" t="s">
        <v>30</v>
      </c>
      <c r="X8" s="1" t="s">
        <v>31</v>
      </c>
      <c r="Y8" s="1" t="s">
        <v>39</v>
      </c>
      <c r="Z8" s="1" t="s">
        <v>40</v>
      </c>
    </row>
    <row r="9" spans="1:26" x14ac:dyDescent="0.25">
      <c r="A9" s="5">
        <v>8</v>
      </c>
      <c r="B9" s="1" t="s">
        <v>65</v>
      </c>
      <c r="C9" s="1" t="str">
        <f>VLOOKUP('IT Working sheet '!B9,'09000210'!B:C,2,0)</f>
        <v>040000200415</v>
      </c>
      <c r="D9" s="1" t="str">
        <f t="shared" si="1"/>
        <v>Update ins_assorted_clients set commission_amount = '563' where assorted_code = '040000200415' and agency_code = '09000870';</v>
      </c>
      <c r="E9" s="7">
        <v>45846</v>
      </c>
      <c r="F9" s="1" t="s">
        <v>66</v>
      </c>
      <c r="G9" s="1" t="s">
        <v>67</v>
      </c>
      <c r="H9" s="1"/>
      <c r="I9" s="1" t="s">
        <v>68</v>
      </c>
      <c r="J9" s="1">
        <v>2022</v>
      </c>
      <c r="K9" s="1">
        <v>3500000</v>
      </c>
      <c r="L9" s="1">
        <v>52500</v>
      </c>
      <c r="M9" s="1">
        <v>1.4999999999999999E-2</v>
      </c>
      <c r="N9" s="1">
        <v>45846</v>
      </c>
      <c r="O9" s="1">
        <v>44828</v>
      </c>
      <c r="P9" s="1">
        <v>52500</v>
      </c>
      <c r="Q9" s="1">
        <v>44828</v>
      </c>
      <c r="R9" s="6">
        <v>563</v>
      </c>
      <c r="S9" s="1">
        <v>0</v>
      </c>
      <c r="T9" s="6" t="s">
        <v>98</v>
      </c>
      <c r="U9" s="1" t="s">
        <v>38</v>
      </c>
      <c r="V9" s="1"/>
      <c r="W9" s="1" t="s">
        <v>30</v>
      </c>
      <c r="X9" s="1" t="s">
        <v>31</v>
      </c>
      <c r="Y9" s="1" t="s">
        <v>39</v>
      </c>
      <c r="Z9" s="1" t="s">
        <v>69</v>
      </c>
    </row>
    <row r="10" spans="1:26" x14ac:dyDescent="0.25">
      <c r="A10" s="5">
        <v>9</v>
      </c>
      <c r="B10" s="1" t="s">
        <v>70</v>
      </c>
      <c r="C10" s="1" t="str">
        <f>VLOOKUP('IT Working sheet '!B10,'09000210'!B:C,2,0)</f>
        <v>040000200563</v>
      </c>
      <c r="D10" s="1" t="str">
        <f t="shared" si="1"/>
        <v>Update ins_assorted_clients set commission_amount = '563' where assorted_code = '040000200563' and agency_code = '09000870';</v>
      </c>
      <c r="E10" s="7">
        <v>45852</v>
      </c>
      <c r="F10" s="1" t="s">
        <v>71</v>
      </c>
      <c r="G10" s="1" t="s">
        <v>72</v>
      </c>
      <c r="H10" s="1" t="s">
        <v>73</v>
      </c>
      <c r="I10" s="1" t="s">
        <v>43</v>
      </c>
      <c r="J10" s="1">
        <v>2024</v>
      </c>
      <c r="K10" s="1">
        <v>3045000</v>
      </c>
      <c r="L10" s="1">
        <v>53288</v>
      </c>
      <c r="M10" s="1">
        <v>1.7500000000000002E-2</v>
      </c>
      <c r="N10" s="1">
        <v>45852</v>
      </c>
      <c r="O10" s="1">
        <v>45507</v>
      </c>
      <c r="P10" s="1">
        <v>53288</v>
      </c>
      <c r="Q10" s="1">
        <v>45507</v>
      </c>
      <c r="R10" s="6">
        <v>563</v>
      </c>
      <c r="S10" s="1">
        <v>0</v>
      </c>
      <c r="T10" s="6" t="s">
        <v>98</v>
      </c>
      <c r="U10" s="1" t="s">
        <v>38</v>
      </c>
      <c r="V10" s="1"/>
      <c r="W10" s="1" t="s">
        <v>30</v>
      </c>
      <c r="X10" s="1" t="s">
        <v>31</v>
      </c>
      <c r="Y10" s="1" t="s">
        <v>39</v>
      </c>
      <c r="Z10" s="1" t="s">
        <v>40</v>
      </c>
    </row>
    <row r="11" spans="1:26" x14ac:dyDescent="0.25">
      <c r="A11" s="5">
        <v>10</v>
      </c>
      <c r="B11" s="1" t="s">
        <v>74</v>
      </c>
      <c r="C11" s="1" t="str">
        <f>VLOOKUP('IT Working sheet '!B11,'09000210'!B:C,2,0)</f>
        <v>040000200469</v>
      </c>
      <c r="D11" s="1" t="str">
        <f t="shared" si="1"/>
        <v>Update ins_assorted_clients set commission_amount = '563' where assorted_code = '040000200469' and agency_code = '09000870';</v>
      </c>
      <c r="E11" s="7">
        <v>45847</v>
      </c>
      <c r="F11" s="1" t="s">
        <v>75</v>
      </c>
      <c r="G11" s="1" t="s">
        <v>76</v>
      </c>
      <c r="H11" s="1" t="s">
        <v>77</v>
      </c>
      <c r="I11" s="1" t="s">
        <v>45</v>
      </c>
      <c r="J11" s="1">
        <v>2022</v>
      </c>
      <c r="K11" s="1">
        <v>4000000</v>
      </c>
      <c r="L11" s="1">
        <v>60000</v>
      </c>
      <c r="M11" s="1">
        <v>1.4999999999999999E-2</v>
      </c>
      <c r="N11" s="1">
        <v>45847</v>
      </c>
      <c r="O11" s="1">
        <v>51293</v>
      </c>
      <c r="P11" s="1">
        <v>60000</v>
      </c>
      <c r="Q11" s="1">
        <v>51293</v>
      </c>
      <c r="R11" s="6">
        <v>563</v>
      </c>
      <c r="S11" s="1">
        <v>0</v>
      </c>
      <c r="T11" s="6" t="s">
        <v>98</v>
      </c>
      <c r="U11" s="1" t="s">
        <v>38</v>
      </c>
      <c r="V11" s="1"/>
      <c r="W11" s="1" t="s">
        <v>30</v>
      </c>
      <c r="X11" s="1" t="s">
        <v>31</v>
      </c>
      <c r="Y11" s="1" t="s">
        <v>39</v>
      </c>
      <c r="Z11" s="1" t="s">
        <v>40</v>
      </c>
    </row>
    <row r="12" spans="1:26" x14ac:dyDescent="0.25">
      <c r="A12" s="5">
        <v>11</v>
      </c>
      <c r="B12" s="1" t="s">
        <v>78</v>
      </c>
      <c r="C12" s="1" t="str">
        <f>VLOOKUP('IT Working sheet '!B12,'09000210'!B:C,2,0)</f>
        <v>040000200409</v>
      </c>
      <c r="D12" s="1" t="str">
        <f t="shared" si="1"/>
        <v>Update ins_assorted_clients set commission_amount = '563' where assorted_code = '040000200409' and agency_code = '09000870';</v>
      </c>
      <c r="E12" s="7">
        <v>45846</v>
      </c>
      <c r="F12" s="1" t="s">
        <v>79</v>
      </c>
      <c r="G12" s="1" t="s">
        <v>80</v>
      </c>
      <c r="H12" s="1" t="s">
        <v>81</v>
      </c>
      <c r="I12" s="1" t="s">
        <v>82</v>
      </c>
      <c r="J12" s="1">
        <v>2021</v>
      </c>
      <c r="K12" s="1">
        <v>6000000</v>
      </c>
      <c r="L12" s="1">
        <v>84000</v>
      </c>
      <c r="M12" s="1">
        <v>1.4E-2</v>
      </c>
      <c r="N12" s="1">
        <v>45846</v>
      </c>
      <c r="O12" s="1">
        <v>71983</v>
      </c>
      <c r="P12" s="1">
        <v>84000</v>
      </c>
      <c r="Q12" s="1">
        <v>71983</v>
      </c>
      <c r="R12" s="6">
        <v>563</v>
      </c>
      <c r="S12" s="1">
        <v>0</v>
      </c>
      <c r="T12" s="6" t="s">
        <v>98</v>
      </c>
      <c r="U12" s="1" t="s">
        <v>38</v>
      </c>
      <c r="V12" s="1"/>
      <c r="W12" s="1" t="s">
        <v>30</v>
      </c>
      <c r="X12" s="1" t="s">
        <v>31</v>
      </c>
      <c r="Y12" s="1" t="s">
        <v>39</v>
      </c>
      <c r="Z12" s="1" t="s">
        <v>40</v>
      </c>
    </row>
    <row r="13" spans="1:26" x14ac:dyDescent="0.25">
      <c r="A13" s="5">
        <v>12</v>
      </c>
      <c r="B13" s="1" t="s">
        <v>83</v>
      </c>
      <c r="C13" s="1" t="str">
        <f>VLOOKUP('IT Working sheet '!B13,'09000210'!B:C,2,0)</f>
        <v>040000200568</v>
      </c>
      <c r="D13" s="1" t="str">
        <f t="shared" si="1"/>
        <v>Update ins_assorted_clients set commission_amount = '563' where assorted_code = '040000200568' and agency_code = '09000870';</v>
      </c>
      <c r="E13" s="7">
        <v>45852</v>
      </c>
      <c r="F13" s="1" t="s">
        <v>84</v>
      </c>
      <c r="G13" s="1" t="s">
        <v>85</v>
      </c>
      <c r="H13" s="1" t="s">
        <v>86</v>
      </c>
      <c r="I13" s="1" t="s">
        <v>87</v>
      </c>
      <c r="J13" s="1">
        <v>2022</v>
      </c>
      <c r="K13" s="1">
        <v>6000000</v>
      </c>
      <c r="L13" s="1">
        <v>90000</v>
      </c>
      <c r="M13" s="1">
        <v>1.4999999999999999E-2</v>
      </c>
      <c r="N13" s="1">
        <v>45852</v>
      </c>
      <c r="O13" s="1">
        <v>77155</v>
      </c>
      <c r="P13" s="1">
        <v>90000</v>
      </c>
      <c r="Q13" s="1">
        <v>77155</v>
      </c>
      <c r="R13" s="6">
        <v>563</v>
      </c>
      <c r="S13" s="1">
        <v>0</v>
      </c>
      <c r="T13" s="6" t="s">
        <v>98</v>
      </c>
      <c r="U13" s="1" t="s">
        <v>38</v>
      </c>
      <c r="V13" s="1"/>
      <c r="W13" s="1" t="s">
        <v>30</v>
      </c>
      <c r="X13" s="1" t="s">
        <v>31</v>
      </c>
      <c r="Y13" s="1" t="s">
        <v>39</v>
      </c>
      <c r="Z13" s="1" t="s">
        <v>40</v>
      </c>
    </row>
    <row r="14" spans="1:26" x14ac:dyDescent="0.25">
      <c r="A14" s="5">
        <v>13</v>
      </c>
      <c r="B14" s="1" t="s">
        <v>88</v>
      </c>
      <c r="C14" s="1" t="str">
        <f>VLOOKUP('IT Working sheet '!B14,'09000210'!B:C,2,0)</f>
        <v>040000200522</v>
      </c>
      <c r="D14" s="1" t="str">
        <f t="shared" si="1"/>
        <v>Update ins_assorted_clients set commission_amount = '563' where assorted_code = '040000200522' and agency_code = '09000870';</v>
      </c>
      <c r="E14" s="7">
        <v>45849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>
        <v>6500000</v>
      </c>
      <c r="L14" s="1">
        <v>110500</v>
      </c>
      <c r="M14" s="1">
        <v>1.7000000000000001E-2</v>
      </c>
      <c r="N14" s="1">
        <v>45849</v>
      </c>
      <c r="O14" s="1">
        <v>94828</v>
      </c>
      <c r="P14" s="1">
        <v>110500</v>
      </c>
      <c r="Q14" s="1">
        <v>94828</v>
      </c>
      <c r="R14" s="6">
        <v>563</v>
      </c>
      <c r="S14" s="1">
        <v>0</v>
      </c>
      <c r="T14" s="6" t="s">
        <v>98</v>
      </c>
      <c r="U14" s="1" t="s">
        <v>38</v>
      </c>
      <c r="V14" s="1"/>
      <c r="W14" s="1" t="s">
        <v>30</v>
      </c>
      <c r="X14" s="1" t="s">
        <v>31</v>
      </c>
      <c r="Y14" s="1" t="s">
        <v>39</v>
      </c>
      <c r="Z14" s="1" t="s">
        <v>40</v>
      </c>
    </row>
    <row r="15" spans="1:26" x14ac:dyDescent="0.25">
      <c r="A15" s="5">
        <v>14</v>
      </c>
      <c r="B15" s="1" t="s">
        <v>94</v>
      </c>
      <c r="C15" s="1" t="e">
        <f>VLOOKUP('IT Working sheet '!B15,'09000210'!B:C,2,0)</f>
        <v>#N/A</v>
      </c>
      <c r="D15" s="1"/>
      <c r="E15" s="7">
        <v>45849</v>
      </c>
      <c r="F15" s="1" t="s">
        <v>95</v>
      </c>
      <c r="G15" s="1" t="s">
        <v>96</v>
      </c>
      <c r="H15" s="1" t="s">
        <v>97</v>
      </c>
      <c r="I15" s="1" t="s">
        <v>43</v>
      </c>
      <c r="J15" s="1">
        <v>2022</v>
      </c>
      <c r="K15" s="1">
        <v>3000000</v>
      </c>
      <c r="L15" s="1">
        <v>51000</v>
      </c>
      <c r="M15" s="1">
        <v>1.7000000000000001E-2</v>
      </c>
      <c r="N15" s="1">
        <v>45849</v>
      </c>
      <c r="O15" s="1">
        <v>43535</v>
      </c>
      <c r="P15" s="1">
        <v>51000</v>
      </c>
      <c r="Q15" s="1">
        <v>43535</v>
      </c>
      <c r="R15" s="6">
        <v>563</v>
      </c>
      <c r="S15" s="1">
        <v>0</v>
      </c>
      <c r="T15" s="6" t="s">
        <v>98</v>
      </c>
      <c r="U15" s="1" t="s">
        <v>38</v>
      </c>
      <c r="V15" s="1"/>
      <c r="W15" s="1" t="s">
        <v>30</v>
      </c>
      <c r="X15" s="1" t="s">
        <v>31</v>
      </c>
      <c r="Y15" s="1" t="s">
        <v>32</v>
      </c>
      <c r="Z15" s="1" t="s">
        <v>32</v>
      </c>
    </row>
    <row r="16" spans="1:26" x14ac:dyDescent="0.25">
      <c r="A16" s="5">
        <v>15</v>
      </c>
      <c r="B16" s="1" t="s">
        <v>99</v>
      </c>
      <c r="C16" s="1" t="str">
        <f>VLOOKUP('IT Working sheet '!B16,'09000210'!B:C,2,0)</f>
        <v>040000200105</v>
      </c>
      <c r="D16" s="1" t="str">
        <f>"Update ins_assorted_clients set commission_amount = '"&amp;R16&amp;"' where assorted_code = '"&amp;C16&amp;"' and agency_code = '09000870';"</f>
        <v>Update ins_assorted_clients set commission_amount = '563' where assorted_code = '040000200105' and agency_code = '09000870';</v>
      </c>
      <c r="E16" s="7">
        <v>45840</v>
      </c>
      <c r="F16" s="1" t="s">
        <v>100</v>
      </c>
      <c r="G16" s="1" t="s">
        <v>101</v>
      </c>
      <c r="H16" s="1" t="s">
        <v>102</v>
      </c>
      <c r="I16" s="1" t="s">
        <v>103</v>
      </c>
      <c r="J16" s="1">
        <v>2024</v>
      </c>
      <c r="K16" s="1">
        <v>14780000</v>
      </c>
      <c r="L16" s="1">
        <v>206920</v>
      </c>
      <c r="M16" s="1">
        <v>1.4E-2</v>
      </c>
      <c r="N16" s="1">
        <v>45840</v>
      </c>
      <c r="O16" s="1">
        <v>176838</v>
      </c>
      <c r="P16" s="1">
        <v>206920</v>
      </c>
      <c r="Q16" s="1">
        <v>176838</v>
      </c>
      <c r="R16" s="6">
        <v>563</v>
      </c>
      <c r="S16" s="1">
        <v>0</v>
      </c>
      <c r="T16" s="6" t="s">
        <v>98</v>
      </c>
      <c r="U16" s="1" t="s">
        <v>38</v>
      </c>
      <c r="V16" s="1"/>
      <c r="W16" s="1" t="s">
        <v>30</v>
      </c>
      <c r="X16" s="1" t="s">
        <v>31</v>
      </c>
      <c r="Y16" s="1" t="s">
        <v>39</v>
      </c>
      <c r="Z16" s="1" t="s">
        <v>40</v>
      </c>
    </row>
    <row r="17" spans="1:26" hidden="1" x14ac:dyDescent="0.25">
      <c r="A17" s="5">
        <v>16</v>
      </c>
      <c r="B17" s="1" t="s">
        <v>104</v>
      </c>
      <c r="C17" s="1"/>
      <c r="D17" s="1"/>
      <c r="E17" s="7">
        <v>45835</v>
      </c>
      <c r="F17" s="1" t="s">
        <v>105</v>
      </c>
      <c r="G17" s="1" t="s">
        <v>106</v>
      </c>
      <c r="H17" s="1" t="s">
        <v>107</v>
      </c>
      <c r="I17" s="1" t="s">
        <v>108</v>
      </c>
      <c r="J17" s="1">
        <v>2021</v>
      </c>
      <c r="K17" s="1">
        <v>3200000</v>
      </c>
      <c r="L17" s="1">
        <v>48000</v>
      </c>
      <c r="M17" s="1">
        <v>1.4999999999999999E-2</v>
      </c>
      <c r="N17" s="1">
        <v>45835</v>
      </c>
      <c r="O17" s="1">
        <v>40949</v>
      </c>
      <c r="P17" s="1">
        <v>48000</v>
      </c>
      <c r="Q17" s="1">
        <v>40949</v>
      </c>
      <c r="R17" s="6">
        <v>563</v>
      </c>
      <c r="S17" s="1">
        <v>0</v>
      </c>
      <c r="T17" s="6" t="s">
        <v>98</v>
      </c>
      <c r="U17" s="1" t="s">
        <v>38</v>
      </c>
      <c r="V17" s="1"/>
      <c r="W17" s="1" t="s">
        <v>30</v>
      </c>
      <c r="X17" s="1" t="s">
        <v>31</v>
      </c>
      <c r="Y17" s="1" t="s">
        <v>39</v>
      </c>
      <c r="Z17" s="1" t="s">
        <v>69</v>
      </c>
    </row>
    <row r="18" spans="1:26" hidden="1" x14ac:dyDescent="0.25">
      <c r="A18" s="5">
        <v>17</v>
      </c>
      <c r="B18" s="1" t="s">
        <v>109</v>
      </c>
      <c r="C18" s="1"/>
      <c r="D18" s="1"/>
      <c r="E18" s="7">
        <v>45810</v>
      </c>
      <c r="F18" s="1" t="s">
        <v>110</v>
      </c>
      <c r="G18" s="1" t="s">
        <v>111</v>
      </c>
      <c r="H18" s="1" t="s">
        <v>112</v>
      </c>
      <c r="I18" s="1" t="s">
        <v>113</v>
      </c>
      <c r="J18" s="1">
        <v>2021</v>
      </c>
      <c r="K18" s="1">
        <v>2800000</v>
      </c>
      <c r="L18" s="1">
        <v>55720</v>
      </c>
      <c r="M18" s="1">
        <v>1.9900000000000001E-2</v>
      </c>
      <c r="N18" s="1">
        <v>45809</v>
      </c>
      <c r="O18" s="1">
        <v>47607</v>
      </c>
      <c r="P18" s="1">
        <v>55720</v>
      </c>
      <c r="Q18" s="1">
        <v>47607</v>
      </c>
      <c r="R18" s="6">
        <v>563</v>
      </c>
      <c r="S18" s="1">
        <v>0</v>
      </c>
      <c r="T18" s="6" t="s">
        <v>98</v>
      </c>
      <c r="U18" s="1" t="s">
        <v>38</v>
      </c>
      <c r="V18" s="1"/>
      <c r="W18" s="1" t="s">
        <v>30</v>
      </c>
      <c r="X18" s="1" t="s">
        <v>31</v>
      </c>
      <c r="Y18" s="1" t="s">
        <v>39</v>
      </c>
      <c r="Z18" s="1" t="s">
        <v>69</v>
      </c>
    </row>
    <row r="19" spans="1:26" hidden="1" x14ac:dyDescent="0.25">
      <c r="A19" s="5">
        <v>18</v>
      </c>
      <c r="B19" s="1" t="s">
        <v>114</v>
      </c>
      <c r="C19" s="1"/>
      <c r="D19" s="1"/>
      <c r="E19" s="7">
        <v>45835</v>
      </c>
      <c r="F19" s="1" t="s">
        <v>115</v>
      </c>
      <c r="G19" s="1" t="s">
        <v>116</v>
      </c>
      <c r="H19" s="1" t="s">
        <v>117</v>
      </c>
      <c r="I19" s="1" t="s">
        <v>118</v>
      </c>
      <c r="J19" s="1">
        <v>2024</v>
      </c>
      <c r="K19" s="1">
        <v>3700000</v>
      </c>
      <c r="L19" s="1">
        <v>62900</v>
      </c>
      <c r="M19" s="1">
        <v>1.7000000000000001E-2</v>
      </c>
      <c r="N19" s="1">
        <v>45824</v>
      </c>
      <c r="O19" s="1">
        <v>53744</v>
      </c>
      <c r="P19" s="1">
        <v>62900</v>
      </c>
      <c r="Q19" s="1">
        <v>53744</v>
      </c>
      <c r="R19" s="6">
        <v>563</v>
      </c>
      <c r="S19" s="1">
        <v>0</v>
      </c>
      <c r="T19" s="6" t="s">
        <v>98</v>
      </c>
      <c r="U19" s="1" t="s">
        <v>38</v>
      </c>
      <c r="V19" s="1"/>
      <c r="W19" s="1" t="s">
        <v>30</v>
      </c>
      <c r="X19" s="1" t="s">
        <v>31</v>
      </c>
      <c r="Y19" s="1" t="s">
        <v>39</v>
      </c>
      <c r="Z19" s="1" t="s">
        <v>69</v>
      </c>
    </row>
    <row r="20" spans="1:26" hidden="1" x14ac:dyDescent="0.25">
      <c r="A20" s="5">
        <v>19</v>
      </c>
      <c r="B20" s="1" t="s">
        <v>119</v>
      </c>
      <c r="C20" s="1"/>
      <c r="D20" s="1"/>
      <c r="E20" s="7">
        <v>45827</v>
      </c>
      <c r="F20" s="1" t="s">
        <v>120</v>
      </c>
      <c r="G20" s="1" t="s">
        <v>121</v>
      </c>
      <c r="H20" s="1" t="s">
        <v>122</v>
      </c>
      <c r="I20" s="1" t="s">
        <v>123</v>
      </c>
      <c r="J20" s="1">
        <v>2022</v>
      </c>
      <c r="K20" s="1">
        <v>4300000</v>
      </c>
      <c r="L20" s="1">
        <v>64500</v>
      </c>
      <c r="M20" s="1">
        <v>1.4999999999999999E-2</v>
      </c>
      <c r="N20" s="1">
        <v>45827</v>
      </c>
      <c r="O20" s="1">
        <v>55111</v>
      </c>
      <c r="P20" s="1">
        <v>64500</v>
      </c>
      <c r="Q20" s="1">
        <v>55111</v>
      </c>
      <c r="R20" s="6">
        <v>563</v>
      </c>
      <c r="S20" s="1">
        <v>0</v>
      </c>
      <c r="T20" s="6" t="s">
        <v>98</v>
      </c>
      <c r="U20" s="1" t="s">
        <v>38</v>
      </c>
      <c r="V20" s="1"/>
      <c r="W20" s="1" t="s">
        <v>30</v>
      </c>
      <c r="X20" s="1" t="s">
        <v>31</v>
      </c>
      <c r="Y20" s="1" t="s">
        <v>39</v>
      </c>
      <c r="Z20" s="1" t="s">
        <v>69</v>
      </c>
    </row>
    <row r="21" spans="1:26" hidden="1" x14ac:dyDescent="0.25">
      <c r="A21" s="5">
        <v>20</v>
      </c>
      <c r="B21" s="1" t="s">
        <v>124</v>
      </c>
      <c r="C21" s="1"/>
      <c r="D21" s="1"/>
      <c r="E21" s="7">
        <v>45824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>
        <v>2022</v>
      </c>
      <c r="K21" s="1">
        <v>10000000</v>
      </c>
      <c r="L21" s="1">
        <v>150000</v>
      </c>
      <c r="M21" s="1">
        <v>1.4999999999999999E-2</v>
      </c>
      <c r="N21" s="1">
        <v>45822</v>
      </c>
      <c r="O21" s="1">
        <v>128879</v>
      </c>
      <c r="P21" s="1">
        <v>150000</v>
      </c>
      <c r="Q21" s="1">
        <v>128879</v>
      </c>
      <c r="R21" s="6">
        <v>563</v>
      </c>
      <c r="S21" s="1">
        <v>0</v>
      </c>
      <c r="T21" s="6" t="s">
        <v>98</v>
      </c>
      <c r="U21" s="1" t="s">
        <v>38</v>
      </c>
      <c r="V21" s="1"/>
      <c r="W21" s="1" t="s">
        <v>30</v>
      </c>
      <c r="X21" s="1" t="s">
        <v>31</v>
      </c>
      <c r="Y21" s="1" t="s">
        <v>39</v>
      </c>
      <c r="Z21" s="1" t="s">
        <v>69</v>
      </c>
    </row>
    <row r="22" spans="1:26" hidden="1" x14ac:dyDescent="0.25">
      <c r="A22" s="5">
        <v>21</v>
      </c>
      <c r="B22" s="1" t="s">
        <v>129</v>
      </c>
      <c r="C22" s="1"/>
      <c r="D22" s="1"/>
      <c r="E22" s="7">
        <v>45821</v>
      </c>
      <c r="F22" s="1" t="s">
        <v>130</v>
      </c>
      <c r="G22" s="1" t="s">
        <v>131</v>
      </c>
      <c r="H22" s="1" t="s">
        <v>132</v>
      </c>
      <c r="I22" s="1" t="s">
        <v>133</v>
      </c>
      <c r="J22" s="1">
        <v>2010</v>
      </c>
      <c r="K22" s="1">
        <v>2000000</v>
      </c>
      <c r="L22" s="1">
        <v>35000</v>
      </c>
      <c r="M22" s="1">
        <v>1.7500000000000002E-2</v>
      </c>
      <c r="N22" s="1">
        <v>45821</v>
      </c>
      <c r="O22" s="1">
        <v>29742</v>
      </c>
      <c r="P22" s="1">
        <v>35000</v>
      </c>
      <c r="Q22" s="1">
        <v>29742</v>
      </c>
      <c r="R22" s="6">
        <v>563</v>
      </c>
      <c r="S22" s="1">
        <v>0</v>
      </c>
      <c r="T22" s="6" t="s">
        <v>98</v>
      </c>
      <c r="U22" s="1" t="s">
        <v>38</v>
      </c>
      <c r="V22" s="1"/>
      <c r="W22" s="1" t="s">
        <v>30</v>
      </c>
      <c r="X22" s="1" t="s">
        <v>31</v>
      </c>
      <c r="Y22" s="1" t="s">
        <v>39</v>
      </c>
      <c r="Z22" s="1" t="s">
        <v>69</v>
      </c>
    </row>
    <row r="23" spans="1:26" hidden="1" x14ac:dyDescent="0.25">
      <c r="A23" s="5">
        <v>22</v>
      </c>
      <c r="B23" s="1" t="s">
        <v>134</v>
      </c>
      <c r="C23" s="1"/>
      <c r="D23" s="1"/>
      <c r="E23" s="7">
        <v>45821</v>
      </c>
      <c r="F23" s="1" t="s">
        <v>135</v>
      </c>
      <c r="G23" s="1" t="s">
        <v>136</v>
      </c>
      <c r="H23" s="1" t="s">
        <v>137</v>
      </c>
      <c r="I23" s="1" t="s">
        <v>138</v>
      </c>
      <c r="J23" s="1">
        <v>2022</v>
      </c>
      <c r="K23" s="1">
        <v>4000000</v>
      </c>
      <c r="L23" s="1">
        <v>60000</v>
      </c>
      <c r="M23" s="1">
        <v>1.4999999999999999E-2</v>
      </c>
      <c r="N23" s="1">
        <v>45821</v>
      </c>
      <c r="O23" s="1">
        <v>51265</v>
      </c>
      <c r="P23" s="1">
        <v>60000</v>
      </c>
      <c r="Q23" s="1">
        <v>51265</v>
      </c>
      <c r="R23" s="6">
        <v>563</v>
      </c>
      <c r="S23" s="1">
        <v>0</v>
      </c>
      <c r="T23" s="6" t="s">
        <v>98</v>
      </c>
      <c r="U23" s="1" t="s">
        <v>38</v>
      </c>
      <c r="V23" s="1"/>
      <c r="W23" s="1" t="s">
        <v>30</v>
      </c>
      <c r="X23" s="1" t="s">
        <v>31</v>
      </c>
      <c r="Y23" s="1" t="s">
        <v>39</v>
      </c>
      <c r="Z23" s="1" t="s">
        <v>69</v>
      </c>
    </row>
    <row r="24" spans="1:26" hidden="1" x14ac:dyDescent="0.25">
      <c r="A24" s="5">
        <v>23</v>
      </c>
      <c r="B24" s="1" t="s">
        <v>139</v>
      </c>
      <c r="C24" s="1"/>
      <c r="D24" s="1"/>
      <c r="E24" s="7">
        <v>45832</v>
      </c>
      <c r="F24" s="1" t="s">
        <v>140</v>
      </c>
      <c r="G24" s="1" t="s">
        <v>141</v>
      </c>
      <c r="H24" s="1" t="s">
        <v>142</v>
      </c>
      <c r="I24" s="1" t="s">
        <v>44</v>
      </c>
      <c r="J24" s="1">
        <v>2022</v>
      </c>
      <c r="K24" s="1">
        <v>6500000</v>
      </c>
      <c r="L24" s="1">
        <v>94250</v>
      </c>
      <c r="M24" s="1">
        <v>1.4500000000000001E-2</v>
      </c>
      <c r="N24" s="1">
        <v>45831</v>
      </c>
      <c r="O24" s="1">
        <v>80819</v>
      </c>
      <c r="P24" s="1">
        <v>94250</v>
      </c>
      <c r="Q24" s="1">
        <v>80819</v>
      </c>
      <c r="R24" s="6">
        <v>563</v>
      </c>
      <c r="S24" s="1">
        <v>0</v>
      </c>
      <c r="T24" s="6" t="s">
        <v>98</v>
      </c>
      <c r="U24" s="1" t="s">
        <v>38</v>
      </c>
      <c r="V24" s="1"/>
      <c r="W24" s="1" t="s">
        <v>30</v>
      </c>
      <c r="X24" s="1" t="s">
        <v>31</v>
      </c>
      <c r="Y24" s="1" t="s">
        <v>39</v>
      </c>
      <c r="Z24" s="1" t="s">
        <v>69</v>
      </c>
    </row>
    <row r="25" spans="1:26" hidden="1" x14ac:dyDescent="0.25">
      <c r="A25" s="5">
        <v>24</v>
      </c>
      <c r="B25" s="1" t="s">
        <v>143</v>
      </c>
      <c r="C25" s="1"/>
      <c r="D25" s="1"/>
      <c r="E25" s="7">
        <v>45821</v>
      </c>
      <c r="F25" s="1" t="s">
        <v>144</v>
      </c>
      <c r="G25" s="1" t="s">
        <v>145</v>
      </c>
      <c r="H25" s="1" t="s">
        <v>146</v>
      </c>
      <c r="I25" s="1" t="s">
        <v>147</v>
      </c>
      <c r="J25" s="1">
        <v>2022</v>
      </c>
      <c r="K25" s="1">
        <v>10000000</v>
      </c>
      <c r="L25" s="1">
        <v>150000</v>
      </c>
      <c r="M25" s="1">
        <v>1.4999999999999999E-2</v>
      </c>
      <c r="N25" s="1">
        <v>45819</v>
      </c>
      <c r="O25" s="1">
        <v>128879</v>
      </c>
      <c r="P25" s="1">
        <v>150000</v>
      </c>
      <c r="Q25" s="1">
        <v>128879</v>
      </c>
      <c r="R25" s="6">
        <v>563</v>
      </c>
      <c r="S25" s="1">
        <v>0</v>
      </c>
      <c r="T25" s="6" t="s">
        <v>98</v>
      </c>
      <c r="U25" s="1" t="s">
        <v>38</v>
      </c>
      <c r="V25" s="1"/>
      <c r="W25" s="1" t="s">
        <v>30</v>
      </c>
      <c r="X25" s="1" t="s">
        <v>31</v>
      </c>
      <c r="Y25" s="1" t="s">
        <v>39</v>
      </c>
      <c r="Z25" s="1" t="s">
        <v>69</v>
      </c>
    </row>
    <row r="26" spans="1:26" hidden="1" x14ac:dyDescent="0.25">
      <c r="A26" s="5">
        <v>25</v>
      </c>
      <c r="B26" s="1" t="s">
        <v>148</v>
      </c>
      <c r="C26" s="1"/>
      <c r="D26" s="1"/>
      <c r="E26" s="7">
        <v>45819</v>
      </c>
      <c r="F26" s="1" t="s">
        <v>149</v>
      </c>
      <c r="G26" s="1" t="s">
        <v>150</v>
      </c>
      <c r="H26" s="1" t="s">
        <v>151</v>
      </c>
      <c r="I26" s="1" t="s">
        <v>152</v>
      </c>
      <c r="J26" s="1">
        <v>2015</v>
      </c>
      <c r="K26" s="1">
        <v>2500000</v>
      </c>
      <c r="L26" s="1">
        <v>32500</v>
      </c>
      <c r="M26" s="1">
        <v>1.2999999999999999E-2</v>
      </c>
      <c r="N26" s="1">
        <v>45819</v>
      </c>
      <c r="O26" s="1">
        <v>27586</v>
      </c>
      <c r="P26" s="1">
        <v>32500</v>
      </c>
      <c r="Q26" s="1">
        <v>27586</v>
      </c>
      <c r="R26" s="6">
        <v>563</v>
      </c>
      <c r="S26" s="1">
        <v>0</v>
      </c>
      <c r="T26" s="6" t="s">
        <v>98</v>
      </c>
      <c r="U26" s="1" t="s">
        <v>38</v>
      </c>
      <c r="V26" s="1"/>
      <c r="W26" s="1" t="s">
        <v>30</v>
      </c>
      <c r="X26" s="1" t="s">
        <v>31</v>
      </c>
      <c r="Y26" s="1" t="s">
        <v>153</v>
      </c>
      <c r="Z26" s="1" t="s">
        <v>154</v>
      </c>
    </row>
    <row r="27" spans="1:26" hidden="1" x14ac:dyDescent="0.25">
      <c r="A27" s="5">
        <v>26</v>
      </c>
      <c r="B27" s="1" t="s">
        <v>155</v>
      </c>
      <c r="C27" s="1"/>
      <c r="D27" s="1"/>
      <c r="E27" s="7">
        <v>45818</v>
      </c>
      <c r="F27" s="1" t="s">
        <v>156</v>
      </c>
      <c r="G27" s="1" t="s">
        <v>157</v>
      </c>
      <c r="H27" s="1" t="s">
        <v>158</v>
      </c>
      <c r="I27" s="1" t="s">
        <v>159</v>
      </c>
      <c r="J27" s="1">
        <v>2018</v>
      </c>
      <c r="K27" s="1">
        <v>2400000</v>
      </c>
      <c r="L27" s="1">
        <v>33600</v>
      </c>
      <c r="M27" s="1">
        <v>1.4E-2</v>
      </c>
      <c r="N27" s="1">
        <v>45818</v>
      </c>
      <c r="O27" s="1">
        <v>28535</v>
      </c>
      <c r="P27" s="1">
        <v>33600</v>
      </c>
      <c r="Q27" s="1">
        <v>28535</v>
      </c>
      <c r="R27" s="6">
        <v>563</v>
      </c>
      <c r="S27" s="1">
        <v>0</v>
      </c>
      <c r="T27" s="6" t="s">
        <v>98</v>
      </c>
      <c r="U27" s="1" t="s">
        <v>38</v>
      </c>
      <c r="V27" s="1"/>
      <c r="W27" s="1" t="s">
        <v>30</v>
      </c>
      <c r="X27" s="1" t="s">
        <v>31</v>
      </c>
      <c r="Y27" s="1" t="s">
        <v>153</v>
      </c>
      <c r="Z27" s="1" t="s">
        <v>154</v>
      </c>
    </row>
    <row r="28" spans="1:26" hidden="1" x14ac:dyDescent="0.25">
      <c r="A28" s="5">
        <v>27</v>
      </c>
      <c r="B28" s="1" t="s">
        <v>160</v>
      </c>
      <c r="C28" s="1"/>
      <c r="D28" s="1"/>
      <c r="E28" s="7">
        <v>45813</v>
      </c>
      <c r="F28" s="1" t="s">
        <v>161</v>
      </c>
      <c r="G28" s="1" t="s">
        <v>162</v>
      </c>
      <c r="H28" s="1" t="s">
        <v>163</v>
      </c>
      <c r="I28" s="1" t="s">
        <v>159</v>
      </c>
      <c r="J28" s="1">
        <v>2022</v>
      </c>
      <c r="K28" s="1">
        <v>3200000</v>
      </c>
      <c r="L28" s="1">
        <v>57600</v>
      </c>
      <c r="M28" s="1">
        <v>1.7999999999999999E-2</v>
      </c>
      <c r="N28" s="1">
        <v>45813</v>
      </c>
      <c r="O28" s="1">
        <v>49224</v>
      </c>
      <c r="P28" s="1">
        <v>57600</v>
      </c>
      <c r="Q28" s="1">
        <v>49224</v>
      </c>
      <c r="R28" s="6">
        <v>563</v>
      </c>
      <c r="S28" s="1">
        <v>0</v>
      </c>
      <c r="T28" s="6" t="s">
        <v>98</v>
      </c>
      <c r="U28" s="1" t="s">
        <v>38</v>
      </c>
      <c r="V28" s="1"/>
      <c r="W28" s="1" t="s">
        <v>30</v>
      </c>
      <c r="X28" s="1" t="s">
        <v>31</v>
      </c>
      <c r="Y28" s="1" t="s">
        <v>39</v>
      </c>
      <c r="Z28" s="1" t="s">
        <v>69</v>
      </c>
    </row>
    <row r="29" spans="1:26" hidden="1" x14ac:dyDescent="0.25">
      <c r="A29" s="5">
        <v>28</v>
      </c>
      <c r="B29" s="1" t="s">
        <v>164</v>
      </c>
      <c r="C29" s="1"/>
      <c r="D29" s="1"/>
      <c r="E29" s="7">
        <v>45826</v>
      </c>
      <c r="F29" s="1" t="s">
        <v>165</v>
      </c>
      <c r="G29" s="1" t="s">
        <v>166</v>
      </c>
      <c r="H29" s="1" t="s">
        <v>167</v>
      </c>
      <c r="I29" s="1" t="s">
        <v>168</v>
      </c>
      <c r="J29" s="1">
        <v>2022</v>
      </c>
      <c r="K29" s="1">
        <v>2824000</v>
      </c>
      <c r="L29" s="1">
        <v>56480</v>
      </c>
      <c r="M29" s="1">
        <v>0.02</v>
      </c>
      <c r="N29" s="1">
        <v>45825</v>
      </c>
      <c r="O29" s="1">
        <v>48258</v>
      </c>
      <c r="P29" s="1">
        <v>56480</v>
      </c>
      <c r="Q29" s="1">
        <v>48258</v>
      </c>
      <c r="R29" s="6">
        <v>563</v>
      </c>
      <c r="S29" s="1">
        <v>0</v>
      </c>
      <c r="T29" s="6" t="s">
        <v>98</v>
      </c>
      <c r="U29" s="1" t="s">
        <v>38</v>
      </c>
      <c r="V29" s="1"/>
      <c r="W29" s="1" t="s">
        <v>30</v>
      </c>
      <c r="X29" s="1" t="s">
        <v>31</v>
      </c>
      <c r="Y29" s="1" t="s">
        <v>39</v>
      </c>
      <c r="Z29" s="1" t="s">
        <v>69</v>
      </c>
    </row>
    <row r="30" spans="1:26" hidden="1" x14ac:dyDescent="0.25">
      <c r="A30" s="5">
        <v>29</v>
      </c>
      <c r="B30" s="1" t="s">
        <v>169</v>
      </c>
      <c r="C30" s="1"/>
      <c r="D30" s="1"/>
      <c r="E30" s="7">
        <v>45821</v>
      </c>
      <c r="F30" s="1" t="s">
        <v>170</v>
      </c>
      <c r="G30" s="1" t="s">
        <v>171</v>
      </c>
      <c r="H30" s="1" t="s">
        <v>172</v>
      </c>
      <c r="I30" s="1" t="s">
        <v>28</v>
      </c>
      <c r="J30" s="1">
        <v>2024</v>
      </c>
      <c r="K30" s="1">
        <v>2560000</v>
      </c>
      <c r="L30" s="1">
        <v>38400</v>
      </c>
      <c r="M30" s="1">
        <v>1.7999999999999999E-2</v>
      </c>
      <c r="N30" s="1">
        <v>45821</v>
      </c>
      <c r="O30" s="1">
        <v>32672</v>
      </c>
      <c r="P30" s="1">
        <v>38400</v>
      </c>
      <c r="Q30" s="1">
        <v>32672</v>
      </c>
      <c r="R30" s="6">
        <v>563</v>
      </c>
      <c r="S30" s="1">
        <v>0</v>
      </c>
      <c r="T30" s="6" t="s">
        <v>98</v>
      </c>
      <c r="U30" s="1" t="s">
        <v>38</v>
      </c>
      <c r="V30" s="1"/>
      <c r="W30" s="1" t="s">
        <v>30</v>
      </c>
      <c r="X30" s="1" t="s">
        <v>31</v>
      </c>
      <c r="Y30" s="1" t="s">
        <v>39</v>
      </c>
      <c r="Z30" s="1" t="s">
        <v>69</v>
      </c>
    </row>
    <row r="31" spans="1:26" hidden="1" x14ac:dyDescent="0.25">
      <c r="A31" s="5">
        <v>30</v>
      </c>
      <c r="B31" s="1" t="s">
        <v>173</v>
      </c>
      <c r="C31" s="1"/>
      <c r="D31" s="1"/>
      <c r="E31" s="7">
        <v>45825</v>
      </c>
      <c r="F31" s="1" t="s">
        <v>174</v>
      </c>
      <c r="G31" s="1" t="s">
        <v>175</v>
      </c>
      <c r="H31" s="1" t="s">
        <v>176</v>
      </c>
      <c r="I31" s="1" t="s">
        <v>177</v>
      </c>
      <c r="J31" s="1">
        <v>2010</v>
      </c>
      <c r="K31" s="1">
        <v>2500000</v>
      </c>
      <c r="L31" s="1">
        <v>40000</v>
      </c>
      <c r="M31" s="1">
        <v>1.6E-2</v>
      </c>
      <c r="N31" s="1">
        <v>45825</v>
      </c>
      <c r="O31" s="1">
        <v>34051</v>
      </c>
      <c r="P31" s="1">
        <v>40000</v>
      </c>
      <c r="Q31" s="1">
        <v>34051</v>
      </c>
      <c r="R31" s="6">
        <v>563</v>
      </c>
      <c r="S31" s="1">
        <v>0</v>
      </c>
      <c r="T31" s="6" t="s">
        <v>98</v>
      </c>
      <c r="U31" s="1" t="s">
        <v>38</v>
      </c>
      <c r="V31" s="1"/>
      <c r="W31" s="1" t="s">
        <v>30</v>
      </c>
      <c r="X31" s="1" t="s">
        <v>31</v>
      </c>
      <c r="Y31" s="1" t="s">
        <v>153</v>
      </c>
      <c r="Z31" s="1" t="s">
        <v>178</v>
      </c>
    </row>
    <row r="32" spans="1:26" hidden="1" x14ac:dyDescent="0.25">
      <c r="A32" s="5">
        <v>31</v>
      </c>
      <c r="B32" s="1" t="s">
        <v>179</v>
      </c>
      <c r="C32" s="1"/>
      <c r="D32" s="1"/>
      <c r="E32" s="7">
        <v>45813</v>
      </c>
      <c r="F32" s="1" t="s">
        <v>180</v>
      </c>
      <c r="G32" s="1" t="s">
        <v>181</v>
      </c>
      <c r="H32" s="1" t="s">
        <v>182</v>
      </c>
      <c r="I32" s="1" t="s">
        <v>123</v>
      </c>
      <c r="J32" s="1">
        <v>2024</v>
      </c>
      <c r="K32" s="1">
        <v>4744000</v>
      </c>
      <c r="L32" s="1">
        <v>71160</v>
      </c>
      <c r="M32" s="1">
        <v>1.4999999999999999E-2</v>
      </c>
      <c r="N32" s="1">
        <v>45813</v>
      </c>
      <c r="O32" s="1">
        <v>60803</v>
      </c>
      <c r="P32" s="1">
        <v>71160</v>
      </c>
      <c r="Q32" s="1">
        <v>60803</v>
      </c>
      <c r="R32" s="6">
        <v>563</v>
      </c>
      <c r="S32" s="1">
        <v>0</v>
      </c>
      <c r="T32" s="6" t="s">
        <v>98</v>
      </c>
      <c r="U32" s="1" t="s">
        <v>38</v>
      </c>
      <c r="V32" s="1"/>
      <c r="W32" s="1" t="s">
        <v>30</v>
      </c>
      <c r="X32" s="1" t="s">
        <v>31</v>
      </c>
      <c r="Y32" s="1" t="s">
        <v>39</v>
      </c>
      <c r="Z32" s="1" t="s">
        <v>183</v>
      </c>
    </row>
    <row r="33" spans="1:26" hidden="1" x14ac:dyDescent="0.25">
      <c r="A33" s="5">
        <v>32</v>
      </c>
      <c r="B33" s="1" t="s">
        <v>184</v>
      </c>
      <c r="C33" s="1"/>
      <c r="D33" s="1"/>
      <c r="E33" s="7">
        <v>45832</v>
      </c>
      <c r="F33" s="1" t="s">
        <v>185</v>
      </c>
      <c r="G33" s="1" t="s">
        <v>186</v>
      </c>
      <c r="H33" s="1" t="s">
        <v>187</v>
      </c>
      <c r="I33" s="1" t="s">
        <v>188</v>
      </c>
      <c r="J33" s="1">
        <v>2022</v>
      </c>
      <c r="K33" s="1">
        <v>4800000</v>
      </c>
      <c r="L33" s="1">
        <v>10000</v>
      </c>
      <c r="M33" s="1">
        <v>2.5000000000000001E-2</v>
      </c>
      <c r="N33" s="1">
        <v>45829</v>
      </c>
      <c r="O33" s="1">
        <v>8190</v>
      </c>
      <c r="P33" s="1">
        <v>10000</v>
      </c>
      <c r="Q33" s="1">
        <v>8190</v>
      </c>
      <c r="R33" s="6">
        <v>563</v>
      </c>
      <c r="S33" s="1" t="s">
        <v>189</v>
      </c>
      <c r="T33" s="6" t="s">
        <v>98</v>
      </c>
      <c r="U33" s="1" t="s">
        <v>38</v>
      </c>
      <c r="V33" s="1"/>
      <c r="W33" s="1" t="s">
        <v>30</v>
      </c>
      <c r="X33" s="1" t="s">
        <v>190</v>
      </c>
      <c r="Y33" s="1" t="s">
        <v>153</v>
      </c>
      <c r="Z33" s="1" t="s">
        <v>154</v>
      </c>
    </row>
    <row r="34" spans="1:26" hidden="1" x14ac:dyDescent="0.25">
      <c r="A34" s="5">
        <v>33</v>
      </c>
      <c r="B34" s="1" t="s">
        <v>191</v>
      </c>
      <c r="C34" s="1"/>
      <c r="D34" s="1"/>
      <c r="E34" s="7">
        <v>45810</v>
      </c>
      <c r="F34" s="1" t="s">
        <v>192</v>
      </c>
      <c r="G34" s="1" t="s">
        <v>193</v>
      </c>
      <c r="H34" s="1" t="s">
        <v>194</v>
      </c>
      <c r="I34" s="1" t="s">
        <v>28</v>
      </c>
      <c r="J34" s="1">
        <v>2020</v>
      </c>
      <c r="K34" s="1">
        <v>2000000</v>
      </c>
      <c r="L34" s="1">
        <v>36000</v>
      </c>
      <c r="M34" s="1">
        <v>1.7999999999999999E-2</v>
      </c>
      <c r="N34" s="1">
        <v>45810</v>
      </c>
      <c r="O34" s="1">
        <v>31535</v>
      </c>
      <c r="P34" s="1">
        <v>36000</v>
      </c>
      <c r="Q34" s="1">
        <v>31535</v>
      </c>
      <c r="R34" s="6">
        <v>563</v>
      </c>
      <c r="S34" s="1">
        <v>0</v>
      </c>
      <c r="T34" s="6" t="s">
        <v>98</v>
      </c>
      <c r="U34" s="1" t="s">
        <v>38</v>
      </c>
      <c r="V34" s="1"/>
      <c r="W34" s="1" t="s">
        <v>30</v>
      </c>
      <c r="X34" s="1" t="s">
        <v>31</v>
      </c>
      <c r="Y34" s="1" t="s">
        <v>39</v>
      </c>
      <c r="Z34" s="1" t="s">
        <v>69</v>
      </c>
    </row>
    <row r="35" spans="1:26" x14ac:dyDescent="0.25">
      <c r="A35" s="5">
        <v>34</v>
      </c>
      <c r="B35" s="1" t="s">
        <v>195</v>
      </c>
      <c r="C35" s="1" t="str">
        <f>VLOOKUP('IT Working sheet '!B35,'09000210'!B:C,2,0)</f>
        <v>040000200531</v>
      </c>
      <c r="D35" s="1" t="str">
        <f>"Update ins_assorted_clients set commission_amount = '"&amp;R35&amp;"' where assorted_code = '"&amp;C35&amp;"' and agency_code = '09000870';"</f>
        <v>Update ins_assorted_clients set commission_amount = '563' where assorted_code = '040000200531' and agency_code = '09000870';</v>
      </c>
      <c r="E35" s="7">
        <v>45849</v>
      </c>
      <c r="F35" s="1" t="s">
        <v>196</v>
      </c>
      <c r="G35" s="1" t="s">
        <v>197</v>
      </c>
      <c r="H35" s="1" t="s">
        <v>198</v>
      </c>
      <c r="I35" s="1" t="s">
        <v>199</v>
      </c>
      <c r="J35" s="1">
        <v>2022</v>
      </c>
      <c r="K35" s="1">
        <v>2000000</v>
      </c>
      <c r="L35" s="1">
        <v>30000</v>
      </c>
      <c r="M35" s="1">
        <v>1.4999999999999999E-2</v>
      </c>
      <c r="N35" s="1">
        <v>45811</v>
      </c>
      <c r="O35" s="1">
        <v>25624</v>
      </c>
      <c r="P35" s="1">
        <v>30000</v>
      </c>
      <c r="Q35" s="1">
        <v>25624</v>
      </c>
      <c r="R35" s="6">
        <v>563</v>
      </c>
      <c r="S35" s="1">
        <v>0</v>
      </c>
      <c r="T35" s="6" t="s">
        <v>98</v>
      </c>
      <c r="U35" s="1" t="s">
        <v>38</v>
      </c>
      <c r="V35" s="1"/>
      <c r="W35" s="1" t="s">
        <v>30</v>
      </c>
      <c r="X35" s="1" t="s">
        <v>31</v>
      </c>
      <c r="Y35" s="1" t="s">
        <v>39</v>
      </c>
      <c r="Z35" s="1" t="s">
        <v>183</v>
      </c>
    </row>
    <row r="36" spans="1:26" hidden="1" x14ac:dyDescent="0.25">
      <c r="A36" s="5">
        <v>35</v>
      </c>
      <c r="B36" s="1" t="s">
        <v>200</v>
      </c>
      <c r="C36" s="1"/>
      <c r="D36" s="1"/>
      <c r="E36" s="7">
        <v>45826</v>
      </c>
      <c r="F36" s="1" t="s">
        <v>201</v>
      </c>
      <c r="G36" s="1">
        <v>3412914850</v>
      </c>
      <c r="H36" s="1" t="s">
        <v>202</v>
      </c>
      <c r="I36" s="1" t="s">
        <v>203</v>
      </c>
      <c r="J36" s="1">
        <v>2025</v>
      </c>
      <c r="K36" s="1">
        <v>208900</v>
      </c>
      <c r="L36" s="1">
        <v>8356</v>
      </c>
      <c r="M36" s="1">
        <v>4</v>
      </c>
      <c r="N36" s="1">
        <v>45825</v>
      </c>
      <c r="O36" s="1">
        <v>6772</v>
      </c>
      <c r="P36" s="1">
        <v>8356</v>
      </c>
      <c r="Q36" s="1">
        <v>13544</v>
      </c>
      <c r="R36" s="6">
        <v>0</v>
      </c>
      <c r="S36" s="1">
        <v>0</v>
      </c>
      <c r="T36" s="6" t="s">
        <v>98</v>
      </c>
      <c r="U36" s="1" t="s">
        <v>29</v>
      </c>
      <c r="V36" s="1">
        <v>0</v>
      </c>
      <c r="W36" s="1" t="s">
        <v>204</v>
      </c>
      <c r="X36" s="1" t="s">
        <v>31</v>
      </c>
      <c r="Y36" s="1" t="s">
        <v>32</v>
      </c>
      <c r="Z36" s="1" t="s">
        <v>32</v>
      </c>
    </row>
    <row r="37" spans="1:26" hidden="1" x14ac:dyDescent="0.25">
      <c r="A37" s="5">
        <v>36</v>
      </c>
      <c r="B37" s="1" t="s">
        <v>205</v>
      </c>
      <c r="C37" s="1"/>
      <c r="D37" s="1"/>
      <c r="E37" s="7">
        <v>45814</v>
      </c>
      <c r="F37" s="1" t="s">
        <v>206</v>
      </c>
      <c r="G37" s="1">
        <v>3343451716</v>
      </c>
      <c r="H37" s="1" t="s">
        <v>207</v>
      </c>
      <c r="I37" s="1" t="s">
        <v>208</v>
      </c>
      <c r="J37" s="1">
        <v>2025</v>
      </c>
      <c r="K37" s="1">
        <v>3080000</v>
      </c>
      <c r="L37" s="1">
        <v>10000</v>
      </c>
      <c r="M37" s="1">
        <v>2.5000000000000001E-2</v>
      </c>
      <c r="N37" s="1">
        <v>45813</v>
      </c>
      <c r="O37" s="1">
        <v>8190</v>
      </c>
      <c r="P37" s="1">
        <v>10000</v>
      </c>
      <c r="Q37" s="1">
        <v>16380</v>
      </c>
      <c r="R37" s="6">
        <v>0</v>
      </c>
      <c r="S37" s="1">
        <v>0</v>
      </c>
      <c r="T37" s="6" t="s">
        <v>98</v>
      </c>
      <c r="U37" s="1" t="s">
        <v>29</v>
      </c>
      <c r="V37" s="1">
        <v>0</v>
      </c>
      <c r="W37" s="1" t="s">
        <v>204</v>
      </c>
      <c r="X37" s="1" t="s">
        <v>190</v>
      </c>
      <c r="Y37" s="1" t="s">
        <v>32</v>
      </c>
      <c r="Z37" s="1" t="s">
        <v>32</v>
      </c>
    </row>
    <row r="38" spans="1:26" hidden="1" x14ac:dyDescent="0.25">
      <c r="A38" s="5">
        <v>37</v>
      </c>
      <c r="B38" s="1" t="s">
        <v>209</v>
      </c>
      <c r="C38" s="1"/>
      <c r="D38" s="1"/>
      <c r="E38" s="7">
        <v>45838</v>
      </c>
      <c r="F38" s="1" t="s">
        <v>210</v>
      </c>
      <c r="G38" s="1">
        <v>3072942941</v>
      </c>
      <c r="H38" s="1" t="s">
        <v>211</v>
      </c>
      <c r="I38" s="1" t="s">
        <v>208</v>
      </c>
      <c r="J38" s="1">
        <v>2020</v>
      </c>
      <c r="K38" s="1">
        <v>2200000</v>
      </c>
      <c r="L38" s="1">
        <v>45500</v>
      </c>
      <c r="M38" s="1">
        <v>2</v>
      </c>
      <c r="N38" s="1">
        <v>45838</v>
      </c>
      <c r="O38" s="1">
        <v>38793</v>
      </c>
      <c r="P38" s="1">
        <v>45500</v>
      </c>
      <c r="Q38" s="1">
        <v>77586</v>
      </c>
      <c r="R38" s="6">
        <v>0</v>
      </c>
      <c r="S38" s="1">
        <v>0</v>
      </c>
      <c r="T38" s="6" t="s">
        <v>98</v>
      </c>
      <c r="U38" s="1" t="s">
        <v>212</v>
      </c>
      <c r="V38" s="1"/>
      <c r="W38" s="1" t="s">
        <v>204</v>
      </c>
      <c r="X38" s="1" t="s">
        <v>31</v>
      </c>
      <c r="Y38" s="1" t="s">
        <v>32</v>
      </c>
      <c r="Z38" s="1">
        <v>0</v>
      </c>
    </row>
    <row r="39" spans="1:26" hidden="1" x14ac:dyDescent="0.25">
      <c r="A39" s="5">
        <v>38</v>
      </c>
      <c r="B39" s="1" t="s">
        <v>213</v>
      </c>
      <c r="C39" s="1" t="e">
        <f>VLOOKUP('IT Working sheet '!B39,'09000210'!B:C,2,0)</f>
        <v>#N/A</v>
      </c>
      <c r="D39" s="1"/>
      <c r="E39" s="7">
        <v>45841</v>
      </c>
      <c r="F39" s="1" t="s">
        <v>214</v>
      </c>
      <c r="G39" s="1">
        <v>3008286191</v>
      </c>
      <c r="H39" s="1" t="s">
        <v>215</v>
      </c>
      <c r="I39" s="1" t="s">
        <v>216</v>
      </c>
      <c r="J39" s="1">
        <v>2024</v>
      </c>
      <c r="K39" s="1">
        <v>3175000</v>
      </c>
      <c r="L39" s="1">
        <v>55563</v>
      </c>
      <c r="M39" s="1">
        <v>1.75</v>
      </c>
      <c r="N39" s="1">
        <v>45861</v>
      </c>
      <c r="O39" s="1">
        <v>47468</v>
      </c>
      <c r="P39" s="1">
        <v>55563</v>
      </c>
      <c r="Q39" s="1">
        <v>47468</v>
      </c>
      <c r="R39" s="6">
        <v>0</v>
      </c>
      <c r="S39" s="1">
        <v>0</v>
      </c>
      <c r="T39" s="6" t="s">
        <v>98</v>
      </c>
      <c r="U39" s="1" t="s">
        <v>38</v>
      </c>
      <c r="V39" s="1">
        <v>0</v>
      </c>
      <c r="W39" s="1" t="s">
        <v>204</v>
      </c>
      <c r="X39" s="1" t="s">
        <v>31</v>
      </c>
      <c r="Y39" s="1" t="s">
        <v>217</v>
      </c>
      <c r="Z39" s="1" t="s">
        <v>218</v>
      </c>
    </row>
    <row r="40" spans="1:26" hidden="1" x14ac:dyDescent="0.25">
      <c r="A40" s="5">
        <v>39</v>
      </c>
      <c r="B40" s="1" t="s">
        <v>219</v>
      </c>
      <c r="C40" s="1" t="e">
        <f>VLOOKUP('IT Working sheet '!B40,'09000210'!B:C,2,0)</f>
        <v>#N/A</v>
      </c>
      <c r="D40" s="1"/>
      <c r="E40" s="7">
        <v>45853</v>
      </c>
      <c r="F40" s="1" t="s">
        <v>220</v>
      </c>
      <c r="G40" s="1">
        <v>3413832018</v>
      </c>
      <c r="H40" s="1" t="s">
        <v>221</v>
      </c>
      <c r="I40" s="1" t="s">
        <v>222</v>
      </c>
      <c r="J40" s="1">
        <v>2021</v>
      </c>
      <c r="K40" s="1">
        <v>2300000</v>
      </c>
      <c r="L40" s="1">
        <v>39100</v>
      </c>
      <c r="M40" s="1">
        <v>1.7</v>
      </c>
      <c r="N40" s="1">
        <v>45853</v>
      </c>
      <c r="O40" s="1">
        <v>33276</v>
      </c>
      <c r="P40" s="1">
        <v>39100</v>
      </c>
      <c r="Q40" s="1">
        <v>33276</v>
      </c>
      <c r="R40" s="6">
        <v>0</v>
      </c>
      <c r="S40" s="1">
        <v>0</v>
      </c>
      <c r="T40" s="6" t="s">
        <v>98</v>
      </c>
      <c r="U40" s="1" t="s">
        <v>38</v>
      </c>
      <c r="V40" s="1">
        <v>0</v>
      </c>
      <c r="W40" s="1" t="s">
        <v>204</v>
      </c>
      <c r="X40" s="1" t="s">
        <v>31</v>
      </c>
      <c r="Y40" s="1" t="s">
        <v>153</v>
      </c>
      <c r="Z40" s="1" t="s">
        <v>223</v>
      </c>
    </row>
    <row r="41" spans="1:26" hidden="1" x14ac:dyDescent="0.25">
      <c r="A41" s="5">
        <v>40</v>
      </c>
      <c r="B41" s="1" t="s">
        <v>224</v>
      </c>
      <c r="C41" s="1" t="e">
        <f>VLOOKUP('IT Working sheet '!B41,'09000210'!B:C,2,0)</f>
        <v>#N/A</v>
      </c>
      <c r="D41" s="1"/>
      <c r="E41" s="7">
        <v>45849</v>
      </c>
      <c r="F41" s="1" t="s">
        <v>225</v>
      </c>
      <c r="G41" s="1">
        <v>3212311508</v>
      </c>
      <c r="H41" s="1" t="s">
        <v>226</v>
      </c>
      <c r="I41" s="1" t="s">
        <v>227</v>
      </c>
      <c r="J41" s="1">
        <v>2018</v>
      </c>
      <c r="K41" s="1">
        <v>2300000</v>
      </c>
      <c r="L41" s="1">
        <v>40250</v>
      </c>
      <c r="M41" s="1">
        <v>1.75</v>
      </c>
      <c r="N41" s="1">
        <v>45849</v>
      </c>
      <c r="O41" s="1">
        <v>34267</v>
      </c>
      <c r="P41" s="1">
        <v>40250</v>
      </c>
      <c r="Q41" s="1">
        <v>34267</v>
      </c>
      <c r="R41" s="6">
        <v>0</v>
      </c>
      <c r="S41" s="1">
        <v>0</v>
      </c>
      <c r="T41" s="6" t="s">
        <v>98</v>
      </c>
      <c r="U41" s="1" t="s">
        <v>38</v>
      </c>
      <c r="V41" s="1">
        <v>0</v>
      </c>
      <c r="W41" s="1" t="s">
        <v>204</v>
      </c>
      <c r="X41" s="1" t="s">
        <v>31</v>
      </c>
      <c r="Y41" s="1" t="s">
        <v>153</v>
      </c>
      <c r="Z41" s="1" t="s">
        <v>223</v>
      </c>
    </row>
    <row r="42" spans="1:26" hidden="1" x14ac:dyDescent="0.25">
      <c r="A42" s="5">
        <v>41</v>
      </c>
      <c r="B42" s="1" t="s">
        <v>228</v>
      </c>
      <c r="C42" s="1" t="e">
        <f>VLOOKUP('IT Working sheet '!B42,'09000210'!B:C,2,0)</f>
        <v>#N/A</v>
      </c>
      <c r="D42" s="1"/>
      <c r="E42" s="7">
        <v>45845</v>
      </c>
      <c r="F42" s="1" t="s">
        <v>229</v>
      </c>
      <c r="G42" s="1">
        <v>3008940171</v>
      </c>
      <c r="H42" s="1" t="s">
        <v>230</v>
      </c>
      <c r="I42" s="1" t="s">
        <v>208</v>
      </c>
      <c r="J42" s="1">
        <v>2021</v>
      </c>
      <c r="K42" s="1">
        <v>2500000</v>
      </c>
      <c r="L42" s="1">
        <v>41250</v>
      </c>
      <c r="M42" s="1">
        <v>1.65</v>
      </c>
      <c r="N42" s="1">
        <v>45845</v>
      </c>
      <c r="O42" s="1">
        <v>35130</v>
      </c>
      <c r="P42" s="1">
        <v>41250</v>
      </c>
      <c r="Q42" s="1">
        <v>35130</v>
      </c>
      <c r="R42" s="6">
        <v>0</v>
      </c>
      <c r="S42" s="1">
        <v>0</v>
      </c>
      <c r="T42" s="6" t="s">
        <v>98</v>
      </c>
      <c r="U42" s="1" t="s">
        <v>38</v>
      </c>
      <c r="V42" s="1">
        <v>0</v>
      </c>
      <c r="W42" s="1" t="s">
        <v>204</v>
      </c>
      <c r="X42" s="1" t="s">
        <v>31</v>
      </c>
      <c r="Y42" s="1" t="s">
        <v>153</v>
      </c>
      <c r="Z42" s="1" t="s">
        <v>223</v>
      </c>
    </row>
    <row r="43" spans="1:26" hidden="1" x14ac:dyDescent="0.25">
      <c r="A43" s="5">
        <v>42</v>
      </c>
      <c r="B43" s="1" t="s">
        <v>231</v>
      </c>
      <c r="C43" s="1"/>
      <c r="D43" s="1"/>
      <c r="E43" s="7">
        <v>45825</v>
      </c>
      <c r="F43" s="1" t="s">
        <v>232</v>
      </c>
      <c r="G43" s="1">
        <v>3132816156</v>
      </c>
      <c r="H43" s="1" t="s">
        <v>233</v>
      </c>
      <c r="I43" s="1" t="s">
        <v>234</v>
      </c>
      <c r="J43" s="1">
        <v>2016</v>
      </c>
      <c r="K43" s="1">
        <v>1000000</v>
      </c>
      <c r="L43" s="1">
        <v>15000</v>
      </c>
      <c r="M43" s="1">
        <v>1.5</v>
      </c>
      <c r="N43" s="1">
        <v>45807</v>
      </c>
      <c r="O43" s="1">
        <v>12500</v>
      </c>
      <c r="P43" s="1">
        <v>17500</v>
      </c>
      <c r="Q43" s="1">
        <v>12500</v>
      </c>
      <c r="R43" s="6">
        <v>0</v>
      </c>
      <c r="S43" s="1">
        <v>0</v>
      </c>
      <c r="T43" s="6" t="s">
        <v>98</v>
      </c>
      <c r="U43" s="1" t="s">
        <v>38</v>
      </c>
      <c r="V43" s="1">
        <v>0</v>
      </c>
      <c r="W43" s="1" t="s">
        <v>204</v>
      </c>
      <c r="X43" s="1" t="s">
        <v>31</v>
      </c>
      <c r="Y43" s="1" t="s">
        <v>39</v>
      </c>
      <c r="Z43" s="1" t="s">
        <v>183</v>
      </c>
    </row>
    <row r="44" spans="1:26" hidden="1" x14ac:dyDescent="0.25">
      <c r="A44" s="5">
        <v>43</v>
      </c>
      <c r="B44" s="1" t="s">
        <v>235</v>
      </c>
      <c r="C44" s="1"/>
      <c r="D44" s="1"/>
      <c r="E44" s="7">
        <v>45820</v>
      </c>
      <c r="F44" s="1" t="s">
        <v>236</v>
      </c>
      <c r="G44" s="1">
        <v>3334273529</v>
      </c>
      <c r="H44" s="1" t="s">
        <v>237</v>
      </c>
      <c r="I44" s="1" t="s">
        <v>238</v>
      </c>
      <c r="J44" s="1">
        <v>2023</v>
      </c>
      <c r="K44" s="1">
        <v>2935000</v>
      </c>
      <c r="L44" s="1">
        <v>58407</v>
      </c>
      <c r="M44" s="1">
        <v>1.99</v>
      </c>
      <c r="N44" s="1">
        <v>45820</v>
      </c>
      <c r="O44" s="1">
        <v>49903</v>
      </c>
      <c r="P44" s="1">
        <v>58407</v>
      </c>
      <c r="Q44" s="1">
        <v>49903</v>
      </c>
      <c r="R44" s="6">
        <v>0</v>
      </c>
      <c r="S44" s="1">
        <v>0</v>
      </c>
      <c r="T44" s="6" t="s">
        <v>98</v>
      </c>
      <c r="U44" s="1" t="s">
        <v>38</v>
      </c>
      <c r="V44" s="1">
        <v>0</v>
      </c>
      <c r="W44" s="1" t="s">
        <v>204</v>
      </c>
      <c r="X44" s="1" t="s">
        <v>31</v>
      </c>
      <c r="Y44" s="1" t="s">
        <v>39</v>
      </c>
      <c r="Z44" s="1" t="s">
        <v>69</v>
      </c>
    </row>
    <row r="45" spans="1:26" hidden="1" x14ac:dyDescent="0.25">
      <c r="A45" s="5">
        <v>44</v>
      </c>
      <c r="B45" s="1" t="s">
        <v>239</v>
      </c>
      <c r="C45" s="1"/>
      <c r="D45" s="1"/>
      <c r="E45" s="7">
        <v>45813</v>
      </c>
      <c r="F45" s="1" t="s">
        <v>240</v>
      </c>
      <c r="G45" s="1">
        <v>3334253418</v>
      </c>
      <c r="H45" s="1" t="s">
        <v>241</v>
      </c>
      <c r="I45" s="1" t="s">
        <v>238</v>
      </c>
      <c r="J45" s="1">
        <v>2023</v>
      </c>
      <c r="K45" s="1">
        <v>2935000</v>
      </c>
      <c r="L45" s="1">
        <v>58407</v>
      </c>
      <c r="M45" s="1">
        <v>1.99</v>
      </c>
      <c r="N45" s="1">
        <v>45813</v>
      </c>
      <c r="O45" s="1">
        <v>49903</v>
      </c>
      <c r="P45" s="1">
        <v>58407</v>
      </c>
      <c r="Q45" s="1">
        <v>49903</v>
      </c>
      <c r="R45" s="6">
        <v>0</v>
      </c>
      <c r="S45" s="1">
        <v>0</v>
      </c>
      <c r="T45" s="6" t="s">
        <v>98</v>
      </c>
      <c r="U45" s="1" t="s">
        <v>38</v>
      </c>
      <c r="V45" s="1">
        <v>0</v>
      </c>
      <c r="W45" s="1" t="s">
        <v>204</v>
      </c>
      <c r="X45" s="1" t="s">
        <v>31</v>
      </c>
      <c r="Y45" s="1" t="s">
        <v>39</v>
      </c>
      <c r="Z45" s="1" t="s">
        <v>69</v>
      </c>
    </row>
    <row r="46" spans="1:26" hidden="1" x14ac:dyDescent="0.25">
      <c r="A46" s="5">
        <v>45</v>
      </c>
      <c r="B46" s="1" t="s">
        <v>242</v>
      </c>
      <c r="C46" s="1"/>
      <c r="D46" s="1"/>
      <c r="E46" s="7">
        <v>45811</v>
      </c>
      <c r="F46" s="1" t="s">
        <v>243</v>
      </c>
      <c r="G46" s="1">
        <v>3214888830</v>
      </c>
      <c r="H46" s="1" t="s">
        <v>244</v>
      </c>
      <c r="I46" s="1" t="s">
        <v>245</v>
      </c>
      <c r="J46" s="1">
        <v>2024</v>
      </c>
      <c r="K46" s="1">
        <v>4719000</v>
      </c>
      <c r="L46" s="1">
        <v>82583</v>
      </c>
      <c r="M46" s="1">
        <v>1.75</v>
      </c>
      <c r="N46" s="1">
        <v>45810</v>
      </c>
      <c r="O46" s="1">
        <v>70566</v>
      </c>
      <c r="P46" s="1">
        <v>82583</v>
      </c>
      <c r="Q46" s="1">
        <v>70566</v>
      </c>
      <c r="R46" s="6">
        <v>0</v>
      </c>
      <c r="S46" s="1">
        <v>0</v>
      </c>
      <c r="T46" s="6" t="s">
        <v>98</v>
      </c>
      <c r="U46" s="1" t="s">
        <v>38</v>
      </c>
      <c r="V46" s="1">
        <v>0</v>
      </c>
      <c r="W46" s="1" t="s">
        <v>204</v>
      </c>
      <c r="X46" s="1" t="s">
        <v>31</v>
      </c>
      <c r="Y46" s="1" t="s">
        <v>39</v>
      </c>
      <c r="Z46" s="1" t="s">
        <v>69</v>
      </c>
    </row>
    <row r="47" spans="1:26" hidden="1" x14ac:dyDescent="0.25">
      <c r="A47" s="5">
        <v>46</v>
      </c>
      <c r="B47" s="1" t="s">
        <v>246</v>
      </c>
      <c r="C47" s="1"/>
      <c r="D47" s="1"/>
      <c r="E47" s="7">
        <v>45824</v>
      </c>
      <c r="F47" s="1" t="s">
        <v>247</v>
      </c>
      <c r="G47" s="1">
        <v>3214151659</v>
      </c>
      <c r="H47" s="1" t="s">
        <v>248</v>
      </c>
      <c r="I47" s="1" t="s">
        <v>249</v>
      </c>
      <c r="J47" s="1">
        <v>2024</v>
      </c>
      <c r="K47" s="1">
        <v>4794000</v>
      </c>
      <c r="L47" s="1">
        <v>83895</v>
      </c>
      <c r="M47" s="1">
        <v>1.75</v>
      </c>
      <c r="N47" s="1">
        <v>45824</v>
      </c>
      <c r="O47" s="1">
        <v>71688</v>
      </c>
      <c r="P47" s="1">
        <v>83895</v>
      </c>
      <c r="Q47" s="1">
        <v>71688</v>
      </c>
      <c r="R47" s="6">
        <v>0</v>
      </c>
      <c r="S47" s="1">
        <v>0</v>
      </c>
      <c r="T47" s="6" t="s">
        <v>98</v>
      </c>
      <c r="U47" s="1" t="s">
        <v>38</v>
      </c>
      <c r="V47" s="1">
        <v>0</v>
      </c>
      <c r="W47" s="1" t="s">
        <v>204</v>
      </c>
      <c r="X47" s="1" t="s">
        <v>31</v>
      </c>
      <c r="Y47" s="1" t="s">
        <v>39</v>
      </c>
      <c r="Z47" s="1" t="s">
        <v>69</v>
      </c>
    </row>
    <row r="48" spans="1:26" hidden="1" x14ac:dyDescent="0.25">
      <c r="A48" s="5">
        <v>47</v>
      </c>
      <c r="B48" s="1" t="s">
        <v>250</v>
      </c>
      <c r="C48" s="1"/>
      <c r="D48" s="1"/>
      <c r="E48" s="7">
        <v>45826</v>
      </c>
      <c r="F48" s="1" t="s">
        <v>251</v>
      </c>
      <c r="G48" s="1">
        <v>3008284228</v>
      </c>
      <c r="H48" s="1" t="s">
        <v>252</v>
      </c>
      <c r="I48" s="1" t="s">
        <v>253</v>
      </c>
      <c r="J48" s="1">
        <v>2022</v>
      </c>
      <c r="K48" s="1">
        <v>17000000</v>
      </c>
      <c r="L48" s="1">
        <v>221000</v>
      </c>
      <c r="M48" s="1">
        <v>1.3</v>
      </c>
      <c r="N48" s="1">
        <v>45826</v>
      </c>
      <c r="O48" s="1">
        <v>190086</v>
      </c>
      <c r="P48" s="1">
        <v>221000</v>
      </c>
      <c r="Q48" s="1">
        <v>190086</v>
      </c>
      <c r="R48" s="6">
        <v>0</v>
      </c>
      <c r="S48" s="1">
        <v>0</v>
      </c>
      <c r="T48" s="6" t="s">
        <v>98</v>
      </c>
      <c r="U48" s="1" t="s">
        <v>38</v>
      </c>
      <c r="V48" s="1">
        <v>0</v>
      </c>
      <c r="W48" s="1" t="s">
        <v>204</v>
      </c>
      <c r="X48" s="1" t="s">
        <v>31</v>
      </c>
      <c r="Y48" s="1" t="s">
        <v>39</v>
      </c>
      <c r="Z48" s="1" t="s">
        <v>69</v>
      </c>
    </row>
    <row r="49" spans="1:26" hidden="1" x14ac:dyDescent="0.25">
      <c r="A49" s="5">
        <v>48</v>
      </c>
      <c r="B49" s="1" t="s">
        <v>254</v>
      </c>
      <c r="C49" s="1"/>
      <c r="D49" s="1"/>
      <c r="E49" s="7">
        <v>45818</v>
      </c>
      <c r="F49" s="1" t="s">
        <v>255</v>
      </c>
      <c r="G49" s="1">
        <v>3343000034</v>
      </c>
      <c r="H49" s="1" t="s">
        <v>256</v>
      </c>
      <c r="I49" s="1" t="s">
        <v>216</v>
      </c>
      <c r="J49" s="1">
        <v>2022</v>
      </c>
      <c r="K49" s="1">
        <v>2200000</v>
      </c>
      <c r="L49" s="1">
        <v>30800</v>
      </c>
      <c r="M49" s="1">
        <v>1.4</v>
      </c>
      <c r="N49" s="1">
        <v>45818</v>
      </c>
      <c r="O49" s="1">
        <v>26121</v>
      </c>
      <c r="P49" s="1">
        <v>30800</v>
      </c>
      <c r="Q49" s="1">
        <v>26121</v>
      </c>
      <c r="R49" s="6">
        <v>0</v>
      </c>
      <c r="S49" s="1">
        <v>0</v>
      </c>
      <c r="T49" s="6" t="s">
        <v>98</v>
      </c>
      <c r="U49" s="1" t="s">
        <v>38</v>
      </c>
      <c r="V49" s="1">
        <v>0</v>
      </c>
      <c r="W49" s="1" t="s">
        <v>204</v>
      </c>
      <c r="X49" s="1" t="s">
        <v>31</v>
      </c>
      <c r="Y49" s="1" t="s">
        <v>153</v>
      </c>
      <c r="Z49" s="1" t="s">
        <v>154</v>
      </c>
    </row>
    <row r="50" spans="1:26" hidden="1" x14ac:dyDescent="0.25">
      <c r="A50" s="5">
        <v>49</v>
      </c>
      <c r="B50" s="1" t="s">
        <v>257</v>
      </c>
      <c r="C50" s="1"/>
      <c r="D50" s="1"/>
      <c r="E50" s="7">
        <v>45826</v>
      </c>
      <c r="F50" s="1" t="s">
        <v>258</v>
      </c>
      <c r="G50" s="1">
        <v>3305485656</v>
      </c>
      <c r="H50" s="1" t="s">
        <v>259</v>
      </c>
      <c r="I50" s="1" t="s">
        <v>260</v>
      </c>
      <c r="J50" s="1">
        <v>2023</v>
      </c>
      <c r="K50" s="1">
        <v>3800000</v>
      </c>
      <c r="L50" s="1">
        <v>64600</v>
      </c>
      <c r="M50" s="1">
        <v>1.7</v>
      </c>
      <c r="N50" s="1">
        <v>45826</v>
      </c>
      <c r="O50" s="1">
        <v>55197</v>
      </c>
      <c r="P50" s="1">
        <v>64600</v>
      </c>
      <c r="Q50" s="1">
        <v>55197</v>
      </c>
      <c r="R50" s="6">
        <v>0</v>
      </c>
      <c r="S50" s="1">
        <v>0</v>
      </c>
      <c r="T50" s="6" t="s">
        <v>98</v>
      </c>
      <c r="U50" s="1" t="s">
        <v>38</v>
      </c>
      <c r="V50" s="1">
        <v>0</v>
      </c>
      <c r="W50" s="1" t="s">
        <v>204</v>
      </c>
      <c r="X50" s="1" t="s">
        <v>31</v>
      </c>
      <c r="Y50" s="1" t="s">
        <v>39</v>
      </c>
      <c r="Z50" s="1" t="s">
        <v>69</v>
      </c>
    </row>
    <row r="51" spans="1:26" hidden="1" x14ac:dyDescent="0.25">
      <c r="A51" s="5">
        <v>50</v>
      </c>
      <c r="B51" s="1" t="s">
        <v>261</v>
      </c>
      <c r="C51" s="1"/>
      <c r="D51" s="1"/>
      <c r="E51" s="7">
        <v>45835</v>
      </c>
      <c r="F51" s="1" t="s">
        <v>262</v>
      </c>
      <c r="G51" s="1">
        <v>3040920464</v>
      </c>
      <c r="H51" s="1" t="s">
        <v>263</v>
      </c>
      <c r="I51" s="1" t="s">
        <v>264</v>
      </c>
      <c r="J51" s="1">
        <v>2016</v>
      </c>
      <c r="K51" s="1">
        <v>1050000</v>
      </c>
      <c r="L51" s="1">
        <v>14700</v>
      </c>
      <c r="M51" s="1">
        <v>1.4</v>
      </c>
      <c r="N51" s="1">
        <v>45835</v>
      </c>
      <c r="O51" s="1">
        <v>12242</v>
      </c>
      <c r="P51" s="1">
        <v>14700</v>
      </c>
      <c r="Q51" s="1">
        <v>12242</v>
      </c>
      <c r="R51" s="6">
        <v>0</v>
      </c>
      <c r="S51" s="1">
        <v>0</v>
      </c>
      <c r="T51" s="6" t="s">
        <v>98</v>
      </c>
      <c r="U51" s="1" t="s">
        <v>38</v>
      </c>
      <c r="V51" s="1">
        <v>0</v>
      </c>
      <c r="W51" s="1" t="s">
        <v>204</v>
      </c>
      <c r="X51" s="1" t="s">
        <v>31</v>
      </c>
      <c r="Y51" s="1" t="s">
        <v>153</v>
      </c>
      <c r="Z51" s="1" t="s">
        <v>154</v>
      </c>
    </row>
    <row r="52" spans="1:26" hidden="1" x14ac:dyDescent="0.25">
      <c r="A52" s="5">
        <v>51</v>
      </c>
      <c r="B52" s="1" t="s">
        <v>265</v>
      </c>
      <c r="C52" s="1"/>
      <c r="D52" s="1"/>
      <c r="E52" s="7">
        <v>45813</v>
      </c>
      <c r="F52" s="1" t="s">
        <v>266</v>
      </c>
      <c r="G52" s="1">
        <v>3172128640</v>
      </c>
      <c r="H52" s="1" t="s">
        <v>267</v>
      </c>
      <c r="I52" s="1" t="s">
        <v>268</v>
      </c>
      <c r="J52" s="1">
        <v>2016</v>
      </c>
      <c r="K52" s="1">
        <v>1100000</v>
      </c>
      <c r="L52" s="1">
        <v>15400</v>
      </c>
      <c r="M52" s="1">
        <v>1.4</v>
      </c>
      <c r="N52" s="1">
        <v>45813</v>
      </c>
      <c r="O52" s="1">
        <v>12845</v>
      </c>
      <c r="P52" s="1">
        <v>15400</v>
      </c>
      <c r="Q52" s="1">
        <v>12845</v>
      </c>
      <c r="R52" s="6">
        <v>0</v>
      </c>
      <c r="S52" s="1">
        <v>0</v>
      </c>
      <c r="T52" s="6" t="s">
        <v>98</v>
      </c>
      <c r="U52" s="1" t="s">
        <v>38</v>
      </c>
      <c r="V52" s="1">
        <v>0</v>
      </c>
      <c r="W52" s="1" t="s">
        <v>204</v>
      </c>
      <c r="X52" s="1" t="s">
        <v>31</v>
      </c>
      <c r="Y52" s="1" t="s">
        <v>153</v>
      </c>
      <c r="Z52" s="1" t="s">
        <v>154</v>
      </c>
    </row>
    <row r="53" spans="1:26" hidden="1" x14ac:dyDescent="0.25">
      <c r="A53" s="5">
        <v>52</v>
      </c>
      <c r="B53" s="1" t="s">
        <v>269</v>
      </c>
      <c r="C53" s="1"/>
      <c r="D53" s="1"/>
      <c r="E53" s="7">
        <v>45825</v>
      </c>
      <c r="F53" s="1" t="s">
        <v>270</v>
      </c>
      <c r="G53" s="1">
        <v>3333559921</v>
      </c>
      <c r="H53" s="1" t="s">
        <v>271</v>
      </c>
      <c r="I53" s="1" t="s">
        <v>272</v>
      </c>
      <c r="J53" s="1">
        <v>2014</v>
      </c>
      <c r="K53" s="1">
        <v>4500000</v>
      </c>
      <c r="L53" s="1">
        <v>99000</v>
      </c>
      <c r="M53" s="1">
        <v>2.2000000000000002</v>
      </c>
      <c r="N53" s="1">
        <v>45824</v>
      </c>
      <c r="O53" s="1">
        <v>84914</v>
      </c>
      <c r="P53" s="1">
        <v>99000</v>
      </c>
      <c r="Q53" s="1">
        <v>84914</v>
      </c>
      <c r="R53" s="6">
        <v>0</v>
      </c>
      <c r="S53" s="1">
        <v>0</v>
      </c>
      <c r="T53" s="6" t="s">
        <v>98</v>
      </c>
      <c r="U53" s="1" t="s">
        <v>38</v>
      </c>
      <c r="V53" s="1">
        <v>0</v>
      </c>
      <c r="W53" s="1" t="s">
        <v>204</v>
      </c>
      <c r="X53" s="1" t="s">
        <v>31</v>
      </c>
      <c r="Y53" s="1" t="s">
        <v>153</v>
      </c>
      <c r="Z53" s="1" t="s">
        <v>154</v>
      </c>
    </row>
    <row r="54" spans="1:26" hidden="1" x14ac:dyDescent="0.25">
      <c r="A54" s="5">
        <v>53</v>
      </c>
      <c r="B54" s="1" t="s">
        <v>273</v>
      </c>
      <c r="C54" s="1"/>
      <c r="D54" s="1"/>
      <c r="E54" s="7">
        <v>45818</v>
      </c>
      <c r="F54" s="1" t="s">
        <v>274</v>
      </c>
      <c r="G54" s="1">
        <v>3342428111</v>
      </c>
      <c r="H54" s="1" t="s">
        <v>275</v>
      </c>
      <c r="I54" s="1" t="s">
        <v>276</v>
      </c>
      <c r="J54" s="1">
        <v>2015</v>
      </c>
      <c r="K54" s="1">
        <v>2500000</v>
      </c>
      <c r="L54" s="1">
        <v>37500</v>
      </c>
      <c r="M54" s="1">
        <v>1.5</v>
      </c>
      <c r="N54" s="1">
        <v>45821</v>
      </c>
      <c r="O54" s="1">
        <v>31897</v>
      </c>
      <c r="P54" s="1">
        <v>37500</v>
      </c>
      <c r="Q54" s="1">
        <v>31897</v>
      </c>
      <c r="R54" s="6">
        <v>0</v>
      </c>
      <c r="S54" s="1">
        <v>0</v>
      </c>
      <c r="T54" s="6" t="s">
        <v>98</v>
      </c>
      <c r="U54" s="1" t="s">
        <v>38</v>
      </c>
      <c r="V54" s="1">
        <v>0</v>
      </c>
      <c r="W54" s="1" t="s">
        <v>204</v>
      </c>
      <c r="X54" s="1" t="s">
        <v>31</v>
      </c>
      <c r="Y54" s="1" t="s">
        <v>153</v>
      </c>
      <c r="Z54" s="1" t="s">
        <v>154</v>
      </c>
    </row>
    <row r="55" spans="1:26" hidden="1" x14ac:dyDescent="0.25">
      <c r="A55" s="5">
        <v>54</v>
      </c>
      <c r="B55" s="1" t="s">
        <v>277</v>
      </c>
      <c r="C55" s="1"/>
      <c r="D55" s="1"/>
      <c r="E55" s="7">
        <v>45821</v>
      </c>
      <c r="F55" s="1" t="s">
        <v>278</v>
      </c>
      <c r="G55" s="1">
        <v>3332600725</v>
      </c>
      <c r="H55" s="1" t="s">
        <v>279</v>
      </c>
      <c r="I55" s="1" t="s">
        <v>280</v>
      </c>
      <c r="J55" s="1">
        <v>2021</v>
      </c>
      <c r="K55" s="1">
        <v>2300000</v>
      </c>
      <c r="L55" s="1">
        <v>34500</v>
      </c>
      <c r="M55" s="1">
        <v>1.5</v>
      </c>
      <c r="N55" s="1">
        <v>45821</v>
      </c>
      <c r="O55" s="1">
        <v>29310</v>
      </c>
      <c r="P55" s="1">
        <v>34500</v>
      </c>
      <c r="Q55" s="1">
        <v>29310</v>
      </c>
      <c r="R55" s="6">
        <v>0</v>
      </c>
      <c r="S55" s="1">
        <v>0</v>
      </c>
      <c r="T55" s="6" t="s">
        <v>98</v>
      </c>
      <c r="U55" s="1" t="s">
        <v>38</v>
      </c>
      <c r="V55" s="1">
        <v>0</v>
      </c>
      <c r="W55" s="1" t="s">
        <v>204</v>
      </c>
      <c r="X55" s="1" t="s">
        <v>31</v>
      </c>
      <c r="Y55" s="1" t="s">
        <v>153</v>
      </c>
      <c r="Z55" s="1" t="s">
        <v>154</v>
      </c>
    </row>
    <row r="56" spans="1:26" hidden="1" x14ac:dyDescent="0.25">
      <c r="A56" s="5">
        <v>55</v>
      </c>
      <c r="B56" s="1" t="s">
        <v>281</v>
      </c>
      <c r="C56" s="1"/>
      <c r="D56" s="1"/>
      <c r="E56" s="7">
        <v>45825</v>
      </c>
      <c r="F56" s="1" t="s">
        <v>282</v>
      </c>
      <c r="G56" s="1">
        <v>3152870400</v>
      </c>
      <c r="H56" s="1" t="s">
        <v>283</v>
      </c>
      <c r="I56" s="1" t="s">
        <v>284</v>
      </c>
      <c r="J56" s="1">
        <v>2022</v>
      </c>
      <c r="K56" s="1">
        <v>3500000</v>
      </c>
      <c r="L56" s="1">
        <v>52500</v>
      </c>
      <c r="M56" s="1">
        <v>1.5</v>
      </c>
      <c r="N56" s="1">
        <v>45824</v>
      </c>
      <c r="O56" s="1">
        <v>44828</v>
      </c>
      <c r="P56" s="1">
        <v>52500</v>
      </c>
      <c r="Q56" s="1">
        <v>44828</v>
      </c>
      <c r="R56" s="6">
        <v>0</v>
      </c>
      <c r="S56" s="1">
        <v>0</v>
      </c>
      <c r="T56" s="6" t="s">
        <v>98</v>
      </c>
      <c r="U56" s="1" t="s">
        <v>38</v>
      </c>
      <c r="V56" s="1">
        <v>0</v>
      </c>
      <c r="W56" s="1" t="s">
        <v>204</v>
      </c>
      <c r="X56" s="1" t="s">
        <v>31</v>
      </c>
      <c r="Y56" s="1" t="s">
        <v>39</v>
      </c>
      <c r="Z56" s="1" t="s">
        <v>69</v>
      </c>
    </row>
    <row r="57" spans="1:26" hidden="1" x14ac:dyDescent="0.25">
      <c r="A57" s="5">
        <v>56</v>
      </c>
      <c r="B57" s="1" t="s">
        <v>285</v>
      </c>
      <c r="C57" s="1"/>
      <c r="D57" s="1"/>
      <c r="E57" s="7">
        <v>45821</v>
      </c>
      <c r="F57" s="1" t="s">
        <v>286</v>
      </c>
      <c r="G57" s="1" t="s">
        <v>287</v>
      </c>
      <c r="H57" s="1" t="s">
        <v>288</v>
      </c>
      <c r="I57" s="1" t="s">
        <v>238</v>
      </c>
      <c r="J57" s="1">
        <v>2022</v>
      </c>
      <c r="K57" s="1">
        <v>3200000</v>
      </c>
      <c r="L57" s="1">
        <v>51200</v>
      </c>
      <c r="M57" s="1">
        <v>1.6</v>
      </c>
      <c r="N57" s="1">
        <v>45821</v>
      </c>
      <c r="O57" s="1">
        <v>43707</v>
      </c>
      <c r="P57" s="1">
        <v>51200</v>
      </c>
      <c r="Q57" s="1">
        <v>43707</v>
      </c>
      <c r="R57" s="6">
        <v>0</v>
      </c>
      <c r="S57" s="1">
        <v>0</v>
      </c>
      <c r="T57" s="6" t="s">
        <v>98</v>
      </c>
      <c r="U57" s="1" t="s">
        <v>38</v>
      </c>
      <c r="V57" s="1">
        <v>0</v>
      </c>
      <c r="W57" s="1" t="s">
        <v>204</v>
      </c>
      <c r="X57" s="1" t="s">
        <v>31</v>
      </c>
      <c r="Y57" s="1" t="s">
        <v>153</v>
      </c>
      <c r="Z57" s="1" t="s">
        <v>154</v>
      </c>
    </row>
    <row r="58" spans="1:26" hidden="1" x14ac:dyDescent="0.25">
      <c r="A58" s="5">
        <v>57</v>
      </c>
      <c r="B58" s="1" t="s">
        <v>289</v>
      </c>
      <c r="C58" s="1"/>
      <c r="D58" s="1"/>
      <c r="E58" s="7">
        <v>45812</v>
      </c>
      <c r="F58" s="1" t="s">
        <v>290</v>
      </c>
      <c r="G58" s="1">
        <v>3462771423</v>
      </c>
      <c r="H58" s="1" t="s">
        <v>291</v>
      </c>
      <c r="I58" s="1" t="s">
        <v>292</v>
      </c>
      <c r="J58" s="1">
        <v>2024</v>
      </c>
      <c r="K58" s="1">
        <v>3055000</v>
      </c>
      <c r="L58" s="1">
        <v>53463</v>
      </c>
      <c r="M58" s="1">
        <v>1.75</v>
      </c>
      <c r="N58" s="1">
        <v>45812</v>
      </c>
      <c r="O58" s="1">
        <v>45657</v>
      </c>
      <c r="P58" s="1">
        <v>53463</v>
      </c>
      <c r="Q58" s="1">
        <v>45657</v>
      </c>
      <c r="R58" s="6">
        <v>0</v>
      </c>
      <c r="S58" s="1">
        <v>0</v>
      </c>
      <c r="T58" s="6" t="s">
        <v>98</v>
      </c>
      <c r="U58" s="1" t="s">
        <v>38</v>
      </c>
      <c r="V58" s="1">
        <v>0</v>
      </c>
      <c r="W58" s="1" t="s">
        <v>204</v>
      </c>
      <c r="X58" s="1" t="s">
        <v>31</v>
      </c>
      <c r="Y58" s="1" t="s">
        <v>39</v>
      </c>
      <c r="Z58" s="1" t="s">
        <v>69</v>
      </c>
    </row>
    <row r="59" spans="1:26" hidden="1" x14ac:dyDescent="0.25">
      <c r="A59" s="5">
        <v>58</v>
      </c>
      <c r="B59" s="1" t="s">
        <v>293</v>
      </c>
      <c r="C59" s="1"/>
      <c r="D59" s="1"/>
      <c r="E59" s="7">
        <v>45838</v>
      </c>
      <c r="F59" s="1" t="s">
        <v>294</v>
      </c>
      <c r="G59" s="1">
        <v>3260247077</v>
      </c>
      <c r="H59" s="1" t="s">
        <v>295</v>
      </c>
      <c r="I59" s="1" t="s">
        <v>296</v>
      </c>
      <c r="J59" s="1">
        <v>2024</v>
      </c>
      <c r="K59" s="1">
        <v>3045000</v>
      </c>
      <c r="L59" s="1">
        <v>54810</v>
      </c>
      <c r="M59" s="1">
        <v>1.8</v>
      </c>
      <c r="N59" s="1">
        <v>45838</v>
      </c>
      <c r="O59" s="1">
        <v>46819</v>
      </c>
      <c r="P59" s="1">
        <v>54810</v>
      </c>
      <c r="Q59" s="1">
        <v>46819</v>
      </c>
      <c r="R59" s="6">
        <v>0</v>
      </c>
      <c r="S59" s="1">
        <v>0</v>
      </c>
      <c r="T59" s="6" t="s">
        <v>98</v>
      </c>
      <c r="U59" s="1" t="s">
        <v>38</v>
      </c>
      <c r="V59" s="1">
        <v>0</v>
      </c>
      <c r="W59" s="1" t="s">
        <v>204</v>
      </c>
      <c r="X59" s="1" t="s">
        <v>31</v>
      </c>
      <c r="Y59" s="1" t="s">
        <v>39</v>
      </c>
      <c r="Z59" s="1" t="s">
        <v>69</v>
      </c>
    </row>
    <row r="60" spans="1:26" hidden="1" x14ac:dyDescent="0.25">
      <c r="A60" s="5">
        <v>59</v>
      </c>
      <c r="B60" s="1" t="s">
        <v>297</v>
      </c>
      <c r="C60" s="1"/>
      <c r="D60" s="1"/>
      <c r="E60" s="7">
        <v>45811</v>
      </c>
      <c r="F60" s="1" t="s">
        <v>298</v>
      </c>
      <c r="G60" s="1" t="s">
        <v>299</v>
      </c>
      <c r="H60" s="1" t="s">
        <v>300</v>
      </c>
      <c r="I60" s="1" t="s">
        <v>301</v>
      </c>
      <c r="J60" s="1">
        <v>2021</v>
      </c>
      <c r="K60" s="1">
        <v>4000000</v>
      </c>
      <c r="L60" s="1">
        <v>10000</v>
      </c>
      <c r="M60" s="1">
        <v>2.5000000000000001E-2</v>
      </c>
      <c r="N60" s="1">
        <v>45811</v>
      </c>
      <c r="O60" s="1">
        <v>8190</v>
      </c>
      <c r="P60" s="1">
        <v>10000</v>
      </c>
      <c r="Q60" s="1">
        <v>8190</v>
      </c>
      <c r="R60" s="6">
        <v>0</v>
      </c>
      <c r="S60" s="1">
        <v>0</v>
      </c>
      <c r="T60" s="6" t="s">
        <v>98</v>
      </c>
      <c r="U60" s="1" t="s">
        <v>38</v>
      </c>
      <c r="V60" s="1">
        <v>0</v>
      </c>
      <c r="W60" s="1" t="s">
        <v>204</v>
      </c>
      <c r="X60" s="1" t="s">
        <v>190</v>
      </c>
      <c r="Y60" s="1" t="s">
        <v>153</v>
      </c>
      <c r="Z60" s="1" t="s">
        <v>154</v>
      </c>
    </row>
    <row r="61" spans="1:26" hidden="1" x14ac:dyDescent="0.25">
      <c r="A61" s="5">
        <v>60</v>
      </c>
      <c r="B61" s="1" t="s">
        <v>302</v>
      </c>
      <c r="C61" s="1"/>
      <c r="D61" s="1"/>
      <c r="E61" s="7">
        <v>45813</v>
      </c>
      <c r="F61" s="1" t="s">
        <v>303</v>
      </c>
      <c r="G61" s="1">
        <v>3362553895</v>
      </c>
      <c r="H61" s="1" t="s">
        <v>304</v>
      </c>
      <c r="I61" s="1" t="s">
        <v>238</v>
      </c>
      <c r="J61" s="1">
        <v>2024</v>
      </c>
      <c r="K61" s="1">
        <v>2900000</v>
      </c>
      <c r="L61" s="1">
        <v>10000</v>
      </c>
      <c r="M61" s="1">
        <v>2.5000000000000001E-2</v>
      </c>
      <c r="N61" s="1">
        <v>45813</v>
      </c>
      <c r="O61" s="1">
        <v>8190</v>
      </c>
      <c r="P61" s="1">
        <v>10000</v>
      </c>
      <c r="Q61" s="1">
        <v>8190</v>
      </c>
      <c r="R61" s="6">
        <v>0</v>
      </c>
      <c r="S61" s="1">
        <v>0</v>
      </c>
      <c r="T61" s="6" t="s">
        <v>98</v>
      </c>
      <c r="U61" s="1" t="s">
        <v>38</v>
      </c>
      <c r="V61" s="1">
        <v>0</v>
      </c>
      <c r="W61" s="1" t="s">
        <v>204</v>
      </c>
      <c r="X61" s="1" t="s">
        <v>190</v>
      </c>
      <c r="Y61" s="1" t="s">
        <v>217</v>
      </c>
      <c r="Z61" s="1" t="s">
        <v>305</v>
      </c>
    </row>
    <row r="62" spans="1:26" hidden="1" x14ac:dyDescent="0.25">
      <c r="A62" s="5">
        <v>61</v>
      </c>
      <c r="B62" s="1" t="s">
        <v>306</v>
      </c>
      <c r="C62" s="1"/>
      <c r="D62" s="1"/>
      <c r="E62" s="7">
        <v>45825</v>
      </c>
      <c r="F62" s="1" t="s">
        <v>307</v>
      </c>
      <c r="G62" s="1" t="s">
        <v>308</v>
      </c>
      <c r="H62" s="1" t="s">
        <v>309</v>
      </c>
      <c r="I62" s="1" t="s">
        <v>310</v>
      </c>
      <c r="J62" s="1">
        <v>2021</v>
      </c>
      <c r="K62" s="1">
        <v>7000000</v>
      </c>
      <c r="L62" s="1">
        <v>119000</v>
      </c>
      <c r="M62" s="1">
        <v>1.7000000000000001E-2</v>
      </c>
      <c r="N62" s="1">
        <v>45825</v>
      </c>
      <c r="O62" s="1">
        <v>102155</v>
      </c>
      <c r="P62" s="1">
        <v>119000</v>
      </c>
      <c r="Q62" s="1">
        <v>204310</v>
      </c>
      <c r="R62" s="6">
        <v>1299</v>
      </c>
      <c r="S62" s="1" t="s">
        <v>189</v>
      </c>
      <c r="T62" s="6" t="s">
        <v>98</v>
      </c>
      <c r="U62" s="1" t="s">
        <v>29</v>
      </c>
      <c r="V62" s="1">
        <v>0</v>
      </c>
      <c r="W62" s="1" t="s">
        <v>311</v>
      </c>
      <c r="X62" s="1" t="s">
        <v>31</v>
      </c>
      <c r="Y62" s="1" t="s">
        <v>312</v>
      </c>
      <c r="Z62" s="1" t="s">
        <v>312</v>
      </c>
    </row>
    <row r="63" spans="1:26" hidden="1" x14ac:dyDescent="0.25">
      <c r="A63" s="5">
        <v>62</v>
      </c>
      <c r="B63" s="1" t="s">
        <v>313</v>
      </c>
      <c r="C63" s="1"/>
      <c r="D63" s="1"/>
      <c r="E63" s="7">
        <v>45826</v>
      </c>
      <c r="F63" s="1" t="s">
        <v>314</v>
      </c>
      <c r="G63" s="1" t="s">
        <v>315</v>
      </c>
      <c r="H63" s="1" t="s">
        <v>316</v>
      </c>
      <c r="I63" s="1" t="s">
        <v>317</v>
      </c>
      <c r="J63" s="1">
        <v>2025</v>
      </c>
      <c r="K63" s="1">
        <v>10600000</v>
      </c>
      <c r="L63" s="1">
        <v>159000</v>
      </c>
      <c r="M63" s="1">
        <v>1.4999999999999999E-2</v>
      </c>
      <c r="N63" s="1">
        <v>45825</v>
      </c>
      <c r="O63" s="1">
        <v>136638</v>
      </c>
      <c r="P63" s="1">
        <v>159000</v>
      </c>
      <c r="Q63" s="1">
        <v>273276</v>
      </c>
      <c r="R63" s="6">
        <v>1299</v>
      </c>
      <c r="S63" s="1" t="s">
        <v>189</v>
      </c>
      <c r="T63" s="6" t="s">
        <v>98</v>
      </c>
      <c r="U63" s="1" t="s">
        <v>29</v>
      </c>
      <c r="V63" s="1">
        <v>0</v>
      </c>
      <c r="W63" s="1" t="s">
        <v>311</v>
      </c>
      <c r="X63" s="1" t="s">
        <v>31</v>
      </c>
      <c r="Y63" s="1" t="s">
        <v>312</v>
      </c>
      <c r="Z63" s="1" t="s">
        <v>312</v>
      </c>
    </row>
    <row r="64" spans="1:26" hidden="1" x14ac:dyDescent="0.25">
      <c r="A64" s="5">
        <v>63</v>
      </c>
      <c r="B64" s="1" t="s">
        <v>318</v>
      </c>
      <c r="C64" s="1"/>
      <c r="D64" s="1"/>
      <c r="E64" s="7">
        <v>45836</v>
      </c>
      <c r="F64" s="1" t="s">
        <v>319</v>
      </c>
      <c r="G64" s="1" t="s">
        <v>320</v>
      </c>
      <c r="H64" s="1" t="s">
        <v>321</v>
      </c>
      <c r="I64" s="1" t="s">
        <v>322</v>
      </c>
      <c r="J64" s="1">
        <v>2022</v>
      </c>
      <c r="K64" s="1">
        <v>5000000</v>
      </c>
      <c r="L64" s="1">
        <v>90000</v>
      </c>
      <c r="M64" s="1">
        <v>1.7999999999999999E-2</v>
      </c>
      <c r="N64" s="1">
        <v>45834</v>
      </c>
      <c r="O64" s="1">
        <v>77155</v>
      </c>
      <c r="P64" s="1">
        <v>90000</v>
      </c>
      <c r="Q64" s="1">
        <v>154310</v>
      </c>
      <c r="R64" s="6">
        <v>1299</v>
      </c>
      <c r="S64" s="1" t="s">
        <v>189</v>
      </c>
      <c r="T64" s="6" t="s">
        <v>98</v>
      </c>
      <c r="U64" s="1" t="s">
        <v>29</v>
      </c>
      <c r="V64" s="1">
        <v>0</v>
      </c>
      <c r="W64" s="1" t="s">
        <v>311</v>
      </c>
      <c r="X64" s="1" t="s">
        <v>31</v>
      </c>
      <c r="Y64" s="1" t="s">
        <v>312</v>
      </c>
      <c r="Z64" s="1" t="s">
        <v>312</v>
      </c>
    </row>
    <row r="65" spans="1:26" x14ac:dyDescent="0.25">
      <c r="A65" s="5">
        <v>64</v>
      </c>
      <c r="B65" s="1" t="s">
        <v>323</v>
      </c>
      <c r="C65" s="1" t="str">
        <f>VLOOKUP('IT Working sheet '!B65,'09000210'!B:C,2,0)</f>
        <v>040000200596</v>
      </c>
      <c r="D65" s="1" t="str">
        <f t="shared" ref="D65:D78" si="2">"Update ins_assorted_clients set commission_amount = '"&amp;R65&amp;"' where assorted_code = '"&amp;C65&amp;"' and agency_code = '09000870';"</f>
        <v>Update ins_assorted_clients set commission_amount = '1299' where assorted_code = '040000200596' and agency_code = '09000870';</v>
      </c>
      <c r="E65" s="7">
        <v>45853</v>
      </c>
      <c r="F65" s="1" t="s">
        <v>324</v>
      </c>
      <c r="G65" s="1" t="s">
        <v>325</v>
      </c>
      <c r="H65" s="1" t="s">
        <v>326</v>
      </c>
      <c r="I65" s="1" t="s">
        <v>327</v>
      </c>
      <c r="J65" s="1">
        <v>2020</v>
      </c>
      <c r="K65" s="1">
        <v>2000000</v>
      </c>
      <c r="L65" s="1">
        <v>30000</v>
      </c>
      <c r="M65" s="1">
        <v>1.4999999999999999E-2</v>
      </c>
      <c r="N65" s="1">
        <v>45853</v>
      </c>
      <c r="O65" s="1">
        <v>25431</v>
      </c>
      <c r="P65" s="1">
        <v>30000</v>
      </c>
      <c r="Q65" s="1">
        <v>25431</v>
      </c>
      <c r="R65" s="6">
        <v>1299</v>
      </c>
      <c r="S65" s="1" t="s">
        <v>189</v>
      </c>
      <c r="T65" s="6" t="s">
        <v>98</v>
      </c>
      <c r="U65" s="1" t="s">
        <v>38</v>
      </c>
      <c r="V65" s="1">
        <v>0</v>
      </c>
      <c r="W65" s="1" t="s">
        <v>311</v>
      </c>
      <c r="X65" s="1" t="s">
        <v>31</v>
      </c>
      <c r="Y65" s="1" t="s">
        <v>39</v>
      </c>
      <c r="Z65" s="1" t="s">
        <v>40</v>
      </c>
    </row>
    <row r="66" spans="1:26" x14ac:dyDescent="0.25">
      <c r="A66" s="5">
        <v>65</v>
      </c>
      <c r="B66" s="1" t="s">
        <v>328</v>
      </c>
      <c r="C66" s="1" t="str">
        <f>VLOOKUP('IT Working sheet '!B66,'09000210'!B:C,2,0)</f>
        <v>040000200430</v>
      </c>
      <c r="D66" s="1" t="str">
        <f t="shared" si="2"/>
        <v>Update ins_assorted_clients set commission_amount = '1299' where assorted_code = '040000200430' and agency_code = '09000870';</v>
      </c>
      <c r="E66" s="7">
        <v>45846</v>
      </c>
      <c r="F66" s="1" t="s">
        <v>329</v>
      </c>
      <c r="G66" s="1" t="s">
        <v>330</v>
      </c>
      <c r="H66" s="1" t="s">
        <v>331</v>
      </c>
      <c r="I66" s="1" t="s">
        <v>332</v>
      </c>
      <c r="J66" s="1">
        <v>2014</v>
      </c>
      <c r="K66" s="1">
        <v>2650000</v>
      </c>
      <c r="L66" s="1">
        <v>42400</v>
      </c>
      <c r="M66" s="1">
        <v>1.6E-2</v>
      </c>
      <c r="N66" s="1">
        <v>45846</v>
      </c>
      <c r="O66" s="1">
        <v>36121</v>
      </c>
      <c r="P66" s="1">
        <v>42400</v>
      </c>
      <c r="Q66" s="1">
        <v>36121</v>
      </c>
      <c r="R66" s="6">
        <v>1299</v>
      </c>
      <c r="S66" s="1" t="s">
        <v>189</v>
      </c>
      <c r="T66" s="6" t="s">
        <v>98</v>
      </c>
      <c r="U66" s="1" t="s">
        <v>38</v>
      </c>
      <c r="V66" s="1">
        <v>0</v>
      </c>
      <c r="W66" s="1" t="s">
        <v>311</v>
      </c>
      <c r="X66" s="1" t="s">
        <v>31</v>
      </c>
      <c r="Y66" s="1" t="s">
        <v>39</v>
      </c>
      <c r="Z66" s="1" t="s">
        <v>40</v>
      </c>
    </row>
    <row r="67" spans="1:26" x14ac:dyDescent="0.25">
      <c r="A67" s="5">
        <v>66</v>
      </c>
      <c r="B67" s="1" t="s">
        <v>333</v>
      </c>
      <c r="C67" s="1" t="str">
        <f>VLOOKUP('IT Working sheet '!B67,'09000210'!B:C,2,0)</f>
        <v>040000200547</v>
      </c>
      <c r="D67" s="1" t="str">
        <f t="shared" si="2"/>
        <v>Update ins_assorted_clients set commission_amount = '1299' where assorted_code = '040000200547' and agency_code = '09000870';</v>
      </c>
      <c r="E67" s="7">
        <v>45852</v>
      </c>
      <c r="F67" s="1" t="s">
        <v>334</v>
      </c>
      <c r="G67" s="1" t="s">
        <v>335</v>
      </c>
      <c r="H67" s="1" t="s">
        <v>336</v>
      </c>
      <c r="I67" s="1" t="s">
        <v>337</v>
      </c>
      <c r="J67" s="1">
        <v>2019</v>
      </c>
      <c r="K67" s="1">
        <v>2600000</v>
      </c>
      <c r="L67" s="1">
        <v>44252</v>
      </c>
      <c r="M67" s="1">
        <v>1.7000000000000001E-2</v>
      </c>
      <c r="N67" s="1">
        <v>45852</v>
      </c>
      <c r="O67" s="1">
        <v>37717</v>
      </c>
      <c r="P67" s="1">
        <v>44252</v>
      </c>
      <c r="Q67" s="1">
        <v>37717</v>
      </c>
      <c r="R67" s="6">
        <v>1299</v>
      </c>
      <c r="S67" s="1" t="s">
        <v>189</v>
      </c>
      <c r="T67" s="6" t="s">
        <v>98</v>
      </c>
      <c r="U67" s="1" t="s">
        <v>38</v>
      </c>
      <c r="V67" s="1">
        <v>0</v>
      </c>
      <c r="W67" s="1" t="s">
        <v>311</v>
      </c>
      <c r="X67" s="1" t="s">
        <v>31</v>
      </c>
      <c r="Y67" s="1" t="s">
        <v>39</v>
      </c>
      <c r="Z67" s="1" t="s">
        <v>40</v>
      </c>
    </row>
    <row r="68" spans="1:26" x14ac:dyDescent="0.25">
      <c r="A68" s="5">
        <v>67</v>
      </c>
      <c r="B68" s="1" t="s">
        <v>338</v>
      </c>
      <c r="C68" s="1" t="str">
        <f>VLOOKUP('IT Working sheet '!B68,'09000210'!B:C,2,0)</f>
        <v>040000200588</v>
      </c>
      <c r="D68" s="1" t="str">
        <f t="shared" si="2"/>
        <v>Update ins_assorted_clients set commission_amount = '1299' where assorted_code = '040000200588' and agency_code = '09000870';</v>
      </c>
      <c r="E68" s="7">
        <v>45853</v>
      </c>
      <c r="F68" s="1" t="s">
        <v>339</v>
      </c>
      <c r="G68" s="1" t="s">
        <v>340</v>
      </c>
      <c r="H68" s="1" t="s">
        <v>341</v>
      </c>
      <c r="I68" s="1" t="s">
        <v>342</v>
      </c>
      <c r="J68" s="1">
        <v>2022</v>
      </c>
      <c r="K68" s="1">
        <v>2250000</v>
      </c>
      <c r="L68" s="1">
        <v>45000</v>
      </c>
      <c r="M68" s="1">
        <v>0.02</v>
      </c>
      <c r="N68" s="1">
        <v>45853</v>
      </c>
      <c r="O68" s="1">
        <v>38362</v>
      </c>
      <c r="P68" s="1">
        <v>45000</v>
      </c>
      <c r="Q68" s="1">
        <v>38362</v>
      </c>
      <c r="R68" s="6">
        <v>1299</v>
      </c>
      <c r="S68" s="1" t="s">
        <v>189</v>
      </c>
      <c r="T68" s="6" t="s">
        <v>98</v>
      </c>
      <c r="U68" s="1" t="s">
        <v>38</v>
      </c>
      <c r="V68" s="1">
        <v>0</v>
      </c>
      <c r="W68" s="1" t="s">
        <v>311</v>
      </c>
      <c r="X68" s="1" t="s">
        <v>31</v>
      </c>
      <c r="Y68" s="1" t="s">
        <v>39</v>
      </c>
      <c r="Z68" s="1" t="s">
        <v>40</v>
      </c>
    </row>
    <row r="69" spans="1:26" x14ac:dyDescent="0.25">
      <c r="A69" s="5">
        <v>68</v>
      </c>
      <c r="B69" s="1" t="s">
        <v>343</v>
      </c>
      <c r="C69" s="1" t="str">
        <f>VLOOKUP('IT Working sheet '!B69,'09000210'!B:C,2,0)</f>
        <v>040000200587</v>
      </c>
      <c r="D69" s="1" t="str">
        <f t="shared" si="2"/>
        <v>Update ins_assorted_clients set commission_amount = '1299' where assorted_code = '040000200587' and agency_code = '09000870';</v>
      </c>
      <c r="E69" s="7">
        <v>45853</v>
      </c>
      <c r="F69" s="1" t="s">
        <v>344</v>
      </c>
      <c r="G69" s="1" t="s">
        <v>345</v>
      </c>
      <c r="H69" s="1"/>
      <c r="I69" s="1" t="s">
        <v>346</v>
      </c>
      <c r="J69" s="1">
        <v>2024</v>
      </c>
      <c r="K69" s="1">
        <v>1856000</v>
      </c>
      <c r="L69" s="1">
        <v>46400</v>
      </c>
      <c r="M69" s="1">
        <v>2.5000000000000001E-2</v>
      </c>
      <c r="N69" s="1">
        <v>45853</v>
      </c>
      <c r="O69" s="1">
        <v>39569</v>
      </c>
      <c r="P69" s="1">
        <v>46400</v>
      </c>
      <c r="Q69" s="1">
        <v>39569</v>
      </c>
      <c r="R69" s="6">
        <v>1299</v>
      </c>
      <c r="S69" s="1" t="s">
        <v>189</v>
      </c>
      <c r="T69" s="6" t="s">
        <v>98</v>
      </c>
      <c r="U69" s="1" t="s">
        <v>38</v>
      </c>
      <c r="V69" s="1">
        <v>0</v>
      </c>
      <c r="W69" s="1" t="s">
        <v>311</v>
      </c>
      <c r="X69" s="1" t="s">
        <v>31</v>
      </c>
      <c r="Y69" s="1" t="s">
        <v>39</v>
      </c>
      <c r="Z69" s="1" t="s">
        <v>40</v>
      </c>
    </row>
    <row r="70" spans="1:26" x14ac:dyDescent="0.25">
      <c r="A70" s="5">
        <v>69</v>
      </c>
      <c r="B70" s="1" t="s">
        <v>347</v>
      </c>
      <c r="C70" s="1" t="str">
        <f>VLOOKUP('IT Working sheet '!B70,'09000210'!B:C,2,0)</f>
        <v>040000200036</v>
      </c>
      <c r="D70" s="1" t="str">
        <f t="shared" si="2"/>
        <v>Update ins_assorted_clients set commission_amount = '1299' where assorted_code = '040000200036' and agency_code = '09000870';</v>
      </c>
      <c r="E70" s="7">
        <v>45839</v>
      </c>
      <c r="F70" s="1" t="s">
        <v>348</v>
      </c>
      <c r="G70" s="1" t="s">
        <v>349</v>
      </c>
      <c r="H70" s="1" t="s">
        <v>350</v>
      </c>
      <c r="I70" s="1" t="s">
        <v>351</v>
      </c>
      <c r="J70" s="1">
        <v>2022</v>
      </c>
      <c r="K70" s="1">
        <v>2519200</v>
      </c>
      <c r="L70" s="1">
        <v>50384</v>
      </c>
      <c r="M70" s="1">
        <v>0.02</v>
      </c>
      <c r="N70" s="1">
        <v>45839</v>
      </c>
      <c r="O70" s="1">
        <v>43003</v>
      </c>
      <c r="P70" s="1">
        <v>50384</v>
      </c>
      <c r="Q70" s="1">
        <v>43003</v>
      </c>
      <c r="R70" s="6">
        <v>1299</v>
      </c>
      <c r="S70" s="1" t="s">
        <v>189</v>
      </c>
      <c r="T70" s="6" t="s">
        <v>98</v>
      </c>
      <c r="U70" s="1" t="s">
        <v>38</v>
      </c>
      <c r="V70" s="1">
        <v>0</v>
      </c>
      <c r="W70" s="1" t="s">
        <v>311</v>
      </c>
      <c r="X70" s="1" t="s">
        <v>31</v>
      </c>
      <c r="Y70" s="1" t="s">
        <v>39</v>
      </c>
      <c r="Z70" s="1" t="s">
        <v>40</v>
      </c>
    </row>
    <row r="71" spans="1:26" x14ac:dyDescent="0.25">
      <c r="A71" s="5">
        <v>70</v>
      </c>
      <c r="B71" s="1" t="s">
        <v>352</v>
      </c>
      <c r="C71" s="1" t="str">
        <f>VLOOKUP('IT Working sheet '!B71,'09000210'!B:C,2,0)</f>
        <v>040000200475</v>
      </c>
      <c r="D71" s="1" t="str">
        <f t="shared" si="2"/>
        <v>Update ins_assorted_clients set commission_amount = '1299' where assorted_code = '040000200475' and agency_code = '09000870';</v>
      </c>
      <c r="E71" s="7">
        <v>45848</v>
      </c>
      <c r="F71" s="1" t="s">
        <v>353</v>
      </c>
      <c r="G71" s="1" t="s">
        <v>354</v>
      </c>
      <c r="H71" s="1" t="s">
        <v>355</v>
      </c>
      <c r="I71" s="1" t="s">
        <v>356</v>
      </c>
      <c r="J71" s="1">
        <v>2024</v>
      </c>
      <c r="K71" s="1">
        <v>4766160</v>
      </c>
      <c r="L71" s="1">
        <v>76259</v>
      </c>
      <c r="M71" s="1">
        <v>1.6E-2</v>
      </c>
      <c r="N71" s="1">
        <v>45848</v>
      </c>
      <c r="O71" s="1">
        <v>65161</v>
      </c>
      <c r="P71" s="1">
        <v>76259</v>
      </c>
      <c r="Q71" s="1">
        <v>65161</v>
      </c>
      <c r="R71" s="6">
        <v>1299</v>
      </c>
      <c r="S71" s="1" t="s">
        <v>189</v>
      </c>
      <c r="T71" s="6" t="s">
        <v>98</v>
      </c>
      <c r="U71" s="1" t="s">
        <v>38</v>
      </c>
      <c r="V71" s="1">
        <v>0</v>
      </c>
      <c r="W71" s="1" t="s">
        <v>311</v>
      </c>
      <c r="X71" s="1" t="s">
        <v>31</v>
      </c>
      <c r="Y71" s="1" t="s">
        <v>39</v>
      </c>
      <c r="Z71" s="1" t="s">
        <v>40</v>
      </c>
    </row>
    <row r="72" spans="1:26" x14ac:dyDescent="0.25">
      <c r="A72" s="5">
        <v>71</v>
      </c>
      <c r="B72" s="1" t="s">
        <v>357</v>
      </c>
      <c r="C72" s="1" t="str">
        <f>VLOOKUP('IT Working sheet '!B72,'09000210'!B:C,2,0)</f>
        <v>040000200033</v>
      </c>
      <c r="D72" s="1" t="str">
        <f t="shared" si="2"/>
        <v>Update ins_assorted_clients set commission_amount = '1299' where assorted_code = '040000200033' and agency_code = '09000870';</v>
      </c>
      <c r="E72" s="7">
        <v>45839</v>
      </c>
      <c r="F72" s="1" t="s">
        <v>358</v>
      </c>
      <c r="G72" s="1" t="s">
        <v>359</v>
      </c>
      <c r="H72" s="1" t="s">
        <v>360</v>
      </c>
      <c r="I72" s="1" t="s">
        <v>361</v>
      </c>
      <c r="J72" s="1">
        <v>2022</v>
      </c>
      <c r="K72" s="1">
        <v>4200000</v>
      </c>
      <c r="L72" s="1">
        <v>84000</v>
      </c>
      <c r="M72" s="1">
        <v>0.02</v>
      </c>
      <c r="N72" s="1">
        <v>45839</v>
      </c>
      <c r="O72" s="1">
        <v>71778</v>
      </c>
      <c r="P72" s="1">
        <v>84000</v>
      </c>
      <c r="Q72" s="1">
        <v>71778</v>
      </c>
      <c r="R72" s="6">
        <v>1299</v>
      </c>
      <c r="S72" s="1" t="s">
        <v>189</v>
      </c>
      <c r="T72" s="6" t="s">
        <v>98</v>
      </c>
      <c r="U72" s="1" t="s">
        <v>38</v>
      </c>
      <c r="V72" s="1">
        <v>0</v>
      </c>
      <c r="W72" s="1" t="s">
        <v>311</v>
      </c>
      <c r="X72" s="1" t="s">
        <v>31</v>
      </c>
      <c r="Y72" s="1" t="s">
        <v>39</v>
      </c>
      <c r="Z72" s="1" t="s">
        <v>40</v>
      </c>
    </row>
    <row r="73" spans="1:26" x14ac:dyDescent="0.25">
      <c r="A73" s="5">
        <v>72</v>
      </c>
      <c r="B73" s="1" t="s">
        <v>362</v>
      </c>
      <c r="C73" s="1" t="str">
        <f>VLOOKUP('IT Working sheet '!B73,'09000210'!B:C,2,0)</f>
        <v>040000200584</v>
      </c>
      <c r="D73" s="1" t="str">
        <f t="shared" si="2"/>
        <v>Update ins_assorted_clients set commission_amount = '1299' where assorted_code = '040000200584' and agency_code = '09000870';</v>
      </c>
      <c r="E73" s="7">
        <v>45853</v>
      </c>
      <c r="F73" s="1" t="s">
        <v>363</v>
      </c>
      <c r="G73" s="1" t="s">
        <v>364</v>
      </c>
      <c r="H73" s="1" t="s">
        <v>365</v>
      </c>
      <c r="I73" s="1" t="s">
        <v>366</v>
      </c>
      <c r="J73" s="1">
        <v>2019</v>
      </c>
      <c r="K73" s="1">
        <v>5640000</v>
      </c>
      <c r="L73" s="1">
        <v>84600</v>
      </c>
      <c r="M73" s="1">
        <v>1.4999999999999999E-2</v>
      </c>
      <c r="N73" s="1">
        <v>45853</v>
      </c>
      <c r="O73" s="1">
        <v>72500</v>
      </c>
      <c r="P73" s="1">
        <v>84600</v>
      </c>
      <c r="Q73" s="1">
        <v>72500</v>
      </c>
      <c r="R73" s="6">
        <v>1299</v>
      </c>
      <c r="S73" s="1" t="s">
        <v>189</v>
      </c>
      <c r="T73" s="6" t="s">
        <v>98</v>
      </c>
      <c r="U73" s="1" t="s">
        <v>38</v>
      </c>
      <c r="V73" s="1">
        <v>0</v>
      </c>
      <c r="W73" s="1" t="s">
        <v>311</v>
      </c>
      <c r="X73" s="1" t="s">
        <v>31</v>
      </c>
      <c r="Y73" s="1" t="s">
        <v>39</v>
      </c>
      <c r="Z73" s="1" t="s">
        <v>40</v>
      </c>
    </row>
    <row r="74" spans="1:26" x14ac:dyDescent="0.25">
      <c r="A74" s="5">
        <v>73</v>
      </c>
      <c r="B74" s="1" t="s">
        <v>367</v>
      </c>
      <c r="C74" s="1" t="str">
        <f>VLOOKUP('IT Working sheet '!B74,'09000210'!B:C,2,0)</f>
        <v>040000200297</v>
      </c>
      <c r="D74" s="1" t="str">
        <f t="shared" si="2"/>
        <v>Update ins_assorted_clients set commission_amount = '1299' where assorted_code = '040000200297' and agency_code = '09000870';</v>
      </c>
      <c r="E74" s="7">
        <v>45845</v>
      </c>
      <c r="F74" s="1" t="s">
        <v>368</v>
      </c>
      <c r="G74" s="1" t="s">
        <v>369</v>
      </c>
      <c r="H74" s="1"/>
      <c r="I74" s="1" t="s">
        <v>370</v>
      </c>
      <c r="J74" s="1">
        <v>2024</v>
      </c>
      <c r="K74" s="1">
        <v>4864500</v>
      </c>
      <c r="L74" s="1">
        <v>85129</v>
      </c>
      <c r="M74" s="1">
        <v>1.7500000000000002E-2</v>
      </c>
      <c r="N74" s="1">
        <v>45845</v>
      </c>
      <c r="O74" s="1">
        <v>72743</v>
      </c>
      <c r="P74" s="1">
        <v>85129</v>
      </c>
      <c r="Q74" s="1">
        <v>72743</v>
      </c>
      <c r="R74" s="6">
        <v>1299</v>
      </c>
      <c r="S74" s="1" t="s">
        <v>189</v>
      </c>
      <c r="T74" s="6" t="s">
        <v>98</v>
      </c>
      <c r="U74" s="1" t="s">
        <v>38</v>
      </c>
      <c r="V74" s="1">
        <v>0</v>
      </c>
      <c r="W74" s="1" t="s">
        <v>311</v>
      </c>
      <c r="X74" s="1" t="s">
        <v>31</v>
      </c>
      <c r="Y74" s="1" t="s">
        <v>39</v>
      </c>
      <c r="Z74" s="1" t="s">
        <v>40</v>
      </c>
    </row>
    <row r="75" spans="1:26" x14ac:dyDescent="0.25">
      <c r="A75" s="5">
        <v>74</v>
      </c>
      <c r="B75" s="1" t="s">
        <v>371</v>
      </c>
      <c r="C75" s="1" t="str">
        <f>VLOOKUP('IT Working sheet '!B75,'09000210'!B:C,2,0)</f>
        <v>040000200516</v>
      </c>
      <c r="D75" s="1" t="str">
        <f t="shared" si="2"/>
        <v>Update ins_assorted_clients set commission_amount = '1299' where assorted_code = '040000200516' and agency_code = '09000870';</v>
      </c>
      <c r="E75" s="7">
        <v>45849</v>
      </c>
      <c r="F75" s="1" t="s">
        <v>372</v>
      </c>
      <c r="G75" s="1" t="s">
        <v>373</v>
      </c>
      <c r="H75" s="1" t="s">
        <v>374</v>
      </c>
      <c r="I75" s="1" t="s">
        <v>375</v>
      </c>
      <c r="J75" s="1">
        <v>2022</v>
      </c>
      <c r="K75" s="1">
        <v>7000000</v>
      </c>
      <c r="L75" s="1">
        <v>112000</v>
      </c>
      <c r="M75" s="1">
        <v>1.6E-2</v>
      </c>
      <c r="N75" s="1">
        <v>45849</v>
      </c>
      <c r="O75" s="1">
        <v>96121</v>
      </c>
      <c r="P75" s="1">
        <v>112000</v>
      </c>
      <c r="Q75" s="1">
        <v>96121</v>
      </c>
      <c r="R75" s="6">
        <v>1299</v>
      </c>
      <c r="S75" s="1" t="s">
        <v>189</v>
      </c>
      <c r="T75" s="6" t="s">
        <v>98</v>
      </c>
      <c r="U75" s="1" t="s">
        <v>38</v>
      </c>
      <c r="V75" s="1">
        <v>0</v>
      </c>
      <c r="W75" s="1" t="s">
        <v>311</v>
      </c>
      <c r="X75" s="1" t="s">
        <v>31</v>
      </c>
      <c r="Y75" s="1" t="s">
        <v>39</v>
      </c>
      <c r="Z75" s="1" t="s">
        <v>40</v>
      </c>
    </row>
    <row r="76" spans="1:26" x14ac:dyDescent="0.25">
      <c r="A76" s="5">
        <v>75</v>
      </c>
      <c r="B76" s="1" t="s">
        <v>376</v>
      </c>
      <c r="C76" s="1" t="str">
        <f>VLOOKUP('IT Working sheet '!B76,'09000210'!B:C,2,0)</f>
        <v>040000200595</v>
      </c>
      <c r="D76" s="1" t="str">
        <f t="shared" si="2"/>
        <v>Update ins_assorted_clients set commission_amount = '1299' where assorted_code = '040000200595' and agency_code = '09000870';</v>
      </c>
      <c r="E76" s="7">
        <v>45853</v>
      </c>
      <c r="F76" s="1" t="s">
        <v>377</v>
      </c>
      <c r="G76" s="1" t="s">
        <v>378</v>
      </c>
      <c r="H76" s="1" t="s">
        <v>379</v>
      </c>
      <c r="I76" s="1" t="s">
        <v>380</v>
      </c>
      <c r="J76" s="1">
        <v>2024</v>
      </c>
      <c r="K76" s="1">
        <v>8300000</v>
      </c>
      <c r="L76" s="1">
        <v>116200</v>
      </c>
      <c r="M76" s="1">
        <v>1.4E-2</v>
      </c>
      <c r="N76" s="1">
        <v>45853</v>
      </c>
      <c r="O76" s="1">
        <v>99299</v>
      </c>
      <c r="P76" s="1">
        <v>116200</v>
      </c>
      <c r="Q76" s="1">
        <v>99299</v>
      </c>
      <c r="R76" s="6">
        <v>1299</v>
      </c>
      <c r="S76" s="1" t="s">
        <v>189</v>
      </c>
      <c r="T76" s="6" t="s">
        <v>98</v>
      </c>
      <c r="U76" s="1" t="s">
        <v>38</v>
      </c>
      <c r="V76" s="1">
        <v>0</v>
      </c>
      <c r="W76" s="1" t="s">
        <v>311</v>
      </c>
      <c r="X76" s="1" t="s">
        <v>31</v>
      </c>
      <c r="Y76" s="1" t="s">
        <v>39</v>
      </c>
      <c r="Z76" s="1" t="s">
        <v>40</v>
      </c>
    </row>
    <row r="77" spans="1:26" x14ac:dyDescent="0.25">
      <c r="A77" s="5">
        <v>76</v>
      </c>
      <c r="B77" s="1" t="s">
        <v>381</v>
      </c>
      <c r="C77" s="1" t="str">
        <f>VLOOKUP('IT Working sheet '!B77,'09000210'!B:C,2,0)</f>
        <v>040000200405</v>
      </c>
      <c r="D77" s="1" t="str">
        <f t="shared" si="2"/>
        <v>Update ins_assorted_clients set commission_amount = '1299' where assorted_code = '040000200405' and agency_code = '09000870';</v>
      </c>
      <c r="E77" s="7">
        <v>45846</v>
      </c>
      <c r="F77" s="1" t="s">
        <v>382</v>
      </c>
      <c r="G77" s="1" t="s">
        <v>48</v>
      </c>
      <c r="H77" s="1" t="s">
        <v>383</v>
      </c>
      <c r="I77" s="1" t="s">
        <v>384</v>
      </c>
      <c r="J77" s="1">
        <v>2017</v>
      </c>
      <c r="K77" s="1">
        <v>9000000</v>
      </c>
      <c r="L77" s="1">
        <v>121500</v>
      </c>
      <c r="M77" s="1">
        <v>1.35E-2</v>
      </c>
      <c r="N77" s="1">
        <v>45846</v>
      </c>
      <c r="O77" s="1">
        <v>104310</v>
      </c>
      <c r="P77" s="1">
        <v>121500</v>
      </c>
      <c r="Q77" s="1">
        <v>104310</v>
      </c>
      <c r="R77" s="6">
        <v>1299</v>
      </c>
      <c r="S77" s="1" t="s">
        <v>189</v>
      </c>
      <c r="T77" s="6" t="s">
        <v>98</v>
      </c>
      <c r="U77" s="1" t="s">
        <v>38</v>
      </c>
      <c r="V77" s="1">
        <v>0</v>
      </c>
      <c r="W77" s="1" t="s">
        <v>311</v>
      </c>
      <c r="X77" s="1" t="s">
        <v>31</v>
      </c>
      <c r="Y77" s="1" t="s">
        <v>39</v>
      </c>
      <c r="Z77" s="1" t="s">
        <v>40</v>
      </c>
    </row>
    <row r="78" spans="1:26" x14ac:dyDescent="0.25">
      <c r="A78" s="5">
        <v>77</v>
      </c>
      <c r="B78" s="1" t="s">
        <v>385</v>
      </c>
      <c r="C78" s="1" t="str">
        <f>VLOOKUP('IT Working sheet '!B78,'09000210'!B:C,2,0)</f>
        <v>040000200301</v>
      </c>
      <c r="D78" s="1" t="str">
        <f t="shared" si="2"/>
        <v>Update ins_assorted_clients set commission_amount = '1299' where assorted_code = '040000200301' and agency_code = '09000870';</v>
      </c>
      <c r="E78" s="7">
        <v>45845</v>
      </c>
      <c r="F78" s="1" t="s">
        <v>386</v>
      </c>
      <c r="G78" s="1" t="s">
        <v>387</v>
      </c>
      <c r="H78" s="1" t="s">
        <v>388</v>
      </c>
      <c r="I78" s="1" t="s">
        <v>380</v>
      </c>
      <c r="J78" s="1">
        <v>2024</v>
      </c>
      <c r="K78" s="1">
        <v>9631850</v>
      </c>
      <c r="L78" s="1">
        <v>144478</v>
      </c>
      <c r="M78" s="1">
        <v>1.4999999999999999E-2</v>
      </c>
      <c r="N78" s="1">
        <v>45845</v>
      </c>
      <c r="O78" s="1">
        <v>123468</v>
      </c>
      <c r="P78" s="1">
        <v>144478</v>
      </c>
      <c r="Q78" s="1">
        <v>123468</v>
      </c>
      <c r="R78" s="6">
        <v>1299</v>
      </c>
      <c r="S78" s="1" t="s">
        <v>189</v>
      </c>
      <c r="T78" s="6" t="s">
        <v>98</v>
      </c>
      <c r="U78" s="1" t="s">
        <v>38</v>
      </c>
      <c r="V78" s="1">
        <v>0</v>
      </c>
      <c r="W78" s="1" t="s">
        <v>311</v>
      </c>
      <c r="X78" s="1" t="s">
        <v>31</v>
      </c>
      <c r="Y78" s="1" t="s">
        <v>39</v>
      </c>
      <c r="Z78" s="1" t="s">
        <v>40</v>
      </c>
    </row>
    <row r="79" spans="1:26" hidden="1" x14ac:dyDescent="0.25">
      <c r="A79" s="5">
        <v>78</v>
      </c>
      <c r="B79" s="1" t="s">
        <v>389</v>
      </c>
      <c r="C79" s="1"/>
      <c r="D79" s="1"/>
      <c r="E79" s="7">
        <v>45813</v>
      </c>
      <c r="F79" s="1" t="s">
        <v>390</v>
      </c>
      <c r="G79" s="1" t="s">
        <v>391</v>
      </c>
      <c r="H79" s="1" t="s">
        <v>392</v>
      </c>
      <c r="I79" s="1" t="s">
        <v>393</v>
      </c>
      <c r="J79" s="1">
        <v>2019</v>
      </c>
      <c r="K79" s="1">
        <v>2000000</v>
      </c>
      <c r="L79" s="1">
        <v>30000</v>
      </c>
      <c r="M79" s="1">
        <v>1.4999999999999999E-2</v>
      </c>
      <c r="N79" s="1">
        <v>45812</v>
      </c>
      <c r="O79" s="1">
        <v>25431</v>
      </c>
      <c r="P79" s="1">
        <v>30000</v>
      </c>
      <c r="Q79" s="1">
        <v>25431</v>
      </c>
      <c r="R79" s="6">
        <v>1299</v>
      </c>
      <c r="S79" s="1" t="s">
        <v>189</v>
      </c>
      <c r="T79" s="6" t="s">
        <v>98</v>
      </c>
      <c r="U79" s="1" t="s">
        <v>38</v>
      </c>
      <c r="V79" s="1">
        <v>0</v>
      </c>
      <c r="W79" s="1" t="s">
        <v>311</v>
      </c>
      <c r="X79" s="1" t="s">
        <v>31</v>
      </c>
      <c r="Y79" s="1" t="s">
        <v>39</v>
      </c>
      <c r="Z79" s="1" t="s">
        <v>183</v>
      </c>
    </row>
    <row r="80" spans="1:26" hidden="1" x14ac:dyDescent="0.25">
      <c r="A80" s="5">
        <v>79</v>
      </c>
      <c r="B80" s="1" t="s">
        <v>394</v>
      </c>
      <c r="C80" s="1"/>
      <c r="D80" s="1"/>
      <c r="E80" s="7">
        <v>45813</v>
      </c>
      <c r="F80" s="1" t="s">
        <v>395</v>
      </c>
      <c r="G80" s="1" t="s">
        <v>396</v>
      </c>
      <c r="H80" s="1" t="s">
        <v>397</v>
      </c>
      <c r="I80" s="1" t="s">
        <v>398</v>
      </c>
      <c r="J80" s="1">
        <v>2017</v>
      </c>
      <c r="K80" s="1">
        <v>2000000</v>
      </c>
      <c r="L80" s="1">
        <v>30000</v>
      </c>
      <c r="M80" s="1">
        <v>1.4999999999999999E-2</v>
      </c>
      <c r="N80" s="1">
        <v>45812</v>
      </c>
      <c r="O80" s="1">
        <v>25431</v>
      </c>
      <c r="P80" s="1">
        <v>30000</v>
      </c>
      <c r="Q80" s="1">
        <v>25431</v>
      </c>
      <c r="R80" s="6">
        <v>1299</v>
      </c>
      <c r="S80" s="1" t="s">
        <v>189</v>
      </c>
      <c r="T80" s="6" t="s">
        <v>98</v>
      </c>
      <c r="U80" s="1" t="s">
        <v>38</v>
      </c>
      <c r="V80" s="1">
        <v>0</v>
      </c>
      <c r="W80" s="1" t="s">
        <v>311</v>
      </c>
      <c r="X80" s="1" t="s">
        <v>31</v>
      </c>
      <c r="Y80" s="1" t="s">
        <v>39</v>
      </c>
      <c r="Z80" s="1" t="s">
        <v>183</v>
      </c>
    </row>
    <row r="81" spans="1:26" hidden="1" x14ac:dyDescent="0.25">
      <c r="A81" s="5">
        <v>80</v>
      </c>
      <c r="B81" s="1" t="s">
        <v>399</v>
      </c>
      <c r="C81" s="1"/>
      <c r="D81" s="1"/>
      <c r="E81" s="7">
        <v>45813</v>
      </c>
      <c r="F81" s="1" t="s">
        <v>400</v>
      </c>
      <c r="G81" s="1" t="s">
        <v>401</v>
      </c>
      <c r="H81" s="1" t="s">
        <v>402</v>
      </c>
      <c r="I81" s="1" t="s">
        <v>342</v>
      </c>
      <c r="J81" s="1">
        <v>2022</v>
      </c>
      <c r="K81" s="1">
        <v>2200000</v>
      </c>
      <c r="L81" s="1">
        <v>33000</v>
      </c>
      <c r="M81" s="1">
        <v>1.4999999999999999E-2</v>
      </c>
      <c r="N81" s="1">
        <v>45813</v>
      </c>
      <c r="O81" s="1">
        <v>28017</v>
      </c>
      <c r="P81" s="1">
        <v>33000</v>
      </c>
      <c r="Q81" s="1">
        <v>28017</v>
      </c>
      <c r="R81" s="6">
        <v>1299</v>
      </c>
      <c r="S81" s="1" t="s">
        <v>189</v>
      </c>
      <c r="T81" s="6" t="s">
        <v>98</v>
      </c>
      <c r="U81" s="1" t="s">
        <v>38</v>
      </c>
      <c r="V81" s="1">
        <v>0</v>
      </c>
      <c r="W81" s="1" t="s">
        <v>311</v>
      </c>
      <c r="X81" s="1" t="s">
        <v>31</v>
      </c>
      <c r="Y81" s="1" t="s">
        <v>153</v>
      </c>
      <c r="Z81" s="1" t="s">
        <v>178</v>
      </c>
    </row>
    <row r="82" spans="1:26" hidden="1" x14ac:dyDescent="0.25">
      <c r="A82" s="5">
        <v>81</v>
      </c>
      <c r="B82" s="1" t="s">
        <v>403</v>
      </c>
      <c r="C82" s="1"/>
      <c r="D82" s="1"/>
      <c r="E82" s="7">
        <v>45821</v>
      </c>
      <c r="F82" s="1" t="s">
        <v>404</v>
      </c>
      <c r="G82" s="1" t="s">
        <v>405</v>
      </c>
      <c r="H82" s="1" t="s">
        <v>406</v>
      </c>
      <c r="I82" s="1" t="s">
        <v>407</v>
      </c>
      <c r="J82" s="1">
        <v>2024</v>
      </c>
      <c r="K82" s="1">
        <v>3055000</v>
      </c>
      <c r="L82" s="1">
        <v>60795</v>
      </c>
      <c r="M82" s="1">
        <v>1.9900000000000001E-2</v>
      </c>
      <c r="N82" s="1">
        <v>45821</v>
      </c>
      <c r="O82" s="1">
        <v>51945</v>
      </c>
      <c r="P82" s="1">
        <v>60795</v>
      </c>
      <c r="Q82" s="1">
        <v>51945</v>
      </c>
      <c r="R82" s="6">
        <v>1299</v>
      </c>
      <c r="S82" s="1" t="s">
        <v>189</v>
      </c>
      <c r="T82" s="6" t="s">
        <v>98</v>
      </c>
      <c r="U82" s="1" t="s">
        <v>38</v>
      </c>
      <c r="V82" s="1">
        <v>0</v>
      </c>
      <c r="W82" s="1" t="s">
        <v>311</v>
      </c>
      <c r="X82" s="1" t="s">
        <v>31</v>
      </c>
      <c r="Y82" s="1" t="s">
        <v>39</v>
      </c>
      <c r="Z82" s="1" t="s">
        <v>69</v>
      </c>
    </row>
    <row r="83" spans="1:26" hidden="1" x14ac:dyDescent="0.25">
      <c r="A83" s="5">
        <v>82</v>
      </c>
      <c r="B83" s="1" t="s">
        <v>408</v>
      </c>
      <c r="C83" s="1"/>
      <c r="D83" s="1"/>
      <c r="E83" s="7">
        <v>45811</v>
      </c>
      <c r="F83" s="1" t="s">
        <v>409</v>
      </c>
      <c r="G83" s="1" t="s">
        <v>410</v>
      </c>
      <c r="H83" s="1" t="s">
        <v>411</v>
      </c>
      <c r="I83" s="1" t="s">
        <v>412</v>
      </c>
      <c r="J83" s="1">
        <v>2024</v>
      </c>
      <c r="K83" s="1">
        <v>3045000</v>
      </c>
      <c r="L83" s="1">
        <v>60596</v>
      </c>
      <c r="M83" s="1">
        <v>1.9900000000000001E-2</v>
      </c>
      <c r="N83" s="1">
        <v>45811</v>
      </c>
      <c r="O83" s="1">
        <v>51774</v>
      </c>
      <c r="P83" s="1">
        <v>60596</v>
      </c>
      <c r="Q83" s="1">
        <v>51774</v>
      </c>
      <c r="R83" s="6">
        <v>1299</v>
      </c>
      <c r="S83" s="1" t="s">
        <v>189</v>
      </c>
      <c r="T83" s="6" t="s">
        <v>98</v>
      </c>
      <c r="U83" s="1" t="s">
        <v>38</v>
      </c>
      <c r="V83" s="1">
        <v>0</v>
      </c>
      <c r="W83" s="1" t="s">
        <v>311</v>
      </c>
      <c r="X83" s="1" t="s">
        <v>31</v>
      </c>
      <c r="Y83" s="1" t="s">
        <v>39</v>
      </c>
      <c r="Z83" s="1" t="s">
        <v>69</v>
      </c>
    </row>
    <row r="84" spans="1:26" hidden="1" x14ac:dyDescent="0.25">
      <c r="A84" s="5">
        <v>83</v>
      </c>
      <c r="B84" s="1" t="s">
        <v>413</v>
      </c>
      <c r="C84" s="1"/>
      <c r="D84" s="1"/>
      <c r="E84" s="7">
        <v>45826</v>
      </c>
      <c r="F84" s="1" t="s">
        <v>414</v>
      </c>
      <c r="G84" s="1" t="s">
        <v>415</v>
      </c>
      <c r="H84" s="1" t="s">
        <v>416</v>
      </c>
      <c r="I84" s="1" t="s">
        <v>332</v>
      </c>
      <c r="J84" s="1">
        <v>2022</v>
      </c>
      <c r="K84" s="1">
        <v>4000000</v>
      </c>
      <c r="L84" s="1">
        <v>56000</v>
      </c>
      <c r="M84" s="1">
        <v>1.4E-2</v>
      </c>
      <c r="N84" s="1">
        <v>45826</v>
      </c>
      <c r="O84" s="1">
        <v>47845</v>
      </c>
      <c r="P84" s="1">
        <v>56000</v>
      </c>
      <c r="Q84" s="1">
        <v>47845</v>
      </c>
      <c r="R84" s="6">
        <v>1299</v>
      </c>
      <c r="S84" s="1" t="s">
        <v>189</v>
      </c>
      <c r="T84" s="6" t="s">
        <v>98</v>
      </c>
      <c r="U84" s="1" t="s">
        <v>38</v>
      </c>
      <c r="V84" s="1">
        <v>0</v>
      </c>
      <c r="W84" s="1" t="s">
        <v>311</v>
      </c>
      <c r="X84" s="1" t="s">
        <v>31</v>
      </c>
      <c r="Y84" s="1" t="s">
        <v>39</v>
      </c>
      <c r="Z84" s="1" t="s">
        <v>69</v>
      </c>
    </row>
    <row r="85" spans="1:26" hidden="1" x14ac:dyDescent="0.25">
      <c r="A85" s="5">
        <v>84</v>
      </c>
      <c r="B85" s="1" t="s">
        <v>417</v>
      </c>
      <c r="C85" s="1"/>
      <c r="D85" s="1"/>
      <c r="E85" s="7">
        <v>45826</v>
      </c>
      <c r="F85" s="1" t="s">
        <v>418</v>
      </c>
      <c r="G85" s="1" t="s">
        <v>419</v>
      </c>
      <c r="H85" s="1" t="s">
        <v>420</v>
      </c>
      <c r="I85" s="1" t="s">
        <v>421</v>
      </c>
      <c r="J85" s="1">
        <v>2021</v>
      </c>
      <c r="K85" s="1">
        <v>5900000</v>
      </c>
      <c r="L85" s="1">
        <v>100300</v>
      </c>
      <c r="M85" s="1">
        <v>1.7000000000000001E-2</v>
      </c>
      <c r="N85" s="1">
        <v>45826</v>
      </c>
      <c r="O85" s="1">
        <v>85709</v>
      </c>
      <c r="P85" s="1">
        <v>100300</v>
      </c>
      <c r="Q85" s="1">
        <v>85709</v>
      </c>
      <c r="R85" s="6">
        <v>1299</v>
      </c>
      <c r="S85" s="1" t="s">
        <v>189</v>
      </c>
      <c r="T85" s="6" t="s">
        <v>98</v>
      </c>
      <c r="U85" s="1" t="s">
        <v>38</v>
      </c>
      <c r="V85" s="1">
        <v>0</v>
      </c>
      <c r="W85" s="1" t="s">
        <v>311</v>
      </c>
      <c r="X85" s="1" t="s">
        <v>31</v>
      </c>
      <c r="Y85" s="1" t="s">
        <v>39</v>
      </c>
      <c r="Z85" s="1" t="s">
        <v>69</v>
      </c>
    </row>
    <row r="86" spans="1:26" hidden="1" x14ac:dyDescent="0.25">
      <c r="A86" s="5">
        <v>85</v>
      </c>
      <c r="B86" s="1" t="s">
        <v>422</v>
      </c>
      <c r="C86" s="1"/>
      <c r="D86" s="1"/>
      <c r="E86" s="7">
        <v>45811</v>
      </c>
      <c r="F86" s="1" t="s">
        <v>423</v>
      </c>
      <c r="G86" s="1">
        <v>3312611101</v>
      </c>
      <c r="H86" s="1" t="s">
        <v>424</v>
      </c>
      <c r="I86" s="1" t="s">
        <v>425</v>
      </c>
      <c r="J86" s="1">
        <v>2014</v>
      </c>
      <c r="K86" s="1">
        <v>2400000</v>
      </c>
      <c r="L86" s="1">
        <v>36000</v>
      </c>
      <c r="M86" s="1">
        <v>1.4999999999999999E-2</v>
      </c>
      <c r="N86" s="1">
        <v>45811</v>
      </c>
      <c r="O86" s="1">
        <v>31535</v>
      </c>
      <c r="P86" s="1">
        <v>36000</v>
      </c>
      <c r="Q86" s="1">
        <v>31535</v>
      </c>
      <c r="R86" s="6">
        <v>1299</v>
      </c>
      <c r="S86" s="1" t="s">
        <v>189</v>
      </c>
      <c r="T86" s="6" t="s">
        <v>98</v>
      </c>
      <c r="U86" s="1" t="s">
        <v>38</v>
      </c>
      <c r="V86" s="1">
        <v>0</v>
      </c>
      <c r="W86" s="1" t="s">
        <v>311</v>
      </c>
      <c r="X86" s="1" t="s">
        <v>31</v>
      </c>
      <c r="Y86" s="1" t="s">
        <v>39</v>
      </c>
      <c r="Z86" s="1" t="s">
        <v>69</v>
      </c>
    </row>
    <row r="87" spans="1:26" hidden="1" x14ac:dyDescent="0.25">
      <c r="A87" s="5">
        <v>86</v>
      </c>
      <c r="B87" s="1" t="s">
        <v>426</v>
      </c>
      <c r="C87" s="1"/>
      <c r="D87" s="1"/>
      <c r="E87" s="7">
        <v>45821</v>
      </c>
      <c r="F87" s="1" t="s">
        <v>427</v>
      </c>
      <c r="G87" s="1" t="s">
        <v>428</v>
      </c>
      <c r="H87" s="1" t="s">
        <v>429</v>
      </c>
      <c r="I87" s="1" t="s">
        <v>430</v>
      </c>
      <c r="J87" s="1">
        <v>2003</v>
      </c>
      <c r="K87" s="1">
        <v>4000000</v>
      </c>
      <c r="L87" s="1">
        <v>70000</v>
      </c>
      <c r="M87" s="1">
        <v>1.7500000000000002E-2</v>
      </c>
      <c r="N87" s="1">
        <v>45820</v>
      </c>
      <c r="O87" s="1">
        <v>59914</v>
      </c>
      <c r="P87" s="1">
        <v>70000</v>
      </c>
      <c r="Q87" s="1">
        <v>59914</v>
      </c>
      <c r="R87" s="6">
        <v>1299</v>
      </c>
      <c r="S87" s="1" t="s">
        <v>189</v>
      </c>
      <c r="T87" s="6" t="s">
        <v>98</v>
      </c>
      <c r="U87" s="1" t="s">
        <v>38</v>
      </c>
      <c r="V87" s="1">
        <v>0</v>
      </c>
      <c r="W87" s="1" t="s">
        <v>311</v>
      </c>
      <c r="X87" s="1" t="s">
        <v>31</v>
      </c>
      <c r="Y87" s="1" t="s">
        <v>153</v>
      </c>
      <c r="Z87" s="1" t="s">
        <v>154</v>
      </c>
    </row>
    <row r="88" spans="1:26" hidden="1" x14ac:dyDescent="0.25">
      <c r="A88" s="5">
        <v>87</v>
      </c>
      <c r="B88" s="1" t="s">
        <v>431</v>
      </c>
      <c r="C88" s="1"/>
      <c r="D88" s="1"/>
      <c r="E88" s="7">
        <v>45810</v>
      </c>
      <c r="F88" s="1" t="s">
        <v>432</v>
      </c>
      <c r="G88" s="1" t="s">
        <v>433</v>
      </c>
      <c r="H88" s="1" t="s">
        <v>434</v>
      </c>
      <c r="I88" s="1" t="s">
        <v>435</v>
      </c>
      <c r="J88" s="1">
        <v>2019</v>
      </c>
      <c r="K88" s="1">
        <v>4000000</v>
      </c>
      <c r="L88" s="1">
        <v>60000</v>
      </c>
      <c r="M88" s="1">
        <v>1.4999999999999999E-2</v>
      </c>
      <c r="N88" s="1">
        <v>45810</v>
      </c>
      <c r="O88" s="1">
        <v>51293</v>
      </c>
      <c r="P88" s="1">
        <v>60000</v>
      </c>
      <c r="Q88" s="1">
        <v>51293</v>
      </c>
      <c r="R88" s="6">
        <v>1299</v>
      </c>
      <c r="S88" s="1" t="s">
        <v>189</v>
      </c>
      <c r="T88" s="6" t="s">
        <v>98</v>
      </c>
      <c r="U88" s="1" t="s">
        <v>38</v>
      </c>
      <c r="V88" s="1">
        <v>0</v>
      </c>
      <c r="W88" s="1" t="s">
        <v>311</v>
      </c>
      <c r="X88" s="1" t="s">
        <v>31</v>
      </c>
      <c r="Y88" s="1" t="s">
        <v>39</v>
      </c>
      <c r="Z88" s="1" t="s">
        <v>69</v>
      </c>
    </row>
    <row r="89" spans="1:26" hidden="1" x14ac:dyDescent="0.25">
      <c r="A89" s="5">
        <v>88</v>
      </c>
      <c r="B89" s="1" t="s">
        <v>436</v>
      </c>
      <c r="C89" s="1"/>
      <c r="D89" s="1"/>
      <c r="E89" s="7">
        <v>45831</v>
      </c>
      <c r="F89" s="1" t="s">
        <v>437</v>
      </c>
      <c r="G89" s="1" t="s">
        <v>438</v>
      </c>
      <c r="H89" s="1" t="s">
        <v>439</v>
      </c>
      <c r="I89" s="1" t="s">
        <v>440</v>
      </c>
      <c r="J89" s="1">
        <v>2021</v>
      </c>
      <c r="K89" s="1">
        <v>1400000</v>
      </c>
      <c r="L89" s="1">
        <v>23800</v>
      </c>
      <c r="M89" s="1">
        <v>1.7000000000000001E-2</v>
      </c>
      <c r="N89" s="1">
        <v>45831</v>
      </c>
      <c r="O89" s="1">
        <v>20086</v>
      </c>
      <c r="P89" s="1">
        <v>23800</v>
      </c>
      <c r="Q89" s="1">
        <v>20086</v>
      </c>
      <c r="R89" s="6">
        <v>1299</v>
      </c>
      <c r="S89" s="1" t="s">
        <v>189</v>
      </c>
      <c r="T89" s="6" t="s">
        <v>98</v>
      </c>
      <c r="U89" s="1" t="s">
        <v>38</v>
      </c>
      <c r="V89" s="1">
        <v>0</v>
      </c>
      <c r="W89" s="1" t="s">
        <v>311</v>
      </c>
      <c r="X89" s="1" t="s">
        <v>31</v>
      </c>
      <c r="Y89" s="1" t="s">
        <v>39</v>
      </c>
      <c r="Z89" s="1" t="s">
        <v>69</v>
      </c>
    </row>
    <row r="90" spans="1:26" hidden="1" x14ac:dyDescent="0.25">
      <c r="A90" s="5">
        <v>89</v>
      </c>
      <c r="B90" s="1" t="s">
        <v>441</v>
      </c>
      <c r="C90" s="1"/>
      <c r="D90" s="1"/>
      <c r="E90" s="7">
        <v>45828</v>
      </c>
      <c r="F90" s="1" t="s">
        <v>442</v>
      </c>
      <c r="G90" s="1" t="s">
        <v>443</v>
      </c>
      <c r="H90" s="1" t="s">
        <v>444</v>
      </c>
      <c r="I90" s="1" t="s">
        <v>342</v>
      </c>
      <c r="J90" s="1">
        <v>2022</v>
      </c>
      <c r="K90" s="1">
        <v>2200000</v>
      </c>
      <c r="L90" s="1">
        <v>33000</v>
      </c>
      <c r="M90" s="1">
        <v>1.4999999999999999E-2</v>
      </c>
      <c r="N90" s="1">
        <v>45828</v>
      </c>
      <c r="O90" s="1">
        <v>28017</v>
      </c>
      <c r="P90" s="1">
        <v>33000</v>
      </c>
      <c r="Q90" s="1">
        <v>28017</v>
      </c>
      <c r="R90" s="6">
        <v>1299</v>
      </c>
      <c r="S90" s="1" t="s">
        <v>189</v>
      </c>
      <c r="T90" s="6" t="s">
        <v>98</v>
      </c>
      <c r="U90" s="1" t="s">
        <v>38</v>
      </c>
      <c r="V90" s="1">
        <v>0</v>
      </c>
      <c r="W90" s="1" t="s">
        <v>311</v>
      </c>
      <c r="X90" s="1" t="s">
        <v>31</v>
      </c>
      <c r="Y90" s="1" t="s">
        <v>39</v>
      </c>
      <c r="Z90" s="1" t="s">
        <v>69</v>
      </c>
    </row>
    <row r="91" spans="1:26" hidden="1" x14ac:dyDescent="0.25">
      <c r="A91" s="5">
        <v>90</v>
      </c>
      <c r="B91" s="1" t="s">
        <v>445</v>
      </c>
      <c r="C91" s="1"/>
      <c r="D91" s="1"/>
      <c r="E91" s="7">
        <v>45820</v>
      </c>
      <c r="F91" s="1" t="s">
        <v>446</v>
      </c>
      <c r="G91" s="1" t="s">
        <v>447</v>
      </c>
      <c r="H91" s="1" t="s">
        <v>448</v>
      </c>
      <c r="I91" s="1" t="s">
        <v>449</v>
      </c>
      <c r="J91" s="1">
        <v>2024</v>
      </c>
      <c r="K91" s="1">
        <v>3045000</v>
      </c>
      <c r="L91" s="1">
        <v>45675</v>
      </c>
      <c r="M91" s="1">
        <v>1.4999999999999999E-2</v>
      </c>
      <c r="N91" s="1">
        <v>45820</v>
      </c>
      <c r="O91" s="1">
        <v>38944</v>
      </c>
      <c r="P91" s="1">
        <v>45675</v>
      </c>
      <c r="Q91" s="1">
        <v>38944</v>
      </c>
      <c r="R91" s="6">
        <v>1299</v>
      </c>
      <c r="S91" s="1" t="s">
        <v>189</v>
      </c>
      <c r="T91" s="6" t="s">
        <v>98</v>
      </c>
      <c r="U91" s="1" t="s">
        <v>38</v>
      </c>
      <c r="V91" s="1">
        <v>0</v>
      </c>
      <c r="W91" s="1" t="s">
        <v>311</v>
      </c>
      <c r="X91" s="1" t="s">
        <v>31</v>
      </c>
      <c r="Y91" s="1" t="s">
        <v>39</v>
      </c>
      <c r="Z91" s="1" t="s">
        <v>69</v>
      </c>
    </row>
    <row r="92" spans="1:26" hidden="1" x14ac:dyDescent="0.25">
      <c r="A92" s="5">
        <v>91</v>
      </c>
      <c r="B92" s="1" t="s">
        <v>450</v>
      </c>
      <c r="C92" s="1"/>
      <c r="D92" s="1"/>
      <c r="E92" s="7">
        <v>45835</v>
      </c>
      <c r="F92" s="1" t="s">
        <v>451</v>
      </c>
      <c r="G92" s="1">
        <v>3332148080</v>
      </c>
      <c r="H92" s="1" t="s">
        <v>452</v>
      </c>
      <c r="I92" s="1" t="s">
        <v>453</v>
      </c>
      <c r="J92" s="1">
        <v>2022</v>
      </c>
      <c r="K92" s="1">
        <v>1800000</v>
      </c>
      <c r="L92" s="1">
        <v>22500</v>
      </c>
      <c r="M92" s="1">
        <v>1.2500000000000001E-2</v>
      </c>
      <c r="N92" s="1">
        <v>45834</v>
      </c>
      <c r="O92" s="1">
        <v>18965</v>
      </c>
      <c r="P92" s="1">
        <v>22500</v>
      </c>
      <c r="Q92" s="1">
        <v>18965</v>
      </c>
      <c r="R92" s="6">
        <v>1299</v>
      </c>
      <c r="S92" s="1" t="s">
        <v>189</v>
      </c>
      <c r="T92" s="6" t="s">
        <v>98</v>
      </c>
      <c r="U92" s="1" t="s">
        <v>38</v>
      </c>
      <c r="V92" s="1">
        <v>0</v>
      </c>
      <c r="W92" s="1" t="s">
        <v>311</v>
      </c>
      <c r="X92" s="1" t="s">
        <v>31</v>
      </c>
      <c r="Y92" s="1" t="s">
        <v>153</v>
      </c>
      <c r="Z92" s="1" t="s">
        <v>154</v>
      </c>
    </row>
    <row r="93" spans="1:26" hidden="1" x14ac:dyDescent="0.25">
      <c r="A93" s="5">
        <v>92</v>
      </c>
      <c r="B93" s="1" t="s">
        <v>454</v>
      </c>
      <c r="C93" s="1"/>
      <c r="D93" s="1"/>
      <c r="E93" s="7">
        <v>45812</v>
      </c>
      <c r="F93" s="1" t="s">
        <v>455</v>
      </c>
      <c r="G93" s="1" t="s">
        <v>456</v>
      </c>
      <c r="H93" s="1" t="s">
        <v>457</v>
      </c>
      <c r="I93" s="1" t="s">
        <v>458</v>
      </c>
      <c r="J93" s="1">
        <v>2015</v>
      </c>
      <c r="K93" s="1">
        <v>2500000</v>
      </c>
      <c r="L93" s="1">
        <v>40000</v>
      </c>
      <c r="M93" s="1">
        <v>1.6E-2</v>
      </c>
      <c r="N93" s="1">
        <v>45812</v>
      </c>
      <c r="O93" s="1">
        <v>34171</v>
      </c>
      <c r="P93" s="1">
        <v>40000</v>
      </c>
      <c r="Q93" s="1">
        <v>34171</v>
      </c>
      <c r="R93" s="6">
        <v>1299</v>
      </c>
      <c r="S93" s="1" t="s">
        <v>189</v>
      </c>
      <c r="T93" s="6" t="s">
        <v>98</v>
      </c>
      <c r="U93" s="1" t="s">
        <v>38</v>
      </c>
      <c r="V93" s="1">
        <v>0</v>
      </c>
      <c r="W93" s="1" t="s">
        <v>311</v>
      </c>
      <c r="X93" s="1" t="s">
        <v>31</v>
      </c>
      <c r="Y93" s="1" t="s">
        <v>39</v>
      </c>
      <c r="Z93" s="1" t="s">
        <v>69</v>
      </c>
    </row>
    <row r="94" spans="1:26" hidden="1" x14ac:dyDescent="0.25">
      <c r="A94" s="5">
        <v>93</v>
      </c>
      <c r="B94" s="1" t="s">
        <v>459</v>
      </c>
      <c r="C94" s="1"/>
      <c r="D94" s="1"/>
      <c r="E94" s="7">
        <v>45831</v>
      </c>
      <c r="F94" s="1" t="s">
        <v>460</v>
      </c>
      <c r="G94" s="1" t="s">
        <v>461</v>
      </c>
      <c r="H94" s="1" t="s">
        <v>462</v>
      </c>
      <c r="I94" s="1" t="s">
        <v>463</v>
      </c>
      <c r="J94" s="1">
        <v>2015</v>
      </c>
      <c r="K94" s="1">
        <v>3000000</v>
      </c>
      <c r="L94" s="1">
        <v>51000</v>
      </c>
      <c r="M94" s="1">
        <v>1.7000000000000001E-2</v>
      </c>
      <c r="N94" s="1">
        <v>45831</v>
      </c>
      <c r="O94" s="1">
        <v>43535</v>
      </c>
      <c r="P94" s="1">
        <v>51000</v>
      </c>
      <c r="Q94" s="1">
        <v>43535</v>
      </c>
      <c r="R94" s="6">
        <v>1299</v>
      </c>
      <c r="S94" s="1" t="s">
        <v>189</v>
      </c>
      <c r="T94" s="6" t="s">
        <v>98</v>
      </c>
      <c r="U94" s="1" t="s">
        <v>38</v>
      </c>
      <c r="V94" s="1">
        <v>0</v>
      </c>
      <c r="W94" s="1" t="s">
        <v>311</v>
      </c>
      <c r="X94" s="1" t="s">
        <v>31</v>
      </c>
      <c r="Y94" s="1" t="s">
        <v>39</v>
      </c>
      <c r="Z94" s="1" t="s">
        <v>69</v>
      </c>
    </row>
    <row r="95" spans="1:26" hidden="1" x14ac:dyDescent="0.25">
      <c r="A95" s="5">
        <v>94</v>
      </c>
      <c r="B95" s="1" t="s">
        <v>464</v>
      </c>
      <c r="C95" s="1"/>
      <c r="D95" s="1"/>
      <c r="E95" s="7">
        <v>45831</v>
      </c>
      <c r="F95" s="1" t="s">
        <v>465</v>
      </c>
      <c r="G95" s="1" t="s">
        <v>466</v>
      </c>
      <c r="H95" s="1" t="s">
        <v>467</v>
      </c>
      <c r="I95" s="1" t="s">
        <v>468</v>
      </c>
      <c r="J95" s="1">
        <v>2015</v>
      </c>
      <c r="K95" s="1">
        <v>1500000</v>
      </c>
      <c r="L95" s="1">
        <v>10000</v>
      </c>
      <c r="M95" s="1">
        <v>2.5000000000000001E-2</v>
      </c>
      <c r="N95" s="1">
        <v>45831</v>
      </c>
      <c r="O95" s="1">
        <v>8190</v>
      </c>
      <c r="P95" s="1">
        <v>10000</v>
      </c>
      <c r="Q95" s="1">
        <v>8190</v>
      </c>
      <c r="R95" s="6">
        <v>1299</v>
      </c>
      <c r="S95" s="1" t="s">
        <v>189</v>
      </c>
      <c r="T95" s="6" t="s">
        <v>98</v>
      </c>
      <c r="U95" s="1" t="s">
        <v>38</v>
      </c>
      <c r="V95" s="1">
        <v>0</v>
      </c>
      <c r="W95" s="1" t="s">
        <v>311</v>
      </c>
      <c r="X95" s="1" t="s">
        <v>190</v>
      </c>
      <c r="Y95" s="1" t="s">
        <v>153</v>
      </c>
      <c r="Z95" s="1" t="s">
        <v>154</v>
      </c>
    </row>
    <row r="96" spans="1:26" hidden="1" x14ac:dyDescent="0.25">
      <c r="A96" s="5">
        <v>95</v>
      </c>
      <c r="B96" s="1" t="s">
        <v>469</v>
      </c>
      <c r="C96" s="1"/>
      <c r="D96" s="1"/>
      <c r="E96" s="7">
        <v>45813</v>
      </c>
      <c r="F96" s="1" t="s">
        <v>470</v>
      </c>
      <c r="G96" s="1" t="s">
        <v>471</v>
      </c>
      <c r="H96" s="1" t="s">
        <v>472</v>
      </c>
      <c r="I96" s="1" t="s">
        <v>473</v>
      </c>
      <c r="J96" s="1">
        <v>2019</v>
      </c>
      <c r="K96" s="1">
        <v>2300000</v>
      </c>
      <c r="L96" s="1">
        <v>40250</v>
      </c>
      <c r="M96" s="1">
        <v>1.7500000000000002E-2</v>
      </c>
      <c r="N96" s="1">
        <v>45807</v>
      </c>
      <c r="O96" s="1">
        <v>34267</v>
      </c>
      <c r="P96" s="1">
        <v>40250</v>
      </c>
      <c r="Q96" s="1">
        <v>68534</v>
      </c>
      <c r="R96" s="6">
        <v>1270</v>
      </c>
      <c r="S96" s="1">
        <v>0</v>
      </c>
      <c r="T96" s="6" t="s">
        <v>98</v>
      </c>
      <c r="U96" s="1" t="s">
        <v>29</v>
      </c>
      <c r="V96" s="1">
        <v>0</v>
      </c>
      <c r="W96" s="1" t="s">
        <v>474</v>
      </c>
      <c r="X96" s="1" t="s">
        <v>31</v>
      </c>
      <c r="Y96" s="1" t="s">
        <v>312</v>
      </c>
      <c r="Z96" s="1" t="s">
        <v>312</v>
      </c>
    </row>
    <row r="97" spans="1:26" hidden="1" x14ac:dyDescent="0.25">
      <c r="A97" s="5">
        <v>96</v>
      </c>
      <c r="B97" s="1" t="s">
        <v>475</v>
      </c>
      <c r="C97" s="1"/>
      <c r="D97" s="1"/>
      <c r="E97" s="7">
        <v>45826</v>
      </c>
      <c r="F97" s="1" t="s">
        <v>476</v>
      </c>
      <c r="G97" s="1" t="s">
        <v>477</v>
      </c>
      <c r="H97" s="1" t="s">
        <v>478</v>
      </c>
      <c r="I97" s="1" t="s">
        <v>479</v>
      </c>
      <c r="J97" s="1">
        <v>2018</v>
      </c>
      <c r="K97" s="1">
        <v>2000000</v>
      </c>
      <c r="L97" s="1">
        <v>35000</v>
      </c>
      <c r="M97" s="1">
        <v>1.7500000000000002E-2</v>
      </c>
      <c r="N97" s="1">
        <v>45825</v>
      </c>
      <c r="O97" s="1">
        <v>29742</v>
      </c>
      <c r="P97" s="1">
        <v>35000</v>
      </c>
      <c r="Q97" s="1">
        <v>59484</v>
      </c>
      <c r="R97" s="6">
        <v>1270</v>
      </c>
      <c r="S97" s="1">
        <v>0</v>
      </c>
      <c r="T97" s="6" t="s">
        <v>98</v>
      </c>
      <c r="U97" s="1" t="s">
        <v>29</v>
      </c>
      <c r="V97" s="1">
        <v>0</v>
      </c>
      <c r="W97" s="1" t="s">
        <v>474</v>
      </c>
      <c r="X97" s="1" t="s">
        <v>31</v>
      </c>
      <c r="Y97" s="1" t="s">
        <v>312</v>
      </c>
      <c r="Z97" s="1" t="s">
        <v>312</v>
      </c>
    </row>
    <row r="98" spans="1:26" x14ac:dyDescent="0.25">
      <c r="A98" s="5">
        <v>97</v>
      </c>
      <c r="B98" s="1" t="s">
        <v>480</v>
      </c>
      <c r="C98" s="1" t="str">
        <f>VLOOKUP('IT Working sheet '!B98,'09000210'!B:C,2,0)</f>
        <v>040000200421</v>
      </c>
      <c r="D98" s="1" t="str">
        <f t="shared" ref="D98:D110" si="3">"Update ins_assorted_clients set commission_amount = '"&amp;R98&amp;"' where assorted_code = '"&amp;C98&amp;"' and agency_code = '09000870';"</f>
        <v>Update ins_assorted_clients set commission_amount = '1270' where assorted_code = '040000200421' and agency_code = '09000870';</v>
      </c>
      <c r="E98" s="7">
        <v>45846</v>
      </c>
      <c r="F98" s="1" t="s">
        <v>481</v>
      </c>
      <c r="G98" s="1" t="s">
        <v>482</v>
      </c>
      <c r="H98" s="1" t="s">
        <v>483</v>
      </c>
      <c r="I98" s="1" t="s">
        <v>484</v>
      </c>
      <c r="J98" s="1">
        <v>2024</v>
      </c>
      <c r="K98" s="1">
        <v>2331000</v>
      </c>
      <c r="L98" s="1">
        <v>40793</v>
      </c>
      <c r="M98" s="1">
        <v>1.7500000000000002E-2</v>
      </c>
      <c r="N98" s="1">
        <v>45846</v>
      </c>
      <c r="O98" s="1">
        <v>34736</v>
      </c>
      <c r="P98" s="1">
        <v>40793</v>
      </c>
      <c r="Q98" s="1">
        <v>34736</v>
      </c>
      <c r="R98" s="6">
        <v>1270</v>
      </c>
      <c r="S98" s="1">
        <v>0</v>
      </c>
      <c r="T98" s="6" t="s">
        <v>98</v>
      </c>
      <c r="U98" s="1" t="s">
        <v>38</v>
      </c>
      <c r="V98" s="1">
        <v>0</v>
      </c>
      <c r="W98" s="1" t="s">
        <v>474</v>
      </c>
      <c r="X98" s="1" t="s">
        <v>31</v>
      </c>
      <c r="Y98" s="1" t="s">
        <v>39</v>
      </c>
      <c r="Z98" s="1" t="s">
        <v>40</v>
      </c>
    </row>
    <row r="99" spans="1:26" x14ac:dyDescent="0.25">
      <c r="A99" s="5">
        <v>98</v>
      </c>
      <c r="B99" s="1" t="s">
        <v>485</v>
      </c>
      <c r="C99" s="1" t="str">
        <f>VLOOKUP('IT Working sheet '!B99,'09000210'!B:C,2,0)</f>
        <v>040000200538</v>
      </c>
      <c r="D99" s="1" t="str">
        <f t="shared" si="3"/>
        <v>Update ins_assorted_clients set commission_amount = '1269' where assorted_code = '040000200538' and agency_code = '09000870';</v>
      </c>
      <c r="E99" s="7">
        <v>45849</v>
      </c>
      <c r="F99" s="1" t="s">
        <v>486</v>
      </c>
      <c r="G99" s="1" t="s">
        <v>487</v>
      </c>
      <c r="H99" s="1" t="s">
        <v>488</v>
      </c>
      <c r="I99" s="1" t="s">
        <v>238</v>
      </c>
      <c r="J99" s="1">
        <v>2022</v>
      </c>
      <c r="K99" s="1">
        <v>2800000</v>
      </c>
      <c r="L99" s="1">
        <v>42000</v>
      </c>
      <c r="M99" s="1">
        <v>1.4999999999999999E-2</v>
      </c>
      <c r="N99" s="1">
        <v>45849</v>
      </c>
      <c r="O99" s="1">
        <v>35776</v>
      </c>
      <c r="P99" s="1">
        <v>42000</v>
      </c>
      <c r="Q99" s="1">
        <v>35776</v>
      </c>
      <c r="R99" s="6">
        <v>1269</v>
      </c>
      <c r="S99" s="1">
        <v>0</v>
      </c>
      <c r="T99" s="6" t="s">
        <v>98</v>
      </c>
      <c r="U99" s="1" t="s">
        <v>38</v>
      </c>
      <c r="V99" s="1">
        <v>0</v>
      </c>
      <c r="W99" s="1" t="s">
        <v>474</v>
      </c>
      <c r="X99" s="1" t="s">
        <v>31</v>
      </c>
      <c r="Y99" s="1" t="s">
        <v>39</v>
      </c>
      <c r="Z99" s="1" t="s">
        <v>40</v>
      </c>
    </row>
    <row r="100" spans="1:26" x14ac:dyDescent="0.25">
      <c r="A100" s="5">
        <v>99</v>
      </c>
      <c r="B100" s="1" t="s">
        <v>489</v>
      </c>
      <c r="C100" s="1" t="str">
        <f>VLOOKUP('IT Working sheet '!B100,'09000210'!B:C,2,0)</f>
        <v>040000200601</v>
      </c>
      <c r="D100" s="1" t="str">
        <f t="shared" si="3"/>
        <v>Update ins_assorted_clients set commission_amount = '1269' where assorted_code = '040000200601' and agency_code = '09000870';</v>
      </c>
      <c r="E100" s="7">
        <v>45853</v>
      </c>
      <c r="F100" s="1" t="s">
        <v>238</v>
      </c>
      <c r="G100" s="1">
        <v>3452229464</v>
      </c>
      <c r="H100" s="1" t="s">
        <v>490</v>
      </c>
      <c r="I100" s="1" t="s">
        <v>238</v>
      </c>
      <c r="J100" s="1">
        <v>2022</v>
      </c>
      <c r="K100" s="1">
        <v>2800000</v>
      </c>
      <c r="L100" s="1">
        <v>42000</v>
      </c>
      <c r="M100" s="1">
        <v>1.4999999999999999E-2</v>
      </c>
      <c r="N100" s="1">
        <v>45853</v>
      </c>
      <c r="O100" s="1">
        <v>35776</v>
      </c>
      <c r="P100" s="1">
        <v>42000</v>
      </c>
      <c r="Q100" s="1">
        <v>35776</v>
      </c>
      <c r="R100" s="6">
        <v>1269</v>
      </c>
      <c r="S100" s="1">
        <v>0</v>
      </c>
      <c r="T100" s="6" t="s">
        <v>98</v>
      </c>
      <c r="U100" s="1" t="s">
        <v>38</v>
      </c>
      <c r="V100" s="1">
        <v>0</v>
      </c>
      <c r="W100" s="1" t="s">
        <v>474</v>
      </c>
      <c r="X100" s="1" t="s">
        <v>31</v>
      </c>
      <c r="Y100" s="1" t="s">
        <v>39</v>
      </c>
      <c r="Z100" s="1" t="s">
        <v>40</v>
      </c>
    </row>
    <row r="101" spans="1:26" x14ac:dyDescent="0.25">
      <c r="A101" s="5">
        <v>100</v>
      </c>
      <c r="B101" s="1" t="s">
        <v>491</v>
      </c>
      <c r="C101" s="1" t="str">
        <f>VLOOKUP('IT Working sheet '!B101,'09000210'!B:C,2,0)</f>
        <v>040000200134</v>
      </c>
      <c r="D101" s="1" t="str">
        <f t="shared" si="3"/>
        <v>Update ins_assorted_clients set commission_amount = '1269' where assorted_code = '040000200134' and agency_code = '09000870';</v>
      </c>
      <c r="E101" s="7">
        <v>45841</v>
      </c>
      <c r="F101" s="1" t="s">
        <v>492</v>
      </c>
      <c r="G101" s="1" t="s">
        <v>493</v>
      </c>
      <c r="H101" s="1" t="s">
        <v>494</v>
      </c>
      <c r="I101" s="1" t="s">
        <v>280</v>
      </c>
      <c r="J101" s="1">
        <v>2022</v>
      </c>
      <c r="K101" s="1">
        <v>2500000</v>
      </c>
      <c r="L101" s="1">
        <v>47500</v>
      </c>
      <c r="M101" s="1">
        <v>1.9E-2</v>
      </c>
      <c r="N101" s="1">
        <v>45841</v>
      </c>
      <c r="O101" s="1">
        <v>40517</v>
      </c>
      <c r="P101" s="1">
        <v>47500</v>
      </c>
      <c r="Q101" s="1">
        <v>40517</v>
      </c>
      <c r="R101" s="6">
        <v>1269</v>
      </c>
      <c r="S101" s="1">
        <v>0</v>
      </c>
      <c r="T101" s="6" t="s">
        <v>98</v>
      </c>
      <c r="U101" s="1" t="s">
        <v>38</v>
      </c>
      <c r="V101" s="1">
        <v>0</v>
      </c>
      <c r="W101" s="1" t="s">
        <v>474</v>
      </c>
      <c r="X101" s="1" t="s">
        <v>31</v>
      </c>
      <c r="Y101" s="1" t="s">
        <v>39</v>
      </c>
      <c r="Z101" s="1" t="s">
        <v>40</v>
      </c>
    </row>
    <row r="102" spans="1:26" x14ac:dyDescent="0.25">
      <c r="A102" s="5">
        <v>101</v>
      </c>
      <c r="B102" s="1" t="s">
        <v>495</v>
      </c>
      <c r="C102" s="1" t="str">
        <f>VLOOKUP('IT Working sheet '!B102,'09000210'!B:C,2,0)</f>
        <v>040000200037</v>
      </c>
      <c r="D102" s="1" t="str">
        <f t="shared" si="3"/>
        <v>Update ins_assorted_clients set commission_amount = '1269' where assorted_code = '040000200037' and agency_code = '09000870';</v>
      </c>
      <c r="E102" s="7">
        <v>45839</v>
      </c>
      <c r="F102" s="1" t="s">
        <v>496</v>
      </c>
      <c r="G102" s="1" t="s">
        <v>497</v>
      </c>
      <c r="H102" s="1" t="s">
        <v>498</v>
      </c>
      <c r="I102" s="1" t="s">
        <v>499</v>
      </c>
      <c r="J102" s="1">
        <v>2021</v>
      </c>
      <c r="K102" s="1">
        <v>3000000</v>
      </c>
      <c r="L102" s="1">
        <v>59700</v>
      </c>
      <c r="M102" s="1">
        <v>1.9900000000000001E-2</v>
      </c>
      <c r="N102" s="1">
        <v>45839</v>
      </c>
      <c r="O102" s="1">
        <v>51009</v>
      </c>
      <c r="P102" s="1">
        <v>59700</v>
      </c>
      <c r="Q102" s="1">
        <v>51009</v>
      </c>
      <c r="R102" s="6">
        <v>1269</v>
      </c>
      <c r="S102" s="1">
        <v>0</v>
      </c>
      <c r="T102" s="6" t="s">
        <v>98</v>
      </c>
      <c r="U102" s="1" t="s">
        <v>38</v>
      </c>
      <c r="V102" s="1">
        <v>0</v>
      </c>
      <c r="W102" s="1" t="s">
        <v>474</v>
      </c>
      <c r="X102" s="1" t="s">
        <v>31</v>
      </c>
      <c r="Y102" s="1" t="s">
        <v>39</v>
      </c>
      <c r="Z102" s="1" t="s">
        <v>40</v>
      </c>
    </row>
    <row r="103" spans="1:26" x14ac:dyDescent="0.25">
      <c r="A103" s="5">
        <v>102</v>
      </c>
      <c r="B103" s="1" t="s">
        <v>500</v>
      </c>
      <c r="C103" s="1" t="str">
        <f>VLOOKUP('IT Working sheet '!B103,'09000210'!B:C,2,0)</f>
        <v>040000200283</v>
      </c>
      <c r="D103" s="1" t="str">
        <f t="shared" si="3"/>
        <v>Update ins_assorted_clients set commission_amount = '1270' where assorted_code = '040000200283' and agency_code = '09000870';</v>
      </c>
      <c r="E103" s="7">
        <v>45845</v>
      </c>
      <c r="F103" s="1" t="s">
        <v>501</v>
      </c>
      <c r="G103" s="1" t="s">
        <v>502</v>
      </c>
      <c r="H103" s="1" t="s">
        <v>503</v>
      </c>
      <c r="I103" s="1" t="s">
        <v>504</v>
      </c>
      <c r="J103" s="1">
        <v>2024</v>
      </c>
      <c r="K103" s="1">
        <v>4719000</v>
      </c>
      <c r="L103" s="1">
        <v>70785</v>
      </c>
      <c r="M103" s="1">
        <v>1.4999999999999999E-2</v>
      </c>
      <c r="N103" s="1">
        <v>45845</v>
      </c>
      <c r="O103" s="1">
        <v>60483</v>
      </c>
      <c r="P103" s="1">
        <v>70785</v>
      </c>
      <c r="Q103" s="1">
        <v>60483</v>
      </c>
      <c r="R103" s="6">
        <v>1270</v>
      </c>
      <c r="S103" s="1">
        <v>0</v>
      </c>
      <c r="T103" s="6" t="s">
        <v>98</v>
      </c>
      <c r="U103" s="1" t="s">
        <v>38</v>
      </c>
      <c r="V103" s="1">
        <v>0</v>
      </c>
      <c r="W103" s="1" t="s">
        <v>474</v>
      </c>
      <c r="X103" s="1" t="s">
        <v>31</v>
      </c>
      <c r="Y103" s="1" t="s">
        <v>39</v>
      </c>
      <c r="Z103" s="1" t="s">
        <v>40</v>
      </c>
    </row>
    <row r="104" spans="1:26" x14ac:dyDescent="0.25">
      <c r="A104" s="5">
        <v>103</v>
      </c>
      <c r="B104" s="1" t="s">
        <v>505</v>
      </c>
      <c r="C104" s="1" t="str">
        <f>VLOOKUP('IT Working sheet '!B104,'09000210'!B:C,2,0)</f>
        <v>040000200586</v>
      </c>
      <c r="D104" s="1" t="str">
        <f t="shared" si="3"/>
        <v>Update ins_assorted_clients set commission_amount = '1270' where assorted_code = '040000200586' and agency_code = '09000870';</v>
      </c>
      <c r="E104" s="7">
        <v>45853</v>
      </c>
      <c r="F104" s="1" t="s">
        <v>506</v>
      </c>
      <c r="G104" s="1" t="s">
        <v>507</v>
      </c>
      <c r="H104" s="1" t="s">
        <v>508</v>
      </c>
      <c r="I104" s="1" t="s">
        <v>509</v>
      </c>
      <c r="J104" s="1">
        <v>2021</v>
      </c>
      <c r="K104" s="1">
        <v>4500000</v>
      </c>
      <c r="L104" s="1">
        <v>83250</v>
      </c>
      <c r="M104" s="1">
        <v>1.8499999999999999E-2</v>
      </c>
      <c r="N104" s="1">
        <v>45853</v>
      </c>
      <c r="O104" s="1">
        <v>71337</v>
      </c>
      <c r="P104" s="1">
        <v>83250</v>
      </c>
      <c r="Q104" s="1">
        <v>71337</v>
      </c>
      <c r="R104" s="6">
        <v>1270</v>
      </c>
      <c r="S104" s="1">
        <v>0</v>
      </c>
      <c r="T104" s="6" t="s">
        <v>98</v>
      </c>
      <c r="U104" s="1" t="s">
        <v>38</v>
      </c>
      <c r="V104" s="1">
        <v>0</v>
      </c>
      <c r="W104" s="1" t="s">
        <v>474</v>
      </c>
      <c r="X104" s="1" t="s">
        <v>31</v>
      </c>
      <c r="Y104" s="1" t="s">
        <v>39</v>
      </c>
      <c r="Z104" s="1" t="s">
        <v>40</v>
      </c>
    </row>
    <row r="105" spans="1:26" x14ac:dyDescent="0.25">
      <c r="A105" s="5">
        <v>104</v>
      </c>
      <c r="B105" s="1" t="s">
        <v>510</v>
      </c>
      <c r="C105" s="1" t="str">
        <f>VLOOKUP('IT Working sheet '!B105,'09000210'!B:C,2,0)</f>
        <v>040000200488</v>
      </c>
      <c r="D105" s="1" t="str">
        <f t="shared" si="3"/>
        <v>Update ins_assorted_clients set commission_amount = '1270' where assorted_code = '040000200488' and agency_code = '09000870';</v>
      </c>
      <c r="E105" s="7">
        <v>45848</v>
      </c>
      <c r="F105" s="1" t="s">
        <v>511</v>
      </c>
      <c r="G105" s="1" t="s">
        <v>512</v>
      </c>
      <c r="H105" s="1" t="s">
        <v>513</v>
      </c>
      <c r="I105" s="1" t="s">
        <v>216</v>
      </c>
      <c r="J105" s="1">
        <v>2022</v>
      </c>
      <c r="K105" s="1">
        <v>2700000</v>
      </c>
      <c r="L105" s="1">
        <v>91800</v>
      </c>
      <c r="M105" s="1">
        <v>1.7000000000000001E-2</v>
      </c>
      <c r="N105" s="1">
        <v>45848</v>
      </c>
      <c r="O105" s="1">
        <v>78707</v>
      </c>
      <c r="P105" s="1">
        <v>91800</v>
      </c>
      <c r="Q105" s="1">
        <v>78707</v>
      </c>
      <c r="R105" s="6">
        <v>1270</v>
      </c>
      <c r="S105" s="1">
        <v>0</v>
      </c>
      <c r="T105" s="6" t="s">
        <v>98</v>
      </c>
      <c r="U105" s="1" t="s">
        <v>38</v>
      </c>
      <c r="V105" s="1">
        <v>0</v>
      </c>
      <c r="W105" s="1" t="s">
        <v>474</v>
      </c>
      <c r="X105" s="1" t="s">
        <v>31</v>
      </c>
      <c r="Y105" s="1" t="s">
        <v>39</v>
      </c>
      <c r="Z105" s="1" t="s">
        <v>40</v>
      </c>
    </row>
    <row r="106" spans="1:26" x14ac:dyDescent="0.25">
      <c r="A106" s="5">
        <v>105</v>
      </c>
      <c r="B106" s="1" t="s">
        <v>510</v>
      </c>
      <c r="C106" s="1" t="str">
        <f>VLOOKUP('IT Working sheet '!B106,'09000210'!B:C,2,0)</f>
        <v>040000200488</v>
      </c>
      <c r="D106" s="1" t="str">
        <f t="shared" si="3"/>
        <v>Update ins_assorted_clients set commission_amount = '1270' where assorted_code = '040000200488' and agency_code = '09000870';</v>
      </c>
      <c r="E106" s="7">
        <v>45848</v>
      </c>
      <c r="F106" s="1" t="s">
        <v>511</v>
      </c>
      <c r="G106" s="1" t="s">
        <v>512</v>
      </c>
      <c r="H106" s="1" t="s">
        <v>514</v>
      </c>
      <c r="I106" s="1" t="s">
        <v>216</v>
      </c>
      <c r="J106" s="1">
        <v>2022</v>
      </c>
      <c r="K106" s="1">
        <v>2700000</v>
      </c>
      <c r="L106" s="1">
        <v>91800</v>
      </c>
      <c r="M106" s="1">
        <v>1.7000000000000001E-2</v>
      </c>
      <c r="N106" s="1">
        <v>45848</v>
      </c>
      <c r="O106" s="1">
        <v>78707</v>
      </c>
      <c r="P106" s="1">
        <v>91800</v>
      </c>
      <c r="Q106" s="1">
        <v>78707</v>
      </c>
      <c r="R106" s="6">
        <v>1270</v>
      </c>
      <c r="S106" s="1">
        <v>0</v>
      </c>
      <c r="T106" s="6" t="s">
        <v>98</v>
      </c>
      <c r="U106" s="1" t="s">
        <v>38</v>
      </c>
      <c r="V106" s="1">
        <v>0</v>
      </c>
      <c r="W106" s="1" t="s">
        <v>474</v>
      </c>
      <c r="X106" s="1" t="s">
        <v>31</v>
      </c>
      <c r="Y106" s="1" t="s">
        <v>39</v>
      </c>
      <c r="Z106" s="1" t="s">
        <v>40</v>
      </c>
    </row>
    <row r="107" spans="1:26" x14ac:dyDescent="0.25">
      <c r="A107" s="5">
        <v>106</v>
      </c>
      <c r="B107" s="1" t="s">
        <v>515</v>
      </c>
      <c r="C107" s="1" t="str">
        <f>VLOOKUP('IT Working sheet '!B107,'09000210'!B:C,2,0)</f>
        <v>040000200326</v>
      </c>
      <c r="D107" s="1" t="str">
        <f t="shared" si="3"/>
        <v>Update ins_assorted_clients set commission_amount = '1270' where assorted_code = '040000200326' and agency_code = '09000870';</v>
      </c>
      <c r="E107" s="7">
        <v>45845</v>
      </c>
      <c r="F107" s="1" t="s">
        <v>516</v>
      </c>
      <c r="G107" s="1" t="s">
        <v>517</v>
      </c>
      <c r="H107" s="1" t="s">
        <v>518</v>
      </c>
      <c r="I107" s="1" t="s">
        <v>519</v>
      </c>
      <c r="J107" s="1">
        <v>2024</v>
      </c>
      <c r="K107" s="1">
        <v>6700000</v>
      </c>
      <c r="L107" s="1">
        <v>100500</v>
      </c>
      <c r="M107" s="1">
        <v>1.4999999999999999E-2</v>
      </c>
      <c r="N107" s="1">
        <v>45845</v>
      </c>
      <c r="O107" s="1">
        <v>85880</v>
      </c>
      <c r="P107" s="1">
        <v>100500</v>
      </c>
      <c r="Q107" s="1">
        <v>85880</v>
      </c>
      <c r="R107" s="6">
        <v>1270</v>
      </c>
      <c r="S107" s="1">
        <v>0</v>
      </c>
      <c r="T107" s="6" t="s">
        <v>98</v>
      </c>
      <c r="U107" s="1" t="s">
        <v>38</v>
      </c>
      <c r="V107" s="1">
        <v>0</v>
      </c>
      <c r="W107" s="1" t="s">
        <v>474</v>
      </c>
      <c r="X107" s="1" t="s">
        <v>31</v>
      </c>
      <c r="Y107" s="1" t="s">
        <v>39</v>
      </c>
      <c r="Z107" s="1" t="s">
        <v>40</v>
      </c>
    </row>
    <row r="108" spans="1:26" x14ac:dyDescent="0.25">
      <c r="A108" s="5">
        <v>107</v>
      </c>
      <c r="B108" s="1" t="s">
        <v>520</v>
      </c>
      <c r="C108" s="1" t="str">
        <f>VLOOKUP('IT Working sheet '!B108,'09000210'!B:C,2,0)</f>
        <v>040000200477</v>
      </c>
      <c r="D108" s="1" t="str">
        <f t="shared" si="3"/>
        <v>Update ins_assorted_clients set commission_amount = '1270' where assorted_code = '040000200477' and agency_code = '09000870';</v>
      </c>
      <c r="E108" s="7">
        <v>45848</v>
      </c>
      <c r="F108" s="1" t="s">
        <v>521</v>
      </c>
      <c r="G108" s="1">
        <v>3458426266</v>
      </c>
      <c r="H108" s="1" t="s">
        <v>522</v>
      </c>
      <c r="I108" s="1" t="s">
        <v>523</v>
      </c>
      <c r="J108" s="1">
        <v>2022</v>
      </c>
      <c r="K108" s="1">
        <v>8000000</v>
      </c>
      <c r="L108" s="1">
        <v>120000</v>
      </c>
      <c r="M108" s="1">
        <v>1.4999999999999999E-2</v>
      </c>
      <c r="N108" s="1">
        <v>45848</v>
      </c>
      <c r="O108" s="1">
        <v>102547</v>
      </c>
      <c r="P108" s="1">
        <v>120000</v>
      </c>
      <c r="Q108" s="1">
        <v>102547</v>
      </c>
      <c r="R108" s="6">
        <v>1270</v>
      </c>
      <c r="S108" s="1">
        <v>0</v>
      </c>
      <c r="T108" s="6" t="s">
        <v>98</v>
      </c>
      <c r="U108" s="1" t="s">
        <v>38</v>
      </c>
      <c r="V108" s="1">
        <v>0</v>
      </c>
      <c r="W108" s="1" t="s">
        <v>474</v>
      </c>
      <c r="X108" s="1" t="s">
        <v>31</v>
      </c>
      <c r="Y108" s="1" t="s">
        <v>39</v>
      </c>
      <c r="Z108" s="1" t="s">
        <v>40</v>
      </c>
    </row>
    <row r="109" spans="1:26" x14ac:dyDescent="0.25">
      <c r="A109" s="5">
        <v>108</v>
      </c>
      <c r="B109" s="1" t="s">
        <v>524</v>
      </c>
      <c r="C109" s="1" t="str">
        <f>VLOOKUP('IT Working sheet '!B109,'09000210'!B:C,2,0)</f>
        <v>040000200494</v>
      </c>
      <c r="D109" s="1" t="str">
        <f t="shared" si="3"/>
        <v>Update ins_assorted_clients set commission_amount = '1270' where assorted_code = '040000200494' and agency_code = '09000870';</v>
      </c>
      <c r="E109" s="7">
        <v>45848</v>
      </c>
      <c r="F109" s="1" t="s">
        <v>525</v>
      </c>
      <c r="G109" s="1" t="s">
        <v>526</v>
      </c>
      <c r="H109" s="1" t="s">
        <v>527</v>
      </c>
      <c r="I109" s="1" t="s">
        <v>528</v>
      </c>
      <c r="J109" s="1">
        <v>2022</v>
      </c>
      <c r="K109" s="1">
        <v>8000000</v>
      </c>
      <c r="L109" s="1">
        <v>120000</v>
      </c>
      <c r="M109" s="1">
        <v>1.4999999999999999E-2</v>
      </c>
      <c r="N109" s="1">
        <v>45848</v>
      </c>
      <c r="O109" s="1">
        <v>102547</v>
      </c>
      <c r="P109" s="1">
        <v>120000</v>
      </c>
      <c r="Q109" s="1">
        <v>102547</v>
      </c>
      <c r="R109" s="6">
        <v>1270</v>
      </c>
      <c r="S109" s="1">
        <v>0</v>
      </c>
      <c r="T109" s="6" t="s">
        <v>98</v>
      </c>
      <c r="U109" s="1" t="s">
        <v>38</v>
      </c>
      <c r="V109" s="1">
        <v>0</v>
      </c>
      <c r="W109" s="1" t="s">
        <v>474</v>
      </c>
      <c r="X109" s="1" t="s">
        <v>31</v>
      </c>
      <c r="Y109" s="1" t="s">
        <v>39</v>
      </c>
      <c r="Z109" s="1" t="s">
        <v>40</v>
      </c>
    </row>
    <row r="110" spans="1:26" x14ac:dyDescent="0.25">
      <c r="A110" s="5">
        <v>109</v>
      </c>
      <c r="B110" s="1" t="s">
        <v>529</v>
      </c>
      <c r="C110" s="1" t="str">
        <f>VLOOKUP('IT Working sheet '!B110,'09000210'!B:C,2,0)</f>
        <v>040000200227</v>
      </c>
      <c r="D110" s="1" t="str">
        <f t="shared" si="3"/>
        <v>Update ins_assorted_clients set commission_amount = '1270' where assorted_code = '040000200227' and agency_code = '09000870';</v>
      </c>
      <c r="E110" s="7">
        <v>45843</v>
      </c>
      <c r="F110" s="1" t="s">
        <v>530</v>
      </c>
      <c r="G110" s="1" t="s">
        <v>531</v>
      </c>
      <c r="H110" s="1" t="s">
        <v>532</v>
      </c>
      <c r="I110" s="1" t="s">
        <v>533</v>
      </c>
      <c r="J110" s="1">
        <v>2024</v>
      </c>
      <c r="K110" s="1">
        <v>8200000</v>
      </c>
      <c r="L110" s="1">
        <v>123000</v>
      </c>
      <c r="M110" s="1">
        <v>1.4999999999999999E-2</v>
      </c>
      <c r="N110" s="1">
        <v>45843</v>
      </c>
      <c r="O110" s="1">
        <v>105603</v>
      </c>
      <c r="P110" s="1">
        <v>123000</v>
      </c>
      <c r="Q110" s="1">
        <v>105603</v>
      </c>
      <c r="R110" s="6">
        <v>1270</v>
      </c>
      <c r="S110" s="1">
        <v>0</v>
      </c>
      <c r="T110" s="6" t="s">
        <v>98</v>
      </c>
      <c r="U110" s="1" t="s">
        <v>38</v>
      </c>
      <c r="V110" s="1">
        <v>0</v>
      </c>
      <c r="W110" s="1" t="s">
        <v>474</v>
      </c>
      <c r="X110" s="1" t="s">
        <v>31</v>
      </c>
      <c r="Y110" s="1" t="s">
        <v>39</v>
      </c>
      <c r="Z110" s="1" t="s">
        <v>40</v>
      </c>
    </row>
    <row r="111" spans="1:26" hidden="1" x14ac:dyDescent="0.25">
      <c r="A111" s="5">
        <v>110</v>
      </c>
      <c r="B111" s="1" t="s">
        <v>534</v>
      </c>
      <c r="C111" s="1"/>
      <c r="D111" s="1"/>
      <c r="E111" s="7">
        <v>45813</v>
      </c>
      <c r="F111" s="1" t="s">
        <v>535</v>
      </c>
      <c r="G111" s="1" t="s">
        <v>536</v>
      </c>
      <c r="H111" s="1" t="s">
        <v>537</v>
      </c>
      <c r="I111" s="1" t="s">
        <v>108</v>
      </c>
      <c r="J111" s="1">
        <v>2020</v>
      </c>
      <c r="K111" s="1">
        <v>2500000</v>
      </c>
      <c r="L111" s="1">
        <v>41250</v>
      </c>
      <c r="M111" s="1">
        <v>1.6500000000000001E-2</v>
      </c>
      <c r="N111" s="1">
        <v>45813</v>
      </c>
      <c r="O111" s="1">
        <v>35130</v>
      </c>
      <c r="P111" s="1">
        <v>41250</v>
      </c>
      <c r="Q111" s="1">
        <v>35130</v>
      </c>
      <c r="R111" s="6">
        <v>1270</v>
      </c>
      <c r="S111" s="1">
        <v>0</v>
      </c>
      <c r="T111" s="6" t="s">
        <v>98</v>
      </c>
      <c r="U111" s="1" t="s">
        <v>38</v>
      </c>
      <c r="V111" s="1">
        <v>0</v>
      </c>
      <c r="W111" s="1" t="s">
        <v>474</v>
      </c>
      <c r="X111" s="1" t="s">
        <v>31</v>
      </c>
      <c r="Y111" s="1" t="s">
        <v>39</v>
      </c>
      <c r="Z111" s="1" t="s">
        <v>69</v>
      </c>
    </row>
    <row r="112" spans="1:26" hidden="1" x14ac:dyDescent="0.25">
      <c r="A112" s="5">
        <v>111</v>
      </c>
      <c r="B112" s="1" t="s">
        <v>538</v>
      </c>
      <c r="C112" s="1"/>
      <c r="D112" s="1"/>
      <c r="E112" s="7">
        <v>45831</v>
      </c>
      <c r="F112" s="1" t="s">
        <v>539</v>
      </c>
      <c r="G112" s="1" t="s">
        <v>540</v>
      </c>
      <c r="H112" s="1" t="s">
        <v>541</v>
      </c>
      <c r="I112" s="1" t="s">
        <v>296</v>
      </c>
      <c r="J112" s="1">
        <v>2023</v>
      </c>
      <c r="K112" s="1">
        <v>2945000</v>
      </c>
      <c r="L112" s="1">
        <v>51538</v>
      </c>
      <c r="M112" s="1">
        <v>1.7500000000000002E-2</v>
      </c>
      <c r="N112" s="1">
        <v>45831</v>
      </c>
      <c r="O112" s="1">
        <v>44033</v>
      </c>
      <c r="P112" s="1">
        <v>51538</v>
      </c>
      <c r="Q112" s="1">
        <v>44033</v>
      </c>
      <c r="R112" s="6">
        <v>1270</v>
      </c>
      <c r="S112" s="1">
        <v>0</v>
      </c>
      <c r="T112" s="6" t="s">
        <v>98</v>
      </c>
      <c r="U112" s="1" t="s">
        <v>38</v>
      </c>
      <c r="V112" s="1">
        <v>0</v>
      </c>
      <c r="W112" s="1" t="s">
        <v>474</v>
      </c>
      <c r="X112" s="1" t="s">
        <v>31</v>
      </c>
      <c r="Y112" s="1" t="s">
        <v>39</v>
      </c>
      <c r="Z112" s="1" t="s">
        <v>69</v>
      </c>
    </row>
    <row r="113" spans="1:26" hidden="1" x14ac:dyDescent="0.25">
      <c r="A113" s="5">
        <v>112</v>
      </c>
      <c r="B113" s="1" t="s">
        <v>542</v>
      </c>
      <c r="C113" s="1"/>
      <c r="D113" s="1"/>
      <c r="E113" s="7">
        <v>45811</v>
      </c>
      <c r="F113" s="1" t="s">
        <v>543</v>
      </c>
      <c r="G113" s="1" t="s">
        <v>544</v>
      </c>
      <c r="H113" s="1" t="s">
        <v>545</v>
      </c>
      <c r="I113" s="1" t="s">
        <v>546</v>
      </c>
      <c r="J113" s="1"/>
      <c r="K113" s="1">
        <v>4500000</v>
      </c>
      <c r="L113" s="1">
        <v>89550</v>
      </c>
      <c r="M113" s="1">
        <v>1.9900000000000001E-2</v>
      </c>
      <c r="N113" s="1">
        <v>45811</v>
      </c>
      <c r="O113" s="1">
        <v>76522</v>
      </c>
      <c r="P113" s="1">
        <v>89550</v>
      </c>
      <c r="Q113" s="1">
        <v>76522</v>
      </c>
      <c r="R113" s="6">
        <v>1270</v>
      </c>
      <c r="S113" s="1">
        <v>0</v>
      </c>
      <c r="T113" s="6" t="s">
        <v>98</v>
      </c>
      <c r="U113" s="1" t="s">
        <v>38</v>
      </c>
      <c r="V113" s="1">
        <v>0</v>
      </c>
      <c r="W113" s="1" t="s">
        <v>474</v>
      </c>
      <c r="X113" s="1" t="s">
        <v>31</v>
      </c>
      <c r="Y113" s="1" t="s">
        <v>39</v>
      </c>
      <c r="Z113" s="1" t="s">
        <v>69</v>
      </c>
    </row>
    <row r="114" spans="1:26" hidden="1" x14ac:dyDescent="0.25">
      <c r="A114" s="5">
        <v>113</v>
      </c>
      <c r="B114" s="1" t="s">
        <v>547</v>
      </c>
      <c r="C114" s="1"/>
      <c r="D114" s="1"/>
      <c r="E114" s="7">
        <v>45835</v>
      </c>
      <c r="F114" s="1" t="s">
        <v>548</v>
      </c>
      <c r="G114" s="1" t="s">
        <v>549</v>
      </c>
      <c r="H114" s="1" t="s">
        <v>550</v>
      </c>
      <c r="I114" s="1" t="s">
        <v>551</v>
      </c>
      <c r="J114" s="1"/>
      <c r="K114" s="1">
        <v>15000000</v>
      </c>
      <c r="L114" s="1">
        <v>195000</v>
      </c>
      <c r="M114" s="1">
        <v>1.2999999999999999E-2</v>
      </c>
      <c r="N114" s="1">
        <v>45835</v>
      </c>
      <c r="O114" s="1">
        <v>167672</v>
      </c>
      <c r="P114" s="1">
        <v>195000</v>
      </c>
      <c r="Q114" s="1">
        <v>167672</v>
      </c>
      <c r="R114" s="6">
        <v>1270</v>
      </c>
      <c r="S114" s="1">
        <v>0</v>
      </c>
      <c r="T114" s="6" t="s">
        <v>98</v>
      </c>
      <c r="U114" s="1" t="s">
        <v>38</v>
      </c>
      <c r="V114" s="1">
        <v>0</v>
      </c>
      <c r="W114" s="1" t="s">
        <v>474</v>
      </c>
      <c r="X114" s="1" t="s">
        <v>31</v>
      </c>
      <c r="Y114" s="1" t="s">
        <v>39</v>
      </c>
      <c r="Z114" s="1" t="s">
        <v>69</v>
      </c>
    </row>
    <row r="115" spans="1:26" hidden="1" x14ac:dyDescent="0.25">
      <c r="A115" s="5">
        <v>114</v>
      </c>
      <c r="B115" s="1" t="s">
        <v>552</v>
      </c>
      <c r="C115" s="1"/>
      <c r="D115" s="1"/>
      <c r="E115" s="7">
        <v>45821</v>
      </c>
      <c r="F115" s="1" t="s">
        <v>553</v>
      </c>
      <c r="G115" s="1" t="s">
        <v>554</v>
      </c>
      <c r="H115" s="1" t="s">
        <v>555</v>
      </c>
      <c r="I115" s="1" t="s">
        <v>556</v>
      </c>
      <c r="J115" s="1">
        <v>2021</v>
      </c>
      <c r="K115" s="1">
        <v>10000000</v>
      </c>
      <c r="L115" s="1">
        <v>175000</v>
      </c>
      <c r="M115" s="1">
        <v>1.7500000000000002E-2</v>
      </c>
      <c r="N115" s="1">
        <v>45821</v>
      </c>
      <c r="O115" s="1">
        <v>150431</v>
      </c>
      <c r="P115" s="1">
        <v>175000</v>
      </c>
      <c r="Q115" s="1">
        <v>150431</v>
      </c>
      <c r="R115" s="6">
        <v>1270</v>
      </c>
      <c r="S115" s="1">
        <v>0</v>
      </c>
      <c r="T115" s="6" t="s">
        <v>98</v>
      </c>
      <c r="U115" s="1" t="s">
        <v>38</v>
      </c>
      <c r="V115" s="1">
        <v>0</v>
      </c>
      <c r="W115" s="1" t="s">
        <v>474</v>
      </c>
      <c r="X115" s="1" t="s">
        <v>31</v>
      </c>
      <c r="Y115" s="1" t="s">
        <v>39</v>
      </c>
      <c r="Z115" s="1" t="s">
        <v>69</v>
      </c>
    </row>
    <row r="116" spans="1:26" hidden="1" x14ac:dyDescent="0.25">
      <c r="A116" s="5">
        <v>115</v>
      </c>
      <c r="B116" s="1" t="s">
        <v>557</v>
      </c>
      <c r="C116" s="1"/>
      <c r="D116" s="1"/>
      <c r="E116" s="7">
        <v>45819</v>
      </c>
      <c r="F116" s="1" t="s">
        <v>558</v>
      </c>
      <c r="G116" s="1" t="s">
        <v>559</v>
      </c>
      <c r="H116" s="1" t="s">
        <v>560</v>
      </c>
      <c r="I116" s="1" t="s">
        <v>561</v>
      </c>
      <c r="J116" s="1">
        <v>2018</v>
      </c>
      <c r="K116" s="1">
        <v>4000000</v>
      </c>
      <c r="L116" s="1">
        <v>60000</v>
      </c>
      <c r="M116" s="1">
        <v>1.4999999999999999E-2</v>
      </c>
      <c r="N116" s="1">
        <v>45819</v>
      </c>
      <c r="O116" s="1">
        <v>51293</v>
      </c>
      <c r="P116" s="1">
        <v>60000</v>
      </c>
      <c r="Q116" s="1">
        <v>51293</v>
      </c>
      <c r="R116" s="6">
        <v>1270</v>
      </c>
      <c r="S116" s="1">
        <v>0</v>
      </c>
      <c r="T116" s="6" t="s">
        <v>98</v>
      </c>
      <c r="U116" s="1" t="s">
        <v>38</v>
      </c>
      <c r="V116" s="1">
        <v>0</v>
      </c>
      <c r="W116" s="1" t="s">
        <v>474</v>
      </c>
      <c r="X116" s="1" t="s">
        <v>31</v>
      </c>
      <c r="Y116" s="1" t="s">
        <v>39</v>
      </c>
      <c r="Z116" s="1" t="s">
        <v>69</v>
      </c>
    </row>
    <row r="117" spans="1:26" hidden="1" x14ac:dyDescent="0.25">
      <c r="A117" s="5">
        <v>116</v>
      </c>
      <c r="B117" s="1" t="s">
        <v>562</v>
      </c>
      <c r="C117" s="1"/>
      <c r="D117" s="1"/>
      <c r="E117" s="7">
        <v>45831</v>
      </c>
      <c r="F117" s="1" t="s">
        <v>563</v>
      </c>
      <c r="G117" s="1" t="s">
        <v>564</v>
      </c>
      <c r="H117" s="1" t="s">
        <v>565</v>
      </c>
      <c r="I117" s="1" t="s">
        <v>407</v>
      </c>
      <c r="J117" s="1">
        <v>2019</v>
      </c>
      <c r="K117" s="1">
        <v>2600000</v>
      </c>
      <c r="L117" s="1">
        <v>52000</v>
      </c>
      <c r="M117" s="1">
        <v>0.02</v>
      </c>
      <c r="N117" s="1">
        <v>45826</v>
      </c>
      <c r="O117" s="1">
        <v>44397</v>
      </c>
      <c r="P117" s="1">
        <v>52000</v>
      </c>
      <c r="Q117" s="1">
        <v>44397</v>
      </c>
      <c r="R117" s="6">
        <v>1270</v>
      </c>
      <c r="S117" s="1">
        <v>0</v>
      </c>
      <c r="T117" s="6" t="s">
        <v>98</v>
      </c>
      <c r="U117" s="1" t="s">
        <v>38</v>
      </c>
      <c r="V117" s="1">
        <v>0</v>
      </c>
      <c r="W117" s="1" t="s">
        <v>474</v>
      </c>
      <c r="X117" s="1" t="s">
        <v>31</v>
      </c>
      <c r="Y117" s="1" t="s">
        <v>39</v>
      </c>
      <c r="Z117" s="1" t="s">
        <v>69</v>
      </c>
    </row>
    <row r="118" spans="1:26" hidden="1" x14ac:dyDescent="0.25">
      <c r="A118" s="5">
        <v>117</v>
      </c>
      <c r="B118" s="1" t="s">
        <v>566</v>
      </c>
      <c r="C118" s="1"/>
      <c r="D118" s="1"/>
      <c r="E118" s="7">
        <v>45835</v>
      </c>
      <c r="F118" s="1" t="s">
        <v>567</v>
      </c>
      <c r="G118" s="1" t="s">
        <v>568</v>
      </c>
      <c r="H118" s="1" t="s">
        <v>569</v>
      </c>
      <c r="I118" s="1" t="s">
        <v>570</v>
      </c>
      <c r="J118" s="1">
        <v>2022</v>
      </c>
      <c r="K118" s="1">
        <v>4000000</v>
      </c>
      <c r="L118" s="1">
        <v>60000</v>
      </c>
      <c r="M118" s="1">
        <v>1.4999999999999999E-2</v>
      </c>
      <c r="N118" s="1">
        <v>45835</v>
      </c>
      <c r="O118" s="1">
        <v>51293</v>
      </c>
      <c r="P118" s="1">
        <v>60000</v>
      </c>
      <c r="Q118" s="1">
        <v>51293</v>
      </c>
      <c r="R118" s="6">
        <v>1270</v>
      </c>
      <c r="S118" s="1">
        <v>0</v>
      </c>
      <c r="T118" s="6" t="s">
        <v>98</v>
      </c>
      <c r="U118" s="1" t="s">
        <v>38</v>
      </c>
      <c r="V118" s="1">
        <v>0</v>
      </c>
      <c r="W118" s="1" t="s">
        <v>474</v>
      </c>
      <c r="X118" s="1" t="s">
        <v>31</v>
      </c>
      <c r="Y118" s="1" t="s">
        <v>39</v>
      </c>
      <c r="Z118" s="1" t="s">
        <v>69</v>
      </c>
    </row>
    <row r="119" spans="1:26" hidden="1" x14ac:dyDescent="0.25">
      <c r="A119" s="5">
        <v>118</v>
      </c>
      <c r="B119" s="1" t="s">
        <v>571</v>
      </c>
      <c r="C119" s="1"/>
      <c r="D119" s="1"/>
      <c r="E119" s="7">
        <v>45831</v>
      </c>
      <c r="F119" s="1" t="s">
        <v>572</v>
      </c>
      <c r="G119" s="1" t="s">
        <v>573</v>
      </c>
      <c r="H119" s="1" t="s">
        <v>574</v>
      </c>
      <c r="I119" s="1" t="s">
        <v>245</v>
      </c>
      <c r="J119" s="1">
        <v>2022</v>
      </c>
      <c r="K119" s="1">
        <v>2694000</v>
      </c>
      <c r="L119" s="1">
        <v>51186</v>
      </c>
      <c r="M119" s="1">
        <v>1.9E-2</v>
      </c>
      <c r="N119" s="1">
        <v>45849</v>
      </c>
      <c r="O119" s="1">
        <v>43695</v>
      </c>
      <c r="P119" s="1">
        <v>51186</v>
      </c>
      <c r="Q119" s="1">
        <v>43695</v>
      </c>
      <c r="R119" s="6">
        <v>1270</v>
      </c>
      <c r="S119" s="1">
        <v>0</v>
      </c>
      <c r="T119" s="6" t="s">
        <v>98</v>
      </c>
      <c r="U119" s="1" t="s">
        <v>38</v>
      </c>
      <c r="V119" s="1">
        <v>0</v>
      </c>
      <c r="W119" s="1" t="s">
        <v>474</v>
      </c>
      <c r="X119" s="1" t="s">
        <v>31</v>
      </c>
      <c r="Y119" s="1" t="s">
        <v>39</v>
      </c>
      <c r="Z119" s="1" t="s">
        <v>69</v>
      </c>
    </row>
    <row r="120" spans="1:26" hidden="1" x14ac:dyDescent="0.25">
      <c r="A120" s="5">
        <v>119</v>
      </c>
      <c r="B120" s="1" t="s">
        <v>575</v>
      </c>
      <c r="C120" s="1"/>
      <c r="D120" s="1"/>
      <c r="E120" s="7">
        <v>45811</v>
      </c>
      <c r="F120" s="1" t="s">
        <v>576</v>
      </c>
      <c r="G120" s="1" t="s">
        <v>577</v>
      </c>
      <c r="H120" s="1" t="s">
        <v>578</v>
      </c>
      <c r="I120" s="1" t="s">
        <v>579</v>
      </c>
      <c r="J120" s="1">
        <v>2024</v>
      </c>
      <c r="K120" s="1">
        <v>2800000</v>
      </c>
      <c r="L120" s="1">
        <v>49000</v>
      </c>
      <c r="M120" s="1">
        <v>1.7500000000000002E-2</v>
      </c>
      <c r="N120" s="1">
        <v>45811</v>
      </c>
      <c r="O120" s="1">
        <v>41810</v>
      </c>
      <c r="P120" s="1">
        <v>49000</v>
      </c>
      <c r="Q120" s="1">
        <v>41810</v>
      </c>
      <c r="R120" s="6">
        <v>1270</v>
      </c>
      <c r="S120" s="1">
        <v>0</v>
      </c>
      <c r="T120" s="6" t="s">
        <v>98</v>
      </c>
      <c r="U120" s="1" t="s">
        <v>38</v>
      </c>
      <c r="V120" s="1">
        <v>0</v>
      </c>
      <c r="W120" s="1" t="s">
        <v>474</v>
      </c>
      <c r="X120" s="1" t="s">
        <v>31</v>
      </c>
      <c r="Y120" s="1" t="s">
        <v>39</v>
      </c>
      <c r="Z120" s="1" t="s">
        <v>69</v>
      </c>
    </row>
    <row r="121" spans="1:26" hidden="1" x14ac:dyDescent="0.25">
      <c r="A121" s="5">
        <v>120</v>
      </c>
      <c r="B121" s="1" t="s">
        <v>580</v>
      </c>
      <c r="C121" s="1"/>
      <c r="D121" s="1"/>
      <c r="E121" s="7">
        <v>45831</v>
      </c>
      <c r="F121" s="1" t="s">
        <v>581</v>
      </c>
      <c r="G121" s="1" t="s">
        <v>582</v>
      </c>
      <c r="H121" s="1" t="s">
        <v>583</v>
      </c>
      <c r="I121" s="1" t="s">
        <v>238</v>
      </c>
      <c r="J121" s="1">
        <v>2024</v>
      </c>
      <c r="K121" s="1">
        <v>2900000</v>
      </c>
      <c r="L121" s="1">
        <v>50750</v>
      </c>
      <c r="M121" s="1">
        <v>1.7500000000000002E-2</v>
      </c>
      <c r="N121" s="1">
        <v>45831</v>
      </c>
      <c r="O121" s="1">
        <v>43319</v>
      </c>
      <c r="P121" s="1">
        <v>50750</v>
      </c>
      <c r="Q121" s="1">
        <v>43319</v>
      </c>
      <c r="R121" s="6">
        <v>1270</v>
      </c>
      <c r="S121" s="1">
        <v>0</v>
      </c>
      <c r="T121" s="6" t="s">
        <v>98</v>
      </c>
      <c r="U121" s="1" t="s">
        <v>38</v>
      </c>
      <c r="V121" s="1">
        <v>0</v>
      </c>
      <c r="W121" s="1" t="s">
        <v>474</v>
      </c>
      <c r="X121" s="1" t="s">
        <v>31</v>
      </c>
      <c r="Y121" s="1" t="s">
        <v>39</v>
      </c>
      <c r="Z121" s="1" t="s">
        <v>69</v>
      </c>
    </row>
    <row r="122" spans="1:26" hidden="1" x14ac:dyDescent="0.25">
      <c r="A122" s="5">
        <v>121</v>
      </c>
      <c r="B122" s="1" t="s">
        <v>584</v>
      </c>
      <c r="C122" s="1"/>
      <c r="D122" s="1"/>
      <c r="E122" s="7">
        <v>45825</v>
      </c>
      <c r="F122" s="1" t="s">
        <v>585</v>
      </c>
      <c r="G122" s="1">
        <v>3332490432</v>
      </c>
      <c r="H122" s="1" t="s">
        <v>586</v>
      </c>
      <c r="I122" s="1" t="s">
        <v>587</v>
      </c>
      <c r="J122" s="1">
        <v>2024</v>
      </c>
      <c r="K122" s="1">
        <v>3000000</v>
      </c>
      <c r="L122" s="1">
        <v>45000</v>
      </c>
      <c r="M122" s="1">
        <v>1.4999999999999999E-2</v>
      </c>
      <c r="N122" s="1">
        <v>45826</v>
      </c>
      <c r="O122" s="1">
        <v>38362</v>
      </c>
      <c r="P122" s="1">
        <v>45000</v>
      </c>
      <c r="Q122" s="1">
        <v>38362</v>
      </c>
      <c r="R122" s="6">
        <v>1270</v>
      </c>
      <c r="S122" s="1">
        <v>0</v>
      </c>
      <c r="T122" s="6" t="s">
        <v>98</v>
      </c>
      <c r="U122" s="1" t="s">
        <v>38</v>
      </c>
      <c r="V122" s="1">
        <v>0</v>
      </c>
      <c r="W122" s="1" t="s">
        <v>474</v>
      </c>
      <c r="X122" s="1" t="s">
        <v>31</v>
      </c>
      <c r="Y122" s="1" t="s">
        <v>39</v>
      </c>
      <c r="Z122" s="1" t="s">
        <v>69</v>
      </c>
    </row>
    <row r="123" spans="1:26" hidden="1" x14ac:dyDescent="0.25">
      <c r="A123" s="5">
        <v>122</v>
      </c>
      <c r="B123" s="1" t="s">
        <v>588</v>
      </c>
      <c r="C123" s="1"/>
      <c r="D123" s="1"/>
      <c r="E123" s="7">
        <v>45818</v>
      </c>
      <c r="F123" s="1" t="s">
        <v>589</v>
      </c>
      <c r="G123" s="1" t="s">
        <v>590</v>
      </c>
      <c r="H123" s="1" t="s">
        <v>316</v>
      </c>
      <c r="I123" s="1" t="s">
        <v>249</v>
      </c>
      <c r="J123" s="1">
        <v>2024</v>
      </c>
      <c r="K123" s="1">
        <v>4719000</v>
      </c>
      <c r="L123" s="1">
        <v>82583</v>
      </c>
      <c r="M123" s="1">
        <v>1.7500000000000002E-2</v>
      </c>
      <c r="N123" s="1">
        <v>45849</v>
      </c>
      <c r="O123" s="1">
        <v>70761</v>
      </c>
      <c r="P123" s="1">
        <v>82583</v>
      </c>
      <c r="Q123" s="1">
        <v>70761</v>
      </c>
      <c r="R123" s="6">
        <v>1270</v>
      </c>
      <c r="S123" s="1">
        <v>0</v>
      </c>
      <c r="T123" s="6" t="s">
        <v>98</v>
      </c>
      <c r="U123" s="1" t="s">
        <v>38</v>
      </c>
      <c r="V123" s="1">
        <v>0</v>
      </c>
      <c r="W123" s="1" t="s">
        <v>474</v>
      </c>
      <c r="X123" s="1" t="s">
        <v>31</v>
      </c>
      <c r="Y123" s="1" t="s">
        <v>39</v>
      </c>
      <c r="Z123" s="1" t="s">
        <v>69</v>
      </c>
    </row>
    <row r="124" spans="1:26" hidden="1" x14ac:dyDescent="0.25">
      <c r="A124" s="5">
        <v>123</v>
      </c>
      <c r="B124" s="1" t="s">
        <v>591</v>
      </c>
      <c r="C124" s="1"/>
      <c r="D124" s="1"/>
      <c r="E124" s="7">
        <v>45813</v>
      </c>
      <c r="F124" s="1" t="s">
        <v>592</v>
      </c>
      <c r="G124" s="1" t="s">
        <v>593</v>
      </c>
      <c r="H124" s="1" t="s">
        <v>316</v>
      </c>
      <c r="I124" s="1" t="s">
        <v>594</v>
      </c>
      <c r="J124" s="1">
        <v>2021</v>
      </c>
      <c r="K124" s="1">
        <v>2500000</v>
      </c>
      <c r="L124" s="1">
        <v>45000</v>
      </c>
      <c r="M124" s="1">
        <v>1.7999999999999999E-2</v>
      </c>
      <c r="N124" s="1">
        <v>45813</v>
      </c>
      <c r="O124" s="1">
        <v>38445</v>
      </c>
      <c r="P124" s="1">
        <v>45000</v>
      </c>
      <c r="Q124" s="1">
        <v>38445</v>
      </c>
      <c r="R124" s="6">
        <v>1270</v>
      </c>
      <c r="S124" s="1">
        <v>0</v>
      </c>
      <c r="T124" s="6" t="s">
        <v>98</v>
      </c>
      <c r="U124" s="1" t="s">
        <v>38</v>
      </c>
      <c r="V124" s="1">
        <v>0</v>
      </c>
      <c r="W124" s="1" t="s">
        <v>474</v>
      </c>
      <c r="X124" s="1" t="s">
        <v>31</v>
      </c>
      <c r="Y124" s="1" t="s">
        <v>39</v>
      </c>
      <c r="Z124" s="1" t="s">
        <v>69</v>
      </c>
    </row>
    <row r="125" spans="1:26" hidden="1" x14ac:dyDescent="0.25">
      <c r="A125" s="5">
        <v>124</v>
      </c>
      <c r="B125" s="1" t="s">
        <v>595</v>
      </c>
      <c r="C125" s="1"/>
      <c r="D125" s="1"/>
      <c r="E125" s="7">
        <v>45818</v>
      </c>
      <c r="F125" s="1" t="s">
        <v>596</v>
      </c>
      <c r="G125" s="1" t="s">
        <v>597</v>
      </c>
      <c r="H125" s="1" t="s">
        <v>598</v>
      </c>
      <c r="I125" s="1" t="s">
        <v>599</v>
      </c>
      <c r="J125" s="1">
        <v>2024</v>
      </c>
      <c r="K125" s="1">
        <v>4739000</v>
      </c>
      <c r="L125" s="1">
        <v>87672</v>
      </c>
      <c r="M125" s="1">
        <v>1.8499999999999999E-2</v>
      </c>
      <c r="N125" s="1">
        <v>45818</v>
      </c>
      <c r="O125" s="1">
        <v>74916</v>
      </c>
      <c r="P125" s="1">
        <v>87672</v>
      </c>
      <c r="Q125" s="1">
        <v>74916</v>
      </c>
      <c r="R125" s="6">
        <v>1270</v>
      </c>
      <c r="S125" s="1">
        <v>0</v>
      </c>
      <c r="T125" s="6" t="s">
        <v>98</v>
      </c>
      <c r="U125" s="1" t="s">
        <v>38</v>
      </c>
      <c r="V125" s="1">
        <v>0</v>
      </c>
      <c r="W125" s="1" t="s">
        <v>474</v>
      </c>
      <c r="X125" s="1" t="s">
        <v>31</v>
      </c>
      <c r="Y125" s="1" t="s">
        <v>39</v>
      </c>
      <c r="Z125" s="1" t="s">
        <v>69</v>
      </c>
    </row>
    <row r="126" spans="1:26" hidden="1" x14ac:dyDescent="0.25">
      <c r="A126" s="5">
        <v>125</v>
      </c>
      <c r="B126" s="1" t="s">
        <v>600</v>
      </c>
      <c r="C126" s="1"/>
      <c r="D126" s="1"/>
      <c r="E126" s="7">
        <v>45819</v>
      </c>
      <c r="F126" s="1" t="s">
        <v>601</v>
      </c>
      <c r="G126" s="1" t="s">
        <v>602</v>
      </c>
      <c r="H126" s="1" t="s">
        <v>603</v>
      </c>
      <c r="I126" s="1" t="s">
        <v>604</v>
      </c>
      <c r="J126" s="1">
        <v>2022</v>
      </c>
      <c r="K126" s="1">
        <v>2998000</v>
      </c>
      <c r="L126" s="1">
        <v>59960</v>
      </c>
      <c r="M126" s="1">
        <v>0.02</v>
      </c>
      <c r="N126" s="1">
        <v>45819</v>
      </c>
      <c r="O126" s="1">
        <v>51258</v>
      </c>
      <c r="P126" s="1">
        <v>59960</v>
      </c>
      <c r="Q126" s="1">
        <v>51258</v>
      </c>
      <c r="R126" s="6">
        <v>1270</v>
      </c>
      <c r="S126" s="1">
        <v>0</v>
      </c>
      <c r="T126" s="6" t="s">
        <v>98</v>
      </c>
      <c r="U126" s="1" t="s">
        <v>38</v>
      </c>
      <c r="V126" s="1">
        <v>0</v>
      </c>
      <c r="W126" s="1" t="s">
        <v>474</v>
      </c>
      <c r="X126" s="1" t="s">
        <v>31</v>
      </c>
      <c r="Y126" s="1" t="s">
        <v>39</v>
      </c>
      <c r="Z126" s="1" t="s">
        <v>69</v>
      </c>
    </row>
    <row r="127" spans="1:26" hidden="1" x14ac:dyDescent="0.25">
      <c r="A127" s="5">
        <v>126</v>
      </c>
      <c r="B127" s="1" t="s">
        <v>605</v>
      </c>
      <c r="C127" s="1"/>
      <c r="D127" s="1"/>
      <c r="E127" s="7">
        <v>45826</v>
      </c>
      <c r="F127" s="1" t="s">
        <v>606</v>
      </c>
      <c r="G127" s="1" t="s">
        <v>607</v>
      </c>
      <c r="H127" s="1" t="s">
        <v>608</v>
      </c>
      <c r="I127" s="1" t="s">
        <v>393</v>
      </c>
      <c r="J127" s="1">
        <v>2019</v>
      </c>
      <c r="K127" s="1">
        <v>2300000</v>
      </c>
      <c r="L127" s="1">
        <v>46000</v>
      </c>
      <c r="M127" s="1">
        <v>0.02</v>
      </c>
      <c r="N127" s="1">
        <v>45826</v>
      </c>
      <c r="O127" s="1">
        <v>39299</v>
      </c>
      <c r="P127" s="1">
        <v>46000</v>
      </c>
      <c r="Q127" s="1">
        <v>39299</v>
      </c>
      <c r="R127" s="6">
        <v>1270</v>
      </c>
      <c r="S127" s="1">
        <v>0</v>
      </c>
      <c r="T127" s="6" t="s">
        <v>98</v>
      </c>
      <c r="U127" s="1" t="s">
        <v>38</v>
      </c>
      <c r="V127" s="1">
        <v>0</v>
      </c>
      <c r="W127" s="1" t="s">
        <v>474</v>
      </c>
      <c r="X127" s="1" t="s">
        <v>31</v>
      </c>
      <c r="Y127" s="1" t="s">
        <v>39</v>
      </c>
      <c r="Z127" s="1" t="s">
        <v>609</v>
      </c>
    </row>
    <row r="128" spans="1:26" hidden="1" x14ac:dyDescent="0.25">
      <c r="A128" s="5">
        <v>127</v>
      </c>
      <c r="B128" s="1" t="s">
        <v>610</v>
      </c>
      <c r="C128" s="1"/>
      <c r="D128" s="1"/>
      <c r="E128" s="7">
        <v>45834</v>
      </c>
      <c r="F128" s="1" t="s">
        <v>611</v>
      </c>
      <c r="G128" s="1" t="s">
        <v>612</v>
      </c>
      <c r="H128" s="1" t="s">
        <v>613</v>
      </c>
      <c r="I128" s="1" t="s">
        <v>614</v>
      </c>
      <c r="J128" s="1">
        <v>2023</v>
      </c>
      <c r="K128" s="1">
        <v>7658000</v>
      </c>
      <c r="L128" s="1">
        <v>122528</v>
      </c>
      <c r="M128" s="1">
        <v>1.6E-2</v>
      </c>
      <c r="N128" s="1">
        <v>45834</v>
      </c>
      <c r="O128" s="1">
        <v>104708</v>
      </c>
      <c r="P128" s="1">
        <v>122528</v>
      </c>
      <c r="Q128" s="1">
        <v>104708</v>
      </c>
      <c r="R128" s="6">
        <v>1270</v>
      </c>
      <c r="S128" s="1">
        <v>0</v>
      </c>
      <c r="T128" s="6" t="s">
        <v>98</v>
      </c>
      <c r="U128" s="1" t="s">
        <v>38</v>
      </c>
      <c r="V128" s="1">
        <v>0</v>
      </c>
      <c r="W128" s="1" t="s">
        <v>474</v>
      </c>
      <c r="X128" s="1" t="s">
        <v>31</v>
      </c>
      <c r="Y128" s="1" t="s">
        <v>39</v>
      </c>
      <c r="Z128" s="1" t="s">
        <v>183</v>
      </c>
    </row>
    <row r="129" spans="1:26" hidden="1" x14ac:dyDescent="0.25">
      <c r="A129" s="5">
        <v>128</v>
      </c>
      <c r="B129" s="1" t="s">
        <v>615</v>
      </c>
      <c r="C129" s="1"/>
      <c r="D129" s="1"/>
      <c r="E129" s="7">
        <v>45820</v>
      </c>
      <c r="F129" s="1" t="s">
        <v>616</v>
      </c>
      <c r="G129" s="1">
        <v>3149714471</v>
      </c>
      <c r="H129" s="1" t="s">
        <v>617</v>
      </c>
      <c r="I129" s="1" t="s">
        <v>216</v>
      </c>
      <c r="J129" s="1">
        <v>2022</v>
      </c>
      <c r="K129" s="1">
        <v>2500000</v>
      </c>
      <c r="L129" s="1">
        <v>41250</v>
      </c>
      <c r="M129" s="1">
        <v>1.6500000000000001E-2</v>
      </c>
      <c r="N129" s="1">
        <v>45819</v>
      </c>
      <c r="O129" s="1">
        <v>35130</v>
      </c>
      <c r="P129" s="1">
        <v>41250</v>
      </c>
      <c r="Q129" s="1">
        <v>35130</v>
      </c>
      <c r="R129" s="6">
        <v>1270</v>
      </c>
      <c r="S129" s="1">
        <v>0</v>
      </c>
      <c r="T129" s="6" t="s">
        <v>98</v>
      </c>
      <c r="U129" s="1" t="s">
        <v>618</v>
      </c>
      <c r="V129" s="1" t="s">
        <v>189</v>
      </c>
      <c r="W129" s="1" t="s">
        <v>474</v>
      </c>
      <c r="X129" s="1" t="s">
        <v>31</v>
      </c>
      <c r="Y129" s="1" t="s">
        <v>39</v>
      </c>
      <c r="Z129" s="1" t="s">
        <v>69</v>
      </c>
    </row>
    <row r="130" spans="1:26" hidden="1" x14ac:dyDescent="0.25">
      <c r="A130" s="5">
        <v>129</v>
      </c>
      <c r="B130" s="1" t="s">
        <v>619</v>
      </c>
      <c r="C130" s="1"/>
      <c r="D130" s="1"/>
      <c r="E130" s="7">
        <v>45820</v>
      </c>
      <c r="F130" s="1" t="s">
        <v>620</v>
      </c>
      <c r="G130" s="1" t="s">
        <v>621</v>
      </c>
      <c r="H130" s="1" t="s">
        <v>622</v>
      </c>
      <c r="I130" s="1" t="s">
        <v>623</v>
      </c>
      <c r="J130" s="1">
        <v>2024</v>
      </c>
      <c r="K130" s="1">
        <v>6725000</v>
      </c>
      <c r="L130" s="1">
        <v>10000</v>
      </c>
      <c r="M130" s="1">
        <v>2.5000000000000001E-2</v>
      </c>
      <c r="N130" s="1">
        <v>45820</v>
      </c>
      <c r="O130" s="1">
        <v>8190</v>
      </c>
      <c r="P130" s="1">
        <v>10000</v>
      </c>
      <c r="Q130" s="1">
        <v>8190</v>
      </c>
      <c r="R130" s="6">
        <v>1270</v>
      </c>
      <c r="S130" s="1">
        <v>0</v>
      </c>
      <c r="T130" s="6" t="s">
        <v>98</v>
      </c>
      <c r="U130" s="1" t="s">
        <v>38</v>
      </c>
      <c r="V130" s="1">
        <v>0</v>
      </c>
      <c r="W130" s="1" t="s">
        <v>474</v>
      </c>
      <c r="X130" s="1" t="s">
        <v>190</v>
      </c>
      <c r="Y130" s="1" t="s">
        <v>217</v>
      </c>
      <c r="Z130" s="1" t="s">
        <v>305</v>
      </c>
    </row>
    <row r="131" spans="1:26" x14ac:dyDescent="0.25">
      <c r="A131" s="5">
        <v>130</v>
      </c>
      <c r="B131" s="1" t="s">
        <v>624</v>
      </c>
      <c r="C131" s="1" t="e">
        <f>VLOOKUP('IT Working sheet '!B131,'09000210'!B:C,2,0)</f>
        <v>#N/A</v>
      </c>
      <c r="D131" s="1"/>
      <c r="E131" s="7">
        <v>45846</v>
      </c>
      <c r="F131" s="1" t="s">
        <v>625</v>
      </c>
      <c r="G131" s="1" t="s">
        <v>626</v>
      </c>
      <c r="H131" s="1" t="s">
        <v>627</v>
      </c>
      <c r="I131" s="1" t="s">
        <v>628</v>
      </c>
      <c r="J131" s="1">
        <v>2022</v>
      </c>
      <c r="K131" s="1">
        <v>4600000</v>
      </c>
      <c r="L131" s="1">
        <v>69000</v>
      </c>
      <c r="M131" s="1">
        <v>1.4999999999999999E-2</v>
      </c>
      <c r="N131" s="1">
        <v>45846</v>
      </c>
      <c r="O131" s="1">
        <v>59051</v>
      </c>
      <c r="P131" s="1">
        <v>69000</v>
      </c>
      <c r="Q131" s="1">
        <v>118102</v>
      </c>
      <c r="R131" s="6">
        <v>704</v>
      </c>
      <c r="S131" s="1" t="s">
        <v>189</v>
      </c>
      <c r="T131" s="6" t="s">
        <v>98</v>
      </c>
      <c r="U131" s="1" t="s">
        <v>29</v>
      </c>
      <c r="V131" s="1">
        <v>0</v>
      </c>
      <c r="W131" s="1" t="s">
        <v>629</v>
      </c>
      <c r="X131" s="1" t="s">
        <v>31</v>
      </c>
      <c r="Y131" s="1" t="s">
        <v>32</v>
      </c>
      <c r="Z131" s="1" t="s">
        <v>32</v>
      </c>
    </row>
    <row r="132" spans="1:26" x14ac:dyDescent="0.25">
      <c r="A132" s="5">
        <v>131</v>
      </c>
      <c r="B132" s="1" t="s">
        <v>630</v>
      </c>
      <c r="C132" s="1" t="e">
        <f>VLOOKUP('IT Working sheet '!B132,'09000210'!B:C,2,0)</f>
        <v>#N/A</v>
      </c>
      <c r="D132" s="1"/>
      <c r="E132" s="7">
        <v>45849</v>
      </c>
      <c r="F132" s="1" t="s">
        <v>631</v>
      </c>
      <c r="G132" s="1" t="s">
        <v>632</v>
      </c>
      <c r="H132" s="1" t="s">
        <v>633</v>
      </c>
      <c r="I132" s="1" t="s">
        <v>634</v>
      </c>
      <c r="J132" s="1">
        <v>2021</v>
      </c>
      <c r="K132" s="1">
        <v>4000000</v>
      </c>
      <c r="L132" s="1">
        <v>58000</v>
      </c>
      <c r="M132" s="1">
        <v>1.4500000000000001E-2</v>
      </c>
      <c r="N132" s="1">
        <v>45849</v>
      </c>
      <c r="O132" s="1">
        <v>49569</v>
      </c>
      <c r="P132" s="1">
        <v>58000</v>
      </c>
      <c r="Q132" s="1">
        <v>99138</v>
      </c>
      <c r="R132" s="6">
        <v>703</v>
      </c>
      <c r="S132" s="1" t="s">
        <v>189</v>
      </c>
      <c r="T132" s="6" t="s">
        <v>98</v>
      </c>
      <c r="U132" s="1" t="s">
        <v>29</v>
      </c>
      <c r="V132" s="1">
        <v>0</v>
      </c>
      <c r="W132" s="1" t="s">
        <v>629</v>
      </c>
      <c r="X132" s="1" t="s">
        <v>31</v>
      </c>
      <c r="Y132" s="1" t="s">
        <v>32</v>
      </c>
      <c r="Z132" s="1" t="s">
        <v>32</v>
      </c>
    </row>
    <row r="133" spans="1:26" x14ac:dyDescent="0.25">
      <c r="A133" s="5">
        <v>132</v>
      </c>
      <c r="B133" s="1" t="s">
        <v>635</v>
      </c>
      <c r="C133" s="1" t="e">
        <f>VLOOKUP('IT Working sheet '!B133,'09000210'!B:C,2,0)</f>
        <v>#N/A</v>
      </c>
      <c r="D133" s="1"/>
      <c r="E133" s="7">
        <v>45853</v>
      </c>
      <c r="F133" s="1" t="s">
        <v>636</v>
      </c>
      <c r="G133" s="1" t="s">
        <v>637</v>
      </c>
      <c r="H133" s="1" t="s">
        <v>638</v>
      </c>
      <c r="I133" s="1" t="s">
        <v>639</v>
      </c>
      <c r="J133" s="1">
        <v>2021</v>
      </c>
      <c r="K133" s="1">
        <v>2500000</v>
      </c>
      <c r="L133" s="1">
        <v>37500</v>
      </c>
      <c r="M133" s="1">
        <v>1.4999999999999999E-2</v>
      </c>
      <c r="N133" s="1">
        <v>45853</v>
      </c>
      <c r="O133" s="1">
        <v>31897</v>
      </c>
      <c r="P133" s="1">
        <v>37500</v>
      </c>
      <c r="Q133" s="1">
        <v>63794</v>
      </c>
      <c r="R133" s="6">
        <v>704</v>
      </c>
      <c r="S133" s="1" t="s">
        <v>189</v>
      </c>
      <c r="T133" s="6" t="s">
        <v>98</v>
      </c>
      <c r="U133" s="1" t="s">
        <v>29</v>
      </c>
      <c r="V133" s="1">
        <v>0</v>
      </c>
      <c r="W133" s="1" t="s">
        <v>629</v>
      </c>
      <c r="X133" s="1" t="s">
        <v>31</v>
      </c>
      <c r="Y133" s="1" t="s">
        <v>32</v>
      </c>
      <c r="Z133" s="1" t="s">
        <v>32</v>
      </c>
    </row>
    <row r="134" spans="1:26" hidden="1" x14ac:dyDescent="0.25">
      <c r="A134" s="5">
        <v>133</v>
      </c>
      <c r="B134" s="1" t="s">
        <v>640</v>
      </c>
      <c r="C134" s="1"/>
      <c r="D134" s="1"/>
      <c r="E134" s="7">
        <v>45831</v>
      </c>
      <c r="F134" s="1" t="s">
        <v>641</v>
      </c>
      <c r="G134" s="1" t="s">
        <v>642</v>
      </c>
      <c r="H134" s="1" t="s">
        <v>643</v>
      </c>
      <c r="I134" s="1" t="s">
        <v>42</v>
      </c>
      <c r="J134" s="1">
        <v>2025</v>
      </c>
      <c r="K134" s="1">
        <v>6703400</v>
      </c>
      <c r="L134" s="1">
        <v>100551</v>
      </c>
      <c r="M134" s="1">
        <v>1.4999999999999999E-2</v>
      </c>
      <c r="N134" s="1">
        <v>45831</v>
      </c>
      <c r="O134" s="1">
        <v>86250</v>
      </c>
      <c r="P134" s="1">
        <v>100551</v>
      </c>
      <c r="Q134" s="1">
        <v>172500</v>
      </c>
      <c r="R134" s="6">
        <v>704</v>
      </c>
      <c r="S134" s="1" t="s">
        <v>189</v>
      </c>
      <c r="T134" s="6" t="s">
        <v>98</v>
      </c>
      <c r="U134" s="1" t="s">
        <v>29</v>
      </c>
      <c r="V134" s="1">
        <v>0</v>
      </c>
      <c r="W134" s="1" t="s">
        <v>629</v>
      </c>
      <c r="X134" s="1" t="s">
        <v>31</v>
      </c>
      <c r="Y134" s="1" t="s">
        <v>32</v>
      </c>
      <c r="Z134" s="1" t="s">
        <v>32</v>
      </c>
    </row>
    <row r="135" spans="1:26" hidden="1" x14ac:dyDescent="0.25">
      <c r="A135" s="5">
        <v>134</v>
      </c>
      <c r="B135" s="1" t="s">
        <v>644</v>
      </c>
      <c r="C135" s="1"/>
      <c r="D135" s="1"/>
      <c r="E135" s="7">
        <v>45825</v>
      </c>
      <c r="F135" s="1" t="s">
        <v>645</v>
      </c>
      <c r="G135" s="1" t="s">
        <v>646</v>
      </c>
      <c r="H135" s="1" t="s">
        <v>647</v>
      </c>
      <c r="I135" s="1" t="s">
        <v>648</v>
      </c>
      <c r="J135" s="1">
        <v>2022</v>
      </c>
      <c r="K135" s="1">
        <v>2800000</v>
      </c>
      <c r="L135" s="1">
        <v>10000</v>
      </c>
      <c r="M135" s="1">
        <v>2.5000000000000001E-2</v>
      </c>
      <c r="N135" s="1">
        <v>45825</v>
      </c>
      <c r="O135" s="1">
        <v>8190</v>
      </c>
      <c r="P135" s="1">
        <v>10000</v>
      </c>
      <c r="Q135" s="1">
        <v>16380</v>
      </c>
      <c r="R135" s="6">
        <v>704</v>
      </c>
      <c r="S135" s="1" t="s">
        <v>189</v>
      </c>
      <c r="T135" s="6" t="s">
        <v>98</v>
      </c>
      <c r="U135" s="1" t="s">
        <v>29</v>
      </c>
      <c r="V135" s="1">
        <v>0</v>
      </c>
      <c r="W135" s="1" t="s">
        <v>629</v>
      </c>
      <c r="X135" s="1" t="s">
        <v>190</v>
      </c>
      <c r="Y135" s="1" t="s">
        <v>32</v>
      </c>
      <c r="Z135" s="1" t="s">
        <v>32</v>
      </c>
    </row>
    <row r="136" spans="1:26" x14ac:dyDescent="0.25">
      <c r="A136" s="5">
        <v>135</v>
      </c>
      <c r="B136" s="1" t="s">
        <v>649</v>
      </c>
      <c r="C136" s="1" t="e">
        <f>VLOOKUP('IT Working sheet '!B136,'09000210'!B:C,2,0)</f>
        <v>#N/A</v>
      </c>
      <c r="D136" s="1"/>
      <c r="E136" s="7">
        <v>45849</v>
      </c>
      <c r="F136" s="1" t="s">
        <v>650</v>
      </c>
      <c r="G136" s="1">
        <v>3132112206</v>
      </c>
      <c r="H136" s="1" t="s">
        <v>651</v>
      </c>
      <c r="I136" s="1" t="s">
        <v>177</v>
      </c>
      <c r="J136" s="1">
        <v>2019</v>
      </c>
      <c r="K136" s="1">
        <v>4000000</v>
      </c>
      <c r="L136" s="1">
        <v>62000</v>
      </c>
      <c r="M136" s="1">
        <v>1.55E-2</v>
      </c>
      <c r="N136" s="1">
        <v>45849</v>
      </c>
      <c r="O136" s="1">
        <v>53017</v>
      </c>
      <c r="P136" s="1">
        <v>62000</v>
      </c>
      <c r="Q136" s="1">
        <v>53017</v>
      </c>
      <c r="R136" s="6">
        <v>704</v>
      </c>
      <c r="S136" s="1" t="s">
        <v>189</v>
      </c>
      <c r="T136" s="6" t="s">
        <v>98</v>
      </c>
      <c r="U136" s="1" t="s">
        <v>38</v>
      </c>
      <c r="V136" s="1">
        <v>0</v>
      </c>
      <c r="W136" s="1" t="s">
        <v>629</v>
      </c>
      <c r="X136" s="1" t="s">
        <v>31</v>
      </c>
      <c r="Y136" s="1" t="s">
        <v>153</v>
      </c>
      <c r="Z136" s="1" t="s">
        <v>223</v>
      </c>
    </row>
    <row r="137" spans="1:26" x14ac:dyDescent="0.25">
      <c r="A137" s="5">
        <v>136</v>
      </c>
      <c r="B137" s="1" t="s">
        <v>652</v>
      </c>
      <c r="C137" s="1" t="e">
        <f>VLOOKUP('IT Working sheet '!B137,'09000210'!B:C,2,0)</f>
        <v>#N/A</v>
      </c>
      <c r="D137" s="1"/>
      <c r="E137" s="7">
        <v>45849</v>
      </c>
      <c r="F137" s="1" t="s">
        <v>653</v>
      </c>
      <c r="G137" s="1">
        <v>3002004014</v>
      </c>
      <c r="H137" s="1" t="s">
        <v>654</v>
      </c>
      <c r="I137" s="1" t="s">
        <v>118</v>
      </c>
      <c r="J137" s="1">
        <v>2018</v>
      </c>
      <c r="K137" s="1">
        <v>2500000</v>
      </c>
      <c r="L137" s="1">
        <v>37500</v>
      </c>
      <c r="M137" s="1">
        <v>1.4999999999999999E-2</v>
      </c>
      <c r="N137" s="1">
        <v>45849</v>
      </c>
      <c r="O137" s="1">
        <v>31897</v>
      </c>
      <c r="P137" s="1">
        <v>37500</v>
      </c>
      <c r="Q137" s="1">
        <v>31897</v>
      </c>
      <c r="R137" s="6">
        <v>704</v>
      </c>
      <c r="S137" s="1" t="s">
        <v>189</v>
      </c>
      <c r="T137" s="6" t="s">
        <v>98</v>
      </c>
      <c r="U137" s="1" t="s">
        <v>38</v>
      </c>
      <c r="V137" s="1">
        <v>0</v>
      </c>
      <c r="W137" s="1" t="s">
        <v>629</v>
      </c>
      <c r="X137" s="1" t="s">
        <v>31</v>
      </c>
      <c r="Y137" s="1" t="s">
        <v>153</v>
      </c>
      <c r="Z137" s="1" t="s">
        <v>223</v>
      </c>
    </row>
    <row r="138" spans="1:26" x14ac:dyDescent="0.25">
      <c r="A138" s="5">
        <v>137</v>
      </c>
      <c r="B138" s="1" t="s">
        <v>655</v>
      </c>
      <c r="C138" s="1" t="e">
        <f>VLOOKUP('IT Working sheet '!B138,'09000210'!B:C,2,0)</f>
        <v>#N/A</v>
      </c>
      <c r="D138" s="1"/>
      <c r="E138" s="7">
        <v>45839</v>
      </c>
      <c r="F138" s="1" t="s">
        <v>656</v>
      </c>
      <c r="G138" s="1">
        <v>3006961388</v>
      </c>
      <c r="H138" s="1" t="s">
        <v>657</v>
      </c>
      <c r="I138" s="1" t="s">
        <v>113</v>
      </c>
      <c r="J138" s="1">
        <v>2017</v>
      </c>
      <c r="K138" s="1">
        <v>2300000</v>
      </c>
      <c r="L138" s="1">
        <v>43700</v>
      </c>
      <c r="M138" s="1">
        <v>1.9E-2</v>
      </c>
      <c r="N138" s="1">
        <v>45839</v>
      </c>
      <c r="O138" s="1">
        <v>37242</v>
      </c>
      <c r="P138" s="1">
        <v>43700</v>
      </c>
      <c r="Q138" s="1">
        <v>37242</v>
      </c>
      <c r="R138" s="6">
        <v>704</v>
      </c>
      <c r="S138" s="1" t="s">
        <v>189</v>
      </c>
      <c r="T138" s="6" t="s">
        <v>98</v>
      </c>
      <c r="U138" s="1" t="s">
        <v>38</v>
      </c>
      <c r="V138" s="1">
        <v>0</v>
      </c>
      <c r="W138" s="1" t="s">
        <v>629</v>
      </c>
      <c r="X138" s="1" t="s">
        <v>31</v>
      </c>
      <c r="Y138" s="1" t="s">
        <v>153</v>
      </c>
      <c r="Z138" s="1" t="s">
        <v>223</v>
      </c>
    </row>
    <row r="139" spans="1:26" x14ac:dyDescent="0.25">
      <c r="A139" s="5">
        <v>138</v>
      </c>
      <c r="B139" s="1" t="s">
        <v>658</v>
      </c>
      <c r="C139" s="1" t="str">
        <f>VLOOKUP('IT Working sheet '!B139,'09000210'!B:C,2,0)</f>
        <v>040000200158</v>
      </c>
      <c r="D139" s="1" t="str">
        <f>"Update ins_assorted_clients set commission_amount = '"&amp;R139&amp;"' where assorted_code = '"&amp;C139&amp;"' and agency_code = '09000870';"</f>
        <v>Update ins_assorted_clients set commission_amount = '704' where assorted_code = '040000200158' and agency_code = '09000870';</v>
      </c>
      <c r="E139" s="7">
        <v>45842</v>
      </c>
      <c r="F139" s="1" t="s">
        <v>659</v>
      </c>
      <c r="G139" s="1" t="s">
        <v>660</v>
      </c>
      <c r="H139" s="1" t="s">
        <v>661</v>
      </c>
      <c r="I139" s="1" t="s">
        <v>177</v>
      </c>
      <c r="J139" s="1">
        <v>2017</v>
      </c>
      <c r="K139" s="1">
        <v>3000000</v>
      </c>
      <c r="L139" s="1">
        <v>45000</v>
      </c>
      <c r="M139" s="1">
        <v>1.4999999999999999E-2</v>
      </c>
      <c r="N139" s="1">
        <v>45842</v>
      </c>
      <c r="O139" s="1">
        <v>38362</v>
      </c>
      <c r="P139" s="1">
        <v>45000</v>
      </c>
      <c r="Q139" s="1">
        <v>38362</v>
      </c>
      <c r="R139" s="6">
        <v>704</v>
      </c>
      <c r="S139" s="1" t="s">
        <v>189</v>
      </c>
      <c r="T139" s="6" t="s">
        <v>98</v>
      </c>
      <c r="U139" s="1" t="s">
        <v>38</v>
      </c>
      <c r="V139" s="1">
        <v>0</v>
      </c>
      <c r="W139" s="1" t="s">
        <v>629</v>
      </c>
      <c r="X139" s="1" t="s">
        <v>31</v>
      </c>
      <c r="Y139" s="1" t="s">
        <v>153</v>
      </c>
      <c r="Z139" s="1" t="s">
        <v>223</v>
      </c>
    </row>
    <row r="140" spans="1:26" hidden="1" x14ac:dyDescent="0.25">
      <c r="A140" s="5">
        <v>139</v>
      </c>
      <c r="B140" s="1" t="s">
        <v>662</v>
      </c>
      <c r="C140" s="1"/>
      <c r="D140" s="1"/>
      <c r="E140" s="7">
        <v>45832</v>
      </c>
      <c r="F140" s="1" t="s">
        <v>663</v>
      </c>
      <c r="G140" s="1" t="s">
        <v>664</v>
      </c>
      <c r="H140" s="1" t="s">
        <v>665</v>
      </c>
      <c r="I140" s="1" t="s">
        <v>666</v>
      </c>
      <c r="J140" s="1">
        <v>2022</v>
      </c>
      <c r="K140" s="1">
        <v>8000000</v>
      </c>
      <c r="L140" s="1">
        <v>120000</v>
      </c>
      <c r="M140" s="1">
        <v>1.4999999999999999E-2</v>
      </c>
      <c r="N140" s="1">
        <v>45832</v>
      </c>
      <c r="O140" s="1">
        <v>102547</v>
      </c>
      <c r="P140" s="1">
        <v>120000</v>
      </c>
      <c r="Q140" s="1">
        <v>102547</v>
      </c>
      <c r="R140" s="6">
        <v>704</v>
      </c>
      <c r="S140" s="1" t="s">
        <v>189</v>
      </c>
      <c r="T140" s="6" t="s">
        <v>98</v>
      </c>
      <c r="U140" s="1" t="s">
        <v>38</v>
      </c>
      <c r="V140" s="1">
        <v>0</v>
      </c>
      <c r="W140" s="1" t="s">
        <v>629</v>
      </c>
      <c r="X140" s="1" t="s">
        <v>31</v>
      </c>
      <c r="Y140" s="1" t="s">
        <v>39</v>
      </c>
      <c r="Z140" s="1" t="s">
        <v>69</v>
      </c>
    </row>
    <row r="141" spans="1:26" hidden="1" x14ac:dyDescent="0.25">
      <c r="A141" s="5">
        <v>140</v>
      </c>
      <c r="B141" s="1" t="s">
        <v>667</v>
      </c>
      <c r="C141" s="1"/>
      <c r="D141" s="1"/>
      <c r="E141" s="7">
        <v>45828</v>
      </c>
      <c r="F141" s="1" t="s">
        <v>668</v>
      </c>
      <c r="G141" s="1" t="s">
        <v>669</v>
      </c>
      <c r="H141" s="1" t="s">
        <v>670</v>
      </c>
      <c r="I141" s="1" t="s">
        <v>253</v>
      </c>
      <c r="J141" s="1">
        <v>2022</v>
      </c>
      <c r="K141" s="1">
        <v>15000000</v>
      </c>
      <c r="L141" s="1">
        <v>225000</v>
      </c>
      <c r="M141" s="1">
        <v>1.4999999999999999E-2</v>
      </c>
      <c r="N141" s="1">
        <v>45828</v>
      </c>
      <c r="O141" s="1">
        <v>193535</v>
      </c>
      <c r="P141" s="1">
        <v>225000</v>
      </c>
      <c r="Q141" s="1">
        <v>193535</v>
      </c>
      <c r="R141" s="6">
        <v>704</v>
      </c>
      <c r="S141" s="1" t="s">
        <v>189</v>
      </c>
      <c r="T141" s="6" t="s">
        <v>98</v>
      </c>
      <c r="U141" s="1" t="s">
        <v>38</v>
      </c>
      <c r="V141" s="1">
        <v>0</v>
      </c>
      <c r="W141" s="1" t="s">
        <v>629</v>
      </c>
      <c r="X141" s="1" t="s">
        <v>31</v>
      </c>
      <c r="Y141" s="1" t="s">
        <v>39</v>
      </c>
      <c r="Z141" s="1" t="s">
        <v>69</v>
      </c>
    </row>
    <row r="142" spans="1:26" hidden="1" x14ac:dyDescent="0.25">
      <c r="A142" s="5">
        <v>141</v>
      </c>
      <c r="B142" s="1" t="s">
        <v>671</v>
      </c>
      <c r="C142" s="1"/>
      <c r="D142" s="1"/>
      <c r="E142" s="7">
        <v>45810</v>
      </c>
      <c r="F142" s="1" t="s">
        <v>672</v>
      </c>
      <c r="G142" s="1" t="s">
        <v>673</v>
      </c>
      <c r="H142" s="1" t="s">
        <v>182</v>
      </c>
      <c r="I142" s="1" t="s">
        <v>674</v>
      </c>
      <c r="J142" s="1">
        <v>2024</v>
      </c>
      <c r="K142" s="1">
        <v>5000000</v>
      </c>
      <c r="L142" s="1">
        <v>75000</v>
      </c>
      <c r="M142" s="1">
        <v>1.4999999999999999E-2</v>
      </c>
      <c r="N142" s="1">
        <v>45810</v>
      </c>
      <c r="O142" s="1">
        <v>64085</v>
      </c>
      <c r="P142" s="1">
        <v>75000</v>
      </c>
      <c r="Q142" s="1">
        <v>64085</v>
      </c>
      <c r="R142" s="6">
        <v>704</v>
      </c>
      <c r="S142" s="1" t="s">
        <v>189</v>
      </c>
      <c r="T142" s="6" t="s">
        <v>98</v>
      </c>
      <c r="U142" s="1" t="s">
        <v>38</v>
      </c>
      <c r="V142" s="1">
        <v>0</v>
      </c>
      <c r="W142" s="1" t="s">
        <v>629</v>
      </c>
      <c r="X142" s="1" t="s">
        <v>31</v>
      </c>
      <c r="Y142" s="1" t="s">
        <v>39</v>
      </c>
      <c r="Z142" s="1" t="s">
        <v>69</v>
      </c>
    </row>
    <row r="143" spans="1:26" hidden="1" x14ac:dyDescent="0.25">
      <c r="A143" s="5">
        <v>142</v>
      </c>
      <c r="B143" s="1" t="s">
        <v>675</v>
      </c>
      <c r="C143" s="1"/>
      <c r="D143" s="1"/>
      <c r="E143" s="7">
        <v>45828</v>
      </c>
      <c r="F143" s="1" t="s">
        <v>676</v>
      </c>
      <c r="G143" s="1" t="s">
        <v>677</v>
      </c>
      <c r="H143" s="1" t="s">
        <v>678</v>
      </c>
      <c r="I143" s="1" t="s">
        <v>679</v>
      </c>
      <c r="J143" s="1">
        <v>2021</v>
      </c>
      <c r="K143" s="1">
        <v>6000000</v>
      </c>
      <c r="L143" s="1">
        <v>108000</v>
      </c>
      <c r="M143" s="1">
        <v>1.7999999999999999E-2</v>
      </c>
      <c r="N143" s="1">
        <v>45831</v>
      </c>
      <c r="O143" s="1">
        <v>92291</v>
      </c>
      <c r="P143" s="1">
        <v>108000</v>
      </c>
      <c r="Q143" s="1">
        <v>92291</v>
      </c>
      <c r="R143" s="6">
        <v>704</v>
      </c>
      <c r="S143" s="1" t="s">
        <v>189</v>
      </c>
      <c r="T143" s="6" t="s">
        <v>98</v>
      </c>
      <c r="U143" s="1" t="s">
        <v>38</v>
      </c>
      <c r="V143" s="1">
        <v>0</v>
      </c>
      <c r="W143" s="1" t="s">
        <v>629</v>
      </c>
      <c r="X143" s="1" t="s">
        <v>31</v>
      </c>
      <c r="Y143" s="1" t="s">
        <v>39</v>
      </c>
      <c r="Z143" s="1" t="s">
        <v>69</v>
      </c>
    </row>
    <row r="144" spans="1:26" hidden="1" x14ac:dyDescent="0.25">
      <c r="A144" s="5">
        <v>143</v>
      </c>
      <c r="B144" s="1" t="s">
        <v>680</v>
      </c>
      <c r="C144" s="1"/>
      <c r="D144" s="1"/>
      <c r="E144" s="7">
        <v>45821</v>
      </c>
      <c r="F144" s="1" t="s">
        <v>681</v>
      </c>
      <c r="G144" s="1" t="s">
        <v>682</v>
      </c>
      <c r="H144" s="1" t="s">
        <v>683</v>
      </c>
      <c r="I144" s="1" t="s">
        <v>684</v>
      </c>
      <c r="J144" s="1">
        <v>2013</v>
      </c>
      <c r="K144" s="1">
        <v>1600000</v>
      </c>
      <c r="L144" s="1">
        <v>24000</v>
      </c>
      <c r="M144" s="1">
        <v>1.4999999999999999E-2</v>
      </c>
      <c r="N144" s="1">
        <v>45827</v>
      </c>
      <c r="O144" s="1">
        <v>20258</v>
      </c>
      <c r="P144" s="1">
        <v>24000</v>
      </c>
      <c r="Q144" s="1">
        <v>20258</v>
      </c>
      <c r="R144" s="6">
        <v>704</v>
      </c>
      <c r="S144" s="1" t="s">
        <v>189</v>
      </c>
      <c r="T144" s="6" t="s">
        <v>98</v>
      </c>
      <c r="U144" s="1" t="s">
        <v>38</v>
      </c>
      <c r="V144" s="1">
        <v>0</v>
      </c>
      <c r="W144" s="1" t="s">
        <v>629</v>
      </c>
      <c r="X144" s="1" t="s">
        <v>31</v>
      </c>
      <c r="Y144" s="1" t="s">
        <v>153</v>
      </c>
      <c r="Z144" s="1" t="s">
        <v>154</v>
      </c>
    </row>
    <row r="145" spans="1:26" hidden="1" x14ac:dyDescent="0.25">
      <c r="A145" s="5">
        <v>144</v>
      </c>
      <c r="B145" s="1" t="s">
        <v>685</v>
      </c>
      <c r="C145" s="1"/>
      <c r="D145" s="1"/>
      <c r="E145" s="7">
        <v>45820</v>
      </c>
      <c r="F145" s="1" t="s">
        <v>686</v>
      </c>
      <c r="G145" s="1" t="s">
        <v>687</v>
      </c>
      <c r="H145" s="1" t="s">
        <v>688</v>
      </c>
      <c r="I145" s="1" t="s">
        <v>689</v>
      </c>
      <c r="J145" s="1">
        <v>2024</v>
      </c>
      <c r="K145" s="1">
        <v>8990000</v>
      </c>
      <c r="L145" s="1">
        <v>121365</v>
      </c>
      <c r="M145" s="1">
        <v>1.35E-2</v>
      </c>
      <c r="N145" s="1">
        <v>45820</v>
      </c>
      <c r="O145" s="1">
        <v>104194</v>
      </c>
      <c r="P145" s="1">
        <v>121365</v>
      </c>
      <c r="Q145" s="1">
        <v>104194</v>
      </c>
      <c r="R145" s="6">
        <v>704</v>
      </c>
      <c r="S145" s="1" t="s">
        <v>189</v>
      </c>
      <c r="T145" s="6" t="s">
        <v>98</v>
      </c>
      <c r="U145" s="1" t="s">
        <v>38</v>
      </c>
      <c r="V145" s="1">
        <v>0</v>
      </c>
      <c r="W145" s="1" t="s">
        <v>629</v>
      </c>
      <c r="X145" s="1" t="s">
        <v>31</v>
      </c>
      <c r="Y145" s="1" t="s">
        <v>39</v>
      </c>
      <c r="Z145" s="1" t="s">
        <v>69</v>
      </c>
    </row>
    <row r="146" spans="1:26" hidden="1" x14ac:dyDescent="0.25">
      <c r="A146" s="5">
        <v>145</v>
      </c>
      <c r="B146" s="1" t="s">
        <v>690</v>
      </c>
      <c r="C146" s="1"/>
      <c r="D146" s="1"/>
      <c r="E146" s="7">
        <v>45827</v>
      </c>
      <c r="F146" s="1" t="s">
        <v>691</v>
      </c>
      <c r="G146" s="1" t="s">
        <v>692</v>
      </c>
      <c r="H146" s="1" t="s">
        <v>693</v>
      </c>
      <c r="I146" s="1" t="s">
        <v>694</v>
      </c>
      <c r="J146" s="1">
        <v>2018</v>
      </c>
      <c r="K146" s="1">
        <v>2100000</v>
      </c>
      <c r="L146" s="1">
        <v>35700</v>
      </c>
      <c r="M146" s="1">
        <v>1.7000000000000001E-2</v>
      </c>
      <c r="N146" s="1">
        <v>45827</v>
      </c>
      <c r="O146" s="1">
        <v>30345</v>
      </c>
      <c r="P146" s="1">
        <v>35700</v>
      </c>
      <c r="Q146" s="1">
        <v>30345</v>
      </c>
      <c r="R146" s="6">
        <v>704</v>
      </c>
      <c r="S146" s="1" t="s">
        <v>189</v>
      </c>
      <c r="T146" s="6" t="s">
        <v>98</v>
      </c>
      <c r="U146" s="1" t="s">
        <v>38</v>
      </c>
      <c r="V146" s="1">
        <v>0</v>
      </c>
      <c r="W146" s="1" t="s">
        <v>629</v>
      </c>
      <c r="X146" s="1" t="s">
        <v>31</v>
      </c>
      <c r="Y146" s="1" t="s">
        <v>39</v>
      </c>
      <c r="Z146" s="1" t="s">
        <v>69</v>
      </c>
    </row>
    <row r="147" spans="1:26" hidden="1" x14ac:dyDescent="0.25">
      <c r="A147" s="5">
        <v>146</v>
      </c>
      <c r="B147" s="1" t="s">
        <v>695</v>
      </c>
      <c r="C147" s="1"/>
      <c r="D147" s="1"/>
      <c r="E147" s="7">
        <v>45825</v>
      </c>
      <c r="F147" s="1" t="s">
        <v>696</v>
      </c>
      <c r="G147" s="1" t="s">
        <v>697</v>
      </c>
      <c r="H147" s="1" t="s">
        <v>698</v>
      </c>
      <c r="I147" s="1" t="s">
        <v>699</v>
      </c>
      <c r="J147" s="1">
        <v>2021</v>
      </c>
      <c r="K147" s="1">
        <v>3400000</v>
      </c>
      <c r="L147" s="1">
        <v>59500</v>
      </c>
      <c r="M147" s="1">
        <v>1.7500000000000002E-2</v>
      </c>
      <c r="N147" s="1">
        <v>45825</v>
      </c>
      <c r="O147" s="1">
        <v>50862</v>
      </c>
      <c r="P147" s="1">
        <v>59500</v>
      </c>
      <c r="Q147" s="1">
        <v>50862</v>
      </c>
      <c r="R147" s="6">
        <v>704</v>
      </c>
      <c r="S147" s="1" t="s">
        <v>189</v>
      </c>
      <c r="T147" s="6" t="s">
        <v>98</v>
      </c>
      <c r="U147" s="1" t="s">
        <v>38</v>
      </c>
      <c r="V147" s="1">
        <v>0</v>
      </c>
      <c r="W147" s="1" t="s">
        <v>629</v>
      </c>
      <c r="X147" s="1" t="s">
        <v>31</v>
      </c>
      <c r="Y147" s="1" t="s">
        <v>39</v>
      </c>
      <c r="Z147" s="1" t="s">
        <v>69</v>
      </c>
    </row>
    <row r="148" spans="1:26" hidden="1" x14ac:dyDescent="0.25">
      <c r="A148" s="5">
        <v>147</v>
      </c>
      <c r="B148" s="1" t="s">
        <v>700</v>
      </c>
      <c r="C148" s="1"/>
      <c r="D148" s="1"/>
      <c r="E148" s="7">
        <v>45820</v>
      </c>
      <c r="F148" s="1" t="s">
        <v>701</v>
      </c>
      <c r="G148" s="1" t="s">
        <v>702</v>
      </c>
      <c r="H148" s="1" t="s">
        <v>703</v>
      </c>
      <c r="I148" s="1" t="s">
        <v>138</v>
      </c>
      <c r="J148" s="1">
        <v>2021</v>
      </c>
      <c r="K148" s="1">
        <v>2800000</v>
      </c>
      <c r="L148" s="1">
        <v>42000</v>
      </c>
      <c r="M148" s="1">
        <v>1.4999999999999999E-2</v>
      </c>
      <c r="N148" s="1">
        <v>45820</v>
      </c>
      <c r="O148" s="1">
        <v>35776</v>
      </c>
      <c r="P148" s="1">
        <v>42000</v>
      </c>
      <c r="Q148" s="1">
        <v>35776</v>
      </c>
      <c r="R148" s="6">
        <v>704</v>
      </c>
      <c r="S148" s="1" t="s">
        <v>189</v>
      </c>
      <c r="T148" s="6" t="s">
        <v>98</v>
      </c>
      <c r="U148" s="1" t="s">
        <v>38</v>
      </c>
      <c r="V148" s="1">
        <v>0</v>
      </c>
      <c r="W148" s="1" t="s">
        <v>629</v>
      </c>
      <c r="X148" s="1" t="s">
        <v>31</v>
      </c>
      <c r="Y148" s="1" t="s">
        <v>39</v>
      </c>
      <c r="Z148" s="1" t="s">
        <v>69</v>
      </c>
    </row>
    <row r="149" spans="1:26" hidden="1" x14ac:dyDescent="0.25">
      <c r="A149" s="5">
        <v>148</v>
      </c>
      <c r="B149" s="1" t="s">
        <v>704</v>
      </c>
      <c r="C149" s="1"/>
      <c r="D149" s="1"/>
      <c r="E149" s="7">
        <v>45821</v>
      </c>
      <c r="F149" s="1" t="s">
        <v>705</v>
      </c>
      <c r="G149" s="1" t="s">
        <v>706</v>
      </c>
      <c r="H149" s="1" t="s">
        <v>707</v>
      </c>
      <c r="I149" s="1" t="s">
        <v>168</v>
      </c>
      <c r="J149" s="1">
        <v>2022</v>
      </c>
      <c r="K149" s="1">
        <v>4000000</v>
      </c>
      <c r="L149" s="1">
        <v>96700</v>
      </c>
      <c r="M149" s="1">
        <v>2.4199999999999999E-2</v>
      </c>
      <c r="N149" s="1">
        <v>45821</v>
      </c>
      <c r="O149" s="1">
        <v>82931</v>
      </c>
      <c r="P149" s="1">
        <v>96700</v>
      </c>
      <c r="Q149" s="1">
        <v>82931</v>
      </c>
      <c r="R149" s="6">
        <v>704</v>
      </c>
      <c r="S149" s="1" t="s">
        <v>189</v>
      </c>
      <c r="T149" s="6" t="s">
        <v>98</v>
      </c>
      <c r="U149" s="1" t="s">
        <v>38</v>
      </c>
      <c r="V149" s="1">
        <v>0</v>
      </c>
      <c r="W149" s="1" t="s">
        <v>629</v>
      </c>
      <c r="X149" s="1" t="s">
        <v>31</v>
      </c>
      <c r="Y149" s="1" t="s">
        <v>39</v>
      </c>
      <c r="Z149" s="1" t="s">
        <v>69</v>
      </c>
    </row>
    <row r="150" spans="1:26" hidden="1" x14ac:dyDescent="0.25">
      <c r="A150" s="5">
        <v>149</v>
      </c>
      <c r="B150" s="1" t="s">
        <v>708</v>
      </c>
      <c r="C150" s="1"/>
      <c r="D150" s="1"/>
      <c r="E150" s="7">
        <v>45819</v>
      </c>
      <c r="F150" s="1" t="s">
        <v>709</v>
      </c>
      <c r="G150" s="1" t="s">
        <v>710</v>
      </c>
      <c r="H150" s="1" t="s">
        <v>711</v>
      </c>
      <c r="I150" s="1" t="s">
        <v>648</v>
      </c>
      <c r="J150" s="1">
        <v>2024</v>
      </c>
      <c r="K150" s="1">
        <v>3000000</v>
      </c>
      <c r="L150" s="1">
        <v>57000</v>
      </c>
      <c r="M150" s="1">
        <v>1.9E-2</v>
      </c>
      <c r="N150" s="1">
        <v>45819</v>
      </c>
      <c r="O150" s="1">
        <v>48707</v>
      </c>
      <c r="P150" s="1">
        <v>57000</v>
      </c>
      <c r="Q150" s="1">
        <v>48707</v>
      </c>
      <c r="R150" s="6">
        <v>704</v>
      </c>
      <c r="S150" s="1" t="s">
        <v>189</v>
      </c>
      <c r="T150" s="6" t="s">
        <v>98</v>
      </c>
      <c r="U150" s="1" t="s">
        <v>38</v>
      </c>
      <c r="V150" s="1">
        <v>0</v>
      </c>
      <c r="W150" s="1" t="s">
        <v>629</v>
      </c>
      <c r="X150" s="1" t="s">
        <v>31</v>
      </c>
      <c r="Y150" s="1" t="s">
        <v>153</v>
      </c>
      <c r="Z150" s="1" t="s">
        <v>154</v>
      </c>
    </row>
    <row r="151" spans="1:26" hidden="1" x14ac:dyDescent="0.25">
      <c r="A151" s="5">
        <v>150</v>
      </c>
      <c r="B151" s="1" t="s">
        <v>712</v>
      </c>
      <c r="C151" s="1"/>
      <c r="D151" s="1"/>
      <c r="E151" s="7">
        <v>45820</v>
      </c>
      <c r="F151" s="1" t="s">
        <v>713</v>
      </c>
      <c r="G151" s="1" t="s">
        <v>714</v>
      </c>
      <c r="H151" s="1" t="s">
        <v>715</v>
      </c>
      <c r="I151" s="1" t="s">
        <v>716</v>
      </c>
      <c r="J151" s="1">
        <v>2017</v>
      </c>
      <c r="K151" s="1">
        <v>2700000</v>
      </c>
      <c r="L151" s="1">
        <v>47250</v>
      </c>
      <c r="M151" s="1">
        <v>1.7500000000000002E-2</v>
      </c>
      <c r="N151" s="1">
        <v>45820</v>
      </c>
      <c r="O151" s="1">
        <v>40367</v>
      </c>
      <c r="P151" s="1">
        <v>47250</v>
      </c>
      <c r="Q151" s="1">
        <v>40367</v>
      </c>
      <c r="R151" s="6">
        <v>704</v>
      </c>
      <c r="S151" s="1" t="s">
        <v>189</v>
      </c>
      <c r="T151" s="6" t="s">
        <v>98</v>
      </c>
      <c r="U151" s="1" t="s">
        <v>38</v>
      </c>
      <c r="V151" s="1">
        <v>0</v>
      </c>
      <c r="W151" s="1" t="s">
        <v>629</v>
      </c>
      <c r="X151" s="1" t="s">
        <v>31</v>
      </c>
      <c r="Y151" s="1" t="s">
        <v>39</v>
      </c>
      <c r="Z151" s="1" t="s">
        <v>69</v>
      </c>
    </row>
    <row r="152" spans="1:26" hidden="1" x14ac:dyDescent="0.25">
      <c r="A152" s="5">
        <v>151</v>
      </c>
      <c r="B152" s="1" t="s">
        <v>717</v>
      </c>
      <c r="C152" s="1"/>
      <c r="D152" s="1"/>
      <c r="E152" s="7">
        <v>45828</v>
      </c>
      <c r="F152" s="1" t="s">
        <v>718</v>
      </c>
      <c r="G152" s="1" t="s">
        <v>719</v>
      </c>
      <c r="H152" s="1" t="s">
        <v>316</v>
      </c>
      <c r="I152" s="1" t="s">
        <v>720</v>
      </c>
      <c r="J152" s="1">
        <v>2024</v>
      </c>
      <c r="K152" s="1">
        <v>14434000</v>
      </c>
      <c r="L152" s="1">
        <v>216510</v>
      </c>
      <c r="M152" s="1">
        <v>1.4999999999999999E-2</v>
      </c>
      <c r="N152" s="1">
        <v>45828</v>
      </c>
      <c r="O152" s="1">
        <v>186647</v>
      </c>
      <c r="P152" s="1">
        <v>216510</v>
      </c>
      <c r="Q152" s="1">
        <v>186647</v>
      </c>
      <c r="R152" s="6">
        <v>704</v>
      </c>
      <c r="S152" s="1" t="s">
        <v>189</v>
      </c>
      <c r="T152" s="6" t="s">
        <v>98</v>
      </c>
      <c r="U152" s="1" t="s">
        <v>38</v>
      </c>
      <c r="V152" s="1">
        <v>0</v>
      </c>
      <c r="W152" s="1" t="s">
        <v>629</v>
      </c>
      <c r="X152" s="1" t="s">
        <v>31</v>
      </c>
      <c r="Y152" s="1" t="s">
        <v>39</v>
      </c>
      <c r="Z152" s="1" t="s">
        <v>69</v>
      </c>
    </row>
    <row r="153" spans="1:26" hidden="1" x14ac:dyDescent="0.25">
      <c r="A153" s="5">
        <v>152</v>
      </c>
      <c r="B153" s="1" t="s">
        <v>721</v>
      </c>
      <c r="C153" s="1"/>
      <c r="D153" s="1"/>
      <c r="E153" s="7">
        <v>45834</v>
      </c>
      <c r="F153" s="1" t="s">
        <v>722</v>
      </c>
      <c r="G153" s="1" t="s">
        <v>723</v>
      </c>
      <c r="H153" s="1" t="s">
        <v>316</v>
      </c>
      <c r="I153" s="1" t="s">
        <v>123</v>
      </c>
      <c r="J153" s="1">
        <v>2024</v>
      </c>
      <c r="K153" s="1">
        <v>4719000</v>
      </c>
      <c r="L153" s="1">
        <v>70785</v>
      </c>
      <c r="M153" s="1">
        <v>1.4999999999999999E-2</v>
      </c>
      <c r="N153" s="1">
        <v>45834</v>
      </c>
      <c r="O153" s="1">
        <v>60590</v>
      </c>
      <c r="P153" s="1">
        <v>70785</v>
      </c>
      <c r="Q153" s="1">
        <v>60590</v>
      </c>
      <c r="R153" s="6">
        <v>704</v>
      </c>
      <c r="S153" s="1" t="s">
        <v>189</v>
      </c>
      <c r="T153" s="6" t="s">
        <v>98</v>
      </c>
      <c r="U153" s="1" t="s">
        <v>38</v>
      </c>
      <c r="V153" s="1">
        <v>0</v>
      </c>
      <c r="W153" s="1" t="s">
        <v>629</v>
      </c>
      <c r="X153" s="1" t="s">
        <v>31</v>
      </c>
      <c r="Y153" s="1" t="s">
        <v>39</v>
      </c>
      <c r="Z153" s="1" t="s">
        <v>69</v>
      </c>
    </row>
    <row r="154" spans="1:26" hidden="1" x14ac:dyDescent="0.25">
      <c r="A154" s="5">
        <v>153</v>
      </c>
      <c r="B154" s="1" t="s">
        <v>724</v>
      </c>
      <c r="C154" s="1"/>
      <c r="D154" s="1"/>
      <c r="E154" s="7">
        <v>45810</v>
      </c>
      <c r="F154" s="1" t="s">
        <v>725</v>
      </c>
      <c r="G154" s="1" t="s">
        <v>726</v>
      </c>
      <c r="H154" s="1" t="s">
        <v>727</v>
      </c>
      <c r="I154" s="1" t="s">
        <v>28</v>
      </c>
      <c r="J154" s="1">
        <v>2021</v>
      </c>
      <c r="K154" s="1">
        <v>2300000</v>
      </c>
      <c r="L154" s="1">
        <v>10000</v>
      </c>
      <c r="M154" s="1">
        <v>2.5000000000000001E-2</v>
      </c>
      <c r="N154" s="1">
        <v>45810</v>
      </c>
      <c r="O154" s="1">
        <v>8190</v>
      </c>
      <c r="P154" s="1">
        <v>10000</v>
      </c>
      <c r="Q154" s="1">
        <v>8190</v>
      </c>
      <c r="R154" s="6">
        <v>704</v>
      </c>
      <c r="S154" s="1" t="s">
        <v>189</v>
      </c>
      <c r="T154" s="6" t="s">
        <v>98</v>
      </c>
      <c r="U154" s="1" t="s">
        <v>38</v>
      </c>
      <c r="V154" s="1">
        <v>0</v>
      </c>
      <c r="W154" s="1" t="s">
        <v>629</v>
      </c>
      <c r="X154" s="1" t="s">
        <v>190</v>
      </c>
      <c r="Y154" s="1" t="s">
        <v>217</v>
      </c>
      <c r="Z154" s="1" t="s">
        <v>305</v>
      </c>
    </row>
    <row r="155" spans="1:26" hidden="1" x14ac:dyDescent="0.25">
      <c r="A155" s="5">
        <v>154</v>
      </c>
      <c r="B155" s="1" t="s">
        <v>728</v>
      </c>
      <c r="C155" s="1"/>
      <c r="D155" s="1"/>
      <c r="E155" s="7">
        <v>45818</v>
      </c>
      <c r="F155" s="1" t="s">
        <v>645</v>
      </c>
      <c r="G155" s="1" t="s">
        <v>729</v>
      </c>
      <c r="H155" s="1" t="s">
        <v>730</v>
      </c>
      <c r="I155" s="1" t="s">
        <v>731</v>
      </c>
      <c r="J155" s="1">
        <v>2023</v>
      </c>
      <c r="K155" s="1">
        <v>9700000</v>
      </c>
      <c r="L155" s="1">
        <v>10000</v>
      </c>
      <c r="M155" s="1">
        <v>2.5000000000000001E-2</v>
      </c>
      <c r="N155" s="1">
        <v>45818</v>
      </c>
      <c r="O155" s="1">
        <v>8190</v>
      </c>
      <c r="P155" s="1">
        <v>10000</v>
      </c>
      <c r="Q155" s="1">
        <v>8190</v>
      </c>
      <c r="R155" s="6">
        <v>704</v>
      </c>
      <c r="S155" s="1" t="s">
        <v>189</v>
      </c>
      <c r="T155" s="6" t="s">
        <v>98</v>
      </c>
      <c r="U155" s="1" t="s">
        <v>38</v>
      </c>
      <c r="V155" s="1">
        <v>0</v>
      </c>
      <c r="W155" s="1" t="s">
        <v>629</v>
      </c>
      <c r="X155" s="1" t="s">
        <v>190</v>
      </c>
      <c r="Y155" s="1" t="s">
        <v>217</v>
      </c>
      <c r="Z155" s="1" t="s">
        <v>305</v>
      </c>
    </row>
    <row r="156" spans="1:26" x14ac:dyDescent="0.25">
      <c r="A156" s="5">
        <v>155</v>
      </c>
      <c r="B156" s="1" t="s">
        <v>732</v>
      </c>
      <c r="C156" s="1" t="e">
        <f>VLOOKUP('IT Working sheet '!B156,'09000210'!B:C,2,0)</f>
        <v>#N/A</v>
      </c>
      <c r="D156" s="1"/>
      <c r="E156" s="7">
        <v>45849</v>
      </c>
      <c r="F156" s="1" t="s">
        <v>733</v>
      </c>
      <c r="G156" s="1">
        <v>3008286191</v>
      </c>
      <c r="H156" s="1" t="s">
        <v>734</v>
      </c>
      <c r="I156" s="1" t="s">
        <v>648</v>
      </c>
      <c r="J156" s="1">
        <v>2025</v>
      </c>
      <c r="K156" s="1">
        <v>3400000</v>
      </c>
      <c r="L156" s="1">
        <v>59500</v>
      </c>
      <c r="M156" s="1">
        <v>1.7500000000000002E-2</v>
      </c>
      <c r="N156" s="1">
        <v>45849</v>
      </c>
      <c r="O156" s="1">
        <v>50862</v>
      </c>
      <c r="P156" s="1">
        <v>59500</v>
      </c>
      <c r="Q156" s="1">
        <v>101724</v>
      </c>
      <c r="R156" s="6">
        <v>571</v>
      </c>
      <c r="S156" s="1" t="s">
        <v>189</v>
      </c>
      <c r="T156" s="6" t="s">
        <v>98</v>
      </c>
      <c r="U156" s="1" t="s">
        <v>29</v>
      </c>
      <c r="V156" s="1">
        <v>0</v>
      </c>
      <c r="W156" s="1" t="s">
        <v>735</v>
      </c>
      <c r="X156" s="1" t="s">
        <v>31</v>
      </c>
      <c r="Y156" s="1" t="s">
        <v>32</v>
      </c>
      <c r="Z156" s="1" t="s">
        <v>32</v>
      </c>
    </row>
    <row r="157" spans="1:26" hidden="1" x14ac:dyDescent="0.25">
      <c r="A157" s="5">
        <v>156</v>
      </c>
      <c r="B157" s="1" t="s">
        <v>736</v>
      </c>
      <c r="C157" s="1"/>
      <c r="D157" s="1"/>
      <c r="E157" s="7">
        <v>45828</v>
      </c>
      <c r="F157" s="1" t="s">
        <v>737</v>
      </c>
      <c r="G157" s="1" t="s">
        <v>738</v>
      </c>
      <c r="H157" s="1" t="s">
        <v>739</v>
      </c>
      <c r="I157" s="1" t="s">
        <v>740</v>
      </c>
      <c r="J157" s="1">
        <v>2013</v>
      </c>
      <c r="K157" s="1">
        <v>1700000</v>
      </c>
      <c r="L157" s="1">
        <v>42500</v>
      </c>
      <c r="M157" s="1">
        <v>2.5000000000000001E-2</v>
      </c>
      <c r="N157" s="1">
        <v>45824</v>
      </c>
      <c r="O157" s="1">
        <v>36207</v>
      </c>
      <c r="P157" s="1">
        <v>85000</v>
      </c>
      <c r="Q157" s="1">
        <v>72414</v>
      </c>
      <c r="R157" s="6">
        <v>571</v>
      </c>
      <c r="S157" s="1" t="s">
        <v>189</v>
      </c>
      <c r="T157" s="6" t="s">
        <v>98</v>
      </c>
      <c r="U157" s="1" t="s">
        <v>29</v>
      </c>
      <c r="V157" s="1">
        <v>0</v>
      </c>
      <c r="W157" s="1" t="s">
        <v>741</v>
      </c>
      <c r="X157" s="1" t="s">
        <v>31</v>
      </c>
      <c r="Y157" s="1" t="s">
        <v>32</v>
      </c>
      <c r="Z157" s="1" t="s">
        <v>32</v>
      </c>
    </row>
    <row r="158" spans="1:26" x14ac:dyDescent="0.25">
      <c r="A158" s="5">
        <v>157</v>
      </c>
      <c r="B158" s="1" t="s">
        <v>742</v>
      </c>
      <c r="C158" s="1" t="str">
        <f>VLOOKUP('IT Working sheet '!B158,'09000210'!B:C,2,0)</f>
        <v>040000200091</v>
      </c>
      <c r="D158" s="1" t="str">
        <f t="shared" ref="D158:D160" si="4">"Update ins_assorted_clients set commission_amount = '"&amp;R158&amp;"' where assorted_code = '"&amp;C158&amp;"' and agency_code = '09000870';"</f>
        <v>Update ins_assorted_clients set commission_amount = '571' where assorted_code = '040000200091' and agency_code = '09000870';</v>
      </c>
      <c r="E158" s="7">
        <v>45840</v>
      </c>
      <c r="F158" s="1" t="s">
        <v>743</v>
      </c>
      <c r="G158" s="1" t="s">
        <v>744</v>
      </c>
      <c r="H158" s="1" t="s">
        <v>745</v>
      </c>
      <c r="I158" s="1" t="s">
        <v>746</v>
      </c>
      <c r="J158" s="1">
        <v>2022</v>
      </c>
      <c r="K158" s="1">
        <v>5800000</v>
      </c>
      <c r="L158" s="1">
        <v>87000</v>
      </c>
      <c r="M158" s="1">
        <v>1.4999999999999999E-2</v>
      </c>
      <c r="N158" s="1">
        <v>46225</v>
      </c>
      <c r="O158" s="1">
        <v>74569</v>
      </c>
      <c r="P158" s="1">
        <v>87000</v>
      </c>
      <c r="Q158" s="1">
        <v>74569</v>
      </c>
      <c r="R158" s="6">
        <v>571</v>
      </c>
      <c r="S158" s="1" t="s">
        <v>189</v>
      </c>
      <c r="T158" s="6" t="s">
        <v>98</v>
      </c>
      <c r="U158" s="1" t="s">
        <v>38</v>
      </c>
      <c r="V158" s="1">
        <v>0</v>
      </c>
      <c r="W158" s="1" t="s">
        <v>735</v>
      </c>
      <c r="X158" s="1" t="s">
        <v>31</v>
      </c>
      <c r="Y158" s="1" t="s">
        <v>39</v>
      </c>
      <c r="Z158" s="1" t="s">
        <v>40</v>
      </c>
    </row>
    <row r="159" spans="1:26" x14ac:dyDescent="0.25">
      <c r="A159" s="5">
        <v>158</v>
      </c>
      <c r="B159" s="1" t="s">
        <v>747</v>
      </c>
      <c r="C159" s="1" t="str">
        <f>VLOOKUP('IT Working sheet '!B159,'09000210'!B:C,2,0)</f>
        <v>040000200020</v>
      </c>
      <c r="D159" s="1" t="str">
        <f t="shared" si="4"/>
        <v>Update ins_assorted_clients set commission_amount = '571' where assorted_code = '040000200020' and agency_code = '09000870';</v>
      </c>
      <c r="E159" s="7">
        <v>45839</v>
      </c>
      <c r="F159" s="1" t="s">
        <v>748</v>
      </c>
      <c r="G159" s="1" t="s">
        <v>749</v>
      </c>
      <c r="H159" s="1" t="s">
        <v>750</v>
      </c>
      <c r="I159" s="1" t="s">
        <v>751</v>
      </c>
      <c r="J159" s="1">
        <v>2024</v>
      </c>
      <c r="K159" s="1">
        <v>5874000</v>
      </c>
      <c r="L159" s="1">
        <v>102795</v>
      </c>
      <c r="M159" s="1">
        <v>1.7500000000000002E-2</v>
      </c>
      <c r="N159" s="1">
        <v>46226</v>
      </c>
      <c r="O159" s="1">
        <v>74769</v>
      </c>
      <c r="P159" s="1">
        <v>102795</v>
      </c>
      <c r="Q159" s="1">
        <v>74769</v>
      </c>
      <c r="R159" s="6">
        <v>571</v>
      </c>
      <c r="S159" s="1" t="s">
        <v>189</v>
      </c>
      <c r="T159" s="6" t="s">
        <v>98</v>
      </c>
      <c r="U159" s="1" t="s">
        <v>38</v>
      </c>
      <c r="V159" s="1">
        <v>0</v>
      </c>
      <c r="W159" s="1" t="s">
        <v>735</v>
      </c>
      <c r="X159" s="1" t="s">
        <v>31</v>
      </c>
      <c r="Y159" s="1" t="s">
        <v>39</v>
      </c>
      <c r="Z159" s="1" t="s">
        <v>40</v>
      </c>
    </row>
    <row r="160" spans="1:26" x14ac:dyDescent="0.25">
      <c r="A160" s="5">
        <v>159</v>
      </c>
      <c r="B160" s="1" t="s">
        <v>752</v>
      </c>
      <c r="C160" s="1" t="str">
        <f>VLOOKUP('IT Working sheet '!B160,'09000210'!B:C,2,0)</f>
        <v>040000200393</v>
      </c>
      <c r="D160" s="1" t="str">
        <f t="shared" si="4"/>
        <v>Update ins_assorted_clients set commission_amount = '571' where assorted_code = '040000200393' and agency_code = '09000870';</v>
      </c>
      <c r="E160" s="7">
        <v>45846</v>
      </c>
      <c r="F160" s="1" t="s">
        <v>753</v>
      </c>
      <c r="G160" s="1" t="s">
        <v>754</v>
      </c>
      <c r="H160" s="1" t="s">
        <v>755</v>
      </c>
      <c r="I160" s="1" t="s">
        <v>756</v>
      </c>
      <c r="J160" s="1">
        <v>2024</v>
      </c>
      <c r="K160" s="1">
        <v>9200000</v>
      </c>
      <c r="L160" s="1">
        <v>138000</v>
      </c>
      <c r="M160" s="1">
        <v>1.4999999999999999E-2</v>
      </c>
      <c r="N160" s="1">
        <v>46224</v>
      </c>
      <c r="O160" s="1">
        <v>118535</v>
      </c>
      <c r="P160" s="1">
        <v>138000</v>
      </c>
      <c r="Q160" s="1">
        <v>118535</v>
      </c>
      <c r="R160" s="6">
        <v>571</v>
      </c>
      <c r="S160" s="1" t="s">
        <v>189</v>
      </c>
      <c r="T160" s="6" t="s">
        <v>98</v>
      </c>
      <c r="U160" s="1" t="s">
        <v>38</v>
      </c>
      <c r="V160" s="1">
        <v>0</v>
      </c>
      <c r="W160" s="1" t="s">
        <v>735</v>
      </c>
      <c r="X160" s="1" t="s">
        <v>31</v>
      </c>
      <c r="Y160" s="1" t="s">
        <v>39</v>
      </c>
      <c r="Z160" s="1" t="s">
        <v>757</v>
      </c>
    </row>
    <row r="161" spans="1:26" x14ac:dyDescent="0.25">
      <c r="A161" s="5">
        <v>160</v>
      </c>
      <c r="B161" s="1" t="s">
        <v>758</v>
      </c>
      <c r="C161" s="1" t="e">
        <f>VLOOKUP('IT Working sheet '!B161,'09000210'!B:C,2,0)</f>
        <v>#N/A</v>
      </c>
      <c r="D161" s="1"/>
      <c r="E161" s="7">
        <v>45839</v>
      </c>
      <c r="F161" s="1" t="s">
        <v>759</v>
      </c>
      <c r="G161" s="1" t="s">
        <v>760</v>
      </c>
      <c r="H161" s="1" t="s">
        <v>761</v>
      </c>
      <c r="I161" s="1" t="s">
        <v>762</v>
      </c>
      <c r="J161" s="1">
        <v>2017</v>
      </c>
      <c r="K161" s="1">
        <v>1760000</v>
      </c>
      <c r="L161" s="1">
        <v>44000</v>
      </c>
      <c r="M161" s="1">
        <v>2.5000000000000001E-2</v>
      </c>
      <c r="N161" s="1">
        <v>45839</v>
      </c>
      <c r="O161" s="1">
        <v>37500</v>
      </c>
      <c r="P161" s="1">
        <v>44000</v>
      </c>
      <c r="Q161" s="1">
        <v>37500</v>
      </c>
      <c r="R161" s="6">
        <v>571</v>
      </c>
      <c r="S161" s="1" t="s">
        <v>189</v>
      </c>
      <c r="T161" s="6" t="s">
        <v>98</v>
      </c>
      <c r="U161" s="1" t="s">
        <v>38</v>
      </c>
      <c r="V161" s="1">
        <v>0</v>
      </c>
      <c r="W161" s="1" t="s">
        <v>735</v>
      </c>
      <c r="X161" s="1" t="s">
        <v>31</v>
      </c>
      <c r="Y161" s="1" t="s">
        <v>153</v>
      </c>
      <c r="Z161" s="1" t="s">
        <v>763</v>
      </c>
    </row>
    <row r="162" spans="1:26" x14ac:dyDescent="0.25">
      <c r="A162" s="5">
        <v>161</v>
      </c>
      <c r="B162" s="1" t="s">
        <v>764</v>
      </c>
      <c r="C162" s="1" t="str">
        <f>VLOOKUP('IT Working sheet '!B162,'09000210'!B:C,2,0)</f>
        <v>040000200136</v>
      </c>
      <c r="D162" s="1" t="str">
        <f>"Update ins_assorted_clients set commission_amount = '"&amp;R162&amp;"' where assorted_code = '"&amp;C162&amp;"' and agency_code = '09000870';"</f>
        <v>Update ins_assorted_clients set commission_amount = '571' where assorted_code = '040000200136' and agency_code = '09000870';</v>
      </c>
      <c r="E162" s="7">
        <v>45841</v>
      </c>
      <c r="F162" s="1" t="s">
        <v>765</v>
      </c>
      <c r="G162" s="1" t="s">
        <v>766</v>
      </c>
      <c r="H162" s="1" t="s">
        <v>767</v>
      </c>
      <c r="I162" s="1" t="s">
        <v>768</v>
      </c>
      <c r="J162" s="1">
        <v>2021</v>
      </c>
      <c r="K162" s="1">
        <v>4300000</v>
      </c>
      <c r="L162" s="1">
        <v>60200</v>
      </c>
      <c r="M162" s="1">
        <v>1.4E-2</v>
      </c>
      <c r="N162" s="1">
        <v>45841</v>
      </c>
      <c r="O162" s="1">
        <v>51465</v>
      </c>
      <c r="P162" s="1">
        <v>60200</v>
      </c>
      <c r="Q162" s="1">
        <v>51465</v>
      </c>
      <c r="R162" s="6">
        <v>571</v>
      </c>
      <c r="S162" s="1" t="s">
        <v>189</v>
      </c>
      <c r="T162" s="6" t="s">
        <v>98</v>
      </c>
      <c r="U162" s="1" t="s">
        <v>38</v>
      </c>
      <c r="V162" s="1">
        <v>0</v>
      </c>
      <c r="W162" s="1" t="s">
        <v>735</v>
      </c>
      <c r="X162" s="1" t="s">
        <v>31</v>
      </c>
      <c r="Y162" s="1" t="s">
        <v>39</v>
      </c>
      <c r="Z162" s="1" t="s">
        <v>40</v>
      </c>
    </row>
    <row r="163" spans="1:26" hidden="1" x14ac:dyDescent="0.25">
      <c r="A163" s="5">
        <v>162</v>
      </c>
      <c r="B163" s="1" t="s">
        <v>769</v>
      </c>
      <c r="C163" s="1"/>
      <c r="D163" s="1"/>
      <c r="E163" s="7">
        <v>45825</v>
      </c>
      <c r="F163" s="1" t="s">
        <v>232</v>
      </c>
      <c r="G163" s="1" t="s">
        <v>770</v>
      </c>
      <c r="H163" s="1" t="s">
        <v>771</v>
      </c>
      <c r="I163" s="1" t="s">
        <v>772</v>
      </c>
      <c r="J163" s="1">
        <v>2016</v>
      </c>
      <c r="K163" s="1">
        <v>1250000</v>
      </c>
      <c r="L163" s="1">
        <v>18750</v>
      </c>
      <c r="M163" s="1">
        <v>1.4999999999999999E-2</v>
      </c>
      <c r="N163" s="1">
        <v>45824</v>
      </c>
      <c r="O163" s="1">
        <v>15733</v>
      </c>
      <c r="P163" s="1">
        <v>18750</v>
      </c>
      <c r="Q163" s="1">
        <v>15733</v>
      </c>
      <c r="R163" s="6">
        <v>571</v>
      </c>
      <c r="S163" s="1" t="s">
        <v>189</v>
      </c>
      <c r="T163" s="6" t="s">
        <v>98</v>
      </c>
      <c r="U163" s="1" t="s">
        <v>38</v>
      </c>
      <c r="V163" s="1">
        <v>0</v>
      </c>
      <c r="W163" s="1" t="s">
        <v>741</v>
      </c>
      <c r="X163" s="1" t="s">
        <v>31</v>
      </c>
      <c r="Y163" s="1" t="s">
        <v>39</v>
      </c>
      <c r="Z163" s="1" t="s">
        <v>183</v>
      </c>
    </row>
    <row r="164" spans="1:26" hidden="1" x14ac:dyDescent="0.25">
      <c r="A164" s="5">
        <v>163</v>
      </c>
      <c r="B164" s="1" t="s">
        <v>773</v>
      </c>
      <c r="C164" s="1"/>
      <c r="D164" s="1"/>
      <c r="E164" s="7">
        <v>45820</v>
      </c>
      <c r="F164" s="1" t="s">
        <v>774</v>
      </c>
      <c r="G164" s="1" t="s">
        <v>775</v>
      </c>
      <c r="H164" s="1" t="s">
        <v>776</v>
      </c>
      <c r="I164" s="1" t="s">
        <v>777</v>
      </c>
      <c r="J164" s="1">
        <v>2023</v>
      </c>
      <c r="K164" s="1">
        <v>3741000</v>
      </c>
      <c r="L164" s="1">
        <v>65468</v>
      </c>
      <c r="M164" s="1">
        <v>1.7500000000000002E-2</v>
      </c>
      <c r="N164" s="1">
        <v>45819</v>
      </c>
      <c r="O164" s="1">
        <v>55939</v>
      </c>
      <c r="P164" s="1">
        <v>65468</v>
      </c>
      <c r="Q164" s="1">
        <v>55939</v>
      </c>
      <c r="R164" s="6">
        <v>571</v>
      </c>
      <c r="S164" s="1" t="s">
        <v>189</v>
      </c>
      <c r="T164" s="6" t="s">
        <v>98</v>
      </c>
      <c r="U164" s="1" t="s">
        <v>38</v>
      </c>
      <c r="V164" s="1">
        <v>0</v>
      </c>
      <c r="W164" s="1" t="s">
        <v>741</v>
      </c>
      <c r="X164" s="1" t="s">
        <v>31</v>
      </c>
      <c r="Y164" s="1" t="s">
        <v>39</v>
      </c>
      <c r="Z164" s="1" t="s">
        <v>69</v>
      </c>
    </row>
    <row r="165" spans="1:26" hidden="1" x14ac:dyDescent="0.25">
      <c r="A165" s="5">
        <v>164</v>
      </c>
      <c r="B165" s="1" t="s">
        <v>778</v>
      </c>
      <c r="C165" s="1"/>
      <c r="D165" s="1"/>
      <c r="E165" s="7">
        <v>45813</v>
      </c>
      <c r="F165" s="1" t="s">
        <v>779</v>
      </c>
      <c r="G165" s="1" t="s">
        <v>780</v>
      </c>
      <c r="H165" s="1" t="s">
        <v>781</v>
      </c>
      <c r="I165" s="1" t="s">
        <v>43</v>
      </c>
      <c r="J165" s="1">
        <v>2024</v>
      </c>
      <c r="K165" s="1">
        <v>3045000</v>
      </c>
      <c r="L165" s="1">
        <v>53288</v>
      </c>
      <c r="M165" s="1">
        <v>1.7500000000000002E-2</v>
      </c>
      <c r="N165" s="1">
        <v>45813</v>
      </c>
      <c r="O165" s="1">
        <v>45528</v>
      </c>
      <c r="P165" s="1">
        <v>53288</v>
      </c>
      <c r="Q165" s="1">
        <v>45528</v>
      </c>
      <c r="R165" s="6">
        <v>571</v>
      </c>
      <c r="S165" s="1" t="s">
        <v>189</v>
      </c>
      <c r="T165" s="6" t="s">
        <v>98</v>
      </c>
      <c r="U165" s="1" t="s">
        <v>38</v>
      </c>
      <c r="V165" s="1">
        <v>0</v>
      </c>
      <c r="W165" s="1" t="s">
        <v>741</v>
      </c>
      <c r="X165" s="1" t="s">
        <v>31</v>
      </c>
      <c r="Y165" s="1" t="s">
        <v>39</v>
      </c>
      <c r="Z165" s="1" t="s">
        <v>69</v>
      </c>
    </row>
    <row r="166" spans="1:26" hidden="1" x14ac:dyDescent="0.25">
      <c r="A166" s="5">
        <v>165</v>
      </c>
      <c r="B166" s="1" t="s">
        <v>782</v>
      </c>
      <c r="C166" s="1"/>
      <c r="D166" s="1"/>
      <c r="E166" s="7">
        <v>45831</v>
      </c>
      <c r="F166" s="1" t="s">
        <v>783</v>
      </c>
      <c r="G166" s="1" t="s">
        <v>784</v>
      </c>
      <c r="H166" s="1" t="s">
        <v>785</v>
      </c>
      <c r="I166" s="1" t="s">
        <v>786</v>
      </c>
      <c r="J166" s="1">
        <v>2024</v>
      </c>
      <c r="K166" s="1">
        <v>4000000</v>
      </c>
      <c r="L166" s="1">
        <v>56000</v>
      </c>
      <c r="M166" s="1">
        <v>1.4E-2</v>
      </c>
      <c r="N166" s="1">
        <v>45831</v>
      </c>
      <c r="O166" s="1">
        <v>47845</v>
      </c>
      <c r="P166" s="1">
        <v>56000</v>
      </c>
      <c r="Q166" s="1">
        <v>47845</v>
      </c>
      <c r="R166" s="6">
        <v>571</v>
      </c>
      <c r="S166" s="1" t="s">
        <v>189</v>
      </c>
      <c r="T166" s="6" t="s">
        <v>98</v>
      </c>
      <c r="U166" s="1" t="s">
        <v>38</v>
      </c>
      <c r="V166" s="1">
        <v>0</v>
      </c>
      <c r="W166" s="1" t="s">
        <v>741</v>
      </c>
      <c r="X166" s="1" t="s">
        <v>31</v>
      </c>
      <c r="Y166" s="1" t="s">
        <v>39</v>
      </c>
      <c r="Z166" s="1" t="s">
        <v>69</v>
      </c>
    </row>
    <row r="167" spans="1:26" hidden="1" x14ac:dyDescent="0.25">
      <c r="A167" s="5">
        <v>166</v>
      </c>
      <c r="B167" s="1" t="s">
        <v>787</v>
      </c>
      <c r="C167" s="1"/>
      <c r="D167" s="1"/>
      <c r="E167" s="7">
        <v>45824</v>
      </c>
      <c r="F167" s="1" t="s">
        <v>788</v>
      </c>
      <c r="G167" s="1">
        <v>3335152340</v>
      </c>
      <c r="H167" s="1" t="s">
        <v>789</v>
      </c>
      <c r="I167" s="1" t="s">
        <v>648</v>
      </c>
      <c r="J167" s="1">
        <v>2022</v>
      </c>
      <c r="K167" s="1">
        <v>2270000</v>
      </c>
      <c r="L167" s="1">
        <v>38590</v>
      </c>
      <c r="M167" s="1">
        <v>1.7000000000000001E-2</v>
      </c>
      <c r="N167" s="1">
        <v>45824</v>
      </c>
      <c r="O167" s="1">
        <v>32837</v>
      </c>
      <c r="P167" s="1">
        <v>38590</v>
      </c>
      <c r="Q167" s="1">
        <v>32837</v>
      </c>
      <c r="R167" s="6">
        <v>571</v>
      </c>
      <c r="S167" s="1" t="s">
        <v>189</v>
      </c>
      <c r="T167" s="6" t="s">
        <v>98</v>
      </c>
      <c r="U167" s="1" t="s">
        <v>38</v>
      </c>
      <c r="V167" s="1">
        <v>0</v>
      </c>
      <c r="W167" s="1" t="s">
        <v>741</v>
      </c>
      <c r="X167" s="1" t="s">
        <v>31</v>
      </c>
      <c r="Y167" s="1" t="s">
        <v>39</v>
      </c>
      <c r="Z167" s="1" t="s">
        <v>69</v>
      </c>
    </row>
    <row r="168" spans="1:26" hidden="1" x14ac:dyDescent="0.25">
      <c r="A168" s="5">
        <v>167</v>
      </c>
      <c r="B168" s="1" t="s">
        <v>790</v>
      </c>
      <c r="C168" s="1"/>
      <c r="D168" s="1"/>
      <c r="E168" s="7">
        <v>45831</v>
      </c>
      <c r="F168" s="1" t="s">
        <v>791</v>
      </c>
      <c r="G168" s="1" t="s">
        <v>792</v>
      </c>
      <c r="H168" s="1" t="s">
        <v>793</v>
      </c>
      <c r="I168" s="1" t="s">
        <v>28</v>
      </c>
      <c r="J168" s="1">
        <v>2022</v>
      </c>
      <c r="K168" s="1">
        <v>2500000</v>
      </c>
      <c r="L168" s="1">
        <v>45000</v>
      </c>
      <c r="M168" s="1">
        <v>1.7999999999999999E-2</v>
      </c>
      <c r="N168" s="1">
        <v>45831</v>
      </c>
      <c r="O168" s="1">
        <v>38445</v>
      </c>
      <c r="P168" s="1">
        <v>45000</v>
      </c>
      <c r="Q168" s="1">
        <v>38445</v>
      </c>
      <c r="R168" s="6">
        <v>571</v>
      </c>
      <c r="S168" s="1" t="s">
        <v>189</v>
      </c>
      <c r="T168" s="6" t="s">
        <v>98</v>
      </c>
      <c r="U168" s="1" t="s">
        <v>38</v>
      </c>
      <c r="V168" s="1">
        <v>0</v>
      </c>
      <c r="W168" s="1" t="s">
        <v>741</v>
      </c>
      <c r="X168" s="1" t="s">
        <v>31</v>
      </c>
      <c r="Y168" s="1" t="s">
        <v>39</v>
      </c>
      <c r="Z168" s="1" t="s">
        <v>69</v>
      </c>
    </row>
    <row r="169" spans="1:26" hidden="1" x14ac:dyDescent="0.25">
      <c r="A169" s="5">
        <v>168</v>
      </c>
      <c r="B169" s="1" t="s">
        <v>794</v>
      </c>
      <c r="C169" s="1"/>
      <c r="D169" s="1"/>
      <c r="E169" s="7">
        <v>45820</v>
      </c>
      <c r="F169" s="1" t="s">
        <v>795</v>
      </c>
      <c r="G169" s="1" t="s">
        <v>796</v>
      </c>
      <c r="H169" s="1" t="s">
        <v>797</v>
      </c>
      <c r="I169" s="1" t="s">
        <v>798</v>
      </c>
      <c r="J169" s="1">
        <v>2013</v>
      </c>
      <c r="K169" s="1">
        <v>2200000</v>
      </c>
      <c r="L169" s="1">
        <v>33000</v>
      </c>
      <c r="M169" s="1">
        <v>1.4999999999999999E-2</v>
      </c>
      <c r="N169" s="1">
        <v>45820</v>
      </c>
      <c r="O169" s="1">
        <v>28017</v>
      </c>
      <c r="P169" s="1">
        <v>33000</v>
      </c>
      <c r="Q169" s="1">
        <v>28017</v>
      </c>
      <c r="R169" s="6">
        <v>571</v>
      </c>
      <c r="S169" s="1" t="s">
        <v>189</v>
      </c>
      <c r="T169" s="6" t="s">
        <v>98</v>
      </c>
      <c r="U169" s="1" t="s">
        <v>38</v>
      </c>
      <c r="V169" s="1">
        <v>0</v>
      </c>
      <c r="W169" s="1" t="s">
        <v>741</v>
      </c>
      <c r="X169" s="1" t="s">
        <v>31</v>
      </c>
      <c r="Y169" s="1" t="s">
        <v>39</v>
      </c>
      <c r="Z169" s="1" t="s">
        <v>69</v>
      </c>
    </row>
    <row r="170" spans="1:26" hidden="1" x14ac:dyDescent="0.25">
      <c r="A170" s="5">
        <v>169</v>
      </c>
      <c r="B170" s="1" t="s">
        <v>799</v>
      </c>
      <c r="C170" s="1"/>
      <c r="D170" s="1"/>
      <c r="E170" s="7">
        <v>45832</v>
      </c>
      <c r="F170" s="1" t="s">
        <v>800</v>
      </c>
      <c r="G170" s="1" t="s">
        <v>801</v>
      </c>
      <c r="H170" s="1" t="s">
        <v>802</v>
      </c>
      <c r="I170" s="1" t="s">
        <v>648</v>
      </c>
      <c r="J170" s="1">
        <v>2023</v>
      </c>
      <c r="K170" s="1">
        <v>2945000</v>
      </c>
      <c r="L170" s="1">
        <v>58606</v>
      </c>
      <c r="M170" s="1">
        <v>1.9900000000000001E-2</v>
      </c>
      <c r="N170" s="1">
        <v>45832</v>
      </c>
      <c r="O170" s="1">
        <v>50073</v>
      </c>
      <c r="P170" s="1">
        <v>58606</v>
      </c>
      <c r="Q170" s="1">
        <v>50073</v>
      </c>
      <c r="R170" s="6">
        <v>571</v>
      </c>
      <c r="S170" s="1" t="s">
        <v>189</v>
      </c>
      <c r="T170" s="6" t="s">
        <v>98</v>
      </c>
      <c r="U170" s="1" t="s">
        <v>38</v>
      </c>
      <c r="V170" s="1">
        <v>0</v>
      </c>
      <c r="W170" s="1" t="s">
        <v>741</v>
      </c>
      <c r="X170" s="1" t="s">
        <v>31</v>
      </c>
      <c r="Y170" s="1" t="s">
        <v>39</v>
      </c>
      <c r="Z170" s="1" t="s">
        <v>69</v>
      </c>
    </row>
    <row r="171" spans="1:26" hidden="1" x14ac:dyDescent="0.25">
      <c r="A171" s="5">
        <v>170</v>
      </c>
      <c r="B171" s="1" t="s">
        <v>803</v>
      </c>
      <c r="C171" s="1"/>
      <c r="D171" s="1"/>
      <c r="E171" s="7">
        <v>45820</v>
      </c>
      <c r="F171" s="1" t="s">
        <v>804</v>
      </c>
      <c r="G171" s="1" t="s">
        <v>805</v>
      </c>
      <c r="H171" s="1" t="s">
        <v>806</v>
      </c>
      <c r="I171" s="1" t="s">
        <v>807</v>
      </c>
      <c r="J171" s="1">
        <v>2022</v>
      </c>
      <c r="K171" s="1">
        <v>4500000</v>
      </c>
      <c r="L171" s="1">
        <v>67500</v>
      </c>
      <c r="M171" s="1">
        <v>1.4999999999999999E-2</v>
      </c>
      <c r="N171" s="1">
        <v>45820</v>
      </c>
      <c r="O171" s="1">
        <v>57758</v>
      </c>
      <c r="P171" s="1">
        <v>67500</v>
      </c>
      <c r="Q171" s="1">
        <v>57758</v>
      </c>
      <c r="R171" s="6">
        <v>571</v>
      </c>
      <c r="S171" s="1" t="s">
        <v>189</v>
      </c>
      <c r="T171" s="6" t="s">
        <v>98</v>
      </c>
      <c r="U171" s="1" t="s">
        <v>38</v>
      </c>
      <c r="V171" s="1">
        <v>0</v>
      </c>
      <c r="W171" s="1" t="s">
        <v>741</v>
      </c>
      <c r="X171" s="1" t="s">
        <v>31</v>
      </c>
      <c r="Y171" s="1" t="s">
        <v>39</v>
      </c>
      <c r="Z171" s="1" t="s">
        <v>69</v>
      </c>
    </row>
    <row r="172" spans="1:26" hidden="1" x14ac:dyDescent="0.25">
      <c r="A172" s="5">
        <v>171</v>
      </c>
      <c r="B172" s="1" t="s">
        <v>808</v>
      </c>
      <c r="C172" s="1"/>
      <c r="D172" s="1"/>
      <c r="E172" s="7">
        <v>45812</v>
      </c>
      <c r="F172" s="1" t="s">
        <v>809</v>
      </c>
      <c r="G172" s="1">
        <v>3132247904</v>
      </c>
      <c r="H172" s="1" t="s">
        <v>810</v>
      </c>
      <c r="I172" s="1" t="s">
        <v>811</v>
      </c>
      <c r="J172" s="1">
        <v>2022</v>
      </c>
      <c r="K172" s="1">
        <v>13000000</v>
      </c>
      <c r="L172" s="1">
        <v>188500</v>
      </c>
      <c r="M172" s="1">
        <v>1.4500000000000001E-2</v>
      </c>
      <c r="N172" s="1">
        <v>45810</v>
      </c>
      <c r="O172" s="1">
        <v>162069</v>
      </c>
      <c r="P172" s="1">
        <v>188500</v>
      </c>
      <c r="Q172" s="1">
        <v>162069</v>
      </c>
      <c r="R172" s="6">
        <v>571</v>
      </c>
      <c r="S172" s="1" t="s">
        <v>189</v>
      </c>
      <c r="T172" s="6" t="s">
        <v>98</v>
      </c>
      <c r="U172" s="1" t="s">
        <v>38</v>
      </c>
      <c r="V172" s="1">
        <v>0</v>
      </c>
      <c r="W172" s="1" t="s">
        <v>741</v>
      </c>
      <c r="X172" s="1" t="s">
        <v>31</v>
      </c>
      <c r="Y172" s="1" t="s">
        <v>39</v>
      </c>
      <c r="Z172" s="1" t="s">
        <v>69</v>
      </c>
    </row>
    <row r="173" spans="1:26" hidden="1" x14ac:dyDescent="0.25">
      <c r="A173" s="5">
        <v>172</v>
      </c>
      <c r="B173" s="1" t="s">
        <v>812</v>
      </c>
      <c r="C173" s="1"/>
      <c r="D173" s="1"/>
      <c r="E173" s="7">
        <v>45833</v>
      </c>
      <c r="F173" s="1" t="s">
        <v>813</v>
      </c>
      <c r="G173" s="1" t="s">
        <v>814</v>
      </c>
      <c r="H173" s="1" t="s">
        <v>815</v>
      </c>
      <c r="I173" s="1" t="s">
        <v>816</v>
      </c>
      <c r="J173" s="1">
        <v>2023</v>
      </c>
      <c r="K173" s="1">
        <v>8200000</v>
      </c>
      <c r="L173" s="1">
        <v>114800</v>
      </c>
      <c r="M173" s="1">
        <v>1.4E-2</v>
      </c>
      <c r="N173" s="1">
        <v>45833</v>
      </c>
      <c r="O173" s="1">
        <v>98535</v>
      </c>
      <c r="P173" s="1">
        <v>114800</v>
      </c>
      <c r="Q173" s="1">
        <v>98535</v>
      </c>
      <c r="R173" s="6">
        <v>570</v>
      </c>
      <c r="S173" s="1" t="s">
        <v>189</v>
      </c>
      <c r="T173" s="6" t="s">
        <v>98</v>
      </c>
      <c r="U173" s="1" t="s">
        <v>38</v>
      </c>
      <c r="V173" s="1">
        <v>0</v>
      </c>
      <c r="W173" s="1" t="s">
        <v>741</v>
      </c>
      <c r="X173" s="1" t="s">
        <v>31</v>
      </c>
      <c r="Y173" s="1" t="s">
        <v>39</v>
      </c>
      <c r="Z173" s="1" t="s">
        <v>69</v>
      </c>
    </row>
    <row r="174" spans="1:26" hidden="1" x14ac:dyDescent="0.25">
      <c r="A174" s="5">
        <v>173</v>
      </c>
      <c r="B174" s="1" t="s">
        <v>817</v>
      </c>
      <c r="C174" s="1"/>
      <c r="D174" s="1"/>
      <c r="E174" s="7">
        <v>45813</v>
      </c>
      <c r="F174" s="1" t="s">
        <v>818</v>
      </c>
      <c r="G174" s="1" t="s">
        <v>443</v>
      </c>
      <c r="H174" s="1" t="s">
        <v>819</v>
      </c>
      <c r="I174" s="1" t="s">
        <v>41</v>
      </c>
      <c r="J174" s="1">
        <v>2024</v>
      </c>
      <c r="K174" s="1">
        <v>9862000</v>
      </c>
      <c r="L174" s="1">
        <v>147930</v>
      </c>
      <c r="M174" s="1">
        <v>1.4999999999999999E-2</v>
      </c>
      <c r="N174" s="1">
        <v>45813</v>
      </c>
      <c r="O174" s="1">
        <v>127095</v>
      </c>
      <c r="P174" s="1">
        <v>147930</v>
      </c>
      <c r="Q174" s="1">
        <v>127095</v>
      </c>
      <c r="R174" s="6">
        <v>570</v>
      </c>
      <c r="S174" s="1" t="s">
        <v>189</v>
      </c>
      <c r="T174" s="6" t="s">
        <v>98</v>
      </c>
      <c r="U174" s="1" t="s">
        <v>38</v>
      </c>
      <c r="V174" s="1">
        <v>0</v>
      </c>
      <c r="W174" s="1" t="s">
        <v>741</v>
      </c>
      <c r="X174" s="1" t="s">
        <v>31</v>
      </c>
      <c r="Y174" s="1" t="s">
        <v>39</v>
      </c>
      <c r="Z174" s="1" t="s">
        <v>69</v>
      </c>
    </row>
    <row r="175" spans="1:26" hidden="1" x14ac:dyDescent="0.25">
      <c r="A175" s="5">
        <v>174</v>
      </c>
      <c r="B175" s="1" t="s">
        <v>820</v>
      </c>
      <c r="C175" s="1"/>
      <c r="D175" s="1"/>
      <c r="E175" s="7">
        <v>45838</v>
      </c>
      <c r="F175" s="1" t="s">
        <v>821</v>
      </c>
      <c r="G175" s="1">
        <v>3122275516</v>
      </c>
      <c r="H175" s="1" t="s">
        <v>822</v>
      </c>
      <c r="I175" s="1" t="s">
        <v>823</v>
      </c>
      <c r="J175" s="1">
        <v>2015</v>
      </c>
      <c r="K175" s="1">
        <v>2000000</v>
      </c>
      <c r="L175" s="1">
        <v>35000</v>
      </c>
      <c r="M175" s="1">
        <v>1.7500000000000002E-2</v>
      </c>
      <c r="N175" s="1">
        <v>45838</v>
      </c>
      <c r="O175" s="1">
        <v>29742</v>
      </c>
      <c r="P175" s="1">
        <v>35000</v>
      </c>
      <c r="Q175" s="1">
        <v>29742</v>
      </c>
      <c r="R175" s="6">
        <v>570</v>
      </c>
      <c r="S175" s="1" t="s">
        <v>189</v>
      </c>
      <c r="T175" s="6" t="s">
        <v>98</v>
      </c>
      <c r="U175" s="1" t="s">
        <v>38</v>
      </c>
      <c r="V175" s="1">
        <v>0</v>
      </c>
      <c r="W175" s="1" t="s">
        <v>741</v>
      </c>
      <c r="X175" s="1" t="s">
        <v>31</v>
      </c>
      <c r="Y175" s="1" t="s">
        <v>153</v>
      </c>
      <c r="Z175" s="1" t="s">
        <v>154</v>
      </c>
    </row>
    <row r="176" spans="1:26" hidden="1" x14ac:dyDescent="0.25">
      <c r="A176" s="5">
        <v>175</v>
      </c>
      <c r="B176" s="1" t="s">
        <v>824</v>
      </c>
      <c r="C176" s="1"/>
      <c r="D176" s="1"/>
      <c r="E176" s="7">
        <v>45834</v>
      </c>
      <c r="F176" s="1" t="s">
        <v>825</v>
      </c>
      <c r="G176" s="1" t="s">
        <v>826</v>
      </c>
      <c r="H176" s="1" t="s">
        <v>827</v>
      </c>
      <c r="I176" s="1" t="s">
        <v>87</v>
      </c>
      <c r="J176" s="1">
        <v>2024</v>
      </c>
      <c r="K176" s="1">
        <v>8600000</v>
      </c>
      <c r="L176" s="1">
        <v>129000</v>
      </c>
      <c r="M176" s="1">
        <v>1.4999999999999999E-2</v>
      </c>
      <c r="N176" s="1">
        <v>45834</v>
      </c>
      <c r="O176" s="1">
        <v>110776</v>
      </c>
      <c r="P176" s="1">
        <v>129000</v>
      </c>
      <c r="Q176" s="1">
        <v>110776</v>
      </c>
      <c r="R176" s="6">
        <v>570</v>
      </c>
      <c r="S176" s="1" t="s">
        <v>189</v>
      </c>
      <c r="T176" s="6" t="s">
        <v>98</v>
      </c>
      <c r="U176" s="1" t="s">
        <v>38</v>
      </c>
      <c r="V176" s="1">
        <v>0</v>
      </c>
      <c r="W176" s="1" t="s">
        <v>741</v>
      </c>
      <c r="X176" s="1" t="s">
        <v>31</v>
      </c>
      <c r="Y176" s="1" t="s">
        <v>39</v>
      </c>
      <c r="Z176" s="1" t="s">
        <v>69</v>
      </c>
    </row>
    <row r="177" spans="1:26" hidden="1" x14ac:dyDescent="0.25">
      <c r="A177" s="5">
        <v>176</v>
      </c>
      <c r="B177" s="1" t="s">
        <v>828</v>
      </c>
      <c r="C177" s="1"/>
      <c r="D177" s="1"/>
      <c r="E177" s="7">
        <v>45825</v>
      </c>
      <c r="F177" s="1" t="s">
        <v>829</v>
      </c>
      <c r="G177" s="1" t="s">
        <v>830</v>
      </c>
      <c r="H177" s="1" t="s">
        <v>831</v>
      </c>
      <c r="I177" s="1" t="s">
        <v>832</v>
      </c>
      <c r="J177" s="1">
        <v>2019</v>
      </c>
      <c r="K177" s="1">
        <v>4500000</v>
      </c>
      <c r="L177" s="1">
        <v>78750</v>
      </c>
      <c r="M177" s="1">
        <v>1.7500000000000002E-2</v>
      </c>
      <c r="N177" s="1">
        <v>45828</v>
      </c>
      <c r="O177" s="1">
        <v>67456</v>
      </c>
      <c r="P177" s="1">
        <v>78750</v>
      </c>
      <c r="Q177" s="1">
        <v>67456</v>
      </c>
      <c r="R177" s="6">
        <v>570</v>
      </c>
      <c r="S177" s="1" t="s">
        <v>189</v>
      </c>
      <c r="T177" s="6" t="s">
        <v>98</v>
      </c>
      <c r="U177" s="1" t="s">
        <v>38</v>
      </c>
      <c r="V177" s="1">
        <v>0</v>
      </c>
      <c r="W177" s="1" t="s">
        <v>741</v>
      </c>
      <c r="X177" s="1" t="s">
        <v>31</v>
      </c>
      <c r="Y177" s="1" t="s">
        <v>153</v>
      </c>
      <c r="Z177" s="1" t="s">
        <v>154</v>
      </c>
    </row>
    <row r="178" spans="1:26" hidden="1" x14ac:dyDescent="0.25">
      <c r="A178" s="5">
        <v>177</v>
      </c>
      <c r="B178" s="1" t="s">
        <v>833</v>
      </c>
      <c r="C178" s="1"/>
      <c r="D178" s="1"/>
      <c r="E178" s="7">
        <v>45824</v>
      </c>
      <c r="F178" s="1" t="s">
        <v>834</v>
      </c>
      <c r="G178" s="1">
        <v>3322218514</v>
      </c>
      <c r="H178" s="1" t="s">
        <v>835</v>
      </c>
      <c r="I178" s="1" t="s">
        <v>836</v>
      </c>
      <c r="J178" s="1">
        <v>2021</v>
      </c>
      <c r="K178" s="1">
        <v>2750000</v>
      </c>
      <c r="L178" s="1">
        <v>52250</v>
      </c>
      <c r="M178" s="1">
        <v>1.9E-2</v>
      </c>
      <c r="N178" s="1">
        <v>45824</v>
      </c>
      <c r="O178" s="1">
        <v>44612</v>
      </c>
      <c r="P178" s="1">
        <v>52250</v>
      </c>
      <c r="Q178" s="1">
        <v>44612</v>
      </c>
      <c r="R178" s="6">
        <v>570</v>
      </c>
      <c r="S178" s="1" t="s">
        <v>189</v>
      </c>
      <c r="T178" s="6" t="s">
        <v>98</v>
      </c>
      <c r="U178" s="1" t="s">
        <v>38</v>
      </c>
      <c r="V178" s="1">
        <v>0</v>
      </c>
      <c r="W178" s="1" t="s">
        <v>741</v>
      </c>
      <c r="X178" s="1" t="s">
        <v>31</v>
      </c>
      <c r="Y178" s="1" t="s">
        <v>39</v>
      </c>
      <c r="Z178" s="1" t="s">
        <v>69</v>
      </c>
    </row>
    <row r="179" spans="1:26" hidden="1" x14ac:dyDescent="0.25">
      <c r="A179" s="5">
        <v>178</v>
      </c>
      <c r="B179" s="1" t="s">
        <v>837</v>
      </c>
      <c r="C179" s="1"/>
      <c r="D179" s="1"/>
      <c r="E179" s="7">
        <v>45831</v>
      </c>
      <c r="F179" s="1" t="s">
        <v>838</v>
      </c>
      <c r="G179" s="1">
        <v>3312409545</v>
      </c>
      <c r="H179" s="1" t="s">
        <v>839</v>
      </c>
      <c r="I179" s="1" t="s">
        <v>840</v>
      </c>
      <c r="J179" s="1">
        <v>2021</v>
      </c>
      <c r="K179" s="1">
        <v>2800000</v>
      </c>
      <c r="L179" s="1">
        <v>56000</v>
      </c>
      <c r="M179" s="1">
        <v>1.4999999999999999E-2</v>
      </c>
      <c r="N179" s="1">
        <v>45831</v>
      </c>
      <c r="O179" s="1">
        <v>47845</v>
      </c>
      <c r="P179" s="1">
        <v>56000</v>
      </c>
      <c r="Q179" s="1">
        <v>47845</v>
      </c>
      <c r="R179" s="6">
        <v>570</v>
      </c>
      <c r="S179" s="1" t="s">
        <v>189</v>
      </c>
      <c r="T179" s="6" t="s">
        <v>98</v>
      </c>
      <c r="U179" s="1" t="s">
        <v>38</v>
      </c>
      <c r="V179" s="1">
        <v>0</v>
      </c>
      <c r="W179" s="1" t="s">
        <v>741</v>
      </c>
      <c r="X179" s="1" t="s">
        <v>31</v>
      </c>
      <c r="Y179" s="1" t="s">
        <v>39</v>
      </c>
      <c r="Z179" s="1" t="s">
        <v>69</v>
      </c>
    </row>
    <row r="180" spans="1:26" hidden="1" x14ac:dyDescent="0.25">
      <c r="A180" s="5">
        <v>179</v>
      </c>
      <c r="B180" s="1" t="s">
        <v>841</v>
      </c>
      <c r="C180" s="1"/>
      <c r="D180" s="1"/>
      <c r="E180" s="7">
        <v>45813</v>
      </c>
      <c r="F180" s="1" t="s">
        <v>842</v>
      </c>
      <c r="G180" s="1" t="s">
        <v>843</v>
      </c>
      <c r="H180" s="1" t="s">
        <v>844</v>
      </c>
      <c r="I180" s="1" t="s">
        <v>28</v>
      </c>
      <c r="J180" s="1">
        <v>2022</v>
      </c>
      <c r="K180" s="1">
        <v>2250000</v>
      </c>
      <c r="L180" s="1">
        <v>31500</v>
      </c>
      <c r="M180" s="1">
        <v>1.4E-2</v>
      </c>
      <c r="N180" s="1">
        <v>45813</v>
      </c>
      <c r="O180" s="1">
        <v>26724</v>
      </c>
      <c r="P180" s="1">
        <v>31500</v>
      </c>
      <c r="Q180" s="1">
        <v>26724</v>
      </c>
      <c r="R180" s="6">
        <v>570</v>
      </c>
      <c r="S180" s="1" t="s">
        <v>189</v>
      </c>
      <c r="T180" s="6" t="s">
        <v>98</v>
      </c>
      <c r="U180" s="1" t="s">
        <v>38</v>
      </c>
      <c r="V180" s="1">
        <v>0</v>
      </c>
      <c r="W180" s="1" t="s">
        <v>741</v>
      </c>
      <c r="X180" s="1" t="s">
        <v>31</v>
      </c>
      <c r="Y180" s="1" t="s">
        <v>153</v>
      </c>
      <c r="Z180" s="1" t="s">
        <v>154</v>
      </c>
    </row>
    <row r="181" spans="1:26" hidden="1" x14ac:dyDescent="0.25">
      <c r="A181" s="5">
        <v>180</v>
      </c>
      <c r="B181" s="1" t="s">
        <v>845</v>
      </c>
      <c r="C181" s="1"/>
      <c r="D181" s="1"/>
      <c r="E181" s="7">
        <v>45825</v>
      </c>
      <c r="F181" s="1" t="s">
        <v>846</v>
      </c>
      <c r="G181" s="1">
        <v>3002119946</v>
      </c>
      <c r="H181" s="1" t="s">
        <v>847</v>
      </c>
      <c r="I181" s="1" t="s">
        <v>848</v>
      </c>
      <c r="J181" s="1">
        <v>2024</v>
      </c>
      <c r="K181" s="1">
        <v>7000000</v>
      </c>
      <c r="L181" s="1">
        <v>105000</v>
      </c>
      <c r="M181" s="1">
        <v>1.4999999999999999E-2</v>
      </c>
      <c r="N181" s="1">
        <v>45824</v>
      </c>
      <c r="O181" s="1">
        <v>90086</v>
      </c>
      <c r="P181" s="1">
        <v>105000</v>
      </c>
      <c r="Q181" s="1">
        <v>90086</v>
      </c>
      <c r="R181" s="6">
        <v>570</v>
      </c>
      <c r="S181" s="1" t="s">
        <v>189</v>
      </c>
      <c r="T181" s="6" t="s">
        <v>98</v>
      </c>
      <c r="U181" s="1" t="s">
        <v>38</v>
      </c>
      <c r="V181" s="1">
        <v>0</v>
      </c>
      <c r="W181" s="1" t="s">
        <v>741</v>
      </c>
      <c r="X181" s="1" t="s">
        <v>31</v>
      </c>
      <c r="Y181" s="1" t="s">
        <v>39</v>
      </c>
      <c r="Z181" s="1" t="s">
        <v>69</v>
      </c>
    </row>
    <row r="182" spans="1:26" hidden="1" x14ac:dyDescent="0.25">
      <c r="A182" s="5">
        <v>181</v>
      </c>
      <c r="B182" s="1" t="s">
        <v>849</v>
      </c>
      <c r="C182" s="1"/>
      <c r="D182" s="1"/>
      <c r="E182" s="7">
        <v>45838</v>
      </c>
      <c r="F182" s="1" t="s">
        <v>850</v>
      </c>
      <c r="G182" s="1" t="s">
        <v>851</v>
      </c>
      <c r="H182" s="1" t="s">
        <v>852</v>
      </c>
      <c r="I182" s="1" t="s">
        <v>648</v>
      </c>
      <c r="J182" s="1">
        <v>2019</v>
      </c>
      <c r="K182" s="1">
        <v>2200000</v>
      </c>
      <c r="L182" s="1">
        <v>35200</v>
      </c>
      <c r="M182" s="1">
        <v>1.6E-2</v>
      </c>
      <c r="N182" s="1">
        <v>45838</v>
      </c>
      <c r="O182" s="1">
        <v>30068</v>
      </c>
      <c r="P182" s="1">
        <v>35200</v>
      </c>
      <c r="Q182" s="1">
        <v>30068</v>
      </c>
      <c r="R182" s="6">
        <v>570</v>
      </c>
      <c r="S182" s="1" t="s">
        <v>189</v>
      </c>
      <c r="T182" s="6" t="s">
        <v>98</v>
      </c>
      <c r="U182" s="1" t="s">
        <v>38</v>
      </c>
      <c r="V182" s="1">
        <v>0</v>
      </c>
      <c r="W182" s="1" t="s">
        <v>741</v>
      </c>
      <c r="X182" s="1" t="s">
        <v>31</v>
      </c>
      <c r="Y182" s="1" t="s">
        <v>39</v>
      </c>
      <c r="Z182" s="1" t="s">
        <v>69</v>
      </c>
    </row>
    <row r="183" spans="1:26" hidden="1" x14ac:dyDescent="0.25">
      <c r="A183" s="5">
        <v>182</v>
      </c>
      <c r="B183" s="1" t="s">
        <v>853</v>
      </c>
      <c r="C183" s="1"/>
      <c r="D183" s="1"/>
      <c r="E183" s="7">
        <v>45810</v>
      </c>
      <c r="F183" s="1" t="s">
        <v>854</v>
      </c>
      <c r="G183" s="1" t="s">
        <v>855</v>
      </c>
      <c r="H183" s="1" t="s">
        <v>316</v>
      </c>
      <c r="I183" s="1" t="s">
        <v>856</v>
      </c>
      <c r="J183" s="1">
        <v>2024</v>
      </c>
      <c r="K183" s="1">
        <v>3055000</v>
      </c>
      <c r="L183" s="1">
        <v>45825</v>
      </c>
      <c r="M183" s="1">
        <v>1.4999999999999999E-2</v>
      </c>
      <c r="N183" s="1">
        <v>45810</v>
      </c>
      <c r="O183" s="1">
        <v>39073</v>
      </c>
      <c r="P183" s="1">
        <v>45825</v>
      </c>
      <c r="Q183" s="1">
        <v>39073</v>
      </c>
      <c r="R183" s="6">
        <v>570</v>
      </c>
      <c r="S183" s="1" t="s">
        <v>189</v>
      </c>
      <c r="T183" s="6" t="s">
        <v>98</v>
      </c>
      <c r="U183" s="1" t="s">
        <v>38</v>
      </c>
      <c r="V183" s="1">
        <v>0</v>
      </c>
      <c r="W183" s="1" t="s">
        <v>741</v>
      </c>
      <c r="X183" s="1" t="s">
        <v>31</v>
      </c>
      <c r="Y183" s="1" t="s">
        <v>39</v>
      </c>
      <c r="Z183" s="1" t="s">
        <v>69</v>
      </c>
    </row>
    <row r="184" spans="1:26" x14ac:dyDescent="0.25">
      <c r="A184" s="5">
        <v>183</v>
      </c>
      <c r="B184" s="1" t="s">
        <v>857</v>
      </c>
      <c r="C184" s="1" t="e">
        <f>VLOOKUP('IT Working sheet '!B184,'09000210'!B:C,2,0)</f>
        <v>#N/A</v>
      </c>
      <c r="D184" s="1"/>
      <c r="E184" s="7">
        <v>45841</v>
      </c>
      <c r="F184" s="1" t="s">
        <v>858</v>
      </c>
      <c r="G184" s="1" t="s">
        <v>859</v>
      </c>
      <c r="H184" s="1" t="s">
        <v>860</v>
      </c>
      <c r="I184" s="1" t="s">
        <v>861</v>
      </c>
      <c r="J184" s="1">
        <v>2018</v>
      </c>
      <c r="K184" s="1">
        <v>3800000</v>
      </c>
      <c r="L184" s="1">
        <v>10000</v>
      </c>
      <c r="M184" s="1">
        <v>2.5000000000000001E-2</v>
      </c>
      <c r="N184" s="1">
        <v>45841</v>
      </c>
      <c r="O184" s="1">
        <v>8190</v>
      </c>
      <c r="P184" s="1">
        <v>10000</v>
      </c>
      <c r="Q184" s="1">
        <v>8190</v>
      </c>
      <c r="R184" s="6">
        <v>570</v>
      </c>
      <c r="S184" s="1" t="s">
        <v>189</v>
      </c>
      <c r="T184" s="6" t="s">
        <v>98</v>
      </c>
      <c r="U184" s="1" t="s">
        <v>38</v>
      </c>
      <c r="V184" s="1">
        <v>0</v>
      </c>
      <c r="W184" s="1" t="s">
        <v>735</v>
      </c>
      <c r="X184" s="1" t="s">
        <v>190</v>
      </c>
      <c r="Y184" s="1" t="s">
        <v>217</v>
      </c>
      <c r="Z184" s="1" t="s">
        <v>218</v>
      </c>
    </row>
    <row r="185" spans="1:26" x14ac:dyDescent="0.25">
      <c r="A185" s="5">
        <v>184</v>
      </c>
      <c r="B185" s="1" t="s">
        <v>862</v>
      </c>
      <c r="C185" s="1" t="e">
        <f>VLOOKUP('IT Working sheet '!B185,'09000210'!B:C,2,0)</f>
        <v>#N/A</v>
      </c>
      <c r="D185" s="1"/>
      <c r="E185" s="7">
        <v>45847</v>
      </c>
      <c r="F185" s="1" t="s">
        <v>863</v>
      </c>
      <c r="G185" s="1" t="s">
        <v>864</v>
      </c>
      <c r="H185" s="1" t="s">
        <v>865</v>
      </c>
      <c r="I185" s="1" t="s">
        <v>866</v>
      </c>
      <c r="J185" s="1">
        <v>2020</v>
      </c>
      <c r="K185" s="1">
        <v>3500000</v>
      </c>
      <c r="L185" s="1">
        <v>10000</v>
      </c>
      <c r="M185" s="1">
        <v>2.5000000000000001E-2</v>
      </c>
      <c r="N185" s="1">
        <v>45847</v>
      </c>
      <c r="O185" s="1">
        <v>8190</v>
      </c>
      <c r="P185" s="1">
        <v>10000</v>
      </c>
      <c r="Q185" s="1">
        <v>8190</v>
      </c>
      <c r="R185" s="6">
        <v>570</v>
      </c>
      <c r="S185" s="1" t="s">
        <v>189</v>
      </c>
      <c r="T185" s="6" t="s">
        <v>98</v>
      </c>
      <c r="U185" s="1" t="s">
        <v>38</v>
      </c>
      <c r="V185" s="1">
        <v>0</v>
      </c>
      <c r="W185" s="1" t="s">
        <v>735</v>
      </c>
      <c r="X185" s="1" t="s">
        <v>190</v>
      </c>
      <c r="Y185" s="1" t="s">
        <v>217</v>
      </c>
      <c r="Z185" s="1" t="s">
        <v>218</v>
      </c>
    </row>
    <row r="186" spans="1:26" x14ac:dyDescent="0.25">
      <c r="A186" s="5">
        <v>185</v>
      </c>
      <c r="B186" s="1" t="s">
        <v>867</v>
      </c>
      <c r="C186" s="1" t="e">
        <f>VLOOKUP('IT Working sheet '!B186,'09000210'!B:C,2,0)</f>
        <v>#N/A</v>
      </c>
      <c r="D186" s="1"/>
      <c r="E186" s="7">
        <v>45853</v>
      </c>
      <c r="F186" s="1" t="s">
        <v>868</v>
      </c>
      <c r="G186" s="1">
        <v>3453144536</v>
      </c>
      <c r="H186" s="1" t="s">
        <v>869</v>
      </c>
      <c r="I186" s="1" t="s">
        <v>699</v>
      </c>
      <c r="J186" s="1">
        <v>2017</v>
      </c>
      <c r="K186" s="1">
        <v>2300000</v>
      </c>
      <c r="L186" s="1">
        <v>10000</v>
      </c>
      <c r="M186" s="1">
        <v>2.5000000000000001E-2</v>
      </c>
      <c r="N186" s="1">
        <v>45853</v>
      </c>
      <c r="O186" s="1">
        <v>8190</v>
      </c>
      <c r="P186" s="1">
        <v>10000</v>
      </c>
      <c r="Q186" s="1">
        <v>8190</v>
      </c>
      <c r="R186" s="6">
        <v>570</v>
      </c>
      <c r="S186" s="1" t="s">
        <v>189</v>
      </c>
      <c r="T186" s="6" t="s">
        <v>98</v>
      </c>
      <c r="U186" s="1" t="s">
        <v>38</v>
      </c>
      <c r="V186" s="1">
        <v>0</v>
      </c>
      <c r="W186" s="1" t="s">
        <v>735</v>
      </c>
      <c r="X186" s="1" t="s">
        <v>190</v>
      </c>
      <c r="Y186" s="1" t="s">
        <v>217</v>
      </c>
      <c r="Z186" s="1" t="s">
        <v>218</v>
      </c>
    </row>
    <row r="187" spans="1:26" hidden="1" x14ac:dyDescent="0.25">
      <c r="A187" s="5">
        <v>186</v>
      </c>
      <c r="B187" s="1" t="s">
        <v>870</v>
      </c>
      <c r="C187" s="1"/>
      <c r="D187" s="1"/>
      <c r="E187" s="7">
        <v>45815</v>
      </c>
      <c r="F187" s="1" t="s">
        <v>871</v>
      </c>
      <c r="G187" s="1" t="s">
        <v>872</v>
      </c>
      <c r="H187" s="1" t="s">
        <v>873</v>
      </c>
      <c r="I187" s="1" t="s">
        <v>37</v>
      </c>
      <c r="J187" s="1">
        <v>2012</v>
      </c>
      <c r="K187" s="1">
        <v>1880000</v>
      </c>
      <c r="L187" s="1">
        <v>28200</v>
      </c>
      <c r="M187" s="1">
        <v>1.4999999999999999E-2</v>
      </c>
      <c r="N187" s="1">
        <v>45828</v>
      </c>
      <c r="O187" s="1">
        <v>23879</v>
      </c>
      <c r="P187" s="1">
        <v>28200</v>
      </c>
      <c r="Q187" s="1">
        <v>23879</v>
      </c>
      <c r="R187" s="6">
        <v>570</v>
      </c>
      <c r="S187" s="1" t="s">
        <v>189</v>
      </c>
      <c r="T187" s="6" t="s">
        <v>98</v>
      </c>
      <c r="U187" s="1" t="s">
        <v>38</v>
      </c>
      <c r="V187" s="1"/>
      <c r="W187" s="1" t="s">
        <v>741</v>
      </c>
      <c r="X187" s="1" t="s">
        <v>31</v>
      </c>
      <c r="Y187" s="1" t="s">
        <v>39</v>
      </c>
      <c r="Z187" s="1" t="s">
        <v>69</v>
      </c>
    </row>
    <row r="188" spans="1:26" x14ac:dyDescent="0.25">
      <c r="A188" s="5">
        <v>187</v>
      </c>
      <c r="B188" s="1" t="s">
        <v>874</v>
      </c>
      <c r="C188" s="1" t="e">
        <f>VLOOKUP('IT Working sheet '!B188,'09000210'!B:C,2,0)</f>
        <v>#N/A</v>
      </c>
      <c r="D188" s="1"/>
      <c r="E188" s="7">
        <v>45839</v>
      </c>
      <c r="F188" s="1" t="s">
        <v>875</v>
      </c>
      <c r="G188" s="1" t="s">
        <v>876</v>
      </c>
      <c r="H188" s="1" t="s">
        <v>877</v>
      </c>
      <c r="I188" s="1" t="s">
        <v>878</v>
      </c>
      <c r="J188" s="1">
        <v>2025</v>
      </c>
      <c r="K188" s="1">
        <v>4800000</v>
      </c>
      <c r="L188" s="1">
        <v>72000</v>
      </c>
      <c r="M188" s="1">
        <v>1.4999999999999999E-2</v>
      </c>
      <c r="N188" s="1">
        <v>45839</v>
      </c>
      <c r="O188" s="1">
        <v>61638</v>
      </c>
      <c r="P188" s="1">
        <v>72000</v>
      </c>
      <c r="Q188" s="1">
        <v>123276</v>
      </c>
      <c r="R188" s="6">
        <v>1711</v>
      </c>
      <c r="S188" s="1" t="s">
        <v>189</v>
      </c>
      <c r="T188" s="6" t="s">
        <v>98</v>
      </c>
      <c r="U188" s="1" t="s">
        <v>29</v>
      </c>
      <c r="V188" s="1"/>
      <c r="W188" s="1" t="s">
        <v>879</v>
      </c>
      <c r="X188" s="1" t="s">
        <v>31</v>
      </c>
      <c r="Y188" s="1" t="s">
        <v>32</v>
      </c>
      <c r="Z188" s="1" t="s">
        <v>32</v>
      </c>
    </row>
    <row r="189" spans="1:26" x14ac:dyDescent="0.25">
      <c r="A189" s="5">
        <v>188</v>
      </c>
      <c r="B189" s="1" t="s">
        <v>880</v>
      </c>
      <c r="C189" s="1" t="e">
        <f>VLOOKUP('IT Working sheet '!B189,'09000210'!B:C,2,0)</f>
        <v>#N/A</v>
      </c>
      <c r="D189" s="1"/>
      <c r="E189" s="7">
        <v>45847</v>
      </c>
      <c r="F189" s="1" t="s">
        <v>881</v>
      </c>
      <c r="G189" s="1" t="s">
        <v>882</v>
      </c>
      <c r="H189" s="1" t="s">
        <v>883</v>
      </c>
      <c r="I189" s="1" t="s">
        <v>884</v>
      </c>
      <c r="J189" s="1">
        <v>2024</v>
      </c>
      <c r="K189" s="1">
        <v>10000000</v>
      </c>
      <c r="L189" s="1">
        <v>140000</v>
      </c>
      <c r="M189" s="1">
        <v>1.4E-2</v>
      </c>
      <c r="N189" s="1">
        <v>45847</v>
      </c>
      <c r="O189" s="1">
        <v>120258</v>
      </c>
      <c r="P189" s="1">
        <v>140000</v>
      </c>
      <c r="Q189" s="1">
        <v>240516</v>
      </c>
      <c r="R189" s="6">
        <v>1711</v>
      </c>
      <c r="S189" s="1" t="s">
        <v>189</v>
      </c>
      <c r="T189" s="6" t="s">
        <v>98</v>
      </c>
      <c r="U189" s="1" t="s">
        <v>29</v>
      </c>
      <c r="V189" s="1"/>
      <c r="W189" s="1" t="s">
        <v>879</v>
      </c>
      <c r="X189" s="1" t="s">
        <v>31</v>
      </c>
      <c r="Y189" s="1" t="s">
        <v>32</v>
      </c>
      <c r="Z189" s="1" t="s">
        <v>32</v>
      </c>
    </row>
    <row r="190" spans="1:26" x14ac:dyDescent="0.25">
      <c r="A190" s="5">
        <v>189</v>
      </c>
      <c r="B190" s="1" t="s">
        <v>885</v>
      </c>
      <c r="C190" s="1" t="e">
        <f>VLOOKUP('IT Working sheet '!B190,'09000210'!B:C,2,0)</f>
        <v>#N/A</v>
      </c>
      <c r="D190" s="1"/>
      <c r="E190" s="7">
        <v>45853</v>
      </c>
      <c r="F190" s="1" t="s">
        <v>886</v>
      </c>
      <c r="G190" s="1" t="s">
        <v>887</v>
      </c>
      <c r="H190" s="1"/>
      <c r="I190" s="1" t="s">
        <v>888</v>
      </c>
      <c r="J190" s="1">
        <v>2025</v>
      </c>
      <c r="K190" s="1">
        <v>4800000</v>
      </c>
      <c r="L190" s="1">
        <v>72000</v>
      </c>
      <c r="M190" s="1">
        <v>1.4999999999999999E-2</v>
      </c>
      <c r="N190" s="1">
        <v>45853</v>
      </c>
      <c r="O190" s="1">
        <v>61638</v>
      </c>
      <c r="P190" s="1">
        <v>72000</v>
      </c>
      <c r="Q190" s="1">
        <v>61638</v>
      </c>
      <c r="R190" s="6">
        <v>1711</v>
      </c>
      <c r="S190" s="1" t="s">
        <v>189</v>
      </c>
      <c r="T190" s="6" t="s">
        <v>98</v>
      </c>
      <c r="U190" s="1" t="s">
        <v>29</v>
      </c>
      <c r="V190" s="1"/>
      <c r="W190" s="1" t="s">
        <v>879</v>
      </c>
      <c r="X190" s="1" t="s">
        <v>31</v>
      </c>
      <c r="Y190" s="1" t="s">
        <v>32</v>
      </c>
      <c r="Z190" s="1" t="s">
        <v>32</v>
      </c>
    </row>
    <row r="191" spans="1:26" hidden="1" x14ac:dyDescent="0.25">
      <c r="A191" s="5">
        <v>190</v>
      </c>
      <c r="B191" s="1" t="s">
        <v>889</v>
      </c>
      <c r="C191" s="1"/>
      <c r="D191" s="1"/>
      <c r="E191" s="7">
        <v>45819</v>
      </c>
      <c r="F191" s="1" t="s">
        <v>890</v>
      </c>
      <c r="G191" s="1" t="s">
        <v>891</v>
      </c>
      <c r="H191" s="1" t="s">
        <v>316</v>
      </c>
      <c r="I191" s="1" t="s">
        <v>892</v>
      </c>
      <c r="J191" s="1">
        <v>2025</v>
      </c>
      <c r="K191" s="1">
        <v>122000</v>
      </c>
      <c r="L191" s="1">
        <v>12200</v>
      </c>
      <c r="M191" s="1">
        <v>0.1</v>
      </c>
      <c r="N191" s="1">
        <v>45819</v>
      </c>
      <c r="O191" s="1">
        <v>10086</v>
      </c>
      <c r="P191" s="1">
        <v>12200</v>
      </c>
      <c r="Q191" s="1">
        <v>20172</v>
      </c>
      <c r="R191" s="6">
        <v>1711</v>
      </c>
      <c r="S191" s="1" t="s">
        <v>189</v>
      </c>
      <c r="T191" s="6" t="s">
        <v>98</v>
      </c>
      <c r="U191" s="1" t="s">
        <v>29</v>
      </c>
      <c r="V191" s="1"/>
      <c r="W191" s="1" t="s">
        <v>879</v>
      </c>
      <c r="X191" s="1" t="s">
        <v>893</v>
      </c>
      <c r="Y191" s="1" t="s">
        <v>32</v>
      </c>
      <c r="Z191" s="1" t="s">
        <v>32</v>
      </c>
    </row>
    <row r="192" spans="1:26" hidden="1" x14ac:dyDescent="0.25">
      <c r="A192" s="5">
        <v>191</v>
      </c>
      <c r="B192" s="1" t="s">
        <v>894</v>
      </c>
      <c r="C192" s="1"/>
      <c r="D192" s="1"/>
      <c r="E192" s="7">
        <v>45819</v>
      </c>
      <c r="F192" s="1" t="s">
        <v>895</v>
      </c>
      <c r="G192" s="1" t="s">
        <v>896</v>
      </c>
      <c r="H192" s="1" t="s">
        <v>897</v>
      </c>
      <c r="I192" s="1" t="s">
        <v>222</v>
      </c>
      <c r="J192" s="1">
        <v>2024</v>
      </c>
      <c r="K192" s="1">
        <v>3200000</v>
      </c>
      <c r="L192" s="1">
        <v>51200</v>
      </c>
      <c r="M192" s="1">
        <v>1.6E-2</v>
      </c>
      <c r="N192" s="1">
        <v>45819</v>
      </c>
      <c r="O192" s="1">
        <v>43707</v>
      </c>
      <c r="P192" s="1">
        <v>51200</v>
      </c>
      <c r="Q192" s="1">
        <v>87414</v>
      </c>
      <c r="R192" s="6">
        <v>1712</v>
      </c>
      <c r="S192" s="1" t="s">
        <v>189</v>
      </c>
      <c r="T192" s="6" t="s">
        <v>98</v>
      </c>
      <c r="U192" s="1" t="s">
        <v>29</v>
      </c>
      <c r="V192" s="1"/>
      <c r="W192" s="1" t="s">
        <v>879</v>
      </c>
      <c r="X192" s="1" t="s">
        <v>31</v>
      </c>
      <c r="Y192" s="1" t="s">
        <v>32</v>
      </c>
      <c r="Z192" s="1" t="s">
        <v>32</v>
      </c>
    </row>
    <row r="193" spans="1:26" hidden="1" x14ac:dyDescent="0.25">
      <c r="A193" s="5">
        <v>192</v>
      </c>
      <c r="B193" s="1" t="s">
        <v>898</v>
      </c>
      <c r="C193" s="1"/>
      <c r="D193" s="1"/>
      <c r="E193" s="7">
        <v>45825</v>
      </c>
      <c r="F193" s="1" t="s">
        <v>899</v>
      </c>
      <c r="G193" s="1" t="s">
        <v>900</v>
      </c>
      <c r="H193" s="1" t="s">
        <v>901</v>
      </c>
      <c r="I193" s="1" t="s">
        <v>902</v>
      </c>
      <c r="J193" s="1">
        <v>2021</v>
      </c>
      <c r="K193" s="1">
        <v>7000000</v>
      </c>
      <c r="L193" s="1">
        <v>112000</v>
      </c>
      <c r="M193" s="1">
        <v>1.6E-2</v>
      </c>
      <c r="N193" s="1">
        <v>45825</v>
      </c>
      <c r="O193" s="1">
        <v>96121</v>
      </c>
      <c r="P193" s="1">
        <v>112000</v>
      </c>
      <c r="Q193" s="1">
        <v>192242</v>
      </c>
      <c r="R193" s="6">
        <v>1712</v>
      </c>
      <c r="S193" s="1" t="s">
        <v>189</v>
      </c>
      <c r="T193" s="6" t="s">
        <v>98</v>
      </c>
      <c r="U193" s="1" t="s">
        <v>29</v>
      </c>
      <c r="V193" s="1"/>
      <c r="W193" s="1" t="s">
        <v>879</v>
      </c>
      <c r="X193" s="1" t="s">
        <v>31</v>
      </c>
      <c r="Y193" s="1" t="s">
        <v>32</v>
      </c>
      <c r="Z193" s="1" t="s">
        <v>32</v>
      </c>
    </row>
    <row r="194" spans="1:26" hidden="1" x14ac:dyDescent="0.25">
      <c r="A194" s="5">
        <v>193</v>
      </c>
      <c r="B194" s="1" t="s">
        <v>903</v>
      </c>
      <c r="C194" s="1"/>
      <c r="D194" s="1"/>
      <c r="E194" s="7">
        <v>45833</v>
      </c>
      <c r="F194" s="1" t="s">
        <v>904</v>
      </c>
      <c r="G194" s="1" t="s">
        <v>905</v>
      </c>
      <c r="H194" s="1" t="s">
        <v>316</v>
      </c>
      <c r="I194" s="1" t="s">
        <v>906</v>
      </c>
      <c r="J194" s="1">
        <v>2025</v>
      </c>
      <c r="K194" s="1">
        <v>9000000</v>
      </c>
      <c r="L194" s="1">
        <v>144000</v>
      </c>
      <c r="M194" s="1">
        <v>1.6E-2</v>
      </c>
      <c r="N194" s="1">
        <v>45833</v>
      </c>
      <c r="O194" s="1">
        <v>123707</v>
      </c>
      <c r="P194" s="1">
        <v>144000</v>
      </c>
      <c r="Q194" s="1">
        <v>247414</v>
      </c>
      <c r="R194" s="6">
        <v>1712</v>
      </c>
      <c r="S194" s="1" t="s">
        <v>189</v>
      </c>
      <c r="T194" s="6" t="s">
        <v>98</v>
      </c>
      <c r="U194" s="1" t="s">
        <v>29</v>
      </c>
      <c r="V194" s="1"/>
      <c r="W194" s="1" t="s">
        <v>879</v>
      </c>
      <c r="X194" s="1" t="s">
        <v>31</v>
      </c>
      <c r="Y194" s="1" t="s">
        <v>32</v>
      </c>
      <c r="Z194" s="1" t="s">
        <v>32</v>
      </c>
    </row>
    <row r="195" spans="1:26" hidden="1" x14ac:dyDescent="0.25">
      <c r="A195" s="5">
        <v>194</v>
      </c>
      <c r="B195" s="1" t="s">
        <v>907</v>
      </c>
      <c r="C195" s="1"/>
      <c r="D195" s="1"/>
      <c r="E195" s="7">
        <v>45835</v>
      </c>
      <c r="F195" s="1" t="s">
        <v>908</v>
      </c>
      <c r="G195" s="1" t="s">
        <v>909</v>
      </c>
      <c r="H195" s="1" t="s">
        <v>910</v>
      </c>
      <c r="I195" s="1" t="s">
        <v>911</v>
      </c>
      <c r="J195" s="1">
        <v>2021</v>
      </c>
      <c r="K195" s="1">
        <v>3600000</v>
      </c>
      <c r="L195" s="1">
        <v>57600</v>
      </c>
      <c r="M195" s="1">
        <v>1.6E-2</v>
      </c>
      <c r="N195" s="1">
        <v>45835</v>
      </c>
      <c r="O195" s="1">
        <v>49224</v>
      </c>
      <c r="P195" s="1">
        <v>57600</v>
      </c>
      <c r="Q195" s="1">
        <v>98448</v>
      </c>
      <c r="R195" s="6">
        <v>1712</v>
      </c>
      <c r="S195" s="1" t="s">
        <v>189</v>
      </c>
      <c r="T195" s="6" t="s">
        <v>98</v>
      </c>
      <c r="U195" s="1" t="s">
        <v>29</v>
      </c>
      <c r="V195" s="1"/>
      <c r="W195" s="1" t="s">
        <v>879</v>
      </c>
      <c r="X195" s="1" t="s">
        <v>31</v>
      </c>
      <c r="Y195" s="1" t="s">
        <v>32</v>
      </c>
      <c r="Z195" s="1" t="s">
        <v>32</v>
      </c>
    </row>
    <row r="196" spans="1:26" x14ac:dyDescent="0.25">
      <c r="A196" s="5">
        <v>195</v>
      </c>
      <c r="B196" s="1" t="s">
        <v>912</v>
      </c>
      <c r="C196" s="1" t="str">
        <f>VLOOKUP('IT Working sheet '!B196,'09000210'!B:C,2,0)</f>
        <v>040000200153</v>
      </c>
      <c r="D196" s="1" t="str">
        <f t="shared" ref="D196:D197" si="5">"Update ins_assorted_clients set commission_amount = '"&amp;R196&amp;"' where assorted_code = '"&amp;C196&amp;"' and agency_code = '09000870';"</f>
        <v>Update ins_assorted_clients set commission_amount = '1712' where assorted_code = '040000200153' and agency_code = '09000870';</v>
      </c>
      <c r="E196" s="7">
        <v>45842</v>
      </c>
      <c r="F196" s="1" t="s">
        <v>913</v>
      </c>
      <c r="G196" s="1" t="s">
        <v>914</v>
      </c>
      <c r="H196" s="1" t="s">
        <v>915</v>
      </c>
      <c r="I196" s="1" t="s">
        <v>916</v>
      </c>
      <c r="J196" s="1">
        <v>2021</v>
      </c>
      <c r="K196" s="1">
        <v>16500000</v>
      </c>
      <c r="L196" s="1">
        <v>264000</v>
      </c>
      <c r="M196" s="1">
        <v>1.6E-2</v>
      </c>
      <c r="N196" s="1">
        <v>46218</v>
      </c>
      <c r="O196" s="1">
        <v>227155</v>
      </c>
      <c r="P196" s="1">
        <v>264000</v>
      </c>
      <c r="Q196" s="1">
        <v>227155</v>
      </c>
      <c r="R196" s="6">
        <v>1712</v>
      </c>
      <c r="S196" s="1" t="s">
        <v>189</v>
      </c>
      <c r="T196" s="6" t="s">
        <v>98</v>
      </c>
      <c r="U196" s="1" t="s">
        <v>38</v>
      </c>
      <c r="V196" s="1"/>
      <c r="W196" s="1" t="s">
        <v>879</v>
      </c>
      <c r="X196" s="1" t="s">
        <v>31</v>
      </c>
      <c r="Y196" s="1" t="s">
        <v>39</v>
      </c>
      <c r="Z196" s="1" t="s">
        <v>40</v>
      </c>
    </row>
    <row r="197" spans="1:26" x14ac:dyDescent="0.25">
      <c r="A197" s="5">
        <v>196</v>
      </c>
      <c r="B197" s="1" t="s">
        <v>917</v>
      </c>
      <c r="C197" s="1" t="str">
        <f>VLOOKUP('IT Working sheet '!B197,'09000210'!B:C,2,0)</f>
        <v>040000200282</v>
      </c>
      <c r="D197" s="1" t="str">
        <f t="shared" si="5"/>
        <v>Update ins_assorted_clients set commission_amount = '1712' where assorted_code = '040000200282' and agency_code = '09000870';</v>
      </c>
      <c r="E197" s="7">
        <v>45845</v>
      </c>
      <c r="F197" s="1" t="s">
        <v>918</v>
      </c>
      <c r="G197" s="1" t="s">
        <v>919</v>
      </c>
      <c r="H197" s="1" t="s">
        <v>920</v>
      </c>
      <c r="I197" s="1" t="s">
        <v>921</v>
      </c>
      <c r="J197" s="1">
        <v>2022</v>
      </c>
      <c r="K197" s="1">
        <v>5900000</v>
      </c>
      <c r="L197" s="1">
        <v>97350</v>
      </c>
      <c r="M197" s="1">
        <v>1.6500000000000001E-2</v>
      </c>
      <c r="N197" s="1">
        <v>45845</v>
      </c>
      <c r="O197" s="1">
        <v>83491</v>
      </c>
      <c r="P197" s="1">
        <v>97350</v>
      </c>
      <c r="Q197" s="1">
        <v>83491</v>
      </c>
      <c r="R197" s="6">
        <v>1712</v>
      </c>
      <c r="S197" s="1" t="s">
        <v>189</v>
      </c>
      <c r="T197" s="6" t="s">
        <v>98</v>
      </c>
      <c r="U197" s="1" t="s">
        <v>38</v>
      </c>
      <c r="V197" s="1"/>
      <c r="W197" s="1" t="s">
        <v>879</v>
      </c>
      <c r="X197" s="1" t="s">
        <v>31</v>
      </c>
      <c r="Y197" s="1" t="s">
        <v>153</v>
      </c>
      <c r="Z197" s="1" t="s">
        <v>223</v>
      </c>
    </row>
    <row r="198" spans="1:26" x14ac:dyDescent="0.25">
      <c r="A198" s="5">
        <v>197</v>
      </c>
      <c r="B198" s="1" t="s">
        <v>922</v>
      </c>
      <c r="C198" s="1" t="e">
        <f>VLOOKUP('IT Working sheet '!B198,'09000210'!B:C,2,0)</f>
        <v>#N/A</v>
      </c>
      <c r="D198" s="1"/>
      <c r="E198" s="7">
        <v>45839</v>
      </c>
      <c r="F198" s="1" t="s">
        <v>923</v>
      </c>
      <c r="G198" s="1" t="s">
        <v>924</v>
      </c>
      <c r="H198" s="1" t="s">
        <v>925</v>
      </c>
      <c r="I198" s="1" t="s">
        <v>926</v>
      </c>
      <c r="J198" s="1">
        <v>2022</v>
      </c>
      <c r="K198" s="1">
        <v>15000000</v>
      </c>
      <c r="L198" s="1">
        <v>210000</v>
      </c>
      <c r="M198" s="1">
        <v>1.4E-2</v>
      </c>
      <c r="N198" s="1">
        <v>45839</v>
      </c>
      <c r="O198" s="1">
        <v>180603</v>
      </c>
      <c r="P198" s="1">
        <v>210000</v>
      </c>
      <c r="Q198" s="1">
        <v>180603</v>
      </c>
      <c r="R198" s="6">
        <v>1712</v>
      </c>
      <c r="S198" s="1" t="s">
        <v>189</v>
      </c>
      <c r="T198" s="6" t="s">
        <v>98</v>
      </c>
      <c r="U198" s="1" t="s">
        <v>38</v>
      </c>
      <c r="V198" s="1"/>
      <c r="W198" s="1" t="s">
        <v>879</v>
      </c>
      <c r="X198" s="1" t="s">
        <v>31</v>
      </c>
      <c r="Y198" s="1" t="s">
        <v>153</v>
      </c>
      <c r="Z198" s="1" t="s">
        <v>223</v>
      </c>
    </row>
    <row r="199" spans="1:26" x14ac:dyDescent="0.25">
      <c r="A199" s="5">
        <v>198</v>
      </c>
      <c r="B199" s="1" t="s">
        <v>927</v>
      </c>
      <c r="C199" s="1" t="e">
        <f>VLOOKUP('IT Working sheet '!B199,'09000210'!B:C,2,0)</f>
        <v>#N/A</v>
      </c>
      <c r="D199" s="1"/>
      <c r="E199" s="7">
        <v>45839</v>
      </c>
      <c r="F199" s="1" t="s">
        <v>928</v>
      </c>
      <c r="G199" s="1"/>
      <c r="H199" s="1" t="s">
        <v>929</v>
      </c>
      <c r="I199" s="1" t="s">
        <v>930</v>
      </c>
      <c r="J199" s="1">
        <v>2021</v>
      </c>
      <c r="K199" s="1">
        <v>13000000</v>
      </c>
      <c r="L199" s="1">
        <v>260000</v>
      </c>
      <c r="M199" s="1">
        <v>0.02</v>
      </c>
      <c r="N199" s="1">
        <v>45839</v>
      </c>
      <c r="O199" s="1">
        <v>223707</v>
      </c>
      <c r="P199" s="1">
        <v>260000</v>
      </c>
      <c r="Q199" s="1">
        <v>223707</v>
      </c>
      <c r="R199" s="6">
        <v>1712</v>
      </c>
      <c r="S199" s="1" t="s">
        <v>189</v>
      </c>
      <c r="T199" s="6" t="s">
        <v>98</v>
      </c>
      <c r="U199" s="1" t="s">
        <v>38</v>
      </c>
      <c r="V199" s="1"/>
      <c r="W199" s="1" t="s">
        <v>879</v>
      </c>
      <c r="X199" s="1" t="s">
        <v>31</v>
      </c>
      <c r="Y199" s="1" t="s">
        <v>153</v>
      </c>
      <c r="Z199" s="1" t="s">
        <v>223</v>
      </c>
    </row>
    <row r="200" spans="1:26" x14ac:dyDescent="0.25">
      <c r="A200" s="5">
        <v>199</v>
      </c>
      <c r="B200" s="1" t="s">
        <v>931</v>
      </c>
      <c r="C200" s="1" t="str">
        <f>VLOOKUP('IT Working sheet '!B200,'09000210'!B:C,2,0)</f>
        <v>040000200023</v>
      </c>
      <c r="D200" s="1" t="str">
        <f t="shared" ref="D200:D204" si="6">"Update ins_assorted_clients set commission_amount = '"&amp;R200&amp;"' where assorted_code = '"&amp;C200&amp;"' and agency_code = '09000870';"</f>
        <v>Update ins_assorted_clients set commission_amount = '1712' where assorted_code = '040000200023' and agency_code = '09000870';</v>
      </c>
      <c r="E200" s="7">
        <v>45839</v>
      </c>
      <c r="F200" s="1" t="s">
        <v>932</v>
      </c>
      <c r="G200" s="1" t="s">
        <v>933</v>
      </c>
      <c r="H200" s="1" t="s">
        <v>934</v>
      </c>
      <c r="I200" s="1" t="s">
        <v>935</v>
      </c>
      <c r="J200" s="1">
        <v>2024</v>
      </c>
      <c r="K200" s="1">
        <v>3060225</v>
      </c>
      <c r="L200" s="1">
        <v>61205</v>
      </c>
      <c r="M200" s="1">
        <v>0.02</v>
      </c>
      <c r="N200" s="1">
        <v>45839</v>
      </c>
      <c r="O200" s="1">
        <v>52295</v>
      </c>
      <c r="P200" s="1">
        <v>61205</v>
      </c>
      <c r="Q200" s="1">
        <v>52295</v>
      </c>
      <c r="R200" s="6">
        <v>1712</v>
      </c>
      <c r="S200" s="1" t="s">
        <v>189</v>
      </c>
      <c r="T200" s="6" t="s">
        <v>98</v>
      </c>
      <c r="U200" s="1" t="s">
        <v>38</v>
      </c>
      <c r="V200" s="1"/>
      <c r="W200" s="1" t="s">
        <v>879</v>
      </c>
      <c r="X200" s="1" t="s">
        <v>31</v>
      </c>
      <c r="Y200" s="1" t="s">
        <v>39</v>
      </c>
      <c r="Z200" s="1" t="s">
        <v>40</v>
      </c>
    </row>
    <row r="201" spans="1:26" x14ac:dyDescent="0.25">
      <c r="A201" s="5">
        <v>200</v>
      </c>
      <c r="B201" s="1" t="s">
        <v>936</v>
      </c>
      <c r="C201" s="1" t="str">
        <f>VLOOKUP('IT Working sheet '!B201,'09000210'!B:C,2,0)</f>
        <v>040000200024</v>
      </c>
      <c r="D201" s="1" t="str">
        <f t="shared" si="6"/>
        <v>Update ins_assorted_clients set commission_amount = '1712' where assorted_code = '040000200024' and agency_code = '09000870';</v>
      </c>
      <c r="E201" s="7">
        <v>45839</v>
      </c>
      <c r="F201" s="1" t="s">
        <v>937</v>
      </c>
      <c r="G201" s="1" t="s">
        <v>938</v>
      </c>
      <c r="H201" s="1" t="s">
        <v>939</v>
      </c>
      <c r="I201" s="1" t="s">
        <v>940</v>
      </c>
      <c r="J201" s="1">
        <v>2021</v>
      </c>
      <c r="K201" s="1">
        <v>5000000</v>
      </c>
      <c r="L201" s="1">
        <v>75000</v>
      </c>
      <c r="M201" s="1">
        <v>1.4999999999999999E-2</v>
      </c>
      <c r="N201" s="1">
        <v>45839</v>
      </c>
      <c r="O201" s="1">
        <v>64103</v>
      </c>
      <c r="P201" s="1">
        <v>75000</v>
      </c>
      <c r="Q201" s="1">
        <v>64103</v>
      </c>
      <c r="R201" s="6">
        <v>1712</v>
      </c>
      <c r="S201" s="1" t="s">
        <v>189</v>
      </c>
      <c r="T201" s="6" t="s">
        <v>98</v>
      </c>
      <c r="U201" s="1" t="s">
        <v>38</v>
      </c>
      <c r="V201" s="1"/>
      <c r="W201" s="1" t="s">
        <v>879</v>
      </c>
      <c r="X201" s="1" t="s">
        <v>31</v>
      </c>
      <c r="Y201" s="1" t="s">
        <v>39</v>
      </c>
      <c r="Z201" s="1" t="s">
        <v>40</v>
      </c>
    </row>
    <row r="202" spans="1:26" x14ac:dyDescent="0.25">
      <c r="A202" s="5">
        <v>201</v>
      </c>
      <c r="B202" s="1" t="s">
        <v>941</v>
      </c>
      <c r="C202" s="1" t="str">
        <f>VLOOKUP('IT Working sheet '!B202,'09000210'!B:C,2,0)</f>
        <v>040000200281</v>
      </c>
      <c r="D202" s="1" t="str">
        <f t="shared" si="6"/>
        <v>Update ins_assorted_clients set commission_amount = '1712' where assorted_code = '040000200281' and agency_code = '09000870';</v>
      </c>
      <c r="E202" s="7">
        <v>45845</v>
      </c>
      <c r="F202" s="1" t="s">
        <v>942</v>
      </c>
      <c r="G202" s="1" t="s">
        <v>943</v>
      </c>
      <c r="H202" s="1" t="s">
        <v>944</v>
      </c>
      <c r="I202" s="1" t="s">
        <v>533</v>
      </c>
      <c r="J202" s="1">
        <v>2020</v>
      </c>
      <c r="K202" s="1">
        <v>5000000</v>
      </c>
      <c r="L202" s="1">
        <v>75000</v>
      </c>
      <c r="M202" s="1">
        <v>1.4999999999999999E-2</v>
      </c>
      <c r="N202" s="1">
        <v>45845</v>
      </c>
      <c r="O202" s="1">
        <v>64085</v>
      </c>
      <c r="P202" s="1">
        <v>75000</v>
      </c>
      <c r="Q202" s="1">
        <v>64085</v>
      </c>
      <c r="R202" s="6">
        <v>1712</v>
      </c>
      <c r="S202" s="1" t="s">
        <v>189</v>
      </c>
      <c r="T202" s="6" t="s">
        <v>98</v>
      </c>
      <c r="U202" s="1" t="s">
        <v>38</v>
      </c>
      <c r="V202" s="1"/>
      <c r="W202" s="1" t="s">
        <v>879</v>
      </c>
      <c r="X202" s="1" t="s">
        <v>31</v>
      </c>
      <c r="Y202" s="1" t="s">
        <v>39</v>
      </c>
      <c r="Z202" s="1" t="s">
        <v>183</v>
      </c>
    </row>
    <row r="203" spans="1:26" x14ac:dyDescent="0.25">
      <c r="A203" s="5">
        <v>202</v>
      </c>
      <c r="B203" s="1" t="s">
        <v>945</v>
      </c>
      <c r="C203" s="1" t="str">
        <f>VLOOKUP('IT Working sheet '!B203,'09000210'!B:C,2,0)</f>
        <v>040000200092</v>
      </c>
      <c r="D203" s="1" t="str">
        <f t="shared" si="6"/>
        <v>Update ins_assorted_clients set commission_amount = '1712' where assorted_code = '040000200092' and agency_code = '09000870';</v>
      </c>
      <c r="E203" s="7">
        <v>45840</v>
      </c>
      <c r="F203" s="1" t="s">
        <v>946</v>
      </c>
      <c r="G203" s="1" t="s">
        <v>947</v>
      </c>
      <c r="H203" s="1" t="s">
        <v>948</v>
      </c>
      <c r="I203" s="1" t="s">
        <v>949</v>
      </c>
      <c r="J203" s="1">
        <v>2024</v>
      </c>
      <c r="K203" s="1">
        <v>4719000</v>
      </c>
      <c r="L203" s="1">
        <v>89661</v>
      </c>
      <c r="M203" s="1">
        <v>1.9E-2</v>
      </c>
      <c r="N203" s="1">
        <v>45840</v>
      </c>
      <c r="O203" s="1">
        <v>76616</v>
      </c>
      <c r="P203" s="1">
        <v>89661</v>
      </c>
      <c r="Q203" s="1">
        <v>76616</v>
      </c>
      <c r="R203" s="6">
        <v>1712</v>
      </c>
      <c r="S203" s="1" t="s">
        <v>189</v>
      </c>
      <c r="T203" s="6" t="s">
        <v>98</v>
      </c>
      <c r="U203" s="1" t="s">
        <v>38</v>
      </c>
      <c r="V203" s="1"/>
      <c r="W203" s="1" t="s">
        <v>879</v>
      </c>
      <c r="X203" s="1" t="s">
        <v>31</v>
      </c>
      <c r="Y203" s="1" t="s">
        <v>39</v>
      </c>
      <c r="Z203" s="1" t="s">
        <v>40</v>
      </c>
    </row>
    <row r="204" spans="1:26" x14ac:dyDescent="0.25">
      <c r="A204" s="5">
        <v>203</v>
      </c>
      <c r="B204" s="1" t="s">
        <v>950</v>
      </c>
      <c r="C204" s="1" t="str">
        <f>VLOOKUP('IT Working sheet '!B204,'09000210'!B:C,2,0)</f>
        <v>040000200103</v>
      </c>
      <c r="D204" s="1" t="str">
        <f t="shared" si="6"/>
        <v>Update ins_assorted_clients set commission_amount = '1712' where assorted_code = '040000200103' and agency_code = '09000870';</v>
      </c>
      <c r="E204" s="7">
        <v>45840</v>
      </c>
      <c r="F204" s="1" t="s">
        <v>951</v>
      </c>
      <c r="G204" s="1" t="s">
        <v>952</v>
      </c>
      <c r="H204" s="1" t="s">
        <v>953</v>
      </c>
      <c r="I204" s="1" t="s">
        <v>954</v>
      </c>
      <c r="J204" s="1">
        <v>2022</v>
      </c>
      <c r="K204" s="1">
        <v>6340000</v>
      </c>
      <c r="L204" s="1">
        <v>95100</v>
      </c>
      <c r="M204" s="1">
        <v>1.4999999999999999E-2</v>
      </c>
      <c r="N204" s="1">
        <v>45840</v>
      </c>
      <c r="O204" s="1">
        <v>81551</v>
      </c>
      <c r="P204" s="1">
        <v>95100</v>
      </c>
      <c r="Q204" s="1">
        <v>81551</v>
      </c>
      <c r="R204" s="6">
        <v>1712</v>
      </c>
      <c r="S204" s="1" t="s">
        <v>189</v>
      </c>
      <c r="T204" s="6" t="s">
        <v>98</v>
      </c>
      <c r="U204" s="1" t="s">
        <v>38</v>
      </c>
      <c r="V204" s="1"/>
      <c r="W204" s="1" t="s">
        <v>879</v>
      </c>
      <c r="X204" s="1" t="s">
        <v>31</v>
      </c>
      <c r="Y204" s="1" t="s">
        <v>39</v>
      </c>
      <c r="Z204" s="1" t="s">
        <v>40</v>
      </c>
    </row>
    <row r="205" spans="1:26" hidden="1" x14ac:dyDescent="0.25">
      <c r="A205" s="5">
        <v>204</v>
      </c>
      <c r="B205" s="1" t="s">
        <v>955</v>
      </c>
      <c r="C205" s="1"/>
      <c r="D205" s="1"/>
      <c r="E205" s="7">
        <v>45811</v>
      </c>
      <c r="F205" s="1" t="s">
        <v>956</v>
      </c>
      <c r="G205" s="1" t="s">
        <v>957</v>
      </c>
      <c r="H205" s="1" t="s">
        <v>958</v>
      </c>
      <c r="I205" s="1" t="s">
        <v>959</v>
      </c>
      <c r="J205" s="1">
        <v>2022</v>
      </c>
      <c r="K205" s="1">
        <v>3950000</v>
      </c>
      <c r="L205" s="1">
        <v>55300</v>
      </c>
      <c r="M205" s="1">
        <v>1.4E-2</v>
      </c>
      <c r="N205" s="1">
        <v>45811</v>
      </c>
      <c r="O205" s="1">
        <v>47242</v>
      </c>
      <c r="P205" s="1">
        <v>55300</v>
      </c>
      <c r="Q205" s="1">
        <v>47242</v>
      </c>
      <c r="R205" s="6">
        <v>1712</v>
      </c>
      <c r="S205" s="1" t="s">
        <v>189</v>
      </c>
      <c r="T205" s="6" t="s">
        <v>98</v>
      </c>
      <c r="U205" s="1" t="s">
        <v>38</v>
      </c>
      <c r="V205" s="1"/>
      <c r="W205" s="1" t="s">
        <v>879</v>
      </c>
      <c r="X205" s="1" t="s">
        <v>31</v>
      </c>
      <c r="Y205" s="1" t="s">
        <v>153</v>
      </c>
      <c r="Z205" s="1" t="s">
        <v>154</v>
      </c>
    </row>
    <row r="206" spans="1:26" hidden="1" x14ac:dyDescent="0.25">
      <c r="A206" s="5">
        <v>205</v>
      </c>
      <c r="B206" s="1" t="s">
        <v>960</v>
      </c>
      <c r="C206" s="1"/>
      <c r="D206" s="1"/>
      <c r="E206" s="7">
        <v>45813</v>
      </c>
      <c r="F206" s="1" t="s">
        <v>961</v>
      </c>
      <c r="G206" s="1" t="s">
        <v>891</v>
      </c>
      <c r="H206" s="1" t="s">
        <v>962</v>
      </c>
      <c r="I206" s="1" t="s">
        <v>963</v>
      </c>
      <c r="J206" s="1">
        <v>2023</v>
      </c>
      <c r="K206" s="1">
        <v>154900</v>
      </c>
      <c r="L206" s="1">
        <v>7745</v>
      </c>
      <c r="M206" s="1">
        <v>0.05</v>
      </c>
      <c r="N206" s="1">
        <v>45813</v>
      </c>
      <c r="O206" s="1">
        <v>6246</v>
      </c>
      <c r="P206" s="1">
        <v>7745</v>
      </c>
      <c r="Q206" s="1">
        <v>6246</v>
      </c>
      <c r="R206" s="6">
        <v>1712</v>
      </c>
      <c r="S206" s="1" t="s">
        <v>189</v>
      </c>
      <c r="T206" s="6" t="s">
        <v>98</v>
      </c>
      <c r="U206" s="1" t="s">
        <v>38</v>
      </c>
      <c r="V206" s="1"/>
      <c r="W206" s="1" t="s">
        <v>879</v>
      </c>
      <c r="X206" s="1" t="s">
        <v>893</v>
      </c>
      <c r="Y206" s="1" t="s">
        <v>153</v>
      </c>
      <c r="Z206" s="1" t="s">
        <v>154</v>
      </c>
    </row>
    <row r="207" spans="1:26" hidden="1" x14ac:dyDescent="0.25">
      <c r="A207" s="5">
        <v>206</v>
      </c>
      <c r="B207" s="1" t="s">
        <v>964</v>
      </c>
      <c r="C207" s="1"/>
      <c r="D207" s="1"/>
      <c r="E207" s="7">
        <v>45822</v>
      </c>
      <c r="F207" s="1" t="s">
        <v>965</v>
      </c>
      <c r="G207" s="1" t="s">
        <v>966</v>
      </c>
      <c r="H207" s="1" t="s">
        <v>967</v>
      </c>
      <c r="I207" s="1" t="s">
        <v>968</v>
      </c>
      <c r="J207" s="1">
        <v>2022</v>
      </c>
      <c r="K207" s="1">
        <v>10050000</v>
      </c>
      <c r="L207" s="1">
        <v>150750</v>
      </c>
      <c r="M207" s="1">
        <v>1.4999999999999999E-2</v>
      </c>
      <c r="N207" s="1">
        <v>45822</v>
      </c>
      <c r="O207" s="1">
        <v>129526</v>
      </c>
      <c r="P207" s="1">
        <v>150750</v>
      </c>
      <c r="Q207" s="1">
        <v>129526</v>
      </c>
      <c r="R207" s="6">
        <v>1712</v>
      </c>
      <c r="S207" s="1" t="s">
        <v>189</v>
      </c>
      <c r="T207" s="6" t="s">
        <v>98</v>
      </c>
      <c r="U207" s="1" t="s">
        <v>38</v>
      </c>
      <c r="V207" s="1"/>
      <c r="W207" s="1" t="s">
        <v>879</v>
      </c>
      <c r="X207" s="1" t="s">
        <v>31</v>
      </c>
      <c r="Y207" s="1" t="s">
        <v>153</v>
      </c>
      <c r="Z207" s="1" t="s">
        <v>154</v>
      </c>
    </row>
    <row r="208" spans="1:26" hidden="1" x14ac:dyDescent="0.25">
      <c r="A208" s="5">
        <v>207</v>
      </c>
      <c r="B208" s="1" t="s">
        <v>969</v>
      </c>
      <c r="C208" s="1"/>
      <c r="D208" s="1"/>
      <c r="E208" s="7">
        <v>45821</v>
      </c>
      <c r="F208" s="1" t="s">
        <v>970</v>
      </c>
      <c r="G208" s="1" t="s">
        <v>971</v>
      </c>
      <c r="H208" s="1" t="s">
        <v>972</v>
      </c>
      <c r="I208" s="1" t="s">
        <v>973</v>
      </c>
      <c r="J208" s="1">
        <v>2017</v>
      </c>
      <c r="K208" s="1">
        <v>2000000</v>
      </c>
      <c r="L208" s="1">
        <v>30000</v>
      </c>
      <c r="M208" s="1">
        <v>1.4999999999999999E-2</v>
      </c>
      <c r="N208" s="1">
        <v>45821</v>
      </c>
      <c r="O208" s="1">
        <v>51293</v>
      </c>
      <c r="P208" s="1">
        <v>30000</v>
      </c>
      <c r="Q208" s="1">
        <v>51293</v>
      </c>
      <c r="R208" s="6">
        <v>1712</v>
      </c>
      <c r="S208" s="1" t="s">
        <v>189</v>
      </c>
      <c r="T208" s="6" t="s">
        <v>98</v>
      </c>
      <c r="U208" s="1" t="s">
        <v>38</v>
      </c>
      <c r="V208" s="1"/>
      <c r="W208" s="1" t="s">
        <v>879</v>
      </c>
      <c r="X208" s="1" t="s">
        <v>31</v>
      </c>
      <c r="Y208" s="1" t="s">
        <v>153</v>
      </c>
      <c r="Z208" s="1" t="s">
        <v>154</v>
      </c>
    </row>
    <row r="209" spans="1:26" hidden="1" x14ac:dyDescent="0.25">
      <c r="A209" s="5">
        <v>208</v>
      </c>
      <c r="B209" s="1" t="s">
        <v>969</v>
      </c>
      <c r="C209" s="1"/>
      <c r="D209" s="1"/>
      <c r="E209" s="7">
        <v>45821</v>
      </c>
      <c r="F209" s="1" t="s">
        <v>970</v>
      </c>
      <c r="G209" s="1" t="s">
        <v>971</v>
      </c>
      <c r="H209" s="1" t="s">
        <v>974</v>
      </c>
      <c r="I209" s="1" t="s">
        <v>973</v>
      </c>
      <c r="J209" s="1">
        <v>2017</v>
      </c>
      <c r="K209" s="1">
        <v>2000000</v>
      </c>
      <c r="L209" s="1">
        <v>30000</v>
      </c>
      <c r="M209" s="1">
        <v>1.4999999999999999E-2</v>
      </c>
      <c r="N209" s="1">
        <v>45821</v>
      </c>
      <c r="O209" s="1">
        <v>51293</v>
      </c>
      <c r="P209" s="1">
        <v>30000</v>
      </c>
      <c r="Q209" s="1">
        <v>51293</v>
      </c>
      <c r="R209" s="6">
        <v>1712</v>
      </c>
      <c r="S209" s="1" t="s">
        <v>189</v>
      </c>
      <c r="T209" s="6" t="s">
        <v>98</v>
      </c>
      <c r="U209" s="1" t="s">
        <v>38</v>
      </c>
      <c r="V209" s="1"/>
      <c r="W209" s="1" t="s">
        <v>879</v>
      </c>
      <c r="X209" s="1" t="s">
        <v>31</v>
      </c>
      <c r="Y209" s="1" t="s">
        <v>153</v>
      </c>
      <c r="Z209" s="1" t="s">
        <v>154</v>
      </c>
    </row>
    <row r="210" spans="1:26" hidden="1" x14ac:dyDescent="0.25">
      <c r="A210" s="5">
        <v>209</v>
      </c>
      <c r="B210" s="1" t="s">
        <v>975</v>
      </c>
      <c r="C210" s="1"/>
      <c r="D210" s="1"/>
      <c r="E210" s="7">
        <v>45826</v>
      </c>
      <c r="F210" s="1" t="s">
        <v>976</v>
      </c>
      <c r="G210" s="1" t="s">
        <v>977</v>
      </c>
      <c r="H210" s="1" t="s">
        <v>978</v>
      </c>
      <c r="I210" s="1" t="s">
        <v>979</v>
      </c>
      <c r="J210" s="1">
        <v>2021</v>
      </c>
      <c r="K210" s="1">
        <v>5000000</v>
      </c>
      <c r="L210" s="1">
        <v>80000</v>
      </c>
      <c r="M210" s="1">
        <v>1.6E-2</v>
      </c>
      <c r="N210" s="1">
        <v>45826</v>
      </c>
      <c r="O210" s="1">
        <v>68535</v>
      </c>
      <c r="P210" s="1">
        <v>80000</v>
      </c>
      <c r="Q210" s="1">
        <v>68535</v>
      </c>
      <c r="R210" s="6">
        <v>1712</v>
      </c>
      <c r="S210" s="1" t="s">
        <v>189</v>
      </c>
      <c r="T210" s="6" t="s">
        <v>98</v>
      </c>
      <c r="U210" s="1" t="s">
        <v>38</v>
      </c>
      <c r="V210" s="1"/>
      <c r="W210" s="1" t="s">
        <v>879</v>
      </c>
      <c r="X210" s="1" t="s">
        <v>31</v>
      </c>
      <c r="Y210" s="1" t="s">
        <v>153</v>
      </c>
      <c r="Z210" s="1" t="s">
        <v>178</v>
      </c>
    </row>
    <row r="211" spans="1:26" hidden="1" x14ac:dyDescent="0.25">
      <c r="A211" s="5">
        <v>210</v>
      </c>
      <c r="B211" s="1" t="s">
        <v>980</v>
      </c>
      <c r="C211" s="1"/>
      <c r="D211" s="1"/>
      <c r="E211" s="7">
        <v>45821</v>
      </c>
      <c r="F211" s="1" t="s">
        <v>981</v>
      </c>
      <c r="G211" s="1" t="s">
        <v>982</v>
      </c>
      <c r="H211" s="1" t="s">
        <v>983</v>
      </c>
      <c r="I211" s="1" t="s">
        <v>984</v>
      </c>
      <c r="J211" s="1">
        <v>2023</v>
      </c>
      <c r="K211" s="1">
        <v>3416000</v>
      </c>
      <c r="L211" s="1">
        <v>59780</v>
      </c>
      <c r="M211" s="1">
        <v>1.7500000000000002E-2</v>
      </c>
      <c r="N211" s="1">
        <v>45821</v>
      </c>
      <c r="O211" s="1">
        <v>51077</v>
      </c>
      <c r="P211" s="1">
        <v>59780</v>
      </c>
      <c r="Q211" s="1">
        <v>51077</v>
      </c>
      <c r="R211" s="6">
        <v>1712</v>
      </c>
      <c r="S211" s="1" t="s">
        <v>189</v>
      </c>
      <c r="T211" s="6" t="s">
        <v>98</v>
      </c>
      <c r="U211" s="1" t="s">
        <v>38</v>
      </c>
      <c r="V211" s="1"/>
      <c r="W211" s="1" t="s">
        <v>879</v>
      </c>
      <c r="X211" s="1" t="s">
        <v>31</v>
      </c>
      <c r="Y211" s="1" t="s">
        <v>39</v>
      </c>
      <c r="Z211" s="1" t="s">
        <v>69</v>
      </c>
    </row>
    <row r="212" spans="1:26" hidden="1" x14ac:dyDescent="0.25">
      <c r="A212" s="5">
        <v>211</v>
      </c>
      <c r="B212" s="1" t="s">
        <v>985</v>
      </c>
      <c r="C212" s="1"/>
      <c r="D212" s="1"/>
      <c r="E212" s="7">
        <v>45824</v>
      </c>
      <c r="F212" s="1" t="s">
        <v>986</v>
      </c>
      <c r="G212" s="1" t="s">
        <v>987</v>
      </c>
      <c r="H212" s="1" t="s">
        <v>988</v>
      </c>
      <c r="I212" s="1" t="s">
        <v>989</v>
      </c>
      <c r="J212" s="1">
        <v>2021</v>
      </c>
      <c r="K212" s="1">
        <v>3000000</v>
      </c>
      <c r="L212" s="1">
        <v>51000</v>
      </c>
      <c r="M212" s="1">
        <v>1.7000000000000001E-2</v>
      </c>
      <c r="N212" s="1">
        <v>45822</v>
      </c>
      <c r="O212" s="1">
        <v>43535</v>
      </c>
      <c r="P212" s="1">
        <v>51000</v>
      </c>
      <c r="Q212" s="1">
        <v>43535</v>
      </c>
      <c r="R212" s="6">
        <v>1712</v>
      </c>
      <c r="S212" s="1" t="s">
        <v>189</v>
      </c>
      <c r="T212" s="6" t="s">
        <v>98</v>
      </c>
      <c r="U212" s="1" t="s">
        <v>38</v>
      </c>
      <c r="V212" s="1"/>
      <c r="W212" s="1" t="s">
        <v>879</v>
      </c>
      <c r="X212" s="1" t="s">
        <v>31</v>
      </c>
      <c r="Y212" s="1" t="s">
        <v>39</v>
      </c>
      <c r="Z212" s="1" t="s">
        <v>69</v>
      </c>
    </row>
    <row r="213" spans="1:26" hidden="1" x14ac:dyDescent="0.25">
      <c r="A213" s="5">
        <v>212</v>
      </c>
      <c r="B213" s="1" t="s">
        <v>990</v>
      </c>
      <c r="C213" s="1"/>
      <c r="D213" s="1"/>
      <c r="E213" s="7">
        <v>45810</v>
      </c>
      <c r="F213" s="1" t="s">
        <v>991</v>
      </c>
      <c r="G213" s="1" t="s">
        <v>992</v>
      </c>
      <c r="H213" s="1" t="s">
        <v>993</v>
      </c>
      <c r="I213" s="1" t="s">
        <v>935</v>
      </c>
      <c r="J213" s="1">
        <v>2024</v>
      </c>
      <c r="K213" s="1">
        <v>3045000</v>
      </c>
      <c r="L213" s="1">
        <v>60596</v>
      </c>
      <c r="M213" s="1">
        <v>1.9900000000000001E-2</v>
      </c>
      <c r="N213" s="1">
        <v>45810</v>
      </c>
      <c r="O213" s="1">
        <v>51807</v>
      </c>
      <c r="P213" s="1">
        <v>60596</v>
      </c>
      <c r="Q213" s="1">
        <v>51807</v>
      </c>
      <c r="R213" s="6">
        <v>1712</v>
      </c>
      <c r="S213" s="1" t="s">
        <v>189</v>
      </c>
      <c r="T213" s="6" t="s">
        <v>98</v>
      </c>
      <c r="U213" s="1" t="s">
        <v>38</v>
      </c>
      <c r="V213" s="1"/>
      <c r="W213" s="1" t="s">
        <v>879</v>
      </c>
      <c r="X213" s="1" t="s">
        <v>31</v>
      </c>
      <c r="Y213" s="1" t="s">
        <v>39</v>
      </c>
      <c r="Z213" s="1" t="s">
        <v>69</v>
      </c>
    </row>
    <row r="214" spans="1:26" hidden="1" x14ac:dyDescent="0.25">
      <c r="A214" s="5">
        <v>213</v>
      </c>
      <c r="B214" s="1" t="s">
        <v>994</v>
      </c>
      <c r="C214" s="1"/>
      <c r="D214" s="1"/>
      <c r="E214" s="7">
        <v>45821</v>
      </c>
      <c r="F214" s="1" t="s">
        <v>995</v>
      </c>
      <c r="G214" s="1" t="s">
        <v>996</v>
      </c>
      <c r="H214" s="1" t="s">
        <v>997</v>
      </c>
      <c r="I214" s="1" t="s">
        <v>998</v>
      </c>
      <c r="J214" s="1">
        <v>2024</v>
      </c>
      <c r="K214" s="1">
        <v>8668000</v>
      </c>
      <c r="L214" s="1">
        <v>130020</v>
      </c>
      <c r="M214" s="1">
        <v>1.4999999999999999E-2</v>
      </c>
      <c r="N214" s="1">
        <v>45821</v>
      </c>
      <c r="O214" s="1">
        <v>111111</v>
      </c>
      <c r="P214" s="1">
        <v>130020</v>
      </c>
      <c r="Q214" s="1">
        <v>111111</v>
      </c>
      <c r="R214" s="6">
        <v>1712</v>
      </c>
      <c r="S214" s="1" t="s">
        <v>189</v>
      </c>
      <c r="T214" s="6" t="s">
        <v>98</v>
      </c>
      <c r="U214" s="1" t="s">
        <v>38</v>
      </c>
      <c r="V214" s="1"/>
      <c r="W214" s="1" t="s">
        <v>879</v>
      </c>
      <c r="X214" s="1" t="s">
        <v>31</v>
      </c>
      <c r="Y214" s="1" t="s">
        <v>39</v>
      </c>
      <c r="Z214" s="1" t="s">
        <v>69</v>
      </c>
    </row>
    <row r="215" spans="1:26" hidden="1" x14ac:dyDescent="0.25">
      <c r="A215" s="5">
        <v>214</v>
      </c>
      <c r="B215" s="1" t="s">
        <v>999</v>
      </c>
      <c r="C215" s="1"/>
      <c r="D215" s="1"/>
      <c r="E215" s="7">
        <v>45829</v>
      </c>
      <c r="F215" s="1" t="s">
        <v>1000</v>
      </c>
      <c r="G215" s="1" t="s">
        <v>1001</v>
      </c>
      <c r="H215" s="1" t="s">
        <v>1002</v>
      </c>
      <c r="I215" s="1" t="s">
        <v>1003</v>
      </c>
      <c r="J215" s="1">
        <v>2017</v>
      </c>
      <c r="K215" s="1">
        <v>6000000</v>
      </c>
      <c r="L215" s="1">
        <v>78000</v>
      </c>
      <c r="M215" s="1">
        <v>1.2999999999999999E-2</v>
      </c>
      <c r="N215" s="1">
        <v>45829</v>
      </c>
      <c r="O215" s="1">
        <v>66810</v>
      </c>
      <c r="P215" s="1">
        <v>78000</v>
      </c>
      <c r="Q215" s="1">
        <v>66810</v>
      </c>
      <c r="R215" s="6">
        <v>1712</v>
      </c>
      <c r="S215" s="1" t="s">
        <v>189</v>
      </c>
      <c r="T215" s="6" t="s">
        <v>98</v>
      </c>
      <c r="U215" s="1" t="s">
        <v>38</v>
      </c>
      <c r="V215" s="1"/>
      <c r="W215" s="1" t="s">
        <v>879</v>
      </c>
      <c r="X215" s="1" t="s">
        <v>31</v>
      </c>
      <c r="Y215" s="1" t="s">
        <v>39</v>
      </c>
      <c r="Z215" s="1" t="s">
        <v>69</v>
      </c>
    </row>
    <row r="216" spans="1:26" hidden="1" x14ac:dyDescent="0.25">
      <c r="A216" s="5">
        <v>215</v>
      </c>
      <c r="B216" s="1" t="s">
        <v>1004</v>
      </c>
      <c r="C216" s="1"/>
      <c r="D216" s="1"/>
      <c r="E216" s="7">
        <v>45820</v>
      </c>
      <c r="F216" s="1" t="s">
        <v>1005</v>
      </c>
      <c r="G216" s="1" t="s">
        <v>1006</v>
      </c>
      <c r="H216" s="1" t="s">
        <v>1007</v>
      </c>
      <c r="I216" s="1" t="s">
        <v>1008</v>
      </c>
      <c r="J216" s="1">
        <v>2018</v>
      </c>
      <c r="K216" s="1">
        <v>3500000</v>
      </c>
      <c r="L216" s="1">
        <v>63000</v>
      </c>
      <c r="M216" s="1">
        <v>1.7999999999999999E-2</v>
      </c>
      <c r="N216" s="1">
        <v>45820</v>
      </c>
      <c r="O216" s="1">
        <v>53879</v>
      </c>
      <c r="P216" s="1">
        <v>63000</v>
      </c>
      <c r="Q216" s="1">
        <v>53879</v>
      </c>
      <c r="R216" s="6">
        <v>1712</v>
      </c>
      <c r="S216" s="1" t="s">
        <v>189</v>
      </c>
      <c r="T216" s="6" t="s">
        <v>98</v>
      </c>
      <c r="U216" s="1" t="s">
        <v>38</v>
      </c>
      <c r="V216" s="1"/>
      <c r="W216" s="1" t="s">
        <v>879</v>
      </c>
      <c r="X216" s="1" t="s">
        <v>31</v>
      </c>
      <c r="Y216" s="1" t="s">
        <v>39</v>
      </c>
      <c r="Z216" s="1" t="s">
        <v>69</v>
      </c>
    </row>
    <row r="217" spans="1:26" hidden="1" x14ac:dyDescent="0.25">
      <c r="A217" s="5">
        <v>216</v>
      </c>
      <c r="B217" s="1" t="s">
        <v>1009</v>
      </c>
      <c r="C217" s="1"/>
      <c r="D217" s="1"/>
      <c r="E217" s="7">
        <v>45812</v>
      </c>
      <c r="F217" s="1" t="s">
        <v>1010</v>
      </c>
      <c r="G217" s="1" t="s">
        <v>1011</v>
      </c>
      <c r="H217" s="1" t="s">
        <v>1012</v>
      </c>
      <c r="I217" s="1" t="s">
        <v>1013</v>
      </c>
      <c r="J217" s="1">
        <v>2022</v>
      </c>
      <c r="K217" s="1">
        <v>3200000</v>
      </c>
      <c r="L217" s="1">
        <v>60000</v>
      </c>
      <c r="M217" s="1">
        <v>0.02</v>
      </c>
      <c r="N217" s="1">
        <v>45812</v>
      </c>
      <c r="O217" s="1">
        <v>51293</v>
      </c>
      <c r="P217" s="1">
        <v>60000</v>
      </c>
      <c r="Q217" s="1">
        <v>51293</v>
      </c>
      <c r="R217" s="6">
        <v>1712</v>
      </c>
      <c r="S217" s="1" t="s">
        <v>189</v>
      </c>
      <c r="T217" s="6" t="s">
        <v>98</v>
      </c>
      <c r="U217" s="1" t="s">
        <v>38</v>
      </c>
      <c r="V217" s="1"/>
      <c r="W217" s="1" t="s">
        <v>879</v>
      </c>
      <c r="X217" s="1" t="s">
        <v>31</v>
      </c>
      <c r="Y217" s="1" t="s">
        <v>39</v>
      </c>
      <c r="Z217" s="1" t="s">
        <v>69</v>
      </c>
    </row>
    <row r="218" spans="1:26" hidden="1" x14ac:dyDescent="0.25">
      <c r="A218" s="5">
        <v>217</v>
      </c>
      <c r="B218" s="1" t="s">
        <v>1014</v>
      </c>
      <c r="C218" s="1"/>
      <c r="D218" s="1"/>
      <c r="E218" s="7">
        <v>45820</v>
      </c>
      <c r="F218" s="1" t="s">
        <v>1015</v>
      </c>
      <c r="G218" s="1" t="s">
        <v>1016</v>
      </c>
      <c r="H218" s="1" t="s">
        <v>1017</v>
      </c>
      <c r="I218" s="1" t="s">
        <v>1018</v>
      </c>
      <c r="J218" s="1">
        <v>2022</v>
      </c>
      <c r="K218" s="1">
        <v>4000000</v>
      </c>
      <c r="L218" s="1">
        <v>64000</v>
      </c>
      <c r="M218" s="1">
        <v>1.6E-2</v>
      </c>
      <c r="N218" s="1">
        <v>45820</v>
      </c>
      <c r="O218" s="1">
        <v>54684</v>
      </c>
      <c r="P218" s="1">
        <v>64000</v>
      </c>
      <c r="Q218" s="1">
        <v>54684</v>
      </c>
      <c r="R218" s="6">
        <v>1712</v>
      </c>
      <c r="S218" s="1" t="s">
        <v>189</v>
      </c>
      <c r="T218" s="6" t="s">
        <v>98</v>
      </c>
      <c r="U218" s="1" t="s">
        <v>38</v>
      </c>
      <c r="V218" s="1"/>
      <c r="W218" s="1" t="s">
        <v>879</v>
      </c>
      <c r="X218" s="1" t="s">
        <v>31</v>
      </c>
      <c r="Y218" s="1" t="s">
        <v>39</v>
      </c>
      <c r="Z218" s="1" t="s">
        <v>69</v>
      </c>
    </row>
    <row r="219" spans="1:26" x14ac:dyDescent="0.25">
      <c r="A219" s="5">
        <v>218</v>
      </c>
      <c r="B219" s="1" t="s">
        <v>1019</v>
      </c>
      <c r="C219" s="1" t="e">
        <f>VLOOKUP('IT Working sheet '!B219,'09000210'!B:C,2,0)</f>
        <v>#N/A</v>
      </c>
      <c r="D219" s="1"/>
      <c r="E219" s="7">
        <v>45841</v>
      </c>
      <c r="F219" s="1" t="s">
        <v>1020</v>
      </c>
      <c r="G219" s="1" t="s">
        <v>859</v>
      </c>
      <c r="H219" s="1" t="s">
        <v>1021</v>
      </c>
      <c r="I219" s="1" t="s">
        <v>1022</v>
      </c>
      <c r="J219" s="1">
        <v>2018</v>
      </c>
      <c r="K219" s="1">
        <v>3800000</v>
      </c>
      <c r="L219" s="1">
        <v>10000</v>
      </c>
      <c r="M219" s="1">
        <v>2.5000000000000001E-2</v>
      </c>
      <c r="N219" s="1">
        <v>45841</v>
      </c>
      <c r="O219" s="1">
        <v>8190</v>
      </c>
      <c r="P219" s="1">
        <v>10000</v>
      </c>
      <c r="Q219" s="1">
        <v>8190</v>
      </c>
      <c r="R219" s="6">
        <v>1712</v>
      </c>
      <c r="S219" s="1" t="s">
        <v>189</v>
      </c>
      <c r="T219" s="6" t="s">
        <v>98</v>
      </c>
      <c r="U219" s="1" t="s">
        <v>38</v>
      </c>
      <c r="V219" s="1"/>
      <c r="W219" s="1" t="s">
        <v>879</v>
      </c>
      <c r="X219" s="1" t="s">
        <v>190</v>
      </c>
      <c r="Y219" s="1" t="s">
        <v>217</v>
      </c>
      <c r="Z219" s="1" t="s">
        <v>218</v>
      </c>
    </row>
    <row r="220" spans="1:26" x14ac:dyDescent="0.25">
      <c r="A220" s="5">
        <v>219</v>
      </c>
      <c r="B220" s="1" t="s">
        <v>1023</v>
      </c>
      <c r="C220" s="1" t="e">
        <f>VLOOKUP('IT Working sheet '!B220,'09000210'!B:C,2,0)</f>
        <v>#N/A</v>
      </c>
      <c r="D220" s="1"/>
      <c r="E220" s="7">
        <v>45846</v>
      </c>
      <c r="F220" s="1" t="s">
        <v>1024</v>
      </c>
      <c r="G220" s="1" t="s">
        <v>1025</v>
      </c>
      <c r="H220" s="1" t="s">
        <v>1026</v>
      </c>
      <c r="I220" s="1" t="s">
        <v>1027</v>
      </c>
      <c r="J220" s="1">
        <v>2024</v>
      </c>
      <c r="K220" s="1">
        <v>3700000</v>
      </c>
      <c r="L220" s="1">
        <v>10000</v>
      </c>
      <c r="M220" s="1">
        <v>2.5000000000000001E-2</v>
      </c>
      <c r="N220" s="1">
        <v>45846</v>
      </c>
      <c r="O220" s="1">
        <v>8190</v>
      </c>
      <c r="P220" s="1">
        <v>10000</v>
      </c>
      <c r="Q220" s="1">
        <v>8190</v>
      </c>
      <c r="R220" s="6">
        <v>1712</v>
      </c>
      <c r="S220" s="1" t="s">
        <v>189</v>
      </c>
      <c r="T220" s="6" t="s">
        <v>98</v>
      </c>
      <c r="U220" s="1" t="s">
        <v>38</v>
      </c>
      <c r="V220" s="1"/>
      <c r="W220" s="1" t="s">
        <v>879</v>
      </c>
      <c r="X220" s="1" t="s">
        <v>190</v>
      </c>
      <c r="Y220" s="1" t="s">
        <v>217</v>
      </c>
      <c r="Z220" s="1" t="s">
        <v>218</v>
      </c>
    </row>
    <row r="221" spans="1:26" x14ac:dyDescent="0.25">
      <c r="A221" s="5">
        <v>220</v>
      </c>
      <c r="B221" s="1" t="s">
        <v>1028</v>
      </c>
      <c r="C221" s="1" t="e">
        <f>VLOOKUP('IT Working sheet '!B221,'09000210'!B:C,2,0)</f>
        <v>#N/A</v>
      </c>
      <c r="D221" s="1"/>
      <c r="E221" s="7">
        <v>45852</v>
      </c>
      <c r="F221" s="1" t="s">
        <v>1029</v>
      </c>
      <c r="G221" s="1" t="s">
        <v>1030</v>
      </c>
      <c r="H221" s="1" t="s">
        <v>1031</v>
      </c>
      <c r="I221" s="1" t="s">
        <v>1032</v>
      </c>
      <c r="J221" s="1">
        <v>2018</v>
      </c>
      <c r="K221" s="1">
        <v>4500000</v>
      </c>
      <c r="L221" s="1">
        <v>10000</v>
      </c>
      <c r="M221" s="1">
        <v>2.5000000000000001E-2</v>
      </c>
      <c r="N221" s="1">
        <v>45852</v>
      </c>
      <c r="O221" s="1">
        <v>8190</v>
      </c>
      <c r="P221" s="1">
        <v>10000</v>
      </c>
      <c r="Q221" s="1">
        <v>8190</v>
      </c>
      <c r="R221" s="6">
        <v>1712</v>
      </c>
      <c r="S221" s="1" t="s">
        <v>189</v>
      </c>
      <c r="T221" s="6" t="s">
        <v>98</v>
      </c>
      <c r="U221" s="1" t="s">
        <v>38</v>
      </c>
      <c r="V221" s="1"/>
      <c r="W221" s="1" t="s">
        <v>879</v>
      </c>
      <c r="X221" s="1" t="s">
        <v>190</v>
      </c>
      <c r="Y221" s="1" t="s">
        <v>217</v>
      </c>
      <c r="Z221" s="1" t="s">
        <v>218</v>
      </c>
    </row>
    <row r="222" spans="1:26" hidden="1" x14ac:dyDescent="0.25">
      <c r="A222" s="5">
        <v>221</v>
      </c>
      <c r="B222" s="1" t="s">
        <v>1033</v>
      </c>
      <c r="C222" s="1"/>
      <c r="D222" s="1"/>
      <c r="E222" s="7">
        <v>45825</v>
      </c>
      <c r="F222" s="1" t="s">
        <v>1034</v>
      </c>
      <c r="G222" s="1" t="s">
        <v>1035</v>
      </c>
      <c r="H222" s="1" t="s">
        <v>1036</v>
      </c>
      <c r="I222" s="1" t="s">
        <v>1037</v>
      </c>
      <c r="J222" s="1">
        <v>2021</v>
      </c>
      <c r="K222" s="1">
        <v>5100000</v>
      </c>
      <c r="L222" s="1">
        <v>10000</v>
      </c>
      <c r="M222" s="1">
        <v>2.5000000000000001E-2</v>
      </c>
      <c r="N222" s="1">
        <v>45825</v>
      </c>
      <c r="O222" s="1">
        <v>8190</v>
      </c>
      <c r="P222" s="1">
        <v>10000</v>
      </c>
      <c r="Q222" s="1">
        <v>8190</v>
      </c>
      <c r="R222" s="6">
        <v>1712</v>
      </c>
      <c r="S222" s="1" t="s">
        <v>189</v>
      </c>
      <c r="T222" s="6" t="s">
        <v>98</v>
      </c>
      <c r="U222" s="1" t="s">
        <v>38</v>
      </c>
      <c r="V222" s="1"/>
      <c r="W222" s="1" t="s">
        <v>879</v>
      </c>
      <c r="X222" s="1" t="s">
        <v>190</v>
      </c>
      <c r="Y222" s="1" t="s">
        <v>217</v>
      </c>
      <c r="Z222" s="1" t="s">
        <v>305</v>
      </c>
    </row>
  </sheetData>
  <autoFilter ref="A1:Z222" xr:uid="{57143486-6055-4F9E-873C-FA8B229E63FE}">
    <filterColumn colId="1">
      <filters>
        <filter val="KHI/HO/D/MO/CV/P/110552/07/2025"/>
        <filter val="KHI/HO/D/MO/PC COMP/P/110295/07/2025"/>
        <filter val="KHI/HO/D/MO/PC COMP/P/110297/07/2025"/>
        <filter val="KHI/HO/D/MO/PC COMP/P/110299/07/2025"/>
        <filter val="KHI/HO/D/MO/PC COMP/P/110301/07/2025"/>
        <filter val="KHI/HO/D/MO/PC COMP/P/110302/07/2025"/>
        <filter val="KHI/HO/D/MO/PC COMP/P/110306/07/2025"/>
        <filter val="KHI/HO/D/MO/PC COMP/P/110311/07/2025"/>
        <filter val="KHI/HO/D/MO/PC COMP/P/110334/07/2025"/>
        <filter val="KHI/HO/D/MO/PC COMP/P/110336/07/2025"/>
        <filter val="KHI/HO/D/MO/PC COMP/P/110348/07/2025"/>
        <filter val="KHI/HO/D/MO/PC COMP/P/110354/07/2025"/>
        <filter val="KHI/HO/D/MO/PC COMP/P/110356/07/2025"/>
        <filter val="KHI/HO/D/MO/PC COMP/P/110372/07/2025"/>
        <filter val="KHI/HO/D/MO/PC COMP/P/110377/07/2025"/>
        <filter val="KHI/HO/D/MO/PC COMP/P/110391/07/2025"/>
        <filter val="KHI/HO/D/MO/PC COMP/P/110407/07/2025"/>
        <filter val="KHI/HO/D/MO/PC COMP/P/110425/07/2025"/>
        <filter val="KHI/HO/D/MO/PC COMP/P/110427/07/2025"/>
        <filter val="KHI/HO/D/MO/PC COMP/P/110438/07/2025"/>
        <filter val="KHI/HO/D/MO/PC COMP/P/110441/07/2025"/>
        <filter val="KHI/HO/D/MO/PC COMP/P/110445/07/2025"/>
        <filter val="KHI/HO/D/MO/PC COMP/P/110449/07/2025"/>
        <filter val="KHI/HO/D/MO/PC COMP/P/110452/07/2025"/>
        <filter val="KHI/HO/D/MO/PC COMP/P/110456/07/2025"/>
        <filter val="KHI/HO/D/MO/PC COMP/P/110465/07/2025"/>
        <filter val="KHI/HO/D/MO/PC COMP/P/110478/07/2025"/>
        <filter val="KHI/HO/D/MO/PC COMP/P/110479/07/2025"/>
        <filter val="KHI/HO/D/MO/PC COMP/P/110480/07/2025"/>
        <filter val="KHI/HO/D/MO/PC COMP/P/110489/07/2025"/>
        <filter val="KHI/HO/D/MO/PC COMP/P/110497/07/2025"/>
        <filter val="KHI/HO/D/MO/PC COMP/P/110499/07/2025"/>
        <filter val="KHI/HO/D/MO/PC COMP/P/110507/07/2025"/>
        <filter val="KHI/HO/D/MO/PC COMP/P/110508/07/2025"/>
        <filter val="KHI/HO/D/MO/PC COMP/P/110512/07/2025"/>
        <filter val="KHI/HO/D/MO/PC COMP/P/110516/07/2025"/>
        <filter val="KHI/HO/D/MO/PC COMP/P/110520/07/2025"/>
        <filter val="KHI/HO/D/MO/PC COMP/P/110521/07/2025"/>
        <filter val="KHI/HO/D/MO/PC COMP/P/110522/07/2025"/>
        <filter val="KHI/HO/D/MO/PC COMP/P/110527/07/2025"/>
        <filter val="KHI/HO/D/MO/PC COMP/P/110537/07/2025"/>
        <filter val="KHI/HO/D/MO/PC COMP/P/110540/07/2025"/>
        <filter val="KHI/HO/D/MO/PC COMP/P/110549/07/2025"/>
        <filter val="KHI/HO/D/MO/PC COMP/P/110550/07/2025"/>
        <filter val="KHI/HO/D/MO/PC COMP/P/110551/07/2025"/>
        <filter val="KHI/HO/D/MO/PC COMP/P/110553/07/2025"/>
        <filter val="KHI/HO/D/MO/PC COMP/P/110555/07/2025"/>
        <filter val="KHI/HO/D/MO/PC COMP/P/110556/07/2025"/>
        <filter val="KHI/HO/D/MO/PC COMP/P/110559/07/2025"/>
        <filter val="KHI/HO/D/MO/PC COMP/P/110563/07/2025"/>
        <filter val="KHI/HO/D/MO/PD COMP/P/110344/07/2025"/>
        <filter val="KHI/HO/D/MO/PD COMP/P/110345/07/2025"/>
        <filter val="KHI/HO/D/MO/PD COMP/P/110437/07/2025"/>
        <filter val="KHI/HO/D/MO/PD COMP/P/110472/07/2025"/>
        <filter val="KHI/HO/D/MO/PD COMP/P/110528/07/2025"/>
        <filter val="KHI/HO/D/MO/PD COMP/P/110554/07/2025"/>
        <filter val="LHR/LHR/D/MO/PC COMP/P/110294/07/2025"/>
        <filter val="LHR/LHR/D/MO/PC COMP/P/110296/07/2025"/>
        <filter val="LHR/LHR/D/MO/PC COMP/P/110305/07/2025"/>
        <filter val="LHR/LHR/D/MO/PC COMP/P/110307/07/2025"/>
        <filter val="LHR/LHR/D/MO/PC COMP/P/110335/07/2025"/>
        <filter val="LHR/LHR/D/MO/PC COMP/P/110338/07/2025"/>
        <filter val="LHR/LHR/D/MO/PC COMP/P/110352/07/2025"/>
        <filter val="LHR/LHR/D/MO/PC COMP/P/110406/07/2025"/>
        <filter val="LHR/LHR/D/MO/PC COMP/P/110408/07/2025"/>
        <filter val="LHR/LHR/D/MO/PC COMP/P/110411/07/2025"/>
        <filter val="LHR/LHR/D/MO/PC COMP/P/110413/07/2025"/>
        <filter val="LHR/LHR/D/MO/PC COMP/P/110418/07/2025"/>
        <filter val="LHR/LHR/D/MO/PC COMP/P/110475/07/2025"/>
        <filter val="LHR/LHR/D/MO/PC COMP/P/110481/07/2025"/>
        <filter val="LHR/LHR/D/MO/PC COMP/P/110483/07/2025"/>
        <filter val="LHR/LHR/D/MO/PC COMP/P/110493/07/2025"/>
        <filter val="LHR/LHR/D/MO/PC COMP/P/110518/07/2025"/>
        <filter val="LHR/LHR/D/MO/PC COMP/P/110558/07/2025"/>
      </filters>
    </filterColumn>
    <filterColumn colId="17">
      <filters>
        <filter val="1,269"/>
        <filter val="1,270"/>
        <filter val="1,299"/>
        <filter val="1,711"/>
        <filter val="1,712"/>
        <filter val="563"/>
        <filter val="570"/>
        <filter val="571"/>
        <filter val="703"/>
        <filter val="704"/>
      </filters>
    </filterColumn>
  </autoFilter>
  <dataValidations count="1">
    <dataValidation type="list" allowBlank="1" showInputMessage="1" showErrorMessage="1" sqref="W62:W63 W103 W129:W130 W111:W119 W163 W218" xr:uid="{8E27A6F6-21E9-41E9-8936-C7A093287CEF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31BA-5AA6-4367-91E0-41F7461D5BB0}">
  <dimension ref="A1:C51"/>
  <sheetViews>
    <sheetView workbookViewId="0">
      <selection activeCell="D1" sqref="D1:D1048576"/>
    </sheetView>
  </sheetViews>
  <sheetFormatPr defaultRowHeight="15" x14ac:dyDescent="0.25"/>
  <cols>
    <col min="1" max="1" width="3" bestFit="1" customWidth="1"/>
    <col min="2" max="2" width="39.7109375" bestFit="1" customWidth="1"/>
    <col min="3" max="3" width="15.85546875" bestFit="1" customWidth="1"/>
  </cols>
  <sheetData>
    <row r="1" spans="1:3" x14ac:dyDescent="0.25">
      <c r="A1" t="s">
        <v>1039</v>
      </c>
      <c r="B1" t="s">
        <v>1040</v>
      </c>
      <c r="C1" t="s">
        <v>1041</v>
      </c>
    </row>
    <row r="2" spans="1:3" x14ac:dyDescent="0.25">
      <c r="A2">
        <v>1</v>
      </c>
      <c r="B2" t="s">
        <v>747</v>
      </c>
      <c r="C2" t="s">
        <v>1206</v>
      </c>
    </row>
    <row r="3" spans="1:3" x14ac:dyDescent="0.25">
      <c r="A3">
        <v>2</v>
      </c>
      <c r="B3" t="s">
        <v>931</v>
      </c>
      <c r="C3" t="s">
        <v>1178</v>
      </c>
    </row>
    <row r="4" spans="1:3" x14ac:dyDescent="0.25">
      <c r="A4">
        <v>3</v>
      </c>
      <c r="B4" t="s">
        <v>936</v>
      </c>
      <c r="C4" t="s">
        <v>1183</v>
      </c>
    </row>
    <row r="5" spans="1:3" x14ac:dyDescent="0.25">
      <c r="A5">
        <v>4</v>
      </c>
      <c r="B5" t="s">
        <v>357</v>
      </c>
      <c r="C5" t="s">
        <v>1179</v>
      </c>
    </row>
    <row r="6" spans="1:3" x14ac:dyDescent="0.25">
      <c r="A6">
        <v>5</v>
      </c>
      <c r="B6" t="s">
        <v>347</v>
      </c>
      <c r="C6" t="s">
        <v>1229</v>
      </c>
    </row>
    <row r="7" spans="1:3" x14ac:dyDescent="0.25">
      <c r="A7">
        <v>6</v>
      </c>
      <c r="B7" t="s">
        <v>495</v>
      </c>
      <c r="C7" t="s">
        <v>1227</v>
      </c>
    </row>
    <row r="8" spans="1:3" x14ac:dyDescent="0.25">
      <c r="A8">
        <v>7</v>
      </c>
      <c r="B8" t="s">
        <v>742</v>
      </c>
      <c r="C8" t="s">
        <v>1045</v>
      </c>
    </row>
    <row r="9" spans="1:3" x14ac:dyDescent="0.25">
      <c r="A9">
        <v>8</v>
      </c>
      <c r="B9" t="s">
        <v>945</v>
      </c>
      <c r="C9" t="s">
        <v>1230</v>
      </c>
    </row>
    <row r="10" spans="1:3" x14ac:dyDescent="0.25">
      <c r="A10">
        <v>9</v>
      </c>
      <c r="B10" t="s">
        <v>950</v>
      </c>
      <c r="C10" t="s">
        <v>1063</v>
      </c>
    </row>
    <row r="11" spans="1:3" x14ac:dyDescent="0.25">
      <c r="A11">
        <v>10</v>
      </c>
      <c r="B11" t="s">
        <v>99</v>
      </c>
      <c r="C11" t="s">
        <v>1064</v>
      </c>
    </row>
    <row r="12" spans="1:3" x14ac:dyDescent="0.25">
      <c r="A12">
        <v>11</v>
      </c>
      <c r="B12" t="s">
        <v>55</v>
      </c>
      <c r="C12" t="s">
        <v>1175</v>
      </c>
    </row>
    <row r="13" spans="1:3" x14ac:dyDescent="0.25">
      <c r="A13">
        <v>12</v>
      </c>
      <c r="B13" t="s">
        <v>491</v>
      </c>
      <c r="C13" t="s">
        <v>1252</v>
      </c>
    </row>
    <row r="14" spans="1:3" x14ac:dyDescent="0.25">
      <c r="A14">
        <v>13</v>
      </c>
      <c r="B14" t="s">
        <v>764</v>
      </c>
      <c r="C14" t="s">
        <v>1066</v>
      </c>
    </row>
    <row r="15" spans="1:3" x14ac:dyDescent="0.25">
      <c r="A15">
        <v>14</v>
      </c>
      <c r="B15" t="s">
        <v>912</v>
      </c>
      <c r="C15" t="s">
        <v>1056</v>
      </c>
    </row>
    <row r="16" spans="1:3" x14ac:dyDescent="0.25">
      <c r="A16">
        <v>15</v>
      </c>
      <c r="B16" t="s">
        <v>658</v>
      </c>
      <c r="C16" t="s">
        <v>1118</v>
      </c>
    </row>
    <row r="17" spans="1:3" x14ac:dyDescent="0.25">
      <c r="A17">
        <v>16</v>
      </c>
      <c r="B17" t="s">
        <v>529</v>
      </c>
      <c r="C17" t="s">
        <v>1075</v>
      </c>
    </row>
    <row r="18" spans="1:3" x14ac:dyDescent="0.25">
      <c r="A18">
        <v>17</v>
      </c>
      <c r="B18" t="s">
        <v>941</v>
      </c>
      <c r="C18" t="s">
        <v>1195</v>
      </c>
    </row>
    <row r="19" spans="1:3" x14ac:dyDescent="0.25">
      <c r="A19">
        <v>18</v>
      </c>
      <c r="B19" t="s">
        <v>917</v>
      </c>
      <c r="C19" t="s">
        <v>1057</v>
      </c>
    </row>
    <row r="20" spans="1:3" x14ac:dyDescent="0.25">
      <c r="A20">
        <v>19</v>
      </c>
      <c r="B20" t="s">
        <v>500</v>
      </c>
      <c r="C20" t="s">
        <v>1058</v>
      </c>
    </row>
    <row r="21" spans="1:3" x14ac:dyDescent="0.25">
      <c r="A21">
        <v>20</v>
      </c>
      <c r="B21" t="s">
        <v>367</v>
      </c>
      <c r="C21" t="s">
        <v>1167</v>
      </c>
    </row>
    <row r="22" spans="1:3" x14ac:dyDescent="0.25">
      <c r="A22">
        <v>21</v>
      </c>
      <c r="B22" t="s">
        <v>385</v>
      </c>
      <c r="C22" t="s">
        <v>1203</v>
      </c>
    </row>
    <row r="23" spans="1:3" x14ac:dyDescent="0.25">
      <c r="A23">
        <v>22</v>
      </c>
      <c r="B23" t="s">
        <v>515</v>
      </c>
      <c r="C23" t="s">
        <v>1094</v>
      </c>
    </row>
    <row r="24" spans="1:3" x14ac:dyDescent="0.25">
      <c r="A24">
        <v>23</v>
      </c>
      <c r="B24" t="s">
        <v>752</v>
      </c>
      <c r="C24" t="s">
        <v>1177</v>
      </c>
    </row>
    <row r="25" spans="1:3" x14ac:dyDescent="0.25">
      <c r="A25">
        <v>24</v>
      </c>
      <c r="B25" t="s">
        <v>46</v>
      </c>
      <c r="C25" t="s">
        <v>1093</v>
      </c>
    </row>
    <row r="26" spans="1:3" x14ac:dyDescent="0.25">
      <c r="A26">
        <v>25</v>
      </c>
      <c r="B26" t="s">
        <v>381</v>
      </c>
      <c r="C26" t="s">
        <v>1249</v>
      </c>
    </row>
    <row r="27" spans="1:3" x14ac:dyDescent="0.25">
      <c r="A27">
        <v>26</v>
      </c>
      <c r="B27" t="s">
        <v>78</v>
      </c>
      <c r="C27" t="s">
        <v>1079</v>
      </c>
    </row>
    <row r="28" spans="1:3" x14ac:dyDescent="0.25">
      <c r="A28">
        <v>27</v>
      </c>
      <c r="B28" t="s">
        <v>65</v>
      </c>
      <c r="C28" t="s">
        <v>1165</v>
      </c>
    </row>
    <row r="29" spans="1:3" x14ac:dyDescent="0.25">
      <c r="A29">
        <v>28</v>
      </c>
      <c r="B29" t="s">
        <v>480</v>
      </c>
      <c r="C29" t="s">
        <v>1255</v>
      </c>
    </row>
    <row r="30" spans="1:3" x14ac:dyDescent="0.25">
      <c r="A30">
        <v>29</v>
      </c>
      <c r="B30" t="s">
        <v>328</v>
      </c>
      <c r="C30" t="s">
        <v>1121</v>
      </c>
    </row>
    <row r="31" spans="1:3" x14ac:dyDescent="0.25">
      <c r="A31">
        <v>30</v>
      </c>
      <c r="B31" t="s">
        <v>51</v>
      </c>
      <c r="C31" t="s">
        <v>1202</v>
      </c>
    </row>
    <row r="32" spans="1:3" x14ac:dyDescent="0.25">
      <c r="A32">
        <v>31</v>
      </c>
      <c r="B32" t="s">
        <v>74</v>
      </c>
      <c r="C32" t="s">
        <v>1095</v>
      </c>
    </row>
    <row r="33" spans="1:3" x14ac:dyDescent="0.25">
      <c r="A33">
        <v>32</v>
      </c>
      <c r="B33" t="s">
        <v>60</v>
      </c>
      <c r="C33" t="s">
        <v>1080</v>
      </c>
    </row>
    <row r="34" spans="1:3" x14ac:dyDescent="0.25">
      <c r="A34">
        <v>33</v>
      </c>
      <c r="B34" t="s">
        <v>352</v>
      </c>
      <c r="C34" t="s">
        <v>1081</v>
      </c>
    </row>
    <row r="35" spans="1:3" x14ac:dyDescent="0.25">
      <c r="A35">
        <v>34</v>
      </c>
      <c r="B35" t="s">
        <v>520</v>
      </c>
      <c r="C35" t="s">
        <v>1204</v>
      </c>
    </row>
    <row r="36" spans="1:3" x14ac:dyDescent="0.25">
      <c r="A36">
        <v>35</v>
      </c>
      <c r="B36" t="s">
        <v>510</v>
      </c>
      <c r="C36" t="s">
        <v>1208</v>
      </c>
    </row>
    <row r="37" spans="1:3" x14ac:dyDescent="0.25">
      <c r="A37">
        <v>36</v>
      </c>
      <c r="B37" t="s">
        <v>524</v>
      </c>
      <c r="C37" t="s">
        <v>1247</v>
      </c>
    </row>
    <row r="38" spans="1:3" x14ac:dyDescent="0.25">
      <c r="A38">
        <v>37</v>
      </c>
      <c r="B38" t="s">
        <v>371</v>
      </c>
      <c r="C38" t="s">
        <v>1145</v>
      </c>
    </row>
    <row r="39" spans="1:3" x14ac:dyDescent="0.25">
      <c r="A39">
        <v>38</v>
      </c>
      <c r="B39" t="s">
        <v>88</v>
      </c>
      <c r="C39" t="s">
        <v>1146</v>
      </c>
    </row>
    <row r="40" spans="1:3" x14ac:dyDescent="0.25">
      <c r="A40">
        <v>39</v>
      </c>
      <c r="B40" t="s">
        <v>195</v>
      </c>
      <c r="C40" t="s">
        <v>1181</v>
      </c>
    </row>
    <row r="41" spans="1:3" x14ac:dyDescent="0.25">
      <c r="A41">
        <v>40</v>
      </c>
      <c r="B41" t="s">
        <v>485</v>
      </c>
      <c r="C41" t="s">
        <v>1147</v>
      </c>
    </row>
    <row r="42" spans="1:3" x14ac:dyDescent="0.25">
      <c r="A42">
        <v>41</v>
      </c>
      <c r="B42" t="s">
        <v>333</v>
      </c>
      <c r="C42" t="s">
        <v>1154</v>
      </c>
    </row>
    <row r="43" spans="1:3" x14ac:dyDescent="0.25">
      <c r="A43">
        <v>42</v>
      </c>
      <c r="B43" t="s">
        <v>70</v>
      </c>
      <c r="C43" t="s">
        <v>1168</v>
      </c>
    </row>
    <row r="44" spans="1:3" x14ac:dyDescent="0.25">
      <c r="A44">
        <v>43</v>
      </c>
      <c r="B44" t="s">
        <v>83</v>
      </c>
      <c r="C44" t="s">
        <v>1148</v>
      </c>
    </row>
    <row r="45" spans="1:3" x14ac:dyDescent="0.25">
      <c r="A45">
        <v>44</v>
      </c>
      <c r="B45" t="s">
        <v>362</v>
      </c>
      <c r="C45" t="s">
        <v>1076</v>
      </c>
    </row>
    <row r="46" spans="1:3" x14ac:dyDescent="0.25">
      <c r="A46">
        <v>45</v>
      </c>
      <c r="B46" t="s">
        <v>505</v>
      </c>
      <c r="C46" t="s">
        <v>1151</v>
      </c>
    </row>
    <row r="47" spans="1:3" x14ac:dyDescent="0.25">
      <c r="A47">
        <v>46</v>
      </c>
      <c r="B47" t="s">
        <v>343</v>
      </c>
      <c r="C47" t="s">
        <v>1253</v>
      </c>
    </row>
    <row r="48" spans="1:3" x14ac:dyDescent="0.25">
      <c r="A48">
        <v>47</v>
      </c>
      <c r="B48" t="s">
        <v>338</v>
      </c>
      <c r="C48" t="s">
        <v>1152</v>
      </c>
    </row>
    <row r="49" spans="1:3" x14ac:dyDescent="0.25">
      <c r="A49">
        <v>48</v>
      </c>
      <c r="B49" t="s">
        <v>376</v>
      </c>
      <c r="C49" t="s">
        <v>1157</v>
      </c>
    </row>
    <row r="50" spans="1:3" x14ac:dyDescent="0.25">
      <c r="A50">
        <v>49</v>
      </c>
      <c r="B50" t="s">
        <v>323</v>
      </c>
      <c r="C50" t="s">
        <v>1158</v>
      </c>
    </row>
    <row r="51" spans="1:3" x14ac:dyDescent="0.25">
      <c r="A51">
        <v>50</v>
      </c>
      <c r="B51" t="s">
        <v>489</v>
      </c>
      <c r="C51" t="s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DD4F-BEC2-4304-B13B-F6D9EE278905}">
  <dimension ref="A1:D21"/>
  <sheetViews>
    <sheetView workbookViewId="0">
      <selection activeCell="G11" sqref="G11"/>
    </sheetView>
  </sheetViews>
  <sheetFormatPr defaultRowHeight="15" x14ac:dyDescent="0.25"/>
  <cols>
    <col min="1" max="1" width="3" bestFit="1" customWidth="1"/>
    <col min="2" max="2" width="39" bestFit="1" customWidth="1"/>
    <col min="3" max="3" width="15.85546875" bestFit="1" customWidth="1"/>
    <col min="4" max="4" width="13.85546875" bestFit="1" customWidth="1"/>
  </cols>
  <sheetData>
    <row r="1" spans="1:4" x14ac:dyDescent="0.25">
      <c r="A1" t="s">
        <v>1039</v>
      </c>
      <c r="B1" t="s">
        <v>1040</v>
      </c>
      <c r="C1" t="s">
        <v>1041</v>
      </c>
      <c r="D1" t="s">
        <v>1261</v>
      </c>
    </row>
    <row r="2" spans="1:4" x14ac:dyDescent="0.25">
      <c r="A2">
        <v>1</v>
      </c>
      <c r="B2" t="s">
        <v>874</v>
      </c>
      <c r="C2" t="s">
        <v>1104</v>
      </c>
      <c r="D2" t="s">
        <v>1262</v>
      </c>
    </row>
    <row r="3" spans="1:4" x14ac:dyDescent="0.25">
      <c r="A3">
        <v>2</v>
      </c>
      <c r="B3" t="s">
        <v>857</v>
      </c>
      <c r="C3" t="s">
        <v>1065</v>
      </c>
      <c r="D3" t="s">
        <v>1262</v>
      </c>
    </row>
    <row r="4" spans="1:4" x14ac:dyDescent="0.25">
      <c r="A4">
        <v>3</v>
      </c>
      <c r="B4" t="s">
        <v>1019</v>
      </c>
      <c r="C4" t="s">
        <v>1164</v>
      </c>
      <c r="D4" t="s">
        <v>1262</v>
      </c>
    </row>
    <row r="5" spans="1:4" x14ac:dyDescent="0.25">
      <c r="A5">
        <v>4</v>
      </c>
      <c r="B5" t="s">
        <v>213</v>
      </c>
      <c r="C5" t="s">
        <v>1172</v>
      </c>
      <c r="D5" t="s">
        <v>1262</v>
      </c>
    </row>
    <row r="6" spans="1:4" x14ac:dyDescent="0.25">
      <c r="A6">
        <v>5</v>
      </c>
      <c r="B6" t="s">
        <v>228</v>
      </c>
      <c r="C6" t="s">
        <v>1088</v>
      </c>
      <c r="D6" t="s">
        <v>1262</v>
      </c>
    </row>
    <row r="7" spans="1:4" x14ac:dyDescent="0.25">
      <c r="A7">
        <v>6</v>
      </c>
      <c r="B7" t="s">
        <v>624</v>
      </c>
      <c r="C7" t="s">
        <v>1077</v>
      </c>
      <c r="D7" t="s">
        <v>1262</v>
      </c>
    </row>
    <row r="8" spans="1:4" x14ac:dyDescent="0.25">
      <c r="A8">
        <v>7</v>
      </c>
      <c r="B8" t="s">
        <v>1023</v>
      </c>
      <c r="C8" t="s">
        <v>1176</v>
      </c>
      <c r="D8" t="s">
        <v>1262</v>
      </c>
    </row>
    <row r="9" spans="1:4" x14ac:dyDescent="0.25">
      <c r="A9">
        <v>8</v>
      </c>
      <c r="B9" t="s">
        <v>862</v>
      </c>
      <c r="C9" t="s">
        <v>1250</v>
      </c>
      <c r="D9" t="s">
        <v>1262</v>
      </c>
    </row>
    <row r="10" spans="1:4" x14ac:dyDescent="0.25">
      <c r="A10">
        <v>9</v>
      </c>
      <c r="B10" t="s">
        <v>880</v>
      </c>
      <c r="C10" t="s">
        <v>1251</v>
      </c>
      <c r="D10" t="s">
        <v>1262</v>
      </c>
    </row>
    <row r="11" spans="1:4" x14ac:dyDescent="0.25">
      <c r="A11">
        <v>10</v>
      </c>
      <c r="B11" t="s">
        <v>732</v>
      </c>
      <c r="C11" t="s">
        <v>1256</v>
      </c>
      <c r="D11" t="s">
        <v>1262</v>
      </c>
    </row>
    <row r="12" spans="1:4" x14ac:dyDescent="0.25">
      <c r="A12">
        <v>11</v>
      </c>
      <c r="B12" t="s">
        <v>652</v>
      </c>
      <c r="C12" t="s">
        <v>1209</v>
      </c>
      <c r="D12" t="s">
        <v>1262</v>
      </c>
    </row>
    <row r="13" spans="1:4" x14ac:dyDescent="0.25">
      <c r="A13">
        <v>12</v>
      </c>
      <c r="B13" t="s">
        <v>649</v>
      </c>
      <c r="C13" t="s">
        <v>1180</v>
      </c>
      <c r="D13" t="s">
        <v>1262</v>
      </c>
    </row>
    <row r="14" spans="1:4" x14ac:dyDescent="0.25">
      <c r="A14">
        <v>13</v>
      </c>
      <c r="B14" t="s">
        <v>94</v>
      </c>
      <c r="C14" t="s">
        <v>1129</v>
      </c>
      <c r="D14" t="s">
        <v>1262</v>
      </c>
    </row>
    <row r="15" spans="1:4" x14ac:dyDescent="0.25">
      <c r="A15">
        <v>14</v>
      </c>
      <c r="B15" t="s">
        <v>224</v>
      </c>
      <c r="C15" t="s">
        <v>1082</v>
      </c>
      <c r="D15" t="s">
        <v>1262</v>
      </c>
    </row>
    <row r="16" spans="1:4" x14ac:dyDescent="0.25">
      <c r="A16">
        <v>15</v>
      </c>
      <c r="B16" t="s">
        <v>630</v>
      </c>
      <c r="C16" t="s">
        <v>1233</v>
      </c>
      <c r="D16" t="s">
        <v>1262</v>
      </c>
    </row>
    <row r="17" spans="1:4" x14ac:dyDescent="0.25">
      <c r="A17">
        <v>16</v>
      </c>
      <c r="B17" t="s">
        <v>1028</v>
      </c>
      <c r="C17" t="s">
        <v>1155</v>
      </c>
      <c r="D17" t="s">
        <v>1262</v>
      </c>
    </row>
    <row r="18" spans="1:4" x14ac:dyDescent="0.25">
      <c r="A18">
        <v>17</v>
      </c>
      <c r="B18" t="s">
        <v>885</v>
      </c>
      <c r="C18" t="s">
        <v>1198</v>
      </c>
      <c r="D18" t="s">
        <v>1262</v>
      </c>
    </row>
    <row r="19" spans="1:4" x14ac:dyDescent="0.25">
      <c r="A19">
        <v>18</v>
      </c>
      <c r="B19" t="s">
        <v>867</v>
      </c>
      <c r="C19" t="s">
        <v>1199</v>
      </c>
      <c r="D19" t="s">
        <v>1262</v>
      </c>
    </row>
    <row r="20" spans="1:4" x14ac:dyDescent="0.25">
      <c r="A20">
        <v>19</v>
      </c>
      <c r="B20" t="s">
        <v>635</v>
      </c>
      <c r="C20" t="s">
        <v>1254</v>
      </c>
      <c r="D20" t="s">
        <v>1262</v>
      </c>
    </row>
    <row r="21" spans="1:4" x14ac:dyDescent="0.25">
      <c r="A21">
        <v>20</v>
      </c>
      <c r="B21" t="s">
        <v>219</v>
      </c>
      <c r="C21" t="s">
        <v>1196</v>
      </c>
      <c r="D21" t="s">
        <v>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E219-DE2C-493F-9F97-8300A87C987D}">
  <dimension ref="A1:C220"/>
  <sheetViews>
    <sheetView workbookViewId="0">
      <selection activeCell="C209" sqref="C209"/>
    </sheetView>
  </sheetViews>
  <sheetFormatPr defaultRowHeight="15" x14ac:dyDescent="0.25"/>
  <cols>
    <col min="1" max="1" width="4" bestFit="1" customWidth="1"/>
    <col min="2" max="2" width="39.7109375" bestFit="1" customWidth="1"/>
    <col min="3" max="3" width="15.85546875" bestFit="1" customWidth="1"/>
  </cols>
  <sheetData>
    <row r="1" spans="1:3" x14ac:dyDescent="0.25">
      <c r="A1" t="s">
        <v>1039</v>
      </c>
      <c r="B1" t="s">
        <v>1040</v>
      </c>
      <c r="C1" t="s">
        <v>1041</v>
      </c>
    </row>
    <row r="2" spans="1:3" x14ac:dyDescent="0.25">
      <c r="A2">
        <v>1</v>
      </c>
      <c r="B2" t="s">
        <v>164</v>
      </c>
      <c r="C2" s="8" t="s">
        <v>1042</v>
      </c>
    </row>
    <row r="3" spans="1:3" x14ac:dyDescent="0.25">
      <c r="A3">
        <v>2</v>
      </c>
      <c r="B3" t="s">
        <v>717</v>
      </c>
      <c r="C3" s="8" t="s">
        <v>1043</v>
      </c>
    </row>
    <row r="4" spans="1:3" x14ac:dyDescent="0.25">
      <c r="A4">
        <v>3</v>
      </c>
      <c r="B4" t="s">
        <v>828</v>
      </c>
      <c r="C4" s="8" t="s">
        <v>1044</v>
      </c>
    </row>
    <row r="5" spans="1:3" x14ac:dyDescent="0.25">
      <c r="A5">
        <v>4</v>
      </c>
      <c r="B5" t="s">
        <v>742</v>
      </c>
      <c r="C5" s="8" t="s">
        <v>1045</v>
      </c>
    </row>
    <row r="6" spans="1:3" x14ac:dyDescent="0.25">
      <c r="A6">
        <v>5</v>
      </c>
      <c r="B6" t="s">
        <v>441</v>
      </c>
      <c r="C6" s="8" t="s">
        <v>1046</v>
      </c>
    </row>
    <row r="7" spans="1:3" x14ac:dyDescent="0.25">
      <c r="A7">
        <v>6</v>
      </c>
      <c r="B7" t="s">
        <v>640</v>
      </c>
      <c r="C7" s="8" t="s">
        <v>1047</v>
      </c>
    </row>
    <row r="8" spans="1:3" x14ac:dyDescent="0.25">
      <c r="A8">
        <v>7</v>
      </c>
      <c r="B8" t="s">
        <v>302</v>
      </c>
      <c r="C8" s="8" t="s">
        <v>1048</v>
      </c>
    </row>
    <row r="9" spans="1:3" x14ac:dyDescent="0.25">
      <c r="A9">
        <v>8</v>
      </c>
      <c r="B9" t="s">
        <v>680</v>
      </c>
      <c r="C9" s="8" t="s">
        <v>1049</v>
      </c>
    </row>
    <row r="10" spans="1:3" x14ac:dyDescent="0.25">
      <c r="A10">
        <v>9</v>
      </c>
      <c r="B10" t="s">
        <v>281</v>
      </c>
      <c r="C10" s="8" t="s">
        <v>1050</v>
      </c>
    </row>
    <row r="11" spans="1:3" x14ac:dyDescent="0.25">
      <c r="A11">
        <v>10</v>
      </c>
      <c r="B11" t="s">
        <v>200</v>
      </c>
      <c r="C11" s="8" t="s">
        <v>1051</v>
      </c>
    </row>
    <row r="12" spans="1:3" x14ac:dyDescent="0.25">
      <c r="A12">
        <v>11</v>
      </c>
      <c r="B12" t="s">
        <v>542</v>
      </c>
      <c r="C12" s="8" t="s">
        <v>1052</v>
      </c>
    </row>
    <row r="13" spans="1:3" x14ac:dyDescent="0.25">
      <c r="A13">
        <v>12</v>
      </c>
      <c r="B13" t="s">
        <v>422</v>
      </c>
      <c r="C13" s="8" t="s">
        <v>1053</v>
      </c>
    </row>
    <row r="14" spans="1:3" x14ac:dyDescent="0.25">
      <c r="A14">
        <v>13</v>
      </c>
      <c r="B14" t="s">
        <v>205</v>
      </c>
      <c r="C14" s="8" t="s">
        <v>1054</v>
      </c>
    </row>
    <row r="15" spans="1:3" x14ac:dyDescent="0.25">
      <c r="A15">
        <v>14</v>
      </c>
      <c r="B15" t="s">
        <v>1014</v>
      </c>
      <c r="C15" s="8" t="s">
        <v>1055</v>
      </c>
    </row>
    <row r="16" spans="1:3" x14ac:dyDescent="0.25">
      <c r="A16">
        <v>15</v>
      </c>
      <c r="B16" t="s">
        <v>912</v>
      </c>
      <c r="C16" s="8" t="s">
        <v>1056</v>
      </c>
    </row>
    <row r="17" spans="1:3" x14ac:dyDescent="0.25">
      <c r="A17">
        <v>16</v>
      </c>
      <c r="B17" t="s">
        <v>917</v>
      </c>
      <c r="C17" s="8" t="s">
        <v>1057</v>
      </c>
    </row>
    <row r="18" spans="1:3" x14ac:dyDescent="0.25">
      <c r="A18">
        <v>17</v>
      </c>
      <c r="B18" t="s">
        <v>500</v>
      </c>
      <c r="C18" s="8" t="s">
        <v>1058</v>
      </c>
    </row>
    <row r="19" spans="1:3" x14ac:dyDescent="0.25">
      <c r="A19">
        <v>18</v>
      </c>
      <c r="B19" t="s">
        <v>35</v>
      </c>
      <c r="C19" s="8" t="s">
        <v>1059</v>
      </c>
    </row>
    <row r="20" spans="1:3" x14ac:dyDescent="0.25">
      <c r="A20">
        <v>19</v>
      </c>
      <c r="B20" t="s">
        <v>450</v>
      </c>
      <c r="C20" s="8" t="s">
        <v>1060</v>
      </c>
    </row>
    <row r="21" spans="1:3" x14ac:dyDescent="0.25">
      <c r="A21">
        <v>20</v>
      </c>
      <c r="B21" t="s">
        <v>907</v>
      </c>
      <c r="C21" s="8" t="s">
        <v>1061</v>
      </c>
    </row>
    <row r="22" spans="1:3" x14ac:dyDescent="0.25">
      <c r="A22">
        <v>21</v>
      </c>
      <c r="B22" t="s">
        <v>566</v>
      </c>
      <c r="C22" s="8" t="s">
        <v>1062</v>
      </c>
    </row>
    <row r="23" spans="1:3" x14ac:dyDescent="0.25">
      <c r="A23">
        <v>22</v>
      </c>
      <c r="B23" t="s">
        <v>950</v>
      </c>
      <c r="C23" s="8" t="s">
        <v>1063</v>
      </c>
    </row>
    <row r="24" spans="1:3" x14ac:dyDescent="0.25">
      <c r="A24">
        <v>23</v>
      </c>
      <c r="B24" t="s">
        <v>99</v>
      </c>
      <c r="C24" s="8" t="s">
        <v>1064</v>
      </c>
    </row>
    <row r="25" spans="1:3" x14ac:dyDescent="0.25">
      <c r="A25">
        <v>24</v>
      </c>
      <c r="B25" t="s">
        <v>857</v>
      </c>
      <c r="C25" s="8" t="s">
        <v>1065</v>
      </c>
    </row>
    <row r="26" spans="1:3" x14ac:dyDescent="0.25">
      <c r="A26">
        <v>25</v>
      </c>
      <c r="B26" t="s">
        <v>764</v>
      </c>
      <c r="C26" s="8" t="s">
        <v>1066</v>
      </c>
    </row>
    <row r="27" spans="1:3" x14ac:dyDescent="0.25">
      <c r="A27">
        <v>26</v>
      </c>
      <c r="B27" t="s">
        <v>134</v>
      </c>
      <c r="C27" s="8" t="s">
        <v>1067</v>
      </c>
    </row>
    <row r="28" spans="1:3" x14ac:dyDescent="0.25">
      <c r="A28">
        <v>27</v>
      </c>
      <c r="B28" t="s">
        <v>808</v>
      </c>
      <c r="C28" s="8" t="s">
        <v>1068</v>
      </c>
    </row>
    <row r="29" spans="1:3" x14ac:dyDescent="0.25">
      <c r="A29">
        <v>28</v>
      </c>
      <c r="B29" t="s">
        <v>824</v>
      </c>
      <c r="C29" s="8" t="s">
        <v>1069</v>
      </c>
    </row>
    <row r="30" spans="1:3" x14ac:dyDescent="0.25">
      <c r="A30">
        <v>29</v>
      </c>
      <c r="B30" t="s">
        <v>104</v>
      </c>
      <c r="C30" s="8" t="s">
        <v>1070</v>
      </c>
    </row>
    <row r="31" spans="1:3" x14ac:dyDescent="0.25">
      <c r="A31">
        <v>30</v>
      </c>
      <c r="B31" t="s">
        <v>1004</v>
      </c>
      <c r="C31" s="8" t="s">
        <v>1071</v>
      </c>
    </row>
    <row r="32" spans="1:3" x14ac:dyDescent="0.25">
      <c r="A32">
        <v>31</v>
      </c>
      <c r="B32" t="s">
        <v>667</v>
      </c>
      <c r="C32" s="8" t="s">
        <v>1072</v>
      </c>
    </row>
    <row r="33" spans="1:3" x14ac:dyDescent="0.25">
      <c r="A33">
        <v>32</v>
      </c>
      <c r="B33" t="s">
        <v>231</v>
      </c>
      <c r="C33" s="8" t="s">
        <v>1073</v>
      </c>
    </row>
    <row r="34" spans="1:3" x14ac:dyDescent="0.25">
      <c r="A34">
        <v>33</v>
      </c>
      <c r="B34" t="s">
        <v>173</v>
      </c>
      <c r="C34" s="8" t="s">
        <v>1074</v>
      </c>
    </row>
    <row r="35" spans="1:3" x14ac:dyDescent="0.25">
      <c r="A35">
        <v>34</v>
      </c>
      <c r="B35" t="s">
        <v>529</v>
      </c>
      <c r="C35" s="8" t="s">
        <v>1075</v>
      </c>
    </row>
    <row r="36" spans="1:3" x14ac:dyDescent="0.25">
      <c r="A36">
        <v>35</v>
      </c>
      <c r="B36" t="s">
        <v>362</v>
      </c>
      <c r="C36" s="8" t="s">
        <v>1076</v>
      </c>
    </row>
    <row r="37" spans="1:3" x14ac:dyDescent="0.25">
      <c r="A37">
        <v>36</v>
      </c>
      <c r="B37" t="s">
        <v>624</v>
      </c>
      <c r="C37" s="8" t="s">
        <v>1077</v>
      </c>
    </row>
    <row r="38" spans="1:3" x14ac:dyDescent="0.25">
      <c r="A38">
        <v>37</v>
      </c>
      <c r="B38" t="s">
        <v>685</v>
      </c>
      <c r="C38" s="8" t="s">
        <v>1078</v>
      </c>
    </row>
    <row r="39" spans="1:3" x14ac:dyDescent="0.25">
      <c r="A39">
        <v>38</v>
      </c>
      <c r="B39" t="s">
        <v>78</v>
      </c>
      <c r="C39" s="8" t="s">
        <v>1079</v>
      </c>
    </row>
    <row r="40" spans="1:3" x14ac:dyDescent="0.25">
      <c r="A40">
        <v>39</v>
      </c>
      <c r="B40" t="s">
        <v>60</v>
      </c>
      <c r="C40" s="8" t="s">
        <v>1080</v>
      </c>
    </row>
    <row r="41" spans="1:3" x14ac:dyDescent="0.25">
      <c r="A41">
        <v>40</v>
      </c>
      <c r="B41" t="s">
        <v>352</v>
      </c>
      <c r="C41" s="8" t="s">
        <v>1081</v>
      </c>
    </row>
    <row r="42" spans="1:3" x14ac:dyDescent="0.25">
      <c r="A42">
        <v>41</v>
      </c>
      <c r="B42" t="s">
        <v>224</v>
      </c>
      <c r="C42" s="8" t="s">
        <v>1082</v>
      </c>
    </row>
    <row r="43" spans="1:3" x14ac:dyDescent="0.25">
      <c r="A43">
        <v>42</v>
      </c>
      <c r="B43" t="s">
        <v>870</v>
      </c>
      <c r="C43" s="8" t="s">
        <v>1083</v>
      </c>
    </row>
    <row r="44" spans="1:3" x14ac:dyDescent="0.25">
      <c r="A44">
        <v>43</v>
      </c>
      <c r="B44" t="s">
        <v>990</v>
      </c>
      <c r="C44" s="8" t="s">
        <v>1084</v>
      </c>
    </row>
    <row r="45" spans="1:3" x14ac:dyDescent="0.25">
      <c r="A45">
        <v>44</v>
      </c>
      <c r="B45" t="s">
        <v>114</v>
      </c>
      <c r="C45" s="8" t="s">
        <v>1085</v>
      </c>
    </row>
    <row r="46" spans="1:3" x14ac:dyDescent="0.25">
      <c r="A46">
        <v>45</v>
      </c>
      <c r="B46" t="s">
        <v>557</v>
      </c>
      <c r="C46" s="8" t="s">
        <v>1086</v>
      </c>
    </row>
    <row r="47" spans="1:3" x14ac:dyDescent="0.25">
      <c r="A47">
        <v>46</v>
      </c>
      <c r="B47" t="s">
        <v>773</v>
      </c>
      <c r="C47" s="8" t="s">
        <v>1087</v>
      </c>
    </row>
    <row r="48" spans="1:3" x14ac:dyDescent="0.25">
      <c r="A48">
        <v>47</v>
      </c>
      <c r="B48" t="s">
        <v>228</v>
      </c>
      <c r="C48" s="8" t="s">
        <v>1088</v>
      </c>
    </row>
    <row r="49" spans="1:3" x14ac:dyDescent="0.25">
      <c r="A49">
        <v>48</v>
      </c>
      <c r="B49" t="s">
        <v>413</v>
      </c>
      <c r="C49" s="8" t="s">
        <v>1089</v>
      </c>
    </row>
    <row r="50" spans="1:3" x14ac:dyDescent="0.25">
      <c r="A50">
        <v>49</v>
      </c>
      <c r="B50" t="s">
        <v>403</v>
      </c>
      <c r="C50" s="8" t="s">
        <v>1090</v>
      </c>
    </row>
    <row r="51" spans="1:3" x14ac:dyDescent="0.25">
      <c r="A51">
        <v>50</v>
      </c>
      <c r="B51" t="s">
        <v>250</v>
      </c>
      <c r="C51" s="8" t="s">
        <v>1091</v>
      </c>
    </row>
    <row r="52" spans="1:3" x14ac:dyDescent="0.25">
      <c r="A52">
        <v>51</v>
      </c>
      <c r="B52" t="s">
        <v>257</v>
      </c>
      <c r="C52" s="8" t="s">
        <v>1092</v>
      </c>
    </row>
    <row r="53" spans="1:3" x14ac:dyDescent="0.25">
      <c r="A53">
        <v>52</v>
      </c>
      <c r="B53" t="s">
        <v>46</v>
      </c>
      <c r="C53" s="8" t="s">
        <v>1093</v>
      </c>
    </row>
    <row r="54" spans="1:3" x14ac:dyDescent="0.25">
      <c r="A54">
        <v>53</v>
      </c>
      <c r="B54" t="s">
        <v>515</v>
      </c>
      <c r="C54" s="8" t="s">
        <v>1094</v>
      </c>
    </row>
    <row r="55" spans="1:3" x14ac:dyDescent="0.25">
      <c r="A55">
        <v>54</v>
      </c>
      <c r="B55" t="s">
        <v>74</v>
      </c>
      <c r="C55" s="8" t="s">
        <v>1095</v>
      </c>
    </row>
    <row r="56" spans="1:3" x14ac:dyDescent="0.25">
      <c r="A56">
        <v>55</v>
      </c>
      <c r="B56" t="s">
        <v>431</v>
      </c>
      <c r="C56" s="8" t="s">
        <v>1096</v>
      </c>
    </row>
    <row r="57" spans="1:3" x14ac:dyDescent="0.25">
      <c r="A57">
        <v>56</v>
      </c>
      <c r="B57" t="s">
        <v>209</v>
      </c>
      <c r="C57" s="8" t="s">
        <v>1097</v>
      </c>
    </row>
    <row r="58" spans="1:3" x14ac:dyDescent="0.25">
      <c r="A58">
        <v>57</v>
      </c>
      <c r="B58" t="s">
        <v>148</v>
      </c>
      <c r="C58" s="8" t="s">
        <v>1098</v>
      </c>
    </row>
    <row r="59" spans="1:3" x14ac:dyDescent="0.25">
      <c r="A59">
        <v>58</v>
      </c>
      <c r="B59" t="s">
        <v>700</v>
      </c>
      <c r="C59" s="8" t="s">
        <v>1099</v>
      </c>
    </row>
    <row r="60" spans="1:3" x14ac:dyDescent="0.25">
      <c r="A60">
        <v>59</v>
      </c>
      <c r="B60" t="s">
        <v>318</v>
      </c>
      <c r="C60" s="8" t="s">
        <v>1100</v>
      </c>
    </row>
    <row r="61" spans="1:3" x14ac:dyDescent="0.25">
      <c r="A61">
        <v>60</v>
      </c>
      <c r="B61" t="s">
        <v>285</v>
      </c>
      <c r="C61" s="8" t="s">
        <v>1101</v>
      </c>
    </row>
    <row r="62" spans="1:3" x14ac:dyDescent="0.25">
      <c r="A62">
        <v>61</v>
      </c>
      <c r="B62" t="s">
        <v>143</v>
      </c>
      <c r="C62" s="8" t="s">
        <v>1102</v>
      </c>
    </row>
    <row r="63" spans="1:3" x14ac:dyDescent="0.25">
      <c r="A63">
        <v>62</v>
      </c>
      <c r="B63" t="s">
        <v>129</v>
      </c>
      <c r="C63" s="8" t="s">
        <v>1103</v>
      </c>
    </row>
    <row r="64" spans="1:3" x14ac:dyDescent="0.25">
      <c r="A64">
        <v>63</v>
      </c>
      <c r="B64" t="s">
        <v>874</v>
      </c>
      <c r="C64" s="8" t="s">
        <v>1104</v>
      </c>
    </row>
    <row r="65" spans="1:3" x14ac:dyDescent="0.25">
      <c r="A65">
        <v>64</v>
      </c>
      <c r="B65" t="s">
        <v>124</v>
      </c>
      <c r="C65" s="8" t="s">
        <v>1105</v>
      </c>
    </row>
    <row r="66" spans="1:3" x14ac:dyDescent="0.25">
      <c r="A66">
        <v>65</v>
      </c>
      <c r="B66" t="s">
        <v>242</v>
      </c>
      <c r="C66" s="8" t="s">
        <v>1106</v>
      </c>
    </row>
    <row r="67" spans="1:3" x14ac:dyDescent="0.25">
      <c r="A67">
        <v>66</v>
      </c>
      <c r="B67" t="s">
        <v>1033</v>
      </c>
      <c r="C67" s="8" t="s">
        <v>1107</v>
      </c>
    </row>
    <row r="68" spans="1:3" x14ac:dyDescent="0.25">
      <c r="A68">
        <v>67</v>
      </c>
      <c r="B68" t="s">
        <v>179</v>
      </c>
      <c r="C68" s="8" t="s">
        <v>1108</v>
      </c>
    </row>
    <row r="69" spans="1:3" x14ac:dyDescent="0.25">
      <c r="A69">
        <v>68</v>
      </c>
      <c r="B69" t="s">
        <v>778</v>
      </c>
      <c r="C69" s="8" t="s">
        <v>1109</v>
      </c>
    </row>
    <row r="70" spans="1:3" x14ac:dyDescent="0.25">
      <c r="A70">
        <v>69</v>
      </c>
      <c r="B70" t="s">
        <v>960</v>
      </c>
      <c r="C70" s="8" t="s">
        <v>1110</v>
      </c>
    </row>
    <row r="71" spans="1:3" x14ac:dyDescent="0.25">
      <c r="A71">
        <v>70</v>
      </c>
      <c r="B71" t="s">
        <v>619</v>
      </c>
      <c r="C71" s="8" t="s">
        <v>1111</v>
      </c>
    </row>
    <row r="72" spans="1:3" x14ac:dyDescent="0.25">
      <c r="A72">
        <v>71</v>
      </c>
      <c r="B72" t="s">
        <v>787</v>
      </c>
      <c r="C72" s="8" t="s">
        <v>1112</v>
      </c>
    </row>
    <row r="73" spans="1:3" x14ac:dyDescent="0.25">
      <c r="A73">
        <v>72</v>
      </c>
      <c r="B73" t="s">
        <v>845</v>
      </c>
      <c r="C73" s="8" t="s">
        <v>1113</v>
      </c>
    </row>
    <row r="74" spans="1:3" x14ac:dyDescent="0.25">
      <c r="A74">
        <v>73</v>
      </c>
      <c r="B74" t="s">
        <v>33</v>
      </c>
      <c r="C74" s="8" t="s">
        <v>1114</v>
      </c>
    </row>
    <row r="75" spans="1:3" x14ac:dyDescent="0.25">
      <c r="A75">
        <v>74</v>
      </c>
      <c r="B75" t="s">
        <v>119</v>
      </c>
      <c r="C75" s="8" t="s">
        <v>1115</v>
      </c>
    </row>
    <row r="76" spans="1:3" x14ac:dyDescent="0.25">
      <c r="A76">
        <v>75</v>
      </c>
      <c r="B76" t="s">
        <v>109</v>
      </c>
      <c r="C76" s="8" t="s">
        <v>1116</v>
      </c>
    </row>
    <row r="77" spans="1:3" x14ac:dyDescent="0.25">
      <c r="A77">
        <v>76</v>
      </c>
      <c r="B77" t="s">
        <v>853</v>
      </c>
      <c r="C77" s="8" t="s">
        <v>1117</v>
      </c>
    </row>
    <row r="78" spans="1:3" x14ac:dyDescent="0.25">
      <c r="A78">
        <v>77</v>
      </c>
      <c r="B78" t="s">
        <v>658</v>
      </c>
      <c r="C78" s="8" t="s">
        <v>1118</v>
      </c>
    </row>
    <row r="79" spans="1:3" x14ac:dyDescent="0.25">
      <c r="A79">
        <v>78</v>
      </c>
      <c r="B79" t="s">
        <v>675</v>
      </c>
      <c r="C79" s="8" t="s">
        <v>1119</v>
      </c>
    </row>
    <row r="80" spans="1:3" x14ac:dyDescent="0.25">
      <c r="A80">
        <v>79</v>
      </c>
      <c r="B80" t="s">
        <v>837</v>
      </c>
      <c r="C80" s="8" t="s">
        <v>1120</v>
      </c>
    </row>
    <row r="81" spans="1:3" x14ac:dyDescent="0.25">
      <c r="A81">
        <v>80</v>
      </c>
      <c r="B81" t="s">
        <v>328</v>
      </c>
      <c r="C81" s="8" t="s">
        <v>1121</v>
      </c>
    </row>
    <row r="82" spans="1:3" x14ac:dyDescent="0.25">
      <c r="A82">
        <v>81</v>
      </c>
      <c r="B82" t="s">
        <v>964</v>
      </c>
      <c r="C82" s="8" t="s">
        <v>1122</v>
      </c>
    </row>
    <row r="83" spans="1:3" x14ac:dyDescent="0.25">
      <c r="A83">
        <v>82</v>
      </c>
      <c r="B83" t="s">
        <v>644</v>
      </c>
      <c r="C83" s="8" t="s">
        <v>1123</v>
      </c>
    </row>
    <row r="84" spans="1:3" x14ac:dyDescent="0.25">
      <c r="A84">
        <v>83</v>
      </c>
      <c r="B84" t="s">
        <v>605</v>
      </c>
      <c r="C84" s="8" t="s">
        <v>1124</v>
      </c>
    </row>
    <row r="85" spans="1:3" x14ac:dyDescent="0.25">
      <c r="A85">
        <v>84</v>
      </c>
      <c r="B85" t="s">
        <v>459</v>
      </c>
      <c r="C85" s="8" t="s">
        <v>1125</v>
      </c>
    </row>
    <row r="86" spans="1:3" x14ac:dyDescent="0.25">
      <c r="A86">
        <v>85</v>
      </c>
      <c r="B86" t="s">
        <v>469</v>
      </c>
      <c r="C86" s="8" t="s">
        <v>1126</v>
      </c>
    </row>
    <row r="87" spans="1:3" x14ac:dyDescent="0.25">
      <c r="A87">
        <v>86</v>
      </c>
      <c r="B87" t="s">
        <v>704</v>
      </c>
      <c r="C87" s="8" t="s">
        <v>1127</v>
      </c>
    </row>
    <row r="88" spans="1:3" x14ac:dyDescent="0.25">
      <c r="A88">
        <v>87</v>
      </c>
      <c r="B88" t="s">
        <v>803</v>
      </c>
      <c r="C88" s="8" t="s">
        <v>1128</v>
      </c>
    </row>
    <row r="89" spans="1:3" x14ac:dyDescent="0.25">
      <c r="A89">
        <v>88</v>
      </c>
      <c r="B89" t="s">
        <v>94</v>
      </c>
      <c r="C89" s="8" t="s">
        <v>1129</v>
      </c>
    </row>
    <row r="90" spans="1:3" x14ac:dyDescent="0.25">
      <c r="A90">
        <v>89</v>
      </c>
      <c r="B90" t="s">
        <v>184</v>
      </c>
      <c r="C90" s="8" t="s">
        <v>1130</v>
      </c>
    </row>
    <row r="91" spans="1:3" x14ac:dyDescent="0.25">
      <c r="A91">
        <v>90</v>
      </c>
      <c r="B91" t="s">
        <v>408</v>
      </c>
      <c r="C91" s="8" t="s">
        <v>1131</v>
      </c>
    </row>
    <row r="92" spans="1:3" x14ac:dyDescent="0.25">
      <c r="A92">
        <v>91</v>
      </c>
      <c r="B92" t="s">
        <v>534</v>
      </c>
      <c r="C92" s="8" t="s">
        <v>1132</v>
      </c>
    </row>
    <row r="93" spans="1:3" x14ac:dyDescent="0.25">
      <c r="A93">
        <v>92</v>
      </c>
      <c r="B93" t="s">
        <v>889</v>
      </c>
      <c r="C93" s="8" t="s">
        <v>1133</v>
      </c>
    </row>
    <row r="94" spans="1:3" x14ac:dyDescent="0.25">
      <c r="A94">
        <v>93</v>
      </c>
      <c r="B94" t="s">
        <v>708</v>
      </c>
      <c r="C94" s="8" t="s">
        <v>1134</v>
      </c>
    </row>
    <row r="95" spans="1:3" x14ac:dyDescent="0.25">
      <c r="A95">
        <v>94</v>
      </c>
      <c r="B95" t="s">
        <v>552</v>
      </c>
      <c r="C95" s="8" t="s">
        <v>1135</v>
      </c>
    </row>
    <row r="96" spans="1:3" x14ac:dyDescent="0.25">
      <c r="A96">
        <v>95</v>
      </c>
      <c r="B96" t="s">
        <v>277</v>
      </c>
      <c r="C96" s="8" t="s">
        <v>1136</v>
      </c>
    </row>
    <row r="97" spans="1:3" x14ac:dyDescent="0.25">
      <c r="A97">
        <v>96</v>
      </c>
      <c r="B97" t="s">
        <v>769</v>
      </c>
      <c r="C97" s="8" t="s">
        <v>1137</v>
      </c>
    </row>
    <row r="98" spans="1:3" x14ac:dyDescent="0.25">
      <c r="A98">
        <v>97</v>
      </c>
      <c r="B98" t="s">
        <v>313</v>
      </c>
      <c r="C98" s="8" t="s">
        <v>1138</v>
      </c>
    </row>
    <row r="99" spans="1:3" x14ac:dyDescent="0.25">
      <c r="A99">
        <v>98</v>
      </c>
      <c r="B99" t="s">
        <v>417</v>
      </c>
      <c r="C99" s="8" t="s">
        <v>1139</v>
      </c>
    </row>
    <row r="100" spans="1:3" x14ac:dyDescent="0.25">
      <c r="A100">
        <v>99</v>
      </c>
      <c r="B100" t="s">
        <v>475</v>
      </c>
      <c r="C100" s="8" t="s">
        <v>1140</v>
      </c>
    </row>
    <row r="101" spans="1:3" x14ac:dyDescent="0.25">
      <c r="A101">
        <v>100</v>
      </c>
      <c r="B101" t="s">
        <v>690</v>
      </c>
      <c r="C101" s="8" t="s">
        <v>1141</v>
      </c>
    </row>
    <row r="102" spans="1:3" x14ac:dyDescent="0.25">
      <c r="A102">
        <v>101</v>
      </c>
      <c r="B102" t="s">
        <v>191</v>
      </c>
      <c r="C102" s="8" t="s">
        <v>1142</v>
      </c>
    </row>
    <row r="103" spans="1:3" x14ac:dyDescent="0.25">
      <c r="A103">
        <v>102</v>
      </c>
      <c r="B103" t="s">
        <v>999</v>
      </c>
      <c r="C103" s="8" t="s">
        <v>1143</v>
      </c>
    </row>
    <row r="104" spans="1:3" x14ac:dyDescent="0.25">
      <c r="A104">
        <v>103</v>
      </c>
      <c r="B104" t="s">
        <v>671</v>
      </c>
      <c r="C104" s="8" t="s">
        <v>1144</v>
      </c>
    </row>
    <row r="105" spans="1:3" x14ac:dyDescent="0.25">
      <c r="A105">
        <v>104</v>
      </c>
      <c r="B105" t="s">
        <v>371</v>
      </c>
      <c r="C105" s="8" t="s">
        <v>1145</v>
      </c>
    </row>
    <row r="106" spans="1:3" x14ac:dyDescent="0.25">
      <c r="A106">
        <v>105</v>
      </c>
      <c r="B106" t="s">
        <v>88</v>
      </c>
      <c r="C106" s="8" t="s">
        <v>1146</v>
      </c>
    </row>
    <row r="107" spans="1:3" x14ac:dyDescent="0.25">
      <c r="A107">
        <v>106</v>
      </c>
      <c r="B107" t="s">
        <v>485</v>
      </c>
      <c r="C107" s="8" t="s">
        <v>1147</v>
      </c>
    </row>
    <row r="108" spans="1:3" x14ac:dyDescent="0.25">
      <c r="A108">
        <v>107</v>
      </c>
      <c r="B108" t="s">
        <v>83</v>
      </c>
      <c r="C108" s="8" t="s">
        <v>1148</v>
      </c>
    </row>
    <row r="109" spans="1:3" x14ac:dyDescent="0.25">
      <c r="A109">
        <v>108</v>
      </c>
      <c r="B109" t="s">
        <v>799</v>
      </c>
      <c r="C109" s="8" t="s">
        <v>1149</v>
      </c>
    </row>
    <row r="110" spans="1:3" x14ac:dyDescent="0.25">
      <c r="A110">
        <v>109</v>
      </c>
      <c r="B110" t="s">
        <v>812</v>
      </c>
      <c r="C110" s="8" t="s">
        <v>1150</v>
      </c>
    </row>
    <row r="111" spans="1:3" x14ac:dyDescent="0.25">
      <c r="A111">
        <v>110</v>
      </c>
      <c r="B111" t="s">
        <v>505</v>
      </c>
      <c r="C111" s="8" t="s">
        <v>1151</v>
      </c>
    </row>
    <row r="112" spans="1:3" x14ac:dyDescent="0.25">
      <c r="A112">
        <v>111</v>
      </c>
      <c r="B112" t="s">
        <v>338</v>
      </c>
      <c r="C112" s="8" t="s">
        <v>1152</v>
      </c>
    </row>
    <row r="113" spans="1:3" x14ac:dyDescent="0.25">
      <c r="A113">
        <v>112</v>
      </c>
      <c r="B113" t="s">
        <v>261</v>
      </c>
      <c r="C113" s="8" t="s">
        <v>1153</v>
      </c>
    </row>
    <row r="114" spans="1:3" x14ac:dyDescent="0.25">
      <c r="A114">
        <v>113</v>
      </c>
      <c r="B114" t="s">
        <v>333</v>
      </c>
      <c r="C114" s="8" t="s">
        <v>1154</v>
      </c>
    </row>
    <row r="115" spans="1:3" x14ac:dyDescent="0.25">
      <c r="A115">
        <v>114</v>
      </c>
      <c r="B115" t="s">
        <v>1028</v>
      </c>
      <c r="C115" s="8" t="s">
        <v>1155</v>
      </c>
    </row>
    <row r="116" spans="1:3" x14ac:dyDescent="0.25">
      <c r="A116">
        <v>115</v>
      </c>
      <c r="B116" t="s">
        <v>820</v>
      </c>
      <c r="C116" s="8" t="s">
        <v>1156</v>
      </c>
    </row>
    <row r="117" spans="1:3" x14ac:dyDescent="0.25">
      <c r="A117">
        <v>116</v>
      </c>
      <c r="B117" t="s">
        <v>376</v>
      </c>
      <c r="C117" s="8" t="s">
        <v>1157</v>
      </c>
    </row>
    <row r="118" spans="1:3" x14ac:dyDescent="0.25">
      <c r="A118">
        <v>117</v>
      </c>
      <c r="B118" t="s">
        <v>323</v>
      </c>
      <c r="C118" s="8" t="s">
        <v>1158</v>
      </c>
    </row>
    <row r="119" spans="1:3" x14ac:dyDescent="0.25">
      <c r="A119">
        <v>118</v>
      </c>
      <c r="B119" t="s">
        <v>841</v>
      </c>
      <c r="C119" s="8" t="s">
        <v>1159</v>
      </c>
    </row>
    <row r="120" spans="1:3" x14ac:dyDescent="0.25">
      <c r="A120">
        <v>119</v>
      </c>
      <c r="B120" t="s">
        <v>927</v>
      </c>
      <c r="C120" s="8" t="s">
        <v>1160</v>
      </c>
    </row>
    <row r="121" spans="1:3" x14ac:dyDescent="0.25">
      <c r="A121">
        <v>120</v>
      </c>
      <c r="B121" t="s">
        <v>160</v>
      </c>
      <c r="C121" s="8" t="s">
        <v>1161</v>
      </c>
    </row>
    <row r="122" spans="1:3" x14ac:dyDescent="0.25">
      <c r="A122">
        <v>121</v>
      </c>
      <c r="B122" t="s">
        <v>399</v>
      </c>
      <c r="C122" s="8" t="s">
        <v>1162</v>
      </c>
    </row>
    <row r="123" spans="1:3" x14ac:dyDescent="0.25">
      <c r="A123">
        <v>122</v>
      </c>
      <c r="B123" t="s">
        <v>695</v>
      </c>
      <c r="C123" s="8" t="s">
        <v>1163</v>
      </c>
    </row>
    <row r="124" spans="1:3" x14ac:dyDescent="0.25">
      <c r="A124">
        <v>123</v>
      </c>
      <c r="B124" t="s">
        <v>1019</v>
      </c>
      <c r="C124" s="8" t="s">
        <v>1164</v>
      </c>
    </row>
    <row r="125" spans="1:3" x14ac:dyDescent="0.25">
      <c r="A125">
        <v>124</v>
      </c>
      <c r="B125" t="s">
        <v>65</v>
      </c>
      <c r="C125" s="8" t="s">
        <v>1165</v>
      </c>
    </row>
    <row r="126" spans="1:3" x14ac:dyDescent="0.25">
      <c r="A126">
        <v>125</v>
      </c>
      <c r="B126" t="s">
        <v>306</v>
      </c>
      <c r="C126" s="8" t="s">
        <v>1166</v>
      </c>
    </row>
    <row r="127" spans="1:3" x14ac:dyDescent="0.25">
      <c r="A127">
        <v>126</v>
      </c>
      <c r="B127" t="s">
        <v>367</v>
      </c>
      <c r="C127" s="8" t="s">
        <v>1167</v>
      </c>
    </row>
    <row r="128" spans="1:3" x14ac:dyDescent="0.25">
      <c r="A128">
        <v>127</v>
      </c>
      <c r="B128" t="s">
        <v>70</v>
      </c>
      <c r="C128" s="8" t="s">
        <v>1168</v>
      </c>
    </row>
    <row r="129" spans="1:3" x14ac:dyDescent="0.25">
      <c r="A129">
        <v>128</v>
      </c>
      <c r="B129" t="s">
        <v>790</v>
      </c>
      <c r="C129" s="8" t="s">
        <v>1169</v>
      </c>
    </row>
    <row r="130" spans="1:3" x14ac:dyDescent="0.25">
      <c r="A130">
        <v>129</v>
      </c>
      <c r="B130" t="s">
        <v>580</v>
      </c>
      <c r="C130" s="8" t="s">
        <v>1170</v>
      </c>
    </row>
    <row r="131" spans="1:3" x14ac:dyDescent="0.25">
      <c r="A131">
        <v>130</v>
      </c>
      <c r="B131" t="s">
        <v>721</v>
      </c>
      <c r="C131" s="8" t="s">
        <v>1171</v>
      </c>
    </row>
    <row r="132" spans="1:3" x14ac:dyDescent="0.25">
      <c r="A132">
        <v>131</v>
      </c>
      <c r="B132" t="s">
        <v>213</v>
      </c>
      <c r="C132" s="8" t="s">
        <v>1172</v>
      </c>
    </row>
    <row r="133" spans="1:3" x14ac:dyDescent="0.25">
      <c r="A133">
        <v>132</v>
      </c>
      <c r="B133" t="s">
        <v>269</v>
      </c>
      <c r="C133" s="8" t="s">
        <v>1173</v>
      </c>
    </row>
    <row r="134" spans="1:3" x14ac:dyDescent="0.25">
      <c r="A134">
        <v>133</v>
      </c>
      <c r="B134" t="s">
        <v>571</v>
      </c>
      <c r="C134" s="8" t="s">
        <v>1174</v>
      </c>
    </row>
    <row r="135" spans="1:3" x14ac:dyDescent="0.25">
      <c r="A135">
        <v>134</v>
      </c>
      <c r="B135" t="s">
        <v>55</v>
      </c>
      <c r="C135" s="8" t="s">
        <v>1175</v>
      </c>
    </row>
    <row r="136" spans="1:3" x14ac:dyDescent="0.25">
      <c r="A136">
        <v>135</v>
      </c>
      <c r="B136" t="s">
        <v>1023</v>
      </c>
      <c r="C136" s="8" t="s">
        <v>1176</v>
      </c>
    </row>
    <row r="137" spans="1:3" x14ac:dyDescent="0.25">
      <c r="A137">
        <v>136</v>
      </c>
      <c r="B137" t="s">
        <v>752</v>
      </c>
      <c r="C137" s="8" t="s">
        <v>1177</v>
      </c>
    </row>
    <row r="138" spans="1:3" x14ac:dyDescent="0.25">
      <c r="A138">
        <v>137</v>
      </c>
      <c r="B138" t="s">
        <v>931</v>
      </c>
      <c r="C138" s="8" t="s">
        <v>1178</v>
      </c>
    </row>
    <row r="139" spans="1:3" x14ac:dyDescent="0.25">
      <c r="A139">
        <v>138</v>
      </c>
      <c r="B139" t="s">
        <v>357</v>
      </c>
      <c r="C139" s="8" t="s">
        <v>1179</v>
      </c>
    </row>
    <row r="140" spans="1:3" x14ac:dyDescent="0.25">
      <c r="A140">
        <v>139</v>
      </c>
      <c r="B140" t="s">
        <v>649</v>
      </c>
      <c r="C140" s="8" t="s">
        <v>1180</v>
      </c>
    </row>
    <row r="141" spans="1:3" x14ac:dyDescent="0.25">
      <c r="A141">
        <v>140</v>
      </c>
      <c r="B141" t="s">
        <v>195</v>
      </c>
      <c r="C141" s="8" t="s">
        <v>1181</v>
      </c>
    </row>
    <row r="142" spans="1:3" x14ac:dyDescent="0.25">
      <c r="A142">
        <v>141</v>
      </c>
      <c r="B142" t="s">
        <v>235</v>
      </c>
      <c r="C142" s="8" t="s">
        <v>1182</v>
      </c>
    </row>
    <row r="143" spans="1:3" x14ac:dyDescent="0.25">
      <c r="A143">
        <v>142</v>
      </c>
      <c r="B143" t="s">
        <v>936</v>
      </c>
      <c r="C143" s="8" t="s">
        <v>1183</v>
      </c>
    </row>
    <row r="144" spans="1:3" x14ac:dyDescent="0.25">
      <c r="A144">
        <v>143</v>
      </c>
      <c r="B144" t="s">
        <v>1009</v>
      </c>
      <c r="C144" s="8" t="s">
        <v>1184</v>
      </c>
    </row>
    <row r="145" spans="1:3" x14ac:dyDescent="0.25">
      <c r="A145">
        <v>144</v>
      </c>
      <c r="B145" t="s">
        <v>389</v>
      </c>
      <c r="C145" s="8" t="s">
        <v>1185</v>
      </c>
    </row>
    <row r="146" spans="1:3" x14ac:dyDescent="0.25">
      <c r="A146">
        <v>145</v>
      </c>
      <c r="B146" t="s">
        <v>595</v>
      </c>
      <c r="C146" s="8" t="s">
        <v>1186</v>
      </c>
    </row>
    <row r="147" spans="1:3" x14ac:dyDescent="0.25">
      <c r="A147">
        <v>146</v>
      </c>
      <c r="B147" t="s">
        <v>975</v>
      </c>
      <c r="C147" s="8" t="s">
        <v>1187</v>
      </c>
    </row>
    <row r="148" spans="1:3" x14ac:dyDescent="0.25">
      <c r="A148">
        <v>147</v>
      </c>
      <c r="B148" t="s">
        <v>712</v>
      </c>
      <c r="C148" s="8" t="s">
        <v>1188</v>
      </c>
    </row>
    <row r="149" spans="1:3" x14ac:dyDescent="0.25">
      <c r="A149">
        <v>148</v>
      </c>
      <c r="B149" t="s">
        <v>898</v>
      </c>
      <c r="C149" s="8" t="s">
        <v>1189</v>
      </c>
    </row>
    <row r="150" spans="1:3" x14ac:dyDescent="0.25">
      <c r="A150">
        <v>149</v>
      </c>
      <c r="B150" t="s">
        <v>297</v>
      </c>
      <c r="C150" s="8" t="s">
        <v>1190</v>
      </c>
    </row>
    <row r="151" spans="1:3" x14ac:dyDescent="0.25">
      <c r="A151">
        <v>150</v>
      </c>
      <c r="B151" t="s">
        <v>273</v>
      </c>
      <c r="C151" s="8" t="s">
        <v>1191</v>
      </c>
    </row>
    <row r="152" spans="1:3" x14ac:dyDescent="0.25">
      <c r="A152">
        <v>151</v>
      </c>
      <c r="B152" t="s">
        <v>155</v>
      </c>
      <c r="C152" s="8" t="s">
        <v>1192</v>
      </c>
    </row>
    <row r="153" spans="1:3" x14ac:dyDescent="0.25">
      <c r="A153">
        <v>152</v>
      </c>
      <c r="B153" t="s">
        <v>894</v>
      </c>
      <c r="C153" s="8" t="s">
        <v>1193</v>
      </c>
    </row>
    <row r="154" spans="1:3" x14ac:dyDescent="0.25">
      <c r="A154">
        <v>153</v>
      </c>
      <c r="B154" t="s">
        <v>736</v>
      </c>
      <c r="C154" s="8" t="s">
        <v>1194</v>
      </c>
    </row>
    <row r="155" spans="1:3" x14ac:dyDescent="0.25">
      <c r="A155">
        <v>154</v>
      </c>
      <c r="B155" t="s">
        <v>941</v>
      </c>
      <c r="C155" s="8" t="s">
        <v>1195</v>
      </c>
    </row>
    <row r="156" spans="1:3" x14ac:dyDescent="0.25">
      <c r="A156">
        <v>155</v>
      </c>
      <c r="B156" t="s">
        <v>219</v>
      </c>
      <c r="C156" s="8" t="s">
        <v>1196</v>
      </c>
    </row>
    <row r="157" spans="1:3" x14ac:dyDescent="0.25">
      <c r="A157">
        <v>156</v>
      </c>
      <c r="B157" t="s">
        <v>903</v>
      </c>
      <c r="C157" s="8" t="s">
        <v>1197</v>
      </c>
    </row>
    <row r="158" spans="1:3" x14ac:dyDescent="0.25">
      <c r="A158">
        <v>157</v>
      </c>
      <c r="B158" t="s">
        <v>885</v>
      </c>
      <c r="C158" s="8" t="s">
        <v>1198</v>
      </c>
    </row>
    <row r="159" spans="1:3" x14ac:dyDescent="0.25">
      <c r="A159">
        <v>158</v>
      </c>
      <c r="B159" t="s">
        <v>867</v>
      </c>
      <c r="C159" s="8" t="s">
        <v>1199</v>
      </c>
    </row>
    <row r="160" spans="1:3" x14ac:dyDescent="0.25">
      <c r="A160">
        <v>159</v>
      </c>
      <c r="B160" t="s">
        <v>489</v>
      </c>
      <c r="C160" s="8" t="s">
        <v>1200</v>
      </c>
    </row>
    <row r="161" spans="1:3" x14ac:dyDescent="0.25">
      <c r="A161">
        <v>160</v>
      </c>
      <c r="B161" t="s">
        <v>610</v>
      </c>
      <c r="C161" s="8" t="s">
        <v>1201</v>
      </c>
    </row>
    <row r="162" spans="1:3" x14ac:dyDescent="0.25">
      <c r="A162">
        <v>161</v>
      </c>
      <c r="B162" t="s">
        <v>51</v>
      </c>
      <c r="C162" s="8" t="s">
        <v>1202</v>
      </c>
    </row>
    <row r="163" spans="1:3" x14ac:dyDescent="0.25">
      <c r="A163">
        <v>162</v>
      </c>
      <c r="B163" t="s">
        <v>385</v>
      </c>
      <c r="C163" s="8" t="s">
        <v>1203</v>
      </c>
    </row>
    <row r="164" spans="1:3" x14ac:dyDescent="0.25">
      <c r="A164">
        <v>163</v>
      </c>
      <c r="B164" t="s">
        <v>520</v>
      </c>
      <c r="C164" s="8" t="s">
        <v>1204</v>
      </c>
    </row>
    <row r="165" spans="1:3" x14ac:dyDescent="0.25">
      <c r="A165">
        <v>164</v>
      </c>
      <c r="B165" t="s">
        <v>849</v>
      </c>
      <c r="C165" s="8" t="s">
        <v>1205</v>
      </c>
    </row>
    <row r="166" spans="1:3" x14ac:dyDescent="0.25">
      <c r="A166">
        <v>165</v>
      </c>
      <c r="B166" t="s">
        <v>747</v>
      </c>
      <c r="C166" s="8" t="s">
        <v>1206</v>
      </c>
    </row>
    <row r="167" spans="1:3" x14ac:dyDescent="0.25">
      <c r="A167">
        <v>166</v>
      </c>
      <c r="B167" t="s">
        <v>922</v>
      </c>
      <c r="C167" s="8" t="s">
        <v>1207</v>
      </c>
    </row>
    <row r="168" spans="1:3" x14ac:dyDescent="0.25">
      <c r="A168">
        <v>167</v>
      </c>
      <c r="B168" t="s">
        <v>510</v>
      </c>
      <c r="C168" s="8" t="s">
        <v>1208</v>
      </c>
    </row>
    <row r="169" spans="1:3" x14ac:dyDescent="0.25">
      <c r="A169">
        <v>168</v>
      </c>
      <c r="B169" t="s">
        <v>652</v>
      </c>
      <c r="C169" s="8" t="s">
        <v>1209</v>
      </c>
    </row>
    <row r="170" spans="1:3" x14ac:dyDescent="0.25">
      <c r="A170">
        <v>169</v>
      </c>
      <c r="B170" t="s">
        <v>254</v>
      </c>
      <c r="C170" s="8" t="s">
        <v>1210</v>
      </c>
    </row>
    <row r="171" spans="1:3" x14ac:dyDescent="0.25">
      <c r="A171">
        <v>170</v>
      </c>
      <c r="B171" t="s">
        <v>538</v>
      </c>
      <c r="C171" s="8" t="s">
        <v>1211</v>
      </c>
    </row>
    <row r="172" spans="1:3" x14ac:dyDescent="0.25">
      <c r="A172">
        <v>171</v>
      </c>
      <c r="B172" t="s">
        <v>464</v>
      </c>
      <c r="C172" s="8" t="s">
        <v>1212</v>
      </c>
    </row>
    <row r="173" spans="1:3" x14ac:dyDescent="0.25">
      <c r="A173">
        <v>172</v>
      </c>
      <c r="B173" t="s">
        <v>436</v>
      </c>
      <c r="C173" s="8" t="s">
        <v>1213</v>
      </c>
    </row>
    <row r="174" spans="1:3" x14ac:dyDescent="0.25">
      <c r="A174">
        <v>173</v>
      </c>
      <c r="B174" t="s">
        <v>994</v>
      </c>
      <c r="C174" s="8" t="s">
        <v>1214</v>
      </c>
    </row>
    <row r="175" spans="1:3" x14ac:dyDescent="0.25">
      <c r="A175">
        <v>174</v>
      </c>
      <c r="B175" t="s">
        <v>969</v>
      </c>
      <c r="C175" s="8" t="s">
        <v>1215</v>
      </c>
    </row>
    <row r="176" spans="1:3" x14ac:dyDescent="0.25">
      <c r="A176">
        <v>175</v>
      </c>
      <c r="B176" t="s">
        <v>782</v>
      </c>
      <c r="C176" s="8" t="s">
        <v>1216</v>
      </c>
    </row>
    <row r="177" spans="1:3" x14ac:dyDescent="0.25">
      <c r="A177">
        <v>176</v>
      </c>
      <c r="B177" t="s">
        <v>588</v>
      </c>
      <c r="C177" s="8" t="s">
        <v>1217</v>
      </c>
    </row>
    <row r="178" spans="1:3" x14ac:dyDescent="0.25">
      <c r="A178">
        <v>177</v>
      </c>
      <c r="B178" t="s">
        <v>728</v>
      </c>
      <c r="C178" s="8" t="s">
        <v>1218</v>
      </c>
    </row>
    <row r="179" spans="1:3" x14ac:dyDescent="0.25">
      <c r="A179">
        <v>178</v>
      </c>
      <c r="B179" t="s">
        <v>817</v>
      </c>
      <c r="C179" s="8" t="s">
        <v>1219</v>
      </c>
    </row>
    <row r="180" spans="1:3" x14ac:dyDescent="0.25">
      <c r="A180">
        <v>179</v>
      </c>
      <c r="B180" t="s">
        <v>600</v>
      </c>
      <c r="C180" s="8" t="s">
        <v>1220</v>
      </c>
    </row>
    <row r="181" spans="1:3" x14ac:dyDescent="0.25">
      <c r="A181">
        <v>180</v>
      </c>
      <c r="B181" t="s">
        <v>426</v>
      </c>
      <c r="C181" s="8" t="s">
        <v>1221</v>
      </c>
    </row>
    <row r="182" spans="1:3" x14ac:dyDescent="0.25">
      <c r="A182">
        <v>181</v>
      </c>
      <c r="B182" t="s">
        <v>169</v>
      </c>
      <c r="C182" s="8" t="s">
        <v>1222</v>
      </c>
    </row>
    <row r="183" spans="1:3" x14ac:dyDescent="0.25">
      <c r="A183">
        <v>182</v>
      </c>
      <c r="B183" t="s">
        <v>985</v>
      </c>
      <c r="C183" s="8" t="s">
        <v>1223</v>
      </c>
    </row>
    <row r="184" spans="1:3" x14ac:dyDescent="0.25">
      <c r="A184">
        <v>183</v>
      </c>
      <c r="B184" t="s">
        <v>24</v>
      </c>
      <c r="C184" s="8" t="s">
        <v>1224</v>
      </c>
    </row>
    <row r="185" spans="1:3" x14ac:dyDescent="0.25">
      <c r="A185">
        <v>184</v>
      </c>
      <c r="B185" t="s">
        <v>980</v>
      </c>
      <c r="C185" s="8" t="s">
        <v>1225</v>
      </c>
    </row>
    <row r="186" spans="1:3" x14ac:dyDescent="0.25">
      <c r="A186">
        <v>185</v>
      </c>
      <c r="B186" t="s">
        <v>833</v>
      </c>
      <c r="C186" s="8" t="s">
        <v>1226</v>
      </c>
    </row>
    <row r="187" spans="1:3" x14ac:dyDescent="0.25">
      <c r="A187">
        <v>186</v>
      </c>
      <c r="B187" t="s">
        <v>495</v>
      </c>
      <c r="C187" s="8" t="s">
        <v>1227</v>
      </c>
    </row>
    <row r="188" spans="1:3" x14ac:dyDescent="0.25">
      <c r="A188">
        <v>187</v>
      </c>
      <c r="B188" t="s">
        <v>758</v>
      </c>
      <c r="C188" s="8" t="s">
        <v>1228</v>
      </c>
    </row>
    <row r="189" spans="1:3" x14ac:dyDescent="0.25">
      <c r="A189">
        <v>188</v>
      </c>
      <c r="B189" t="s">
        <v>347</v>
      </c>
      <c r="C189" s="8" t="s">
        <v>1229</v>
      </c>
    </row>
    <row r="190" spans="1:3" x14ac:dyDescent="0.25">
      <c r="A190">
        <v>189</v>
      </c>
      <c r="B190" t="s">
        <v>945</v>
      </c>
      <c r="C190" s="8" t="s">
        <v>1230</v>
      </c>
    </row>
    <row r="191" spans="1:3" x14ac:dyDescent="0.25">
      <c r="A191">
        <v>190</v>
      </c>
      <c r="B191" t="s">
        <v>139</v>
      </c>
      <c r="C191" s="8" t="s">
        <v>1231</v>
      </c>
    </row>
    <row r="192" spans="1:3" x14ac:dyDescent="0.25">
      <c r="A192">
        <v>191</v>
      </c>
      <c r="B192" t="s">
        <v>662</v>
      </c>
      <c r="C192" s="8" t="s">
        <v>1232</v>
      </c>
    </row>
    <row r="193" spans="1:3" x14ac:dyDescent="0.25">
      <c r="A193">
        <v>192</v>
      </c>
      <c r="B193" t="s">
        <v>630</v>
      </c>
      <c r="C193" s="8" t="s">
        <v>1233</v>
      </c>
    </row>
    <row r="194" spans="1:3" x14ac:dyDescent="0.25">
      <c r="A194">
        <v>193</v>
      </c>
      <c r="B194" t="s">
        <v>246</v>
      </c>
      <c r="C194" s="8" t="s">
        <v>1234</v>
      </c>
    </row>
    <row r="195" spans="1:3" x14ac:dyDescent="0.25">
      <c r="A195">
        <v>194</v>
      </c>
      <c r="B195" t="s">
        <v>584</v>
      </c>
      <c r="C195" s="8" t="s">
        <v>1235</v>
      </c>
    </row>
    <row r="196" spans="1:3" x14ac:dyDescent="0.25">
      <c r="A196">
        <v>195</v>
      </c>
      <c r="B196" t="s">
        <v>591</v>
      </c>
      <c r="C196" s="8" t="s">
        <v>1236</v>
      </c>
    </row>
    <row r="197" spans="1:3" x14ac:dyDescent="0.25">
      <c r="A197">
        <v>196</v>
      </c>
      <c r="B197" t="s">
        <v>547</v>
      </c>
      <c r="C197" s="8" t="s">
        <v>1237</v>
      </c>
    </row>
    <row r="198" spans="1:3" x14ac:dyDescent="0.25">
      <c r="A198">
        <v>197</v>
      </c>
      <c r="B198" t="s">
        <v>293</v>
      </c>
      <c r="C198" s="8" t="s">
        <v>1238</v>
      </c>
    </row>
    <row r="199" spans="1:3" x14ac:dyDescent="0.25">
      <c r="A199">
        <v>198</v>
      </c>
      <c r="B199" t="s">
        <v>394</v>
      </c>
      <c r="C199" s="8" t="s">
        <v>1239</v>
      </c>
    </row>
    <row r="200" spans="1:3" x14ac:dyDescent="0.25">
      <c r="A200">
        <v>199</v>
      </c>
      <c r="B200" t="s">
        <v>1038</v>
      </c>
      <c r="C200" s="8" t="s">
        <v>1240</v>
      </c>
    </row>
    <row r="201" spans="1:3" x14ac:dyDescent="0.25">
      <c r="A201">
        <v>200</v>
      </c>
      <c r="B201" t="s">
        <v>794</v>
      </c>
      <c r="C201" s="8" t="s">
        <v>1241</v>
      </c>
    </row>
    <row r="202" spans="1:3" x14ac:dyDescent="0.25">
      <c r="A202">
        <v>201</v>
      </c>
      <c r="B202" t="s">
        <v>445</v>
      </c>
      <c r="C202" s="8" t="s">
        <v>1242</v>
      </c>
    </row>
    <row r="203" spans="1:3" x14ac:dyDescent="0.25">
      <c r="A203">
        <v>202</v>
      </c>
      <c r="B203" t="s">
        <v>289</v>
      </c>
      <c r="C203" s="8" t="s">
        <v>1243</v>
      </c>
    </row>
    <row r="204" spans="1:3" x14ac:dyDescent="0.25">
      <c r="A204">
        <v>203</v>
      </c>
      <c r="B204" t="s">
        <v>655</v>
      </c>
      <c r="C204" s="8" t="s">
        <v>1244</v>
      </c>
    </row>
    <row r="205" spans="1:3" x14ac:dyDescent="0.25">
      <c r="A205">
        <v>204</v>
      </c>
      <c r="B205" t="s">
        <v>454</v>
      </c>
      <c r="C205" s="8" t="s">
        <v>1245</v>
      </c>
    </row>
    <row r="206" spans="1:3" x14ac:dyDescent="0.25">
      <c r="A206">
        <v>205</v>
      </c>
      <c r="B206" t="s">
        <v>239</v>
      </c>
      <c r="C206" s="8" t="s">
        <v>1246</v>
      </c>
    </row>
    <row r="207" spans="1:3" x14ac:dyDescent="0.25">
      <c r="A207">
        <v>206</v>
      </c>
      <c r="B207" t="s">
        <v>524</v>
      </c>
      <c r="C207" s="8" t="s">
        <v>1247</v>
      </c>
    </row>
    <row r="208" spans="1:3" x14ac:dyDescent="0.25">
      <c r="A208">
        <v>207</v>
      </c>
      <c r="B208" t="s">
        <v>724</v>
      </c>
      <c r="C208" s="8" t="s">
        <v>1248</v>
      </c>
    </row>
    <row r="209" spans="1:3" x14ac:dyDescent="0.25">
      <c r="A209">
        <v>208</v>
      </c>
      <c r="B209" t="s">
        <v>381</v>
      </c>
      <c r="C209" s="8" t="s">
        <v>1249</v>
      </c>
    </row>
    <row r="210" spans="1:3" x14ac:dyDescent="0.25">
      <c r="A210">
        <v>209</v>
      </c>
      <c r="B210" t="s">
        <v>862</v>
      </c>
      <c r="C210" s="8" t="s">
        <v>1250</v>
      </c>
    </row>
    <row r="211" spans="1:3" x14ac:dyDescent="0.25">
      <c r="A211">
        <v>210</v>
      </c>
      <c r="B211" t="s">
        <v>880</v>
      </c>
      <c r="C211" s="8" t="s">
        <v>1251</v>
      </c>
    </row>
    <row r="212" spans="1:3" x14ac:dyDescent="0.25">
      <c r="A212">
        <v>211</v>
      </c>
      <c r="B212" t="s">
        <v>491</v>
      </c>
      <c r="C212" s="8" t="s">
        <v>1252</v>
      </c>
    </row>
    <row r="213" spans="1:3" x14ac:dyDescent="0.25">
      <c r="A213">
        <v>212</v>
      </c>
      <c r="B213" t="s">
        <v>343</v>
      </c>
      <c r="C213" s="8" t="s">
        <v>1253</v>
      </c>
    </row>
    <row r="214" spans="1:3" x14ac:dyDescent="0.25">
      <c r="A214">
        <v>213</v>
      </c>
      <c r="B214" t="s">
        <v>635</v>
      </c>
      <c r="C214" s="8" t="s">
        <v>1254</v>
      </c>
    </row>
    <row r="215" spans="1:3" x14ac:dyDescent="0.25">
      <c r="A215">
        <v>214</v>
      </c>
      <c r="B215" t="s">
        <v>480</v>
      </c>
      <c r="C215" s="8" t="s">
        <v>1255</v>
      </c>
    </row>
    <row r="216" spans="1:3" x14ac:dyDescent="0.25">
      <c r="A216">
        <v>215</v>
      </c>
      <c r="B216" t="s">
        <v>732</v>
      </c>
      <c r="C216" s="8" t="s">
        <v>1256</v>
      </c>
    </row>
    <row r="217" spans="1:3" x14ac:dyDescent="0.25">
      <c r="A217">
        <v>216</v>
      </c>
      <c r="B217" t="s">
        <v>575</v>
      </c>
      <c r="C217" s="8" t="s">
        <v>1257</v>
      </c>
    </row>
    <row r="218" spans="1:3" x14ac:dyDescent="0.25">
      <c r="A218">
        <v>217</v>
      </c>
      <c r="B218" t="s">
        <v>955</v>
      </c>
      <c r="C218" s="8" t="s">
        <v>1258</v>
      </c>
    </row>
    <row r="219" spans="1:3" x14ac:dyDescent="0.25">
      <c r="A219">
        <v>218</v>
      </c>
      <c r="B219" t="s">
        <v>265</v>
      </c>
      <c r="C219" s="8" t="s">
        <v>1259</v>
      </c>
    </row>
    <row r="220" spans="1:3" x14ac:dyDescent="0.25">
      <c r="A220">
        <v>219</v>
      </c>
      <c r="B220" t="s">
        <v>562</v>
      </c>
      <c r="C220" s="8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 Working sheet </vt:lpstr>
      <vt:lpstr>09000210</vt:lpstr>
      <vt:lpstr>Already Marked Digital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2025-09-05T12:40:26Z</dcterms:created>
  <dcterms:modified xsi:type="dcterms:W3CDTF">2025-09-08T10:47:54Z</dcterms:modified>
</cp:coreProperties>
</file>