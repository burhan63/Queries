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ifkz-my.sharepoint.com/personal/it_user_takaful_com_pk/Documents/Burhan/Querys/backup_files/"/>
    </mc:Choice>
  </mc:AlternateContent>
  <xr:revisionPtr revIDLastSave="0" documentId="8_{E42AB3E6-AE5F-4467-92E7-529B7ACC83A5}" xr6:coauthVersionLast="47" xr6:coauthVersionMax="47" xr10:uidLastSave="{00000000-0000-0000-0000-000000000000}"/>
  <bookViews>
    <workbookView xWindow="-120" yWindow="-120" windowWidth="20730" windowHeight="11160" xr2:uid="{75A929D1-8B49-4115-8608-5C222FA9F4A4}"/>
  </bookViews>
  <sheets>
    <sheet name="Sheet1" sheetId="1" r:id="rId1"/>
    <sheet name="Sheet2" sheetId="2" r:id="rId2"/>
  </sheets>
  <definedNames>
    <definedName name="_xlnm._FilterDatabase" localSheetId="0" hidden="1">Sheet1!$A$1:$M$84</definedName>
    <definedName name="_xlnm._FilterDatabase" localSheetId="1" hidden="1">Sheet2!$A$1:$D$1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2" i="1"/>
  <c r="B3" i="1"/>
  <c r="K3" i="1" s="1"/>
  <c r="B4" i="1"/>
  <c r="K4" i="1" s="1"/>
  <c r="B5" i="1"/>
  <c r="K5" i="1" s="1"/>
  <c r="B6" i="1"/>
  <c r="K6" i="1" s="1"/>
  <c r="B7" i="1"/>
  <c r="K7" i="1" s="1"/>
  <c r="B8" i="1"/>
  <c r="K8" i="1" s="1"/>
  <c r="B9" i="1"/>
  <c r="K9" i="1" s="1"/>
  <c r="B10" i="1"/>
  <c r="K10" i="1" s="1"/>
  <c r="B11" i="1"/>
  <c r="K11" i="1" s="1"/>
  <c r="B12" i="1"/>
  <c r="K12" i="1" s="1"/>
  <c r="B13" i="1"/>
  <c r="K13" i="1" s="1"/>
  <c r="B14" i="1"/>
  <c r="K14" i="1" s="1"/>
  <c r="B15" i="1"/>
  <c r="K15" i="1" s="1"/>
  <c r="B16" i="1"/>
  <c r="K16" i="1" s="1"/>
  <c r="B17" i="1"/>
  <c r="K17" i="1" s="1"/>
  <c r="B18" i="1"/>
  <c r="K18" i="1" s="1"/>
  <c r="B19" i="1"/>
  <c r="K19" i="1" s="1"/>
  <c r="B20" i="1"/>
  <c r="K20" i="1" s="1"/>
  <c r="B21" i="1"/>
  <c r="K21" i="1" s="1"/>
  <c r="B22" i="1"/>
  <c r="K22" i="1" s="1"/>
  <c r="B23" i="1"/>
  <c r="K23" i="1" s="1"/>
  <c r="B24" i="1"/>
  <c r="K24" i="1" s="1"/>
  <c r="B25" i="1"/>
  <c r="K25" i="1" s="1"/>
  <c r="B26" i="1"/>
  <c r="K26" i="1" s="1"/>
  <c r="B27" i="1"/>
  <c r="K27" i="1" s="1"/>
  <c r="B28" i="1"/>
  <c r="K28" i="1" s="1"/>
  <c r="B29" i="1"/>
  <c r="K29" i="1" s="1"/>
  <c r="B30" i="1"/>
  <c r="K30" i="1" s="1"/>
  <c r="B31" i="1"/>
  <c r="K31" i="1" s="1"/>
  <c r="B32" i="1"/>
  <c r="K32" i="1" s="1"/>
  <c r="B33" i="1"/>
  <c r="K33" i="1" s="1"/>
  <c r="B34" i="1"/>
  <c r="K34" i="1" s="1"/>
  <c r="B35" i="1"/>
  <c r="K35" i="1" s="1"/>
  <c r="B36" i="1"/>
  <c r="K36" i="1" s="1"/>
  <c r="B37" i="1"/>
  <c r="K37" i="1" s="1"/>
  <c r="B38" i="1"/>
  <c r="K38" i="1" s="1"/>
  <c r="B39" i="1"/>
  <c r="K39" i="1" s="1"/>
  <c r="B40" i="1"/>
  <c r="K40" i="1" s="1"/>
  <c r="B41" i="1"/>
  <c r="K41" i="1" s="1"/>
  <c r="B42" i="1"/>
  <c r="K42" i="1" s="1"/>
  <c r="B43" i="1"/>
  <c r="K43" i="1" s="1"/>
  <c r="B44" i="1"/>
  <c r="K44" i="1" s="1"/>
  <c r="B45" i="1"/>
  <c r="K45" i="1" s="1"/>
  <c r="B46" i="1"/>
  <c r="K46" i="1" s="1"/>
  <c r="B47" i="1"/>
  <c r="K47" i="1" s="1"/>
  <c r="B48" i="1"/>
  <c r="K48" i="1" s="1"/>
  <c r="B49" i="1"/>
  <c r="K49" i="1" s="1"/>
  <c r="B50" i="1"/>
  <c r="K50" i="1" s="1"/>
  <c r="B51" i="1"/>
  <c r="K51" i="1" s="1"/>
  <c r="B52" i="1"/>
  <c r="K52" i="1" s="1"/>
  <c r="B53" i="1"/>
  <c r="K53" i="1" s="1"/>
  <c r="B54" i="1"/>
  <c r="K54" i="1" s="1"/>
  <c r="B55" i="1"/>
  <c r="K55" i="1" s="1"/>
  <c r="B56" i="1"/>
  <c r="K56" i="1" s="1"/>
  <c r="B57" i="1"/>
  <c r="K57" i="1" s="1"/>
  <c r="B58" i="1"/>
  <c r="K58" i="1" s="1"/>
  <c r="B59" i="1"/>
  <c r="K59" i="1" s="1"/>
  <c r="B60" i="1"/>
  <c r="K60" i="1" s="1"/>
  <c r="B61" i="1"/>
  <c r="K61" i="1" s="1"/>
  <c r="B62" i="1"/>
  <c r="K62" i="1" s="1"/>
  <c r="B63" i="1"/>
  <c r="K63" i="1" s="1"/>
  <c r="B64" i="1"/>
  <c r="K64" i="1" s="1"/>
  <c r="B65" i="1"/>
  <c r="K65" i="1" s="1"/>
  <c r="B66" i="1"/>
  <c r="K66" i="1" s="1"/>
  <c r="B67" i="1"/>
  <c r="K67" i="1" s="1"/>
  <c r="B68" i="1"/>
  <c r="K68" i="1" s="1"/>
  <c r="B69" i="1"/>
  <c r="K69" i="1" s="1"/>
  <c r="B70" i="1"/>
  <c r="K70" i="1" s="1"/>
  <c r="B71" i="1"/>
  <c r="K71" i="1" s="1"/>
  <c r="B72" i="1"/>
  <c r="K72" i="1" s="1"/>
  <c r="B73" i="1"/>
  <c r="K73" i="1" s="1"/>
  <c r="B74" i="1"/>
  <c r="K74" i="1" s="1"/>
  <c r="B75" i="1"/>
  <c r="K75" i="1" s="1"/>
  <c r="B76" i="1"/>
  <c r="K76" i="1" s="1"/>
  <c r="B77" i="1"/>
  <c r="K77" i="1" s="1"/>
  <c r="B78" i="1"/>
  <c r="K78" i="1" s="1"/>
  <c r="B79" i="1"/>
  <c r="K79" i="1" s="1"/>
  <c r="B80" i="1"/>
  <c r="K80" i="1" s="1"/>
  <c r="B81" i="1"/>
  <c r="K81" i="1" s="1"/>
  <c r="B82" i="1"/>
  <c r="K82" i="1" s="1"/>
  <c r="B83" i="1"/>
  <c r="K83" i="1" s="1"/>
  <c r="B84" i="1"/>
  <c r="K84" i="1" s="1"/>
  <c r="B2" i="1"/>
  <c r="K2" i="1" s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<sst xmlns="http://schemas.openxmlformats.org/spreadsheetml/2006/main" count="510" uniqueCount="185">
  <si>
    <t>Policy # U/W</t>
  </si>
  <si>
    <t>Gross</t>
  </si>
  <si>
    <t>Net</t>
  </si>
  <si>
    <t>Deferred Commission</t>
  </si>
  <si>
    <t>Comm. %</t>
  </si>
  <si>
    <t>Current Agency</t>
  </si>
  <si>
    <t>Required Agencies</t>
  </si>
  <si>
    <t>KHI/HO/D/MO/PC COMP/P/111271/09/2025</t>
  </si>
  <si>
    <t>Syed Mazhar Abbas Zaidi</t>
  </si>
  <si>
    <t>Moied Shamoon</t>
  </si>
  <si>
    <t>KHI/HO/D/MO/PC COMP/P/111280/09/2025</t>
  </si>
  <si>
    <t>KHI/HO/D/MO/PC COMP/P/111309/09/2025</t>
  </si>
  <si>
    <t>KHI/HO/D/MO/PC COMP/P/111313/09/2025</t>
  </si>
  <si>
    <t>LHR/LHR/D/MO/PC COMP/P/111315/09/2025</t>
  </si>
  <si>
    <t>KHI/HO/D/MO/PC COMP/P/111362/09/2025</t>
  </si>
  <si>
    <t>KHI/HO/D/MO/PC COMP/P/111473/09/2025</t>
  </si>
  <si>
    <t>KHI/HO/D/MO/PC COMP/P/111445/09/2025</t>
  </si>
  <si>
    <t>LHR/LHR/D/MO/PC COMP/P/111410/09/2025</t>
  </si>
  <si>
    <t>KHI/HO/D/MO/PC COMP/P/111418/09/2025</t>
  </si>
  <si>
    <t>KHI/HO/D/MO/PC COMP/P/111446/09/2025</t>
  </si>
  <si>
    <t>KHI/HO/D/MO/PC COMP/P/111557/09/2025</t>
  </si>
  <si>
    <t>KHI/HO/D/MO/PC COMP/P/111569/09/2025</t>
  </si>
  <si>
    <t>KHI/HO/D/MO/PC COMP/P/111606/09/2025</t>
  </si>
  <si>
    <t>KHI/HO/D/MO/PC COMP/P/111610/09/2025</t>
  </si>
  <si>
    <t>KHI/HO/D/MO/PC COMP/P/111641/09/2025</t>
  </si>
  <si>
    <t>KHI/HO/D/MO/PC COMP/P/111649/09/2025</t>
  </si>
  <si>
    <t>LHR/LHR/D/MO/PC COMP/P/111666/09/2025</t>
  </si>
  <si>
    <t>LHR/LHR/D/MO/PC COMP/P/111671/09/2025</t>
  </si>
  <si>
    <t>KHI/HO/D/MO/PC COMP/P/111687/09/2025</t>
  </si>
  <si>
    <t>KHI/HO/D/MO/PC COMP/P/111698/09/2025</t>
  </si>
  <si>
    <t>KHI/HO/D/MO/PC COMP/P/111741/09/2025</t>
  </si>
  <si>
    <t>KHI/HO/D/MO/PC COMP/P/111747/09/2025</t>
  </si>
  <si>
    <t>KHI/HO/D/MO/PC COMP/P/111276/09/2025</t>
  </si>
  <si>
    <t>Muhammad Danish Azhar</t>
  </si>
  <si>
    <t>KHI/HO/D/MO/PC COMP/P/111304/09/2025</t>
  </si>
  <si>
    <t>KHI/HO/D/MO/PC COMP/P/111378/09/2025</t>
  </si>
  <si>
    <t>KHI/HO/D/MO/PC COMP/P/111395/09/2025</t>
  </si>
  <si>
    <t>KHI/HO/D/MO/PC COMP/P/111507/09/2025</t>
  </si>
  <si>
    <t>KHI/HO/D/MO/PC COMP/P/111520/09/2025</t>
  </si>
  <si>
    <t>KHI/HO/D/MO/PC COMP/P/111529/09/2025</t>
  </si>
  <si>
    <t>LHR/LHR/D/MO/PC COMP/P/111536/09/2025</t>
  </si>
  <si>
    <t>KHI/HO/D/MO/PC COMP/P/111580/09/2025</t>
  </si>
  <si>
    <t>KHI/HO/D/MO/PC COMP/P/111620/09/2025</t>
  </si>
  <si>
    <t>KHI/HO/D/MO/PC COMP/P/111633/09/2025</t>
  </si>
  <si>
    <t>LHR/LHR/D/MO/PC COMP/P/111668/09/2025</t>
  </si>
  <si>
    <t>KHI/HO/D/MO/PC COMP/P/111665/09/2025</t>
  </si>
  <si>
    <t>KHI/HO/D/MO/PC COMP/P/111690/09/2025</t>
  </si>
  <si>
    <t>KHI/HO/D/MO/PC COMP/P/111755/09/2025</t>
  </si>
  <si>
    <t>KHI/HO/D/MO/PC COMP/P/111761/09/2025</t>
  </si>
  <si>
    <t>KHI/HO/D/MO/PC COMP/P/111797/09/2025</t>
  </si>
  <si>
    <t>LHR/LHR/D/MO/PC COMP/P/111775/09/2025</t>
  </si>
  <si>
    <t>KHI/HO/D/MO/PC COMP/P/111290/09/2025</t>
  </si>
  <si>
    <t>Hamna Ali</t>
  </si>
  <si>
    <t>LHR/LHR/D/MO/PC COMP/P/111347/09/2025</t>
  </si>
  <si>
    <t>KHI/HO/D/MO/PC COMP/P/111349/09/2025</t>
  </si>
  <si>
    <t>KHI/HO/D/MO/PC COMP/P/111367/09/2025</t>
  </si>
  <si>
    <t>LHR/LHR/D/MO/PC COMP/P/111369/09/2025</t>
  </si>
  <si>
    <t>LHR/LHR/D/MO/PC COMP/P/111377/09/2025</t>
  </si>
  <si>
    <t>KHI/HO/D/MO/PC COMP/P/111380/09/2025</t>
  </si>
  <si>
    <t>KHI/HO/D/MO/PC COMP/P/111394/09/2025</t>
  </si>
  <si>
    <t>KHI/HO/D/MO/PC COMP/P/111472/09/2025</t>
  </si>
  <si>
    <t>KHI/HO/D/MO/PC COMP/P/111485/09/2025</t>
  </si>
  <si>
    <t>KHI/HO/D/MO/PC COMP/P/111504/09/2025</t>
  </si>
  <si>
    <t>KHI/HO/D/MO/PC COMP/P/111534/09/2025</t>
  </si>
  <si>
    <t>KHI/HO/D/MO/PC COMP/P/111544/09/2025</t>
  </si>
  <si>
    <t>KHI/HO/D/MO/PC COMP/P/111543/09/2025</t>
  </si>
  <si>
    <t>LHR/LHR/D/MO/PC COMP/P/111562/09/2025</t>
  </si>
  <si>
    <t>KHI/HO/D/MO/PC COMP/P/111564/09/2025</t>
  </si>
  <si>
    <t>KHI/HO/D/MO/PC COMP/P/111621/09/2025</t>
  </si>
  <si>
    <t>KHI/HO/D/MO/PC COMP/P/111634/09/2025</t>
  </si>
  <si>
    <t>KHI/HO/D/MO/PC COMP/P/111652/09/2025</t>
  </si>
  <si>
    <t>KHI/HO/D/MO/PC COMP/P/111683/09/2025</t>
  </si>
  <si>
    <t>KHI/HO/D/MO/PC COMP/P/111694/09/2025</t>
  </si>
  <si>
    <t>KHI/HO/D/MO/PC COMP/P/111695/09/2025</t>
  </si>
  <si>
    <t>KHI/HO/D/MO/PC COMP/P/111715/09/2025</t>
  </si>
  <si>
    <t>KHI/HO/D/MO/PC COMP/P/111721/09/2025</t>
  </si>
  <si>
    <t>KHI/HO/D/MO/PC COMP/P/111714/09/2025</t>
  </si>
  <si>
    <t>KHI/HO/D/MO/PC COMP/P/111742/09/2025</t>
  </si>
  <si>
    <t>KHI/HO/D/MO/PC COMP/P/111744/09/2025</t>
  </si>
  <si>
    <t>KHI/HO/D/MO/PC COMP/P/111760/09/2025</t>
  </si>
  <si>
    <t>KHI/HO/D/MO/PC COMP/P/111769/09/2025</t>
  </si>
  <si>
    <t>KHI/HO/D/MO/PC COMP/P/111772/09/2025</t>
  </si>
  <si>
    <t>LHR/LHR/D/MO/PC COMP/P/111773/09/2025</t>
  </si>
  <si>
    <t>KHI/HO/D/MO/PC COMP/P/111774/09/2025</t>
  </si>
  <si>
    <t>KHI/HO/D/MO/PC COMP/P/111795/09/2025</t>
  </si>
  <si>
    <t>KHI/HO/D/MO/PC COMP/P/111704/09/2025</t>
  </si>
  <si>
    <t xml:space="preserve">   </t>
  </si>
  <si>
    <t>POLICY</t>
  </si>
  <si>
    <t>ASSORTED_CODE</t>
  </si>
  <si>
    <t>040000202583</t>
  </si>
  <si>
    <t>040000202585</t>
  </si>
  <si>
    <t>040000202169</t>
  </si>
  <si>
    <t>040000202436</t>
  </si>
  <si>
    <t>040000202437</t>
  </si>
  <si>
    <t>040000201928</t>
  </si>
  <si>
    <t>040000201815</t>
  </si>
  <si>
    <t>040000202472</t>
  </si>
  <si>
    <t>040000202561</t>
  </si>
  <si>
    <t>040000202563</t>
  </si>
  <si>
    <t>040000201991</t>
  </si>
  <si>
    <t>040000201888</t>
  </si>
  <si>
    <t>040000201905</t>
  </si>
  <si>
    <t>040000202303</t>
  </si>
  <si>
    <t>040000202052</t>
  </si>
  <si>
    <t>040000202421</t>
  </si>
  <si>
    <t>040000202309</t>
  </si>
  <si>
    <t>040000201927</t>
  </si>
  <si>
    <t>040000202504</t>
  </si>
  <si>
    <t>040000202539</t>
  </si>
  <si>
    <t>040000202557</t>
  </si>
  <si>
    <t>040000201988</t>
  </si>
  <si>
    <t>040000202441</t>
  </si>
  <si>
    <t>040000202138</t>
  </si>
  <si>
    <t>040000202157</t>
  </si>
  <si>
    <t>040000202428</t>
  </si>
  <si>
    <t>040000202431</t>
  </si>
  <si>
    <t>040000201817</t>
  </si>
  <si>
    <t>040000202362</t>
  </si>
  <si>
    <t>040000202495</t>
  </si>
  <si>
    <t>040000201903</t>
  </si>
  <si>
    <t>040000202366</t>
  </si>
  <si>
    <t>040000202560</t>
  </si>
  <si>
    <t>040000202080</t>
  </si>
  <si>
    <t>040000202386</t>
  </si>
  <si>
    <t>040000202450</t>
  </si>
  <si>
    <t>040000201858</t>
  </si>
  <si>
    <t>040000201861</t>
  </si>
  <si>
    <t>040000202498</t>
  </si>
  <si>
    <t>040000201885</t>
  </si>
  <si>
    <t>040000201902</t>
  </si>
  <si>
    <t>040000202562</t>
  </si>
  <si>
    <t>040000202330</t>
  </si>
  <si>
    <t>040000202352</t>
  </si>
  <si>
    <t>040000201876</t>
  </si>
  <si>
    <t>040000201734</t>
  </si>
  <si>
    <t>040000202086</t>
  </si>
  <si>
    <t>040000202493</t>
  </si>
  <si>
    <t>040000201944</t>
  </si>
  <si>
    <t>040000201952</t>
  </si>
  <si>
    <t>040000201730</t>
  </si>
  <si>
    <t>040000202390</t>
  </si>
  <si>
    <t>040000202104</t>
  </si>
  <si>
    <t>040000202204</t>
  </si>
  <si>
    <t>040000201758</t>
  </si>
  <si>
    <t>040000201803</t>
  </si>
  <si>
    <t>040000202465</t>
  </si>
  <si>
    <t>040000202114</t>
  </si>
  <si>
    <t>040000202525</t>
  </si>
  <si>
    <t>040000202123</t>
  </si>
  <si>
    <t>040000202329</t>
  </si>
  <si>
    <t>040000202139</t>
  </si>
  <si>
    <t>040000202344</t>
  </si>
  <si>
    <t>040000202256</t>
  </si>
  <si>
    <t>040000202385</t>
  </si>
  <si>
    <t>040000202187</t>
  </si>
  <si>
    <t>040000202536</t>
  </si>
  <si>
    <t>040000202398</t>
  </si>
  <si>
    <t>040000202121</t>
  </si>
  <si>
    <t>040000201809</t>
  </si>
  <si>
    <t>040000202343</t>
  </si>
  <si>
    <t>040000201724</t>
  </si>
  <si>
    <t>040000202464</t>
  </si>
  <si>
    <t>040000202039</t>
  </si>
  <si>
    <t>040000202040</t>
  </si>
  <si>
    <t>Assorted Code</t>
  </si>
  <si>
    <t>KHI/HO/D/MO/PC COMP/P/111372/09/2025</t>
  </si>
  <si>
    <t>KHI/HO/D/MO/PC COMP/P/111275/09/2025</t>
  </si>
  <si>
    <t>KHI/HO/D/MO/PC COMP/P/111487/09/2025</t>
  </si>
  <si>
    <t>KHI/HO/D/MO/PC COMP/P/111475/09/2025</t>
  </si>
  <si>
    <t>KHI/HO/D/MO/PC COMP/P/111272/09/2025</t>
  </si>
  <si>
    <t>KHI/HO/D/MO/PC COMP/P/111277/09/2025</t>
  </si>
  <si>
    <t>KHI/HO/D/MO/PC COMP/P/111518/09/2025</t>
  </si>
  <si>
    <t>KHI/HO/D/MO/PC COMP/P/111422/09/2025</t>
  </si>
  <si>
    <t>040000201893</t>
  </si>
  <si>
    <t>040000201729</t>
  </si>
  <si>
    <t>040000202056</t>
  </si>
  <si>
    <t>040000202042</t>
  </si>
  <si>
    <t>040000201725</t>
  </si>
  <si>
    <t>040000201731</t>
  </si>
  <si>
    <t>040000202102</t>
  </si>
  <si>
    <t>040000201957</t>
  </si>
  <si>
    <t>09000943</t>
  </si>
  <si>
    <t>Agency Code</t>
  </si>
  <si>
    <t>09000908</t>
  </si>
  <si>
    <t>09000911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</si>
</sst>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3" borderId="0" xfId="0" applyFont="1" applyFill="1"/>
    <xf numFmtId="164" fontId="2" fillId="3" borderId="1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vertical="top"/>
    </xf>
    <xf numFmtId="164" fontId="2" fillId="3" borderId="0" xfId="1" applyNumberFormat="1" applyFont="1" applyFill="1" applyBorder="1" applyAlignment="1">
      <alignment vertical="top"/>
    </xf>
    <xf numFmtId="0" fontId="0" fillId="0" borderId="1" xfId="0" applyBorder="1"/>
    <xf numFmtId="164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5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64" fontId="0" fillId="2" borderId="1" xfId="0" applyNumberFormat="1" applyFill="1" applyBorder="1"/>
    <xf numFmtId="164" fontId="0" fillId="2" borderId="1" xfId="0" applyNumberFormat="1" applyFill="1" applyBorder="1" applyAlignment="1">
      <alignment horizontal="center" vertical="center"/>
    </xf>
    <xf numFmtId="0" fontId="0" fillId="0" borderId="0" xfId="0" quotePrefix="1"/>
    <xf numFmtId="0" fontId="3" fillId="0" borderId="2" xfId="0" applyFont="1" applyBorder="1" applyAlignment="1">
      <alignment vertical="top"/>
    </xf>
    <xf numFmtId="0" fontId="2" fillId="3" borderId="1" xfId="0" applyFont="1" applyFill="1" applyBorder="1"/>
    <xf numFmtId="0" fontId="0" fillId="0" borderId="1" xfId="0" quotePrefix="1" applyBorder="1"/>
    <xf numFmtId="0" fontId="2" fillId="3" borderId="0" xfId="0" applyFont="1" applyFill="1" applyBorder="1"/>
    <xf numFmtId="0" fontId="0" fillId="0" borderId="0" xfId="0" quotePrefix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2F06-9767-40BB-A4F5-5DBDAA2598A7}">
  <dimension ref="A1:K84"/>
  <sheetViews>
    <sheetView tabSelected="1" topLeftCell="B1" workbookViewId="0">
      <selection activeCell="G7" sqref="G7"/>
    </sheetView>
  </sheetViews>
  <sheetFormatPr defaultColWidth="38.5703125" defaultRowHeight="15" x14ac:dyDescent="0.25"/>
  <cols>
    <col min="1" max="1" width="39.7109375" bestFit="1" customWidth="1"/>
    <col min="2" max="2" width="18.42578125" customWidth="1"/>
    <col min="3" max="4" width="9" bestFit="1" customWidth="1"/>
    <col min="5" max="5" width="22.85546875" bestFit="1" customWidth="1"/>
    <col min="6" max="6" width="11" bestFit="1" customWidth="1"/>
    <col min="7" max="7" width="23.140625" bestFit="1" customWidth="1"/>
    <col min="8" max="8" width="23.85546875" bestFit="1" customWidth="1"/>
    <col min="9" max="10" width="12.7109375" customWidth="1"/>
  </cols>
  <sheetData>
    <row r="1" spans="1:11" x14ac:dyDescent="0.25">
      <c r="A1" s="1" t="s">
        <v>0</v>
      </c>
      <c r="B1" s="1" t="s">
        <v>164</v>
      </c>
      <c r="C1" s="2" t="s">
        <v>1</v>
      </c>
      <c r="D1" s="2" t="s">
        <v>2</v>
      </c>
      <c r="E1" s="3" t="s">
        <v>3</v>
      </c>
      <c r="F1" s="4" t="s">
        <v>4</v>
      </c>
      <c r="G1" s="1" t="s">
        <v>5</v>
      </c>
      <c r="H1" s="1" t="s">
        <v>6</v>
      </c>
      <c r="I1" s="16" t="s">
        <v>182</v>
      </c>
      <c r="J1" s="18"/>
    </row>
    <row r="2" spans="1:11" x14ac:dyDescent="0.25">
      <c r="A2" s="5" t="s">
        <v>7</v>
      </c>
      <c r="B2" s="5" t="str">
        <f>VLOOKUP(A2,Sheet2!B:C,2,0)</f>
        <v>040000201724</v>
      </c>
      <c r="C2" s="6">
        <v>71983</v>
      </c>
      <c r="D2" s="6">
        <v>84000</v>
      </c>
      <c r="E2" s="6">
        <v>6119</v>
      </c>
      <c r="F2" s="7">
        <f>E2/C2%</f>
        <v>8.5006182015198029</v>
      </c>
      <c r="G2" s="8" t="s">
        <v>8</v>
      </c>
      <c r="H2" s="15" t="s">
        <v>9</v>
      </c>
      <c r="I2" s="17" t="s">
        <v>183</v>
      </c>
      <c r="J2" s="19" t="str">
        <f>"Update ins_assorted_clients iac set iac.agency_code = '"&amp;I2&amp;"' where iac.assorted_code = '"&amp;B2&amp;"' and iac.agency_code = '09000183';"</f>
        <v>Update ins_assorted_clients iac set iac.agency_code = '09000908' where iac.assorted_code = '040000201724' and iac.agency_code = '09000183';</v>
      </c>
      <c r="K2" t="str">
        <f>"Update ins_assorted ia set ia.agency_code = '"&amp;I2&amp;"' where ia.assorted_code = '"&amp;B2&amp;"';"</f>
        <v>Update ins_assorted ia set ia.agency_code = '09000908' where ia.assorted_code = '040000201724';</v>
      </c>
    </row>
    <row r="3" spans="1:11" x14ac:dyDescent="0.25">
      <c r="A3" s="5" t="s">
        <v>10</v>
      </c>
      <c r="B3" s="5" t="str">
        <f>VLOOKUP(A3,Sheet2!B:C,2,0)</f>
        <v>040000201734</v>
      </c>
      <c r="C3" s="6">
        <v>79526</v>
      </c>
      <c r="D3" s="6">
        <v>92750</v>
      </c>
      <c r="E3" s="6">
        <v>6760</v>
      </c>
      <c r="F3" s="7">
        <f t="shared" ref="F3:F66" si="0">E3/C3%</f>
        <v>8.5003646606141388</v>
      </c>
      <c r="G3" s="8" t="s">
        <v>8</v>
      </c>
      <c r="H3" s="15" t="s">
        <v>9</v>
      </c>
      <c r="I3" s="17" t="s">
        <v>183</v>
      </c>
      <c r="J3" s="19" t="str">
        <f t="shared" ref="J3:J66" si="1">"Update ins_assorted_clients iac set iac.agency_code = '"&amp;I3&amp;"' where iac.assorted_code = '"&amp;B3&amp;"' and iac.agency_code = '09000183';"</f>
        <v>Update ins_assorted_clients iac set iac.agency_code = '09000908' where iac.assorted_code = '040000201734' and iac.agency_code = '09000183';</v>
      </c>
      <c r="K3" t="str">
        <f t="shared" ref="K3:K66" si="2">"Update ins_assorted ia set ia.agency_code = '"&amp;I3&amp;"' where ia.assorted_code = '"&amp;B3&amp;"';"</f>
        <v>Update ins_assorted ia set ia.agency_code = '09000908' where ia.assorted_code = '040000201734';</v>
      </c>
    </row>
    <row r="4" spans="1:11" x14ac:dyDescent="0.25">
      <c r="A4" s="5" t="s">
        <v>11</v>
      </c>
      <c r="B4" s="5" t="str">
        <f>VLOOKUP(A4,Sheet2!B:C,2,0)</f>
        <v>040000201809</v>
      </c>
      <c r="C4" s="6">
        <v>64224</v>
      </c>
      <c r="D4" s="6">
        <v>75000</v>
      </c>
      <c r="E4" s="6">
        <v>5459</v>
      </c>
      <c r="F4" s="7">
        <f t="shared" si="0"/>
        <v>8.499937717987045</v>
      </c>
      <c r="G4" s="8" t="s">
        <v>8</v>
      </c>
      <c r="H4" s="15" t="s">
        <v>9</v>
      </c>
      <c r="I4" s="17" t="s">
        <v>183</v>
      </c>
      <c r="J4" s="19" t="str">
        <f t="shared" si="1"/>
        <v>Update ins_assorted_clients iac set iac.agency_code = '09000908' where iac.assorted_code = '040000201809' and iac.agency_code = '09000183';</v>
      </c>
      <c r="K4" t="str">
        <f t="shared" si="2"/>
        <v>Update ins_assorted ia set ia.agency_code = '09000908' where ia.assorted_code = '040000201809';</v>
      </c>
    </row>
    <row r="5" spans="1:11" x14ac:dyDescent="0.25">
      <c r="A5" s="5" t="s">
        <v>12</v>
      </c>
      <c r="B5" s="5" t="str">
        <f>VLOOKUP(A5,Sheet2!B:C,2,0)</f>
        <v>040000201815</v>
      </c>
      <c r="C5" s="6">
        <v>99569</v>
      </c>
      <c r="D5" s="6">
        <v>116000</v>
      </c>
      <c r="E5" s="6">
        <v>8463</v>
      </c>
      <c r="F5" s="7">
        <f t="shared" si="0"/>
        <v>8.4996334200403734</v>
      </c>
      <c r="G5" s="8" t="s">
        <v>8</v>
      </c>
      <c r="H5" s="15" t="s">
        <v>9</v>
      </c>
      <c r="I5" s="17" t="s">
        <v>183</v>
      </c>
      <c r="J5" s="19" t="str">
        <f t="shared" si="1"/>
        <v>Update ins_assorted_clients iac set iac.agency_code = '09000908' where iac.assorted_code = '040000201815' and iac.agency_code = '09000183';</v>
      </c>
      <c r="K5" t="str">
        <f t="shared" si="2"/>
        <v>Update ins_assorted ia set ia.agency_code = '09000908' where ia.assorted_code = '040000201815';</v>
      </c>
    </row>
    <row r="6" spans="1:11" x14ac:dyDescent="0.25">
      <c r="A6" s="5" t="s">
        <v>13</v>
      </c>
      <c r="B6" s="5" t="str">
        <f>VLOOKUP(A6,Sheet2!B:C,2,0)</f>
        <v>040000201817</v>
      </c>
      <c r="C6" s="6">
        <v>44428</v>
      </c>
      <c r="D6" s="6">
        <v>52000</v>
      </c>
      <c r="E6" s="6">
        <v>3776</v>
      </c>
      <c r="F6" s="7">
        <f t="shared" si="0"/>
        <v>8.4991446835329079</v>
      </c>
      <c r="G6" s="8" t="s">
        <v>8</v>
      </c>
      <c r="H6" s="15" t="s">
        <v>9</v>
      </c>
      <c r="I6" s="17" t="s">
        <v>183</v>
      </c>
      <c r="J6" s="19" t="str">
        <f t="shared" si="1"/>
        <v>Update ins_assorted_clients iac set iac.agency_code = '09000908' where iac.assorted_code = '040000201817' and iac.agency_code = '09000183';</v>
      </c>
      <c r="K6" t="str">
        <f t="shared" si="2"/>
        <v>Update ins_assorted ia set ia.agency_code = '09000908' where ia.assorted_code = '040000201817';</v>
      </c>
    </row>
    <row r="7" spans="1:11" x14ac:dyDescent="0.25">
      <c r="A7" s="5" t="s">
        <v>14</v>
      </c>
      <c r="B7" s="5" t="str">
        <f>VLOOKUP(A7,Sheet2!B:C,2,0)</f>
        <v>040000201876</v>
      </c>
      <c r="C7" s="6">
        <v>59914</v>
      </c>
      <c r="D7" s="6">
        <v>70000</v>
      </c>
      <c r="E7" s="6">
        <v>5093</v>
      </c>
      <c r="F7" s="7">
        <f t="shared" si="0"/>
        <v>8.5005174082852086</v>
      </c>
      <c r="G7" s="8" t="s">
        <v>8</v>
      </c>
      <c r="H7" s="15" t="s">
        <v>9</v>
      </c>
      <c r="I7" s="17" t="s">
        <v>183</v>
      </c>
      <c r="J7" s="19" t="str">
        <f t="shared" si="1"/>
        <v>Update ins_assorted_clients iac set iac.agency_code = '09000908' where iac.assorted_code = '040000201876' and iac.agency_code = '09000183';</v>
      </c>
      <c r="K7" t="str">
        <f t="shared" si="2"/>
        <v>Update ins_assorted ia set ia.agency_code = '09000908' where ia.assorted_code = '040000201876';</v>
      </c>
    </row>
    <row r="8" spans="1:11" x14ac:dyDescent="0.25">
      <c r="A8" s="5" t="s">
        <v>15</v>
      </c>
      <c r="B8" s="5" t="str">
        <f>VLOOKUP(A8,Sheet2!B:C,2,0)</f>
        <v>040000202040</v>
      </c>
      <c r="C8" s="6">
        <v>198802</v>
      </c>
      <c r="D8" s="6">
        <v>230610</v>
      </c>
      <c r="E8" s="6">
        <v>16861</v>
      </c>
      <c r="F8" s="7">
        <f t="shared" si="0"/>
        <v>8.4813030049999494</v>
      </c>
      <c r="G8" s="8" t="s">
        <v>8</v>
      </c>
      <c r="H8" s="15" t="s">
        <v>9</v>
      </c>
      <c r="I8" s="17" t="s">
        <v>183</v>
      </c>
      <c r="J8" s="19" t="str">
        <f t="shared" si="1"/>
        <v>Update ins_assorted_clients iac set iac.agency_code = '09000908' where iac.assorted_code = '040000202040' and iac.agency_code = '09000183';</v>
      </c>
      <c r="K8" t="str">
        <f t="shared" si="2"/>
        <v>Update ins_assorted ia set ia.agency_code = '09000908' where ia.assorted_code = '040000202040';</v>
      </c>
    </row>
    <row r="9" spans="1:11" x14ac:dyDescent="0.25">
      <c r="A9" s="5" t="s">
        <v>16</v>
      </c>
      <c r="B9" s="5" t="str">
        <f>VLOOKUP(A9,Sheet2!B:C,2,0)</f>
        <v>040000201988</v>
      </c>
      <c r="C9" s="6">
        <v>37496</v>
      </c>
      <c r="D9" s="6">
        <v>43995</v>
      </c>
      <c r="E9" s="6">
        <v>3187</v>
      </c>
      <c r="F9" s="7">
        <f t="shared" si="0"/>
        <v>8.499573287817368</v>
      </c>
      <c r="G9" s="8" t="s">
        <v>8</v>
      </c>
      <c r="H9" s="15" t="s">
        <v>9</v>
      </c>
      <c r="I9" s="17" t="s">
        <v>183</v>
      </c>
      <c r="J9" s="19" t="str">
        <f t="shared" si="1"/>
        <v>Update ins_assorted_clients iac set iac.agency_code = '09000908' where iac.assorted_code = '040000201988' and iac.agency_code = '09000183';</v>
      </c>
      <c r="K9" t="str">
        <f t="shared" si="2"/>
        <v>Update ins_assorted ia set ia.agency_code = '09000908' where ia.assorted_code = '040000201988';</v>
      </c>
    </row>
    <row r="10" spans="1:11" x14ac:dyDescent="0.25">
      <c r="A10" s="5" t="s">
        <v>17</v>
      </c>
      <c r="B10" s="5" t="str">
        <f>VLOOKUP(A10,Sheet2!B:C,2,0)</f>
        <v>040000201944</v>
      </c>
      <c r="C10" s="6">
        <v>74342</v>
      </c>
      <c r="D10" s="6">
        <v>87000</v>
      </c>
      <c r="E10" s="6">
        <v>6310</v>
      </c>
      <c r="F10" s="7">
        <f t="shared" si="0"/>
        <v>8.4877996287428381</v>
      </c>
      <c r="G10" s="8" t="s">
        <v>8</v>
      </c>
      <c r="H10" s="15" t="s">
        <v>9</v>
      </c>
      <c r="I10" s="17" t="s">
        <v>183</v>
      </c>
      <c r="J10" s="19" t="str">
        <f t="shared" si="1"/>
        <v>Update ins_assorted_clients iac set iac.agency_code = '09000908' where iac.assorted_code = '040000201944' and iac.agency_code = '09000183';</v>
      </c>
      <c r="K10" t="str">
        <f t="shared" si="2"/>
        <v>Update ins_assorted ia set ia.agency_code = '09000908' where ia.assorted_code = '040000201944';</v>
      </c>
    </row>
    <row r="11" spans="1:11" x14ac:dyDescent="0.25">
      <c r="A11" s="5" t="s">
        <v>18</v>
      </c>
      <c r="B11" s="5" t="str">
        <f>VLOOKUP(A11,Sheet2!B:C,2,0)</f>
        <v>040000201952</v>
      </c>
      <c r="C11" s="6">
        <v>16810</v>
      </c>
      <c r="D11" s="6">
        <v>20000</v>
      </c>
      <c r="E11" s="6">
        <v>1429</v>
      </c>
      <c r="F11" s="7">
        <f t="shared" si="0"/>
        <v>8.5008923259964302</v>
      </c>
      <c r="G11" s="8" t="s">
        <v>8</v>
      </c>
      <c r="H11" s="15" t="s">
        <v>9</v>
      </c>
      <c r="I11" s="17" t="s">
        <v>183</v>
      </c>
      <c r="J11" s="19" t="str">
        <f t="shared" si="1"/>
        <v>Update ins_assorted_clients iac set iac.agency_code = '09000908' where iac.assorted_code = '040000201952' and iac.agency_code = '09000183';</v>
      </c>
      <c r="K11" t="str">
        <f t="shared" si="2"/>
        <v>Update ins_assorted ia set ia.agency_code = '09000908' where ia.assorted_code = '040000201952';</v>
      </c>
    </row>
    <row r="12" spans="1:11" x14ac:dyDescent="0.25">
      <c r="A12" s="5" t="s">
        <v>19</v>
      </c>
      <c r="B12" s="5" t="str">
        <f>VLOOKUP(A12,Sheet2!B:C,2,0)</f>
        <v>040000201991</v>
      </c>
      <c r="C12" s="6">
        <v>105172</v>
      </c>
      <c r="D12" s="6">
        <v>122500</v>
      </c>
      <c r="E12" s="6">
        <v>8940</v>
      </c>
      <c r="F12" s="7">
        <f t="shared" si="0"/>
        <v>8.5003613128969686</v>
      </c>
      <c r="G12" s="8" t="s">
        <v>8</v>
      </c>
      <c r="H12" s="15" t="s">
        <v>9</v>
      </c>
      <c r="I12" s="17" t="s">
        <v>183</v>
      </c>
      <c r="J12" s="19" t="str">
        <f t="shared" si="1"/>
        <v>Update ins_assorted_clients iac set iac.agency_code = '09000908' where iac.assorted_code = '040000201991' and iac.agency_code = '09000183';</v>
      </c>
      <c r="K12" t="str">
        <f t="shared" si="2"/>
        <v>Update ins_assorted ia set ia.agency_code = '09000908' where ia.assorted_code = '040000201991';</v>
      </c>
    </row>
    <row r="13" spans="1:11" x14ac:dyDescent="0.25">
      <c r="A13" s="5" t="s">
        <v>20</v>
      </c>
      <c r="B13" s="5" t="str">
        <f>VLOOKUP(A13,Sheet2!B:C,2,0)</f>
        <v>040000202157</v>
      </c>
      <c r="C13" s="6">
        <v>57758</v>
      </c>
      <c r="D13" s="6">
        <v>67500</v>
      </c>
      <c r="E13" s="6">
        <v>4909</v>
      </c>
      <c r="F13" s="7">
        <f t="shared" si="0"/>
        <v>8.4992555143876167</v>
      </c>
      <c r="G13" s="8" t="s">
        <v>8</v>
      </c>
      <c r="H13" s="15" t="s">
        <v>9</v>
      </c>
      <c r="I13" s="17" t="s">
        <v>183</v>
      </c>
      <c r="J13" s="19" t="str">
        <f t="shared" si="1"/>
        <v>Update ins_assorted_clients iac set iac.agency_code = '09000908' where iac.assorted_code = '040000202157' and iac.agency_code = '09000183';</v>
      </c>
      <c r="K13" t="str">
        <f t="shared" si="2"/>
        <v>Update ins_assorted ia set ia.agency_code = '09000908' where ia.assorted_code = '040000202157';</v>
      </c>
    </row>
    <row r="14" spans="1:11" x14ac:dyDescent="0.25">
      <c r="A14" s="5" t="s">
        <v>21</v>
      </c>
      <c r="B14" s="5" t="str">
        <f>VLOOKUP(A14,Sheet2!B:C,2,0)</f>
        <v>040000202204</v>
      </c>
      <c r="C14" s="6">
        <v>102155</v>
      </c>
      <c r="D14" s="6">
        <v>119000</v>
      </c>
      <c r="E14" s="6">
        <v>8683</v>
      </c>
      <c r="F14" s="7">
        <f t="shared" si="0"/>
        <v>8.4998286916939954</v>
      </c>
      <c r="G14" s="8" t="s">
        <v>8</v>
      </c>
      <c r="H14" s="15" t="s">
        <v>9</v>
      </c>
      <c r="I14" s="17" t="s">
        <v>183</v>
      </c>
      <c r="J14" s="19" t="str">
        <f t="shared" si="1"/>
        <v>Update ins_assorted_clients iac set iac.agency_code = '09000908' where iac.assorted_code = '040000202204' and iac.agency_code = '09000183';</v>
      </c>
      <c r="K14" t="str">
        <f t="shared" si="2"/>
        <v>Update ins_assorted ia set ia.agency_code = '09000908' where ia.assorted_code = '040000202204';</v>
      </c>
    </row>
    <row r="15" spans="1:11" x14ac:dyDescent="0.25">
      <c r="A15" s="5" t="s">
        <v>22</v>
      </c>
      <c r="B15" s="5" t="str">
        <f>VLOOKUP(A15,Sheet2!B:C,2,0)</f>
        <v>040000202303</v>
      </c>
      <c r="C15" s="9">
        <v>37650</v>
      </c>
      <c r="D15" s="9">
        <v>44175</v>
      </c>
      <c r="E15" s="6">
        <v>3200</v>
      </c>
      <c r="F15" s="7">
        <f t="shared" si="0"/>
        <v>8.4993359893758296</v>
      </c>
      <c r="G15" s="8" t="s">
        <v>8</v>
      </c>
      <c r="H15" s="15" t="s">
        <v>9</v>
      </c>
      <c r="I15" s="17" t="s">
        <v>183</v>
      </c>
      <c r="J15" s="19" t="str">
        <f t="shared" si="1"/>
        <v>Update ins_assorted_clients iac set iac.agency_code = '09000908' where iac.assorted_code = '040000202303' and iac.agency_code = '09000183';</v>
      </c>
      <c r="K15" t="str">
        <f t="shared" si="2"/>
        <v>Update ins_assorted ia set ia.agency_code = '09000908' where ia.assorted_code = '040000202303';</v>
      </c>
    </row>
    <row r="16" spans="1:11" x14ac:dyDescent="0.25">
      <c r="A16" s="5" t="s">
        <v>23</v>
      </c>
      <c r="B16" s="5" t="str">
        <f>VLOOKUP(A16,Sheet2!B:C,2,0)</f>
        <v>040000202309</v>
      </c>
      <c r="C16" s="6">
        <v>116709</v>
      </c>
      <c r="D16" s="6">
        <v>135882</v>
      </c>
      <c r="E16" s="6">
        <v>9920</v>
      </c>
      <c r="F16" s="7">
        <f t="shared" si="0"/>
        <v>8.4997729395333703</v>
      </c>
      <c r="G16" s="8" t="s">
        <v>8</v>
      </c>
      <c r="H16" s="15" t="s">
        <v>9</v>
      </c>
      <c r="I16" s="17" t="s">
        <v>183</v>
      </c>
      <c r="J16" s="19" t="str">
        <f t="shared" si="1"/>
        <v>Update ins_assorted_clients iac set iac.agency_code = '09000908' where iac.assorted_code = '040000202309' and iac.agency_code = '09000183';</v>
      </c>
      <c r="K16" t="str">
        <f t="shared" si="2"/>
        <v>Update ins_assorted ia set ia.agency_code = '09000908' where ia.assorted_code = '040000202309';</v>
      </c>
    </row>
    <row r="17" spans="1:11" x14ac:dyDescent="0.25">
      <c r="A17" s="5" t="s">
        <v>24</v>
      </c>
      <c r="B17" s="5" t="str">
        <f>VLOOKUP(A17,Sheet2!B:C,2,0)</f>
        <v>040000202352</v>
      </c>
      <c r="C17" s="6">
        <v>45022</v>
      </c>
      <c r="D17" s="6">
        <v>52725</v>
      </c>
      <c r="E17" s="6">
        <v>3827</v>
      </c>
      <c r="F17" s="7">
        <f t="shared" si="0"/>
        <v>8.5002887477233351</v>
      </c>
      <c r="G17" s="8" t="s">
        <v>8</v>
      </c>
      <c r="H17" s="15" t="s">
        <v>9</v>
      </c>
      <c r="I17" s="17" t="s">
        <v>183</v>
      </c>
      <c r="J17" s="19" t="str">
        <f t="shared" si="1"/>
        <v>Update ins_assorted_clients iac set iac.agency_code = '09000908' where iac.assorted_code = '040000202352' and iac.agency_code = '09000183';</v>
      </c>
      <c r="K17" t="str">
        <f t="shared" si="2"/>
        <v>Update ins_assorted ia set ia.agency_code = '09000908' where ia.assorted_code = '040000202352';</v>
      </c>
    </row>
    <row r="18" spans="1:11" x14ac:dyDescent="0.25">
      <c r="A18" s="5" t="s">
        <v>25</v>
      </c>
      <c r="B18" s="5" t="str">
        <f>VLOOKUP(A18,Sheet2!B:C,2,0)</f>
        <v>040000202362</v>
      </c>
      <c r="C18" s="6">
        <v>59914</v>
      </c>
      <c r="D18" s="6">
        <v>70000</v>
      </c>
      <c r="E18" s="6">
        <v>5093</v>
      </c>
      <c r="F18" s="7">
        <f t="shared" si="0"/>
        <v>8.5005174082852086</v>
      </c>
      <c r="G18" s="8" t="s">
        <v>8</v>
      </c>
      <c r="H18" s="15" t="s">
        <v>9</v>
      </c>
      <c r="I18" s="17" t="s">
        <v>183</v>
      </c>
      <c r="J18" s="19" t="str">
        <f t="shared" si="1"/>
        <v>Update ins_assorted_clients iac set iac.agency_code = '09000908' where iac.assorted_code = '040000202362' and iac.agency_code = '09000183';</v>
      </c>
      <c r="K18" t="str">
        <f t="shared" si="2"/>
        <v>Update ins_assorted ia set ia.agency_code = '09000908' where ia.assorted_code = '040000202362';</v>
      </c>
    </row>
    <row r="19" spans="1:11" x14ac:dyDescent="0.25">
      <c r="A19" s="5" t="s">
        <v>26</v>
      </c>
      <c r="B19" s="5" t="str">
        <f>VLOOKUP(A19,Sheet2!B:C,2,0)</f>
        <v>040000202386</v>
      </c>
      <c r="C19" s="6">
        <v>74342</v>
      </c>
      <c r="D19" s="6">
        <v>87000</v>
      </c>
      <c r="E19" s="6">
        <v>6319</v>
      </c>
      <c r="F19" s="7">
        <f t="shared" si="0"/>
        <v>8.4999058405746428</v>
      </c>
      <c r="G19" s="8" t="s">
        <v>8</v>
      </c>
      <c r="H19" s="15" t="s">
        <v>9</v>
      </c>
      <c r="I19" s="17" t="s">
        <v>183</v>
      </c>
      <c r="J19" s="19" t="str">
        <f t="shared" si="1"/>
        <v>Update ins_assorted_clients iac set iac.agency_code = '09000908' where iac.assorted_code = '040000202386' and iac.agency_code = '09000183';</v>
      </c>
      <c r="K19" t="str">
        <f t="shared" si="2"/>
        <v>Update ins_assorted ia set ia.agency_code = '09000908' where ia.assorted_code = '040000202386';</v>
      </c>
    </row>
    <row r="20" spans="1:11" x14ac:dyDescent="0.25">
      <c r="A20" s="5" t="s">
        <v>27</v>
      </c>
      <c r="B20" s="5" t="str">
        <f>VLOOKUP(A20,Sheet2!B:C,2,0)</f>
        <v>040000202398</v>
      </c>
      <c r="C20" s="6">
        <v>117377</v>
      </c>
      <c r="D20" s="6">
        <v>137351</v>
      </c>
      <c r="E20" s="6">
        <v>9977</v>
      </c>
      <c r="F20" s="7">
        <f t="shared" si="0"/>
        <v>8.4999616619951102</v>
      </c>
      <c r="G20" s="8" t="s">
        <v>8</v>
      </c>
      <c r="H20" s="15" t="s">
        <v>9</v>
      </c>
      <c r="I20" s="17" t="s">
        <v>183</v>
      </c>
      <c r="J20" s="19" t="str">
        <f t="shared" si="1"/>
        <v>Update ins_assorted_clients iac set iac.agency_code = '09000908' where iac.assorted_code = '040000202398' and iac.agency_code = '09000183';</v>
      </c>
      <c r="K20" t="str">
        <f t="shared" si="2"/>
        <v>Update ins_assorted ia set ia.agency_code = '09000908' where ia.assorted_code = '040000202398';</v>
      </c>
    </row>
    <row r="21" spans="1:11" x14ac:dyDescent="0.25">
      <c r="A21" s="5" t="s">
        <v>28</v>
      </c>
      <c r="B21" s="5" t="str">
        <f>VLOOKUP(A21,Sheet2!B:C,2,0)</f>
        <v>040000202428</v>
      </c>
      <c r="C21" s="6">
        <v>40017</v>
      </c>
      <c r="D21" s="6">
        <v>46920</v>
      </c>
      <c r="E21" s="6">
        <v>3401</v>
      </c>
      <c r="F21" s="7">
        <f t="shared" si="0"/>
        <v>8.4988879726116391</v>
      </c>
      <c r="G21" s="8" t="s">
        <v>8</v>
      </c>
      <c r="H21" s="15" t="s">
        <v>9</v>
      </c>
      <c r="I21" s="17" t="s">
        <v>183</v>
      </c>
      <c r="J21" s="19" t="str">
        <f t="shared" si="1"/>
        <v>Update ins_assorted_clients iac set iac.agency_code = '09000908' where iac.assorted_code = '040000202428' and iac.agency_code = '09000183';</v>
      </c>
      <c r="K21" t="str">
        <f t="shared" si="2"/>
        <v>Update ins_assorted ia set ia.agency_code = '09000908' where ia.assorted_code = '040000202428';</v>
      </c>
    </row>
    <row r="22" spans="1:11" x14ac:dyDescent="0.25">
      <c r="A22" s="5" t="s">
        <v>29</v>
      </c>
      <c r="B22" s="5" t="str">
        <f>VLOOKUP(A22,Sheet2!B:C,2,0)</f>
        <v>040000202441</v>
      </c>
      <c r="C22" s="6">
        <v>50258</v>
      </c>
      <c r="D22" s="6">
        <v>58800</v>
      </c>
      <c r="E22" s="6">
        <v>4272</v>
      </c>
      <c r="F22" s="7">
        <f t="shared" si="0"/>
        <v>8.5001392813084493</v>
      </c>
      <c r="G22" s="8" t="s">
        <v>8</v>
      </c>
      <c r="H22" s="15" t="s">
        <v>9</v>
      </c>
      <c r="I22" s="17" t="s">
        <v>183</v>
      </c>
      <c r="J22" s="19" t="str">
        <f t="shared" si="1"/>
        <v>Update ins_assorted_clients iac set iac.agency_code = '09000908' where iac.assorted_code = '040000202441' and iac.agency_code = '09000183';</v>
      </c>
      <c r="K22" t="str">
        <f t="shared" si="2"/>
        <v>Update ins_assorted ia set ia.agency_code = '09000908' where ia.assorted_code = '040000202441';</v>
      </c>
    </row>
    <row r="23" spans="1:11" x14ac:dyDescent="0.25">
      <c r="A23" s="5" t="s">
        <v>30</v>
      </c>
      <c r="B23" s="5" t="str">
        <f>VLOOKUP(A23,Sheet2!B:C,2,0)</f>
        <v>040000202493</v>
      </c>
      <c r="C23" s="6">
        <v>70690</v>
      </c>
      <c r="D23" s="6">
        <v>82500</v>
      </c>
      <c r="E23" s="6">
        <v>6009</v>
      </c>
      <c r="F23" s="7">
        <f t="shared" si="0"/>
        <v>8.5004951195360032</v>
      </c>
      <c r="G23" s="8" t="s">
        <v>8</v>
      </c>
      <c r="H23" s="15" t="s">
        <v>9</v>
      </c>
      <c r="I23" s="17" t="s">
        <v>183</v>
      </c>
      <c r="J23" s="19" t="str">
        <f t="shared" si="1"/>
        <v>Update ins_assorted_clients iac set iac.agency_code = '09000908' where iac.assorted_code = '040000202493' and iac.agency_code = '09000183';</v>
      </c>
      <c r="K23" t="str">
        <f t="shared" si="2"/>
        <v>Update ins_assorted ia set ia.agency_code = '09000908' where ia.assorted_code = '040000202493';</v>
      </c>
    </row>
    <row r="24" spans="1:11" x14ac:dyDescent="0.25">
      <c r="A24" s="5" t="s">
        <v>31</v>
      </c>
      <c r="B24" s="5" t="str">
        <f>VLOOKUP(A24,Sheet2!B:C,2,0)</f>
        <v>040000202504</v>
      </c>
      <c r="C24" s="6">
        <v>81465</v>
      </c>
      <c r="D24" s="6">
        <v>95000</v>
      </c>
      <c r="E24" s="6">
        <v>6925</v>
      </c>
      <c r="F24" s="7">
        <f t="shared" si="0"/>
        <v>8.5005830724851172</v>
      </c>
      <c r="G24" s="8" t="s">
        <v>8</v>
      </c>
      <c r="H24" s="15" t="s">
        <v>9</v>
      </c>
      <c r="I24" s="17" t="s">
        <v>183</v>
      </c>
      <c r="J24" s="19" t="str">
        <f t="shared" si="1"/>
        <v>Update ins_assorted_clients iac set iac.agency_code = '09000908' where iac.assorted_code = '040000202504' and iac.agency_code = '09000183';</v>
      </c>
      <c r="K24" t="str">
        <f t="shared" si="2"/>
        <v>Update ins_assorted ia set ia.agency_code = '09000908' where ia.assorted_code = '040000202504';</v>
      </c>
    </row>
    <row r="25" spans="1:11" x14ac:dyDescent="0.25">
      <c r="A25" s="5" t="s">
        <v>32</v>
      </c>
      <c r="B25" s="5" t="str">
        <f>VLOOKUP(A25,Sheet2!B:C,2,0)</f>
        <v>040000201730</v>
      </c>
      <c r="C25" s="10">
        <v>339009</v>
      </c>
      <c r="D25" s="10">
        <v>393750</v>
      </c>
      <c r="E25" s="10">
        <v>28816</v>
      </c>
      <c r="F25" s="7">
        <f t="shared" si="0"/>
        <v>8.5000693196935764</v>
      </c>
      <c r="G25" s="8" t="s">
        <v>8</v>
      </c>
      <c r="H25" s="15" t="s">
        <v>33</v>
      </c>
      <c r="I25" s="17" t="s">
        <v>184</v>
      </c>
      <c r="J25" s="19" t="str">
        <f t="shared" si="1"/>
        <v>Update ins_assorted_clients iac set iac.agency_code = '09000911' where iac.assorted_code = '040000201730' and iac.agency_code = '09000183';</v>
      </c>
      <c r="K25" t="str">
        <f t="shared" si="2"/>
        <v>Update ins_assorted ia set ia.agency_code = '09000911' where ia.assorted_code = '040000201730';</v>
      </c>
    </row>
    <row r="26" spans="1:11" x14ac:dyDescent="0.25">
      <c r="A26" s="5" t="s">
        <v>166</v>
      </c>
      <c r="B26" s="5" t="str">
        <f>VLOOKUP(A26,Sheet2!B:C,2,0)</f>
        <v>040000201729</v>
      </c>
      <c r="C26" s="10">
        <v>34051</v>
      </c>
      <c r="D26" s="10">
        <v>40000</v>
      </c>
      <c r="E26" s="10">
        <v>2894</v>
      </c>
      <c r="F26" s="7">
        <f t="shared" si="0"/>
        <v>8.4990161816099388</v>
      </c>
      <c r="G26" s="8" t="s">
        <v>8</v>
      </c>
      <c r="H26" s="15" t="s">
        <v>33</v>
      </c>
      <c r="I26" s="17" t="s">
        <v>184</v>
      </c>
      <c r="J26" s="19" t="str">
        <f t="shared" si="1"/>
        <v>Update ins_assorted_clients iac set iac.agency_code = '09000911' where iac.assorted_code = '040000201729' and iac.agency_code = '09000183';</v>
      </c>
      <c r="K26" t="str">
        <f t="shared" si="2"/>
        <v>Update ins_assorted ia set ia.agency_code = '09000911' where ia.assorted_code = '040000201729';</v>
      </c>
    </row>
    <row r="27" spans="1:11" x14ac:dyDescent="0.25">
      <c r="A27" s="5" t="s">
        <v>170</v>
      </c>
      <c r="B27" s="5" t="str">
        <f>VLOOKUP(A27,Sheet2!B:C,2,0)</f>
        <v>040000201731</v>
      </c>
      <c r="C27" s="10">
        <v>48707</v>
      </c>
      <c r="D27" s="10">
        <v>57000</v>
      </c>
      <c r="E27" s="10">
        <v>4140</v>
      </c>
      <c r="F27" s="7">
        <f t="shared" si="0"/>
        <v>8.4998049561664644</v>
      </c>
      <c r="G27" s="8" t="s">
        <v>8</v>
      </c>
      <c r="H27" s="15" t="s">
        <v>33</v>
      </c>
      <c r="I27" s="17" t="s">
        <v>184</v>
      </c>
      <c r="J27" s="19" t="str">
        <f t="shared" si="1"/>
        <v>Update ins_assorted_clients iac set iac.agency_code = '09000911' where iac.assorted_code = '040000201731' and iac.agency_code = '09000183';</v>
      </c>
      <c r="K27" t="str">
        <f t="shared" si="2"/>
        <v>Update ins_assorted ia set ia.agency_code = '09000911' where ia.assorted_code = '040000201731';</v>
      </c>
    </row>
    <row r="28" spans="1:11" x14ac:dyDescent="0.25">
      <c r="A28" s="5" t="s">
        <v>169</v>
      </c>
      <c r="B28" s="5" t="str">
        <f>VLOOKUP(A28,Sheet2!B:C,2,0)</f>
        <v>040000201725</v>
      </c>
      <c r="C28" s="10">
        <v>49353</v>
      </c>
      <c r="D28" s="10">
        <v>57750</v>
      </c>
      <c r="E28" s="10">
        <v>4195</v>
      </c>
      <c r="F28" s="7">
        <f t="shared" si="0"/>
        <v>8.4999898689036133</v>
      </c>
      <c r="G28" s="8" t="s">
        <v>8</v>
      </c>
      <c r="H28" s="15" t="s">
        <v>33</v>
      </c>
      <c r="I28" s="17" t="s">
        <v>184</v>
      </c>
      <c r="J28" s="19" t="str">
        <f t="shared" si="1"/>
        <v>Update ins_assorted_clients iac set iac.agency_code = '09000911' where iac.assorted_code = '040000201725' and iac.agency_code = '09000183';</v>
      </c>
      <c r="K28" t="str">
        <f t="shared" si="2"/>
        <v>Update ins_assorted ia set ia.agency_code = '09000911' where ia.assorted_code = '040000201725';</v>
      </c>
    </row>
    <row r="29" spans="1:11" x14ac:dyDescent="0.25">
      <c r="A29" s="5" t="s">
        <v>34</v>
      </c>
      <c r="B29" s="5" t="str">
        <f>VLOOKUP(A29,Sheet2!B:C,2,0)</f>
        <v>040000201803</v>
      </c>
      <c r="C29" s="10">
        <v>128212</v>
      </c>
      <c r="D29" s="10">
        <v>149226</v>
      </c>
      <c r="E29" s="10">
        <v>10898</v>
      </c>
      <c r="F29" s="7">
        <f t="shared" si="0"/>
        <v>8.4999844008361158</v>
      </c>
      <c r="G29" s="8" t="s">
        <v>8</v>
      </c>
      <c r="H29" s="15" t="s">
        <v>33</v>
      </c>
      <c r="I29" s="17" t="s">
        <v>184</v>
      </c>
      <c r="J29" s="19" t="str">
        <f t="shared" si="1"/>
        <v>Update ins_assorted_clients iac set iac.agency_code = '09000911' where iac.assorted_code = '040000201803' and iac.agency_code = '09000183';</v>
      </c>
      <c r="K29" t="str">
        <f t="shared" si="2"/>
        <v>Update ins_assorted ia set ia.agency_code = '09000911' where ia.assorted_code = '040000201803';</v>
      </c>
    </row>
    <row r="30" spans="1:11" x14ac:dyDescent="0.25">
      <c r="A30" s="5" t="s">
        <v>165</v>
      </c>
      <c r="B30" s="5" t="str">
        <f>VLOOKUP(A30,Sheet2!B:C,2,0)</f>
        <v>040000201893</v>
      </c>
      <c r="C30" s="10">
        <v>127586</v>
      </c>
      <c r="D30" s="10">
        <v>148500</v>
      </c>
      <c r="E30" s="10">
        <v>6379</v>
      </c>
      <c r="F30" s="7">
        <f t="shared" si="0"/>
        <v>4.9997648644835646</v>
      </c>
      <c r="G30" s="8" t="s">
        <v>8</v>
      </c>
      <c r="H30" s="15" t="s">
        <v>33</v>
      </c>
      <c r="I30" s="17" t="s">
        <v>184</v>
      </c>
      <c r="J30" s="19" t="str">
        <f t="shared" si="1"/>
        <v>Update ins_assorted_clients iac set iac.agency_code = '09000911' where iac.assorted_code = '040000201893' and iac.agency_code = '09000183';</v>
      </c>
      <c r="K30" t="str">
        <f t="shared" si="2"/>
        <v>Update ins_assorted ia set ia.agency_code = '09000911' where ia.assorted_code = '040000201893';</v>
      </c>
    </row>
    <row r="31" spans="1:11" x14ac:dyDescent="0.25">
      <c r="A31" s="5" t="s">
        <v>35</v>
      </c>
      <c r="B31" s="5" t="str">
        <f>VLOOKUP(A31,Sheet2!B:C,2,0)</f>
        <v>040000201903</v>
      </c>
      <c r="C31" s="10">
        <v>41810</v>
      </c>
      <c r="D31" s="10">
        <v>49000</v>
      </c>
      <c r="E31" s="10">
        <v>3554</v>
      </c>
      <c r="F31" s="7">
        <f t="shared" si="0"/>
        <v>8.5003587658454904</v>
      </c>
      <c r="G31" s="8" t="s">
        <v>8</v>
      </c>
      <c r="H31" s="15" t="s">
        <v>33</v>
      </c>
      <c r="I31" s="17" t="s">
        <v>184</v>
      </c>
      <c r="J31" s="19" t="str">
        <f t="shared" si="1"/>
        <v>Update ins_assorted_clients iac set iac.agency_code = '09000911' where iac.assorted_code = '040000201903' and iac.agency_code = '09000183';</v>
      </c>
      <c r="K31" t="str">
        <f t="shared" si="2"/>
        <v>Update ins_assorted ia set ia.agency_code = '09000911' where ia.assorted_code = '040000201903';</v>
      </c>
    </row>
    <row r="32" spans="1:11" x14ac:dyDescent="0.25">
      <c r="A32" s="5" t="s">
        <v>36</v>
      </c>
      <c r="B32" s="5" t="str">
        <f>VLOOKUP(A32,Sheet2!B:C,2,0)</f>
        <v>040000201928</v>
      </c>
      <c r="C32" s="10">
        <v>51969</v>
      </c>
      <c r="D32" s="10">
        <v>60784</v>
      </c>
      <c r="E32" s="10">
        <v>4417</v>
      </c>
      <c r="F32" s="7">
        <f t="shared" si="0"/>
        <v>8.4992976582193229</v>
      </c>
      <c r="G32" s="8" t="s">
        <v>8</v>
      </c>
      <c r="H32" s="15" t="s">
        <v>33</v>
      </c>
      <c r="I32" s="17" t="s">
        <v>184</v>
      </c>
      <c r="J32" s="19" t="str">
        <f t="shared" si="1"/>
        <v>Update ins_assorted_clients iac set iac.agency_code = '09000911' where iac.assorted_code = '040000201928' and iac.agency_code = '09000183';</v>
      </c>
      <c r="K32" t="str">
        <f t="shared" si="2"/>
        <v>Update ins_assorted ia set ia.agency_code = '09000911' where ia.assorted_code = '040000201928';</v>
      </c>
    </row>
    <row r="33" spans="1:11" x14ac:dyDescent="0.25">
      <c r="A33" s="5" t="s">
        <v>172</v>
      </c>
      <c r="B33" s="5" t="str">
        <f>VLOOKUP(A33,Sheet2!B:C,2,0)</f>
        <v>040000201957</v>
      </c>
      <c r="C33" s="10">
        <v>37995</v>
      </c>
      <c r="D33" s="10">
        <v>44574</v>
      </c>
      <c r="E33" s="10">
        <v>3230</v>
      </c>
      <c r="F33" s="7">
        <f t="shared" si="0"/>
        <v>8.5011185682326627</v>
      </c>
      <c r="G33" s="8" t="s">
        <v>8</v>
      </c>
      <c r="H33" s="15" t="s">
        <v>33</v>
      </c>
      <c r="I33" s="17" t="s">
        <v>184</v>
      </c>
      <c r="J33" s="19" t="str">
        <f t="shared" si="1"/>
        <v>Update ins_assorted_clients iac set iac.agency_code = '09000911' where iac.assorted_code = '040000201957' and iac.agency_code = '09000183';</v>
      </c>
      <c r="K33" t="str">
        <f t="shared" si="2"/>
        <v>Update ins_assorted ia set ia.agency_code = '09000911' where ia.assorted_code = '040000201957';</v>
      </c>
    </row>
    <row r="34" spans="1:11" x14ac:dyDescent="0.25">
      <c r="A34" s="5" t="s">
        <v>168</v>
      </c>
      <c r="B34" s="5" t="str">
        <f>VLOOKUP(A34,Sheet2!B:C,2,0)</f>
        <v>040000202042</v>
      </c>
      <c r="C34" s="10">
        <v>44828</v>
      </c>
      <c r="D34" s="10">
        <v>52500</v>
      </c>
      <c r="E34" s="10">
        <v>3810</v>
      </c>
      <c r="F34" s="7">
        <f t="shared" si="0"/>
        <v>8.4991523155170885</v>
      </c>
      <c r="G34" s="8" t="s">
        <v>8</v>
      </c>
      <c r="H34" s="15" t="s">
        <v>33</v>
      </c>
      <c r="I34" s="17" t="s">
        <v>184</v>
      </c>
      <c r="J34" s="19" t="str">
        <f t="shared" si="1"/>
        <v>Update ins_assorted_clients iac set iac.agency_code = '09000911' where iac.assorted_code = '040000202042' and iac.agency_code = '09000183';</v>
      </c>
      <c r="K34" t="str">
        <f t="shared" si="2"/>
        <v>Update ins_assorted ia set ia.agency_code = '09000911' where ia.assorted_code = '040000202042';</v>
      </c>
    </row>
    <row r="35" spans="1:11" x14ac:dyDescent="0.25">
      <c r="A35" s="5" t="s">
        <v>167</v>
      </c>
      <c r="B35" s="5" t="str">
        <f>VLOOKUP(A35,Sheet2!B:C,2,0)</f>
        <v>040000202056</v>
      </c>
      <c r="C35" s="10">
        <v>38362</v>
      </c>
      <c r="D35" s="10">
        <v>45000</v>
      </c>
      <c r="E35" s="10">
        <v>3261</v>
      </c>
      <c r="F35" s="7">
        <f t="shared" si="0"/>
        <v>8.5005995516396435</v>
      </c>
      <c r="G35" s="8" t="s">
        <v>8</v>
      </c>
      <c r="H35" s="15" t="s">
        <v>33</v>
      </c>
      <c r="I35" s="17" t="s">
        <v>184</v>
      </c>
      <c r="J35" s="19" t="str">
        <f t="shared" si="1"/>
        <v>Update ins_assorted_clients iac set iac.agency_code = '09000911' where iac.assorted_code = '040000202056' and iac.agency_code = '09000183';</v>
      </c>
      <c r="K35" t="str">
        <f t="shared" si="2"/>
        <v>Update ins_assorted ia set ia.agency_code = '09000911' where ia.assorted_code = '040000202056';</v>
      </c>
    </row>
    <row r="36" spans="1:11" x14ac:dyDescent="0.25">
      <c r="A36" s="5" t="s">
        <v>37</v>
      </c>
      <c r="B36" s="5" t="str">
        <f>VLOOKUP(A36,Sheet2!B:C,2,0)</f>
        <v>040000202086</v>
      </c>
      <c r="C36" s="10">
        <v>95258</v>
      </c>
      <c r="D36" s="10">
        <v>111000</v>
      </c>
      <c r="E36" s="10">
        <v>8097</v>
      </c>
      <c r="F36" s="7">
        <f t="shared" si="0"/>
        <v>8.5000734846417103</v>
      </c>
      <c r="G36" s="8" t="s">
        <v>8</v>
      </c>
      <c r="H36" s="15" t="s">
        <v>33</v>
      </c>
      <c r="I36" s="17" t="s">
        <v>184</v>
      </c>
      <c r="J36" s="19" t="str">
        <f t="shared" si="1"/>
        <v>Update ins_assorted_clients iac set iac.agency_code = '09000911' where iac.assorted_code = '040000202086' and iac.agency_code = '09000183';</v>
      </c>
      <c r="K36" t="str">
        <f t="shared" si="2"/>
        <v>Update ins_assorted ia set ia.agency_code = '09000911' where ia.assorted_code = '040000202086';</v>
      </c>
    </row>
    <row r="37" spans="1:11" x14ac:dyDescent="0.25">
      <c r="A37" s="5" t="s">
        <v>171</v>
      </c>
      <c r="B37" s="5" t="str">
        <f>VLOOKUP(A37,Sheet2!B:C,2,0)</f>
        <v>040000202102</v>
      </c>
      <c r="C37" s="10">
        <v>228563</v>
      </c>
      <c r="D37" s="10">
        <v>265633</v>
      </c>
      <c r="E37" s="10">
        <v>19428</v>
      </c>
      <c r="F37" s="7">
        <f t="shared" si="0"/>
        <v>8.5000634398393444</v>
      </c>
      <c r="G37" s="8" t="s">
        <v>8</v>
      </c>
      <c r="H37" s="15" t="s">
        <v>33</v>
      </c>
      <c r="I37" s="17" t="s">
        <v>184</v>
      </c>
      <c r="J37" s="19" t="str">
        <f t="shared" si="1"/>
        <v>Update ins_assorted_clients iac set iac.agency_code = '09000911' where iac.assorted_code = '040000202102' and iac.agency_code = '09000183';</v>
      </c>
      <c r="K37" t="str">
        <f t="shared" si="2"/>
        <v>Update ins_assorted ia set ia.agency_code = '09000911' where ia.assorted_code = '040000202102';</v>
      </c>
    </row>
    <row r="38" spans="1:11" x14ac:dyDescent="0.25">
      <c r="A38" s="5" t="s">
        <v>38</v>
      </c>
      <c r="B38" s="5" t="str">
        <f>VLOOKUP(A38,Sheet2!B:C,2,0)</f>
        <v>040000202104</v>
      </c>
      <c r="C38" s="10">
        <v>35776</v>
      </c>
      <c r="D38" s="10">
        <v>42000</v>
      </c>
      <c r="E38" s="10">
        <v>3041</v>
      </c>
      <c r="F38" s="7">
        <f t="shared" si="0"/>
        <v>8.5001118067978538</v>
      </c>
      <c r="G38" s="8" t="s">
        <v>8</v>
      </c>
      <c r="H38" s="15" t="s">
        <v>33</v>
      </c>
      <c r="I38" s="17" t="s">
        <v>184</v>
      </c>
      <c r="J38" s="19" t="str">
        <f t="shared" si="1"/>
        <v>Update ins_assorted_clients iac set iac.agency_code = '09000911' where iac.assorted_code = '040000202104' and iac.agency_code = '09000183';</v>
      </c>
      <c r="K38" t="str">
        <f t="shared" si="2"/>
        <v>Update ins_assorted ia set ia.agency_code = '09000911' where ia.assorted_code = '040000202104';</v>
      </c>
    </row>
    <row r="39" spans="1:11" x14ac:dyDescent="0.25">
      <c r="A39" s="5" t="s">
        <v>39</v>
      </c>
      <c r="B39" s="5" t="str">
        <f>VLOOKUP(A39,Sheet2!B:C,2,0)</f>
        <v>040000202114</v>
      </c>
      <c r="C39" s="10">
        <v>151551</v>
      </c>
      <c r="D39" s="10">
        <v>176300</v>
      </c>
      <c r="E39" s="10">
        <v>12882</v>
      </c>
      <c r="F39" s="7">
        <f t="shared" si="0"/>
        <v>8.5001088742403557</v>
      </c>
      <c r="G39" s="8" t="s">
        <v>8</v>
      </c>
      <c r="H39" s="15" t="s">
        <v>33</v>
      </c>
      <c r="I39" s="17" t="s">
        <v>184</v>
      </c>
      <c r="J39" s="19" t="str">
        <f t="shared" si="1"/>
        <v>Update ins_assorted_clients iac set iac.agency_code = '09000911' where iac.assorted_code = '040000202114' and iac.agency_code = '09000183';</v>
      </c>
      <c r="K39" t="str">
        <f t="shared" si="2"/>
        <v>Update ins_assorted ia set ia.agency_code = '09000911' where ia.assorted_code = '040000202114';</v>
      </c>
    </row>
    <row r="40" spans="1:11" x14ac:dyDescent="0.25">
      <c r="A40" s="5" t="s">
        <v>40</v>
      </c>
      <c r="B40" s="5" t="str">
        <f>VLOOKUP(A40,Sheet2!B:C,2,0)</f>
        <v>040000202123</v>
      </c>
      <c r="C40" s="10">
        <v>32327</v>
      </c>
      <c r="D40" s="10">
        <v>37842</v>
      </c>
      <c r="E40" s="10">
        <v>2748</v>
      </c>
      <c r="F40" s="7">
        <f t="shared" si="0"/>
        <v>8.5006341448324942</v>
      </c>
      <c r="G40" s="8" t="s">
        <v>8</v>
      </c>
      <c r="H40" s="15" t="s">
        <v>33</v>
      </c>
      <c r="I40" s="17" t="s">
        <v>184</v>
      </c>
      <c r="J40" s="19" t="str">
        <f t="shared" si="1"/>
        <v>Update ins_assorted_clients iac set iac.agency_code = '09000911' where iac.assorted_code = '040000202123' and iac.agency_code = '09000183';</v>
      </c>
      <c r="K40" t="str">
        <f t="shared" si="2"/>
        <v>Update ins_assorted ia set ia.agency_code = '09000911' where ia.assorted_code = '040000202123';</v>
      </c>
    </row>
    <row r="41" spans="1:11" x14ac:dyDescent="0.25">
      <c r="A41" s="5" t="s">
        <v>41</v>
      </c>
      <c r="B41" s="5" t="str">
        <f>VLOOKUP(A41,Sheet2!B:C,2,0)</f>
        <v>040000202256</v>
      </c>
      <c r="C41" s="10">
        <v>28663</v>
      </c>
      <c r="D41" s="10">
        <v>33750</v>
      </c>
      <c r="E41" s="10">
        <v>2436</v>
      </c>
      <c r="F41" s="7">
        <f t="shared" si="0"/>
        <v>8.4987614694902831</v>
      </c>
      <c r="G41" s="8" t="s">
        <v>8</v>
      </c>
      <c r="H41" s="15" t="s">
        <v>33</v>
      </c>
      <c r="I41" s="17" t="s">
        <v>184</v>
      </c>
      <c r="J41" s="19" t="str">
        <f t="shared" si="1"/>
        <v>Update ins_assorted_clients iac set iac.agency_code = '09000911' where iac.assorted_code = '040000202256' and iac.agency_code = '09000183';</v>
      </c>
      <c r="K41" t="str">
        <f t="shared" si="2"/>
        <v>Update ins_assorted ia set ia.agency_code = '09000911' where ia.assorted_code = '040000202256';</v>
      </c>
    </row>
    <row r="42" spans="1:11" x14ac:dyDescent="0.25">
      <c r="A42" s="5" t="s">
        <v>42</v>
      </c>
      <c r="B42" s="5" t="str">
        <f>VLOOKUP(A42,Sheet2!B:C,2,0)</f>
        <v>040000202329</v>
      </c>
      <c r="C42" s="10">
        <v>57758</v>
      </c>
      <c r="D42" s="10">
        <v>67500</v>
      </c>
      <c r="E42" s="10">
        <v>4909</v>
      </c>
      <c r="F42" s="7">
        <f t="shared" si="0"/>
        <v>8.4992555143876167</v>
      </c>
      <c r="G42" s="8" t="s">
        <v>8</v>
      </c>
      <c r="H42" s="15" t="s">
        <v>33</v>
      </c>
      <c r="I42" s="17" t="s">
        <v>184</v>
      </c>
      <c r="J42" s="19" t="str">
        <f t="shared" si="1"/>
        <v>Update ins_assorted_clients iac set iac.agency_code = '09000911' where iac.assorted_code = '040000202329' and iac.agency_code = '09000183';</v>
      </c>
      <c r="K42" t="str">
        <f t="shared" si="2"/>
        <v>Update ins_assorted ia set ia.agency_code = '09000911' where ia.assorted_code = '040000202329';</v>
      </c>
    </row>
    <row r="43" spans="1:11" x14ac:dyDescent="0.25">
      <c r="A43" s="5" t="s">
        <v>43</v>
      </c>
      <c r="B43" s="5" t="str">
        <f>VLOOKUP(A43,Sheet2!B:C,2,0)</f>
        <v>040000202343</v>
      </c>
      <c r="C43" s="10">
        <v>32155</v>
      </c>
      <c r="D43" s="10">
        <v>37800</v>
      </c>
      <c r="E43" s="10">
        <v>2733</v>
      </c>
      <c r="F43" s="7">
        <f t="shared" si="0"/>
        <v>8.4994557611568968</v>
      </c>
      <c r="G43" s="8" t="s">
        <v>8</v>
      </c>
      <c r="H43" s="15" t="s">
        <v>33</v>
      </c>
      <c r="I43" s="17" t="s">
        <v>184</v>
      </c>
      <c r="J43" s="19" t="str">
        <f t="shared" si="1"/>
        <v>Update ins_assorted_clients iac set iac.agency_code = '09000911' where iac.assorted_code = '040000202343' and iac.agency_code = '09000183';</v>
      </c>
      <c r="K43" t="str">
        <f t="shared" si="2"/>
        <v>Update ins_assorted ia set ia.agency_code = '09000911' where ia.assorted_code = '040000202343';</v>
      </c>
    </row>
    <row r="44" spans="1:11" x14ac:dyDescent="0.25">
      <c r="A44" s="5" t="s">
        <v>44</v>
      </c>
      <c r="B44" s="5" t="str">
        <f>VLOOKUP(A44,Sheet2!B:C,2,0)</f>
        <v>040000202390</v>
      </c>
      <c r="C44" s="10">
        <v>69214</v>
      </c>
      <c r="D44" s="10">
        <v>81000</v>
      </c>
      <c r="E44" s="10">
        <v>5883</v>
      </c>
      <c r="F44" s="7">
        <f t="shared" si="0"/>
        <v>8.4997254890629073</v>
      </c>
      <c r="G44" s="8" t="s">
        <v>8</v>
      </c>
      <c r="H44" s="15" t="s">
        <v>33</v>
      </c>
      <c r="I44" s="17" t="s">
        <v>184</v>
      </c>
      <c r="J44" s="19" t="str">
        <f t="shared" si="1"/>
        <v>Update ins_assorted_clients iac set iac.agency_code = '09000911' where iac.assorted_code = '040000202390' and iac.agency_code = '09000183';</v>
      </c>
      <c r="K44" t="str">
        <f t="shared" si="2"/>
        <v>Update ins_assorted ia set ia.agency_code = '09000911' where ia.assorted_code = '040000202390';</v>
      </c>
    </row>
    <row r="45" spans="1:11" x14ac:dyDescent="0.25">
      <c r="A45" s="5" t="s">
        <v>45</v>
      </c>
      <c r="B45" s="5" t="str">
        <f>VLOOKUP(A45,Sheet2!B:C,2,0)</f>
        <v>040000202385</v>
      </c>
      <c r="C45" s="10">
        <v>25431</v>
      </c>
      <c r="D45" s="10">
        <v>30000</v>
      </c>
      <c r="E45" s="10">
        <v>2162</v>
      </c>
      <c r="F45" s="7">
        <f t="shared" si="0"/>
        <v>8.5014352561833988</v>
      </c>
      <c r="G45" s="8" t="s">
        <v>8</v>
      </c>
      <c r="H45" s="15" t="s">
        <v>33</v>
      </c>
      <c r="I45" s="17" t="s">
        <v>184</v>
      </c>
      <c r="J45" s="19" t="str">
        <f t="shared" si="1"/>
        <v>Update ins_assorted_clients iac set iac.agency_code = '09000911' where iac.assorted_code = '040000202385' and iac.agency_code = '09000183';</v>
      </c>
      <c r="K45" t="str">
        <f t="shared" si="2"/>
        <v>Update ins_assorted ia set ia.agency_code = '09000911' where ia.assorted_code = '040000202385';</v>
      </c>
    </row>
    <row r="46" spans="1:11" x14ac:dyDescent="0.25">
      <c r="A46" s="5" t="s">
        <v>46</v>
      </c>
      <c r="B46" s="5" t="str">
        <f>VLOOKUP(A46,Sheet2!B:C,2,0)</f>
        <v>040000202431</v>
      </c>
      <c r="C46" s="10">
        <v>57758</v>
      </c>
      <c r="D46" s="10">
        <v>67500</v>
      </c>
      <c r="E46" s="10">
        <v>4909</v>
      </c>
      <c r="F46" s="7">
        <f t="shared" si="0"/>
        <v>8.4992555143876167</v>
      </c>
      <c r="G46" s="8" t="s">
        <v>8</v>
      </c>
      <c r="H46" s="15" t="s">
        <v>33</v>
      </c>
      <c r="I46" s="17" t="s">
        <v>184</v>
      </c>
      <c r="J46" s="19" t="str">
        <f t="shared" si="1"/>
        <v>Update ins_assorted_clients iac set iac.agency_code = '09000911' where iac.assorted_code = '040000202431' and iac.agency_code = '09000183';</v>
      </c>
      <c r="K46" t="str">
        <f t="shared" si="2"/>
        <v>Update ins_assorted ia set ia.agency_code = '09000911' where ia.assorted_code = '040000202431';</v>
      </c>
    </row>
    <row r="47" spans="1:11" x14ac:dyDescent="0.25">
      <c r="A47" s="5" t="s">
        <v>47</v>
      </c>
      <c r="B47" s="5" t="str">
        <f>VLOOKUP(A47,Sheet2!B:C,2,0)</f>
        <v>040000202525</v>
      </c>
      <c r="C47" s="10">
        <v>114965</v>
      </c>
      <c r="D47" s="10">
        <v>133860</v>
      </c>
      <c r="E47" s="10">
        <v>9772</v>
      </c>
      <c r="F47" s="7">
        <f t="shared" si="0"/>
        <v>8.4999782542512925</v>
      </c>
      <c r="G47" s="8" t="s">
        <v>8</v>
      </c>
      <c r="H47" s="15" t="s">
        <v>33</v>
      </c>
      <c r="I47" s="17" t="s">
        <v>184</v>
      </c>
      <c r="J47" s="19" t="str">
        <f t="shared" si="1"/>
        <v>Update ins_assorted_clients iac set iac.agency_code = '09000911' where iac.assorted_code = '040000202525' and iac.agency_code = '09000183';</v>
      </c>
      <c r="K47" t="str">
        <f t="shared" si="2"/>
        <v>Update ins_assorted ia set ia.agency_code = '09000911' where ia.assorted_code = '040000202525';</v>
      </c>
    </row>
    <row r="48" spans="1:11" x14ac:dyDescent="0.25">
      <c r="A48" s="5" t="s">
        <v>48</v>
      </c>
      <c r="B48" s="5" t="str">
        <f>VLOOKUP(A48,Sheet2!B:C,2,0)</f>
        <v>040000202539</v>
      </c>
      <c r="C48" s="10">
        <v>52069</v>
      </c>
      <c r="D48" s="10">
        <v>60900</v>
      </c>
      <c r="E48" s="10">
        <v>4426</v>
      </c>
      <c r="F48" s="7">
        <f t="shared" si="0"/>
        <v>8.5002592713514744</v>
      </c>
      <c r="G48" s="8" t="s">
        <v>8</v>
      </c>
      <c r="H48" s="15" t="s">
        <v>33</v>
      </c>
      <c r="I48" s="17" t="s">
        <v>184</v>
      </c>
      <c r="J48" s="19" t="str">
        <f t="shared" si="1"/>
        <v>Update ins_assorted_clients iac set iac.agency_code = '09000911' where iac.assorted_code = '040000202539' and iac.agency_code = '09000183';</v>
      </c>
      <c r="K48" t="str">
        <f t="shared" si="2"/>
        <v>Update ins_assorted ia set ia.agency_code = '09000911' where ia.assorted_code = '040000202539';</v>
      </c>
    </row>
    <row r="49" spans="1:11" x14ac:dyDescent="0.25">
      <c r="A49" s="5" t="s">
        <v>49</v>
      </c>
      <c r="B49" s="5" t="str">
        <f>VLOOKUP(A49,Sheet2!B:C,2,0)</f>
        <v>040000202585</v>
      </c>
      <c r="C49" s="10">
        <v>29310</v>
      </c>
      <c r="D49" s="10">
        <v>34500</v>
      </c>
      <c r="E49" s="10">
        <v>2491</v>
      </c>
      <c r="F49" s="7">
        <f t="shared" si="0"/>
        <v>8.4988058683043324</v>
      </c>
      <c r="G49" s="8" t="s">
        <v>8</v>
      </c>
      <c r="H49" s="15" t="s">
        <v>33</v>
      </c>
      <c r="I49" s="17" t="s">
        <v>184</v>
      </c>
      <c r="J49" s="19" t="str">
        <f t="shared" si="1"/>
        <v>Update ins_assorted_clients iac set iac.agency_code = '09000911' where iac.assorted_code = '040000202585' and iac.agency_code = '09000183';</v>
      </c>
      <c r="K49" t="str">
        <f t="shared" si="2"/>
        <v>Update ins_assorted ia set ia.agency_code = '09000911' where ia.assorted_code = '040000202585';</v>
      </c>
    </row>
    <row r="50" spans="1:11" x14ac:dyDescent="0.25">
      <c r="A50" s="5" t="s">
        <v>50</v>
      </c>
      <c r="B50" s="5" t="str">
        <f>VLOOKUP(A50,Sheet2!B:C,2,0)</f>
        <v>040000202563</v>
      </c>
      <c r="C50" s="10">
        <v>102675</v>
      </c>
      <c r="D50" s="10">
        <v>120150</v>
      </c>
      <c r="E50" s="10">
        <v>8727</v>
      </c>
      <c r="F50" s="7">
        <f t="shared" si="0"/>
        <v>8.4996347699050396</v>
      </c>
      <c r="G50" s="8" t="s">
        <v>8</v>
      </c>
      <c r="H50" s="15" t="s">
        <v>33</v>
      </c>
      <c r="I50" s="17" t="s">
        <v>184</v>
      </c>
      <c r="J50" s="19" t="str">
        <f t="shared" si="1"/>
        <v>Update ins_assorted_clients iac set iac.agency_code = '09000911' where iac.assorted_code = '040000202563' and iac.agency_code = '09000183';</v>
      </c>
      <c r="K50" t="str">
        <f t="shared" si="2"/>
        <v>Update ins_assorted ia set ia.agency_code = '09000911' where ia.assorted_code = '040000202563';</v>
      </c>
    </row>
    <row r="51" spans="1:11" x14ac:dyDescent="0.25">
      <c r="A51" s="5" t="s">
        <v>51</v>
      </c>
      <c r="B51" s="5" t="str">
        <f>VLOOKUP(A51,Sheet2!B:C,2,0)</f>
        <v>040000201758</v>
      </c>
      <c r="C51" s="11">
        <v>92672</v>
      </c>
      <c r="D51" s="10">
        <v>108000</v>
      </c>
      <c r="E51" s="10">
        <v>4634</v>
      </c>
      <c r="F51" s="7">
        <f t="shared" si="0"/>
        <v>5.0004316298342539</v>
      </c>
      <c r="G51" s="8" t="s">
        <v>8</v>
      </c>
      <c r="H51" s="15" t="s">
        <v>52</v>
      </c>
      <c r="I51" s="17" t="s">
        <v>181</v>
      </c>
      <c r="J51" s="19" t="str">
        <f t="shared" si="1"/>
        <v>Update ins_assorted_clients iac set iac.agency_code = '09000943' where iac.assorted_code = '040000201758' and iac.agency_code = '09000183';</v>
      </c>
      <c r="K51" t="str">
        <f t="shared" si="2"/>
        <v>Update ins_assorted ia set ia.agency_code = '09000943' where ia.assorted_code = '040000201758';</v>
      </c>
    </row>
    <row r="52" spans="1:11" x14ac:dyDescent="0.25">
      <c r="A52" s="5" t="s">
        <v>53</v>
      </c>
      <c r="B52" s="5" t="str">
        <f>VLOOKUP(A52,Sheet2!B:C,2,0)</f>
        <v>040000201858</v>
      </c>
      <c r="C52" s="11">
        <v>155655</v>
      </c>
      <c r="D52" s="10">
        <v>182137</v>
      </c>
      <c r="E52" s="10">
        <v>13231</v>
      </c>
      <c r="F52" s="7">
        <f t="shared" si="0"/>
        <v>8.5002087950917087</v>
      </c>
      <c r="G52" s="8" t="s">
        <v>8</v>
      </c>
      <c r="H52" s="15" t="s">
        <v>52</v>
      </c>
      <c r="I52" s="17" t="s">
        <v>181</v>
      </c>
      <c r="J52" s="19" t="str">
        <f t="shared" si="1"/>
        <v>Update ins_assorted_clients iac set iac.agency_code = '09000943' where iac.assorted_code = '040000201858' and iac.agency_code = '09000183';</v>
      </c>
      <c r="K52" t="str">
        <f t="shared" si="2"/>
        <v>Update ins_assorted ia set ia.agency_code = '09000943' where ia.assorted_code = '040000201858';</v>
      </c>
    </row>
    <row r="53" spans="1:11" x14ac:dyDescent="0.25">
      <c r="A53" s="5" t="s">
        <v>54</v>
      </c>
      <c r="B53" s="5" t="str">
        <f>VLOOKUP(A53,Sheet2!B:C,2,0)</f>
        <v>040000201861</v>
      </c>
      <c r="C53" s="11">
        <v>78017</v>
      </c>
      <c r="D53" s="10">
        <v>91000</v>
      </c>
      <c r="E53" s="10">
        <v>6631</v>
      </c>
      <c r="F53" s="7">
        <f t="shared" si="0"/>
        <v>8.4994296114949304</v>
      </c>
      <c r="G53" s="8" t="s">
        <v>8</v>
      </c>
      <c r="H53" s="15" t="s">
        <v>52</v>
      </c>
      <c r="I53" s="17" t="s">
        <v>181</v>
      </c>
      <c r="J53" s="19" t="str">
        <f t="shared" si="1"/>
        <v>Update ins_assorted_clients iac set iac.agency_code = '09000943' where iac.assorted_code = '040000201861' and iac.agency_code = '09000183';</v>
      </c>
      <c r="K53" t="str">
        <f t="shared" si="2"/>
        <v>Update ins_assorted ia set ia.agency_code = '09000943' where ia.assorted_code = '040000201861';</v>
      </c>
    </row>
    <row r="54" spans="1:11" x14ac:dyDescent="0.25">
      <c r="A54" s="5" t="s">
        <v>55</v>
      </c>
      <c r="B54" s="5" t="str">
        <f>VLOOKUP(A54,Sheet2!B:C,2,0)</f>
        <v>040000201885</v>
      </c>
      <c r="C54" s="11">
        <v>47845</v>
      </c>
      <c r="D54" s="10">
        <v>56000</v>
      </c>
      <c r="E54" s="10">
        <v>4067</v>
      </c>
      <c r="F54" s="7">
        <f t="shared" si="0"/>
        <v>8.5003657644476966</v>
      </c>
      <c r="G54" s="8" t="s">
        <v>8</v>
      </c>
      <c r="H54" s="15" t="s">
        <v>52</v>
      </c>
      <c r="I54" s="17" t="s">
        <v>181</v>
      </c>
      <c r="J54" s="19" t="str">
        <f t="shared" si="1"/>
        <v>Update ins_assorted_clients iac set iac.agency_code = '09000943' where iac.assorted_code = '040000201885' and iac.agency_code = '09000183';</v>
      </c>
      <c r="K54" t="str">
        <f t="shared" si="2"/>
        <v>Update ins_assorted ia set ia.agency_code = '09000943' where ia.assorted_code = '040000201885';</v>
      </c>
    </row>
    <row r="55" spans="1:11" x14ac:dyDescent="0.25">
      <c r="A55" s="5" t="s">
        <v>56</v>
      </c>
      <c r="B55" s="5" t="str">
        <f>VLOOKUP(A55,Sheet2!B:C,2,0)</f>
        <v>040000201888</v>
      </c>
      <c r="C55" s="12">
        <v>107675</v>
      </c>
      <c r="D55" s="13">
        <v>126000</v>
      </c>
      <c r="E55" s="13">
        <v>8076</v>
      </c>
      <c r="F55" s="7">
        <f t="shared" si="0"/>
        <v>7.50034827025772</v>
      </c>
      <c r="G55" s="8" t="s">
        <v>8</v>
      </c>
      <c r="H55" s="15" t="s">
        <v>52</v>
      </c>
      <c r="I55" s="17" t="s">
        <v>181</v>
      </c>
      <c r="J55" s="19" t="str">
        <f t="shared" si="1"/>
        <v>Update ins_assorted_clients iac set iac.agency_code = '09000943' where iac.assorted_code = '040000201888' and iac.agency_code = '09000183';</v>
      </c>
      <c r="K55" t="str">
        <f t="shared" si="2"/>
        <v>Update ins_assorted ia set ia.agency_code = '09000943' where ia.assorted_code = '040000201888';</v>
      </c>
    </row>
    <row r="56" spans="1:11" x14ac:dyDescent="0.25">
      <c r="A56" s="5" t="s">
        <v>57</v>
      </c>
      <c r="B56" s="5" t="str">
        <f>VLOOKUP(A56,Sheet2!B:C,2,0)</f>
        <v>040000201902</v>
      </c>
      <c r="C56" s="11">
        <v>34598</v>
      </c>
      <c r="D56" s="10">
        <v>40500</v>
      </c>
      <c r="E56" s="10">
        <v>2422</v>
      </c>
      <c r="F56" s="7">
        <f t="shared" si="0"/>
        <v>7.0004046476674953</v>
      </c>
      <c r="G56" s="8" t="s">
        <v>8</v>
      </c>
      <c r="H56" s="15" t="s">
        <v>52</v>
      </c>
      <c r="I56" s="17" t="s">
        <v>181</v>
      </c>
      <c r="J56" s="19" t="str">
        <f t="shared" si="1"/>
        <v>Update ins_assorted_clients iac set iac.agency_code = '09000943' where iac.assorted_code = '040000201902' and iac.agency_code = '09000183';</v>
      </c>
      <c r="K56" t="str">
        <f t="shared" si="2"/>
        <v>Update ins_assorted ia set ia.agency_code = '09000943' where ia.assorted_code = '040000201902';</v>
      </c>
    </row>
    <row r="57" spans="1:11" x14ac:dyDescent="0.25">
      <c r="A57" s="5" t="s">
        <v>58</v>
      </c>
      <c r="B57" s="5" t="str">
        <f>VLOOKUP(A57,Sheet2!B:C,2,0)</f>
        <v>040000201905</v>
      </c>
      <c r="C57" s="11">
        <v>43535</v>
      </c>
      <c r="D57" s="10">
        <v>51000</v>
      </c>
      <c r="E57" s="10">
        <v>3047</v>
      </c>
      <c r="F57" s="7">
        <f t="shared" si="0"/>
        <v>6.9989663489146663</v>
      </c>
      <c r="G57" s="8" t="s">
        <v>8</v>
      </c>
      <c r="H57" s="15" t="s">
        <v>52</v>
      </c>
      <c r="I57" s="17" t="s">
        <v>181</v>
      </c>
      <c r="J57" s="19" t="str">
        <f t="shared" si="1"/>
        <v>Update ins_assorted_clients iac set iac.agency_code = '09000943' where iac.assorted_code = '040000201905' and iac.agency_code = '09000183';</v>
      </c>
      <c r="K57" t="str">
        <f t="shared" si="2"/>
        <v>Update ins_assorted ia set ia.agency_code = '09000943' where ia.assorted_code = '040000201905';</v>
      </c>
    </row>
    <row r="58" spans="1:11" x14ac:dyDescent="0.25">
      <c r="A58" s="5" t="s">
        <v>59</v>
      </c>
      <c r="B58" s="5" t="str">
        <f>VLOOKUP(A58,Sheet2!B:C,2,0)</f>
        <v>040000201927</v>
      </c>
      <c r="C58" s="11">
        <v>37974</v>
      </c>
      <c r="D58" s="10">
        <v>44550</v>
      </c>
      <c r="E58" s="10">
        <v>3228</v>
      </c>
      <c r="F58" s="7">
        <f t="shared" si="0"/>
        <v>8.5005530099541797</v>
      </c>
      <c r="G58" s="8" t="s">
        <v>8</v>
      </c>
      <c r="H58" s="15" t="s">
        <v>52</v>
      </c>
      <c r="I58" s="17" t="s">
        <v>181</v>
      </c>
      <c r="J58" s="19" t="str">
        <f t="shared" si="1"/>
        <v>Update ins_assorted_clients iac set iac.agency_code = '09000943' where iac.assorted_code = '040000201927' and iac.agency_code = '09000183';</v>
      </c>
      <c r="K58" t="str">
        <f t="shared" si="2"/>
        <v>Update ins_assorted ia set ia.agency_code = '09000943' where ia.assorted_code = '040000201927';</v>
      </c>
    </row>
    <row r="59" spans="1:11" x14ac:dyDescent="0.25">
      <c r="A59" s="5" t="s">
        <v>60</v>
      </c>
      <c r="B59" s="5" t="str">
        <f>VLOOKUP(A59,Sheet2!B:C,2,0)</f>
        <v>040000202039</v>
      </c>
      <c r="C59" s="11">
        <v>47414</v>
      </c>
      <c r="D59" s="10">
        <v>55500</v>
      </c>
      <c r="E59" s="10">
        <v>4030</v>
      </c>
      <c r="F59" s="7">
        <f t="shared" si="0"/>
        <v>8.4995992744758926</v>
      </c>
      <c r="G59" s="8" t="s">
        <v>8</v>
      </c>
      <c r="H59" s="15" t="s">
        <v>52</v>
      </c>
      <c r="I59" s="17" t="s">
        <v>181</v>
      </c>
      <c r="J59" s="19" t="str">
        <f t="shared" si="1"/>
        <v>Update ins_assorted_clients iac set iac.agency_code = '09000943' where iac.assorted_code = '040000202039' and iac.agency_code = '09000183';</v>
      </c>
      <c r="K59" t="str">
        <f t="shared" si="2"/>
        <v>Update ins_assorted ia set ia.agency_code = '09000943' where ia.assorted_code = '040000202039';</v>
      </c>
    </row>
    <row r="60" spans="1:11" x14ac:dyDescent="0.25">
      <c r="A60" s="5" t="s">
        <v>61</v>
      </c>
      <c r="B60" s="5" t="str">
        <f>VLOOKUP(A60,Sheet2!B:C,2,0)</f>
        <v>040000202052</v>
      </c>
      <c r="C60" s="11">
        <v>54742</v>
      </c>
      <c r="D60" s="10">
        <v>64000</v>
      </c>
      <c r="E60" s="10">
        <v>4653</v>
      </c>
      <c r="F60" s="7">
        <f t="shared" si="0"/>
        <v>8.4998721274341467</v>
      </c>
      <c r="G60" s="8" t="s">
        <v>8</v>
      </c>
      <c r="H60" s="15" t="s">
        <v>52</v>
      </c>
      <c r="I60" s="17" t="s">
        <v>181</v>
      </c>
      <c r="J60" s="19" t="str">
        <f t="shared" si="1"/>
        <v>Update ins_assorted_clients iac set iac.agency_code = '09000943' where iac.assorted_code = '040000202052' and iac.agency_code = '09000183';</v>
      </c>
      <c r="K60" t="str">
        <f t="shared" si="2"/>
        <v>Update ins_assorted ia set ia.agency_code = '09000943' where ia.assorted_code = '040000202052';</v>
      </c>
    </row>
    <row r="61" spans="1:11" x14ac:dyDescent="0.25">
      <c r="A61" s="5" t="s">
        <v>62</v>
      </c>
      <c r="B61" s="5" t="str">
        <f>VLOOKUP(A61,Sheet2!B:C,2,0)</f>
        <v>040000202080</v>
      </c>
      <c r="C61" s="11">
        <v>61638</v>
      </c>
      <c r="D61" s="10">
        <v>72000</v>
      </c>
      <c r="E61" s="10">
        <v>5239</v>
      </c>
      <c r="F61" s="7">
        <f t="shared" si="0"/>
        <v>8.4996268535643598</v>
      </c>
      <c r="G61" s="8" t="s">
        <v>8</v>
      </c>
      <c r="H61" s="15" t="s">
        <v>52</v>
      </c>
      <c r="I61" s="17" t="s">
        <v>181</v>
      </c>
      <c r="J61" s="19" t="str">
        <f t="shared" si="1"/>
        <v>Update ins_assorted_clients iac set iac.agency_code = '09000943' where iac.assorted_code = '040000202080' and iac.agency_code = '09000183';</v>
      </c>
      <c r="K61" t="str">
        <f t="shared" si="2"/>
        <v>Update ins_assorted ia set ia.agency_code = '09000943' where ia.assorted_code = '040000202080';</v>
      </c>
    </row>
    <row r="62" spans="1:11" x14ac:dyDescent="0.25">
      <c r="A62" s="5" t="s">
        <v>63</v>
      </c>
      <c r="B62" s="5" t="str">
        <f>VLOOKUP(A62,Sheet2!B:C,2,0)</f>
        <v>040000202121</v>
      </c>
      <c r="C62" s="11">
        <v>38362</v>
      </c>
      <c r="D62" s="10">
        <v>45000</v>
      </c>
      <c r="E62" s="10">
        <v>3261</v>
      </c>
      <c r="F62" s="7">
        <f t="shared" si="0"/>
        <v>8.5005995516396435</v>
      </c>
      <c r="G62" s="8" t="s">
        <v>8</v>
      </c>
      <c r="H62" s="15" t="s">
        <v>52</v>
      </c>
      <c r="I62" s="17" t="s">
        <v>181</v>
      </c>
      <c r="J62" s="19" t="str">
        <f t="shared" si="1"/>
        <v>Update ins_assorted_clients iac set iac.agency_code = '09000943' where iac.assorted_code = '040000202121' and iac.agency_code = '09000183';</v>
      </c>
      <c r="K62" t="str">
        <f t="shared" si="2"/>
        <v>Update ins_assorted ia set ia.agency_code = '09000943' where ia.assorted_code = '040000202121';</v>
      </c>
    </row>
    <row r="63" spans="1:11" x14ac:dyDescent="0.25">
      <c r="A63" s="5" t="s">
        <v>64</v>
      </c>
      <c r="B63" s="5" t="str">
        <f>VLOOKUP(A63,Sheet2!B:C,2,0)</f>
        <v>040000202139</v>
      </c>
      <c r="C63" s="11">
        <v>38793</v>
      </c>
      <c r="D63" s="10">
        <v>45500</v>
      </c>
      <c r="E63" s="10">
        <v>3297</v>
      </c>
      <c r="F63" s="7">
        <f t="shared" si="0"/>
        <v>8.498955997215992</v>
      </c>
      <c r="G63" s="8" t="s">
        <v>8</v>
      </c>
      <c r="H63" s="15" t="s">
        <v>52</v>
      </c>
      <c r="I63" s="17" t="s">
        <v>181</v>
      </c>
      <c r="J63" s="19" t="str">
        <f t="shared" si="1"/>
        <v>Update ins_assorted_clients iac set iac.agency_code = '09000943' where iac.assorted_code = '040000202139' and iac.agency_code = '09000183';</v>
      </c>
      <c r="K63" t="str">
        <f t="shared" si="2"/>
        <v>Update ins_assorted ia set ia.agency_code = '09000943' where ia.assorted_code = '040000202139';</v>
      </c>
    </row>
    <row r="64" spans="1:11" x14ac:dyDescent="0.25">
      <c r="A64" s="5" t="s">
        <v>65</v>
      </c>
      <c r="B64" s="5" t="str">
        <f>VLOOKUP(A64,Sheet2!B:C,2,0)</f>
        <v>040000202138</v>
      </c>
      <c r="C64" s="11">
        <v>40302</v>
      </c>
      <c r="D64" s="10">
        <v>47250</v>
      </c>
      <c r="E64" s="10">
        <v>3426</v>
      </c>
      <c r="F64" s="7">
        <f t="shared" si="0"/>
        <v>8.5008188179246691</v>
      </c>
      <c r="G64" s="8" t="s">
        <v>8</v>
      </c>
      <c r="H64" s="15" t="s">
        <v>52</v>
      </c>
      <c r="I64" s="17" t="s">
        <v>181</v>
      </c>
      <c r="J64" s="19" t="str">
        <f t="shared" si="1"/>
        <v>Update ins_assorted_clients iac set iac.agency_code = '09000943' where iac.assorted_code = '040000202138' and iac.agency_code = '09000183';</v>
      </c>
      <c r="K64" t="str">
        <f t="shared" si="2"/>
        <v>Update ins_assorted ia set ia.agency_code = '09000943' where ia.assorted_code = '040000202138';</v>
      </c>
    </row>
    <row r="65" spans="1:11" x14ac:dyDescent="0.25">
      <c r="A65" s="5" t="s">
        <v>66</v>
      </c>
      <c r="B65" s="5" t="str">
        <f>VLOOKUP(A65,Sheet2!B:C,2,0)</f>
        <v>040000202169</v>
      </c>
      <c r="C65" s="11">
        <v>33316</v>
      </c>
      <c r="D65" s="10">
        <v>39000</v>
      </c>
      <c r="E65" s="10">
        <v>2832</v>
      </c>
      <c r="F65" s="7">
        <f t="shared" si="0"/>
        <v>8.5004202185136268</v>
      </c>
      <c r="G65" s="8" t="s">
        <v>8</v>
      </c>
      <c r="H65" s="15" t="s">
        <v>52</v>
      </c>
      <c r="I65" s="17" t="s">
        <v>181</v>
      </c>
      <c r="J65" s="19" t="str">
        <f t="shared" si="1"/>
        <v>Update ins_assorted_clients iac set iac.agency_code = '09000943' where iac.assorted_code = '040000202169' and iac.agency_code = '09000183';</v>
      </c>
      <c r="K65" t="str">
        <f t="shared" si="2"/>
        <v>Update ins_assorted ia set ia.agency_code = '09000943' where ia.assorted_code = '040000202169';</v>
      </c>
    </row>
    <row r="66" spans="1:11" x14ac:dyDescent="0.25">
      <c r="A66" s="5" t="s">
        <v>67</v>
      </c>
      <c r="B66" s="5" t="str">
        <f>VLOOKUP(A66,Sheet2!B:C,2,0)</f>
        <v>040000202187</v>
      </c>
      <c r="C66" s="11">
        <v>28965</v>
      </c>
      <c r="D66" s="10">
        <v>34100</v>
      </c>
      <c r="E66" s="10">
        <v>2028</v>
      </c>
      <c r="F66" s="7">
        <f t="shared" si="0"/>
        <v>7.0015535991714142</v>
      </c>
      <c r="G66" s="8" t="s">
        <v>8</v>
      </c>
      <c r="H66" s="15" t="s">
        <v>52</v>
      </c>
      <c r="I66" s="17" t="s">
        <v>181</v>
      </c>
      <c r="J66" s="19" t="str">
        <f t="shared" si="1"/>
        <v>Update ins_assorted_clients iac set iac.agency_code = '09000943' where iac.assorted_code = '040000202187' and iac.agency_code = '09000183';</v>
      </c>
      <c r="K66" t="str">
        <f t="shared" si="2"/>
        <v>Update ins_assorted ia set ia.agency_code = '09000943' where ia.assorted_code = '040000202187';</v>
      </c>
    </row>
    <row r="67" spans="1:11" x14ac:dyDescent="0.25">
      <c r="A67" s="5" t="s">
        <v>68</v>
      </c>
      <c r="B67" s="5" t="str">
        <f>VLOOKUP(A67,Sheet2!B:C,2,0)</f>
        <v>040000202330</v>
      </c>
      <c r="C67" s="11">
        <v>59914</v>
      </c>
      <c r="D67" s="10">
        <v>70000</v>
      </c>
      <c r="E67" s="10">
        <v>5093</v>
      </c>
      <c r="F67" s="7">
        <f t="shared" ref="F67:F84" si="3">E67/C67%</f>
        <v>8.5005174082852086</v>
      </c>
      <c r="G67" s="8" t="s">
        <v>8</v>
      </c>
      <c r="H67" s="15" t="s">
        <v>52</v>
      </c>
      <c r="I67" s="17" t="s">
        <v>181</v>
      </c>
      <c r="J67" s="19" t="str">
        <f t="shared" ref="J67:J84" si="4">"Update ins_assorted_clients iac set iac.agency_code = '"&amp;I67&amp;"' where iac.assorted_code = '"&amp;B67&amp;"' and iac.agency_code = '09000183';"</f>
        <v>Update ins_assorted_clients iac set iac.agency_code = '09000943' where iac.assorted_code = '040000202330' and iac.agency_code = '09000183';</v>
      </c>
      <c r="K67" t="str">
        <f t="shared" ref="K67:K84" si="5">"Update ins_assorted ia set ia.agency_code = '"&amp;I67&amp;"' where ia.assorted_code = '"&amp;B67&amp;"';"</f>
        <v>Update ins_assorted ia set ia.agency_code = '09000943' where ia.assorted_code = '040000202330';</v>
      </c>
    </row>
    <row r="68" spans="1:11" x14ac:dyDescent="0.25">
      <c r="A68" s="5" t="s">
        <v>69</v>
      </c>
      <c r="B68" s="5" t="str">
        <f>VLOOKUP(A68,Sheet2!B:C,2,0)</f>
        <v>040000202344</v>
      </c>
      <c r="C68" s="11">
        <v>32155</v>
      </c>
      <c r="D68" s="10">
        <v>37800</v>
      </c>
      <c r="E68" s="10">
        <v>2733</v>
      </c>
      <c r="F68" s="7">
        <f t="shared" si="3"/>
        <v>8.4994557611568968</v>
      </c>
      <c r="G68" s="8" t="s">
        <v>8</v>
      </c>
      <c r="H68" s="15" t="s">
        <v>52</v>
      </c>
      <c r="I68" s="17" t="s">
        <v>181</v>
      </c>
      <c r="J68" s="19" t="str">
        <f t="shared" si="4"/>
        <v>Update ins_assorted_clients iac set iac.agency_code = '09000943' where iac.assorted_code = '040000202344' and iac.agency_code = '09000183';</v>
      </c>
      <c r="K68" t="str">
        <f t="shared" si="5"/>
        <v>Update ins_assorted ia set ia.agency_code = '09000943' where ia.assorted_code = '040000202344';</v>
      </c>
    </row>
    <row r="69" spans="1:11" x14ac:dyDescent="0.25">
      <c r="A69" s="5" t="s">
        <v>70</v>
      </c>
      <c r="B69" s="5" t="str">
        <f>VLOOKUP(A69,Sheet2!B:C,2,0)</f>
        <v>040000202366</v>
      </c>
      <c r="C69" s="11">
        <v>35776</v>
      </c>
      <c r="D69" s="10">
        <v>42000</v>
      </c>
      <c r="E69" s="10">
        <v>2504</v>
      </c>
      <c r="F69" s="7">
        <f t="shared" si="3"/>
        <v>6.9991055456171738</v>
      </c>
      <c r="G69" s="8" t="s">
        <v>8</v>
      </c>
      <c r="H69" s="15" t="s">
        <v>52</v>
      </c>
      <c r="I69" s="17" t="s">
        <v>181</v>
      </c>
      <c r="J69" s="19" t="str">
        <f t="shared" si="4"/>
        <v>Update ins_assorted_clients iac set iac.agency_code = '09000943' where iac.assorted_code = '040000202366' and iac.agency_code = '09000183';</v>
      </c>
      <c r="K69" t="str">
        <f t="shared" si="5"/>
        <v>Update ins_assorted ia set ia.agency_code = '09000943' where ia.assorted_code = '040000202366';</v>
      </c>
    </row>
    <row r="70" spans="1:11" x14ac:dyDescent="0.25">
      <c r="A70" s="5" t="s">
        <v>71</v>
      </c>
      <c r="B70" s="5" t="str">
        <f>VLOOKUP(A70,Sheet2!B:C,2,0)</f>
        <v>040000202421</v>
      </c>
      <c r="C70" s="11">
        <v>55086</v>
      </c>
      <c r="D70" s="10">
        <v>64400</v>
      </c>
      <c r="E70" s="10">
        <v>4682</v>
      </c>
      <c r="F70" s="7">
        <f t="shared" si="3"/>
        <v>8.4994372435827614</v>
      </c>
      <c r="G70" s="8" t="s">
        <v>8</v>
      </c>
      <c r="H70" s="15" t="s">
        <v>52</v>
      </c>
      <c r="I70" s="17" t="s">
        <v>181</v>
      </c>
      <c r="J70" s="19" t="str">
        <f t="shared" si="4"/>
        <v>Update ins_assorted_clients iac set iac.agency_code = '09000943' where iac.assorted_code = '040000202421' and iac.agency_code = '09000183';</v>
      </c>
      <c r="K70" t="str">
        <f t="shared" si="5"/>
        <v>Update ins_assorted ia set ia.agency_code = '09000943' where ia.assorted_code = '040000202421';</v>
      </c>
    </row>
    <row r="71" spans="1:11" x14ac:dyDescent="0.25">
      <c r="A71" s="5" t="s">
        <v>72</v>
      </c>
      <c r="B71" s="5" t="str">
        <f>VLOOKUP(A71,Sheet2!B:C,2,0)</f>
        <v>040000202436</v>
      </c>
      <c r="C71" s="11">
        <v>92672</v>
      </c>
      <c r="D71" s="10">
        <v>108000</v>
      </c>
      <c r="E71" s="10">
        <v>7877</v>
      </c>
      <c r="F71" s="7">
        <f t="shared" si="3"/>
        <v>8.499870511049723</v>
      </c>
      <c r="G71" s="8" t="s">
        <v>8</v>
      </c>
      <c r="H71" s="15" t="s">
        <v>52</v>
      </c>
      <c r="I71" s="17" t="s">
        <v>181</v>
      </c>
      <c r="J71" s="19" t="str">
        <f t="shared" si="4"/>
        <v>Update ins_assorted_clients iac set iac.agency_code = '09000943' where iac.assorted_code = '040000202436' and iac.agency_code = '09000183';</v>
      </c>
      <c r="K71" t="str">
        <f t="shared" si="5"/>
        <v>Update ins_assorted ia set ia.agency_code = '09000943' where ia.assorted_code = '040000202436';</v>
      </c>
    </row>
    <row r="72" spans="1:11" x14ac:dyDescent="0.25">
      <c r="A72" s="5" t="s">
        <v>73</v>
      </c>
      <c r="B72" s="5" t="str">
        <f>VLOOKUP(A72,Sheet2!B:C,2,0)</f>
        <v>040000202437</v>
      </c>
      <c r="C72" s="11">
        <v>54742</v>
      </c>
      <c r="D72" s="10">
        <v>64000</v>
      </c>
      <c r="E72" s="10">
        <v>4653</v>
      </c>
      <c r="F72" s="7">
        <f t="shared" si="3"/>
        <v>8.4998721274341467</v>
      </c>
      <c r="G72" s="8" t="s">
        <v>8</v>
      </c>
      <c r="H72" s="15" t="s">
        <v>52</v>
      </c>
      <c r="I72" s="17" t="s">
        <v>181</v>
      </c>
      <c r="J72" s="19" t="str">
        <f t="shared" si="4"/>
        <v>Update ins_assorted_clients iac set iac.agency_code = '09000943' where iac.assorted_code = '040000202437' and iac.agency_code = '09000183';</v>
      </c>
      <c r="K72" t="str">
        <f t="shared" si="5"/>
        <v>Update ins_assorted ia set ia.agency_code = '09000943' where ia.assorted_code = '040000202437';</v>
      </c>
    </row>
    <row r="73" spans="1:11" x14ac:dyDescent="0.25">
      <c r="A73" s="5" t="s">
        <v>74</v>
      </c>
      <c r="B73" s="5" t="str">
        <f>VLOOKUP(A73,Sheet2!B:C,2,0)</f>
        <v>040000202465</v>
      </c>
      <c r="C73" s="11">
        <v>113621</v>
      </c>
      <c r="D73" s="10">
        <v>132300</v>
      </c>
      <c r="E73" s="10">
        <v>7953</v>
      </c>
      <c r="F73" s="7">
        <f t="shared" si="3"/>
        <v>6.9995863440737187</v>
      </c>
      <c r="G73" s="8" t="s">
        <v>8</v>
      </c>
      <c r="H73" s="15" t="s">
        <v>52</v>
      </c>
      <c r="I73" s="17" t="s">
        <v>181</v>
      </c>
      <c r="J73" s="19" t="str">
        <f t="shared" si="4"/>
        <v>Update ins_assorted_clients iac set iac.agency_code = '09000943' where iac.assorted_code = '040000202465' and iac.agency_code = '09000183';</v>
      </c>
      <c r="K73" t="str">
        <f t="shared" si="5"/>
        <v>Update ins_assorted ia set ia.agency_code = '09000943' where ia.assorted_code = '040000202465';</v>
      </c>
    </row>
    <row r="74" spans="1:11" x14ac:dyDescent="0.25">
      <c r="A74" s="5" t="s">
        <v>75</v>
      </c>
      <c r="B74" s="5" t="str">
        <f>VLOOKUP(A74,Sheet2!B:C,2,0)</f>
        <v>040000202472</v>
      </c>
      <c r="C74" s="11">
        <v>53879</v>
      </c>
      <c r="D74" s="10">
        <v>63000</v>
      </c>
      <c r="E74" s="10">
        <v>4580</v>
      </c>
      <c r="F74" s="7">
        <f t="shared" si="3"/>
        <v>8.5005289630468273</v>
      </c>
      <c r="G74" s="8" t="s">
        <v>8</v>
      </c>
      <c r="H74" s="15" t="s">
        <v>52</v>
      </c>
      <c r="I74" s="17" t="s">
        <v>181</v>
      </c>
      <c r="J74" s="19" t="str">
        <f t="shared" si="4"/>
        <v>Update ins_assorted_clients iac set iac.agency_code = '09000943' where iac.assorted_code = '040000202472' and iac.agency_code = '09000183';</v>
      </c>
      <c r="K74" t="str">
        <f t="shared" si="5"/>
        <v>Update ins_assorted ia set ia.agency_code = '09000943' where ia.assorted_code = '040000202472';</v>
      </c>
    </row>
    <row r="75" spans="1:11" x14ac:dyDescent="0.25">
      <c r="A75" s="5" t="s">
        <v>76</v>
      </c>
      <c r="B75" s="5" t="str">
        <f>VLOOKUP(A75,Sheet2!B:C,2,0)</f>
        <v>040000202464</v>
      </c>
      <c r="C75" s="11">
        <v>128879</v>
      </c>
      <c r="D75" s="10">
        <v>150000</v>
      </c>
      <c r="E75" s="10">
        <v>10955</v>
      </c>
      <c r="F75" s="7">
        <f t="shared" si="3"/>
        <v>8.5002211376562506</v>
      </c>
      <c r="G75" s="8" t="s">
        <v>8</v>
      </c>
      <c r="H75" s="15" t="s">
        <v>52</v>
      </c>
      <c r="I75" s="17" t="s">
        <v>181</v>
      </c>
      <c r="J75" s="19" t="str">
        <f t="shared" si="4"/>
        <v>Update ins_assorted_clients iac set iac.agency_code = '09000943' where iac.assorted_code = '040000202464' and iac.agency_code = '09000183';</v>
      </c>
      <c r="K75" t="str">
        <f t="shared" si="5"/>
        <v>Update ins_assorted ia set ia.agency_code = '09000943' where ia.assorted_code = '040000202464';</v>
      </c>
    </row>
    <row r="76" spans="1:11" x14ac:dyDescent="0.25">
      <c r="A76" s="5" t="s">
        <v>77</v>
      </c>
      <c r="B76" s="5" t="str">
        <f>VLOOKUP(A76,Sheet2!B:C,2,0)</f>
        <v>040000202495</v>
      </c>
      <c r="C76" s="11">
        <v>138362</v>
      </c>
      <c r="D76" s="10">
        <v>161000</v>
      </c>
      <c r="E76" s="10">
        <v>11761</v>
      </c>
      <c r="F76" s="7">
        <f t="shared" si="3"/>
        <v>8.5001662306124519</v>
      </c>
      <c r="G76" s="8" t="s">
        <v>8</v>
      </c>
      <c r="H76" s="15" t="s">
        <v>52</v>
      </c>
      <c r="I76" s="17" t="s">
        <v>181</v>
      </c>
      <c r="J76" s="19" t="str">
        <f t="shared" si="4"/>
        <v>Update ins_assorted_clients iac set iac.agency_code = '09000943' where iac.assorted_code = '040000202495' and iac.agency_code = '09000183';</v>
      </c>
      <c r="K76" t="str">
        <f t="shared" si="5"/>
        <v>Update ins_assorted ia set ia.agency_code = '09000943' where ia.assorted_code = '040000202495';</v>
      </c>
    </row>
    <row r="77" spans="1:11" x14ac:dyDescent="0.25">
      <c r="A77" s="5" t="s">
        <v>78</v>
      </c>
      <c r="B77" s="5" t="str">
        <f>VLOOKUP(A77,Sheet2!B:C,2,0)</f>
        <v>040000202498</v>
      </c>
      <c r="C77" s="11">
        <v>31897</v>
      </c>
      <c r="D77" s="10">
        <v>37500</v>
      </c>
      <c r="E77" s="10">
        <v>2711</v>
      </c>
      <c r="F77" s="7">
        <f t="shared" si="3"/>
        <v>8.4992319026867715</v>
      </c>
      <c r="G77" s="8" t="s">
        <v>8</v>
      </c>
      <c r="H77" s="15" t="s">
        <v>52</v>
      </c>
      <c r="I77" s="17" t="s">
        <v>181</v>
      </c>
      <c r="J77" s="19" t="str">
        <f t="shared" si="4"/>
        <v>Update ins_assorted_clients iac set iac.agency_code = '09000943' where iac.assorted_code = '040000202498' and iac.agency_code = '09000183';</v>
      </c>
      <c r="K77" t="str">
        <f t="shared" si="5"/>
        <v>Update ins_assorted ia set ia.agency_code = '09000943' where ia.assorted_code = '040000202498';</v>
      </c>
    </row>
    <row r="78" spans="1:11" x14ac:dyDescent="0.25">
      <c r="A78" s="5" t="s">
        <v>79</v>
      </c>
      <c r="B78" s="5" t="str">
        <f>VLOOKUP(A78,Sheet2!B:C,2,0)</f>
        <v>040000202536</v>
      </c>
      <c r="C78" s="11">
        <v>47845</v>
      </c>
      <c r="D78" s="10">
        <v>56000</v>
      </c>
      <c r="E78" s="10">
        <v>4067</v>
      </c>
      <c r="F78" s="7">
        <f t="shared" si="3"/>
        <v>8.5003657644476966</v>
      </c>
      <c r="G78" s="8" t="s">
        <v>8</v>
      </c>
      <c r="H78" s="15" t="s">
        <v>52</v>
      </c>
      <c r="I78" s="17" t="s">
        <v>181</v>
      </c>
      <c r="J78" s="19" t="str">
        <f t="shared" si="4"/>
        <v>Update ins_assorted_clients iac set iac.agency_code = '09000943' where iac.assorted_code = '040000202536' and iac.agency_code = '09000183';</v>
      </c>
      <c r="K78" t="str">
        <f t="shared" si="5"/>
        <v>Update ins_assorted ia set ia.agency_code = '09000943' where ia.assorted_code = '040000202536';</v>
      </c>
    </row>
    <row r="79" spans="1:11" x14ac:dyDescent="0.25">
      <c r="A79" s="5" t="s">
        <v>80</v>
      </c>
      <c r="B79" s="5" t="str">
        <f>VLOOKUP(A79,Sheet2!B:C,2,0)</f>
        <v>040000202557</v>
      </c>
      <c r="C79" s="11">
        <v>37284</v>
      </c>
      <c r="D79" s="10">
        <v>43750</v>
      </c>
      <c r="E79" s="10">
        <v>3169</v>
      </c>
      <c r="F79" s="7">
        <f t="shared" si="3"/>
        <v>8.4996245038086045</v>
      </c>
      <c r="G79" s="8" t="s">
        <v>8</v>
      </c>
      <c r="H79" s="15" t="s">
        <v>52</v>
      </c>
      <c r="I79" s="17" t="s">
        <v>181</v>
      </c>
      <c r="J79" s="19" t="str">
        <f t="shared" si="4"/>
        <v>Update ins_assorted_clients iac set iac.agency_code = '09000943' where iac.assorted_code = '040000202557' and iac.agency_code = '09000183';</v>
      </c>
      <c r="K79" t="str">
        <f t="shared" si="5"/>
        <v>Update ins_assorted ia set ia.agency_code = '09000943' where ia.assorted_code = '040000202557';</v>
      </c>
    </row>
    <row r="80" spans="1:11" x14ac:dyDescent="0.25">
      <c r="A80" s="5" t="s">
        <v>81</v>
      </c>
      <c r="B80" s="5" t="str">
        <f>VLOOKUP(A80,Sheet2!B:C,2,0)</f>
        <v>040000202560</v>
      </c>
      <c r="C80" s="11">
        <v>180603</v>
      </c>
      <c r="D80" s="10">
        <v>210000</v>
      </c>
      <c r="E80" s="10">
        <v>15351</v>
      </c>
      <c r="F80" s="7">
        <f t="shared" si="3"/>
        <v>8.4998588063321208</v>
      </c>
      <c r="G80" s="8" t="s">
        <v>8</v>
      </c>
      <c r="H80" s="15" t="s">
        <v>52</v>
      </c>
      <c r="I80" s="17" t="s">
        <v>181</v>
      </c>
      <c r="J80" s="19" t="str">
        <f t="shared" si="4"/>
        <v>Update ins_assorted_clients iac set iac.agency_code = '09000943' where iac.assorted_code = '040000202560' and iac.agency_code = '09000183';</v>
      </c>
      <c r="K80" t="str">
        <f t="shared" si="5"/>
        <v>Update ins_assorted ia set ia.agency_code = '09000943' where ia.assorted_code = '040000202560';</v>
      </c>
    </row>
    <row r="81" spans="1:11" x14ac:dyDescent="0.25">
      <c r="A81" s="5" t="s">
        <v>82</v>
      </c>
      <c r="B81" s="5" t="str">
        <f>VLOOKUP(A81,Sheet2!B:C,2,0)</f>
        <v>040000202561</v>
      </c>
      <c r="C81" s="11">
        <v>63231</v>
      </c>
      <c r="D81" s="10">
        <v>74000</v>
      </c>
      <c r="E81" s="10">
        <v>5375</v>
      </c>
      <c r="F81" s="7">
        <f t="shared" si="3"/>
        <v>8.5005772485015267</v>
      </c>
      <c r="G81" s="8" t="s">
        <v>8</v>
      </c>
      <c r="H81" s="15" t="s">
        <v>52</v>
      </c>
      <c r="I81" s="17" t="s">
        <v>181</v>
      </c>
      <c r="J81" s="19" t="str">
        <f t="shared" si="4"/>
        <v>Update ins_assorted_clients iac set iac.agency_code = '09000943' where iac.assorted_code = '040000202561' and iac.agency_code = '09000183';</v>
      </c>
      <c r="K81" t="str">
        <f t="shared" si="5"/>
        <v>Update ins_assorted ia set ia.agency_code = '09000943' where ia.assorted_code = '040000202561';</v>
      </c>
    </row>
    <row r="82" spans="1:11" x14ac:dyDescent="0.25">
      <c r="A82" s="5" t="s">
        <v>83</v>
      </c>
      <c r="B82" s="5" t="str">
        <f>VLOOKUP(A82,Sheet2!B:C,2,0)</f>
        <v>040000202562</v>
      </c>
      <c r="C82" s="11">
        <v>130297</v>
      </c>
      <c r="D82" s="10">
        <v>151144</v>
      </c>
      <c r="E82" s="10">
        <v>11075</v>
      </c>
      <c r="F82" s="7">
        <f t="shared" si="3"/>
        <v>8.4998119680422413</v>
      </c>
      <c r="G82" s="8" t="s">
        <v>8</v>
      </c>
      <c r="H82" s="15" t="s">
        <v>52</v>
      </c>
      <c r="I82" s="17" t="s">
        <v>181</v>
      </c>
      <c r="J82" s="19" t="str">
        <f t="shared" si="4"/>
        <v>Update ins_assorted_clients iac set iac.agency_code = '09000943' where iac.assorted_code = '040000202562' and iac.agency_code = '09000183';</v>
      </c>
      <c r="K82" t="str">
        <f t="shared" si="5"/>
        <v>Update ins_assorted ia set ia.agency_code = '09000943' where ia.assorted_code = '040000202562';</v>
      </c>
    </row>
    <row r="83" spans="1:11" x14ac:dyDescent="0.25">
      <c r="A83" s="5" t="s">
        <v>84</v>
      </c>
      <c r="B83" s="5" t="str">
        <f>VLOOKUP(A83,Sheet2!B:C,2,0)</f>
        <v>040000202583</v>
      </c>
      <c r="C83" s="11">
        <v>71337</v>
      </c>
      <c r="D83" s="10">
        <v>83250</v>
      </c>
      <c r="E83" s="10">
        <v>6064</v>
      </c>
      <c r="F83" s="7">
        <f t="shared" si="3"/>
        <v>8.5004976379718791</v>
      </c>
      <c r="G83" s="8" t="s">
        <v>8</v>
      </c>
      <c r="H83" s="15" t="s">
        <v>52</v>
      </c>
      <c r="I83" s="17" t="s">
        <v>181</v>
      </c>
      <c r="J83" s="19" t="str">
        <f t="shared" si="4"/>
        <v>Update ins_assorted_clients iac set iac.agency_code = '09000943' where iac.assorted_code = '040000202583' and iac.agency_code = '09000183';</v>
      </c>
      <c r="K83" t="str">
        <f t="shared" si="5"/>
        <v>Update ins_assorted ia set ia.agency_code = '09000943' where ia.assorted_code = '040000202583';</v>
      </c>
    </row>
    <row r="84" spans="1:11" x14ac:dyDescent="0.25">
      <c r="A84" s="5" t="s">
        <v>85</v>
      </c>
      <c r="B84" s="5" t="str">
        <f>VLOOKUP(A84,Sheet2!B:C,2,0)</f>
        <v>040000202450</v>
      </c>
      <c r="C84" s="11">
        <v>28233</v>
      </c>
      <c r="D84" s="10">
        <v>33250</v>
      </c>
      <c r="E84" s="10">
        <v>2400</v>
      </c>
      <c r="F84" s="7">
        <f t="shared" si="3"/>
        <v>8.5006906811178418</v>
      </c>
      <c r="G84" s="8" t="s">
        <v>8</v>
      </c>
      <c r="H84" s="15" t="s">
        <v>52</v>
      </c>
      <c r="I84" s="17" t="s">
        <v>181</v>
      </c>
      <c r="J84" s="19" t="str">
        <f t="shared" si="4"/>
        <v>Update ins_assorted_clients iac set iac.agency_code = '09000943' where iac.assorted_code = '040000202450' and iac.agency_code = '09000183';</v>
      </c>
      <c r="K84" t="str">
        <f t="shared" si="5"/>
        <v>Update ins_assorted ia set ia.agency_code = '09000943' where ia.assorted_code = '040000202450';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A265-7C99-49B9-86CF-E245460FA665}">
  <dimension ref="A1:C84"/>
  <sheetViews>
    <sheetView workbookViewId="0">
      <selection activeCell="F6" sqref="F6"/>
    </sheetView>
  </sheetViews>
  <sheetFormatPr defaultRowHeight="15" x14ac:dyDescent="0.25"/>
  <cols>
    <col min="1" max="1" width="3" bestFit="1" customWidth="1"/>
    <col min="2" max="2" width="39.7109375" bestFit="1" customWidth="1"/>
    <col min="3" max="3" width="15.85546875" bestFit="1" customWidth="1"/>
  </cols>
  <sheetData>
    <row r="1" spans="1:3" x14ac:dyDescent="0.25">
      <c r="A1" t="s">
        <v>86</v>
      </c>
      <c r="B1" t="s">
        <v>87</v>
      </c>
      <c r="C1" t="s">
        <v>88</v>
      </c>
    </row>
    <row r="2" spans="1:3" x14ac:dyDescent="0.25">
      <c r="A2">
        <v>1</v>
      </c>
      <c r="B2" t="s">
        <v>84</v>
      </c>
      <c r="C2" t="s">
        <v>89</v>
      </c>
    </row>
    <row r="3" spans="1:3" x14ac:dyDescent="0.25">
      <c r="A3">
        <v>2</v>
      </c>
      <c r="B3" t="s">
        <v>49</v>
      </c>
      <c r="C3" t="s">
        <v>90</v>
      </c>
    </row>
    <row r="4" spans="1:3" x14ac:dyDescent="0.25">
      <c r="A4">
        <v>3</v>
      </c>
      <c r="B4" t="s">
        <v>66</v>
      </c>
      <c r="C4" t="s">
        <v>91</v>
      </c>
    </row>
    <row r="5" spans="1:3" x14ac:dyDescent="0.25">
      <c r="A5">
        <v>4</v>
      </c>
      <c r="B5" t="s">
        <v>72</v>
      </c>
      <c r="C5" t="s">
        <v>92</v>
      </c>
    </row>
    <row r="6" spans="1:3" x14ac:dyDescent="0.25">
      <c r="A6">
        <v>5</v>
      </c>
      <c r="B6" t="s">
        <v>73</v>
      </c>
      <c r="C6" t="s">
        <v>93</v>
      </c>
    </row>
    <row r="7" spans="1:3" x14ac:dyDescent="0.25">
      <c r="A7">
        <v>6</v>
      </c>
      <c r="B7" t="s">
        <v>36</v>
      </c>
      <c r="C7" t="s">
        <v>94</v>
      </c>
    </row>
    <row r="8" spans="1:3" x14ac:dyDescent="0.25">
      <c r="A8">
        <v>7</v>
      </c>
      <c r="B8" t="s">
        <v>12</v>
      </c>
      <c r="C8" t="s">
        <v>95</v>
      </c>
    </row>
    <row r="9" spans="1:3" x14ac:dyDescent="0.25">
      <c r="A9">
        <v>8</v>
      </c>
      <c r="B9" t="s">
        <v>75</v>
      </c>
      <c r="C9" t="s">
        <v>96</v>
      </c>
    </row>
    <row r="10" spans="1:3" x14ac:dyDescent="0.25">
      <c r="A10">
        <v>9</v>
      </c>
      <c r="B10" t="s">
        <v>82</v>
      </c>
      <c r="C10" t="s">
        <v>97</v>
      </c>
    </row>
    <row r="11" spans="1:3" x14ac:dyDescent="0.25">
      <c r="A11">
        <v>10</v>
      </c>
      <c r="B11" t="s">
        <v>50</v>
      </c>
      <c r="C11" t="s">
        <v>98</v>
      </c>
    </row>
    <row r="12" spans="1:3" x14ac:dyDescent="0.25">
      <c r="A12">
        <v>11</v>
      </c>
      <c r="B12" t="s">
        <v>19</v>
      </c>
      <c r="C12" t="s">
        <v>99</v>
      </c>
    </row>
    <row r="13" spans="1:3" x14ac:dyDescent="0.25">
      <c r="A13">
        <v>12</v>
      </c>
      <c r="B13" t="s">
        <v>56</v>
      </c>
      <c r="C13" t="s">
        <v>100</v>
      </c>
    </row>
    <row r="14" spans="1:3" x14ac:dyDescent="0.25">
      <c r="A14">
        <v>13</v>
      </c>
      <c r="B14" t="s">
        <v>165</v>
      </c>
      <c r="C14" t="s">
        <v>173</v>
      </c>
    </row>
    <row r="15" spans="1:3" x14ac:dyDescent="0.25">
      <c r="A15">
        <v>14</v>
      </c>
      <c r="B15" t="s">
        <v>58</v>
      </c>
      <c r="C15" t="s">
        <v>101</v>
      </c>
    </row>
    <row r="16" spans="1:3" x14ac:dyDescent="0.25">
      <c r="A16">
        <v>15</v>
      </c>
      <c r="B16" t="s">
        <v>22</v>
      </c>
      <c r="C16" t="s">
        <v>102</v>
      </c>
    </row>
    <row r="17" spans="1:3" x14ac:dyDescent="0.25">
      <c r="A17">
        <v>16</v>
      </c>
      <c r="B17" t="s">
        <v>61</v>
      </c>
      <c r="C17" t="s">
        <v>103</v>
      </c>
    </row>
    <row r="18" spans="1:3" x14ac:dyDescent="0.25">
      <c r="A18">
        <v>17</v>
      </c>
      <c r="B18" t="s">
        <v>71</v>
      </c>
      <c r="C18" t="s">
        <v>104</v>
      </c>
    </row>
    <row r="19" spans="1:3" x14ac:dyDescent="0.25">
      <c r="A19">
        <v>18</v>
      </c>
      <c r="B19" t="s">
        <v>23</v>
      </c>
      <c r="C19" t="s">
        <v>105</v>
      </c>
    </row>
    <row r="20" spans="1:3" x14ac:dyDescent="0.25">
      <c r="A20">
        <v>19</v>
      </c>
      <c r="B20" t="s">
        <v>59</v>
      </c>
      <c r="C20" t="s">
        <v>106</v>
      </c>
    </row>
    <row r="21" spans="1:3" x14ac:dyDescent="0.25">
      <c r="A21">
        <v>20</v>
      </c>
      <c r="B21" t="s">
        <v>166</v>
      </c>
      <c r="C21" t="s">
        <v>174</v>
      </c>
    </row>
    <row r="22" spans="1:3" x14ac:dyDescent="0.25">
      <c r="A22">
        <v>21</v>
      </c>
      <c r="B22" t="s">
        <v>31</v>
      </c>
      <c r="C22" t="s">
        <v>107</v>
      </c>
    </row>
    <row r="23" spans="1:3" x14ac:dyDescent="0.25">
      <c r="A23">
        <v>22</v>
      </c>
      <c r="B23" t="s">
        <v>48</v>
      </c>
      <c r="C23" t="s">
        <v>108</v>
      </c>
    </row>
    <row r="24" spans="1:3" x14ac:dyDescent="0.25">
      <c r="A24">
        <v>23</v>
      </c>
      <c r="B24" t="s">
        <v>80</v>
      </c>
      <c r="C24" t="s">
        <v>109</v>
      </c>
    </row>
    <row r="25" spans="1:3" x14ac:dyDescent="0.25">
      <c r="A25">
        <v>24</v>
      </c>
      <c r="B25" t="s">
        <v>16</v>
      </c>
      <c r="C25" t="s">
        <v>110</v>
      </c>
    </row>
    <row r="26" spans="1:3" x14ac:dyDescent="0.25">
      <c r="A26">
        <v>25</v>
      </c>
      <c r="B26" t="s">
        <v>29</v>
      </c>
      <c r="C26" t="s">
        <v>111</v>
      </c>
    </row>
    <row r="27" spans="1:3" x14ac:dyDescent="0.25">
      <c r="A27">
        <v>26</v>
      </c>
      <c r="B27" t="s">
        <v>65</v>
      </c>
      <c r="C27" t="s">
        <v>112</v>
      </c>
    </row>
    <row r="28" spans="1:3" x14ac:dyDescent="0.25">
      <c r="A28">
        <v>27</v>
      </c>
      <c r="B28" t="s">
        <v>20</v>
      </c>
      <c r="C28" t="s">
        <v>113</v>
      </c>
    </row>
    <row r="29" spans="1:3" x14ac:dyDescent="0.25">
      <c r="A29">
        <v>28</v>
      </c>
      <c r="B29" t="s">
        <v>28</v>
      </c>
      <c r="C29" t="s">
        <v>114</v>
      </c>
    </row>
    <row r="30" spans="1:3" x14ac:dyDescent="0.25">
      <c r="A30">
        <v>29</v>
      </c>
      <c r="B30" t="s">
        <v>46</v>
      </c>
      <c r="C30" t="s">
        <v>115</v>
      </c>
    </row>
    <row r="31" spans="1:3" x14ac:dyDescent="0.25">
      <c r="A31">
        <v>30</v>
      </c>
      <c r="B31" t="s">
        <v>13</v>
      </c>
      <c r="C31" t="s">
        <v>116</v>
      </c>
    </row>
    <row r="32" spans="1:3" x14ac:dyDescent="0.25">
      <c r="A32">
        <v>31</v>
      </c>
      <c r="B32" t="s">
        <v>25</v>
      </c>
      <c r="C32" t="s">
        <v>117</v>
      </c>
    </row>
    <row r="33" spans="1:3" x14ac:dyDescent="0.25">
      <c r="A33">
        <v>32</v>
      </c>
      <c r="B33" t="s">
        <v>77</v>
      </c>
      <c r="C33" t="s">
        <v>118</v>
      </c>
    </row>
    <row r="34" spans="1:3" x14ac:dyDescent="0.25">
      <c r="A34">
        <v>33</v>
      </c>
      <c r="B34" t="s">
        <v>35</v>
      </c>
      <c r="C34" t="s">
        <v>119</v>
      </c>
    </row>
    <row r="35" spans="1:3" x14ac:dyDescent="0.25">
      <c r="A35">
        <v>34</v>
      </c>
      <c r="B35" t="s">
        <v>70</v>
      </c>
      <c r="C35" t="s">
        <v>120</v>
      </c>
    </row>
    <row r="36" spans="1:3" x14ac:dyDescent="0.25">
      <c r="A36">
        <v>35</v>
      </c>
      <c r="B36" t="s">
        <v>81</v>
      </c>
      <c r="C36" t="s">
        <v>121</v>
      </c>
    </row>
    <row r="37" spans="1:3" x14ac:dyDescent="0.25">
      <c r="A37">
        <v>36</v>
      </c>
      <c r="B37" t="s">
        <v>62</v>
      </c>
      <c r="C37" t="s">
        <v>122</v>
      </c>
    </row>
    <row r="38" spans="1:3" x14ac:dyDescent="0.25">
      <c r="A38">
        <v>37</v>
      </c>
      <c r="B38" t="s">
        <v>26</v>
      </c>
      <c r="C38" t="s">
        <v>123</v>
      </c>
    </row>
    <row r="39" spans="1:3" x14ac:dyDescent="0.25">
      <c r="A39">
        <v>38</v>
      </c>
      <c r="B39" t="s">
        <v>85</v>
      </c>
      <c r="C39" t="s">
        <v>124</v>
      </c>
    </row>
    <row r="40" spans="1:3" x14ac:dyDescent="0.25">
      <c r="A40">
        <v>39</v>
      </c>
      <c r="B40" t="s">
        <v>53</v>
      </c>
      <c r="C40" t="s">
        <v>125</v>
      </c>
    </row>
    <row r="41" spans="1:3" x14ac:dyDescent="0.25">
      <c r="A41">
        <v>40</v>
      </c>
      <c r="B41" t="s">
        <v>54</v>
      </c>
      <c r="C41" t="s">
        <v>126</v>
      </c>
    </row>
    <row r="42" spans="1:3" x14ac:dyDescent="0.25">
      <c r="A42">
        <v>41</v>
      </c>
      <c r="B42" t="s">
        <v>78</v>
      </c>
      <c r="C42" t="s">
        <v>127</v>
      </c>
    </row>
    <row r="43" spans="1:3" x14ac:dyDescent="0.25">
      <c r="A43">
        <v>42</v>
      </c>
      <c r="B43" t="s">
        <v>55</v>
      </c>
      <c r="C43" t="s">
        <v>128</v>
      </c>
    </row>
    <row r="44" spans="1:3" x14ac:dyDescent="0.25">
      <c r="A44">
        <v>43</v>
      </c>
      <c r="B44" t="s">
        <v>57</v>
      </c>
      <c r="C44" t="s">
        <v>129</v>
      </c>
    </row>
    <row r="45" spans="1:3" x14ac:dyDescent="0.25">
      <c r="A45">
        <v>44</v>
      </c>
      <c r="B45" t="s">
        <v>83</v>
      </c>
      <c r="C45" t="s">
        <v>130</v>
      </c>
    </row>
    <row r="46" spans="1:3" x14ac:dyDescent="0.25">
      <c r="A46">
        <v>45</v>
      </c>
      <c r="B46" t="s">
        <v>167</v>
      </c>
      <c r="C46" t="s">
        <v>175</v>
      </c>
    </row>
    <row r="47" spans="1:3" x14ac:dyDescent="0.25">
      <c r="A47">
        <v>46</v>
      </c>
      <c r="B47" t="s">
        <v>68</v>
      </c>
      <c r="C47" t="s">
        <v>131</v>
      </c>
    </row>
    <row r="48" spans="1:3" x14ac:dyDescent="0.25">
      <c r="A48">
        <v>47</v>
      </c>
      <c r="B48" t="s">
        <v>24</v>
      </c>
      <c r="C48" t="s">
        <v>132</v>
      </c>
    </row>
    <row r="49" spans="1:3" x14ac:dyDescent="0.25">
      <c r="A49">
        <v>48</v>
      </c>
      <c r="B49" t="s">
        <v>14</v>
      </c>
      <c r="C49" t="s">
        <v>133</v>
      </c>
    </row>
    <row r="50" spans="1:3" x14ac:dyDescent="0.25">
      <c r="A50">
        <v>49</v>
      </c>
      <c r="B50" t="s">
        <v>10</v>
      </c>
      <c r="C50" t="s">
        <v>134</v>
      </c>
    </row>
    <row r="51" spans="1:3" x14ac:dyDescent="0.25">
      <c r="A51">
        <v>50</v>
      </c>
      <c r="B51" t="s">
        <v>168</v>
      </c>
      <c r="C51" t="s">
        <v>176</v>
      </c>
    </row>
    <row r="52" spans="1:3" x14ac:dyDescent="0.25">
      <c r="A52">
        <v>51</v>
      </c>
      <c r="B52" t="s">
        <v>37</v>
      </c>
      <c r="C52" t="s">
        <v>135</v>
      </c>
    </row>
    <row r="53" spans="1:3" x14ac:dyDescent="0.25">
      <c r="A53">
        <v>52</v>
      </c>
      <c r="B53" t="s">
        <v>30</v>
      </c>
      <c r="C53" t="s">
        <v>136</v>
      </c>
    </row>
    <row r="54" spans="1:3" x14ac:dyDescent="0.25">
      <c r="A54">
        <v>53</v>
      </c>
      <c r="B54" t="s">
        <v>17</v>
      </c>
      <c r="C54" t="s">
        <v>137</v>
      </c>
    </row>
    <row r="55" spans="1:3" x14ac:dyDescent="0.25">
      <c r="A55">
        <v>54</v>
      </c>
      <c r="B55" t="s">
        <v>18</v>
      </c>
      <c r="C55" t="s">
        <v>138</v>
      </c>
    </row>
    <row r="56" spans="1:3" x14ac:dyDescent="0.25">
      <c r="A56">
        <v>55</v>
      </c>
      <c r="B56" t="s">
        <v>32</v>
      </c>
      <c r="C56" t="s">
        <v>139</v>
      </c>
    </row>
    <row r="57" spans="1:3" x14ac:dyDescent="0.25">
      <c r="A57">
        <v>56</v>
      </c>
      <c r="B57" t="s">
        <v>169</v>
      </c>
      <c r="C57" t="s">
        <v>177</v>
      </c>
    </row>
    <row r="58" spans="1:3" x14ac:dyDescent="0.25">
      <c r="A58">
        <v>57</v>
      </c>
      <c r="B58" t="s">
        <v>44</v>
      </c>
      <c r="C58" t="s">
        <v>140</v>
      </c>
    </row>
    <row r="59" spans="1:3" x14ac:dyDescent="0.25">
      <c r="A59">
        <v>58</v>
      </c>
      <c r="B59" t="s">
        <v>38</v>
      </c>
      <c r="C59" t="s">
        <v>141</v>
      </c>
    </row>
    <row r="60" spans="1:3" x14ac:dyDescent="0.25">
      <c r="A60">
        <v>59</v>
      </c>
      <c r="B60" t="s">
        <v>21</v>
      </c>
      <c r="C60" t="s">
        <v>142</v>
      </c>
    </row>
    <row r="61" spans="1:3" x14ac:dyDescent="0.25">
      <c r="A61">
        <v>60</v>
      </c>
      <c r="B61" t="s">
        <v>51</v>
      </c>
      <c r="C61" t="s">
        <v>143</v>
      </c>
    </row>
    <row r="62" spans="1:3" x14ac:dyDescent="0.25">
      <c r="A62">
        <v>61</v>
      </c>
      <c r="B62" t="s">
        <v>34</v>
      </c>
      <c r="C62" t="s">
        <v>144</v>
      </c>
    </row>
    <row r="63" spans="1:3" x14ac:dyDescent="0.25">
      <c r="A63">
        <v>62</v>
      </c>
      <c r="B63" t="s">
        <v>74</v>
      </c>
      <c r="C63" t="s">
        <v>145</v>
      </c>
    </row>
    <row r="64" spans="1:3" x14ac:dyDescent="0.25">
      <c r="A64">
        <v>63</v>
      </c>
      <c r="B64" t="s">
        <v>39</v>
      </c>
      <c r="C64" t="s">
        <v>146</v>
      </c>
    </row>
    <row r="65" spans="1:3" x14ac:dyDescent="0.25">
      <c r="A65">
        <v>64</v>
      </c>
      <c r="B65" t="s">
        <v>47</v>
      </c>
      <c r="C65" t="s">
        <v>147</v>
      </c>
    </row>
    <row r="66" spans="1:3" x14ac:dyDescent="0.25">
      <c r="A66">
        <v>65</v>
      </c>
      <c r="B66" t="s">
        <v>40</v>
      </c>
      <c r="C66" t="s">
        <v>148</v>
      </c>
    </row>
    <row r="67" spans="1:3" x14ac:dyDescent="0.25">
      <c r="A67">
        <v>66</v>
      </c>
      <c r="B67" t="s">
        <v>42</v>
      </c>
      <c r="C67" t="s">
        <v>149</v>
      </c>
    </row>
    <row r="68" spans="1:3" x14ac:dyDescent="0.25">
      <c r="A68">
        <v>67</v>
      </c>
      <c r="B68" t="s">
        <v>64</v>
      </c>
      <c r="C68" t="s">
        <v>150</v>
      </c>
    </row>
    <row r="69" spans="1:3" x14ac:dyDescent="0.25">
      <c r="A69">
        <v>68</v>
      </c>
      <c r="B69" t="s">
        <v>69</v>
      </c>
      <c r="C69" t="s">
        <v>151</v>
      </c>
    </row>
    <row r="70" spans="1:3" x14ac:dyDescent="0.25">
      <c r="A70">
        <v>69</v>
      </c>
      <c r="B70" t="s">
        <v>41</v>
      </c>
      <c r="C70" t="s">
        <v>152</v>
      </c>
    </row>
    <row r="71" spans="1:3" x14ac:dyDescent="0.25">
      <c r="A71">
        <v>70</v>
      </c>
      <c r="B71" t="s">
        <v>45</v>
      </c>
      <c r="C71" t="s">
        <v>153</v>
      </c>
    </row>
    <row r="72" spans="1:3" x14ac:dyDescent="0.25">
      <c r="A72">
        <v>71</v>
      </c>
      <c r="B72" t="s">
        <v>67</v>
      </c>
      <c r="C72" t="s">
        <v>154</v>
      </c>
    </row>
    <row r="73" spans="1:3" x14ac:dyDescent="0.25">
      <c r="A73">
        <v>72</v>
      </c>
      <c r="B73" t="s">
        <v>79</v>
      </c>
      <c r="C73" t="s">
        <v>155</v>
      </c>
    </row>
    <row r="74" spans="1:3" x14ac:dyDescent="0.25">
      <c r="A74">
        <v>73</v>
      </c>
      <c r="B74" t="s">
        <v>170</v>
      </c>
      <c r="C74" t="s">
        <v>178</v>
      </c>
    </row>
    <row r="75" spans="1:3" x14ac:dyDescent="0.25">
      <c r="A75">
        <v>74</v>
      </c>
      <c r="B75" t="s">
        <v>27</v>
      </c>
      <c r="C75" t="s">
        <v>156</v>
      </c>
    </row>
    <row r="76" spans="1:3" x14ac:dyDescent="0.25">
      <c r="A76">
        <v>75</v>
      </c>
      <c r="B76" t="s">
        <v>171</v>
      </c>
      <c r="C76" t="s">
        <v>179</v>
      </c>
    </row>
    <row r="77" spans="1:3" x14ac:dyDescent="0.25">
      <c r="A77">
        <v>76</v>
      </c>
      <c r="B77" t="s">
        <v>63</v>
      </c>
      <c r="C77" t="s">
        <v>157</v>
      </c>
    </row>
    <row r="78" spans="1:3" x14ac:dyDescent="0.25">
      <c r="A78">
        <v>77</v>
      </c>
      <c r="B78" t="s">
        <v>11</v>
      </c>
      <c r="C78" t="s">
        <v>158</v>
      </c>
    </row>
    <row r="79" spans="1:3" x14ac:dyDescent="0.25">
      <c r="A79">
        <v>78</v>
      </c>
      <c r="B79" t="s">
        <v>43</v>
      </c>
      <c r="C79" t="s">
        <v>159</v>
      </c>
    </row>
    <row r="80" spans="1:3" x14ac:dyDescent="0.25">
      <c r="A80">
        <v>79</v>
      </c>
      <c r="B80" t="s">
        <v>7</v>
      </c>
      <c r="C80" t="s">
        <v>160</v>
      </c>
    </row>
    <row r="81" spans="1:3" x14ac:dyDescent="0.25">
      <c r="A81">
        <v>80</v>
      </c>
      <c r="B81" t="s">
        <v>76</v>
      </c>
      <c r="C81" t="s">
        <v>161</v>
      </c>
    </row>
    <row r="82" spans="1:3" x14ac:dyDescent="0.25">
      <c r="A82">
        <v>81</v>
      </c>
      <c r="B82" t="s">
        <v>172</v>
      </c>
      <c r="C82" t="s">
        <v>180</v>
      </c>
    </row>
    <row r="83" spans="1:3" x14ac:dyDescent="0.25">
      <c r="A83">
        <v>82</v>
      </c>
      <c r="B83" t="s">
        <v>60</v>
      </c>
      <c r="C83" t="s">
        <v>162</v>
      </c>
    </row>
    <row r="84" spans="1:3" x14ac:dyDescent="0.25">
      <c r="A84">
        <v>83</v>
      </c>
      <c r="B84" t="s">
        <v>15</v>
      </c>
      <c r="C84" s="14" t="s">
        <v>163</v>
      </c>
    </row>
  </sheetData>
  <autoFilter ref="A1:D1" xr:uid="{F538A265-7C99-49B9-86CF-E245460FA6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obaid.gulraiz@salaamtakaful.com</dc:creator>
  <cp:lastModifiedBy>IT User Software</cp:lastModifiedBy>
  <dcterms:created xsi:type="dcterms:W3CDTF">2025-10-10T06:52:43Z</dcterms:created>
  <dcterms:modified xsi:type="dcterms:W3CDTF">2025-10-10T10:37:48Z</dcterms:modified>
</cp:coreProperties>
</file>