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Premium\"/>
    </mc:Choice>
  </mc:AlternateContent>
  <xr:revisionPtr revIDLastSave="0" documentId="13_ncr:1_{FD96B2CA-7FC9-4A8D-BD0F-47F59CBE27C9}" xr6:coauthVersionLast="47" xr6:coauthVersionMax="47" xr10:uidLastSave="{00000000-0000-0000-0000-000000000000}"/>
  <bookViews>
    <workbookView xWindow="-120" yWindow="-120" windowWidth="20730" windowHeight="11160" activeTab="1" xr2:uid="{6DD31042-8A1D-4635-BB20-96654B2F00B9}"/>
  </bookViews>
  <sheets>
    <sheet name="Sheet1" sheetId="1" r:id="rId1"/>
    <sheet name="Working" sheetId="2" r:id="rId2"/>
    <sheet name="policy" sheetId="3" r:id="rId3"/>
    <sheet name="certificate" sheetId="4" r:id="rId4"/>
  </sheets>
  <definedNames>
    <definedName name="_xlnm._FilterDatabase" localSheetId="0" hidden="1">Sheet1!$A$1:$C$143</definedName>
    <definedName name="_xlnm._FilterDatabase" localSheetId="1" hidden="1">Working!$A$1:$H$142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4" l="1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H17" i="2" s="1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2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H111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H99" i="2"/>
  <c r="F99" i="2"/>
  <c r="F98" i="2"/>
  <c r="F97" i="2"/>
  <c r="F96" i="2"/>
  <c r="H95" i="2"/>
  <c r="F95" i="2"/>
  <c r="F94" i="2"/>
  <c r="F93" i="2"/>
  <c r="F92" i="2"/>
  <c r="F91" i="2"/>
  <c r="F90" i="2"/>
  <c r="F89" i="2"/>
  <c r="F88" i="2"/>
  <c r="F87" i="2"/>
  <c r="F86" i="2"/>
  <c r="F85" i="2"/>
  <c r="F84" i="2"/>
  <c r="H83" i="2"/>
  <c r="F83" i="2"/>
  <c r="F82" i="2"/>
  <c r="F81" i="2"/>
  <c r="F80" i="2"/>
  <c r="F79" i="2"/>
  <c r="F78" i="2"/>
  <c r="F77" i="2"/>
  <c r="F76" i="2"/>
  <c r="H75" i="2"/>
  <c r="F75" i="2"/>
  <c r="F74" i="2"/>
  <c r="F73" i="2"/>
  <c r="F72" i="2"/>
  <c r="F71" i="2"/>
  <c r="F70" i="2"/>
  <c r="F69" i="2"/>
  <c r="F68" i="2"/>
  <c r="H67" i="2"/>
  <c r="F67" i="2"/>
  <c r="F66" i="2"/>
  <c r="F65" i="2"/>
  <c r="F64" i="2"/>
  <c r="F63" i="2"/>
  <c r="F62" i="2"/>
  <c r="F61" i="2"/>
  <c r="F60" i="2"/>
  <c r="H59" i="2"/>
  <c r="F59" i="2"/>
  <c r="F58" i="2"/>
  <c r="F57" i="2"/>
  <c r="F56" i="2"/>
  <c r="F55" i="2"/>
  <c r="F54" i="2"/>
  <c r="F53" i="2"/>
  <c r="H52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H35" i="2" s="1"/>
  <c r="F34" i="2"/>
  <c r="F33" i="2"/>
  <c r="F32" i="2"/>
  <c r="F31" i="2"/>
  <c r="F30" i="2"/>
  <c r="F29" i="2"/>
  <c r="F28" i="2"/>
  <c r="F27" i="2"/>
  <c r="F26" i="2"/>
  <c r="F25" i="2"/>
  <c r="H24" i="2"/>
  <c r="F24" i="2"/>
  <c r="F23" i="2"/>
  <c r="F22" i="2"/>
  <c r="F21" i="2"/>
  <c r="F20" i="2"/>
  <c r="F19" i="2"/>
  <c r="F18" i="2"/>
  <c r="F17" i="2"/>
  <c r="F16" i="2"/>
  <c r="H15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H138" i="2" l="1"/>
  <c r="H130" i="2"/>
  <c r="H126" i="2"/>
  <c r="H122" i="2"/>
  <c r="H98" i="2"/>
  <c r="H94" i="2"/>
  <c r="H90" i="2"/>
  <c r="H142" i="2"/>
  <c r="H23" i="2"/>
  <c r="H84" i="2"/>
  <c r="H87" i="2"/>
  <c r="H116" i="2"/>
  <c r="H134" i="2"/>
  <c r="H102" i="2"/>
  <c r="H48" i="2"/>
  <c r="H79" i="2"/>
  <c r="H91" i="2"/>
  <c r="H9" i="2"/>
  <c r="H28" i="2"/>
  <c r="H47" i="2"/>
  <c r="H103" i="2"/>
  <c r="H7" i="2"/>
  <c r="H55" i="2"/>
  <c r="H63" i="2"/>
  <c r="H71" i="2"/>
  <c r="H107" i="2"/>
  <c r="H115" i="2"/>
  <c r="H62" i="2"/>
  <c r="H70" i="2"/>
  <c r="H53" i="2"/>
  <c r="H37" i="2"/>
  <c r="H45" i="2"/>
  <c r="H6" i="2"/>
  <c r="H18" i="2"/>
  <c r="H22" i="2"/>
  <c r="H119" i="2"/>
  <c r="H133" i="2"/>
  <c r="H141" i="2"/>
  <c r="H2" i="2"/>
  <c r="H25" i="2"/>
  <c r="H31" i="2"/>
  <c r="H33" i="2"/>
  <c r="H39" i="2"/>
  <c r="H43" i="2"/>
  <c r="H56" i="2"/>
  <c r="H60" i="2"/>
  <c r="H64" i="2"/>
  <c r="H68" i="2"/>
  <c r="H72" i="2"/>
  <c r="H76" i="2"/>
  <c r="H82" i="2"/>
  <c r="H86" i="2"/>
  <c r="H92" i="2"/>
  <c r="H100" i="2"/>
  <c r="H123" i="2"/>
  <c r="H127" i="2"/>
  <c r="H131" i="2"/>
  <c r="H135" i="2"/>
  <c r="H139" i="2"/>
  <c r="H8" i="2"/>
  <c r="H12" i="2"/>
  <c r="H16" i="2"/>
  <c r="H20" i="2"/>
  <c r="H26" i="2"/>
  <c r="H30" i="2"/>
  <c r="H38" i="2"/>
  <c r="H51" i="2"/>
  <c r="H69" i="2"/>
  <c r="H77" i="2"/>
  <c r="H85" i="2"/>
  <c r="H106" i="2"/>
  <c r="H110" i="2"/>
  <c r="H114" i="2"/>
  <c r="H118" i="2"/>
  <c r="H124" i="2"/>
  <c r="H132" i="2"/>
  <c r="H3" i="2"/>
  <c r="H5" i="2"/>
  <c r="H11" i="2"/>
  <c r="H13" i="2"/>
  <c r="H19" i="2"/>
  <c r="H21" i="2"/>
  <c r="H54" i="2"/>
  <c r="H101" i="2"/>
  <c r="H109" i="2"/>
  <c r="H117" i="2"/>
  <c r="H34" i="2"/>
  <c r="H10" i="2"/>
  <c r="H14" i="2"/>
  <c r="H27" i="2"/>
  <c r="H29" i="2"/>
  <c r="H44" i="2"/>
  <c r="H46" i="2"/>
  <c r="H61" i="2"/>
  <c r="H78" i="2"/>
  <c r="H93" i="2"/>
  <c r="H108" i="2"/>
  <c r="H125" i="2"/>
  <c r="H140" i="2"/>
  <c r="H40" i="2"/>
  <c r="H42" i="2"/>
  <c r="H49" i="2"/>
  <c r="H58" i="2"/>
  <c r="H65" i="2"/>
  <c r="H74" i="2"/>
  <c r="H81" i="2"/>
  <c r="H88" i="2"/>
  <c r="H97" i="2"/>
  <c r="H104" i="2"/>
  <c r="H113" i="2"/>
  <c r="H120" i="2"/>
  <c r="H129" i="2"/>
  <c r="H136" i="2"/>
  <c r="H32" i="2"/>
  <c r="H41" i="2"/>
  <c r="H57" i="2"/>
  <c r="H66" i="2"/>
  <c r="H73" i="2"/>
  <c r="H80" i="2"/>
  <c r="H89" i="2"/>
  <c r="H96" i="2"/>
  <c r="H105" i="2"/>
  <c r="H112" i="2"/>
  <c r="H121" i="2"/>
  <c r="H128" i="2"/>
  <c r="H137" i="2"/>
  <c r="H4" i="2"/>
  <c r="H36" i="2"/>
  <c r="H50" i="2"/>
  <c r="C143" i="1" l="1"/>
</calcChain>
</file>

<file path=xl/sharedStrings.xml><?xml version="1.0" encoding="utf-8"?>
<sst xmlns="http://schemas.openxmlformats.org/spreadsheetml/2006/main" count="1082" uniqueCount="417">
  <si>
    <t>S.NO</t>
  </si>
  <si>
    <t>End No</t>
  </si>
  <si>
    <t>PREM</t>
  </si>
  <si>
    <t>KHI/HO/D/HLGRP HEALTH/E/18441/02/2023</t>
  </si>
  <si>
    <t>KHI/HO/D/HLGRP HEALTH/E/18449/02/2023</t>
  </si>
  <si>
    <t>KHI/HO/D/HLGRP HEALTH/E/18541/02/2023</t>
  </si>
  <si>
    <t>KHI/HO/D/HLGRP HEALTH/E/18607/02/2023</t>
  </si>
  <si>
    <t>KHI/HO/D/HLGRP HEALTH/E/18663/03/2023</t>
  </si>
  <si>
    <t>KHI/HO/D/HLGRP HEALTH/E/18693/03/2023</t>
  </si>
  <si>
    <t>KHI/HO/D/HLGRP HEALTH/E/18712/03/2023</t>
  </si>
  <si>
    <t>KHI/HO/D/HLGRP HEALTH/E/18744/03/2023</t>
  </si>
  <si>
    <t>KHI/HO/D/HLGRP HEALTH/E/18782/03/2023</t>
  </si>
  <si>
    <t>KHI/HO/D/HLGRP HEALTH/E/18802/03/2023</t>
  </si>
  <si>
    <t>KHI/HO/D/HLGRP HEALTH/E/18906/03/2023</t>
  </si>
  <si>
    <t>KHI/HO/D/HLGRP HEALTH/E/18936/03/2023</t>
  </si>
  <si>
    <t>KHI/HO/D/HLGRP HEALTH/E/18979/03/2023</t>
  </si>
  <si>
    <t>KHI/HO/D/HLGRP HEALTH/E/18997/03/2023</t>
  </si>
  <si>
    <t>KHI/HO/D/HLGRP HEALTH/E/19090/03/2023</t>
  </si>
  <si>
    <t>KHI/HO/D/HLGRP HEALTH/E/19164/04/2023</t>
  </si>
  <si>
    <t>KHI/HO/D/HLGRP HEALTH/E/19172/04/2023</t>
  </si>
  <si>
    <t>KHI/HO/D/HLGRP HEALTH/E/19214/04/2023</t>
  </si>
  <si>
    <t>KHI/HO/D/HLGRP HEALTH/E/19231/04/2023</t>
  </si>
  <si>
    <t>KHI/HO/D/HLGRP HEALTH/E/19287/04/2023</t>
  </si>
  <si>
    <t>KHI/HO/D/HLGRP HEALTH/E/19314/04/2023</t>
  </si>
  <si>
    <t>KHI/HO/D/HLGRP HEALTH/E/19371/04/2023</t>
  </si>
  <si>
    <t>KHI/HO/D/HLGRP HEALTH/E/19420/04/2023</t>
  </si>
  <si>
    <t>KHI/HO/D/HLGRP HEALTH/E/19453/04/2023</t>
  </si>
  <si>
    <t>KHI/HO/D/HLGRP HEALTH/E/19503/05/2023</t>
  </si>
  <si>
    <t>KHI/HO/D/HLGRP HEALTH/E/19595/05/2023</t>
  </si>
  <si>
    <t>KHI/HO/D/HLGRP HEALTH/E/19635/05/2023</t>
  </si>
  <si>
    <t>KHI/HO/D/HLGRP HEALTH/E/19664/05/2023</t>
  </si>
  <si>
    <t>KHI/HO/D/HLGRP HEALTH/E/19699/05/2023</t>
  </si>
  <si>
    <t>KHI/HO/D/HLGRP HEALTH/E/19706/05/2023</t>
  </si>
  <si>
    <t>KHI/HO/D/HLGRP HEALTH/E/19749/05/2023</t>
  </si>
  <si>
    <t>KHI/HO/D/HLGRP HEALTH/E/19779/05/2023</t>
  </si>
  <si>
    <t>KHI/HO/D/HLGRP HEALTH/E/19821/05/2023</t>
  </si>
  <si>
    <t>KHI/HO/D/HLGRP HEALTH/E/19850/05/2023</t>
  </si>
  <si>
    <t>KHI/HO/D/HLGRP HEALTH/E/19853/05/2023</t>
  </si>
  <si>
    <t>KHI/HO/D/HLGRP HEALTH/E/19903/05/2023</t>
  </si>
  <si>
    <t>KHI/HO/D/HLGRP HEALTH/E/19957/05/2023</t>
  </si>
  <si>
    <t>KHI/HO/D/HLGRP HEALTH/E/19978/05/2023</t>
  </si>
  <si>
    <t>KHI/HO/D/HLGRP HEALTH/E/20004/06/2023</t>
  </si>
  <si>
    <t>KHI/HO/D/HLGRP HEALTH/E/20037/06/2023</t>
  </si>
  <si>
    <t>KHI/HO/D/HLGRP HEALTH/E/20047/06/2023</t>
  </si>
  <si>
    <t>KHI/HO/D/HLGRP HEALTH/E/20134/06/2023</t>
  </si>
  <si>
    <t>KHI/HO/D/HLGRP HEALTH/E/20192/06/2023</t>
  </si>
  <si>
    <t>KHI/HO/D/HLGRP HEALTH/E/20220/06/2023</t>
  </si>
  <si>
    <t>KHI/HO/D/HLGRP HEALTH/E/20244/06/2023</t>
  </si>
  <si>
    <t>KHI/HO/D/HLGRP HEALTH/E/20303/06/2023</t>
  </si>
  <si>
    <t>KHI/HO/D/HLGRP HEALTH/E/20328/06/2023</t>
  </si>
  <si>
    <t>KHI/HO/D/HLGRP HEALTH/E/20383/06/2023</t>
  </si>
  <si>
    <t>KHI/HO/D/HLGRP HEALTH/E/20447/06/2023</t>
  </si>
  <si>
    <t>KHI/HO/D/HLGRP HEALTH/E/20482/06/2023</t>
  </si>
  <si>
    <t>KHI/HO/D/HLGRP HEALTH/E/20494/06/2023</t>
  </si>
  <si>
    <t>KHI/HO/D/HLGRP HEALTH/E/20516/07/2023</t>
  </si>
  <si>
    <t>KHI/HO/D/HLGRP HEALTH/E/20550/07/2023</t>
  </si>
  <si>
    <t>KHI/HO/D/HLGRP HEALTH/E/20588/07/2023</t>
  </si>
  <si>
    <t>KHI/HO/D/HLGRP HEALTH/E/20633/07/2023</t>
  </si>
  <si>
    <t>KHI/HO/D/HLGRP HEALTH/E/20650/07/2023</t>
  </si>
  <si>
    <t>KHI/HO/D/HLGRP HEALTH/E/20680/07/2023</t>
  </si>
  <si>
    <t>KHI/HO/D/HLGRP HEALTH/E/20746/07/2023</t>
  </si>
  <si>
    <t>KHI/HO/D/HLGRP HEALTH/E/20777/07/2023</t>
  </si>
  <si>
    <t>KHI/HO/D/HLGRP HEALTH/E/20790/07/2023</t>
  </si>
  <si>
    <t>KHI/HO/D/HLGRP HEALTH/E/20841/08/2023</t>
  </si>
  <si>
    <t>KHI/HO/D/HLGRP HEALTH/E/20865/08/2023</t>
  </si>
  <si>
    <t>KHI/HO/D/HLGRP HEALTH/E/20910/08/2023</t>
  </si>
  <si>
    <t>KHI/HO/D/HLGRP HEALTH/E/20938/08/2023</t>
  </si>
  <si>
    <t>KHI/HO/D/HLGRP HEALTH/E/20958/08/2023</t>
  </si>
  <si>
    <t>KHI/HO/D/HLGRP HEALTH/E/20992/08/2023</t>
  </si>
  <si>
    <t>KHI/HO/D/HLGRP HEALTH/E/21004/08/2023</t>
  </si>
  <si>
    <t>KHI/HO/D/HLGRP HEALTH/E/21058/08/2023</t>
  </si>
  <si>
    <t>KHI/HO/D/HLGRP HEALTH/E/21094/08/2023</t>
  </si>
  <si>
    <t>KHI/HO/D/HLGRP HEALTH/E/21163/08/2023</t>
  </si>
  <si>
    <t>KHI/HO/D/HLGRP HEALTH/E/21209/08/2023</t>
  </si>
  <si>
    <t>KHI/HO/D/HLGRP HEALTH/E/21235/08/2023</t>
  </si>
  <si>
    <t>KHI/HO/D/HLGRP HEALTH/E/21260/08/2023</t>
  </si>
  <si>
    <t>KHI/HO/D/HLGRP HEALTH/E/21306/09/2023</t>
  </si>
  <si>
    <t>KHI/HO/D/HLGRP HEALTH/E/21361/09/2023</t>
  </si>
  <si>
    <t>KHI/HO/D/HLGRP HEALTH/E/21396/09/2023</t>
  </si>
  <si>
    <t>KHI/HO/D/HLGRP HEALTH/E/21407/09/2023</t>
  </si>
  <si>
    <t>KHI/HO/D/HLGRP HEALTH/E/21435/09/2023</t>
  </si>
  <si>
    <t>KHI/HO/D/HLGRP HEALTH/E/21448/09/2023</t>
  </si>
  <si>
    <t>KHI/HO/D/HLGRP HEALTH/E/21477/09/2023</t>
  </si>
  <si>
    <t>KHI/HO/D/HLGRP HEALTH/E/21515/09/2023</t>
  </si>
  <si>
    <t>KHI/HO/D/HLGRP HEALTH/E/21547/09/2023</t>
  </si>
  <si>
    <t>KHI/HO/D/HLGRP HEALTH/E/21595/09/2023</t>
  </si>
  <si>
    <t>KHI/HO/D/HLGRP HEALTH/E/21623/09/2023</t>
  </si>
  <si>
    <t>KHI/HO/D/HLGRP HEALTH/E/21666/09/2023</t>
  </si>
  <si>
    <t>KHI/HO/D/HLGRP HEALTH/E/21710/09/2023</t>
  </si>
  <si>
    <t>KHI/HO/D/HLGRP HEALTH/E/21803/10/2023</t>
  </si>
  <si>
    <t>KHI/HO/D/HLGRP HEALTH/E/21833/10/2023</t>
  </si>
  <si>
    <t>KHI/HO/D/HLGRP HEALTH/E/21871/10/2023</t>
  </si>
  <si>
    <t>KHI/HO/D/HLGRP HEALTH/E/21913/10/2023</t>
  </si>
  <si>
    <t>KHI/HO/D/HLGRP HEALTH/E/21944/10/2023</t>
  </si>
  <si>
    <t>KHI/HO/D/HLGRP HEALTH/E/21945/10/2023</t>
  </si>
  <si>
    <t>KHI/HO/D/HLGRP HEALTH/E/21981/10/2023</t>
  </si>
  <si>
    <t>KHI/HO/D/HLGRP HEALTH/E/22018/10/2023</t>
  </si>
  <si>
    <t>KHI/HO/D/HLGRP HEALTH/E/22043/10/2023</t>
  </si>
  <si>
    <t>KHI/HO/D/HLGRP HEALTH/E/22060/10/2023</t>
  </si>
  <si>
    <t>KHI/HO/D/HLGRP HEALTH/E/22063/10/2023</t>
  </si>
  <si>
    <t>KHI/HO/D/HLGRP HEALTH/E/22083/10/2023</t>
  </si>
  <si>
    <t>KHI/HO/D/HLGRP HEALTH/E/22101/10/2023</t>
  </si>
  <si>
    <t>KHI/HO/D/HLGRP HEALTH/E/22114/10/2023</t>
  </si>
  <si>
    <t>KHI/HO/D/HLGRP HEALTH/E/22139/10/2023</t>
  </si>
  <si>
    <t>KHI/HO/D/HLGRP HEALTH/E/22167/10/2023</t>
  </si>
  <si>
    <t>KHI/HO/D/HLGRP HEALTH/E/22177/10/2023</t>
  </si>
  <si>
    <t>KHI/HO/D/HLGRP HEALTH/E/22211/10/2023</t>
  </si>
  <si>
    <t>KHI/HO/D/HLGRP HEALTH/E/22259/10/2023</t>
  </si>
  <si>
    <t>KHI/HO/D/HLGRP HEALTH/E/22281/10/2023</t>
  </si>
  <si>
    <t>KHI/HO/D/HLGRP HEALTH/E/22299/10/2023</t>
  </si>
  <si>
    <t>KHI/HO/D/HLGRP HEALTH/E/22301/10/2023</t>
  </si>
  <si>
    <t>KHI/HO/D/HLGRP HEALTH/E/22310/10/2023</t>
  </si>
  <si>
    <t>KHI/HO/D/HLGRP HEALTH/E/22355/11/2023</t>
  </si>
  <si>
    <t>KHI/HO/D/HLGRP HEALTH/E/22388/11/2023</t>
  </si>
  <si>
    <t>KHI/HO/D/HLGRP HEALTH/E/22428/11/2023</t>
  </si>
  <si>
    <t>KHI/HO/D/HLGRP HEALTH/E/22491/11/2023</t>
  </si>
  <si>
    <t>KHI/HO/D/HLGRP HEALTH/E/22516/11/2023</t>
  </si>
  <si>
    <t>KHI/HO/D/HLGRP HEALTH/E/22608/11/2023</t>
  </si>
  <si>
    <t>KHI/HO/D/HLGRP HEALTH/E/22669/11/2023</t>
  </si>
  <si>
    <t>KHI/HO/D/HLGRP HEALTH/E/22725/11/2023</t>
  </si>
  <si>
    <t>KHI/HO/D/HLGRP HEALTH/E/22749/11/2023</t>
  </si>
  <si>
    <t>KHI/HO/D/HLGRP HEALTH/E/22762/11/2023</t>
  </si>
  <si>
    <t>KHI/HO/D/HLGRP HEALTH/E/22779/11/2023</t>
  </si>
  <si>
    <t>KHI/HO/D/HLGRP HEALTH/E/22791/11/2023</t>
  </si>
  <si>
    <t>KHI/HO/D/HLGRP HEALTH/E/22812/11/2023</t>
  </si>
  <si>
    <t>KHI/HO/D/HLGRP HEALTH/E/22844/11/2023</t>
  </si>
  <si>
    <t>KHI/HO/D/HLGRP HEALTH/E/22865/12/2023</t>
  </si>
  <si>
    <t>KHI/HO/D/HLGRP HEALTH/E/22890/12/2023</t>
  </si>
  <si>
    <t>KHI/HO/D/HLGRP HEALTH/E/22944/12/2023</t>
  </si>
  <si>
    <t>KHI/HO/D/HLGRP HEALTH/E/22997/12/2023</t>
  </si>
  <si>
    <t>KHI/HO/D/HLGRP HEALTH/E/23032/12/2023</t>
  </si>
  <si>
    <t>KHI/HO/D/HLGRP HEALTH/E/23045/12/2023</t>
  </si>
  <si>
    <t>KHI/HO/D/HLGRP HEALTH/E/23093/12/2023</t>
  </si>
  <si>
    <t>KHI/HO/D/HLGRP HEALTH/E/23110/12/2023</t>
  </si>
  <si>
    <t>KHI/HO/D/HLGRP HEALTH/E/23139/12/2023</t>
  </si>
  <si>
    <t>KHI/HO/D/HLGRP HEALTH/E/23154/12/2023</t>
  </si>
  <si>
    <t>KHI/HO/D/HLGRP HEALTH/E/23182/12/2023</t>
  </si>
  <si>
    <t>KHI/HO/D/HLGRP HEALTH/E/23243/12/2023</t>
  </si>
  <si>
    <t>KHI/HO/D/HLGRP HEALTH/E/23256/12/2023</t>
  </si>
  <si>
    <t>KHI/HO/D/HLGRP HEALTH/E/23276/12/2023</t>
  </si>
  <si>
    <t>KHI/HO/D/HLGRP HEALTH/E/23297/12/2023</t>
  </si>
  <si>
    <t>KHI/HO/D/HLGRP HEALTH/E/23300/12/2023</t>
  </si>
  <si>
    <t>KHI/HO/D/HLGRP HEALTH/E/23345/01/2024</t>
  </si>
  <si>
    <t>KHI/HO/D/HLGRP HEALTH/E/26615/08/2024</t>
  </si>
  <si>
    <t>POLICY NO.</t>
  </si>
  <si>
    <t>Assorted_code</t>
  </si>
  <si>
    <t>Premium</t>
  </si>
  <si>
    <t>-02-2023</t>
  </si>
  <si>
    <t>-03-2023</t>
  </si>
  <si>
    <t>-04-2023</t>
  </si>
  <si>
    <t>-05-2023</t>
  </si>
  <si>
    <t>-06-2023</t>
  </si>
  <si>
    <t>-07-2023</t>
  </si>
  <si>
    <t>-08-2023</t>
  </si>
  <si>
    <t>-09-2023</t>
  </si>
  <si>
    <t>-10-2023</t>
  </si>
  <si>
    <t>-11-2023</t>
  </si>
  <si>
    <t>-12-2023</t>
  </si>
  <si>
    <t>-01-2024</t>
  </si>
  <si>
    <t>-08-2024</t>
  </si>
  <si>
    <t>050000561199</t>
  </si>
  <si>
    <t>050000561420</t>
  </si>
  <si>
    <t>050000562272</t>
  </si>
  <si>
    <t>050000563249</t>
  </si>
  <si>
    <t>050000566864</t>
  </si>
  <si>
    <t>050000567056</t>
  </si>
  <si>
    <t>050000568435</t>
  </si>
  <si>
    <t>050000568789</t>
  </si>
  <si>
    <t>050000570205</t>
  </si>
  <si>
    <t>050000570853</t>
  </si>
  <si>
    <t>050000572435</t>
  </si>
  <si>
    <t>050000572682</t>
  </si>
  <si>
    <t>050000574223</t>
  </si>
  <si>
    <t>050000574501</t>
  </si>
  <si>
    <t>050000575323</t>
  </si>
  <si>
    <t>050000578992</t>
  </si>
  <si>
    <t>050000579171</t>
  </si>
  <si>
    <t>050000582357</t>
  </si>
  <si>
    <t>050000582674</t>
  </si>
  <si>
    <t>050000585964</t>
  </si>
  <si>
    <t>050000586480</t>
  </si>
  <si>
    <t>050000587458</t>
  </si>
  <si>
    <t>050000587744</t>
  </si>
  <si>
    <t>050000588068</t>
  </si>
  <si>
    <t>050000590761</t>
  </si>
  <si>
    <t>050000594883</t>
  </si>
  <si>
    <t>050000595062</t>
  </si>
  <si>
    <t>050000595617</t>
  </si>
  <si>
    <t>050000597282</t>
  </si>
  <si>
    <t>050000597332</t>
  </si>
  <si>
    <t>050000597809</t>
  </si>
  <si>
    <t>050000598344</t>
  </si>
  <si>
    <t>050000598640</t>
  </si>
  <si>
    <t>050000599105</t>
  </si>
  <si>
    <t>050000599148</t>
  </si>
  <si>
    <t>050000599394</t>
  </si>
  <si>
    <t>050000599979</t>
  </si>
  <si>
    <t>050000600476</t>
  </si>
  <si>
    <t>050000600747</t>
  </si>
  <si>
    <t>050000602763</t>
  </si>
  <si>
    <t>050000603841</t>
  </si>
  <si>
    <t>050000608070</t>
  </si>
  <si>
    <t>050000610041</t>
  </si>
  <si>
    <t>050000610188</t>
  </si>
  <si>
    <t>050000612312</t>
  </si>
  <si>
    <t>050000614053</t>
  </si>
  <si>
    <t>050000614786</t>
  </si>
  <si>
    <t>050000615861</t>
  </si>
  <si>
    <t>050000617841</t>
  </si>
  <si>
    <t>050000619204</t>
  </si>
  <si>
    <t>050000619973</t>
  </si>
  <si>
    <t>050000622365</t>
  </si>
  <si>
    <t>050000622645</t>
  </si>
  <si>
    <t>050000623446</t>
  </si>
  <si>
    <t>050000623599</t>
  </si>
  <si>
    <t>050000624106</t>
  </si>
  <si>
    <t>050000625529</t>
  </si>
  <si>
    <t>050000626097</t>
  </si>
  <si>
    <t>050000626451</t>
  </si>
  <si>
    <t>050000626895</t>
  </si>
  <si>
    <t>050000627729</t>
  </si>
  <si>
    <t>050000628785</t>
  </si>
  <si>
    <t>050000631088</t>
  </si>
  <si>
    <t>050000632152</t>
  </si>
  <si>
    <t>050000632813</t>
  </si>
  <si>
    <t>050000633259</t>
  </si>
  <si>
    <t>050000633357</t>
  </si>
  <si>
    <t>050000635654</t>
  </si>
  <si>
    <t>050000636944</t>
  </si>
  <si>
    <t>050000638915</t>
  </si>
  <si>
    <t>050000639438</t>
  </si>
  <si>
    <t>050000640585</t>
  </si>
  <si>
    <t>050000641137</t>
  </si>
  <si>
    <t>050000641961</t>
  </si>
  <si>
    <t>050000646455</t>
  </si>
  <si>
    <t>050000647524</t>
  </si>
  <si>
    <t>050000647774</t>
  </si>
  <si>
    <t>050000647891</t>
  </si>
  <si>
    <t>050000647958</t>
  </si>
  <si>
    <t>050000648093</t>
  </si>
  <si>
    <t>050000648400</t>
  </si>
  <si>
    <t>050000648490</t>
  </si>
  <si>
    <t>050000649087</t>
  </si>
  <si>
    <t>050000649339</t>
  </si>
  <si>
    <t>050000652653</t>
  </si>
  <si>
    <t>050000652911</t>
  </si>
  <si>
    <t>050000655307</t>
  </si>
  <si>
    <t>050000656841</t>
  </si>
  <si>
    <t>050000657801</t>
  </si>
  <si>
    <t>050000660169</t>
  </si>
  <si>
    <t>050000660722</t>
  </si>
  <si>
    <t>050000661228</t>
  </si>
  <si>
    <t>050000662154</t>
  </si>
  <si>
    <t>050000663279</t>
  </si>
  <si>
    <t>050000663619</t>
  </si>
  <si>
    <t>050000664182</t>
  </si>
  <si>
    <t>050000664212</t>
  </si>
  <si>
    <t>050000664239</t>
  </si>
  <si>
    <t>050000664499</t>
  </si>
  <si>
    <t>050000665021</t>
  </si>
  <si>
    <t>050000665260</t>
  </si>
  <si>
    <t>050000665985</t>
  </si>
  <si>
    <t>050000667069</t>
  </si>
  <si>
    <t>050000668526</t>
  </si>
  <si>
    <t>050000668889</t>
  </si>
  <si>
    <t>050000668935</t>
  </si>
  <si>
    <t>050000668963</t>
  </si>
  <si>
    <t>050000668965</t>
  </si>
  <si>
    <t>050000669989</t>
  </si>
  <si>
    <t>050000670094</t>
  </si>
  <si>
    <t>050000675255</t>
  </si>
  <si>
    <t>050000676782</t>
  </si>
  <si>
    <t>050000677500</t>
  </si>
  <si>
    <t>050000678674</t>
  </si>
  <si>
    <t>050000679558</t>
  </si>
  <si>
    <t>050000680313</t>
  </si>
  <si>
    <t>050000681036</t>
  </si>
  <si>
    <t>050000681378</t>
  </si>
  <si>
    <t>050000681426</t>
  </si>
  <si>
    <t>050000681553</t>
  </si>
  <si>
    <t>050000681577</t>
  </si>
  <si>
    <t>050000681698</t>
  </si>
  <si>
    <t>050000681886</t>
  </si>
  <si>
    <t>050000682397</t>
  </si>
  <si>
    <t>050000684230</t>
  </si>
  <si>
    <t>050000687215</t>
  </si>
  <si>
    <t>050000688133</t>
  </si>
  <si>
    <t>050000688534</t>
  </si>
  <si>
    <t>050000688907</t>
  </si>
  <si>
    <t>050000689729</t>
  </si>
  <si>
    <t>050000690890</t>
  </si>
  <si>
    <t>050000691129</t>
  </si>
  <si>
    <t>050000691340</t>
  </si>
  <si>
    <t>050000691575</t>
  </si>
  <si>
    <t>050000692095</t>
  </si>
  <si>
    <t>050000692252</t>
  </si>
  <si>
    <t>050000692300</t>
  </si>
  <si>
    <t>050000692418</t>
  </si>
  <si>
    <t>050000693103</t>
  </si>
  <si>
    <t>050000694778</t>
  </si>
  <si>
    <t>050000778107</t>
  </si>
  <si>
    <t>14Aug240007</t>
  </si>
  <si>
    <t>00025</t>
  </si>
  <si>
    <t>KHI/HO/D/MO/PC COMP/C/96096/1/08/2024</t>
  </si>
  <si>
    <t>KHI/HO/D/MO/PC COMP/C/96079/1/08/2024</t>
  </si>
  <si>
    <t>KHI/HO/D/MO/PC COMP/C/96079/4/08/2024</t>
  </si>
  <si>
    <t>KHI/HO/D/MO/PC COMP/C/96079/5/08/2024</t>
  </si>
  <si>
    <t>KHI/HO/D/MO/PC COMP/P/96097/01/08/2024</t>
  </si>
  <si>
    <t>KHI/HO/D/MO/PC COMP/C/96079/11/08/2024</t>
  </si>
  <si>
    <t>KHI/HO/D/MO/PC COMP/C/96079/3/08/2024</t>
  </si>
  <si>
    <t>KHI/HO/D/MO/PC COMP/C/96079/12/08/2024</t>
  </si>
  <si>
    <t>KHI/HO/D/MO/PC COMP/C/96079/6/08/2024</t>
  </si>
  <si>
    <t>KHI/HO/D/MO/PC COMP/C/96079/9/08/2024</t>
  </si>
  <si>
    <t>KHI/HO/D/MO/PC COMP/C/96079/10/08/2024</t>
  </si>
  <si>
    <t>KHI/HO/D/MO/PC COMP/C/96079/7/08/2024</t>
  </si>
  <si>
    <t>KHI/HO/D/MO/PC COMP/C/96079/2/08/2024</t>
  </si>
  <si>
    <t>KHI/HO/D/MO/PC COMP/C/96079/8/08/2024</t>
  </si>
  <si>
    <t>KHI/HO/D/MO/PC COMP/C/96078/4/08/2024</t>
  </si>
  <si>
    <t>KHI/HO/D/MO/PC COMP/C/96078/1/08/2024</t>
  </si>
  <si>
    <t>KHI/HO/D/MO/PC COMP/C/96078/5/08/2024</t>
  </si>
  <si>
    <t>KHI/HO/D/MO/PC COMP/C/96078/2/08/2024</t>
  </si>
  <si>
    <t>KHI/HO/D/MO/PC COMP/C/96078/3/08/2024</t>
  </si>
  <si>
    <t>KHI/HO/D/MO/PC COMP/C/96105/1/08/2024</t>
  </si>
  <si>
    <t>KHI/HO/D/MO/PC COMP/C/96106/1/08/2024</t>
  </si>
  <si>
    <t>KHI/HO/D/MO/PC COMP/C/96101/1/08/2024</t>
  </si>
  <si>
    <t>KHI/HO/D/MO/PC COMP/C/96214/2/08/2024</t>
  </si>
  <si>
    <t>KHI/HO/D/MO/PC COMP/C/96214/1/08/2024</t>
  </si>
  <si>
    <t>KHI/HO/D/MO/PC COMP/P/96216/01/08/2024</t>
  </si>
  <si>
    <t>KHI/HO/D/MO/PC COMP/C/96216/2/08/2024</t>
  </si>
  <si>
    <t>KHI/HO/D/MO/PC COMP/C/96215/2/08/2024</t>
  </si>
  <si>
    <t>KHI/HO/D/MO/PC COMP/C/96215/1/08/2024</t>
  </si>
  <si>
    <t>KHI/HO/D/MO/PC COMP/C/96132/1/08/2024</t>
  </si>
  <si>
    <t>KHI/HO/D/MO/PC COMP/C/96134/1/08/2024</t>
  </si>
  <si>
    <t>KHI/HO/D/MO/PC COMP/C/96133/1/08/2024</t>
  </si>
  <si>
    <t>KHI/HO/D/MO/PC COMP/C/96135/1/08/2024</t>
  </si>
  <si>
    <t>KHI/HO/D/MO/PC COMP/C/96337/3/08/2024</t>
  </si>
  <si>
    <t>KHI/HO/D/MO/PC COMP/C/96212/1/08/2024</t>
  </si>
  <si>
    <t>KHI/HO/D/MO/PC COMP/C/96210/1/08/2024</t>
  </si>
  <si>
    <t>KHI/HO/D/MO/PC COMP/C/96209/2/08/2024</t>
  </si>
  <si>
    <t>KHI/HO/D/MO/PC COMP/C/96209/1/08/2024</t>
  </si>
  <si>
    <t>KHI/HO/D/MO/PC COMP/C/96211/1/08/2024</t>
  </si>
  <si>
    <t>KHI/HO/D/MO/PC COMP/C/96208/1/08/2024</t>
  </si>
  <si>
    <t>KHI/HO/D/MO/PC COMP/C/96208/2/08/2024</t>
  </si>
  <si>
    <t>KHI/HO/D/MO/PC COMP/C/95806/1/08/2024</t>
  </si>
  <si>
    <t>KHI/HO/D/MO/PC COMP/C/95806/2/08/2024</t>
  </si>
  <si>
    <t>KHI/HO/D/MO/PC COMP/C/95808/2/08/2024</t>
  </si>
  <si>
    <t>KHI/HO/D/MO/PC COMP/C/95808/3/08/2024</t>
  </si>
  <si>
    <t>KHI/HO/D/MO/PC COMP/C/95806/3/08/2024</t>
  </si>
  <si>
    <t>KHI/HO/D/MO/PC COMP/C/95808/1/08/2024</t>
  </si>
  <si>
    <t>KHI/HO/D/MO/PC COMP/C/96142/3/08/2024</t>
  </si>
  <si>
    <t>KHI/HO/D/MO/PC COMP/C/96148/3/08/2024</t>
  </si>
  <si>
    <t>KHI/HO/D/MO/PC COMP/C/96148/2/08/2024</t>
  </si>
  <si>
    <t>KHI/HO/D/MO/PC COMP/C/96148/1/08/2024</t>
  </si>
  <si>
    <t>KHI/HO/D/MO/PC COMP/C/96148/6/08/2024</t>
  </si>
  <si>
    <t>KHI/HO/D/MO/PC COMP/C/96142/1/08/2024</t>
  </si>
  <si>
    <t>KHI/HO/D/MO/PC COMP/C/96148/5/08/2024</t>
  </si>
  <si>
    <t>KHI/HO/D/MO/PC COMP/C/96148/4/08/2024</t>
  </si>
  <si>
    <t>KHI/HO/D/MO/PC COMP/C/96141/2/08/2024</t>
  </si>
  <si>
    <t>KHI/HO/D/MO/PC COMP/C/96141/1/08/2024</t>
  </si>
  <si>
    <t>KHI/HO/D/MO/PC COMP/C/96143/1/08/2024</t>
  </si>
  <si>
    <t>KHI/HO/D/MO/PC COMP/C/96147/1/08/2024</t>
  </si>
  <si>
    <t>KHI/HO/D/MO/PC COMP/C/96142/2/08/2024</t>
  </si>
  <si>
    <t>KHI/HO/D/MO/PC COMP/C/96170/6/08/2024</t>
  </si>
  <si>
    <t>KHI/HO/D/MO/PC COMP/C/96170/5/08/2024</t>
  </si>
  <si>
    <t>KHI/HO/D/MO/PC COMP/C/96170/7/08/2024</t>
  </si>
  <si>
    <t>KHI/HO/D/MO/PC COMP/C/96170/3/08/2024</t>
  </si>
  <si>
    <t>KHI/HO/D/MO/PC COMP/C/96170/8/08/2024</t>
  </si>
  <si>
    <t>KHI/HO/D/MO/PC COMP/C/96170/2/08/2024</t>
  </si>
  <si>
    <t>KHI/HO/D/MO/PC COMP/C/96170/1/08/2024</t>
  </si>
  <si>
    <t>KHI/HO/D/MO/PC COMP/P/96170/04/08/2024</t>
  </si>
  <si>
    <t>KHI/HO/D/MO/PC COMP/C/96169/5/08/2024</t>
  </si>
  <si>
    <t>KHI/HO/D/MO/PC COMP/C/96169/7/08/2024</t>
  </si>
  <si>
    <t>KHI/HO/D/MO/PC COMP/C/96169/3/08/2024</t>
  </si>
  <si>
    <t>KHI/HO/D/MO/PC COMP/C/96169/2/08/2024</t>
  </si>
  <si>
    <t>KHI/HO/D/MO/PC COMP/C/96169/6/08/2024</t>
  </si>
  <si>
    <t>KHI/HO/D/MO/PC COMP/C/96169/1/08/2024</t>
  </si>
  <si>
    <t>KHI/HO/D/MO/PC COMP/C/96169/4/08/2024</t>
  </si>
  <si>
    <t>KHI/HO/D/MO/PC COMP/C/96224/1/08/2024</t>
  </si>
  <si>
    <t>KHI/HO/D/MO/PC COMP/C/96221/2/08/2024</t>
  </si>
  <si>
    <t>KHI/HO/D/MO/PC COMP/C/96221/3/08/2024</t>
  </si>
  <si>
    <t>KHI/HO/D/MO/PC COMP/C/96221/1/08/2024</t>
  </si>
  <si>
    <t>KHI/HO/D/MO/PC COMP/C/96090/1/08/2024</t>
  </si>
  <si>
    <t>KHI/HO/D/MO/PC COMP/C/96090/2/08/2024</t>
  </si>
  <si>
    <t>KHI/HO/D/MO/PC COMP/C/96090/3/08/2024</t>
  </si>
  <si>
    <t>KHI/HO/D/MO/PC COMP/C/95806/4/08/2024</t>
  </si>
  <si>
    <t>KHI/HO/D/MO/PC COMP/C/95799/1/08/2024</t>
  </si>
  <si>
    <t>KHI/HO/D/MO/PC COMP/C/95799/2/08/2024</t>
  </si>
  <si>
    <t>KHI/HO/D/MO/PC COMP/C/95809/3/08/2024</t>
  </si>
  <si>
    <t>KHI/HO/D/MO/PC COMP/C/95809/2/08/2024</t>
  </si>
  <si>
    <t>KHI/HO/D/MO/PC COMP/C/95809/1/08/2024</t>
  </si>
  <si>
    <t>KHI/HO/D/MO/PC COMP/C/95809/4/08/2024</t>
  </si>
  <si>
    <t>KHI/HO/D/MO/PC COMP/C/95809/5/08/2024</t>
  </si>
  <si>
    <t>KHI/HO/D/MO/PC COMP/C/96103/1/08/2024</t>
  </si>
  <si>
    <t>KHI/HO/D/MO/PC COMP/C/96094/1/08/2024</t>
  </si>
  <si>
    <t>KHI/HO/D/MO/PC COMP/C/96094/2/08/2024</t>
  </si>
  <si>
    <t>KHI/HO/D/MO/PC COMP/C/96086/1/08/2024</t>
  </si>
  <si>
    <t>KHI/HO/D/MO/PC COMP/C/96091/1/08/2024</t>
  </si>
  <si>
    <t>KHI/HO/D/MO/PC COMP/C/95806/5/08/2024</t>
  </si>
  <si>
    <t>KHI/HO/D/MO/PC COMP/C/96111/2/08/2024</t>
  </si>
  <si>
    <t>KHI/HO/D/MO/PC COMP/C/96111/8/08/2024</t>
  </si>
  <si>
    <t>KHI/HO/D/MO/PC COMP/C/96111/9/08/2024</t>
  </si>
  <si>
    <t>KHI/HO/D/MO/PC COMP/C/96111/7/08/2024</t>
  </si>
  <si>
    <t>KHI/HO/D/MO/PC COMP/C/96111/5/08/2024</t>
  </si>
  <si>
    <t>KHI/HO/D/MO/PC COMP/C/96111/6/08/2024</t>
  </si>
  <si>
    <t>KHI/HO/D/MO/PC COMP/C/96111/3/08/2024</t>
  </si>
  <si>
    <t>KHI/HO/D/MO/PC COMP/C/96111/1/08/2024</t>
  </si>
  <si>
    <t>KHI/HO/D/MO/PC COMP/C/96111/4/08/2024</t>
  </si>
  <si>
    <t>KHI/HO/D/MO/PC COMP/C/96337/4/08/2024</t>
  </si>
  <si>
    <t>KHI/HO/D/MO/PC COMP/C/96337/1/08/2024</t>
  </si>
  <si>
    <t>KHI/HO/D/MO/PC COMP/C/96337/2/08/2024</t>
  </si>
  <si>
    <t>KHI/HO/D/MO/PC COMP/C/96336/1/08/2024</t>
  </si>
  <si>
    <t>KHI/HO/D/MO/PC COMP/C/96336/2/08/2024</t>
  </si>
  <si>
    <t>KHI/HO/D/MO/PC COMP/C/96110/2/08/2024</t>
  </si>
  <si>
    <t>KHI/HO/D/MO/PC COMP/C/96110/1/08/2024</t>
  </si>
  <si>
    <t>KHI/HO/D/MO/PC COMP/C/96096/2/08/2024</t>
  </si>
  <si>
    <t>KHI/HO/D/MO/PC COMP/C/96141/3/08/2024</t>
  </si>
  <si>
    <t>KHI/HO/D/MO/PC COMP/C/96145/1/08/2024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</si>
</sst>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43" fontId="3" fillId="0" borderId="0" xfId="1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43" fontId="2" fillId="0" borderId="0" xfId="1" applyFont="1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164" fontId="5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0" fillId="3" borderId="2" xfId="0" applyFill="1" applyBorder="1"/>
    <xf numFmtId="0" fontId="0" fillId="3" borderId="3" xfId="0" applyFill="1" applyBorder="1"/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E603-C974-46F9-B1F2-DD5B81BF71A5}">
  <dimension ref="A1:C143"/>
  <sheetViews>
    <sheetView workbookViewId="0">
      <selection activeCell="C14" sqref="C14"/>
    </sheetView>
  </sheetViews>
  <sheetFormatPr defaultRowHeight="15" x14ac:dyDescent="0.25"/>
  <cols>
    <col min="1" max="1" width="5.5703125" bestFit="1" customWidth="1"/>
    <col min="2" max="2" width="37.7109375" bestFit="1" customWidth="1"/>
    <col min="3" max="3" width="13.140625" bestFit="1" customWidth="1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1">
        <v>1</v>
      </c>
      <c r="B2" s="1" t="s">
        <v>3</v>
      </c>
      <c r="C2" s="2">
        <v>-1015531</v>
      </c>
    </row>
    <row r="3" spans="1:3" x14ac:dyDescent="0.25">
      <c r="A3" s="1">
        <v>2</v>
      </c>
      <c r="B3" s="1" t="s">
        <v>4</v>
      </c>
      <c r="C3" s="2">
        <v>1766753</v>
      </c>
    </row>
    <row r="4" spans="1:3" x14ac:dyDescent="0.25">
      <c r="A4" s="1">
        <v>3</v>
      </c>
      <c r="B4" s="1" t="s">
        <v>5</v>
      </c>
      <c r="C4" s="2">
        <v>92137</v>
      </c>
    </row>
    <row r="5" spans="1:3" x14ac:dyDescent="0.25">
      <c r="A5" s="1">
        <v>4</v>
      </c>
      <c r="B5" s="1" t="s">
        <v>6</v>
      </c>
      <c r="C5" s="2">
        <v>101123</v>
      </c>
    </row>
    <row r="6" spans="1:3" x14ac:dyDescent="0.25">
      <c r="A6" s="1">
        <v>5</v>
      </c>
      <c r="B6" s="1" t="s">
        <v>7</v>
      </c>
      <c r="C6" s="2">
        <v>12390</v>
      </c>
    </row>
    <row r="7" spans="1:3" x14ac:dyDescent="0.25">
      <c r="A7" s="1">
        <v>6</v>
      </c>
      <c r="B7" s="1" t="s">
        <v>8</v>
      </c>
      <c r="C7" s="2">
        <v>42111</v>
      </c>
    </row>
    <row r="8" spans="1:3" x14ac:dyDescent="0.25">
      <c r="A8" s="1">
        <v>7</v>
      </c>
      <c r="B8" s="1" t="s">
        <v>9</v>
      </c>
      <c r="C8" s="2">
        <v>42111</v>
      </c>
    </row>
    <row r="9" spans="1:3" x14ac:dyDescent="0.25">
      <c r="A9" s="1">
        <v>8</v>
      </c>
      <c r="B9" s="1" t="s">
        <v>10</v>
      </c>
      <c r="C9" s="2">
        <v>24033</v>
      </c>
    </row>
    <row r="10" spans="1:3" x14ac:dyDescent="0.25">
      <c r="A10" s="1">
        <v>9</v>
      </c>
      <c r="B10" s="1" t="s">
        <v>11</v>
      </c>
      <c r="C10" s="2">
        <v>68344</v>
      </c>
    </row>
    <row r="11" spans="1:3" x14ac:dyDescent="0.25">
      <c r="A11" s="1">
        <v>10</v>
      </c>
      <c r="B11" s="1" t="s">
        <v>12</v>
      </c>
      <c r="C11" s="2">
        <v>134411</v>
      </c>
    </row>
    <row r="12" spans="1:3" x14ac:dyDescent="0.25">
      <c r="A12" s="1">
        <v>11</v>
      </c>
      <c r="B12" s="1" t="s">
        <v>13</v>
      </c>
      <c r="C12" s="2">
        <v>115342</v>
      </c>
    </row>
    <row r="13" spans="1:3" x14ac:dyDescent="0.25">
      <c r="A13" s="1">
        <v>12</v>
      </c>
      <c r="B13" s="1" t="s">
        <v>14</v>
      </c>
      <c r="C13" s="2">
        <v>129866</v>
      </c>
    </row>
    <row r="14" spans="1:3" x14ac:dyDescent="0.25">
      <c r="A14" s="1">
        <v>13</v>
      </c>
      <c r="B14" s="1" t="s">
        <v>15</v>
      </c>
      <c r="C14" s="2">
        <v>242587</v>
      </c>
    </row>
    <row r="15" spans="1:3" x14ac:dyDescent="0.25">
      <c r="A15" s="1">
        <v>14</v>
      </c>
      <c r="B15" s="1" t="s">
        <v>16</v>
      </c>
      <c r="C15" s="2">
        <v>98395</v>
      </c>
    </row>
    <row r="16" spans="1:3" x14ac:dyDescent="0.25">
      <c r="A16" s="1">
        <v>15</v>
      </c>
      <c r="B16" s="1" t="s">
        <v>17</v>
      </c>
      <c r="C16" s="2">
        <v>51507</v>
      </c>
    </row>
    <row r="17" spans="1:3" x14ac:dyDescent="0.25">
      <c r="A17" s="1">
        <v>16</v>
      </c>
      <c r="B17" s="1" t="s">
        <v>18</v>
      </c>
      <c r="C17" s="2">
        <v>5939</v>
      </c>
    </row>
    <row r="18" spans="1:3" x14ac:dyDescent="0.25">
      <c r="A18" s="1">
        <v>17</v>
      </c>
      <c r="B18" s="1" t="s">
        <v>19</v>
      </c>
      <c r="C18" s="2">
        <v>6753</v>
      </c>
    </row>
    <row r="19" spans="1:3" x14ac:dyDescent="0.25">
      <c r="A19" s="1">
        <v>18</v>
      </c>
      <c r="B19" s="1" t="s">
        <v>20</v>
      </c>
      <c r="C19" s="2">
        <v>7111</v>
      </c>
    </row>
    <row r="20" spans="1:3" x14ac:dyDescent="0.25">
      <c r="A20" s="1">
        <v>19</v>
      </c>
      <c r="B20" s="1" t="s">
        <v>21</v>
      </c>
      <c r="C20" s="2">
        <v>11654</v>
      </c>
    </row>
    <row r="21" spans="1:3" x14ac:dyDescent="0.25">
      <c r="A21" s="1">
        <v>20</v>
      </c>
      <c r="B21" s="1" t="s">
        <v>22</v>
      </c>
      <c r="C21" s="2">
        <v>181317</v>
      </c>
    </row>
    <row r="22" spans="1:3" x14ac:dyDescent="0.25">
      <c r="A22" s="1">
        <v>21</v>
      </c>
      <c r="B22" s="1" t="s">
        <v>23</v>
      </c>
      <c r="C22" s="2">
        <v>21318</v>
      </c>
    </row>
    <row r="23" spans="1:3" x14ac:dyDescent="0.25">
      <c r="A23" s="1">
        <v>22</v>
      </c>
      <c r="B23" s="1" t="s">
        <v>24</v>
      </c>
      <c r="C23" s="2">
        <v>18474</v>
      </c>
    </row>
    <row r="24" spans="1:3" x14ac:dyDescent="0.25">
      <c r="A24" s="1">
        <v>23</v>
      </c>
      <c r="B24" s="1" t="s">
        <v>25</v>
      </c>
      <c r="C24" s="2">
        <v>22444</v>
      </c>
    </row>
    <row r="25" spans="1:3" x14ac:dyDescent="0.25">
      <c r="A25" s="1">
        <v>24</v>
      </c>
      <c r="B25" s="1" t="s">
        <v>26</v>
      </c>
      <c r="C25" s="2">
        <v>63997</v>
      </c>
    </row>
    <row r="26" spans="1:3" x14ac:dyDescent="0.25">
      <c r="A26" s="1">
        <v>25</v>
      </c>
      <c r="B26" s="1" t="s">
        <v>27</v>
      </c>
      <c r="C26" s="2">
        <v>-567886</v>
      </c>
    </row>
    <row r="27" spans="1:3" x14ac:dyDescent="0.25">
      <c r="A27" s="1">
        <v>26</v>
      </c>
      <c r="B27" s="1" t="s">
        <v>28</v>
      </c>
      <c r="C27" s="2">
        <v>768820</v>
      </c>
    </row>
    <row r="28" spans="1:3" x14ac:dyDescent="0.25">
      <c r="A28" s="1">
        <v>27</v>
      </c>
      <c r="B28" s="1" t="s">
        <v>29</v>
      </c>
      <c r="C28" s="2">
        <v>-6323</v>
      </c>
    </row>
    <row r="29" spans="1:3" x14ac:dyDescent="0.25">
      <c r="A29" s="1">
        <v>28</v>
      </c>
      <c r="B29" s="1" t="s">
        <v>30</v>
      </c>
      <c r="C29" s="2">
        <v>59015</v>
      </c>
    </row>
    <row r="30" spans="1:3" x14ac:dyDescent="0.25">
      <c r="A30" s="1">
        <v>29</v>
      </c>
      <c r="B30" s="1" t="s">
        <v>31</v>
      </c>
      <c r="C30" s="2">
        <v>8710</v>
      </c>
    </row>
    <row r="31" spans="1:3" x14ac:dyDescent="0.25">
      <c r="A31" s="1">
        <v>30</v>
      </c>
      <c r="B31" s="1" t="s">
        <v>32</v>
      </c>
      <c r="C31" s="2">
        <v>40242</v>
      </c>
    </row>
    <row r="32" spans="1:3" x14ac:dyDescent="0.25">
      <c r="A32" s="1">
        <v>31</v>
      </c>
      <c r="B32" s="1" t="s">
        <v>33</v>
      </c>
      <c r="C32" s="2">
        <v>13596</v>
      </c>
    </row>
    <row r="33" spans="1:3" x14ac:dyDescent="0.25">
      <c r="A33" s="1">
        <v>32</v>
      </c>
      <c r="B33" s="1" t="s">
        <v>34</v>
      </c>
      <c r="C33" s="2">
        <v>29701</v>
      </c>
    </row>
    <row r="34" spans="1:3" x14ac:dyDescent="0.25">
      <c r="A34" s="1">
        <v>33</v>
      </c>
      <c r="B34" s="1" t="s">
        <v>35</v>
      </c>
      <c r="C34" s="2">
        <v>60360</v>
      </c>
    </row>
    <row r="35" spans="1:3" x14ac:dyDescent="0.25">
      <c r="A35" s="1">
        <v>34</v>
      </c>
      <c r="B35" s="1" t="s">
        <v>36</v>
      </c>
      <c r="C35" s="2">
        <v>76245</v>
      </c>
    </row>
    <row r="36" spans="1:3" x14ac:dyDescent="0.25">
      <c r="A36" s="1">
        <v>35</v>
      </c>
      <c r="B36" s="1" t="s">
        <v>37</v>
      </c>
      <c r="C36" s="2">
        <v>42785</v>
      </c>
    </row>
    <row r="37" spans="1:3" x14ac:dyDescent="0.25">
      <c r="A37" s="1">
        <v>36</v>
      </c>
      <c r="B37" s="1" t="s">
        <v>38</v>
      </c>
      <c r="C37" s="2">
        <v>-1524453</v>
      </c>
    </row>
    <row r="38" spans="1:3" x14ac:dyDescent="0.25">
      <c r="A38" s="1">
        <v>37</v>
      </c>
      <c r="B38" s="1" t="s">
        <v>39</v>
      </c>
      <c r="C38" s="2">
        <v>24939</v>
      </c>
    </row>
    <row r="39" spans="1:3" x14ac:dyDescent="0.25">
      <c r="A39" s="1">
        <v>38</v>
      </c>
      <c r="B39" s="1" t="s">
        <v>40</v>
      </c>
      <c r="C39" s="2">
        <v>76463</v>
      </c>
    </row>
    <row r="40" spans="1:3" x14ac:dyDescent="0.25">
      <c r="A40" s="1">
        <v>39</v>
      </c>
      <c r="B40" s="1" t="s">
        <v>41</v>
      </c>
      <c r="C40" s="2">
        <v>632448</v>
      </c>
    </row>
    <row r="41" spans="1:3" x14ac:dyDescent="0.25">
      <c r="A41" s="1">
        <v>40</v>
      </c>
      <c r="B41" s="1" t="s">
        <v>42</v>
      </c>
      <c r="C41" s="2">
        <v>65605</v>
      </c>
    </row>
    <row r="42" spans="1:3" x14ac:dyDescent="0.25">
      <c r="A42" s="1">
        <v>41</v>
      </c>
      <c r="B42" s="1" t="s">
        <v>43</v>
      </c>
      <c r="C42" s="2">
        <v>34717</v>
      </c>
    </row>
    <row r="43" spans="1:3" x14ac:dyDescent="0.25">
      <c r="A43" s="1">
        <v>42</v>
      </c>
      <c r="B43" s="1" t="s">
        <v>44</v>
      </c>
      <c r="C43" s="2">
        <v>54026</v>
      </c>
    </row>
    <row r="44" spans="1:3" x14ac:dyDescent="0.25">
      <c r="A44" s="1">
        <v>43</v>
      </c>
      <c r="B44" s="1" t="s">
        <v>45</v>
      </c>
      <c r="C44" s="2">
        <v>23219</v>
      </c>
    </row>
    <row r="45" spans="1:3" x14ac:dyDescent="0.25">
      <c r="A45" s="1">
        <v>44</v>
      </c>
      <c r="B45" s="1" t="s">
        <v>46</v>
      </c>
      <c r="C45" s="2">
        <v>34717</v>
      </c>
    </row>
    <row r="46" spans="1:3" x14ac:dyDescent="0.25">
      <c r="A46" s="1">
        <v>45</v>
      </c>
      <c r="B46" s="1" t="s">
        <v>47</v>
      </c>
      <c r="C46" s="2">
        <v>25119</v>
      </c>
    </row>
    <row r="47" spans="1:3" x14ac:dyDescent="0.25">
      <c r="A47" s="1">
        <v>46</v>
      </c>
      <c r="B47" s="1" t="s">
        <v>48</v>
      </c>
      <c r="C47" s="2">
        <v>31533</v>
      </c>
    </row>
    <row r="48" spans="1:3" x14ac:dyDescent="0.25">
      <c r="A48" s="1">
        <v>47</v>
      </c>
      <c r="B48" s="1" t="s">
        <v>49</v>
      </c>
      <c r="C48" s="2">
        <v>4365</v>
      </c>
    </row>
    <row r="49" spans="1:3" x14ac:dyDescent="0.25">
      <c r="A49" s="1">
        <v>48</v>
      </c>
      <c r="B49" s="1" t="s">
        <v>50</v>
      </c>
      <c r="C49" s="2">
        <v>29009</v>
      </c>
    </row>
    <row r="50" spans="1:3" x14ac:dyDescent="0.25">
      <c r="A50" s="1">
        <v>49</v>
      </c>
      <c r="B50" s="1" t="s">
        <v>51</v>
      </c>
      <c r="C50" s="2">
        <v>18314</v>
      </c>
    </row>
    <row r="51" spans="1:3" x14ac:dyDescent="0.25">
      <c r="A51" s="1">
        <v>50</v>
      </c>
      <c r="B51" s="1" t="s">
        <v>52</v>
      </c>
      <c r="C51" s="2">
        <v>6682</v>
      </c>
    </row>
    <row r="52" spans="1:3" x14ac:dyDescent="0.25">
      <c r="A52" s="1">
        <v>51</v>
      </c>
      <c r="B52" s="1" t="s">
        <v>53</v>
      </c>
      <c r="C52" s="2">
        <v>614690</v>
      </c>
    </row>
    <row r="53" spans="1:3" x14ac:dyDescent="0.25">
      <c r="A53" s="1">
        <v>52</v>
      </c>
      <c r="B53" s="1" t="s">
        <v>54</v>
      </c>
      <c r="C53" s="2">
        <v>96508</v>
      </c>
    </row>
    <row r="54" spans="1:3" x14ac:dyDescent="0.25">
      <c r="A54" s="1">
        <v>53</v>
      </c>
      <c r="B54" s="1" t="s">
        <v>55</v>
      </c>
      <c r="C54" s="2">
        <v>20401</v>
      </c>
    </row>
    <row r="55" spans="1:3" x14ac:dyDescent="0.25">
      <c r="A55" s="1">
        <v>54</v>
      </c>
      <c r="B55" s="1" t="s">
        <v>56</v>
      </c>
      <c r="C55" s="2">
        <v>21101</v>
      </c>
    </row>
    <row r="56" spans="1:3" x14ac:dyDescent="0.25">
      <c r="A56" s="1">
        <v>55</v>
      </c>
      <c r="B56" s="1" t="s">
        <v>57</v>
      </c>
      <c r="C56" s="2">
        <v>87146</v>
      </c>
    </row>
    <row r="57" spans="1:3" x14ac:dyDescent="0.25">
      <c r="A57" s="1">
        <v>56</v>
      </c>
      <c r="B57" s="1" t="s">
        <v>58</v>
      </c>
      <c r="C57" s="2">
        <v>91120</v>
      </c>
    </row>
    <row r="58" spans="1:3" x14ac:dyDescent="0.25">
      <c r="A58" s="1">
        <v>57</v>
      </c>
      <c r="B58" s="1" t="s">
        <v>59</v>
      </c>
      <c r="C58" s="2">
        <v>67536</v>
      </c>
    </row>
    <row r="59" spans="1:3" x14ac:dyDescent="0.25">
      <c r="A59" s="1">
        <v>58</v>
      </c>
      <c r="B59" s="1" t="s">
        <v>60</v>
      </c>
      <c r="C59" s="2">
        <v>115841</v>
      </c>
    </row>
    <row r="60" spans="1:3" x14ac:dyDescent="0.25">
      <c r="A60" s="1">
        <v>59</v>
      </c>
      <c r="B60" s="1" t="s">
        <v>61</v>
      </c>
      <c r="C60" s="2">
        <v>-224870</v>
      </c>
    </row>
    <row r="61" spans="1:3" x14ac:dyDescent="0.25">
      <c r="A61" s="1">
        <v>60</v>
      </c>
      <c r="B61" s="1" t="s">
        <v>62</v>
      </c>
      <c r="C61" s="2">
        <v>301649</v>
      </c>
    </row>
    <row r="62" spans="1:3" x14ac:dyDescent="0.25">
      <c r="A62" s="1">
        <v>61</v>
      </c>
      <c r="B62" s="1" t="s">
        <v>63</v>
      </c>
      <c r="C62" s="2">
        <v>40633</v>
      </c>
    </row>
    <row r="63" spans="1:3" x14ac:dyDescent="0.25">
      <c r="A63" s="1">
        <v>62</v>
      </c>
      <c r="B63" s="1" t="s">
        <v>64</v>
      </c>
      <c r="C63" s="2">
        <v>36858</v>
      </c>
    </row>
    <row r="64" spans="1:3" x14ac:dyDescent="0.25">
      <c r="A64" s="1">
        <v>63</v>
      </c>
      <c r="B64" s="1" t="s">
        <v>65</v>
      </c>
      <c r="C64" s="2">
        <v>22558</v>
      </c>
    </row>
    <row r="65" spans="1:3" x14ac:dyDescent="0.25">
      <c r="A65" s="1">
        <v>64</v>
      </c>
      <c r="B65" s="1" t="s">
        <v>66</v>
      </c>
      <c r="C65" s="2">
        <v>11195</v>
      </c>
    </row>
    <row r="66" spans="1:3" x14ac:dyDescent="0.25">
      <c r="A66" s="1">
        <v>65</v>
      </c>
      <c r="B66" s="1" t="s">
        <v>67</v>
      </c>
      <c r="C66" s="2">
        <v>44023</v>
      </c>
    </row>
    <row r="67" spans="1:3" x14ac:dyDescent="0.25">
      <c r="A67" s="1">
        <v>66</v>
      </c>
      <c r="B67" s="1" t="s">
        <v>68</v>
      </c>
      <c r="C67" s="2">
        <v>11898</v>
      </c>
    </row>
    <row r="68" spans="1:3" x14ac:dyDescent="0.25">
      <c r="A68" s="1">
        <v>67</v>
      </c>
      <c r="B68" s="1" t="s">
        <v>69</v>
      </c>
      <c r="C68" s="2">
        <v>13506</v>
      </c>
    </row>
    <row r="69" spans="1:3" x14ac:dyDescent="0.25">
      <c r="A69" s="1">
        <v>68</v>
      </c>
      <c r="B69" s="1" t="s">
        <v>70</v>
      </c>
      <c r="C69" s="2">
        <v>90221</v>
      </c>
    </row>
    <row r="70" spans="1:3" x14ac:dyDescent="0.25">
      <c r="A70" s="1">
        <v>69</v>
      </c>
      <c r="B70" s="1" t="s">
        <v>71</v>
      </c>
      <c r="C70" s="2">
        <v>50684</v>
      </c>
    </row>
    <row r="71" spans="1:3" x14ac:dyDescent="0.25">
      <c r="A71" s="1">
        <v>70</v>
      </c>
      <c r="B71" s="1" t="s">
        <v>72</v>
      </c>
      <c r="C71" s="2">
        <v>25979</v>
      </c>
    </row>
    <row r="72" spans="1:3" x14ac:dyDescent="0.25">
      <c r="A72" s="1">
        <v>71</v>
      </c>
      <c r="B72" s="1" t="s">
        <v>73</v>
      </c>
      <c r="C72" s="2">
        <v>57093</v>
      </c>
    </row>
    <row r="73" spans="1:3" x14ac:dyDescent="0.25">
      <c r="A73" s="1">
        <v>72</v>
      </c>
      <c r="B73" s="1" t="s">
        <v>74</v>
      </c>
      <c r="C73" s="2">
        <v>-456277</v>
      </c>
    </row>
    <row r="74" spans="1:3" x14ac:dyDescent="0.25">
      <c r="A74" s="1">
        <v>73</v>
      </c>
      <c r="B74" s="1" t="s">
        <v>75</v>
      </c>
      <c r="C74" s="2">
        <v>-82372</v>
      </c>
    </row>
    <row r="75" spans="1:3" x14ac:dyDescent="0.25">
      <c r="A75" s="1">
        <v>74</v>
      </c>
      <c r="B75" s="1" t="s">
        <v>76</v>
      </c>
      <c r="C75" s="2">
        <v>333016</v>
      </c>
    </row>
    <row r="76" spans="1:3" x14ac:dyDescent="0.25">
      <c r="A76" s="1">
        <v>75</v>
      </c>
      <c r="B76" s="1" t="s">
        <v>77</v>
      </c>
      <c r="C76" s="2">
        <v>56086</v>
      </c>
    </row>
    <row r="77" spans="1:3" x14ac:dyDescent="0.25">
      <c r="A77" s="1">
        <v>76</v>
      </c>
      <c r="B77" s="1" t="s">
        <v>78</v>
      </c>
      <c r="C77" s="2">
        <v>12386</v>
      </c>
    </row>
    <row r="78" spans="1:3" x14ac:dyDescent="0.25">
      <c r="A78" s="1">
        <v>77</v>
      </c>
      <c r="B78" s="1" t="s">
        <v>79</v>
      </c>
      <c r="C78" s="2">
        <v>67060</v>
      </c>
    </row>
    <row r="79" spans="1:3" x14ac:dyDescent="0.25">
      <c r="A79" s="1">
        <v>78</v>
      </c>
      <c r="B79" s="1" t="s">
        <v>80</v>
      </c>
      <c r="C79" s="2">
        <v>-370721</v>
      </c>
    </row>
    <row r="80" spans="1:3" x14ac:dyDescent="0.25">
      <c r="A80" s="1">
        <v>79</v>
      </c>
      <c r="B80" s="1" t="s">
        <v>81</v>
      </c>
      <c r="C80" s="2">
        <v>14359</v>
      </c>
    </row>
    <row r="81" spans="1:3" x14ac:dyDescent="0.25">
      <c r="A81" s="1">
        <v>80</v>
      </c>
      <c r="B81" s="1" t="s">
        <v>82</v>
      </c>
      <c r="C81" s="2">
        <v>59790</v>
      </c>
    </row>
    <row r="82" spans="1:3" x14ac:dyDescent="0.25">
      <c r="A82" s="1">
        <v>81</v>
      </c>
      <c r="B82" s="1" t="s">
        <v>83</v>
      </c>
      <c r="C82" s="2">
        <v>51648</v>
      </c>
    </row>
    <row r="83" spans="1:3" x14ac:dyDescent="0.25">
      <c r="A83" s="1">
        <v>82</v>
      </c>
      <c r="B83" s="1" t="s">
        <v>84</v>
      </c>
      <c r="C83" s="2">
        <v>16676</v>
      </c>
    </row>
    <row r="84" spans="1:3" x14ac:dyDescent="0.25">
      <c r="A84" s="1">
        <v>83</v>
      </c>
      <c r="B84" s="1" t="s">
        <v>85</v>
      </c>
      <c r="C84" s="2">
        <v>3700</v>
      </c>
    </row>
    <row r="85" spans="1:3" x14ac:dyDescent="0.25">
      <c r="A85" s="1">
        <v>84</v>
      </c>
      <c r="B85" s="1" t="s">
        <v>86</v>
      </c>
      <c r="C85" s="2">
        <v>18767</v>
      </c>
    </row>
    <row r="86" spans="1:3" x14ac:dyDescent="0.25">
      <c r="A86" s="1">
        <v>85</v>
      </c>
      <c r="B86" s="1" t="s">
        <v>87</v>
      </c>
      <c r="C86" s="2">
        <v>25748</v>
      </c>
    </row>
    <row r="87" spans="1:3" x14ac:dyDescent="0.25">
      <c r="A87" s="1">
        <v>86</v>
      </c>
      <c r="B87" s="1" t="s">
        <v>88</v>
      </c>
      <c r="C87" s="2">
        <v>28231</v>
      </c>
    </row>
    <row r="88" spans="1:3" x14ac:dyDescent="0.25">
      <c r="A88" s="1">
        <v>87</v>
      </c>
      <c r="B88" s="1" t="s">
        <v>89</v>
      </c>
      <c r="C88" s="2">
        <v>3613</v>
      </c>
    </row>
    <row r="89" spans="1:3" x14ac:dyDescent="0.25">
      <c r="A89" s="1">
        <v>88</v>
      </c>
      <c r="B89" s="1" t="s">
        <v>90</v>
      </c>
      <c r="C89" s="2">
        <v>57607</v>
      </c>
    </row>
    <row r="90" spans="1:3" x14ac:dyDescent="0.25">
      <c r="A90" s="1">
        <v>89</v>
      </c>
      <c r="B90" s="1" t="s">
        <v>91</v>
      </c>
      <c r="C90" s="2">
        <v>107507</v>
      </c>
    </row>
    <row r="91" spans="1:3" x14ac:dyDescent="0.25">
      <c r="A91" s="1">
        <v>90</v>
      </c>
      <c r="B91" s="1" t="s">
        <v>92</v>
      </c>
      <c r="C91" s="2">
        <v>37163</v>
      </c>
    </row>
    <row r="92" spans="1:3" x14ac:dyDescent="0.25">
      <c r="A92" s="1">
        <v>91</v>
      </c>
      <c r="B92" s="1" t="s">
        <v>93</v>
      </c>
      <c r="C92" s="2">
        <v>-32</v>
      </c>
    </row>
    <row r="93" spans="1:3" x14ac:dyDescent="0.25">
      <c r="A93" s="1">
        <v>92</v>
      </c>
      <c r="B93" s="1" t="s">
        <v>94</v>
      </c>
      <c r="C93" s="2">
        <v>24372</v>
      </c>
    </row>
    <row r="94" spans="1:3" x14ac:dyDescent="0.25">
      <c r="A94" s="1">
        <v>93</v>
      </c>
      <c r="B94" s="1" t="s">
        <v>95</v>
      </c>
      <c r="C94" s="2">
        <v>6682</v>
      </c>
    </row>
    <row r="95" spans="1:3" x14ac:dyDescent="0.25">
      <c r="A95" s="1">
        <v>94</v>
      </c>
      <c r="B95" s="1" t="s">
        <v>96</v>
      </c>
      <c r="C95" s="2">
        <v>10011</v>
      </c>
    </row>
    <row r="96" spans="1:3" x14ac:dyDescent="0.25">
      <c r="A96" s="1">
        <v>95</v>
      </c>
      <c r="B96" s="1" t="s">
        <v>97</v>
      </c>
      <c r="C96" s="2">
        <v>-63535</v>
      </c>
    </row>
    <row r="97" spans="1:3" x14ac:dyDescent="0.25">
      <c r="A97" s="1">
        <v>96</v>
      </c>
      <c r="B97" s="1" t="s">
        <v>98</v>
      </c>
      <c r="C97" s="2">
        <v>3108</v>
      </c>
    </row>
    <row r="98" spans="1:3" x14ac:dyDescent="0.25">
      <c r="A98" s="1">
        <v>97</v>
      </c>
      <c r="B98" s="1" t="s">
        <v>99</v>
      </c>
      <c r="C98" s="2">
        <v>3108</v>
      </c>
    </row>
    <row r="99" spans="1:3" x14ac:dyDescent="0.25">
      <c r="A99" s="1">
        <v>98</v>
      </c>
      <c r="B99" s="1" t="s">
        <v>100</v>
      </c>
      <c r="C99" s="2">
        <v>8132</v>
      </c>
    </row>
    <row r="100" spans="1:3" x14ac:dyDescent="0.25">
      <c r="A100" s="1">
        <v>99</v>
      </c>
      <c r="B100" s="1" t="s">
        <v>101</v>
      </c>
      <c r="C100" s="2">
        <v>17835</v>
      </c>
    </row>
    <row r="101" spans="1:3" x14ac:dyDescent="0.25">
      <c r="A101" s="1">
        <v>100</v>
      </c>
      <c r="B101" s="1" t="s">
        <v>102</v>
      </c>
      <c r="C101" s="2">
        <v>8959</v>
      </c>
    </row>
    <row r="102" spans="1:3" x14ac:dyDescent="0.25">
      <c r="A102" s="1">
        <v>101</v>
      </c>
      <c r="B102" s="1" t="s">
        <v>103</v>
      </c>
      <c r="C102" s="2">
        <v>56072</v>
      </c>
    </row>
    <row r="103" spans="1:3" x14ac:dyDescent="0.25">
      <c r="A103" s="1">
        <v>102</v>
      </c>
      <c r="B103" s="1" t="s">
        <v>104</v>
      </c>
      <c r="C103" s="2">
        <v>31774</v>
      </c>
    </row>
    <row r="104" spans="1:3" x14ac:dyDescent="0.25">
      <c r="A104" s="1">
        <v>103</v>
      </c>
      <c r="B104" s="1" t="s">
        <v>105</v>
      </c>
      <c r="C104" s="2">
        <v>1000</v>
      </c>
    </row>
    <row r="105" spans="1:3" x14ac:dyDescent="0.25">
      <c r="A105" s="1">
        <v>104</v>
      </c>
      <c r="B105" s="1" t="s">
        <v>106</v>
      </c>
      <c r="C105" s="2">
        <v>42586</v>
      </c>
    </row>
    <row r="106" spans="1:3" x14ac:dyDescent="0.25">
      <c r="A106" s="1">
        <v>105</v>
      </c>
      <c r="B106" s="1" t="s">
        <v>107</v>
      </c>
      <c r="C106" s="2">
        <v>-184686</v>
      </c>
    </row>
    <row r="107" spans="1:3" x14ac:dyDescent="0.25">
      <c r="A107" s="1">
        <v>106</v>
      </c>
      <c r="B107" s="1" t="s">
        <v>108</v>
      </c>
      <c r="C107" s="2">
        <v>-4180</v>
      </c>
    </row>
    <row r="108" spans="1:3" x14ac:dyDescent="0.25">
      <c r="A108" s="1">
        <v>107</v>
      </c>
      <c r="B108" s="1" t="s">
        <v>109</v>
      </c>
      <c r="C108" s="2">
        <v>8862</v>
      </c>
    </row>
    <row r="109" spans="1:3" x14ac:dyDescent="0.25">
      <c r="A109" s="1">
        <v>108</v>
      </c>
      <c r="B109" s="1" t="s">
        <v>110</v>
      </c>
      <c r="C109" s="2">
        <v>10930</v>
      </c>
    </row>
    <row r="110" spans="1:3" x14ac:dyDescent="0.25">
      <c r="A110" s="1">
        <v>109</v>
      </c>
      <c r="B110" s="1" t="s">
        <v>111</v>
      </c>
      <c r="C110" s="2">
        <v>-6682</v>
      </c>
    </row>
    <row r="111" spans="1:3" x14ac:dyDescent="0.25">
      <c r="A111" s="1">
        <v>110</v>
      </c>
      <c r="B111" s="1" t="s">
        <v>112</v>
      </c>
      <c r="C111" s="2">
        <v>185878</v>
      </c>
    </row>
    <row r="112" spans="1:3" x14ac:dyDescent="0.25">
      <c r="A112" s="1">
        <v>111</v>
      </c>
      <c r="B112" s="1" t="s">
        <v>113</v>
      </c>
      <c r="C112" s="2">
        <v>35215</v>
      </c>
    </row>
    <row r="113" spans="1:3" x14ac:dyDescent="0.25">
      <c r="A113" s="1">
        <v>112</v>
      </c>
      <c r="B113" s="1" t="s">
        <v>114</v>
      </c>
      <c r="C113" s="2">
        <v>21695</v>
      </c>
    </row>
    <row r="114" spans="1:3" x14ac:dyDescent="0.25">
      <c r="A114" s="1">
        <v>113</v>
      </c>
      <c r="B114" s="1" t="s">
        <v>115</v>
      </c>
      <c r="C114" s="2">
        <v>55160</v>
      </c>
    </row>
    <row r="115" spans="1:3" x14ac:dyDescent="0.25">
      <c r="A115" s="1">
        <v>114</v>
      </c>
      <c r="B115" s="1" t="s">
        <v>116</v>
      </c>
      <c r="C115" s="2">
        <v>16449</v>
      </c>
    </row>
    <row r="116" spans="1:3" x14ac:dyDescent="0.25">
      <c r="A116" s="1">
        <v>115</v>
      </c>
      <c r="B116" s="1" t="s">
        <v>117</v>
      </c>
      <c r="C116" s="2">
        <v>14178</v>
      </c>
    </row>
    <row r="117" spans="1:3" x14ac:dyDescent="0.25">
      <c r="A117" s="1">
        <v>116</v>
      </c>
      <c r="B117" s="1" t="s">
        <v>118</v>
      </c>
      <c r="C117" s="2">
        <v>16225</v>
      </c>
    </row>
    <row r="118" spans="1:3" x14ac:dyDescent="0.25">
      <c r="A118" s="1">
        <v>117</v>
      </c>
      <c r="B118" s="1" t="s">
        <v>119</v>
      </c>
      <c r="C118" s="2">
        <v>-13046</v>
      </c>
    </row>
    <row r="119" spans="1:3" x14ac:dyDescent="0.25">
      <c r="A119" s="1">
        <v>118</v>
      </c>
      <c r="B119" s="1" t="s">
        <v>120</v>
      </c>
      <c r="C119" s="2">
        <v>25706</v>
      </c>
    </row>
    <row r="120" spans="1:3" x14ac:dyDescent="0.25">
      <c r="A120" s="1">
        <v>119</v>
      </c>
      <c r="B120" s="1" t="s">
        <v>121</v>
      </c>
      <c r="C120" s="2">
        <v>19143</v>
      </c>
    </row>
    <row r="121" spans="1:3" x14ac:dyDescent="0.25">
      <c r="A121" s="1">
        <v>120</v>
      </c>
      <c r="B121" s="1" t="s">
        <v>122</v>
      </c>
      <c r="C121" s="2">
        <v>11833</v>
      </c>
    </row>
    <row r="122" spans="1:3" x14ac:dyDescent="0.25">
      <c r="A122" s="1">
        <v>121</v>
      </c>
      <c r="B122" s="1" t="s">
        <v>123</v>
      </c>
      <c r="C122" s="2">
        <v>-179737</v>
      </c>
    </row>
    <row r="123" spans="1:3" x14ac:dyDescent="0.25">
      <c r="A123" s="1">
        <v>122</v>
      </c>
      <c r="B123" s="1" t="s">
        <v>124</v>
      </c>
      <c r="C123" s="2">
        <v>21542</v>
      </c>
    </row>
    <row r="124" spans="1:3" x14ac:dyDescent="0.25">
      <c r="A124" s="1">
        <v>123</v>
      </c>
      <c r="B124" s="1" t="s">
        <v>125</v>
      </c>
      <c r="C124" s="2">
        <v>91998</v>
      </c>
    </row>
    <row r="125" spans="1:3" x14ac:dyDescent="0.25">
      <c r="A125" s="1">
        <v>124</v>
      </c>
      <c r="B125" s="1" t="s">
        <v>126</v>
      </c>
      <c r="C125" s="2">
        <v>48562</v>
      </c>
    </row>
    <row r="126" spans="1:3" x14ac:dyDescent="0.25">
      <c r="A126" s="1">
        <v>125</v>
      </c>
      <c r="B126" s="1" t="s">
        <v>127</v>
      </c>
      <c r="C126" s="2">
        <v>21220</v>
      </c>
    </row>
    <row r="127" spans="1:3" x14ac:dyDescent="0.25">
      <c r="A127" s="1">
        <v>126</v>
      </c>
      <c r="B127" s="1" t="s">
        <v>128</v>
      </c>
      <c r="C127" s="2">
        <v>61838</v>
      </c>
    </row>
    <row r="128" spans="1:3" x14ac:dyDescent="0.25">
      <c r="A128" s="1">
        <v>127</v>
      </c>
      <c r="B128" s="1" t="s">
        <v>129</v>
      </c>
      <c r="C128" s="2">
        <v>65619</v>
      </c>
    </row>
    <row r="129" spans="1:3" x14ac:dyDescent="0.25">
      <c r="A129" s="1">
        <v>128</v>
      </c>
      <c r="B129" s="1" t="s">
        <v>130</v>
      </c>
      <c r="C129" s="2">
        <v>2138</v>
      </c>
    </row>
    <row r="130" spans="1:3" x14ac:dyDescent="0.25">
      <c r="A130" s="1">
        <v>129</v>
      </c>
      <c r="B130" s="1" t="s">
        <v>131</v>
      </c>
      <c r="C130" s="2">
        <v>12390</v>
      </c>
    </row>
    <row r="131" spans="1:3" x14ac:dyDescent="0.25">
      <c r="A131" s="1">
        <v>130</v>
      </c>
      <c r="B131" s="1" t="s">
        <v>132</v>
      </c>
      <c r="C131" s="2">
        <v>25647</v>
      </c>
    </row>
    <row r="132" spans="1:3" x14ac:dyDescent="0.25">
      <c r="A132" s="1">
        <v>131</v>
      </c>
      <c r="B132" s="1" t="s">
        <v>133</v>
      </c>
      <c r="C132" s="2">
        <v>29652</v>
      </c>
    </row>
    <row r="133" spans="1:3" x14ac:dyDescent="0.25">
      <c r="A133" s="1">
        <v>132</v>
      </c>
      <c r="B133" s="1" t="s">
        <v>134</v>
      </c>
      <c r="C133" s="2">
        <v>34386</v>
      </c>
    </row>
    <row r="134" spans="1:3" x14ac:dyDescent="0.25">
      <c r="A134" s="1">
        <v>133</v>
      </c>
      <c r="B134" s="1" t="s">
        <v>135</v>
      </c>
      <c r="C134" s="2">
        <v>18714</v>
      </c>
    </row>
    <row r="135" spans="1:3" x14ac:dyDescent="0.25">
      <c r="A135" s="1">
        <v>134</v>
      </c>
      <c r="B135" s="1" t="s">
        <v>136</v>
      </c>
      <c r="C135" s="2">
        <v>29003</v>
      </c>
    </row>
    <row r="136" spans="1:3" x14ac:dyDescent="0.25">
      <c r="A136" s="1">
        <v>135</v>
      </c>
      <c r="B136" s="1" t="s">
        <v>137</v>
      </c>
      <c r="C136" s="2">
        <v>14518</v>
      </c>
    </row>
    <row r="137" spans="1:3" x14ac:dyDescent="0.25">
      <c r="A137" s="1">
        <v>136</v>
      </c>
      <c r="B137" s="1" t="s">
        <v>138</v>
      </c>
      <c r="C137" s="2">
        <v>40682</v>
      </c>
    </row>
    <row r="138" spans="1:3" x14ac:dyDescent="0.25">
      <c r="A138" s="1">
        <v>137</v>
      </c>
      <c r="B138" s="1" t="s">
        <v>139</v>
      </c>
      <c r="C138" s="2">
        <v>-86864</v>
      </c>
    </row>
    <row r="139" spans="1:3" x14ac:dyDescent="0.25">
      <c r="A139" s="1">
        <v>138</v>
      </c>
      <c r="B139" s="1" t="s">
        <v>140</v>
      </c>
      <c r="C139" s="2">
        <v>40327</v>
      </c>
    </row>
    <row r="140" spans="1:3" x14ac:dyDescent="0.25">
      <c r="A140" s="1">
        <v>139</v>
      </c>
      <c r="B140" s="1" t="s">
        <v>141</v>
      </c>
      <c r="C140" s="2">
        <v>18048</v>
      </c>
    </row>
    <row r="141" spans="1:3" x14ac:dyDescent="0.25">
      <c r="A141" s="1">
        <v>140</v>
      </c>
      <c r="B141" s="1" t="s">
        <v>142</v>
      </c>
      <c r="C141" s="2">
        <v>14178</v>
      </c>
    </row>
    <row r="142" spans="1:3" x14ac:dyDescent="0.25">
      <c r="A142" s="1">
        <v>141</v>
      </c>
      <c r="B142" s="1" t="s">
        <v>143</v>
      </c>
      <c r="C142" s="2">
        <v>-42138</v>
      </c>
    </row>
    <row r="143" spans="1:3" x14ac:dyDescent="0.25">
      <c r="A143" s="1"/>
      <c r="B143" s="1"/>
      <c r="C143" s="3">
        <f>SUM(C2:C142)</f>
        <v>4530786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C218-568D-4084-A7BC-EBFCEA35399F}">
  <dimension ref="A1:H142"/>
  <sheetViews>
    <sheetView tabSelected="1" topLeftCell="B1" workbookViewId="0">
      <selection activeCell="H2" sqref="H2"/>
    </sheetView>
  </sheetViews>
  <sheetFormatPr defaultColWidth="22.42578125" defaultRowHeight="15" x14ac:dyDescent="0.25"/>
  <cols>
    <col min="1" max="1" width="38.7109375" bestFit="1" customWidth="1"/>
    <col min="2" max="2" width="15.7109375" customWidth="1"/>
    <col min="3" max="3" width="14.5703125" bestFit="1" customWidth="1"/>
    <col min="4" max="4" width="9.5703125" bestFit="1" customWidth="1"/>
    <col min="5" max="5" width="16" bestFit="1" customWidth="1"/>
    <col min="6" max="6" width="32.140625" customWidth="1"/>
    <col min="7" max="7" width="35.42578125" customWidth="1"/>
    <col min="8" max="8" width="54" customWidth="1"/>
  </cols>
  <sheetData>
    <row r="1" spans="1:8" x14ac:dyDescent="0.25">
      <c r="A1" s="7" t="s">
        <v>144</v>
      </c>
      <c r="B1" t="s">
        <v>145</v>
      </c>
      <c r="D1" s="8" t="s">
        <v>146</v>
      </c>
      <c r="E1" s="9" t="s">
        <v>301</v>
      </c>
    </row>
    <row r="2" spans="1:8" ht="180" x14ac:dyDescent="0.25">
      <c r="A2" s="1" t="s">
        <v>3</v>
      </c>
      <c r="B2" s="1" t="s">
        <v>160</v>
      </c>
      <c r="C2" s="2">
        <v>-1015531</v>
      </c>
      <c r="D2" s="10">
        <f>ROUND(C2,0)</f>
        <v>-1015531</v>
      </c>
      <c r="E2" s="9" t="s">
        <v>301</v>
      </c>
      <c r="F2" s="11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2" t="str">
        <f>"('"&amp;E2&amp;"','"&amp;B2&amp;"','"&amp;D2&amp;"',(select max(to_number(i.premium_rcv_detail_code))+1
from ins_premium_det i),'"&amp;D2&amp;"','"&amp;D2&amp;"','02', '11000003','00','Request by Mr. Omair Ali 16-Aug-2024');"</f>
        <v>('14Aug240007','050000561199','-1015531',(select max(to_number(i.premium_rcv_detail_code))+1
from ins_premium_det i),'-1015531','-1015531','02', '11000003','00','Request by Mr. Omair Ali 16-Aug-2024');</v>
      </c>
      <c r="H2" s="13" t="str">
        <f>F2&amp;G2</f>
        <v>insert into ins_premium_det (premium_rcv_code,assorted_code, rec_amount,premium_rcv_detail_code,remaining_amt, payrec, mode_code,coinsurance_code,class_cd,it_remarks) values('14Aug240007','050000561199','-1015531',(select max(to_number(i.premium_rcv_detail_code))+1
from ins_premium_det i),'-1015531','-1015531','02', '11000003','00','Request by Mr. Omair Ali 16-Aug-2024');</v>
      </c>
    </row>
    <row r="3" spans="1:8" ht="210" x14ac:dyDescent="0.25">
      <c r="A3" s="1" t="s">
        <v>4</v>
      </c>
      <c r="B3" s="1" t="s">
        <v>161</v>
      </c>
      <c r="C3" s="2">
        <v>1766753</v>
      </c>
      <c r="D3" s="10">
        <f t="shared" ref="D3:D66" si="1">ROUND(C3,0)</f>
        <v>1766753</v>
      </c>
      <c r="E3" s="9" t="s">
        <v>301</v>
      </c>
      <c r="F3" s="11" t="str">
        <f t="shared" si="0"/>
        <v>insert into ins_premium_det (premium_rcv_code,assorted_code, rec_amount,premium_rcv_detail_code,remaining_amt, payrec, mode_code,coinsurance_code,class_cd,it_remarks) values</v>
      </c>
      <c r="G3" s="12" t="str">
        <f t="shared" ref="G3:G66" si="2">"('"&amp;E3&amp;"','"&amp;B3&amp;"','"&amp;D3&amp;"',(select max(to_number(i.premium_rcv_detail_code))+1
from ins_premium_det i),'"&amp;D3&amp;"','"&amp;D3&amp;"','02', '11000003','00','Request by Mr. Omair Ali 16-Aug-2024');"</f>
        <v>('14Aug240007','050000561420','1766753',(select max(to_number(i.premium_rcv_detail_code))+1
from ins_premium_det i),'1766753','1766753','02', '11000003','00','Request by Mr. Omair Ali 16-Aug-2024');</v>
      </c>
      <c r="H3" s="13" t="str">
        <f t="shared" ref="H3:H66" si="3">F3&amp;G3</f>
        <v>insert into ins_premium_det (premium_rcv_code,assorted_code, rec_amount,premium_rcv_detail_code,remaining_amt, payrec, mode_code,coinsurance_code,class_cd,it_remarks) values('14Aug240007','050000561420','1766753',(select max(to_number(i.premium_rcv_detail_code))+1
from ins_premium_det i),'1766753','1766753','02', '11000003','00','Request by Mr. Omair Ali 16-Aug-2024');</v>
      </c>
    </row>
    <row r="4" spans="1:8" ht="135" x14ac:dyDescent="0.25">
      <c r="A4" s="1" t="s">
        <v>5</v>
      </c>
      <c r="B4" s="1" t="s">
        <v>162</v>
      </c>
      <c r="C4" s="2">
        <v>92137</v>
      </c>
      <c r="D4" s="10">
        <f t="shared" si="1"/>
        <v>92137</v>
      </c>
      <c r="E4" s="9" t="s">
        <v>301</v>
      </c>
      <c r="F4" s="11" t="str">
        <f t="shared" si="0"/>
        <v>insert into ins_premium_det (premium_rcv_code,assorted_code, rec_amount,premium_rcv_detail_code,remaining_amt, payrec, mode_code,coinsurance_code,class_cd,it_remarks) values</v>
      </c>
      <c r="G4" s="12" t="str">
        <f t="shared" si="2"/>
        <v>('14Aug240007','050000562272','92137',(select max(to_number(i.premium_rcv_detail_code))+1
from ins_premium_det i),'92137','92137','02', '11000003','00','Request by Mr. Omair Ali 16-Aug-2024');</v>
      </c>
      <c r="H4" s="13" t="str">
        <f t="shared" si="3"/>
        <v>insert into ins_premium_det (premium_rcv_code,assorted_code, rec_amount,premium_rcv_detail_code,remaining_amt, payrec, mode_code,coinsurance_code,class_cd,it_remarks) values('14Aug240007','050000562272','92137',(select max(to_number(i.premium_rcv_detail_code))+1
from ins_premium_det i),'92137','92137','02', '11000003','00','Request by Mr. Omair Ali 16-Aug-2024');</v>
      </c>
    </row>
    <row r="5" spans="1:8" ht="135" x14ac:dyDescent="0.25">
      <c r="A5" s="1" t="s">
        <v>6</v>
      </c>
      <c r="B5" s="1" t="s">
        <v>163</v>
      </c>
      <c r="C5" s="2">
        <v>101123</v>
      </c>
      <c r="D5" s="10">
        <f t="shared" si="1"/>
        <v>101123</v>
      </c>
      <c r="E5" s="9" t="s">
        <v>301</v>
      </c>
      <c r="F5" s="11" t="str">
        <f t="shared" si="0"/>
        <v>insert into ins_premium_det (premium_rcv_code,assorted_code, rec_amount,premium_rcv_detail_code,remaining_amt, payrec, mode_code,coinsurance_code,class_cd,it_remarks) values</v>
      </c>
      <c r="G5" s="12" t="str">
        <f t="shared" si="2"/>
        <v>('14Aug240007','050000563249','101123',(select max(to_number(i.premium_rcv_detail_code))+1
from ins_premium_det i),'101123','101123','02', '11000003','00','Request by Mr. Omair Ali 16-Aug-2024');</v>
      </c>
      <c r="H5" s="13" t="str">
        <f t="shared" si="3"/>
        <v>insert into ins_premium_det (premium_rcv_code,assorted_code, rec_amount,premium_rcv_detail_code,remaining_amt, payrec, mode_code,coinsurance_code,class_cd,it_remarks) values('14Aug240007','050000563249','101123',(select max(to_number(i.premium_rcv_detail_code))+1
from ins_premium_det i),'101123','101123','02', '11000003','00','Request by Mr. Omair Ali 16-Aug-2024');</v>
      </c>
    </row>
    <row r="6" spans="1:8" ht="135" x14ac:dyDescent="0.25">
      <c r="A6" s="1" t="s">
        <v>7</v>
      </c>
      <c r="B6" s="1" t="s">
        <v>164</v>
      </c>
      <c r="C6" s="2">
        <v>12390</v>
      </c>
      <c r="D6" s="10">
        <f t="shared" si="1"/>
        <v>12390</v>
      </c>
      <c r="E6" s="9" t="s">
        <v>301</v>
      </c>
      <c r="F6" s="11" t="str">
        <f t="shared" si="0"/>
        <v>insert into ins_premium_det (premium_rcv_code,assorted_code, rec_amount,premium_rcv_detail_code,remaining_amt, payrec, mode_code,coinsurance_code,class_cd,it_remarks) values</v>
      </c>
      <c r="G6" s="12" t="str">
        <f t="shared" si="2"/>
        <v>('14Aug240007','050000566864','12390',(select max(to_number(i.premium_rcv_detail_code))+1
from ins_premium_det i),'12390','12390','02', '11000003','00','Request by Mr. Omair Ali 16-Aug-2024');</v>
      </c>
      <c r="H6" s="13" t="str">
        <f t="shared" si="3"/>
        <v>insert into ins_premium_det (premium_rcv_code,assorted_code, rec_amount,premium_rcv_detail_code,remaining_amt, payrec, mode_code,coinsurance_code,class_cd,it_remarks) values('14Aug240007','050000566864','12390',(select max(to_number(i.premium_rcv_detail_code))+1
from ins_premium_det i),'12390','12390','02', '11000003','00','Request by Mr. Omair Ali 16-Aug-2024');</v>
      </c>
    </row>
    <row r="7" spans="1:8" ht="135" x14ac:dyDescent="0.25">
      <c r="A7" s="1" t="s">
        <v>8</v>
      </c>
      <c r="B7" s="1" t="s">
        <v>165</v>
      </c>
      <c r="C7" s="2">
        <v>42111</v>
      </c>
      <c r="D7" s="10">
        <f t="shared" si="1"/>
        <v>42111</v>
      </c>
      <c r="E7" s="9" t="s">
        <v>301</v>
      </c>
      <c r="F7" s="11" t="str">
        <f t="shared" si="0"/>
        <v>insert into ins_premium_det (premium_rcv_code,assorted_code, rec_amount,premium_rcv_detail_code,remaining_amt, payrec, mode_code,coinsurance_code,class_cd,it_remarks) values</v>
      </c>
      <c r="G7" s="12" t="str">
        <f t="shared" si="2"/>
        <v>('14Aug240007','050000567056','42111',(select max(to_number(i.premium_rcv_detail_code))+1
from ins_premium_det i),'42111','42111','02', '11000003','00','Request by Mr. Omair Ali 16-Aug-2024');</v>
      </c>
      <c r="H7" s="13" t="str">
        <f t="shared" si="3"/>
        <v>insert into ins_premium_det (premium_rcv_code,assorted_code, rec_amount,premium_rcv_detail_code,remaining_amt, payrec, mode_code,coinsurance_code,class_cd,it_remarks) values('14Aug240007','050000567056','42111',(select max(to_number(i.premium_rcv_detail_code))+1
from ins_premium_det i),'42111','42111','02', '11000003','00','Request by Mr. Omair Ali 16-Aug-2024');</v>
      </c>
    </row>
    <row r="8" spans="1:8" ht="135" x14ac:dyDescent="0.25">
      <c r="A8" s="1" t="s">
        <v>9</v>
      </c>
      <c r="B8" s="1" t="s">
        <v>166</v>
      </c>
      <c r="C8" s="2">
        <v>42111</v>
      </c>
      <c r="D8" s="10">
        <f t="shared" si="1"/>
        <v>42111</v>
      </c>
      <c r="E8" s="9" t="s">
        <v>301</v>
      </c>
      <c r="F8" s="11" t="str">
        <f t="shared" si="0"/>
        <v>insert into ins_premium_det (premium_rcv_code,assorted_code, rec_amount,premium_rcv_detail_code,remaining_amt, payrec, mode_code,coinsurance_code,class_cd,it_remarks) values</v>
      </c>
      <c r="G8" s="12" t="str">
        <f t="shared" si="2"/>
        <v>('14Aug240007','050000568435','42111',(select max(to_number(i.premium_rcv_detail_code))+1
from ins_premium_det i),'42111','42111','02', '11000003','00','Request by Mr. Omair Ali 16-Aug-2024');</v>
      </c>
      <c r="H8" s="13" t="str">
        <f t="shared" si="3"/>
        <v>insert into ins_premium_det (premium_rcv_code,assorted_code, rec_amount,premium_rcv_detail_code,remaining_amt, payrec, mode_code,coinsurance_code,class_cd,it_remarks) values('14Aug240007','050000568435','42111',(select max(to_number(i.premium_rcv_detail_code))+1
from ins_premium_det i),'42111','42111','02', '11000003','00','Request by Mr. Omair Ali 16-Aug-2024');</v>
      </c>
    </row>
    <row r="9" spans="1:8" ht="135" x14ac:dyDescent="0.25">
      <c r="A9" s="1" t="s">
        <v>10</v>
      </c>
      <c r="B9" s="1" t="s">
        <v>167</v>
      </c>
      <c r="C9" s="2">
        <v>24033</v>
      </c>
      <c r="D9" s="10">
        <f t="shared" si="1"/>
        <v>24033</v>
      </c>
      <c r="E9" s="9" t="s">
        <v>301</v>
      </c>
      <c r="F9" s="11" t="str">
        <f t="shared" si="0"/>
        <v>insert into ins_premium_det (premium_rcv_code,assorted_code, rec_amount,premium_rcv_detail_code,remaining_amt, payrec, mode_code,coinsurance_code,class_cd,it_remarks) values</v>
      </c>
      <c r="G9" s="12" t="str">
        <f t="shared" si="2"/>
        <v>('14Aug240007','050000568789','24033',(select max(to_number(i.premium_rcv_detail_code))+1
from ins_premium_det i),'24033','24033','02', '11000003','00','Request by Mr. Omair Ali 16-Aug-2024');</v>
      </c>
      <c r="H9" s="13" t="str">
        <f t="shared" si="3"/>
        <v>insert into ins_premium_det (premium_rcv_code,assorted_code, rec_amount,premium_rcv_detail_code,remaining_amt, payrec, mode_code,coinsurance_code,class_cd,it_remarks) values('14Aug240007','050000568789','24033',(select max(to_number(i.premium_rcv_detail_code))+1
from ins_premium_det i),'24033','24033','02', '11000003','00','Request by Mr. Omair Ali 16-Aug-2024');</v>
      </c>
    </row>
    <row r="10" spans="1:8" ht="135" x14ac:dyDescent="0.25">
      <c r="A10" s="1" t="s">
        <v>11</v>
      </c>
      <c r="B10" s="1" t="s">
        <v>168</v>
      </c>
      <c r="C10" s="2">
        <v>68344</v>
      </c>
      <c r="D10" s="10">
        <f t="shared" si="1"/>
        <v>68344</v>
      </c>
      <c r="E10" s="9" t="s">
        <v>301</v>
      </c>
      <c r="F10" s="11" t="str">
        <f t="shared" si="0"/>
        <v>insert into ins_premium_det (premium_rcv_code,assorted_code, rec_amount,premium_rcv_detail_code,remaining_amt, payrec, mode_code,coinsurance_code,class_cd,it_remarks) values</v>
      </c>
      <c r="G10" s="12" t="str">
        <f t="shared" si="2"/>
        <v>('14Aug240007','050000570205','68344',(select max(to_number(i.premium_rcv_detail_code))+1
from ins_premium_det i),'68344','68344','02', '11000003','00','Request by Mr. Omair Ali 16-Aug-2024');</v>
      </c>
      <c r="H10" s="13" t="str">
        <f t="shared" si="3"/>
        <v>insert into ins_premium_det (premium_rcv_code,assorted_code, rec_amount,premium_rcv_detail_code,remaining_amt, payrec, mode_code,coinsurance_code,class_cd,it_remarks) values('14Aug240007','050000570205','68344',(select max(to_number(i.premium_rcv_detail_code))+1
from ins_premium_det i),'68344','68344','02', '11000003','00','Request by Mr. Omair Ali 16-Aug-2024');</v>
      </c>
    </row>
    <row r="11" spans="1:8" ht="135" x14ac:dyDescent="0.25">
      <c r="A11" s="1" t="s">
        <v>12</v>
      </c>
      <c r="B11" s="1" t="s">
        <v>169</v>
      </c>
      <c r="C11" s="2">
        <v>134411</v>
      </c>
      <c r="D11" s="10">
        <f t="shared" si="1"/>
        <v>134411</v>
      </c>
      <c r="E11" s="9" t="s">
        <v>301</v>
      </c>
      <c r="F11" s="11" t="str">
        <f t="shared" si="0"/>
        <v>insert into ins_premium_det (premium_rcv_code,assorted_code, rec_amount,premium_rcv_detail_code,remaining_amt, payrec, mode_code,coinsurance_code,class_cd,it_remarks) values</v>
      </c>
      <c r="G11" s="12" t="str">
        <f t="shared" si="2"/>
        <v>('14Aug240007','050000570853','134411',(select max(to_number(i.premium_rcv_detail_code))+1
from ins_premium_det i),'134411','134411','02', '11000003','00','Request by Mr. Omair Ali 16-Aug-2024');</v>
      </c>
      <c r="H11" s="13" t="str">
        <f t="shared" si="3"/>
        <v>insert into ins_premium_det (premium_rcv_code,assorted_code, rec_amount,premium_rcv_detail_code,remaining_amt, payrec, mode_code,coinsurance_code,class_cd,it_remarks) values('14Aug240007','050000570853','134411',(select max(to_number(i.premium_rcv_detail_code))+1
from ins_premium_det i),'134411','134411','02', '11000003','00','Request by Mr. Omair Ali 16-Aug-2024');</v>
      </c>
    </row>
    <row r="12" spans="1:8" ht="135" x14ac:dyDescent="0.25">
      <c r="A12" s="1" t="s">
        <v>13</v>
      </c>
      <c r="B12" s="1" t="s">
        <v>170</v>
      </c>
      <c r="C12" s="2">
        <v>115342</v>
      </c>
      <c r="D12" s="10">
        <f t="shared" si="1"/>
        <v>115342</v>
      </c>
      <c r="E12" s="9" t="s">
        <v>301</v>
      </c>
      <c r="F12" s="11" t="str">
        <f t="shared" si="0"/>
        <v>insert into ins_premium_det (premium_rcv_code,assorted_code, rec_amount,premium_rcv_detail_code,remaining_amt, payrec, mode_code,coinsurance_code,class_cd,it_remarks) values</v>
      </c>
      <c r="G12" s="12" t="str">
        <f t="shared" si="2"/>
        <v>('14Aug240007','050000572435','115342',(select max(to_number(i.premium_rcv_detail_code))+1
from ins_premium_det i),'115342','115342','02', '11000003','00','Request by Mr. Omair Ali 16-Aug-2024');</v>
      </c>
      <c r="H12" s="13" t="str">
        <f t="shared" si="3"/>
        <v>insert into ins_premium_det (premium_rcv_code,assorted_code, rec_amount,premium_rcv_detail_code,remaining_amt, payrec, mode_code,coinsurance_code,class_cd,it_remarks) values('14Aug240007','050000572435','115342',(select max(to_number(i.premium_rcv_detail_code))+1
from ins_premium_det i),'115342','115342','02', '11000003','00','Request by Mr. Omair Ali 16-Aug-2024');</v>
      </c>
    </row>
    <row r="13" spans="1:8" ht="135" x14ac:dyDescent="0.25">
      <c r="A13" s="1" t="s">
        <v>14</v>
      </c>
      <c r="B13" s="1" t="s">
        <v>171</v>
      </c>
      <c r="C13" s="2">
        <v>129866</v>
      </c>
      <c r="D13" s="10">
        <f t="shared" si="1"/>
        <v>129866</v>
      </c>
      <c r="E13" s="9" t="s">
        <v>301</v>
      </c>
      <c r="F13" s="11" t="str">
        <f t="shared" si="0"/>
        <v>insert into ins_premium_det (premium_rcv_code,assorted_code, rec_amount,premium_rcv_detail_code,remaining_amt, payrec, mode_code,coinsurance_code,class_cd,it_remarks) values</v>
      </c>
      <c r="G13" s="12" t="str">
        <f t="shared" si="2"/>
        <v>('14Aug240007','050000572682','129866',(select max(to_number(i.premium_rcv_detail_code))+1
from ins_premium_det i),'129866','129866','02', '11000003','00','Request by Mr. Omair Ali 16-Aug-2024');</v>
      </c>
      <c r="H13" s="13" t="str">
        <f t="shared" si="3"/>
        <v>insert into ins_premium_det (premium_rcv_code,assorted_code, rec_amount,premium_rcv_detail_code,remaining_amt, payrec, mode_code,coinsurance_code,class_cd,it_remarks) values('14Aug240007','050000572682','129866',(select max(to_number(i.premium_rcv_detail_code))+1
from ins_premium_det i),'129866','129866','02', '11000003','00','Request by Mr. Omair Ali 16-Aug-2024');</v>
      </c>
    </row>
    <row r="14" spans="1:8" ht="135" x14ac:dyDescent="0.25">
      <c r="A14" s="1" t="s">
        <v>15</v>
      </c>
      <c r="B14" s="1" t="s">
        <v>172</v>
      </c>
      <c r="C14" s="2">
        <v>242587</v>
      </c>
      <c r="D14" s="10">
        <f t="shared" si="1"/>
        <v>242587</v>
      </c>
      <c r="E14" s="9" t="s">
        <v>301</v>
      </c>
      <c r="F14" s="11" t="str">
        <f t="shared" si="0"/>
        <v>insert into ins_premium_det (premium_rcv_code,assorted_code, rec_amount,premium_rcv_detail_code,remaining_amt, payrec, mode_code,coinsurance_code,class_cd,it_remarks) values</v>
      </c>
      <c r="G14" s="12" t="str">
        <f t="shared" si="2"/>
        <v>('14Aug240007','050000574223','242587',(select max(to_number(i.premium_rcv_detail_code))+1
from ins_premium_det i),'242587','242587','02', '11000003','00','Request by Mr. Omair Ali 16-Aug-2024');</v>
      </c>
      <c r="H14" s="13" t="str">
        <f t="shared" si="3"/>
        <v>insert into ins_premium_det (premium_rcv_code,assorted_code, rec_amount,premium_rcv_detail_code,remaining_amt, payrec, mode_code,coinsurance_code,class_cd,it_remarks) values('14Aug240007','050000574223','242587',(select max(to_number(i.premium_rcv_detail_code))+1
from ins_premium_det i),'242587','242587','02', '11000003','00','Request by Mr. Omair Ali 16-Aug-2024');</v>
      </c>
    </row>
    <row r="15" spans="1:8" ht="135" x14ac:dyDescent="0.25">
      <c r="A15" s="1" t="s">
        <v>16</v>
      </c>
      <c r="B15" s="1" t="s">
        <v>173</v>
      </c>
      <c r="C15" s="2">
        <v>98395</v>
      </c>
      <c r="D15" s="10">
        <f t="shared" si="1"/>
        <v>98395</v>
      </c>
      <c r="E15" s="9" t="s">
        <v>301</v>
      </c>
      <c r="F15" s="11" t="str">
        <f t="shared" si="0"/>
        <v>insert into ins_premium_det (premium_rcv_code,assorted_code, rec_amount,premium_rcv_detail_code,remaining_amt, payrec, mode_code,coinsurance_code,class_cd,it_remarks) values</v>
      </c>
      <c r="G15" s="12" t="str">
        <f t="shared" si="2"/>
        <v>('14Aug240007','050000574501','98395',(select max(to_number(i.premium_rcv_detail_code))+1
from ins_premium_det i),'98395','98395','02', '11000003','00','Request by Mr. Omair Ali 16-Aug-2024');</v>
      </c>
      <c r="H15" s="13" t="str">
        <f t="shared" si="3"/>
        <v>insert into ins_premium_det (premium_rcv_code,assorted_code, rec_amount,premium_rcv_detail_code,remaining_amt, payrec, mode_code,coinsurance_code,class_cd,it_remarks) values('14Aug240007','050000574501','98395',(select max(to_number(i.premium_rcv_detail_code))+1
from ins_premium_det i),'98395','98395','02', '11000003','00','Request by Mr. Omair Ali 16-Aug-2024');</v>
      </c>
    </row>
    <row r="16" spans="1:8" ht="135" x14ac:dyDescent="0.25">
      <c r="A16" s="1" t="s">
        <v>17</v>
      </c>
      <c r="B16" s="1" t="s">
        <v>174</v>
      </c>
      <c r="C16" s="2">
        <v>51507</v>
      </c>
      <c r="D16" s="10">
        <f t="shared" si="1"/>
        <v>51507</v>
      </c>
      <c r="E16" s="9" t="s">
        <v>301</v>
      </c>
      <c r="F16" s="11" t="str">
        <f t="shared" si="0"/>
        <v>insert into ins_premium_det (premium_rcv_code,assorted_code, rec_amount,premium_rcv_detail_code,remaining_amt, payrec, mode_code,coinsurance_code,class_cd,it_remarks) values</v>
      </c>
      <c r="G16" s="12" t="str">
        <f t="shared" si="2"/>
        <v>('14Aug240007','050000575323','51507',(select max(to_number(i.premium_rcv_detail_code))+1
from ins_premium_det i),'51507','51507','02', '11000003','00','Request by Mr. Omair Ali 16-Aug-2024');</v>
      </c>
      <c r="H16" s="13" t="str">
        <f t="shared" si="3"/>
        <v>insert into ins_premium_det (premium_rcv_code,assorted_code, rec_amount,premium_rcv_detail_code,remaining_amt, payrec, mode_code,coinsurance_code,class_cd,it_remarks) values('14Aug240007','050000575323','51507',(select max(to_number(i.premium_rcv_detail_code))+1
from ins_premium_det i),'51507','51507','02', '11000003','00','Request by Mr. Omair Ali 16-Aug-2024');</v>
      </c>
    </row>
    <row r="17" spans="1:8" ht="135" x14ac:dyDescent="0.25">
      <c r="A17" s="1" t="s">
        <v>18</v>
      </c>
      <c r="B17" s="1" t="s">
        <v>175</v>
      </c>
      <c r="C17" s="2">
        <v>5939</v>
      </c>
      <c r="D17" s="10">
        <f t="shared" si="1"/>
        <v>5939</v>
      </c>
      <c r="E17" s="9" t="s">
        <v>301</v>
      </c>
      <c r="F17" s="11" t="str">
        <f t="shared" si="0"/>
        <v>insert into ins_premium_det (premium_rcv_code,assorted_code, rec_amount,premium_rcv_detail_code,remaining_amt, payrec, mode_code,coinsurance_code,class_cd,it_remarks) values</v>
      </c>
      <c r="G17" s="12" t="str">
        <f t="shared" si="2"/>
        <v>('14Aug240007','050000578992','5939',(select max(to_number(i.premium_rcv_detail_code))+1
from ins_premium_det i),'5939','5939','02', '11000003','00','Request by Mr. Omair Ali 16-Aug-2024');</v>
      </c>
      <c r="H17" s="13" t="str">
        <f t="shared" si="3"/>
        <v>insert into ins_premium_det (premium_rcv_code,assorted_code, rec_amount,premium_rcv_detail_code,remaining_amt, payrec, mode_code,coinsurance_code,class_cd,it_remarks) values('14Aug240007','050000578992','5939',(select max(to_number(i.premium_rcv_detail_code))+1
from ins_premium_det i),'5939','5939','02', '11000003','00','Request by Mr. Omair Ali 16-Aug-2024');</v>
      </c>
    </row>
    <row r="18" spans="1:8" ht="135" x14ac:dyDescent="0.25">
      <c r="A18" s="1" t="s">
        <v>19</v>
      </c>
      <c r="B18" s="1" t="s">
        <v>176</v>
      </c>
      <c r="C18" s="2">
        <v>6753</v>
      </c>
      <c r="D18" s="10">
        <f t="shared" si="1"/>
        <v>6753</v>
      </c>
      <c r="E18" s="9" t="s">
        <v>301</v>
      </c>
      <c r="F18" s="11" t="str">
        <f t="shared" si="0"/>
        <v>insert into ins_premium_det (premium_rcv_code,assorted_code, rec_amount,premium_rcv_detail_code,remaining_amt, payrec, mode_code,coinsurance_code,class_cd,it_remarks) values</v>
      </c>
      <c r="G18" s="12" t="str">
        <f t="shared" si="2"/>
        <v>('14Aug240007','050000579171','6753',(select max(to_number(i.premium_rcv_detail_code))+1
from ins_premium_det i),'6753','6753','02', '11000003','00','Request by Mr. Omair Ali 16-Aug-2024');</v>
      </c>
      <c r="H18" s="13" t="str">
        <f t="shared" si="3"/>
        <v>insert into ins_premium_det (premium_rcv_code,assorted_code, rec_amount,premium_rcv_detail_code,remaining_amt, payrec, mode_code,coinsurance_code,class_cd,it_remarks) values('14Aug240007','050000579171','6753',(select max(to_number(i.premium_rcv_detail_code))+1
from ins_premium_det i),'6753','6753','02', '11000003','00','Request by Mr. Omair Ali 16-Aug-2024');</v>
      </c>
    </row>
    <row r="19" spans="1:8" ht="135" x14ac:dyDescent="0.25">
      <c r="A19" s="1" t="s">
        <v>20</v>
      </c>
      <c r="B19" s="1" t="s">
        <v>177</v>
      </c>
      <c r="C19" s="2">
        <v>7111</v>
      </c>
      <c r="D19" s="10">
        <f t="shared" si="1"/>
        <v>7111</v>
      </c>
      <c r="E19" s="9" t="s">
        <v>301</v>
      </c>
      <c r="F19" s="11" t="str">
        <f t="shared" si="0"/>
        <v>insert into ins_premium_det (premium_rcv_code,assorted_code, rec_amount,premium_rcv_detail_code,remaining_amt, payrec, mode_code,coinsurance_code,class_cd,it_remarks) values</v>
      </c>
      <c r="G19" s="12" t="str">
        <f t="shared" si="2"/>
        <v>('14Aug240007','050000582357','7111',(select max(to_number(i.premium_rcv_detail_code))+1
from ins_premium_det i),'7111','7111','02', '11000003','00','Request by Mr. Omair Ali 16-Aug-2024');</v>
      </c>
      <c r="H19" s="13" t="str">
        <f t="shared" si="3"/>
        <v>insert into ins_premium_det (premium_rcv_code,assorted_code, rec_amount,premium_rcv_detail_code,remaining_amt, payrec, mode_code,coinsurance_code,class_cd,it_remarks) values('14Aug240007','050000582357','7111',(select max(to_number(i.premium_rcv_detail_code))+1
from ins_premium_det i),'7111','7111','02', '11000003','00','Request by Mr. Omair Ali 16-Aug-2024');</v>
      </c>
    </row>
    <row r="20" spans="1:8" ht="135" x14ac:dyDescent="0.25">
      <c r="A20" s="1" t="s">
        <v>21</v>
      </c>
      <c r="B20" s="1" t="s">
        <v>178</v>
      </c>
      <c r="C20" s="2">
        <v>11654</v>
      </c>
      <c r="D20" s="10">
        <f t="shared" si="1"/>
        <v>11654</v>
      </c>
      <c r="E20" s="9" t="s">
        <v>301</v>
      </c>
      <c r="F20" s="11" t="str">
        <f t="shared" si="0"/>
        <v>insert into ins_premium_det (premium_rcv_code,assorted_code, rec_amount,premium_rcv_detail_code,remaining_amt, payrec, mode_code,coinsurance_code,class_cd,it_remarks) values</v>
      </c>
      <c r="G20" s="12" t="str">
        <f t="shared" si="2"/>
        <v>('14Aug240007','050000582674','11654',(select max(to_number(i.premium_rcv_detail_code))+1
from ins_premium_det i),'11654','11654','02', '11000003','00','Request by Mr. Omair Ali 16-Aug-2024');</v>
      </c>
      <c r="H20" s="13" t="str">
        <f t="shared" si="3"/>
        <v>insert into ins_premium_det (premium_rcv_code,assorted_code, rec_amount,premium_rcv_detail_code,remaining_amt, payrec, mode_code,coinsurance_code,class_cd,it_remarks) values('14Aug240007','050000582674','11654',(select max(to_number(i.premium_rcv_detail_code))+1
from ins_premium_det i),'11654','11654','02', '11000003','00','Request by Mr. Omair Ali 16-Aug-2024');</v>
      </c>
    </row>
    <row r="21" spans="1:8" ht="135" x14ac:dyDescent="0.25">
      <c r="A21" s="1" t="s">
        <v>22</v>
      </c>
      <c r="B21" s="1" t="s">
        <v>179</v>
      </c>
      <c r="C21" s="2">
        <v>181317</v>
      </c>
      <c r="D21" s="10">
        <f t="shared" si="1"/>
        <v>181317</v>
      </c>
      <c r="E21" s="9" t="s">
        <v>301</v>
      </c>
      <c r="F21" s="11" t="str">
        <f t="shared" si="0"/>
        <v>insert into ins_premium_det (premium_rcv_code,assorted_code, rec_amount,premium_rcv_detail_code,remaining_amt, payrec, mode_code,coinsurance_code,class_cd,it_remarks) values</v>
      </c>
      <c r="G21" s="12" t="str">
        <f t="shared" si="2"/>
        <v>('14Aug240007','050000585964','181317',(select max(to_number(i.premium_rcv_detail_code))+1
from ins_premium_det i),'181317','181317','02', '11000003','00','Request by Mr. Omair Ali 16-Aug-2024');</v>
      </c>
      <c r="H21" s="13" t="str">
        <f t="shared" si="3"/>
        <v>insert into ins_premium_det (premium_rcv_code,assorted_code, rec_amount,premium_rcv_detail_code,remaining_amt, payrec, mode_code,coinsurance_code,class_cd,it_remarks) values('14Aug240007','050000585964','181317',(select max(to_number(i.premium_rcv_detail_code))+1
from ins_premium_det i),'181317','181317','02', '11000003','00','Request by Mr. Omair Ali 16-Aug-2024');</v>
      </c>
    </row>
    <row r="22" spans="1:8" ht="135" x14ac:dyDescent="0.25">
      <c r="A22" s="1" t="s">
        <v>23</v>
      </c>
      <c r="B22" s="1" t="s">
        <v>180</v>
      </c>
      <c r="C22" s="2">
        <v>21318</v>
      </c>
      <c r="D22" s="10">
        <f t="shared" si="1"/>
        <v>21318</v>
      </c>
      <c r="E22" s="9" t="s">
        <v>301</v>
      </c>
      <c r="F22" s="11" t="str">
        <f t="shared" si="0"/>
        <v>insert into ins_premium_det (premium_rcv_code,assorted_code, rec_amount,premium_rcv_detail_code,remaining_amt, payrec, mode_code,coinsurance_code,class_cd,it_remarks) values</v>
      </c>
      <c r="G22" s="12" t="str">
        <f t="shared" si="2"/>
        <v>('14Aug240007','050000586480','21318',(select max(to_number(i.premium_rcv_detail_code))+1
from ins_premium_det i),'21318','21318','02', '11000003','00','Request by Mr. Omair Ali 16-Aug-2024');</v>
      </c>
      <c r="H22" s="13" t="str">
        <f t="shared" si="3"/>
        <v>insert into ins_premium_det (premium_rcv_code,assorted_code, rec_amount,premium_rcv_detail_code,remaining_amt, payrec, mode_code,coinsurance_code,class_cd,it_remarks) values('14Aug240007','050000586480','21318',(select max(to_number(i.premium_rcv_detail_code))+1
from ins_premium_det i),'21318','21318','02', '11000003','00','Request by Mr. Omair Ali 16-Aug-2024');</v>
      </c>
    </row>
    <row r="23" spans="1:8" ht="135" x14ac:dyDescent="0.25">
      <c r="A23" s="1" t="s">
        <v>24</v>
      </c>
      <c r="B23" s="1" t="s">
        <v>181</v>
      </c>
      <c r="C23" s="2">
        <v>18474</v>
      </c>
      <c r="D23" s="10">
        <f t="shared" si="1"/>
        <v>18474</v>
      </c>
      <c r="E23" s="9" t="s">
        <v>301</v>
      </c>
      <c r="F23" s="11" t="str">
        <f t="shared" si="0"/>
        <v>insert into ins_premium_det (premium_rcv_code,assorted_code, rec_amount,premium_rcv_detail_code,remaining_amt, payrec, mode_code,coinsurance_code,class_cd,it_remarks) values</v>
      </c>
      <c r="G23" s="12" t="str">
        <f t="shared" si="2"/>
        <v>('14Aug240007','050000587458','18474',(select max(to_number(i.premium_rcv_detail_code))+1
from ins_premium_det i),'18474','18474','02', '11000003','00','Request by Mr. Omair Ali 16-Aug-2024');</v>
      </c>
      <c r="H23" s="13" t="str">
        <f t="shared" si="3"/>
        <v>insert into ins_premium_det (premium_rcv_code,assorted_code, rec_amount,premium_rcv_detail_code,remaining_amt, payrec, mode_code,coinsurance_code,class_cd,it_remarks) values('14Aug240007','050000587458','18474',(select max(to_number(i.premium_rcv_detail_code))+1
from ins_premium_det i),'18474','18474','02', '11000003','00','Request by Mr. Omair Ali 16-Aug-2024');</v>
      </c>
    </row>
    <row r="24" spans="1:8" ht="135" x14ac:dyDescent="0.25">
      <c r="A24" s="1" t="s">
        <v>25</v>
      </c>
      <c r="B24" s="1" t="s">
        <v>182</v>
      </c>
      <c r="C24" s="2">
        <v>22444</v>
      </c>
      <c r="D24" s="10">
        <f t="shared" si="1"/>
        <v>22444</v>
      </c>
      <c r="E24" s="9" t="s">
        <v>301</v>
      </c>
      <c r="F24" s="11" t="str">
        <f t="shared" si="0"/>
        <v>insert into ins_premium_det (premium_rcv_code,assorted_code, rec_amount,premium_rcv_detail_code,remaining_amt, payrec, mode_code,coinsurance_code,class_cd,it_remarks) values</v>
      </c>
      <c r="G24" s="12" t="str">
        <f t="shared" si="2"/>
        <v>('14Aug240007','050000587744','22444',(select max(to_number(i.premium_rcv_detail_code))+1
from ins_premium_det i),'22444','22444','02', '11000003','00','Request by Mr. Omair Ali 16-Aug-2024');</v>
      </c>
      <c r="H24" s="13" t="str">
        <f t="shared" si="3"/>
        <v>insert into ins_premium_det (premium_rcv_code,assorted_code, rec_amount,premium_rcv_detail_code,remaining_amt, payrec, mode_code,coinsurance_code,class_cd,it_remarks) values('14Aug240007','050000587744','22444',(select max(to_number(i.premium_rcv_detail_code))+1
from ins_premium_det i),'22444','22444','02', '11000003','00','Request by Mr. Omair Ali 16-Aug-2024');</v>
      </c>
    </row>
    <row r="25" spans="1:8" ht="135" x14ac:dyDescent="0.25">
      <c r="A25" s="1" t="s">
        <v>26</v>
      </c>
      <c r="B25" s="1" t="s">
        <v>183</v>
      </c>
      <c r="C25" s="2">
        <v>63997</v>
      </c>
      <c r="D25" s="10">
        <f t="shared" si="1"/>
        <v>63997</v>
      </c>
      <c r="E25" s="9" t="s">
        <v>301</v>
      </c>
      <c r="F25" s="11" t="str">
        <f t="shared" si="0"/>
        <v>insert into ins_premium_det (premium_rcv_code,assorted_code, rec_amount,premium_rcv_detail_code,remaining_amt, payrec, mode_code,coinsurance_code,class_cd,it_remarks) values</v>
      </c>
      <c r="G25" s="12" t="str">
        <f t="shared" si="2"/>
        <v>('14Aug240007','050000588068','63997',(select max(to_number(i.premium_rcv_detail_code))+1
from ins_premium_det i),'63997','63997','02', '11000003','00','Request by Mr. Omair Ali 16-Aug-2024');</v>
      </c>
      <c r="H25" s="13" t="str">
        <f t="shared" si="3"/>
        <v>insert into ins_premium_det (premium_rcv_code,assorted_code, rec_amount,premium_rcv_detail_code,remaining_amt, payrec, mode_code,coinsurance_code,class_cd,it_remarks) values('14Aug240007','050000588068','63997',(select max(to_number(i.premium_rcv_detail_code))+1
from ins_premium_det i),'63997','63997','02', '11000003','00','Request by Mr. Omair Ali 16-Aug-2024');</v>
      </c>
    </row>
    <row r="26" spans="1:8" ht="135" x14ac:dyDescent="0.25">
      <c r="A26" s="1" t="s">
        <v>27</v>
      </c>
      <c r="B26" s="1" t="s">
        <v>184</v>
      </c>
      <c r="C26" s="2">
        <v>-567886</v>
      </c>
      <c r="D26" s="10">
        <f t="shared" si="1"/>
        <v>-567886</v>
      </c>
      <c r="E26" s="9" t="s">
        <v>301</v>
      </c>
      <c r="F26" s="11" t="str">
        <f t="shared" si="0"/>
        <v>insert into ins_premium_det (premium_rcv_code,assorted_code, rec_amount,premium_rcv_detail_code,remaining_amt, payrec, mode_code,coinsurance_code,class_cd,it_remarks) values</v>
      </c>
      <c r="G26" s="12" t="str">
        <f t="shared" si="2"/>
        <v>('14Aug240007','050000590761','-567886',(select max(to_number(i.premium_rcv_detail_code))+1
from ins_premium_det i),'-567886','-567886','02', '11000003','00','Request by Mr. Omair Ali 16-Aug-2024');</v>
      </c>
      <c r="H26" s="13" t="str">
        <f t="shared" si="3"/>
        <v>insert into ins_premium_det (premium_rcv_code,assorted_code, rec_amount,premium_rcv_detail_code,remaining_amt, payrec, mode_code,coinsurance_code,class_cd,it_remarks) values('14Aug240007','050000590761','-567886',(select max(to_number(i.premium_rcv_detail_code))+1
from ins_premium_det i),'-567886','-567886','02', '11000003','00','Request by Mr. Omair Ali 16-Aug-2024');</v>
      </c>
    </row>
    <row r="27" spans="1:8" ht="135" x14ac:dyDescent="0.25">
      <c r="A27" s="1" t="s">
        <v>28</v>
      </c>
      <c r="B27" s="1" t="s">
        <v>185</v>
      </c>
      <c r="C27" s="2">
        <v>768820</v>
      </c>
      <c r="D27" s="10">
        <f t="shared" si="1"/>
        <v>768820</v>
      </c>
      <c r="E27" s="9" t="s">
        <v>301</v>
      </c>
      <c r="F27" s="11" t="str">
        <f t="shared" si="0"/>
        <v>insert into ins_premium_det (premium_rcv_code,assorted_code, rec_amount,premium_rcv_detail_code,remaining_amt, payrec, mode_code,coinsurance_code,class_cd,it_remarks) values</v>
      </c>
      <c r="G27" s="12" t="str">
        <f t="shared" si="2"/>
        <v>('14Aug240007','050000594883','768820',(select max(to_number(i.premium_rcv_detail_code))+1
from ins_premium_det i),'768820','768820','02', '11000003','00','Request by Mr. Omair Ali 16-Aug-2024');</v>
      </c>
      <c r="H27" s="13" t="str">
        <f t="shared" si="3"/>
        <v>insert into ins_premium_det (premium_rcv_code,assorted_code, rec_amount,premium_rcv_detail_code,remaining_amt, payrec, mode_code,coinsurance_code,class_cd,it_remarks) values('14Aug240007','050000594883','768820',(select max(to_number(i.premium_rcv_detail_code))+1
from ins_premium_det i),'768820','768820','02', '11000003','00','Request by Mr. Omair Ali 16-Aug-2024');</v>
      </c>
    </row>
    <row r="28" spans="1:8" ht="135" x14ac:dyDescent="0.25">
      <c r="A28" s="1" t="s">
        <v>29</v>
      </c>
      <c r="B28" s="1" t="s">
        <v>186</v>
      </c>
      <c r="C28" s="2">
        <v>-6323</v>
      </c>
      <c r="D28" s="10">
        <f t="shared" si="1"/>
        <v>-6323</v>
      </c>
      <c r="E28" s="9" t="s">
        <v>301</v>
      </c>
      <c r="F28" s="11" t="str">
        <f t="shared" si="0"/>
        <v>insert into ins_premium_det (premium_rcv_code,assorted_code, rec_amount,premium_rcv_detail_code,remaining_amt, payrec, mode_code,coinsurance_code,class_cd,it_remarks) values</v>
      </c>
      <c r="G28" s="12" t="str">
        <f t="shared" si="2"/>
        <v>('14Aug240007','050000595062','-6323',(select max(to_number(i.premium_rcv_detail_code))+1
from ins_premium_det i),'-6323','-6323','02', '11000003','00','Request by Mr. Omair Ali 16-Aug-2024');</v>
      </c>
      <c r="H28" s="13" t="str">
        <f t="shared" si="3"/>
        <v>insert into ins_premium_det (premium_rcv_code,assorted_code, rec_amount,premium_rcv_detail_code,remaining_amt, payrec, mode_code,coinsurance_code,class_cd,it_remarks) values('14Aug240007','050000595062','-6323',(select max(to_number(i.premium_rcv_detail_code))+1
from ins_premium_det i),'-6323','-6323','02', '11000003','00','Request by Mr. Omair Ali 16-Aug-2024');</v>
      </c>
    </row>
    <row r="29" spans="1:8" ht="135" x14ac:dyDescent="0.25">
      <c r="A29" s="1" t="s">
        <v>30</v>
      </c>
      <c r="B29" s="1" t="s">
        <v>187</v>
      </c>
      <c r="C29" s="2">
        <v>59015</v>
      </c>
      <c r="D29" s="10">
        <f t="shared" si="1"/>
        <v>59015</v>
      </c>
      <c r="E29" s="9" t="s">
        <v>301</v>
      </c>
      <c r="F29" s="11" t="str">
        <f t="shared" si="0"/>
        <v>insert into ins_premium_det (premium_rcv_code,assorted_code, rec_amount,premium_rcv_detail_code,remaining_amt, payrec, mode_code,coinsurance_code,class_cd,it_remarks) values</v>
      </c>
      <c r="G29" s="12" t="str">
        <f t="shared" si="2"/>
        <v>('14Aug240007','050000595617','59015',(select max(to_number(i.premium_rcv_detail_code))+1
from ins_premium_det i),'59015','59015','02', '11000003','00','Request by Mr. Omair Ali 16-Aug-2024');</v>
      </c>
      <c r="H29" s="13" t="str">
        <f t="shared" si="3"/>
        <v>insert into ins_premium_det (premium_rcv_code,assorted_code, rec_amount,premium_rcv_detail_code,remaining_amt, payrec, mode_code,coinsurance_code,class_cd,it_remarks) values('14Aug240007','050000595617','59015',(select max(to_number(i.premium_rcv_detail_code))+1
from ins_premium_det i),'59015','59015','02', '11000003','00','Request by Mr. Omair Ali 16-Aug-2024');</v>
      </c>
    </row>
    <row r="30" spans="1:8" ht="135" x14ac:dyDescent="0.25">
      <c r="A30" s="1" t="s">
        <v>31</v>
      </c>
      <c r="B30" s="1" t="s">
        <v>188</v>
      </c>
      <c r="C30" s="2">
        <v>8710</v>
      </c>
      <c r="D30" s="10">
        <f t="shared" si="1"/>
        <v>8710</v>
      </c>
      <c r="E30" s="9" t="s">
        <v>301</v>
      </c>
      <c r="F30" s="11" t="str">
        <f t="shared" si="0"/>
        <v>insert into ins_premium_det (premium_rcv_code,assorted_code, rec_amount,premium_rcv_detail_code,remaining_amt, payrec, mode_code,coinsurance_code,class_cd,it_remarks) values</v>
      </c>
      <c r="G30" s="12" t="str">
        <f t="shared" si="2"/>
        <v>('14Aug240007','050000597282','8710',(select max(to_number(i.premium_rcv_detail_code))+1
from ins_premium_det i),'8710','8710','02', '11000003','00','Request by Mr. Omair Ali 16-Aug-2024');</v>
      </c>
      <c r="H30" s="13" t="str">
        <f t="shared" si="3"/>
        <v>insert into ins_premium_det (premium_rcv_code,assorted_code, rec_amount,premium_rcv_detail_code,remaining_amt, payrec, mode_code,coinsurance_code,class_cd,it_remarks) values('14Aug240007','050000597282','8710',(select max(to_number(i.premium_rcv_detail_code))+1
from ins_premium_det i),'8710','8710','02', '11000003','00','Request by Mr. Omair Ali 16-Aug-2024');</v>
      </c>
    </row>
    <row r="31" spans="1:8" ht="135" x14ac:dyDescent="0.25">
      <c r="A31" s="1" t="s">
        <v>32</v>
      </c>
      <c r="B31" s="1" t="s">
        <v>189</v>
      </c>
      <c r="C31" s="2">
        <v>40242</v>
      </c>
      <c r="D31" s="10">
        <f t="shared" si="1"/>
        <v>40242</v>
      </c>
      <c r="E31" s="9" t="s">
        <v>301</v>
      </c>
      <c r="F31" s="11" t="str">
        <f t="shared" si="0"/>
        <v>insert into ins_premium_det (premium_rcv_code,assorted_code, rec_amount,premium_rcv_detail_code,remaining_amt, payrec, mode_code,coinsurance_code,class_cd,it_remarks) values</v>
      </c>
      <c r="G31" s="12" t="str">
        <f t="shared" si="2"/>
        <v>('14Aug240007','050000597332','40242',(select max(to_number(i.premium_rcv_detail_code))+1
from ins_premium_det i),'40242','40242','02', '11000003','00','Request by Mr. Omair Ali 16-Aug-2024');</v>
      </c>
      <c r="H31" s="13" t="str">
        <f t="shared" si="3"/>
        <v>insert into ins_premium_det (premium_rcv_code,assorted_code, rec_amount,premium_rcv_detail_code,remaining_amt, payrec, mode_code,coinsurance_code,class_cd,it_remarks) values('14Aug240007','050000597332','40242',(select max(to_number(i.premium_rcv_detail_code))+1
from ins_premium_det i),'40242','40242','02', '11000003','00','Request by Mr. Omair Ali 16-Aug-2024');</v>
      </c>
    </row>
    <row r="32" spans="1:8" ht="135" x14ac:dyDescent="0.25">
      <c r="A32" s="1" t="s">
        <v>33</v>
      </c>
      <c r="B32" s="1" t="s">
        <v>190</v>
      </c>
      <c r="C32" s="2">
        <v>13596</v>
      </c>
      <c r="D32" s="10">
        <f t="shared" si="1"/>
        <v>13596</v>
      </c>
      <c r="E32" s="9" t="s">
        <v>301</v>
      </c>
      <c r="F32" s="11" t="str">
        <f t="shared" si="0"/>
        <v>insert into ins_premium_det (premium_rcv_code,assorted_code, rec_amount,premium_rcv_detail_code,remaining_amt, payrec, mode_code,coinsurance_code,class_cd,it_remarks) values</v>
      </c>
      <c r="G32" s="12" t="str">
        <f t="shared" si="2"/>
        <v>('14Aug240007','050000597809','13596',(select max(to_number(i.premium_rcv_detail_code))+1
from ins_premium_det i),'13596','13596','02', '11000003','00','Request by Mr. Omair Ali 16-Aug-2024');</v>
      </c>
      <c r="H32" s="13" t="str">
        <f t="shared" si="3"/>
        <v>insert into ins_premium_det (premium_rcv_code,assorted_code, rec_amount,premium_rcv_detail_code,remaining_amt, payrec, mode_code,coinsurance_code,class_cd,it_remarks) values('14Aug240007','050000597809','13596',(select max(to_number(i.premium_rcv_detail_code))+1
from ins_premium_det i),'13596','13596','02', '11000003','00','Request by Mr. Omair Ali 16-Aug-2024');</v>
      </c>
    </row>
    <row r="33" spans="1:8" ht="135" x14ac:dyDescent="0.25">
      <c r="A33" s="1" t="s">
        <v>34</v>
      </c>
      <c r="B33" s="1" t="s">
        <v>191</v>
      </c>
      <c r="C33" s="2">
        <v>29701</v>
      </c>
      <c r="D33" s="10">
        <f t="shared" si="1"/>
        <v>29701</v>
      </c>
      <c r="E33" s="9" t="s">
        <v>301</v>
      </c>
      <c r="F33" s="11" t="str">
        <f t="shared" si="0"/>
        <v>insert into ins_premium_det (premium_rcv_code,assorted_code, rec_amount,premium_rcv_detail_code,remaining_amt, payrec, mode_code,coinsurance_code,class_cd,it_remarks) values</v>
      </c>
      <c r="G33" s="12" t="str">
        <f t="shared" si="2"/>
        <v>('14Aug240007','050000598344','29701',(select max(to_number(i.premium_rcv_detail_code))+1
from ins_premium_det i),'29701','29701','02', '11000003','00','Request by Mr. Omair Ali 16-Aug-2024');</v>
      </c>
      <c r="H33" s="13" t="str">
        <f t="shared" si="3"/>
        <v>insert into ins_premium_det (premium_rcv_code,assorted_code, rec_amount,premium_rcv_detail_code,remaining_amt, payrec, mode_code,coinsurance_code,class_cd,it_remarks) values('14Aug240007','050000598344','29701',(select max(to_number(i.premium_rcv_detail_code))+1
from ins_premium_det i),'29701','29701','02', '11000003','00','Request by Mr. Omair Ali 16-Aug-2024');</v>
      </c>
    </row>
    <row r="34" spans="1:8" ht="135" x14ac:dyDescent="0.25">
      <c r="A34" s="1" t="s">
        <v>35</v>
      </c>
      <c r="B34" s="1" t="s">
        <v>192</v>
      </c>
      <c r="C34" s="2">
        <v>60360</v>
      </c>
      <c r="D34" s="10">
        <f t="shared" si="1"/>
        <v>60360</v>
      </c>
      <c r="E34" s="9" t="s">
        <v>301</v>
      </c>
      <c r="F34" s="11" t="str">
        <f t="shared" si="0"/>
        <v>insert into ins_premium_det (premium_rcv_code,assorted_code, rec_amount,premium_rcv_detail_code,remaining_amt, payrec, mode_code,coinsurance_code,class_cd,it_remarks) values</v>
      </c>
      <c r="G34" s="12" t="str">
        <f t="shared" si="2"/>
        <v>('14Aug240007','050000598640','60360',(select max(to_number(i.premium_rcv_detail_code))+1
from ins_premium_det i),'60360','60360','02', '11000003','00','Request by Mr. Omair Ali 16-Aug-2024');</v>
      </c>
      <c r="H34" s="13" t="str">
        <f t="shared" si="3"/>
        <v>insert into ins_premium_det (premium_rcv_code,assorted_code, rec_amount,premium_rcv_detail_code,remaining_amt, payrec, mode_code,coinsurance_code,class_cd,it_remarks) values('14Aug240007','050000598640','60360',(select max(to_number(i.premium_rcv_detail_code))+1
from ins_premium_det i),'60360','60360','02', '11000003','00','Request by Mr. Omair Ali 16-Aug-2024');</v>
      </c>
    </row>
    <row r="35" spans="1:8" ht="135" x14ac:dyDescent="0.25">
      <c r="A35" s="1" t="s">
        <v>36</v>
      </c>
      <c r="B35" s="1" t="s">
        <v>193</v>
      </c>
      <c r="C35" s="2">
        <v>76245</v>
      </c>
      <c r="D35" s="10">
        <f t="shared" si="1"/>
        <v>76245</v>
      </c>
      <c r="E35" s="9" t="s">
        <v>301</v>
      </c>
      <c r="F35" s="11" t="str">
        <f t="shared" si="0"/>
        <v>insert into ins_premium_det (premium_rcv_code,assorted_code, rec_amount,premium_rcv_detail_code,remaining_amt, payrec, mode_code,coinsurance_code,class_cd,it_remarks) values</v>
      </c>
      <c r="G35" s="12" t="str">
        <f t="shared" si="2"/>
        <v>('14Aug240007','050000599105','76245',(select max(to_number(i.premium_rcv_detail_code))+1
from ins_premium_det i),'76245','76245','02', '11000003','00','Request by Mr. Omair Ali 16-Aug-2024');</v>
      </c>
      <c r="H35" s="13" t="str">
        <f t="shared" si="3"/>
        <v>insert into ins_premium_det (premium_rcv_code,assorted_code, rec_amount,premium_rcv_detail_code,remaining_amt, payrec, mode_code,coinsurance_code,class_cd,it_remarks) values('14Aug240007','050000599105','76245',(select max(to_number(i.premium_rcv_detail_code))+1
from ins_premium_det i),'76245','76245','02', '11000003','00','Request by Mr. Omair Ali 16-Aug-2024');</v>
      </c>
    </row>
    <row r="36" spans="1:8" ht="135" x14ac:dyDescent="0.25">
      <c r="A36" s="1" t="s">
        <v>37</v>
      </c>
      <c r="B36" s="1" t="s">
        <v>194</v>
      </c>
      <c r="C36" s="2">
        <v>42785</v>
      </c>
      <c r="D36" s="10">
        <f t="shared" si="1"/>
        <v>42785</v>
      </c>
      <c r="E36" s="9" t="s">
        <v>301</v>
      </c>
      <c r="F36" s="11" t="str">
        <f t="shared" si="0"/>
        <v>insert into ins_premium_det (premium_rcv_code,assorted_code, rec_amount,premium_rcv_detail_code,remaining_amt, payrec, mode_code,coinsurance_code,class_cd,it_remarks) values</v>
      </c>
      <c r="G36" s="12" t="str">
        <f t="shared" si="2"/>
        <v>('14Aug240007','050000599148','42785',(select max(to_number(i.premium_rcv_detail_code))+1
from ins_premium_det i),'42785','42785','02', '11000003','00','Request by Mr. Omair Ali 16-Aug-2024');</v>
      </c>
      <c r="H36" s="13" t="str">
        <f t="shared" si="3"/>
        <v>insert into ins_premium_det (premium_rcv_code,assorted_code, rec_amount,premium_rcv_detail_code,remaining_amt, payrec, mode_code,coinsurance_code,class_cd,it_remarks) values('14Aug240007','050000599148','42785',(select max(to_number(i.premium_rcv_detail_code))+1
from ins_premium_det i),'42785','42785','02', '11000003','00','Request by Mr. Omair Ali 16-Aug-2024');</v>
      </c>
    </row>
    <row r="37" spans="1:8" ht="135" x14ac:dyDescent="0.25">
      <c r="A37" s="1" t="s">
        <v>38</v>
      </c>
      <c r="B37" s="1" t="s">
        <v>195</v>
      </c>
      <c r="C37" s="2">
        <v>-1524453</v>
      </c>
      <c r="D37" s="10">
        <f t="shared" si="1"/>
        <v>-1524453</v>
      </c>
      <c r="E37" s="9" t="s">
        <v>301</v>
      </c>
      <c r="F37" s="11" t="str">
        <f t="shared" si="0"/>
        <v>insert into ins_premium_det (premium_rcv_code,assorted_code, rec_amount,premium_rcv_detail_code,remaining_amt, payrec, mode_code,coinsurance_code,class_cd,it_remarks) values</v>
      </c>
      <c r="G37" s="12" t="str">
        <f t="shared" si="2"/>
        <v>('14Aug240007','050000599394','-1524453',(select max(to_number(i.premium_rcv_detail_code))+1
from ins_premium_det i),'-1524453','-1524453','02', '11000003','00','Request by Mr. Omair Ali 16-Aug-2024');</v>
      </c>
      <c r="H37" s="13" t="str">
        <f t="shared" si="3"/>
        <v>insert into ins_premium_det (premium_rcv_code,assorted_code, rec_amount,premium_rcv_detail_code,remaining_amt, payrec, mode_code,coinsurance_code,class_cd,it_remarks) values('14Aug240007','050000599394','-1524453',(select max(to_number(i.premium_rcv_detail_code))+1
from ins_premium_det i),'-1524453','-1524453','02', '11000003','00','Request by Mr. Omair Ali 16-Aug-2024');</v>
      </c>
    </row>
    <row r="38" spans="1:8" ht="135" x14ac:dyDescent="0.25">
      <c r="A38" s="1" t="s">
        <v>39</v>
      </c>
      <c r="B38" s="1" t="s">
        <v>196</v>
      </c>
      <c r="C38" s="2">
        <v>24939</v>
      </c>
      <c r="D38" s="10">
        <f t="shared" si="1"/>
        <v>24939</v>
      </c>
      <c r="E38" s="9" t="s">
        <v>301</v>
      </c>
      <c r="F38" s="11" t="str">
        <f t="shared" si="0"/>
        <v>insert into ins_premium_det (premium_rcv_code,assorted_code, rec_amount,premium_rcv_detail_code,remaining_amt, payrec, mode_code,coinsurance_code,class_cd,it_remarks) values</v>
      </c>
      <c r="G38" s="12" t="str">
        <f t="shared" si="2"/>
        <v>('14Aug240007','050000599979','24939',(select max(to_number(i.premium_rcv_detail_code))+1
from ins_premium_det i),'24939','24939','02', '11000003','00','Request by Mr. Omair Ali 16-Aug-2024');</v>
      </c>
      <c r="H38" s="13" t="str">
        <f t="shared" si="3"/>
        <v>insert into ins_premium_det (premium_rcv_code,assorted_code, rec_amount,premium_rcv_detail_code,remaining_amt, payrec, mode_code,coinsurance_code,class_cd,it_remarks) values('14Aug240007','050000599979','24939',(select max(to_number(i.premium_rcv_detail_code))+1
from ins_premium_det i),'24939','24939','02', '11000003','00','Request by Mr. Omair Ali 16-Aug-2024');</v>
      </c>
    </row>
    <row r="39" spans="1:8" ht="135" x14ac:dyDescent="0.25">
      <c r="A39" s="1" t="s">
        <v>40</v>
      </c>
      <c r="B39" s="1" t="s">
        <v>197</v>
      </c>
      <c r="C39" s="2">
        <v>76463</v>
      </c>
      <c r="D39" s="10">
        <f t="shared" si="1"/>
        <v>76463</v>
      </c>
      <c r="E39" s="9" t="s">
        <v>301</v>
      </c>
      <c r="F39" s="11" t="str">
        <f t="shared" si="0"/>
        <v>insert into ins_premium_det (premium_rcv_code,assorted_code, rec_amount,premium_rcv_detail_code,remaining_amt, payrec, mode_code,coinsurance_code,class_cd,it_remarks) values</v>
      </c>
      <c r="G39" s="12" t="str">
        <f t="shared" si="2"/>
        <v>('14Aug240007','050000600476','76463',(select max(to_number(i.premium_rcv_detail_code))+1
from ins_premium_det i),'76463','76463','02', '11000003','00','Request by Mr. Omair Ali 16-Aug-2024');</v>
      </c>
      <c r="H39" s="13" t="str">
        <f t="shared" si="3"/>
        <v>insert into ins_premium_det (premium_rcv_code,assorted_code, rec_amount,premium_rcv_detail_code,remaining_amt, payrec, mode_code,coinsurance_code,class_cd,it_remarks) values('14Aug240007','050000600476','76463',(select max(to_number(i.premium_rcv_detail_code))+1
from ins_premium_det i),'76463','76463','02', '11000003','00','Request by Mr. Omair Ali 16-Aug-2024');</v>
      </c>
    </row>
    <row r="40" spans="1:8" ht="135" x14ac:dyDescent="0.25">
      <c r="A40" s="1" t="s">
        <v>41</v>
      </c>
      <c r="B40" s="1" t="s">
        <v>198</v>
      </c>
      <c r="C40" s="2">
        <v>632448</v>
      </c>
      <c r="D40" s="10">
        <f t="shared" si="1"/>
        <v>632448</v>
      </c>
      <c r="E40" s="9" t="s">
        <v>301</v>
      </c>
      <c r="F40" s="11" t="str">
        <f t="shared" si="0"/>
        <v>insert into ins_premium_det (premium_rcv_code,assorted_code, rec_amount,premium_rcv_detail_code,remaining_amt, payrec, mode_code,coinsurance_code,class_cd,it_remarks) values</v>
      </c>
      <c r="G40" s="12" t="str">
        <f t="shared" si="2"/>
        <v>('14Aug240007','050000600747','632448',(select max(to_number(i.premium_rcv_detail_code))+1
from ins_premium_det i),'632448','632448','02', '11000003','00','Request by Mr. Omair Ali 16-Aug-2024');</v>
      </c>
      <c r="H40" s="13" t="str">
        <f t="shared" si="3"/>
        <v>insert into ins_premium_det (premium_rcv_code,assorted_code, rec_amount,premium_rcv_detail_code,remaining_amt, payrec, mode_code,coinsurance_code,class_cd,it_remarks) values('14Aug240007','050000600747','632448',(select max(to_number(i.premium_rcv_detail_code))+1
from ins_premium_det i),'632448','632448','02', '11000003','00','Request by Mr. Omair Ali 16-Aug-2024');</v>
      </c>
    </row>
    <row r="41" spans="1:8" ht="135" x14ac:dyDescent="0.25">
      <c r="A41" s="1" t="s">
        <v>42</v>
      </c>
      <c r="B41" s="1" t="s">
        <v>199</v>
      </c>
      <c r="C41" s="2">
        <v>65605</v>
      </c>
      <c r="D41" s="10">
        <f t="shared" si="1"/>
        <v>65605</v>
      </c>
      <c r="E41" s="9" t="s">
        <v>301</v>
      </c>
      <c r="F41" s="11" t="str">
        <f t="shared" si="0"/>
        <v>insert into ins_premium_det (premium_rcv_code,assorted_code, rec_amount,premium_rcv_detail_code,remaining_amt, payrec, mode_code,coinsurance_code,class_cd,it_remarks) values</v>
      </c>
      <c r="G41" s="12" t="str">
        <f t="shared" si="2"/>
        <v>('14Aug240007','050000602763','65605',(select max(to_number(i.premium_rcv_detail_code))+1
from ins_premium_det i),'65605','65605','02', '11000003','00','Request by Mr. Omair Ali 16-Aug-2024');</v>
      </c>
      <c r="H41" s="13" t="str">
        <f t="shared" si="3"/>
        <v>insert into ins_premium_det (premium_rcv_code,assorted_code, rec_amount,premium_rcv_detail_code,remaining_amt, payrec, mode_code,coinsurance_code,class_cd,it_remarks) values('14Aug240007','050000602763','65605',(select max(to_number(i.premium_rcv_detail_code))+1
from ins_premium_det i),'65605','65605','02', '11000003','00','Request by Mr. Omair Ali 16-Aug-2024');</v>
      </c>
    </row>
    <row r="42" spans="1:8" ht="135" x14ac:dyDescent="0.25">
      <c r="A42" s="1" t="s">
        <v>43</v>
      </c>
      <c r="B42" s="1" t="s">
        <v>200</v>
      </c>
      <c r="C42" s="2">
        <v>34717</v>
      </c>
      <c r="D42" s="10">
        <f t="shared" si="1"/>
        <v>34717</v>
      </c>
      <c r="E42" s="9" t="s">
        <v>301</v>
      </c>
      <c r="F42" s="11" t="str">
        <f t="shared" si="0"/>
        <v>insert into ins_premium_det (premium_rcv_code,assorted_code, rec_amount,premium_rcv_detail_code,remaining_amt, payrec, mode_code,coinsurance_code,class_cd,it_remarks) values</v>
      </c>
      <c r="G42" s="12" t="str">
        <f t="shared" si="2"/>
        <v>('14Aug240007','050000603841','34717',(select max(to_number(i.premium_rcv_detail_code))+1
from ins_premium_det i),'34717','34717','02', '11000003','00','Request by Mr. Omair Ali 16-Aug-2024');</v>
      </c>
      <c r="H42" s="13" t="str">
        <f t="shared" si="3"/>
        <v>insert into ins_premium_det (premium_rcv_code,assorted_code, rec_amount,premium_rcv_detail_code,remaining_amt, payrec, mode_code,coinsurance_code,class_cd,it_remarks) values('14Aug240007','050000603841','34717',(select max(to_number(i.premium_rcv_detail_code))+1
from ins_premium_det i),'34717','34717','02', '11000003','00','Request by Mr. Omair Ali 16-Aug-2024');</v>
      </c>
    </row>
    <row r="43" spans="1:8" ht="135" x14ac:dyDescent="0.25">
      <c r="A43" s="1" t="s">
        <v>44</v>
      </c>
      <c r="B43" s="1" t="s">
        <v>201</v>
      </c>
      <c r="C43" s="2">
        <v>54026</v>
      </c>
      <c r="D43" s="10">
        <f t="shared" si="1"/>
        <v>54026</v>
      </c>
      <c r="E43" s="9" t="s">
        <v>301</v>
      </c>
      <c r="F43" s="11" t="str">
        <f t="shared" si="0"/>
        <v>insert into ins_premium_det (premium_rcv_code,assorted_code, rec_amount,premium_rcv_detail_code,remaining_amt, payrec, mode_code,coinsurance_code,class_cd,it_remarks) values</v>
      </c>
      <c r="G43" s="12" t="str">
        <f t="shared" si="2"/>
        <v>('14Aug240007','050000608070','54026',(select max(to_number(i.premium_rcv_detail_code))+1
from ins_premium_det i),'54026','54026','02', '11000003','00','Request by Mr. Omair Ali 16-Aug-2024');</v>
      </c>
      <c r="H43" s="13" t="str">
        <f t="shared" si="3"/>
        <v>insert into ins_premium_det (premium_rcv_code,assorted_code, rec_amount,premium_rcv_detail_code,remaining_amt, payrec, mode_code,coinsurance_code,class_cd,it_remarks) values('14Aug240007','050000608070','54026',(select max(to_number(i.premium_rcv_detail_code))+1
from ins_premium_det i),'54026','54026','02', '11000003','00','Request by Mr. Omair Ali 16-Aug-2024');</v>
      </c>
    </row>
    <row r="44" spans="1:8" ht="135" x14ac:dyDescent="0.25">
      <c r="A44" s="1" t="s">
        <v>45</v>
      </c>
      <c r="B44" s="1" t="s">
        <v>202</v>
      </c>
      <c r="C44" s="2">
        <v>23219</v>
      </c>
      <c r="D44" s="10">
        <f t="shared" si="1"/>
        <v>23219</v>
      </c>
      <c r="E44" s="9" t="s">
        <v>301</v>
      </c>
      <c r="F44" s="11" t="str">
        <f t="shared" si="0"/>
        <v>insert into ins_premium_det (premium_rcv_code,assorted_code, rec_amount,premium_rcv_detail_code,remaining_amt, payrec, mode_code,coinsurance_code,class_cd,it_remarks) values</v>
      </c>
      <c r="G44" s="12" t="str">
        <f t="shared" si="2"/>
        <v>('14Aug240007','050000610041','23219',(select max(to_number(i.premium_rcv_detail_code))+1
from ins_premium_det i),'23219','23219','02', '11000003','00','Request by Mr. Omair Ali 16-Aug-2024');</v>
      </c>
      <c r="H44" s="13" t="str">
        <f t="shared" si="3"/>
        <v>insert into ins_premium_det (premium_rcv_code,assorted_code, rec_amount,premium_rcv_detail_code,remaining_amt, payrec, mode_code,coinsurance_code,class_cd,it_remarks) values('14Aug240007','050000610041','23219',(select max(to_number(i.premium_rcv_detail_code))+1
from ins_premium_det i),'23219','23219','02', '11000003','00','Request by Mr. Omair Ali 16-Aug-2024');</v>
      </c>
    </row>
    <row r="45" spans="1:8" ht="135" x14ac:dyDescent="0.25">
      <c r="A45" s="1" t="s">
        <v>46</v>
      </c>
      <c r="B45" s="1" t="s">
        <v>203</v>
      </c>
      <c r="C45" s="2">
        <v>34717</v>
      </c>
      <c r="D45" s="10">
        <f t="shared" si="1"/>
        <v>34717</v>
      </c>
      <c r="E45" s="9" t="s">
        <v>301</v>
      </c>
      <c r="F45" s="11" t="str">
        <f t="shared" si="0"/>
        <v>insert into ins_premium_det (premium_rcv_code,assorted_code, rec_amount,premium_rcv_detail_code,remaining_amt, payrec, mode_code,coinsurance_code,class_cd,it_remarks) values</v>
      </c>
      <c r="G45" s="12" t="str">
        <f t="shared" si="2"/>
        <v>('14Aug240007','050000610188','34717',(select max(to_number(i.premium_rcv_detail_code))+1
from ins_premium_det i),'34717','34717','02', '11000003','00','Request by Mr. Omair Ali 16-Aug-2024');</v>
      </c>
      <c r="H45" s="13" t="str">
        <f t="shared" si="3"/>
        <v>insert into ins_premium_det (premium_rcv_code,assorted_code, rec_amount,premium_rcv_detail_code,remaining_amt, payrec, mode_code,coinsurance_code,class_cd,it_remarks) values('14Aug240007','050000610188','34717',(select max(to_number(i.premium_rcv_detail_code))+1
from ins_premium_det i),'34717','34717','02', '11000003','00','Request by Mr. Omair Ali 16-Aug-2024');</v>
      </c>
    </row>
    <row r="46" spans="1:8" ht="135" x14ac:dyDescent="0.25">
      <c r="A46" s="1" t="s">
        <v>47</v>
      </c>
      <c r="B46" s="1" t="s">
        <v>204</v>
      </c>
      <c r="C46" s="2">
        <v>25119</v>
      </c>
      <c r="D46" s="10">
        <f t="shared" si="1"/>
        <v>25119</v>
      </c>
      <c r="E46" s="9" t="s">
        <v>301</v>
      </c>
      <c r="F46" s="11" t="str">
        <f t="shared" si="0"/>
        <v>insert into ins_premium_det (premium_rcv_code,assorted_code, rec_amount,premium_rcv_detail_code,remaining_amt, payrec, mode_code,coinsurance_code,class_cd,it_remarks) values</v>
      </c>
      <c r="G46" s="12" t="str">
        <f t="shared" si="2"/>
        <v>('14Aug240007','050000612312','25119',(select max(to_number(i.premium_rcv_detail_code))+1
from ins_premium_det i),'25119','25119','02', '11000003','00','Request by Mr. Omair Ali 16-Aug-2024');</v>
      </c>
      <c r="H46" s="13" t="str">
        <f t="shared" si="3"/>
        <v>insert into ins_premium_det (premium_rcv_code,assorted_code, rec_amount,premium_rcv_detail_code,remaining_amt, payrec, mode_code,coinsurance_code,class_cd,it_remarks) values('14Aug240007','050000612312','25119',(select max(to_number(i.premium_rcv_detail_code))+1
from ins_premium_det i),'25119','25119','02', '11000003','00','Request by Mr. Omair Ali 16-Aug-2024');</v>
      </c>
    </row>
    <row r="47" spans="1:8" ht="135" x14ac:dyDescent="0.25">
      <c r="A47" s="1" t="s">
        <v>48</v>
      </c>
      <c r="B47" s="1" t="s">
        <v>205</v>
      </c>
      <c r="C47" s="2">
        <v>31533</v>
      </c>
      <c r="D47" s="10">
        <f t="shared" si="1"/>
        <v>31533</v>
      </c>
      <c r="E47" s="9" t="s">
        <v>301</v>
      </c>
      <c r="F47" s="11" t="str">
        <f t="shared" si="0"/>
        <v>insert into ins_premium_det (premium_rcv_code,assorted_code, rec_amount,premium_rcv_detail_code,remaining_amt, payrec, mode_code,coinsurance_code,class_cd,it_remarks) values</v>
      </c>
      <c r="G47" s="12" t="str">
        <f t="shared" si="2"/>
        <v>('14Aug240007','050000614053','31533',(select max(to_number(i.premium_rcv_detail_code))+1
from ins_premium_det i),'31533','31533','02', '11000003','00','Request by Mr. Omair Ali 16-Aug-2024');</v>
      </c>
      <c r="H47" s="13" t="str">
        <f t="shared" si="3"/>
        <v>insert into ins_premium_det (premium_rcv_code,assorted_code, rec_amount,premium_rcv_detail_code,remaining_amt, payrec, mode_code,coinsurance_code,class_cd,it_remarks) values('14Aug240007','050000614053','31533',(select max(to_number(i.premium_rcv_detail_code))+1
from ins_premium_det i),'31533','31533','02', '11000003','00','Request by Mr. Omair Ali 16-Aug-2024');</v>
      </c>
    </row>
    <row r="48" spans="1:8" ht="135" x14ac:dyDescent="0.25">
      <c r="A48" s="1" t="s">
        <v>49</v>
      </c>
      <c r="B48" s="1" t="s">
        <v>206</v>
      </c>
      <c r="C48" s="2">
        <v>4365</v>
      </c>
      <c r="D48" s="10">
        <f t="shared" si="1"/>
        <v>4365</v>
      </c>
      <c r="E48" s="9" t="s">
        <v>301</v>
      </c>
      <c r="F48" s="11" t="str">
        <f t="shared" si="0"/>
        <v>insert into ins_premium_det (premium_rcv_code,assorted_code, rec_amount,premium_rcv_detail_code,remaining_amt, payrec, mode_code,coinsurance_code,class_cd,it_remarks) values</v>
      </c>
      <c r="G48" s="12" t="str">
        <f t="shared" si="2"/>
        <v>('14Aug240007','050000614786','4365',(select max(to_number(i.premium_rcv_detail_code))+1
from ins_premium_det i),'4365','4365','02', '11000003','00','Request by Mr. Omair Ali 16-Aug-2024');</v>
      </c>
      <c r="H48" s="13" t="str">
        <f t="shared" si="3"/>
        <v>insert into ins_premium_det (premium_rcv_code,assorted_code, rec_amount,premium_rcv_detail_code,remaining_amt, payrec, mode_code,coinsurance_code,class_cd,it_remarks) values('14Aug240007','050000614786','4365',(select max(to_number(i.premium_rcv_detail_code))+1
from ins_premium_det i),'4365','4365','02', '11000003','00','Request by Mr. Omair Ali 16-Aug-2024');</v>
      </c>
    </row>
    <row r="49" spans="1:8" ht="135" x14ac:dyDescent="0.25">
      <c r="A49" s="1" t="s">
        <v>50</v>
      </c>
      <c r="B49" s="1" t="s">
        <v>207</v>
      </c>
      <c r="C49" s="2">
        <v>29009</v>
      </c>
      <c r="D49" s="10">
        <f t="shared" si="1"/>
        <v>29009</v>
      </c>
      <c r="E49" s="9" t="s">
        <v>301</v>
      </c>
      <c r="F49" s="11" t="str">
        <f t="shared" si="0"/>
        <v>insert into ins_premium_det (premium_rcv_code,assorted_code, rec_amount,premium_rcv_detail_code,remaining_amt, payrec, mode_code,coinsurance_code,class_cd,it_remarks) values</v>
      </c>
      <c r="G49" s="12" t="str">
        <f t="shared" si="2"/>
        <v>('14Aug240007','050000615861','29009',(select max(to_number(i.premium_rcv_detail_code))+1
from ins_premium_det i),'29009','29009','02', '11000003','00','Request by Mr. Omair Ali 16-Aug-2024');</v>
      </c>
      <c r="H49" s="13" t="str">
        <f t="shared" si="3"/>
        <v>insert into ins_premium_det (premium_rcv_code,assorted_code, rec_amount,premium_rcv_detail_code,remaining_amt, payrec, mode_code,coinsurance_code,class_cd,it_remarks) values('14Aug240007','050000615861','29009',(select max(to_number(i.premium_rcv_detail_code))+1
from ins_premium_det i),'29009','29009','02', '11000003','00','Request by Mr. Omair Ali 16-Aug-2024');</v>
      </c>
    </row>
    <row r="50" spans="1:8" ht="135" x14ac:dyDescent="0.25">
      <c r="A50" s="1" t="s">
        <v>51</v>
      </c>
      <c r="B50" s="1" t="s">
        <v>208</v>
      </c>
      <c r="C50" s="2">
        <v>18314</v>
      </c>
      <c r="D50" s="10">
        <f t="shared" si="1"/>
        <v>18314</v>
      </c>
      <c r="E50" s="9" t="s">
        <v>301</v>
      </c>
      <c r="F50" s="11" t="str">
        <f t="shared" si="0"/>
        <v>insert into ins_premium_det (premium_rcv_code,assorted_code, rec_amount,premium_rcv_detail_code,remaining_amt, payrec, mode_code,coinsurance_code,class_cd,it_remarks) values</v>
      </c>
      <c r="G50" s="12" t="str">
        <f t="shared" si="2"/>
        <v>('14Aug240007','050000617841','18314',(select max(to_number(i.premium_rcv_detail_code))+1
from ins_premium_det i),'18314','18314','02', '11000003','00','Request by Mr. Omair Ali 16-Aug-2024');</v>
      </c>
      <c r="H50" s="13" t="str">
        <f t="shared" si="3"/>
        <v>insert into ins_premium_det (premium_rcv_code,assorted_code, rec_amount,premium_rcv_detail_code,remaining_amt, payrec, mode_code,coinsurance_code,class_cd,it_remarks) values('14Aug240007','050000617841','18314',(select max(to_number(i.premium_rcv_detail_code))+1
from ins_premium_det i),'18314','18314','02', '11000003','00','Request by Mr. Omair Ali 16-Aug-2024');</v>
      </c>
    </row>
    <row r="51" spans="1:8" ht="135" x14ac:dyDescent="0.25">
      <c r="A51" s="1" t="s">
        <v>52</v>
      </c>
      <c r="B51" s="1" t="s">
        <v>209</v>
      </c>
      <c r="C51" s="2">
        <v>6682</v>
      </c>
      <c r="D51" s="10">
        <f t="shared" si="1"/>
        <v>6682</v>
      </c>
      <c r="E51" s="9" t="s">
        <v>301</v>
      </c>
      <c r="F51" s="11" t="str">
        <f t="shared" si="0"/>
        <v>insert into ins_premium_det (premium_rcv_code,assorted_code, rec_amount,premium_rcv_detail_code,remaining_amt, payrec, mode_code,coinsurance_code,class_cd,it_remarks) values</v>
      </c>
      <c r="G51" s="12" t="str">
        <f t="shared" si="2"/>
        <v>('14Aug240007','050000619204','6682',(select max(to_number(i.premium_rcv_detail_code))+1
from ins_premium_det i),'6682','6682','02', '11000003','00','Request by Mr. Omair Ali 16-Aug-2024');</v>
      </c>
      <c r="H51" s="13" t="str">
        <f t="shared" si="3"/>
        <v>insert into ins_premium_det (premium_rcv_code,assorted_code, rec_amount,premium_rcv_detail_code,remaining_amt, payrec, mode_code,coinsurance_code,class_cd,it_remarks) values('14Aug240007','050000619204','6682',(select max(to_number(i.premium_rcv_detail_code))+1
from ins_premium_det i),'6682','6682','02', '11000003','00','Request by Mr. Omair Ali 16-Aug-2024');</v>
      </c>
    </row>
    <row r="52" spans="1:8" ht="135" x14ac:dyDescent="0.25">
      <c r="A52" s="1" t="s">
        <v>53</v>
      </c>
      <c r="B52" s="1" t="s">
        <v>210</v>
      </c>
      <c r="C52" s="2">
        <v>614690</v>
      </c>
      <c r="D52" s="10">
        <f t="shared" si="1"/>
        <v>614690</v>
      </c>
      <c r="E52" s="9" t="s">
        <v>301</v>
      </c>
      <c r="F52" s="11" t="str">
        <f t="shared" si="0"/>
        <v>insert into ins_premium_det (premium_rcv_code,assorted_code, rec_amount,premium_rcv_detail_code,remaining_amt, payrec, mode_code,coinsurance_code,class_cd,it_remarks) values</v>
      </c>
      <c r="G52" s="12" t="str">
        <f t="shared" si="2"/>
        <v>('14Aug240007','050000619973','614690',(select max(to_number(i.premium_rcv_detail_code))+1
from ins_premium_det i),'614690','614690','02', '11000003','00','Request by Mr. Omair Ali 16-Aug-2024');</v>
      </c>
      <c r="H52" s="13" t="str">
        <f t="shared" si="3"/>
        <v>insert into ins_premium_det (premium_rcv_code,assorted_code, rec_amount,premium_rcv_detail_code,remaining_amt, payrec, mode_code,coinsurance_code,class_cd,it_remarks) values('14Aug240007','050000619973','614690',(select max(to_number(i.premium_rcv_detail_code))+1
from ins_premium_det i),'614690','614690','02', '11000003','00','Request by Mr. Omair Ali 16-Aug-2024');</v>
      </c>
    </row>
    <row r="53" spans="1:8" ht="135" x14ac:dyDescent="0.25">
      <c r="A53" s="1" t="s">
        <v>54</v>
      </c>
      <c r="B53" s="1" t="s">
        <v>211</v>
      </c>
      <c r="C53" s="2">
        <v>96508</v>
      </c>
      <c r="D53" s="10">
        <f t="shared" si="1"/>
        <v>96508</v>
      </c>
      <c r="E53" s="9" t="s">
        <v>301</v>
      </c>
      <c r="F53" s="11" t="str">
        <f t="shared" si="0"/>
        <v>insert into ins_premium_det (premium_rcv_code,assorted_code, rec_amount,premium_rcv_detail_code,remaining_amt, payrec, mode_code,coinsurance_code,class_cd,it_remarks) values</v>
      </c>
      <c r="G53" s="12" t="str">
        <f t="shared" si="2"/>
        <v>('14Aug240007','050000622365','96508',(select max(to_number(i.premium_rcv_detail_code))+1
from ins_premium_det i),'96508','96508','02', '11000003','00','Request by Mr. Omair Ali 16-Aug-2024');</v>
      </c>
      <c r="H53" s="13" t="str">
        <f t="shared" si="3"/>
        <v>insert into ins_premium_det (premium_rcv_code,assorted_code, rec_amount,premium_rcv_detail_code,remaining_amt, payrec, mode_code,coinsurance_code,class_cd,it_remarks) values('14Aug240007','050000622365','96508',(select max(to_number(i.premium_rcv_detail_code))+1
from ins_premium_det i),'96508','96508','02', '11000003','00','Request by Mr. Omair Ali 16-Aug-2024');</v>
      </c>
    </row>
    <row r="54" spans="1:8" ht="135" x14ac:dyDescent="0.25">
      <c r="A54" s="1" t="s">
        <v>55</v>
      </c>
      <c r="B54" s="1" t="s">
        <v>212</v>
      </c>
      <c r="C54" s="2">
        <v>20401</v>
      </c>
      <c r="D54" s="10">
        <f t="shared" si="1"/>
        <v>20401</v>
      </c>
      <c r="E54" s="9" t="s">
        <v>301</v>
      </c>
      <c r="F54" s="11" t="str">
        <f t="shared" si="0"/>
        <v>insert into ins_premium_det (premium_rcv_code,assorted_code, rec_amount,premium_rcv_detail_code,remaining_amt, payrec, mode_code,coinsurance_code,class_cd,it_remarks) values</v>
      </c>
      <c r="G54" s="12" t="str">
        <f t="shared" si="2"/>
        <v>('14Aug240007','050000622645','20401',(select max(to_number(i.premium_rcv_detail_code))+1
from ins_premium_det i),'20401','20401','02', '11000003','00','Request by Mr. Omair Ali 16-Aug-2024');</v>
      </c>
      <c r="H54" s="13" t="str">
        <f t="shared" si="3"/>
        <v>insert into ins_premium_det (premium_rcv_code,assorted_code, rec_amount,premium_rcv_detail_code,remaining_amt, payrec, mode_code,coinsurance_code,class_cd,it_remarks) values('14Aug240007','050000622645','20401',(select max(to_number(i.premium_rcv_detail_code))+1
from ins_premium_det i),'20401','20401','02', '11000003','00','Request by Mr. Omair Ali 16-Aug-2024');</v>
      </c>
    </row>
    <row r="55" spans="1:8" ht="135" x14ac:dyDescent="0.25">
      <c r="A55" s="1" t="s">
        <v>56</v>
      </c>
      <c r="B55" s="1" t="s">
        <v>213</v>
      </c>
      <c r="C55" s="2">
        <v>21101</v>
      </c>
      <c r="D55" s="10">
        <f t="shared" si="1"/>
        <v>21101</v>
      </c>
      <c r="E55" s="9" t="s">
        <v>301</v>
      </c>
      <c r="F55" s="11" t="str">
        <f t="shared" si="0"/>
        <v>insert into ins_premium_det (premium_rcv_code,assorted_code, rec_amount,premium_rcv_detail_code,remaining_amt, payrec, mode_code,coinsurance_code,class_cd,it_remarks) values</v>
      </c>
      <c r="G55" s="12" t="str">
        <f t="shared" si="2"/>
        <v>('14Aug240007','050000623446','21101',(select max(to_number(i.premium_rcv_detail_code))+1
from ins_premium_det i),'21101','21101','02', '11000003','00','Request by Mr. Omair Ali 16-Aug-2024');</v>
      </c>
      <c r="H55" s="13" t="str">
        <f t="shared" si="3"/>
        <v>insert into ins_premium_det (premium_rcv_code,assorted_code, rec_amount,premium_rcv_detail_code,remaining_amt, payrec, mode_code,coinsurance_code,class_cd,it_remarks) values('14Aug240007','050000623446','21101',(select max(to_number(i.premium_rcv_detail_code))+1
from ins_premium_det i),'21101','21101','02', '11000003','00','Request by Mr. Omair Ali 16-Aug-2024');</v>
      </c>
    </row>
    <row r="56" spans="1:8" ht="135" x14ac:dyDescent="0.25">
      <c r="A56" s="1" t="s">
        <v>57</v>
      </c>
      <c r="B56" s="1" t="s">
        <v>214</v>
      </c>
      <c r="C56" s="2">
        <v>87146</v>
      </c>
      <c r="D56" s="10">
        <f t="shared" si="1"/>
        <v>87146</v>
      </c>
      <c r="E56" s="9" t="s">
        <v>301</v>
      </c>
      <c r="F56" s="11" t="str">
        <f t="shared" si="0"/>
        <v>insert into ins_premium_det (premium_rcv_code,assorted_code, rec_amount,premium_rcv_detail_code,remaining_amt, payrec, mode_code,coinsurance_code,class_cd,it_remarks) values</v>
      </c>
      <c r="G56" s="12" t="str">
        <f t="shared" si="2"/>
        <v>('14Aug240007','050000623599','87146',(select max(to_number(i.premium_rcv_detail_code))+1
from ins_premium_det i),'87146','87146','02', '11000003','00','Request by Mr. Omair Ali 16-Aug-2024');</v>
      </c>
      <c r="H56" s="13" t="str">
        <f t="shared" si="3"/>
        <v>insert into ins_premium_det (premium_rcv_code,assorted_code, rec_amount,premium_rcv_detail_code,remaining_amt, payrec, mode_code,coinsurance_code,class_cd,it_remarks) values('14Aug240007','050000623599','87146',(select max(to_number(i.premium_rcv_detail_code))+1
from ins_premium_det i),'87146','87146','02', '11000003','00','Request by Mr. Omair Ali 16-Aug-2024');</v>
      </c>
    </row>
    <row r="57" spans="1:8" ht="135" x14ac:dyDescent="0.25">
      <c r="A57" s="1" t="s">
        <v>58</v>
      </c>
      <c r="B57" s="1" t="s">
        <v>215</v>
      </c>
      <c r="C57" s="2">
        <v>91120</v>
      </c>
      <c r="D57" s="10">
        <f t="shared" si="1"/>
        <v>91120</v>
      </c>
      <c r="E57" s="9" t="s">
        <v>301</v>
      </c>
      <c r="F57" s="11" t="str">
        <f t="shared" si="0"/>
        <v>insert into ins_premium_det (premium_rcv_code,assorted_code, rec_amount,premium_rcv_detail_code,remaining_amt, payrec, mode_code,coinsurance_code,class_cd,it_remarks) values</v>
      </c>
      <c r="G57" s="12" t="str">
        <f t="shared" si="2"/>
        <v>('14Aug240007','050000624106','91120',(select max(to_number(i.premium_rcv_detail_code))+1
from ins_premium_det i),'91120','91120','02', '11000003','00','Request by Mr. Omair Ali 16-Aug-2024');</v>
      </c>
      <c r="H57" s="13" t="str">
        <f t="shared" si="3"/>
        <v>insert into ins_premium_det (premium_rcv_code,assorted_code, rec_amount,premium_rcv_detail_code,remaining_amt, payrec, mode_code,coinsurance_code,class_cd,it_remarks) values('14Aug240007','050000624106','91120',(select max(to_number(i.premium_rcv_detail_code))+1
from ins_premium_det i),'91120','91120','02', '11000003','00','Request by Mr. Omair Ali 16-Aug-2024');</v>
      </c>
    </row>
    <row r="58" spans="1:8" ht="135" x14ac:dyDescent="0.25">
      <c r="A58" s="1" t="s">
        <v>59</v>
      </c>
      <c r="B58" s="1" t="s">
        <v>216</v>
      </c>
      <c r="C58" s="2">
        <v>67536</v>
      </c>
      <c r="D58" s="10">
        <f t="shared" si="1"/>
        <v>67536</v>
      </c>
      <c r="E58" s="9" t="s">
        <v>301</v>
      </c>
      <c r="F58" s="11" t="str">
        <f t="shared" si="0"/>
        <v>insert into ins_premium_det (premium_rcv_code,assorted_code, rec_amount,premium_rcv_detail_code,remaining_amt, payrec, mode_code,coinsurance_code,class_cd,it_remarks) values</v>
      </c>
      <c r="G58" s="12" t="str">
        <f t="shared" si="2"/>
        <v>('14Aug240007','050000625529','67536',(select max(to_number(i.premium_rcv_detail_code))+1
from ins_premium_det i),'67536','67536','02', '11000003','00','Request by Mr. Omair Ali 16-Aug-2024');</v>
      </c>
      <c r="H58" s="13" t="str">
        <f t="shared" si="3"/>
        <v>insert into ins_premium_det (premium_rcv_code,assorted_code, rec_amount,premium_rcv_detail_code,remaining_amt, payrec, mode_code,coinsurance_code,class_cd,it_remarks) values('14Aug240007','050000625529','67536',(select max(to_number(i.premium_rcv_detail_code))+1
from ins_premium_det i),'67536','67536','02', '11000003','00','Request by Mr. Omair Ali 16-Aug-2024');</v>
      </c>
    </row>
    <row r="59" spans="1:8" ht="135" x14ac:dyDescent="0.25">
      <c r="A59" s="1" t="s">
        <v>60</v>
      </c>
      <c r="B59" s="1" t="s">
        <v>217</v>
      </c>
      <c r="C59" s="2">
        <v>115841</v>
      </c>
      <c r="D59" s="10">
        <f t="shared" si="1"/>
        <v>115841</v>
      </c>
      <c r="E59" s="9" t="s">
        <v>301</v>
      </c>
      <c r="F59" s="11" t="str">
        <f t="shared" si="0"/>
        <v>insert into ins_premium_det (premium_rcv_code,assorted_code, rec_amount,premium_rcv_detail_code,remaining_amt, payrec, mode_code,coinsurance_code,class_cd,it_remarks) values</v>
      </c>
      <c r="G59" s="12" t="str">
        <f t="shared" si="2"/>
        <v>('14Aug240007','050000626097','115841',(select max(to_number(i.premium_rcv_detail_code))+1
from ins_premium_det i),'115841','115841','02', '11000003','00','Request by Mr. Omair Ali 16-Aug-2024');</v>
      </c>
      <c r="H59" s="13" t="str">
        <f t="shared" si="3"/>
        <v>insert into ins_premium_det (premium_rcv_code,assorted_code, rec_amount,premium_rcv_detail_code,remaining_amt, payrec, mode_code,coinsurance_code,class_cd,it_remarks) values('14Aug240007','050000626097','115841',(select max(to_number(i.premium_rcv_detail_code))+1
from ins_premium_det i),'115841','115841','02', '11000003','00','Request by Mr. Omair Ali 16-Aug-2024');</v>
      </c>
    </row>
    <row r="60" spans="1:8" ht="135" x14ac:dyDescent="0.25">
      <c r="A60" s="1" t="s">
        <v>61</v>
      </c>
      <c r="B60" s="1" t="s">
        <v>218</v>
      </c>
      <c r="C60" s="2">
        <v>-224870</v>
      </c>
      <c r="D60" s="10">
        <f t="shared" si="1"/>
        <v>-224870</v>
      </c>
      <c r="E60" s="9" t="s">
        <v>301</v>
      </c>
      <c r="F60" s="11" t="str">
        <f t="shared" si="0"/>
        <v>insert into ins_premium_det (premium_rcv_code,assorted_code, rec_amount,premium_rcv_detail_code,remaining_amt, payrec, mode_code,coinsurance_code,class_cd,it_remarks) values</v>
      </c>
      <c r="G60" s="12" t="str">
        <f t="shared" si="2"/>
        <v>('14Aug240007','050000626451','-224870',(select max(to_number(i.premium_rcv_detail_code))+1
from ins_premium_det i),'-224870','-224870','02', '11000003','00','Request by Mr. Omair Ali 16-Aug-2024');</v>
      </c>
      <c r="H60" s="13" t="str">
        <f t="shared" si="3"/>
        <v>insert into ins_premium_det (premium_rcv_code,assorted_code, rec_amount,premium_rcv_detail_code,remaining_amt, payrec, mode_code,coinsurance_code,class_cd,it_remarks) values('14Aug240007','050000626451','-224870',(select max(to_number(i.premium_rcv_detail_code))+1
from ins_premium_det i),'-224870','-224870','02', '11000003','00','Request by Mr. Omair Ali 16-Aug-2024');</v>
      </c>
    </row>
    <row r="61" spans="1:8" ht="135" x14ac:dyDescent="0.25">
      <c r="A61" s="1" t="s">
        <v>62</v>
      </c>
      <c r="B61" s="1" t="s">
        <v>219</v>
      </c>
      <c r="C61" s="2">
        <v>301649</v>
      </c>
      <c r="D61" s="10">
        <f t="shared" si="1"/>
        <v>301649</v>
      </c>
      <c r="E61" s="9" t="s">
        <v>301</v>
      </c>
      <c r="F61" s="11" t="str">
        <f t="shared" si="0"/>
        <v>insert into ins_premium_det (premium_rcv_code,assorted_code, rec_amount,premium_rcv_detail_code,remaining_amt, payrec, mode_code,coinsurance_code,class_cd,it_remarks) values</v>
      </c>
      <c r="G61" s="12" t="str">
        <f t="shared" si="2"/>
        <v>('14Aug240007','050000626895','301649',(select max(to_number(i.premium_rcv_detail_code))+1
from ins_premium_det i),'301649','301649','02', '11000003','00','Request by Mr. Omair Ali 16-Aug-2024');</v>
      </c>
      <c r="H61" s="13" t="str">
        <f t="shared" si="3"/>
        <v>insert into ins_premium_det (premium_rcv_code,assorted_code, rec_amount,premium_rcv_detail_code,remaining_amt, payrec, mode_code,coinsurance_code,class_cd,it_remarks) values('14Aug240007','050000626895','301649',(select max(to_number(i.premium_rcv_detail_code))+1
from ins_premium_det i),'301649','301649','02', '11000003','00','Request by Mr. Omair Ali 16-Aug-2024');</v>
      </c>
    </row>
    <row r="62" spans="1:8" ht="135" x14ac:dyDescent="0.25">
      <c r="A62" s="1" t="s">
        <v>63</v>
      </c>
      <c r="B62" s="1" t="s">
        <v>220</v>
      </c>
      <c r="C62" s="2">
        <v>40633</v>
      </c>
      <c r="D62" s="10">
        <f t="shared" si="1"/>
        <v>40633</v>
      </c>
      <c r="E62" s="9" t="s">
        <v>301</v>
      </c>
      <c r="F62" s="11" t="str">
        <f t="shared" si="0"/>
        <v>insert into ins_premium_det (premium_rcv_code,assorted_code, rec_amount,premium_rcv_detail_code,remaining_amt, payrec, mode_code,coinsurance_code,class_cd,it_remarks) values</v>
      </c>
      <c r="G62" s="12" t="str">
        <f t="shared" si="2"/>
        <v>('14Aug240007','050000627729','40633',(select max(to_number(i.premium_rcv_detail_code))+1
from ins_premium_det i),'40633','40633','02', '11000003','00','Request by Mr. Omair Ali 16-Aug-2024');</v>
      </c>
      <c r="H62" s="13" t="str">
        <f t="shared" si="3"/>
        <v>insert into ins_premium_det (premium_rcv_code,assorted_code, rec_amount,premium_rcv_detail_code,remaining_amt, payrec, mode_code,coinsurance_code,class_cd,it_remarks) values('14Aug240007','050000627729','40633',(select max(to_number(i.premium_rcv_detail_code))+1
from ins_premium_det i),'40633','40633','02', '11000003','00','Request by Mr. Omair Ali 16-Aug-2024');</v>
      </c>
    </row>
    <row r="63" spans="1:8" ht="135" x14ac:dyDescent="0.25">
      <c r="A63" s="1" t="s">
        <v>64</v>
      </c>
      <c r="B63" s="1" t="s">
        <v>221</v>
      </c>
      <c r="C63" s="2">
        <v>36858</v>
      </c>
      <c r="D63" s="10">
        <f t="shared" si="1"/>
        <v>36858</v>
      </c>
      <c r="E63" s="9" t="s">
        <v>301</v>
      </c>
      <c r="F63" s="11" t="str">
        <f t="shared" si="0"/>
        <v>insert into ins_premium_det (premium_rcv_code,assorted_code, rec_amount,premium_rcv_detail_code,remaining_amt, payrec, mode_code,coinsurance_code,class_cd,it_remarks) values</v>
      </c>
      <c r="G63" s="12" t="str">
        <f t="shared" si="2"/>
        <v>('14Aug240007','050000628785','36858',(select max(to_number(i.premium_rcv_detail_code))+1
from ins_premium_det i),'36858','36858','02', '11000003','00','Request by Mr. Omair Ali 16-Aug-2024');</v>
      </c>
      <c r="H63" s="13" t="str">
        <f t="shared" si="3"/>
        <v>insert into ins_premium_det (premium_rcv_code,assorted_code, rec_amount,premium_rcv_detail_code,remaining_amt, payrec, mode_code,coinsurance_code,class_cd,it_remarks) values('14Aug240007','050000628785','36858',(select max(to_number(i.premium_rcv_detail_code))+1
from ins_premium_det i),'36858','36858','02', '11000003','00','Request by Mr. Omair Ali 16-Aug-2024');</v>
      </c>
    </row>
    <row r="64" spans="1:8" ht="135" x14ac:dyDescent="0.25">
      <c r="A64" s="1" t="s">
        <v>65</v>
      </c>
      <c r="B64" s="1" t="s">
        <v>222</v>
      </c>
      <c r="C64" s="2">
        <v>22558</v>
      </c>
      <c r="D64" s="10">
        <f t="shared" si="1"/>
        <v>22558</v>
      </c>
      <c r="E64" s="9" t="s">
        <v>301</v>
      </c>
      <c r="F64" s="11" t="str">
        <f t="shared" si="0"/>
        <v>insert into ins_premium_det (premium_rcv_code,assorted_code, rec_amount,premium_rcv_detail_code,remaining_amt, payrec, mode_code,coinsurance_code,class_cd,it_remarks) values</v>
      </c>
      <c r="G64" s="12" t="str">
        <f t="shared" si="2"/>
        <v>('14Aug240007','050000631088','22558',(select max(to_number(i.premium_rcv_detail_code))+1
from ins_premium_det i),'22558','22558','02', '11000003','00','Request by Mr. Omair Ali 16-Aug-2024');</v>
      </c>
      <c r="H64" s="13" t="str">
        <f t="shared" si="3"/>
        <v>insert into ins_premium_det (premium_rcv_code,assorted_code, rec_amount,premium_rcv_detail_code,remaining_amt, payrec, mode_code,coinsurance_code,class_cd,it_remarks) values('14Aug240007','050000631088','22558',(select max(to_number(i.premium_rcv_detail_code))+1
from ins_premium_det i),'22558','22558','02', '11000003','00','Request by Mr. Omair Ali 16-Aug-2024');</v>
      </c>
    </row>
    <row r="65" spans="1:8" ht="135" x14ac:dyDescent="0.25">
      <c r="A65" s="1" t="s">
        <v>66</v>
      </c>
      <c r="B65" s="1" t="s">
        <v>223</v>
      </c>
      <c r="C65" s="2">
        <v>11195</v>
      </c>
      <c r="D65" s="10">
        <f t="shared" si="1"/>
        <v>11195</v>
      </c>
      <c r="E65" s="9" t="s">
        <v>301</v>
      </c>
      <c r="F65" s="11" t="str">
        <f t="shared" si="0"/>
        <v>insert into ins_premium_det (premium_rcv_code,assorted_code, rec_amount,premium_rcv_detail_code,remaining_amt, payrec, mode_code,coinsurance_code,class_cd,it_remarks) values</v>
      </c>
      <c r="G65" s="12" t="str">
        <f t="shared" si="2"/>
        <v>('14Aug240007','050000632152','11195',(select max(to_number(i.premium_rcv_detail_code))+1
from ins_premium_det i),'11195','11195','02', '11000003','00','Request by Mr. Omair Ali 16-Aug-2024');</v>
      </c>
      <c r="H65" s="13" t="str">
        <f t="shared" si="3"/>
        <v>insert into ins_premium_det (premium_rcv_code,assorted_code, rec_amount,premium_rcv_detail_code,remaining_amt, payrec, mode_code,coinsurance_code,class_cd,it_remarks) values('14Aug240007','050000632152','11195',(select max(to_number(i.premium_rcv_detail_code))+1
from ins_premium_det i),'11195','11195','02', '11000003','00','Request by Mr. Omair Ali 16-Aug-2024');</v>
      </c>
    </row>
    <row r="66" spans="1:8" ht="135" x14ac:dyDescent="0.25">
      <c r="A66" s="1" t="s">
        <v>67</v>
      </c>
      <c r="B66" s="1" t="s">
        <v>224</v>
      </c>
      <c r="C66" s="2">
        <v>44023</v>
      </c>
      <c r="D66" s="10">
        <f t="shared" si="1"/>
        <v>44023</v>
      </c>
      <c r="E66" s="9" t="s">
        <v>301</v>
      </c>
      <c r="F66" s="11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2" t="str">
        <f t="shared" si="2"/>
        <v>('14Aug240007','050000632813','44023',(select max(to_number(i.premium_rcv_detail_code))+1
from ins_premium_det i),'44023','44023','02', '11000003','00','Request by Mr. Omair Ali 16-Aug-2024');</v>
      </c>
      <c r="H66" s="13" t="str">
        <f t="shared" si="3"/>
        <v>insert into ins_premium_det (premium_rcv_code,assorted_code, rec_amount,premium_rcv_detail_code,remaining_amt, payrec, mode_code,coinsurance_code,class_cd,it_remarks) values('14Aug240007','050000632813','44023',(select max(to_number(i.premium_rcv_detail_code))+1
from ins_premium_det i),'44023','44023','02', '11000003','00','Request by Mr. Omair Ali 16-Aug-2024');</v>
      </c>
    </row>
    <row r="67" spans="1:8" ht="135" x14ac:dyDescent="0.25">
      <c r="A67" s="1" t="s">
        <v>68</v>
      </c>
      <c r="B67" s="1" t="s">
        <v>225</v>
      </c>
      <c r="C67" s="2">
        <v>11898</v>
      </c>
      <c r="D67" s="10">
        <f t="shared" ref="D67:D130" si="5">ROUND(C67,0)</f>
        <v>11898</v>
      </c>
      <c r="E67" s="9" t="s">
        <v>301</v>
      </c>
      <c r="F67" s="11" t="str">
        <f t="shared" si="4"/>
        <v>insert into ins_premium_det (premium_rcv_code,assorted_code, rec_amount,premium_rcv_detail_code,remaining_amt, payrec, mode_code,coinsurance_code,class_cd,it_remarks) values</v>
      </c>
      <c r="G67" s="12" t="str">
        <f t="shared" ref="G67:G130" si="6">"('"&amp;E67&amp;"','"&amp;B67&amp;"','"&amp;D67&amp;"',(select max(to_number(i.premium_rcv_detail_code))+1
from ins_premium_det i),'"&amp;D67&amp;"','"&amp;D67&amp;"','02', '11000003','00','Request by Mr. Omair Ali 16-Aug-2024');"</f>
        <v>('14Aug240007','050000633259','11898',(select max(to_number(i.premium_rcv_detail_code))+1
from ins_premium_det i),'11898','11898','02', '11000003','00','Request by Mr. Omair Ali 16-Aug-2024');</v>
      </c>
      <c r="H67" s="13" t="str">
        <f t="shared" ref="H67:H130" si="7">F67&amp;G67</f>
        <v>insert into ins_premium_det (premium_rcv_code,assorted_code, rec_amount,premium_rcv_detail_code,remaining_amt, payrec, mode_code,coinsurance_code,class_cd,it_remarks) values('14Aug240007','050000633259','11898',(select max(to_number(i.premium_rcv_detail_code))+1
from ins_premium_det i),'11898','11898','02', '11000003','00','Request by Mr. Omair Ali 16-Aug-2024');</v>
      </c>
    </row>
    <row r="68" spans="1:8" ht="135" x14ac:dyDescent="0.25">
      <c r="A68" s="1" t="s">
        <v>69</v>
      </c>
      <c r="B68" s="1" t="s">
        <v>226</v>
      </c>
      <c r="C68" s="2">
        <v>13506</v>
      </c>
      <c r="D68" s="10">
        <f t="shared" si="5"/>
        <v>13506</v>
      </c>
      <c r="E68" s="9" t="s">
        <v>301</v>
      </c>
      <c r="F68" s="11" t="str">
        <f t="shared" si="4"/>
        <v>insert into ins_premium_det (premium_rcv_code,assorted_code, rec_amount,premium_rcv_detail_code,remaining_amt, payrec, mode_code,coinsurance_code,class_cd,it_remarks) values</v>
      </c>
      <c r="G68" s="12" t="str">
        <f t="shared" si="6"/>
        <v>('14Aug240007','050000633357','13506',(select max(to_number(i.premium_rcv_detail_code))+1
from ins_premium_det i),'13506','13506','02', '11000003','00','Request by Mr. Omair Ali 16-Aug-2024');</v>
      </c>
      <c r="H68" s="13" t="str">
        <f t="shared" si="7"/>
        <v>insert into ins_premium_det (premium_rcv_code,assorted_code, rec_amount,premium_rcv_detail_code,remaining_amt, payrec, mode_code,coinsurance_code,class_cd,it_remarks) values('14Aug240007','050000633357','13506',(select max(to_number(i.premium_rcv_detail_code))+1
from ins_premium_det i),'13506','13506','02', '11000003','00','Request by Mr. Omair Ali 16-Aug-2024');</v>
      </c>
    </row>
    <row r="69" spans="1:8" ht="135" x14ac:dyDescent="0.25">
      <c r="A69" s="1" t="s">
        <v>70</v>
      </c>
      <c r="B69" s="1" t="s">
        <v>227</v>
      </c>
      <c r="C69" s="2">
        <v>90221</v>
      </c>
      <c r="D69" s="10">
        <f t="shared" si="5"/>
        <v>90221</v>
      </c>
      <c r="E69" s="9" t="s">
        <v>301</v>
      </c>
      <c r="F69" s="11" t="str">
        <f t="shared" si="4"/>
        <v>insert into ins_premium_det (premium_rcv_code,assorted_code, rec_amount,premium_rcv_detail_code,remaining_amt, payrec, mode_code,coinsurance_code,class_cd,it_remarks) values</v>
      </c>
      <c r="G69" s="12" t="str">
        <f t="shared" si="6"/>
        <v>('14Aug240007','050000635654','90221',(select max(to_number(i.premium_rcv_detail_code))+1
from ins_premium_det i),'90221','90221','02', '11000003','00','Request by Mr. Omair Ali 16-Aug-2024');</v>
      </c>
      <c r="H69" s="13" t="str">
        <f t="shared" si="7"/>
        <v>insert into ins_premium_det (premium_rcv_code,assorted_code, rec_amount,premium_rcv_detail_code,remaining_amt, payrec, mode_code,coinsurance_code,class_cd,it_remarks) values('14Aug240007','050000635654','90221',(select max(to_number(i.premium_rcv_detail_code))+1
from ins_premium_det i),'90221','90221','02', '11000003','00','Request by Mr. Omair Ali 16-Aug-2024');</v>
      </c>
    </row>
    <row r="70" spans="1:8" ht="135" x14ac:dyDescent="0.25">
      <c r="A70" s="1" t="s">
        <v>71</v>
      </c>
      <c r="B70" s="1" t="s">
        <v>228</v>
      </c>
      <c r="C70" s="2">
        <v>50684</v>
      </c>
      <c r="D70" s="10">
        <f t="shared" si="5"/>
        <v>50684</v>
      </c>
      <c r="E70" s="9" t="s">
        <v>301</v>
      </c>
      <c r="F70" s="11" t="str">
        <f t="shared" si="4"/>
        <v>insert into ins_premium_det (premium_rcv_code,assorted_code, rec_amount,premium_rcv_detail_code,remaining_amt, payrec, mode_code,coinsurance_code,class_cd,it_remarks) values</v>
      </c>
      <c r="G70" s="12" t="str">
        <f t="shared" si="6"/>
        <v>('14Aug240007','050000636944','50684',(select max(to_number(i.premium_rcv_detail_code))+1
from ins_premium_det i),'50684','50684','02', '11000003','00','Request by Mr. Omair Ali 16-Aug-2024');</v>
      </c>
      <c r="H70" s="13" t="str">
        <f t="shared" si="7"/>
        <v>insert into ins_premium_det (premium_rcv_code,assorted_code, rec_amount,premium_rcv_detail_code,remaining_amt, payrec, mode_code,coinsurance_code,class_cd,it_remarks) values('14Aug240007','050000636944','50684',(select max(to_number(i.premium_rcv_detail_code))+1
from ins_premium_det i),'50684','50684','02', '11000003','00','Request by Mr. Omair Ali 16-Aug-2024');</v>
      </c>
    </row>
    <row r="71" spans="1:8" ht="135" x14ac:dyDescent="0.25">
      <c r="A71" s="1" t="s">
        <v>72</v>
      </c>
      <c r="B71" s="1" t="s">
        <v>229</v>
      </c>
      <c r="C71" s="2">
        <v>25979</v>
      </c>
      <c r="D71" s="10">
        <f t="shared" si="5"/>
        <v>25979</v>
      </c>
      <c r="E71" s="9" t="s">
        <v>301</v>
      </c>
      <c r="F71" s="11" t="str">
        <f t="shared" si="4"/>
        <v>insert into ins_premium_det (premium_rcv_code,assorted_code, rec_amount,premium_rcv_detail_code,remaining_amt, payrec, mode_code,coinsurance_code,class_cd,it_remarks) values</v>
      </c>
      <c r="G71" s="12" t="str">
        <f t="shared" si="6"/>
        <v>('14Aug240007','050000638915','25979',(select max(to_number(i.premium_rcv_detail_code))+1
from ins_premium_det i),'25979','25979','02', '11000003','00','Request by Mr. Omair Ali 16-Aug-2024');</v>
      </c>
      <c r="H71" s="13" t="str">
        <f t="shared" si="7"/>
        <v>insert into ins_premium_det (premium_rcv_code,assorted_code, rec_amount,premium_rcv_detail_code,remaining_amt, payrec, mode_code,coinsurance_code,class_cd,it_remarks) values('14Aug240007','050000638915','25979',(select max(to_number(i.premium_rcv_detail_code))+1
from ins_premium_det i),'25979','25979','02', '11000003','00','Request by Mr. Omair Ali 16-Aug-2024');</v>
      </c>
    </row>
    <row r="72" spans="1:8" ht="135" x14ac:dyDescent="0.25">
      <c r="A72" s="1" t="s">
        <v>73</v>
      </c>
      <c r="B72" s="1" t="s">
        <v>230</v>
      </c>
      <c r="C72" s="2">
        <v>57093</v>
      </c>
      <c r="D72" s="10">
        <f t="shared" si="5"/>
        <v>57093</v>
      </c>
      <c r="E72" s="9" t="s">
        <v>301</v>
      </c>
      <c r="F72" s="11" t="str">
        <f t="shared" si="4"/>
        <v>insert into ins_premium_det (premium_rcv_code,assorted_code, rec_amount,premium_rcv_detail_code,remaining_amt, payrec, mode_code,coinsurance_code,class_cd,it_remarks) values</v>
      </c>
      <c r="G72" s="12" t="str">
        <f t="shared" si="6"/>
        <v>('14Aug240007','050000639438','57093',(select max(to_number(i.premium_rcv_detail_code))+1
from ins_premium_det i),'57093','57093','02', '11000003','00','Request by Mr. Omair Ali 16-Aug-2024');</v>
      </c>
      <c r="H72" s="13" t="str">
        <f t="shared" si="7"/>
        <v>insert into ins_premium_det (premium_rcv_code,assorted_code, rec_amount,premium_rcv_detail_code,remaining_amt, payrec, mode_code,coinsurance_code,class_cd,it_remarks) values('14Aug240007','050000639438','57093',(select max(to_number(i.premium_rcv_detail_code))+1
from ins_premium_det i),'57093','57093','02', '11000003','00','Request by Mr. Omair Ali 16-Aug-2024');</v>
      </c>
    </row>
    <row r="73" spans="1:8" ht="135" x14ac:dyDescent="0.25">
      <c r="A73" s="1" t="s">
        <v>74</v>
      </c>
      <c r="B73" s="1" t="s">
        <v>231</v>
      </c>
      <c r="C73" s="2">
        <v>-456277</v>
      </c>
      <c r="D73" s="10">
        <f t="shared" si="5"/>
        <v>-456277</v>
      </c>
      <c r="E73" s="9" t="s">
        <v>301</v>
      </c>
      <c r="F73" s="11" t="str">
        <f t="shared" si="4"/>
        <v>insert into ins_premium_det (premium_rcv_code,assorted_code, rec_amount,premium_rcv_detail_code,remaining_amt, payrec, mode_code,coinsurance_code,class_cd,it_remarks) values</v>
      </c>
      <c r="G73" s="12" t="str">
        <f t="shared" si="6"/>
        <v>('14Aug240007','050000640585','-456277',(select max(to_number(i.premium_rcv_detail_code))+1
from ins_premium_det i),'-456277','-456277','02', '11000003','00','Request by Mr. Omair Ali 16-Aug-2024');</v>
      </c>
      <c r="H73" s="13" t="str">
        <f t="shared" si="7"/>
        <v>insert into ins_premium_det (premium_rcv_code,assorted_code, rec_amount,premium_rcv_detail_code,remaining_amt, payrec, mode_code,coinsurance_code,class_cd,it_remarks) values('14Aug240007','050000640585','-456277',(select max(to_number(i.premium_rcv_detail_code))+1
from ins_premium_det i),'-456277','-456277','02', '11000003','00','Request by Mr. Omair Ali 16-Aug-2024');</v>
      </c>
    </row>
    <row r="74" spans="1:8" ht="135" x14ac:dyDescent="0.25">
      <c r="A74" s="1" t="s">
        <v>75</v>
      </c>
      <c r="B74" s="1" t="s">
        <v>232</v>
      </c>
      <c r="C74" s="2">
        <v>-82372</v>
      </c>
      <c r="D74" s="10">
        <f t="shared" si="5"/>
        <v>-82372</v>
      </c>
      <c r="E74" s="9" t="s">
        <v>301</v>
      </c>
      <c r="F74" s="11" t="str">
        <f t="shared" si="4"/>
        <v>insert into ins_premium_det (premium_rcv_code,assorted_code, rec_amount,premium_rcv_detail_code,remaining_amt, payrec, mode_code,coinsurance_code,class_cd,it_remarks) values</v>
      </c>
      <c r="G74" s="12" t="str">
        <f t="shared" si="6"/>
        <v>('14Aug240007','050000641137','-82372',(select max(to_number(i.premium_rcv_detail_code))+1
from ins_premium_det i),'-82372','-82372','02', '11000003','00','Request by Mr. Omair Ali 16-Aug-2024');</v>
      </c>
      <c r="H74" s="13" t="str">
        <f t="shared" si="7"/>
        <v>insert into ins_premium_det (premium_rcv_code,assorted_code, rec_amount,premium_rcv_detail_code,remaining_amt, payrec, mode_code,coinsurance_code,class_cd,it_remarks) values('14Aug240007','050000641137','-82372',(select max(to_number(i.premium_rcv_detail_code))+1
from ins_premium_det i),'-82372','-82372','02', '11000003','00','Request by Mr. Omair Ali 16-Aug-2024');</v>
      </c>
    </row>
    <row r="75" spans="1:8" ht="135" x14ac:dyDescent="0.25">
      <c r="A75" s="1" t="s">
        <v>76</v>
      </c>
      <c r="B75" s="1" t="s">
        <v>233</v>
      </c>
      <c r="C75" s="2">
        <v>333016</v>
      </c>
      <c r="D75" s="10">
        <f t="shared" si="5"/>
        <v>333016</v>
      </c>
      <c r="E75" s="9" t="s">
        <v>301</v>
      </c>
      <c r="F75" s="11" t="str">
        <f t="shared" si="4"/>
        <v>insert into ins_premium_det (premium_rcv_code,assorted_code, rec_amount,premium_rcv_detail_code,remaining_amt, payrec, mode_code,coinsurance_code,class_cd,it_remarks) values</v>
      </c>
      <c r="G75" s="12" t="str">
        <f t="shared" si="6"/>
        <v>('14Aug240007','050000641961','333016',(select max(to_number(i.premium_rcv_detail_code))+1
from ins_premium_det i),'333016','333016','02', '11000003','00','Request by Mr. Omair Ali 16-Aug-2024');</v>
      </c>
      <c r="H75" s="13" t="str">
        <f t="shared" si="7"/>
        <v>insert into ins_premium_det (premium_rcv_code,assorted_code, rec_amount,premium_rcv_detail_code,remaining_amt, payrec, mode_code,coinsurance_code,class_cd,it_remarks) values('14Aug240007','050000641961','333016',(select max(to_number(i.premium_rcv_detail_code))+1
from ins_premium_det i),'333016','333016','02', '11000003','00','Request by Mr. Omair Ali 16-Aug-2024');</v>
      </c>
    </row>
    <row r="76" spans="1:8" ht="135" x14ac:dyDescent="0.25">
      <c r="A76" s="1" t="s">
        <v>77</v>
      </c>
      <c r="B76" s="1" t="s">
        <v>234</v>
      </c>
      <c r="C76" s="2">
        <v>56086</v>
      </c>
      <c r="D76" s="10">
        <f t="shared" si="5"/>
        <v>56086</v>
      </c>
      <c r="E76" s="9" t="s">
        <v>301</v>
      </c>
      <c r="F76" s="11" t="str">
        <f t="shared" si="4"/>
        <v>insert into ins_premium_det (premium_rcv_code,assorted_code, rec_amount,premium_rcv_detail_code,remaining_amt, payrec, mode_code,coinsurance_code,class_cd,it_remarks) values</v>
      </c>
      <c r="G76" s="12" t="str">
        <f t="shared" si="6"/>
        <v>('14Aug240007','050000646455','56086',(select max(to_number(i.premium_rcv_detail_code))+1
from ins_premium_det i),'56086','56086','02', '11000003','00','Request by Mr. Omair Ali 16-Aug-2024');</v>
      </c>
      <c r="H76" s="13" t="str">
        <f t="shared" si="7"/>
        <v>insert into ins_premium_det (premium_rcv_code,assorted_code, rec_amount,premium_rcv_detail_code,remaining_amt, payrec, mode_code,coinsurance_code,class_cd,it_remarks) values('14Aug240007','050000646455','56086',(select max(to_number(i.premium_rcv_detail_code))+1
from ins_premium_det i),'56086','56086','02', '11000003','00','Request by Mr. Omair Ali 16-Aug-2024');</v>
      </c>
    </row>
    <row r="77" spans="1:8" ht="135" x14ac:dyDescent="0.25">
      <c r="A77" s="1" t="s">
        <v>78</v>
      </c>
      <c r="B77" s="1" t="s">
        <v>235</v>
      </c>
      <c r="C77" s="2">
        <v>12386</v>
      </c>
      <c r="D77" s="10">
        <f t="shared" si="5"/>
        <v>12386</v>
      </c>
      <c r="E77" s="9" t="s">
        <v>301</v>
      </c>
      <c r="F77" s="11" t="str">
        <f t="shared" si="4"/>
        <v>insert into ins_premium_det (premium_rcv_code,assorted_code, rec_amount,premium_rcv_detail_code,remaining_amt, payrec, mode_code,coinsurance_code,class_cd,it_remarks) values</v>
      </c>
      <c r="G77" s="12" t="str">
        <f t="shared" si="6"/>
        <v>('14Aug240007','050000647524','12386',(select max(to_number(i.premium_rcv_detail_code))+1
from ins_premium_det i),'12386','12386','02', '11000003','00','Request by Mr. Omair Ali 16-Aug-2024');</v>
      </c>
      <c r="H77" s="13" t="str">
        <f t="shared" si="7"/>
        <v>insert into ins_premium_det (premium_rcv_code,assorted_code, rec_amount,premium_rcv_detail_code,remaining_amt, payrec, mode_code,coinsurance_code,class_cd,it_remarks) values('14Aug240007','050000647524','12386',(select max(to_number(i.premium_rcv_detail_code))+1
from ins_premium_det i),'12386','12386','02', '11000003','00','Request by Mr. Omair Ali 16-Aug-2024');</v>
      </c>
    </row>
    <row r="78" spans="1:8" ht="135" x14ac:dyDescent="0.25">
      <c r="A78" s="1" t="s">
        <v>79</v>
      </c>
      <c r="B78" s="1" t="s">
        <v>236</v>
      </c>
      <c r="C78" s="2">
        <v>67060</v>
      </c>
      <c r="D78" s="10">
        <f t="shared" si="5"/>
        <v>67060</v>
      </c>
      <c r="E78" s="9" t="s">
        <v>301</v>
      </c>
      <c r="F78" s="11" t="str">
        <f t="shared" si="4"/>
        <v>insert into ins_premium_det (premium_rcv_code,assorted_code, rec_amount,premium_rcv_detail_code,remaining_amt, payrec, mode_code,coinsurance_code,class_cd,it_remarks) values</v>
      </c>
      <c r="G78" s="12" t="str">
        <f t="shared" si="6"/>
        <v>('14Aug240007','050000647774','67060',(select max(to_number(i.premium_rcv_detail_code))+1
from ins_premium_det i),'67060','67060','02', '11000003','00','Request by Mr. Omair Ali 16-Aug-2024');</v>
      </c>
      <c r="H78" s="13" t="str">
        <f t="shared" si="7"/>
        <v>insert into ins_premium_det (premium_rcv_code,assorted_code, rec_amount,premium_rcv_detail_code,remaining_amt, payrec, mode_code,coinsurance_code,class_cd,it_remarks) values('14Aug240007','050000647774','67060',(select max(to_number(i.premium_rcv_detail_code))+1
from ins_premium_det i),'67060','67060','02', '11000003','00','Request by Mr. Omair Ali 16-Aug-2024');</v>
      </c>
    </row>
    <row r="79" spans="1:8" ht="135" x14ac:dyDescent="0.25">
      <c r="A79" s="1" t="s">
        <v>80</v>
      </c>
      <c r="B79" s="1" t="s">
        <v>237</v>
      </c>
      <c r="C79" s="2">
        <v>-370721</v>
      </c>
      <c r="D79" s="10">
        <f t="shared" si="5"/>
        <v>-370721</v>
      </c>
      <c r="E79" s="9" t="s">
        <v>301</v>
      </c>
      <c r="F79" s="11" t="str">
        <f t="shared" si="4"/>
        <v>insert into ins_premium_det (premium_rcv_code,assorted_code, rec_amount,premium_rcv_detail_code,remaining_amt, payrec, mode_code,coinsurance_code,class_cd,it_remarks) values</v>
      </c>
      <c r="G79" s="12" t="str">
        <f t="shared" si="6"/>
        <v>('14Aug240007','050000647891','-370721',(select max(to_number(i.premium_rcv_detail_code))+1
from ins_premium_det i),'-370721','-370721','02', '11000003','00','Request by Mr. Omair Ali 16-Aug-2024');</v>
      </c>
      <c r="H79" s="13" t="str">
        <f t="shared" si="7"/>
        <v>insert into ins_premium_det (premium_rcv_code,assorted_code, rec_amount,premium_rcv_detail_code,remaining_amt, payrec, mode_code,coinsurance_code,class_cd,it_remarks) values('14Aug240007','050000647891','-370721',(select max(to_number(i.premium_rcv_detail_code))+1
from ins_premium_det i),'-370721','-370721','02', '11000003','00','Request by Mr. Omair Ali 16-Aug-2024');</v>
      </c>
    </row>
    <row r="80" spans="1:8" ht="135" x14ac:dyDescent="0.25">
      <c r="A80" s="1" t="s">
        <v>81</v>
      </c>
      <c r="B80" s="1" t="s">
        <v>238</v>
      </c>
      <c r="C80" s="2">
        <v>14359</v>
      </c>
      <c r="D80" s="10">
        <f t="shared" si="5"/>
        <v>14359</v>
      </c>
      <c r="E80" s="9" t="s">
        <v>301</v>
      </c>
      <c r="F80" s="11" t="str">
        <f t="shared" si="4"/>
        <v>insert into ins_premium_det (premium_rcv_code,assorted_code, rec_amount,premium_rcv_detail_code,remaining_amt, payrec, mode_code,coinsurance_code,class_cd,it_remarks) values</v>
      </c>
      <c r="G80" s="12" t="str">
        <f t="shared" si="6"/>
        <v>('14Aug240007','050000647958','14359',(select max(to_number(i.premium_rcv_detail_code))+1
from ins_premium_det i),'14359','14359','02', '11000003','00','Request by Mr. Omair Ali 16-Aug-2024');</v>
      </c>
      <c r="H80" s="13" t="str">
        <f t="shared" si="7"/>
        <v>insert into ins_premium_det (premium_rcv_code,assorted_code, rec_amount,premium_rcv_detail_code,remaining_amt, payrec, mode_code,coinsurance_code,class_cd,it_remarks) values('14Aug240007','050000647958','14359',(select max(to_number(i.premium_rcv_detail_code))+1
from ins_premium_det i),'14359','14359','02', '11000003','00','Request by Mr. Omair Ali 16-Aug-2024');</v>
      </c>
    </row>
    <row r="81" spans="1:8" ht="135" x14ac:dyDescent="0.25">
      <c r="A81" s="1" t="s">
        <v>82</v>
      </c>
      <c r="B81" s="1" t="s">
        <v>239</v>
      </c>
      <c r="C81" s="2">
        <v>59790</v>
      </c>
      <c r="D81" s="10">
        <f t="shared" si="5"/>
        <v>59790</v>
      </c>
      <c r="E81" s="9" t="s">
        <v>301</v>
      </c>
      <c r="F81" s="11" t="str">
        <f t="shared" si="4"/>
        <v>insert into ins_premium_det (premium_rcv_code,assorted_code, rec_amount,premium_rcv_detail_code,remaining_amt, payrec, mode_code,coinsurance_code,class_cd,it_remarks) values</v>
      </c>
      <c r="G81" s="12" t="str">
        <f t="shared" si="6"/>
        <v>('14Aug240007','050000648093','59790',(select max(to_number(i.premium_rcv_detail_code))+1
from ins_premium_det i),'59790','59790','02', '11000003','00','Request by Mr. Omair Ali 16-Aug-2024');</v>
      </c>
      <c r="H81" s="13" t="str">
        <f t="shared" si="7"/>
        <v>insert into ins_premium_det (premium_rcv_code,assorted_code, rec_amount,premium_rcv_detail_code,remaining_amt, payrec, mode_code,coinsurance_code,class_cd,it_remarks) values('14Aug240007','050000648093','59790',(select max(to_number(i.premium_rcv_detail_code))+1
from ins_premium_det i),'59790','59790','02', '11000003','00','Request by Mr. Omair Ali 16-Aug-2024');</v>
      </c>
    </row>
    <row r="82" spans="1:8" ht="135" x14ac:dyDescent="0.25">
      <c r="A82" s="1" t="s">
        <v>83</v>
      </c>
      <c r="B82" s="1" t="s">
        <v>240</v>
      </c>
      <c r="C82" s="2">
        <v>51648</v>
      </c>
      <c r="D82" s="10">
        <f t="shared" si="5"/>
        <v>51648</v>
      </c>
      <c r="E82" s="9" t="s">
        <v>301</v>
      </c>
      <c r="F82" s="11" t="str">
        <f t="shared" si="4"/>
        <v>insert into ins_premium_det (premium_rcv_code,assorted_code, rec_amount,premium_rcv_detail_code,remaining_amt, payrec, mode_code,coinsurance_code,class_cd,it_remarks) values</v>
      </c>
      <c r="G82" s="12" t="str">
        <f t="shared" si="6"/>
        <v>('14Aug240007','050000648400','51648',(select max(to_number(i.premium_rcv_detail_code))+1
from ins_premium_det i),'51648','51648','02', '11000003','00','Request by Mr. Omair Ali 16-Aug-2024');</v>
      </c>
      <c r="H82" s="13" t="str">
        <f t="shared" si="7"/>
        <v>insert into ins_premium_det (premium_rcv_code,assorted_code, rec_amount,premium_rcv_detail_code,remaining_amt, payrec, mode_code,coinsurance_code,class_cd,it_remarks) values('14Aug240007','050000648400','51648',(select max(to_number(i.premium_rcv_detail_code))+1
from ins_premium_det i),'51648','51648','02', '11000003','00','Request by Mr. Omair Ali 16-Aug-2024');</v>
      </c>
    </row>
    <row r="83" spans="1:8" ht="135" x14ac:dyDescent="0.25">
      <c r="A83" s="1" t="s">
        <v>84</v>
      </c>
      <c r="B83" s="1" t="s">
        <v>241</v>
      </c>
      <c r="C83" s="2">
        <v>16676</v>
      </c>
      <c r="D83" s="10">
        <f t="shared" si="5"/>
        <v>16676</v>
      </c>
      <c r="E83" s="9" t="s">
        <v>301</v>
      </c>
      <c r="F83" s="11" t="str">
        <f t="shared" si="4"/>
        <v>insert into ins_premium_det (premium_rcv_code,assorted_code, rec_amount,premium_rcv_detail_code,remaining_amt, payrec, mode_code,coinsurance_code,class_cd,it_remarks) values</v>
      </c>
      <c r="G83" s="12" t="str">
        <f t="shared" si="6"/>
        <v>('14Aug240007','050000648490','16676',(select max(to_number(i.premium_rcv_detail_code))+1
from ins_premium_det i),'16676','16676','02', '11000003','00','Request by Mr. Omair Ali 16-Aug-2024');</v>
      </c>
      <c r="H83" s="13" t="str">
        <f t="shared" si="7"/>
        <v>insert into ins_premium_det (premium_rcv_code,assorted_code, rec_amount,premium_rcv_detail_code,remaining_amt, payrec, mode_code,coinsurance_code,class_cd,it_remarks) values('14Aug240007','050000648490','16676',(select max(to_number(i.premium_rcv_detail_code))+1
from ins_premium_det i),'16676','16676','02', '11000003','00','Request by Mr. Omair Ali 16-Aug-2024');</v>
      </c>
    </row>
    <row r="84" spans="1:8" ht="135" x14ac:dyDescent="0.25">
      <c r="A84" s="1" t="s">
        <v>85</v>
      </c>
      <c r="B84" s="1" t="s">
        <v>242</v>
      </c>
      <c r="C84" s="2">
        <v>3700</v>
      </c>
      <c r="D84" s="10">
        <f t="shared" si="5"/>
        <v>3700</v>
      </c>
      <c r="E84" s="9" t="s">
        <v>301</v>
      </c>
      <c r="F84" s="11" t="str">
        <f t="shared" si="4"/>
        <v>insert into ins_premium_det (premium_rcv_code,assorted_code, rec_amount,premium_rcv_detail_code,remaining_amt, payrec, mode_code,coinsurance_code,class_cd,it_remarks) values</v>
      </c>
      <c r="G84" s="12" t="str">
        <f t="shared" si="6"/>
        <v>('14Aug240007','050000649087','3700',(select max(to_number(i.premium_rcv_detail_code))+1
from ins_premium_det i),'3700','3700','02', '11000003','00','Request by Mr. Omair Ali 16-Aug-2024');</v>
      </c>
      <c r="H84" s="13" t="str">
        <f t="shared" si="7"/>
        <v>insert into ins_premium_det (premium_rcv_code,assorted_code, rec_amount,premium_rcv_detail_code,remaining_amt, payrec, mode_code,coinsurance_code,class_cd,it_remarks) values('14Aug240007','050000649087','3700',(select max(to_number(i.premium_rcv_detail_code))+1
from ins_premium_det i),'3700','3700','02', '11000003','00','Request by Mr. Omair Ali 16-Aug-2024');</v>
      </c>
    </row>
    <row r="85" spans="1:8" ht="135" x14ac:dyDescent="0.25">
      <c r="A85" s="1" t="s">
        <v>86</v>
      </c>
      <c r="B85" s="1" t="s">
        <v>243</v>
      </c>
      <c r="C85" s="2">
        <v>18767</v>
      </c>
      <c r="D85" s="10">
        <f t="shared" si="5"/>
        <v>18767</v>
      </c>
      <c r="E85" s="9" t="s">
        <v>301</v>
      </c>
      <c r="F85" s="11" t="str">
        <f t="shared" si="4"/>
        <v>insert into ins_premium_det (premium_rcv_code,assorted_code, rec_amount,premium_rcv_detail_code,remaining_amt, payrec, mode_code,coinsurance_code,class_cd,it_remarks) values</v>
      </c>
      <c r="G85" s="12" t="str">
        <f t="shared" si="6"/>
        <v>('14Aug240007','050000649339','18767',(select max(to_number(i.premium_rcv_detail_code))+1
from ins_premium_det i),'18767','18767','02', '11000003','00','Request by Mr. Omair Ali 16-Aug-2024');</v>
      </c>
      <c r="H85" s="13" t="str">
        <f t="shared" si="7"/>
        <v>insert into ins_premium_det (premium_rcv_code,assorted_code, rec_amount,premium_rcv_detail_code,remaining_amt, payrec, mode_code,coinsurance_code,class_cd,it_remarks) values('14Aug240007','050000649339','18767',(select max(to_number(i.premium_rcv_detail_code))+1
from ins_premium_det i),'18767','18767','02', '11000003','00','Request by Mr. Omair Ali 16-Aug-2024');</v>
      </c>
    </row>
    <row r="86" spans="1:8" ht="135" x14ac:dyDescent="0.25">
      <c r="A86" s="1" t="s">
        <v>87</v>
      </c>
      <c r="B86" s="1" t="s">
        <v>244</v>
      </c>
      <c r="C86" s="2">
        <v>25748</v>
      </c>
      <c r="D86" s="10">
        <f t="shared" si="5"/>
        <v>25748</v>
      </c>
      <c r="E86" s="9" t="s">
        <v>301</v>
      </c>
      <c r="F86" s="11" t="str">
        <f t="shared" si="4"/>
        <v>insert into ins_premium_det (premium_rcv_code,assorted_code, rec_amount,premium_rcv_detail_code,remaining_amt, payrec, mode_code,coinsurance_code,class_cd,it_remarks) values</v>
      </c>
      <c r="G86" s="12" t="str">
        <f t="shared" si="6"/>
        <v>('14Aug240007','050000652653','25748',(select max(to_number(i.premium_rcv_detail_code))+1
from ins_premium_det i),'25748','25748','02', '11000003','00','Request by Mr. Omair Ali 16-Aug-2024');</v>
      </c>
      <c r="H86" s="13" t="str">
        <f t="shared" si="7"/>
        <v>insert into ins_premium_det (premium_rcv_code,assorted_code, rec_amount,premium_rcv_detail_code,remaining_amt, payrec, mode_code,coinsurance_code,class_cd,it_remarks) values('14Aug240007','050000652653','25748',(select max(to_number(i.premium_rcv_detail_code))+1
from ins_premium_det i),'25748','25748','02', '11000003','00','Request by Mr. Omair Ali 16-Aug-2024');</v>
      </c>
    </row>
    <row r="87" spans="1:8" ht="135" x14ac:dyDescent="0.25">
      <c r="A87" s="1" t="s">
        <v>88</v>
      </c>
      <c r="B87" s="1" t="s">
        <v>245</v>
      </c>
      <c r="C87" s="2">
        <v>28231</v>
      </c>
      <c r="D87" s="10">
        <f t="shared" si="5"/>
        <v>28231</v>
      </c>
      <c r="E87" s="9" t="s">
        <v>301</v>
      </c>
      <c r="F87" s="11" t="str">
        <f t="shared" si="4"/>
        <v>insert into ins_premium_det (premium_rcv_code,assorted_code, rec_amount,premium_rcv_detail_code,remaining_amt, payrec, mode_code,coinsurance_code,class_cd,it_remarks) values</v>
      </c>
      <c r="G87" s="12" t="str">
        <f t="shared" si="6"/>
        <v>('14Aug240007','050000652911','28231',(select max(to_number(i.premium_rcv_detail_code))+1
from ins_premium_det i),'28231','28231','02', '11000003','00','Request by Mr. Omair Ali 16-Aug-2024');</v>
      </c>
      <c r="H87" s="13" t="str">
        <f t="shared" si="7"/>
        <v>insert into ins_premium_det (premium_rcv_code,assorted_code, rec_amount,premium_rcv_detail_code,remaining_amt, payrec, mode_code,coinsurance_code,class_cd,it_remarks) values('14Aug240007','050000652911','28231',(select max(to_number(i.premium_rcv_detail_code))+1
from ins_premium_det i),'28231','28231','02', '11000003','00','Request by Mr. Omair Ali 16-Aug-2024');</v>
      </c>
    </row>
    <row r="88" spans="1:8" ht="135" x14ac:dyDescent="0.25">
      <c r="A88" s="1" t="s">
        <v>89</v>
      </c>
      <c r="B88" s="1" t="s">
        <v>246</v>
      </c>
      <c r="C88" s="2">
        <v>3613</v>
      </c>
      <c r="D88" s="10">
        <f t="shared" si="5"/>
        <v>3613</v>
      </c>
      <c r="E88" s="9" t="s">
        <v>301</v>
      </c>
      <c r="F88" s="11" t="str">
        <f t="shared" si="4"/>
        <v>insert into ins_premium_det (premium_rcv_code,assorted_code, rec_amount,premium_rcv_detail_code,remaining_amt, payrec, mode_code,coinsurance_code,class_cd,it_remarks) values</v>
      </c>
      <c r="G88" s="12" t="str">
        <f t="shared" si="6"/>
        <v>('14Aug240007','050000655307','3613',(select max(to_number(i.premium_rcv_detail_code))+1
from ins_premium_det i),'3613','3613','02', '11000003','00','Request by Mr. Omair Ali 16-Aug-2024');</v>
      </c>
      <c r="H88" s="13" t="str">
        <f t="shared" si="7"/>
        <v>insert into ins_premium_det (premium_rcv_code,assorted_code, rec_amount,premium_rcv_detail_code,remaining_amt, payrec, mode_code,coinsurance_code,class_cd,it_remarks) values('14Aug240007','050000655307','3613',(select max(to_number(i.premium_rcv_detail_code))+1
from ins_premium_det i),'3613','3613','02', '11000003','00','Request by Mr. Omair Ali 16-Aug-2024');</v>
      </c>
    </row>
    <row r="89" spans="1:8" ht="135" x14ac:dyDescent="0.25">
      <c r="A89" s="1" t="s">
        <v>90</v>
      </c>
      <c r="B89" s="1" t="s">
        <v>247</v>
      </c>
      <c r="C89" s="2">
        <v>57607</v>
      </c>
      <c r="D89" s="10">
        <f t="shared" si="5"/>
        <v>57607</v>
      </c>
      <c r="E89" s="9" t="s">
        <v>301</v>
      </c>
      <c r="F89" s="11" t="str">
        <f t="shared" si="4"/>
        <v>insert into ins_premium_det (premium_rcv_code,assorted_code, rec_amount,premium_rcv_detail_code,remaining_amt, payrec, mode_code,coinsurance_code,class_cd,it_remarks) values</v>
      </c>
      <c r="G89" s="12" t="str">
        <f t="shared" si="6"/>
        <v>('14Aug240007','050000656841','57607',(select max(to_number(i.premium_rcv_detail_code))+1
from ins_premium_det i),'57607','57607','02', '11000003','00','Request by Mr. Omair Ali 16-Aug-2024');</v>
      </c>
      <c r="H89" s="13" t="str">
        <f t="shared" si="7"/>
        <v>insert into ins_premium_det (premium_rcv_code,assorted_code, rec_amount,premium_rcv_detail_code,remaining_amt, payrec, mode_code,coinsurance_code,class_cd,it_remarks) values('14Aug240007','050000656841','57607',(select max(to_number(i.premium_rcv_detail_code))+1
from ins_premium_det i),'57607','57607','02', '11000003','00','Request by Mr. Omair Ali 16-Aug-2024');</v>
      </c>
    </row>
    <row r="90" spans="1:8" ht="135" x14ac:dyDescent="0.25">
      <c r="A90" s="1" t="s">
        <v>91</v>
      </c>
      <c r="B90" s="1" t="s">
        <v>248</v>
      </c>
      <c r="C90" s="2">
        <v>107507</v>
      </c>
      <c r="D90" s="10">
        <f t="shared" si="5"/>
        <v>107507</v>
      </c>
      <c r="E90" s="9" t="s">
        <v>301</v>
      </c>
      <c r="F90" s="11" t="str">
        <f t="shared" si="4"/>
        <v>insert into ins_premium_det (premium_rcv_code,assorted_code, rec_amount,premium_rcv_detail_code,remaining_amt, payrec, mode_code,coinsurance_code,class_cd,it_remarks) values</v>
      </c>
      <c r="G90" s="12" t="str">
        <f t="shared" si="6"/>
        <v>('14Aug240007','050000657801','107507',(select max(to_number(i.premium_rcv_detail_code))+1
from ins_premium_det i),'107507','107507','02', '11000003','00','Request by Mr. Omair Ali 16-Aug-2024');</v>
      </c>
      <c r="H90" s="13" t="str">
        <f t="shared" si="7"/>
        <v>insert into ins_premium_det (premium_rcv_code,assorted_code, rec_amount,premium_rcv_detail_code,remaining_amt, payrec, mode_code,coinsurance_code,class_cd,it_remarks) values('14Aug240007','050000657801','107507',(select max(to_number(i.premium_rcv_detail_code))+1
from ins_premium_det i),'107507','107507','02', '11000003','00','Request by Mr. Omair Ali 16-Aug-2024');</v>
      </c>
    </row>
    <row r="91" spans="1:8" ht="135" x14ac:dyDescent="0.25">
      <c r="A91" s="1" t="s">
        <v>92</v>
      </c>
      <c r="B91" s="1" t="s">
        <v>249</v>
      </c>
      <c r="C91" s="2">
        <v>37163</v>
      </c>
      <c r="D91" s="10">
        <f t="shared" si="5"/>
        <v>37163</v>
      </c>
      <c r="E91" s="9" t="s">
        <v>301</v>
      </c>
      <c r="F91" s="11" t="str">
        <f t="shared" si="4"/>
        <v>insert into ins_premium_det (premium_rcv_code,assorted_code, rec_amount,premium_rcv_detail_code,remaining_amt, payrec, mode_code,coinsurance_code,class_cd,it_remarks) values</v>
      </c>
      <c r="G91" s="12" t="str">
        <f t="shared" si="6"/>
        <v>('14Aug240007','050000660169','37163',(select max(to_number(i.premium_rcv_detail_code))+1
from ins_premium_det i),'37163','37163','02', '11000003','00','Request by Mr. Omair Ali 16-Aug-2024');</v>
      </c>
      <c r="H91" s="13" t="str">
        <f t="shared" si="7"/>
        <v>insert into ins_premium_det (premium_rcv_code,assorted_code, rec_amount,premium_rcv_detail_code,remaining_amt, payrec, mode_code,coinsurance_code,class_cd,it_remarks) values('14Aug240007','050000660169','37163',(select max(to_number(i.premium_rcv_detail_code))+1
from ins_premium_det i),'37163','37163','02', '11000003','00','Request by Mr. Omair Ali 16-Aug-2024');</v>
      </c>
    </row>
    <row r="92" spans="1:8" ht="135" x14ac:dyDescent="0.25">
      <c r="A92" s="1" t="s">
        <v>93</v>
      </c>
      <c r="B92" s="1" t="s">
        <v>250</v>
      </c>
      <c r="C92" s="2">
        <v>-32</v>
      </c>
      <c r="D92" s="10">
        <f t="shared" si="5"/>
        <v>-32</v>
      </c>
      <c r="E92" s="9" t="s">
        <v>301</v>
      </c>
      <c r="F92" s="11" t="str">
        <f t="shared" si="4"/>
        <v>insert into ins_premium_det (premium_rcv_code,assorted_code, rec_amount,premium_rcv_detail_code,remaining_amt, payrec, mode_code,coinsurance_code,class_cd,it_remarks) values</v>
      </c>
      <c r="G92" s="12" t="str">
        <f t="shared" si="6"/>
        <v>('14Aug240007','050000660722','-32',(select max(to_number(i.premium_rcv_detail_code))+1
from ins_premium_det i),'-32','-32','02', '11000003','00','Request by Mr. Omair Ali 16-Aug-2024');</v>
      </c>
      <c r="H92" s="13" t="str">
        <f t="shared" si="7"/>
        <v>insert into ins_premium_det (premium_rcv_code,assorted_code, rec_amount,premium_rcv_detail_code,remaining_amt, payrec, mode_code,coinsurance_code,class_cd,it_remarks) values('14Aug240007','050000660722','-32',(select max(to_number(i.premium_rcv_detail_code))+1
from ins_premium_det i),'-32','-32','02', '11000003','00','Request by Mr. Omair Ali 16-Aug-2024');</v>
      </c>
    </row>
    <row r="93" spans="1:8" ht="135" x14ac:dyDescent="0.25">
      <c r="A93" s="1" t="s">
        <v>94</v>
      </c>
      <c r="B93" s="1" t="s">
        <v>251</v>
      </c>
      <c r="C93" s="2">
        <v>24372</v>
      </c>
      <c r="D93" s="10">
        <f t="shared" si="5"/>
        <v>24372</v>
      </c>
      <c r="E93" s="9" t="s">
        <v>301</v>
      </c>
      <c r="F93" s="11" t="str">
        <f t="shared" si="4"/>
        <v>insert into ins_premium_det (premium_rcv_code,assorted_code, rec_amount,premium_rcv_detail_code,remaining_amt, payrec, mode_code,coinsurance_code,class_cd,it_remarks) values</v>
      </c>
      <c r="G93" s="12" t="str">
        <f t="shared" si="6"/>
        <v>('14Aug240007','050000661228','24372',(select max(to_number(i.premium_rcv_detail_code))+1
from ins_premium_det i),'24372','24372','02', '11000003','00','Request by Mr. Omair Ali 16-Aug-2024');</v>
      </c>
      <c r="H93" s="13" t="str">
        <f t="shared" si="7"/>
        <v>insert into ins_premium_det (premium_rcv_code,assorted_code, rec_amount,premium_rcv_detail_code,remaining_amt, payrec, mode_code,coinsurance_code,class_cd,it_remarks) values('14Aug240007','050000661228','24372',(select max(to_number(i.premium_rcv_detail_code))+1
from ins_premium_det i),'24372','24372','02', '11000003','00','Request by Mr. Omair Ali 16-Aug-2024');</v>
      </c>
    </row>
    <row r="94" spans="1:8" ht="135" x14ac:dyDescent="0.25">
      <c r="A94" s="1" t="s">
        <v>95</v>
      </c>
      <c r="B94" s="1" t="s">
        <v>252</v>
      </c>
      <c r="C94" s="2">
        <v>6682</v>
      </c>
      <c r="D94" s="10">
        <f t="shared" si="5"/>
        <v>6682</v>
      </c>
      <c r="E94" s="9" t="s">
        <v>301</v>
      </c>
      <c r="F94" s="11" t="str">
        <f t="shared" si="4"/>
        <v>insert into ins_premium_det (premium_rcv_code,assorted_code, rec_amount,premium_rcv_detail_code,remaining_amt, payrec, mode_code,coinsurance_code,class_cd,it_remarks) values</v>
      </c>
      <c r="G94" s="12" t="str">
        <f t="shared" si="6"/>
        <v>('14Aug240007','050000662154','6682',(select max(to_number(i.premium_rcv_detail_code))+1
from ins_premium_det i),'6682','6682','02', '11000003','00','Request by Mr. Omair Ali 16-Aug-2024');</v>
      </c>
      <c r="H94" s="13" t="str">
        <f t="shared" si="7"/>
        <v>insert into ins_premium_det (premium_rcv_code,assorted_code, rec_amount,premium_rcv_detail_code,remaining_amt, payrec, mode_code,coinsurance_code,class_cd,it_remarks) values('14Aug240007','050000662154','6682',(select max(to_number(i.premium_rcv_detail_code))+1
from ins_premium_det i),'6682','6682','02', '11000003','00','Request by Mr. Omair Ali 16-Aug-2024');</v>
      </c>
    </row>
    <row r="95" spans="1:8" ht="135" x14ac:dyDescent="0.25">
      <c r="A95" s="1" t="s">
        <v>96</v>
      </c>
      <c r="B95" s="1" t="s">
        <v>253</v>
      </c>
      <c r="C95" s="2">
        <v>10011</v>
      </c>
      <c r="D95" s="10">
        <f t="shared" si="5"/>
        <v>10011</v>
      </c>
      <c r="E95" s="9" t="s">
        <v>301</v>
      </c>
      <c r="F95" s="11" t="str">
        <f t="shared" si="4"/>
        <v>insert into ins_premium_det (premium_rcv_code,assorted_code, rec_amount,premium_rcv_detail_code,remaining_amt, payrec, mode_code,coinsurance_code,class_cd,it_remarks) values</v>
      </c>
      <c r="G95" s="12" t="str">
        <f t="shared" si="6"/>
        <v>('14Aug240007','050000663279','10011',(select max(to_number(i.premium_rcv_detail_code))+1
from ins_premium_det i),'10011','10011','02', '11000003','00','Request by Mr. Omair Ali 16-Aug-2024');</v>
      </c>
      <c r="H95" s="13" t="str">
        <f t="shared" si="7"/>
        <v>insert into ins_premium_det (premium_rcv_code,assorted_code, rec_amount,premium_rcv_detail_code,remaining_amt, payrec, mode_code,coinsurance_code,class_cd,it_remarks) values('14Aug240007','050000663279','10011',(select max(to_number(i.premium_rcv_detail_code))+1
from ins_premium_det i),'10011','10011','02', '11000003','00','Request by Mr. Omair Ali 16-Aug-2024');</v>
      </c>
    </row>
    <row r="96" spans="1:8" ht="135" x14ac:dyDescent="0.25">
      <c r="A96" s="1" t="s">
        <v>97</v>
      </c>
      <c r="B96" s="1" t="s">
        <v>254</v>
      </c>
      <c r="C96" s="2">
        <v>-63535</v>
      </c>
      <c r="D96" s="10">
        <f t="shared" si="5"/>
        <v>-63535</v>
      </c>
      <c r="E96" s="9" t="s">
        <v>301</v>
      </c>
      <c r="F96" s="11" t="str">
        <f t="shared" si="4"/>
        <v>insert into ins_premium_det (premium_rcv_code,assorted_code, rec_amount,premium_rcv_detail_code,remaining_amt, payrec, mode_code,coinsurance_code,class_cd,it_remarks) values</v>
      </c>
      <c r="G96" s="12" t="str">
        <f t="shared" si="6"/>
        <v>('14Aug240007','050000663619','-63535',(select max(to_number(i.premium_rcv_detail_code))+1
from ins_premium_det i),'-63535','-63535','02', '11000003','00','Request by Mr. Omair Ali 16-Aug-2024');</v>
      </c>
      <c r="H96" s="13" t="str">
        <f t="shared" si="7"/>
        <v>insert into ins_premium_det (premium_rcv_code,assorted_code, rec_amount,premium_rcv_detail_code,remaining_amt, payrec, mode_code,coinsurance_code,class_cd,it_remarks) values('14Aug240007','050000663619','-63535',(select max(to_number(i.premium_rcv_detail_code))+1
from ins_premium_det i),'-63535','-63535','02', '11000003','00','Request by Mr. Omair Ali 16-Aug-2024');</v>
      </c>
    </row>
    <row r="97" spans="1:8" ht="135" x14ac:dyDescent="0.25">
      <c r="A97" s="1" t="s">
        <v>98</v>
      </c>
      <c r="B97" s="1" t="s">
        <v>255</v>
      </c>
      <c r="C97" s="2">
        <v>3108</v>
      </c>
      <c r="D97" s="10">
        <f t="shared" si="5"/>
        <v>3108</v>
      </c>
      <c r="E97" s="9" t="s">
        <v>301</v>
      </c>
      <c r="F97" s="11" t="str">
        <f t="shared" si="4"/>
        <v>insert into ins_premium_det (premium_rcv_code,assorted_code, rec_amount,premium_rcv_detail_code,remaining_amt, payrec, mode_code,coinsurance_code,class_cd,it_remarks) values</v>
      </c>
      <c r="G97" s="12" t="str">
        <f t="shared" si="6"/>
        <v>('14Aug240007','050000664182','3108',(select max(to_number(i.premium_rcv_detail_code))+1
from ins_premium_det i),'3108','3108','02', '11000003','00','Request by Mr. Omair Ali 16-Aug-2024');</v>
      </c>
      <c r="H97" s="13" t="str">
        <f t="shared" si="7"/>
        <v>insert into ins_premium_det (premium_rcv_code,assorted_code, rec_amount,premium_rcv_detail_code,remaining_amt, payrec, mode_code,coinsurance_code,class_cd,it_remarks) values('14Aug240007','050000664182','3108',(select max(to_number(i.premium_rcv_detail_code))+1
from ins_premium_det i),'3108','3108','02', '11000003','00','Request by Mr. Omair Ali 16-Aug-2024');</v>
      </c>
    </row>
    <row r="98" spans="1:8" ht="135" x14ac:dyDescent="0.25">
      <c r="A98" s="1" t="s">
        <v>99</v>
      </c>
      <c r="B98" s="1" t="s">
        <v>256</v>
      </c>
      <c r="C98" s="2">
        <v>3108</v>
      </c>
      <c r="D98" s="10">
        <f t="shared" si="5"/>
        <v>3108</v>
      </c>
      <c r="E98" s="9" t="s">
        <v>301</v>
      </c>
      <c r="F98" s="11" t="str">
        <f t="shared" si="4"/>
        <v>insert into ins_premium_det (premium_rcv_code,assorted_code, rec_amount,premium_rcv_detail_code,remaining_amt, payrec, mode_code,coinsurance_code,class_cd,it_remarks) values</v>
      </c>
      <c r="G98" s="12" t="str">
        <f t="shared" si="6"/>
        <v>('14Aug240007','050000664212','3108',(select max(to_number(i.premium_rcv_detail_code))+1
from ins_premium_det i),'3108','3108','02', '11000003','00','Request by Mr. Omair Ali 16-Aug-2024');</v>
      </c>
      <c r="H98" s="13" t="str">
        <f t="shared" si="7"/>
        <v>insert into ins_premium_det (premium_rcv_code,assorted_code, rec_amount,premium_rcv_detail_code,remaining_amt, payrec, mode_code,coinsurance_code,class_cd,it_remarks) values('14Aug240007','050000664212','3108',(select max(to_number(i.premium_rcv_detail_code))+1
from ins_premium_det i),'3108','3108','02', '11000003','00','Request by Mr. Omair Ali 16-Aug-2024');</v>
      </c>
    </row>
    <row r="99" spans="1:8" ht="135" x14ac:dyDescent="0.25">
      <c r="A99" s="1" t="s">
        <v>100</v>
      </c>
      <c r="B99" s="1" t="s">
        <v>257</v>
      </c>
      <c r="C99" s="2">
        <v>8132</v>
      </c>
      <c r="D99" s="10">
        <f t="shared" si="5"/>
        <v>8132</v>
      </c>
      <c r="E99" s="9" t="s">
        <v>301</v>
      </c>
      <c r="F99" s="11" t="str">
        <f t="shared" si="4"/>
        <v>insert into ins_premium_det (premium_rcv_code,assorted_code, rec_amount,premium_rcv_detail_code,remaining_amt, payrec, mode_code,coinsurance_code,class_cd,it_remarks) values</v>
      </c>
      <c r="G99" s="12" t="str">
        <f t="shared" si="6"/>
        <v>('14Aug240007','050000664239','8132',(select max(to_number(i.premium_rcv_detail_code))+1
from ins_premium_det i),'8132','8132','02', '11000003','00','Request by Mr. Omair Ali 16-Aug-2024');</v>
      </c>
      <c r="H99" s="13" t="str">
        <f t="shared" si="7"/>
        <v>insert into ins_premium_det (premium_rcv_code,assorted_code, rec_amount,premium_rcv_detail_code,remaining_amt, payrec, mode_code,coinsurance_code,class_cd,it_remarks) values('14Aug240007','050000664239','8132',(select max(to_number(i.premium_rcv_detail_code))+1
from ins_premium_det i),'8132','8132','02', '11000003','00','Request by Mr. Omair Ali 16-Aug-2024');</v>
      </c>
    </row>
    <row r="100" spans="1:8" ht="135" x14ac:dyDescent="0.25">
      <c r="A100" s="1" t="s">
        <v>101</v>
      </c>
      <c r="B100" s="1" t="s">
        <v>258</v>
      </c>
      <c r="C100" s="2">
        <v>17835</v>
      </c>
      <c r="D100" s="10">
        <f t="shared" si="5"/>
        <v>17835</v>
      </c>
      <c r="E100" s="9" t="s">
        <v>301</v>
      </c>
      <c r="F100" s="11" t="str">
        <f t="shared" si="4"/>
        <v>insert into ins_premium_det (premium_rcv_code,assorted_code, rec_amount,premium_rcv_detail_code,remaining_amt, payrec, mode_code,coinsurance_code,class_cd,it_remarks) values</v>
      </c>
      <c r="G100" s="12" t="str">
        <f t="shared" si="6"/>
        <v>('14Aug240007','050000664499','17835',(select max(to_number(i.premium_rcv_detail_code))+1
from ins_premium_det i),'17835','17835','02', '11000003','00','Request by Mr. Omair Ali 16-Aug-2024');</v>
      </c>
      <c r="H100" s="13" t="str">
        <f t="shared" si="7"/>
        <v>insert into ins_premium_det (premium_rcv_code,assorted_code, rec_amount,premium_rcv_detail_code,remaining_amt, payrec, mode_code,coinsurance_code,class_cd,it_remarks) values('14Aug240007','050000664499','17835',(select max(to_number(i.premium_rcv_detail_code))+1
from ins_premium_det i),'17835','17835','02', '11000003','00','Request by Mr. Omair Ali 16-Aug-2024');</v>
      </c>
    </row>
    <row r="101" spans="1:8" ht="135" x14ac:dyDescent="0.25">
      <c r="A101" s="1" t="s">
        <v>102</v>
      </c>
      <c r="B101" s="1" t="s">
        <v>259</v>
      </c>
      <c r="C101" s="2">
        <v>8959</v>
      </c>
      <c r="D101" s="10">
        <f t="shared" si="5"/>
        <v>8959</v>
      </c>
      <c r="E101" s="9" t="s">
        <v>301</v>
      </c>
      <c r="F101" s="11" t="str">
        <f t="shared" si="4"/>
        <v>insert into ins_premium_det (premium_rcv_code,assorted_code, rec_amount,premium_rcv_detail_code,remaining_amt, payrec, mode_code,coinsurance_code,class_cd,it_remarks) values</v>
      </c>
      <c r="G101" s="12" t="str">
        <f t="shared" si="6"/>
        <v>('14Aug240007','050000665021','8959',(select max(to_number(i.premium_rcv_detail_code))+1
from ins_premium_det i),'8959','8959','02', '11000003','00','Request by Mr. Omair Ali 16-Aug-2024');</v>
      </c>
      <c r="H101" s="13" t="str">
        <f t="shared" si="7"/>
        <v>insert into ins_premium_det (premium_rcv_code,assorted_code, rec_amount,premium_rcv_detail_code,remaining_amt, payrec, mode_code,coinsurance_code,class_cd,it_remarks) values('14Aug240007','050000665021','8959',(select max(to_number(i.premium_rcv_detail_code))+1
from ins_premium_det i),'8959','8959','02', '11000003','00','Request by Mr. Omair Ali 16-Aug-2024');</v>
      </c>
    </row>
    <row r="102" spans="1:8" ht="135" x14ac:dyDescent="0.25">
      <c r="A102" s="1" t="s">
        <v>103</v>
      </c>
      <c r="B102" s="1" t="s">
        <v>260</v>
      </c>
      <c r="C102" s="2">
        <v>56072</v>
      </c>
      <c r="D102" s="10">
        <f t="shared" si="5"/>
        <v>56072</v>
      </c>
      <c r="E102" s="9" t="s">
        <v>301</v>
      </c>
      <c r="F102" s="11" t="str">
        <f t="shared" si="4"/>
        <v>insert into ins_premium_det (premium_rcv_code,assorted_code, rec_amount,premium_rcv_detail_code,remaining_amt, payrec, mode_code,coinsurance_code,class_cd,it_remarks) values</v>
      </c>
      <c r="G102" s="12" t="str">
        <f t="shared" si="6"/>
        <v>('14Aug240007','050000665260','56072',(select max(to_number(i.premium_rcv_detail_code))+1
from ins_premium_det i),'56072','56072','02', '11000003','00','Request by Mr. Omair Ali 16-Aug-2024');</v>
      </c>
      <c r="H102" s="13" t="str">
        <f t="shared" si="7"/>
        <v>insert into ins_premium_det (premium_rcv_code,assorted_code, rec_amount,premium_rcv_detail_code,remaining_amt, payrec, mode_code,coinsurance_code,class_cd,it_remarks) values('14Aug240007','050000665260','56072',(select max(to_number(i.premium_rcv_detail_code))+1
from ins_premium_det i),'56072','56072','02', '11000003','00','Request by Mr. Omair Ali 16-Aug-2024');</v>
      </c>
    </row>
    <row r="103" spans="1:8" ht="135" x14ac:dyDescent="0.25">
      <c r="A103" s="1" t="s">
        <v>104</v>
      </c>
      <c r="B103" s="1" t="s">
        <v>261</v>
      </c>
      <c r="C103" s="2">
        <v>31774</v>
      </c>
      <c r="D103" s="10">
        <f t="shared" si="5"/>
        <v>31774</v>
      </c>
      <c r="E103" s="9" t="s">
        <v>301</v>
      </c>
      <c r="F103" s="11" t="str">
        <f t="shared" si="4"/>
        <v>insert into ins_premium_det (premium_rcv_code,assorted_code, rec_amount,premium_rcv_detail_code,remaining_amt, payrec, mode_code,coinsurance_code,class_cd,it_remarks) values</v>
      </c>
      <c r="G103" s="12" t="str">
        <f t="shared" si="6"/>
        <v>('14Aug240007','050000665985','31774',(select max(to_number(i.premium_rcv_detail_code))+1
from ins_premium_det i),'31774','31774','02', '11000003','00','Request by Mr. Omair Ali 16-Aug-2024');</v>
      </c>
      <c r="H103" s="13" t="str">
        <f t="shared" si="7"/>
        <v>insert into ins_premium_det (premium_rcv_code,assorted_code, rec_amount,premium_rcv_detail_code,remaining_amt, payrec, mode_code,coinsurance_code,class_cd,it_remarks) values('14Aug240007','050000665985','31774',(select max(to_number(i.premium_rcv_detail_code))+1
from ins_premium_det i),'31774','31774','02', '11000003','00','Request by Mr. Omair Ali 16-Aug-2024');</v>
      </c>
    </row>
    <row r="104" spans="1:8" ht="135" x14ac:dyDescent="0.25">
      <c r="A104" s="1" t="s">
        <v>105</v>
      </c>
      <c r="B104" s="1" t="s">
        <v>262</v>
      </c>
      <c r="C104" s="2">
        <v>1000</v>
      </c>
      <c r="D104" s="10">
        <f t="shared" si="5"/>
        <v>1000</v>
      </c>
      <c r="E104" s="9" t="s">
        <v>301</v>
      </c>
      <c r="F104" s="11" t="str">
        <f t="shared" si="4"/>
        <v>insert into ins_premium_det (premium_rcv_code,assorted_code, rec_amount,premium_rcv_detail_code,remaining_amt, payrec, mode_code,coinsurance_code,class_cd,it_remarks) values</v>
      </c>
      <c r="G104" s="12" t="str">
        <f t="shared" si="6"/>
        <v>('14Aug240007','050000667069','1000',(select max(to_number(i.premium_rcv_detail_code))+1
from ins_premium_det i),'1000','1000','02', '11000003','00','Request by Mr. Omair Ali 16-Aug-2024');</v>
      </c>
      <c r="H104" s="13" t="str">
        <f t="shared" si="7"/>
        <v>insert into ins_premium_det (premium_rcv_code,assorted_code, rec_amount,premium_rcv_detail_code,remaining_amt, payrec, mode_code,coinsurance_code,class_cd,it_remarks) values('14Aug240007','050000667069','1000',(select max(to_number(i.premium_rcv_detail_code))+1
from ins_premium_det i),'1000','1000','02', '11000003','00','Request by Mr. Omair Ali 16-Aug-2024');</v>
      </c>
    </row>
    <row r="105" spans="1:8" ht="135" x14ac:dyDescent="0.25">
      <c r="A105" s="1" t="s">
        <v>106</v>
      </c>
      <c r="B105" s="1" t="s">
        <v>263</v>
      </c>
      <c r="C105" s="2">
        <v>42586</v>
      </c>
      <c r="D105" s="10">
        <f t="shared" si="5"/>
        <v>42586</v>
      </c>
      <c r="E105" s="9" t="s">
        <v>301</v>
      </c>
      <c r="F105" s="11" t="str">
        <f t="shared" si="4"/>
        <v>insert into ins_premium_det (premium_rcv_code,assorted_code, rec_amount,premium_rcv_detail_code,remaining_amt, payrec, mode_code,coinsurance_code,class_cd,it_remarks) values</v>
      </c>
      <c r="G105" s="12" t="str">
        <f t="shared" si="6"/>
        <v>('14Aug240007','050000668526','42586',(select max(to_number(i.premium_rcv_detail_code))+1
from ins_premium_det i),'42586','42586','02', '11000003','00','Request by Mr. Omair Ali 16-Aug-2024');</v>
      </c>
      <c r="H105" s="13" t="str">
        <f t="shared" si="7"/>
        <v>insert into ins_premium_det (premium_rcv_code,assorted_code, rec_amount,premium_rcv_detail_code,remaining_amt, payrec, mode_code,coinsurance_code,class_cd,it_remarks) values('14Aug240007','050000668526','42586',(select max(to_number(i.premium_rcv_detail_code))+1
from ins_premium_det i),'42586','42586','02', '11000003','00','Request by Mr. Omair Ali 16-Aug-2024');</v>
      </c>
    </row>
    <row r="106" spans="1:8" ht="135" x14ac:dyDescent="0.25">
      <c r="A106" s="1" t="s">
        <v>107</v>
      </c>
      <c r="B106" s="1" t="s">
        <v>264</v>
      </c>
      <c r="C106" s="2">
        <v>-184686</v>
      </c>
      <c r="D106" s="10">
        <f t="shared" si="5"/>
        <v>-184686</v>
      </c>
      <c r="E106" s="9" t="s">
        <v>301</v>
      </c>
      <c r="F106" s="11" t="str">
        <f t="shared" si="4"/>
        <v>insert into ins_premium_det (premium_rcv_code,assorted_code, rec_amount,premium_rcv_detail_code,remaining_amt, payrec, mode_code,coinsurance_code,class_cd,it_remarks) values</v>
      </c>
      <c r="G106" s="12" t="str">
        <f t="shared" si="6"/>
        <v>('14Aug240007','050000668889','-184686',(select max(to_number(i.premium_rcv_detail_code))+1
from ins_premium_det i),'-184686','-184686','02', '11000003','00','Request by Mr. Omair Ali 16-Aug-2024');</v>
      </c>
      <c r="H106" s="13" t="str">
        <f t="shared" si="7"/>
        <v>insert into ins_premium_det (premium_rcv_code,assorted_code, rec_amount,premium_rcv_detail_code,remaining_amt, payrec, mode_code,coinsurance_code,class_cd,it_remarks) values('14Aug240007','050000668889','-184686',(select max(to_number(i.premium_rcv_detail_code))+1
from ins_premium_det i),'-184686','-184686','02', '11000003','00','Request by Mr. Omair Ali 16-Aug-2024');</v>
      </c>
    </row>
    <row r="107" spans="1:8" ht="135" x14ac:dyDescent="0.25">
      <c r="A107" s="1" t="s">
        <v>108</v>
      </c>
      <c r="B107" s="1" t="s">
        <v>265</v>
      </c>
      <c r="C107" s="2">
        <v>-4180</v>
      </c>
      <c r="D107" s="10">
        <f t="shared" si="5"/>
        <v>-4180</v>
      </c>
      <c r="E107" s="9" t="s">
        <v>301</v>
      </c>
      <c r="F107" s="11" t="str">
        <f t="shared" si="4"/>
        <v>insert into ins_premium_det (premium_rcv_code,assorted_code, rec_amount,premium_rcv_detail_code,remaining_amt, payrec, mode_code,coinsurance_code,class_cd,it_remarks) values</v>
      </c>
      <c r="G107" s="12" t="str">
        <f t="shared" si="6"/>
        <v>('14Aug240007','050000668935','-4180',(select max(to_number(i.premium_rcv_detail_code))+1
from ins_premium_det i),'-4180','-4180','02', '11000003','00','Request by Mr. Omair Ali 16-Aug-2024');</v>
      </c>
      <c r="H107" s="13" t="str">
        <f t="shared" si="7"/>
        <v>insert into ins_premium_det (premium_rcv_code,assorted_code, rec_amount,premium_rcv_detail_code,remaining_amt, payrec, mode_code,coinsurance_code,class_cd,it_remarks) values('14Aug240007','050000668935','-4180',(select max(to_number(i.premium_rcv_detail_code))+1
from ins_premium_det i),'-4180','-4180','02', '11000003','00','Request by Mr. Omair Ali 16-Aug-2024');</v>
      </c>
    </row>
    <row r="108" spans="1:8" ht="135" x14ac:dyDescent="0.25">
      <c r="A108" s="1" t="s">
        <v>109</v>
      </c>
      <c r="B108" s="1" t="s">
        <v>266</v>
      </c>
      <c r="C108" s="2">
        <v>8862</v>
      </c>
      <c r="D108" s="10">
        <f t="shared" si="5"/>
        <v>8862</v>
      </c>
      <c r="E108" s="9" t="s">
        <v>301</v>
      </c>
      <c r="F108" s="11" t="str">
        <f t="shared" si="4"/>
        <v>insert into ins_premium_det (premium_rcv_code,assorted_code, rec_amount,premium_rcv_detail_code,remaining_amt, payrec, mode_code,coinsurance_code,class_cd,it_remarks) values</v>
      </c>
      <c r="G108" s="12" t="str">
        <f t="shared" si="6"/>
        <v>('14Aug240007','050000668963','8862',(select max(to_number(i.premium_rcv_detail_code))+1
from ins_premium_det i),'8862','8862','02', '11000003','00','Request by Mr. Omair Ali 16-Aug-2024');</v>
      </c>
      <c r="H108" s="13" t="str">
        <f t="shared" si="7"/>
        <v>insert into ins_premium_det (premium_rcv_code,assorted_code, rec_amount,premium_rcv_detail_code,remaining_amt, payrec, mode_code,coinsurance_code,class_cd,it_remarks) values('14Aug240007','050000668963','8862',(select max(to_number(i.premium_rcv_detail_code))+1
from ins_premium_det i),'8862','8862','02', '11000003','00','Request by Mr. Omair Ali 16-Aug-2024');</v>
      </c>
    </row>
    <row r="109" spans="1:8" ht="135" x14ac:dyDescent="0.25">
      <c r="A109" s="1" t="s">
        <v>110</v>
      </c>
      <c r="B109" s="1" t="s">
        <v>267</v>
      </c>
      <c r="C109" s="2">
        <v>10930</v>
      </c>
      <c r="D109" s="10">
        <f t="shared" si="5"/>
        <v>10930</v>
      </c>
      <c r="E109" s="9" t="s">
        <v>301</v>
      </c>
      <c r="F109" s="11" t="str">
        <f t="shared" si="4"/>
        <v>insert into ins_premium_det (premium_rcv_code,assorted_code, rec_amount,premium_rcv_detail_code,remaining_amt, payrec, mode_code,coinsurance_code,class_cd,it_remarks) values</v>
      </c>
      <c r="G109" s="12" t="str">
        <f t="shared" si="6"/>
        <v>('14Aug240007','050000668965','10930',(select max(to_number(i.premium_rcv_detail_code))+1
from ins_premium_det i),'10930','10930','02', '11000003','00','Request by Mr. Omair Ali 16-Aug-2024');</v>
      </c>
      <c r="H109" s="13" t="str">
        <f t="shared" si="7"/>
        <v>insert into ins_premium_det (premium_rcv_code,assorted_code, rec_amount,premium_rcv_detail_code,remaining_amt, payrec, mode_code,coinsurance_code,class_cd,it_remarks) values('14Aug240007','050000668965','10930',(select max(to_number(i.premium_rcv_detail_code))+1
from ins_premium_det i),'10930','10930','02', '11000003','00','Request by Mr. Omair Ali 16-Aug-2024');</v>
      </c>
    </row>
    <row r="110" spans="1:8" ht="135" x14ac:dyDescent="0.25">
      <c r="A110" s="1" t="s">
        <v>111</v>
      </c>
      <c r="B110" s="1" t="s">
        <v>268</v>
      </c>
      <c r="C110" s="2">
        <v>-6682</v>
      </c>
      <c r="D110" s="10">
        <f t="shared" si="5"/>
        <v>-6682</v>
      </c>
      <c r="E110" s="9" t="s">
        <v>301</v>
      </c>
      <c r="F110" s="11" t="str">
        <f t="shared" si="4"/>
        <v>insert into ins_premium_det (premium_rcv_code,assorted_code, rec_amount,premium_rcv_detail_code,remaining_amt, payrec, mode_code,coinsurance_code,class_cd,it_remarks) values</v>
      </c>
      <c r="G110" s="12" t="str">
        <f t="shared" si="6"/>
        <v>('14Aug240007','050000669989','-6682',(select max(to_number(i.premium_rcv_detail_code))+1
from ins_premium_det i),'-6682','-6682','02', '11000003','00','Request by Mr. Omair Ali 16-Aug-2024');</v>
      </c>
      <c r="H110" s="13" t="str">
        <f t="shared" si="7"/>
        <v>insert into ins_premium_det (premium_rcv_code,assorted_code, rec_amount,premium_rcv_detail_code,remaining_amt, payrec, mode_code,coinsurance_code,class_cd,it_remarks) values('14Aug240007','050000669989','-6682',(select max(to_number(i.premium_rcv_detail_code))+1
from ins_premium_det i),'-6682','-6682','02', '11000003','00','Request by Mr. Omair Ali 16-Aug-2024');</v>
      </c>
    </row>
    <row r="111" spans="1:8" ht="135" x14ac:dyDescent="0.25">
      <c r="A111" s="1" t="s">
        <v>112</v>
      </c>
      <c r="B111" s="1" t="s">
        <v>269</v>
      </c>
      <c r="C111" s="2">
        <v>185878</v>
      </c>
      <c r="D111" s="10">
        <f t="shared" si="5"/>
        <v>185878</v>
      </c>
      <c r="E111" s="9" t="s">
        <v>301</v>
      </c>
      <c r="F111" s="11" t="str">
        <f t="shared" si="4"/>
        <v>insert into ins_premium_det (premium_rcv_code,assorted_code, rec_amount,premium_rcv_detail_code,remaining_amt, payrec, mode_code,coinsurance_code,class_cd,it_remarks) values</v>
      </c>
      <c r="G111" s="12" t="str">
        <f t="shared" si="6"/>
        <v>('14Aug240007','050000670094','185878',(select max(to_number(i.premium_rcv_detail_code))+1
from ins_premium_det i),'185878','185878','02', '11000003','00','Request by Mr. Omair Ali 16-Aug-2024');</v>
      </c>
      <c r="H111" s="13" t="str">
        <f t="shared" si="7"/>
        <v>insert into ins_premium_det (premium_rcv_code,assorted_code, rec_amount,premium_rcv_detail_code,remaining_amt, payrec, mode_code,coinsurance_code,class_cd,it_remarks) values('14Aug240007','050000670094','185878',(select max(to_number(i.premium_rcv_detail_code))+1
from ins_premium_det i),'185878','185878','02', '11000003','00','Request by Mr. Omair Ali 16-Aug-2024');</v>
      </c>
    </row>
    <row r="112" spans="1:8" ht="135" x14ac:dyDescent="0.25">
      <c r="A112" s="1" t="s">
        <v>113</v>
      </c>
      <c r="B112" s="1" t="s">
        <v>270</v>
      </c>
      <c r="C112" s="2">
        <v>35215</v>
      </c>
      <c r="D112" s="10">
        <f t="shared" si="5"/>
        <v>35215</v>
      </c>
      <c r="E112" s="9" t="s">
        <v>301</v>
      </c>
      <c r="F112" s="11" t="str">
        <f t="shared" si="4"/>
        <v>insert into ins_premium_det (premium_rcv_code,assorted_code, rec_amount,premium_rcv_detail_code,remaining_amt, payrec, mode_code,coinsurance_code,class_cd,it_remarks) values</v>
      </c>
      <c r="G112" s="12" t="str">
        <f t="shared" si="6"/>
        <v>('14Aug240007','050000675255','35215',(select max(to_number(i.premium_rcv_detail_code))+1
from ins_premium_det i),'35215','35215','02', '11000003','00','Request by Mr. Omair Ali 16-Aug-2024');</v>
      </c>
      <c r="H112" s="13" t="str">
        <f t="shared" si="7"/>
        <v>insert into ins_premium_det (premium_rcv_code,assorted_code, rec_amount,premium_rcv_detail_code,remaining_amt, payrec, mode_code,coinsurance_code,class_cd,it_remarks) values('14Aug240007','050000675255','35215',(select max(to_number(i.premium_rcv_detail_code))+1
from ins_premium_det i),'35215','35215','02', '11000003','00','Request by Mr. Omair Ali 16-Aug-2024');</v>
      </c>
    </row>
    <row r="113" spans="1:8" ht="135" x14ac:dyDescent="0.25">
      <c r="A113" s="1" t="s">
        <v>114</v>
      </c>
      <c r="B113" s="1" t="s">
        <v>271</v>
      </c>
      <c r="C113" s="2">
        <v>21695</v>
      </c>
      <c r="D113" s="10">
        <f t="shared" si="5"/>
        <v>21695</v>
      </c>
      <c r="E113" s="9" t="s">
        <v>301</v>
      </c>
      <c r="F113" s="11" t="str">
        <f t="shared" si="4"/>
        <v>insert into ins_premium_det (premium_rcv_code,assorted_code, rec_amount,premium_rcv_detail_code,remaining_amt, payrec, mode_code,coinsurance_code,class_cd,it_remarks) values</v>
      </c>
      <c r="G113" s="12" t="str">
        <f t="shared" si="6"/>
        <v>('14Aug240007','050000676782','21695',(select max(to_number(i.premium_rcv_detail_code))+1
from ins_premium_det i),'21695','21695','02', '11000003','00','Request by Mr. Omair Ali 16-Aug-2024');</v>
      </c>
      <c r="H113" s="13" t="str">
        <f t="shared" si="7"/>
        <v>insert into ins_premium_det (premium_rcv_code,assorted_code, rec_amount,premium_rcv_detail_code,remaining_amt, payrec, mode_code,coinsurance_code,class_cd,it_remarks) values('14Aug240007','050000676782','21695',(select max(to_number(i.premium_rcv_detail_code))+1
from ins_premium_det i),'21695','21695','02', '11000003','00','Request by Mr. Omair Ali 16-Aug-2024');</v>
      </c>
    </row>
    <row r="114" spans="1:8" ht="135" x14ac:dyDescent="0.25">
      <c r="A114" s="1" t="s">
        <v>115</v>
      </c>
      <c r="B114" s="1" t="s">
        <v>272</v>
      </c>
      <c r="C114" s="2">
        <v>55160</v>
      </c>
      <c r="D114" s="10">
        <f t="shared" si="5"/>
        <v>55160</v>
      </c>
      <c r="E114" s="9" t="s">
        <v>301</v>
      </c>
      <c r="F114" s="11" t="str">
        <f t="shared" si="4"/>
        <v>insert into ins_premium_det (premium_rcv_code,assorted_code, rec_amount,premium_rcv_detail_code,remaining_amt, payrec, mode_code,coinsurance_code,class_cd,it_remarks) values</v>
      </c>
      <c r="G114" s="12" t="str">
        <f t="shared" si="6"/>
        <v>('14Aug240007','050000677500','55160',(select max(to_number(i.premium_rcv_detail_code))+1
from ins_premium_det i),'55160','55160','02', '11000003','00','Request by Mr. Omair Ali 16-Aug-2024');</v>
      </c>
      <c r="H114" s="13" t="str">
        <f t="shared" si="7"/>
        <v>insert into ins_premium_det (premium_rcv_code,assorted_code, rec_amount,premium_rcv_detail_code,remaining_amt, payrec, mode_code,coinsurance_code,class_cd,it_remarks) values('14Aug240007','050000677500','55160',(select max(to_number(i.premium_rcv_detail_code))+1
from ins_premium_det i),'55160','55160','02', '11000003','00','Request by Mr. Omair Ali 16-Aug-2024');</v>
      </c>
    </row>
    <row r="115" spans="1:8" ht="135" x14ac:dyDescent="0.25">
      <c r="A115" s="1" t="s">
        <v>116</v>
      </c>
      <c r="B115" s="1" t="s">
        <v>273</v>
      </c>
      <c r="C115" s="2">
        <v>16449</v>
      </c>
      <c r="D115" s="10">
        <f t="shared" si="5"/>
        <v>16449</v>
      </c>
      <c r="E115" s="9" t="s">
        <v>301</v>
      </c>
      <c r="F115" s="11" t="str">
        <f t="shared" si="4"/>
        <v>insert into ins_premium_det (premium_rcv_code,assorted_code, rec_amount,premium_rcv_detail_code,remaining_amt, payrec, mode_code,coinsurance_code,class_cd,it_remarks) values</v>
      </c>
      <c r="G115" s="12" t="str">
        <f t="shared" si="6"/>
        <v>('14Aug240007','050000678674','16449',(select max(to_number(i.premium_rcv_detail_code))+1
from ins_premium_det i),'16449','16449','02', '11000003','00','Request by Mr. Omair Ali 16-Aug-2024');</v>
      </c>
      <c r="H115" s="13" t="str">
        <f t="shared" si="7"/>
        <v>insert into ins_premium_det (premium_rcv_code,assorted_code, rec_amount,premium_rcv_detail_code,remaining_amt, payrec, mode_code,coinsurance_code,class_cd,it_remarks) values('14Aug240007','050000678674','16449',(select max(to_number(i.premium_rcv_detail_code))+1
from ins_premium_det i),'16449','16449','02', '11000003','00','Request by Mr. Omair Ali 16-Aug-2024');</v>
      </c>
    </row>
    <row r="116" spans="1:8" ht="135" x14ac:dyDescent="0.25">
      <c r="A116" s="1" t="s">
        <v>117</v>
      </c>
      <c r="B116" s="1" t="s">
        <v>274</v>
      </c>
      <c r="C116" s="2">
        <v>14178</v>
      </c>
      <c r="D116" s="10">
        <f t="shared" si="5"/>
        <v>14178</v>
      </c>
      <c r="E116" s="9" t="s">
        <v>301</v>
      </c>
      <c r="F116" s="11" t="str">
        <f t="shared" si="4"/>
        <v>insert into ins_premium_det (premium_rcv_code,assorted_code, rec_amount,premium_rcv_detail_code,remaining_amt, payrec, mode_code,coinsurance_code,class_cd,it_remarks) values</v>
      </c>
      <c r="G116" s="12" t="str">
        <f t="shared" si="6"/>
        <v>('14Aug240007','050000679558','14178',(select max(to_number(i.premium_rcv_detail_code))+1
from ins_premium_det i),'14178','14178','02', '11000003','00','Request by Mr. Omair Ali 16-Aug-2024');</v>
      </c>
      <c r="H116" s="13" t="str">
        <f t="shared" si="7"/>
        <v>insert into ins_premium_det (premium_rcv_code,assorted_code, rec_amount,premium_rcv_detail_code,remaining_amt, payrec, mode_code,coinsurance_code,class_cd,it_remarks) values('14Aug240007','050000679558','14178',(select max(to_number(i.premium_rcv_detail_code))+1
from ins_premium_det i),'14178','14178','02', '11000003','00','Request by Mr. Omair Ali 16-Aug-2024');</v>
      </c>
    </row>
    <row r="117" spans="1:8" ht="135" x14ac:dyDescent="0.25">
      <c r="A117" s="1" t="s">
        <v>118</v>
      </c>
      <c r="B117" s="1" t="s">
        <v>275</v>
      </c>
      <c r="C117" s="2">
        <v>16225</v>
      </c>
      <c r="D117" s="10">
        <f t="shared" si="5"/>
        <v>16225</v>
      </c>
      <c r="E117" s="9" t="s">
        <v>301</v>
      </c>
      <c r="F117" s="11" t="str">
        <f t="shared" si="4"/>
        <v>insert into ins_premium_det (premium_rcv_code,assorted_code, rec_amount,premium_rcv_detail_code,remaining_amt, payrec, mode_code,coinsurance_code,class_cd,it_remarks) values</v>
      </c>
      <c r="G117" s="12" t="str">
        <f t="shared" si="6"/>
        <v>('14Aug240007','050000680313','16225',(select max(to_number(i.premium_rcv_detail_code))+1
from ins_premium_det i),'16225','16225','02', '11000003','00','Request by Mr. Omair Ali 16-Aug-2024');</v>
      </c>
      <c r="H117" s="13" t="str">
        <f t="shared" si="7"/>
        <v>insert into ins_premium_det (premium_rcv_code,assorted_code, rec_amount,premium_rcv_detail_code,remaining_amt, payrec, mode_code,coinsurance_code,class_cd,it_remarks) values('14Aug240007','050000680313','16225',(select max(to_number(i.premium_rcv_detail_code))+1
from ins_premium_det i),'16225','16225','02', '11000003','00','Request by Mr. Omair Ali 16-Aug-2024');</v>
      </c>
    </row>
    <row r="118" spans="1:8" ht="135" x14ac:dyDescent="0.25">
      <c r="A118" s="1" t="s">
        <v>119</v>
      </c>
      <c r="B118" s="1" t="s">
        <v>276</v>
      </c>
      <c r="C118" s="2">
        <v>-13046</v>
      </c>
      <c r="D118" s="10">
        <f t="shared" si="5"/>
        <v>-13046</v>
      </c>
      <c r="E118" s="9" t="s">
        <v>301</v>
      </c>
      <c r="F118" s="11" t="str">
        <f t="shared" si="4"/>
        <v>insert into ins_premium_det (premium_rcv_code,assorted_code, rec_amount,premium_rcv_detail_code,remaining_amt, payrec, mode_code,coinsurance_code,class_cd,it_remarks) values</v>
      </c>
      <c r="G118" s="12" t="str">
        <f t="shared" si="6"/>
        <v>('14Aug240007','050000681036','-13046',(select max(to_number(i.premium_rcv_detail_code))+1
from ins_premium_det i),'-13046','-13046','02', '11000003','00','Request by Mr. Omair Ali 16-Aug-2024');</v>
      </c>
      <c r="H118" s="13" t="str">
        <f t="shared" si="7"/>
        <v>insert into ins_premium_det (premium_rcv_code,assorted_code, rec_amount,premium_rcv_detail_code,remaining_amt, payrec, mode_code,coinsurance_code,class_cd,it_remarks) values('14Aug240007','050000681036','-13046',(select max(to_number(i.premium_rcv_detail_code))+1
from ins_premium_det i),'-13046','-13046','02', '11000003','00','Request by Mr. Omair Ali 16-Aug-2024');</v>
      </c>
    </row>
    <row r="119" spans="1:8" ht="135" x14ac:dyDescent="0.25">
      <c r="A119" s="1" t="s">
        <v>120</v>
      </c>
      <c r="B119" s="1" t="s">
        <v>277</v>
      </c>
      <c r="C119" s="2">
        <v>25706</v>
      </c>
      <c r="D119" s="10">
        <f t="shared" si="5"/>
        <v>25706</v>
      </c>
      <c r="E119" s="9" t="s">
        <v>301</v>
      </c>
      <c r="F119" s="11" t="str">
        <f t="shared" si="4"/>
        <v>insert into ins_premium_det (premium_rcv_code,assorted_code, rec_amount,premium_rcv_detail_code,remaining_amt, payrec, mode_code,coinsurance_code,class_cd,it_remarks) values</v>
      </c>
      <c r="G119" s="12" t="str">
        <f t="shared" si="6"/>
        <v>('14Aug240007','050000681378','25706',(select max(to_number(i.premium_rcv_detail_code))+1
from ins_premium_det i),'25706','25706','02', '11000003','00','Request by Mr. Omair Ali 16-Aug-2024');</v>
      </c>
      <c r="H119" s="13" t="str">
        <f t="shared" si="7"/>
        <v>insert into ins_premium_det (premium_rcv_code,assorted_code, rec_amount,premium_rcv_detail_code,remaining_amt, payrec, mode_code,coinsurance_code,class_cd,it_remarks) values('14Aug240007','050000681378','25706',(select max(to_number(i.premium_rcv_detail_code))+1
from ins_premium_det i),'25706','25706','02', '11000003','00','Request by Mr. Omair Ali 16-Aug-2024');</v>
      </c>
    </row>
    <row r="120" spans="1:8" ht="135" x14ac:dyDescent="0.25">
      <c r="A120" s="1" t="s">
        <v>121</v>
      </c>
      <c r="B120" s="1" t="s">
        <v>278</v>
      </c>
      <c r="C120" s="2">
        <v>19143</v>
      </c>
      <c r="D120" s="10">
        <f t="shared" si="5"/>
        <v>19143</v>
      </c>
      <c r="E120" s="9" t="s">
        <v>301</v>
      </c>
      <c r="F120" s="11" t="str">
        <f t="shared" si="4"/>
        <v>insert into ins_premium_det (premium_rcv_code,assorted_code, rec_amount,premium_rcv_detail_code,remaining_amt, payrec, mode_code,coinsurance_code,class_cd,it_remarks) values</v>
      </c>
      <c r="G120" s="12" t="str">
        <f t="shared" si="6"/>
        <v>('14Aug240007','050000681426','19143',(select max(to_number(i.premium_rcv_detail_code))+1
from ins_premium_det i),'19143','19143','02', '11000003','00','Request by Mr. Omair Ali 16-Aug-2024');</v>
      </c>
      <c r="H120" s="13" t="str">
        <f t="shared" si="7"/>
        <v>insert into ins_premium_det (premium_rcv_code,assorted_code, rec_amount,premium_rcv_detail_code,remaining_amt, payrec, mode_code,coinsurance_code,class_cd,it_remarks) values('14Aug240007','050000681426','19143',(select max(to_number(i.premium_rcv_detail_code))+1
from ins_premium_det i),'19143','19143','02', '11000003','00','Request by Mr. Omair Ali 16-Aug-2024');</v>
      </c>
    </row>
    <row r="121" spans="1:8" ht="135" x14ac:dyDescent="0.25">
      <c r="A121" s="1" t="s">
        <v>122</v>
      </c>
      <c r="B121" s="1" t="s">
        <v>279</v>
      </c>
      <c r="C121" s="2">
        <v>11833</v>
      </c>
      <c r="D121" s="10">
        <f t="shared" si="5"/>
        <v>11833</v>
      </c>
      <c r="E121" s="9" t="s">
        <v>301</v>
      </c>
      <c r="F121" s="11" t="str">
        <f t="shared" si="4"/>
        <v>insert into ins_premium_det (premium_rcv_code,assorted_code, rec_amount,premium_rcv_detail_code,remaining_amt, payrec, mode_code,coinsurance_code,class_cd,it_remarks) values</v>
      </c>
      <c r="G121" s="12" t="str">
        <f t="shared" si="6"/>
        <v>('14Aug240007','050000681553','11833',(select max(to_number(i.premium_rcv_detail_code))+1
from ins_premium_det i),'11833','11833','02', '11000003','00','Request by Mr. Omair Ali 16-Aug-2024');</v>
      </c>
      <c r="H121" s="13" t="str">
        <f t="shared" si="7"/>
        <v>insert into ins_premium_det (premium_rcv_code,assorted_code, rec_amount,premium_rcv_detail_code,remaining_amt, payrec, mode_code,coinsurance_code,class_cd,it_remarks) values('14Aug240007','050000681553','11833',(select max(to_number(i.premium_rcv_detail_code))+1
from ins_premium_det i),'11833','11833','02', '11000003','00','Request by Mr. Omair Ali 16-Aug-2024');</v>
      </c>
    </row>
    <row r="122" spans="1:8" ht="135" x14ac:dyDescent="0.25">
      <c r="A122" s="1" t="s">
        <v>123</v>
      </c>
      <c r="B122" s="1" t="s">
        <v>280</v>
      </c>
      <c r="C122" s="2">
        <v>-179737</v>
      </c>
      <c r="D122" s="10">
        <f t="shared" si="5"/>
        <v>-179737</v>
      </c>
      <c r="E122" s="9" t="s">
        <v>301</v>
      </c>
      <c r="F122" s="11" t="str">
        <f t="shared" si="4"/>
        <v>insert into ins_premium_det (premium_rcv_code,assorted_code, rec_amount,premium_rcv_detail_code,remaining_amt, payrec, mode_code,coinsurance_code,class_cd,it_remarks) values</v>
      </c>
      <c r="G122" s="12" t="str">
        <f t="shared" si="6"/>
        <v>('14Aug240007','050000681577','-179737',(select max(to_number(i.premium_rcv_detail_code))+1
from ins_premium_det i),'-179737','-179737','02', '11000003','00','Request by Mr. Omair Ali 16-Aug-2024');</v>
      </c>
      <c r="H122" s="13" t="str">
        <f t="shared" si="7"/>
        <v>insert into ins_premium_det (premium_rcv_code,assorted_code, rec_amount,premium_rcv_detail_code,remaining_amt, payrec, mode_code,coinsurance_code,class_cd,it_remarks) values('14Aug240007','050000681577','-179737',(select max(to_number(i.premium_rcv_detail_code))+1
from ins_premium_det i),'-179737','-179737','02', '11000003','00','Request by Mr. Omair Ali 16-Aug-2024');</v>
      </c>
    </row>
    <row r="123" spans="1:8" ht="135" x14ac:dyDescent="0.25">
      <c r="A123" s="1" t="s">
        <v>124</v>
      </c>
      <c r="B123" s="1" t="s">
        <v>281</v>
      </c>
      <c r="C123" s="2">
        <v>21542</v>
      </c>
      <c r="D123" s="10">
        <f t="shared" si="5"/>
        <v>21542</v>
      </c>
      <c r="E123" s="9" t="s">
        <v>301</v>
      </c>
      <c r="F123" s="11" t="str">
        <f t="shared" si="4"/>
        <v>insert into ins_premium_det (premium_rcv_code,assorted_code, rec_amount,premium_rcv_detail_code,remaining_amt, payrec, mode_code,coinsurance_code,class_cd,it_remarks) values</v>
      </c>
      <c r="G123" s="12" t="str">
        <f t="shared" si="6"/>
        <v>('14Aug240007','050000681698','21542',(select max(to_number(i.premium_rcv_detail_code))+1
from ins_premium_det i),'21542','21542','02', '11000003','00','Request by Mr. Omair Ali 16-Aug-2024');</v>
      </c>
      <c r="H123" s="13" t="str">
        <f t="shared" si="7"/>
        <v>insert into ins_premium_det (premium_rcv_code,assorted_code, rec_amount,premium_rcv_detail_code,remaining_amt, payrec, mode_code,coinsurance_code,class_cd,it_remarks) values('14Aug240007','050000681698','21542',(select max(to_number(i.premium_rcv_detail_code))+1
from ins_premium_det i),'21542','21542','02', '11000003','00','Request by Mr. Omair Ali 16-Aug-2024');</v>
      </c>
    </row>
    <row r="124" spans="1:8" ht="135" x14ac:dyDescent="0.25">
      <c r="A124" s="1" t="s">
        <v>125</v>
      </c>
      <c r="B124" s="1" t="s">
        <v>282</v>
      </c>
      <c r="C124" s="2">
        <v>91998</v>
      </c>
      <c r="D124" s="10">
        <f t="shared" si="5"/>
        <v>91998</v>
      </c>
      <c r="E124" s="9" t="s">
        <v>301</v>
      </c>
      <c r="F124" s="11" t="str">
        <f t="shared" si="4"/>
        <v>insert into ins_premium_det (premium_rcv_code,assorted_code, rec_amount,premium_rcv_detail_code,remaining_amt, payrec, mode_code,coinsurance_code,class_cd,it_remarks) values</v>
      </c>
      <c r="G124" s="12" t="str">
        <f t="shared" si="6"/>
        <v>('14Aug240007','050000681886','91998',(select max(to_number(i.premium_rcv_detail_code))+1
from ins_premium_det i),'91998','91998','02', '11000003','00','Request by Mr. Omair Ali 16-Aug-2024');</v>
      </c>
      <c r="H124" s="13" t="str">
        <f t="shared" si="7"/>
        <v>insert into ins_premium_det (premium_rcv_code,assorted_code, rec_amount,premium_rcv_detail_code,remaining_amt, payrec, mode_code,coinsurance_code,class_cd,it_remarks) values('14Aug240007','050000681886','91998',(select max(to_number(i.premium_rcv_detail_code))+1
from ins_premium_det i),'91998','91998','02', '11000003','00','Request by Mr. Omair Ali 16-Aug-2024');</v>
      </c>
    </row>
    <row r="125" spans="1:8" ht="135" x14ac:dyDescent="0.25">
      <c r="A125" s="1" t="s">
        <v>126</v>
      </c>
      <c r="B125" s="1" t="s">
        <v>283</v>
      </c>
      <c r="C125" s="2">
        <v>48562</v>
      </c>
      <c r="D125" s="10">
        <f t="shared" si="5"/>
        <v>48562</v>
      </c>
      <c r="E125" s="9" t="s">
        <v>301</v>
      </c>
      <c r="F125" s="11" t="str">
        <f t="shared" si="4"/>
        <v>insert into ins_premium_det (premium_rcv_code,assorted_code, rec_amount,premium_rcv_detail_code,remaining_amt, payrec, mode_code,coinsurance_code,class_cd,it_remarks) values</v>
      </c>
      <c r="G125" s="12" t="str">
        <f t="shared" si="6"/>
        <v>('14Aug240007','050000682397','48562',(select max(to_number(i.premium_rcv_detail_code))+1
from ins_premium_det i),'48562','48562','02', '11000003','00','Request by Mr. Omair Ali 16-Aug-2024');</v>
      </c>
      <c r="H125" s="13" t="str">
        <f t="shared" si="7"/>
        <v>insert into ins_premium_det (premium_rcv_code,assorted_code, rec_amount,premium_rcv_detail_code,remaining_amt, payrec, mode_code,coinsurance_code,class_cd,it_remarks) values('14Aug240007','050000682397','48562',(select max(to_number(i.premium_rcv_detail_code))+1
from ins_premium_det i),'48562','48562','02', '11000003','00','Request by Mr. Omair Ali 16-Aug-2024');</v>
      </c>
    </row>
    <row r="126" spans="1:8" ht="135" x14ac:dyDescent="0.25">
      <c r="A126" s="1" t="s">
        <v>127</v>
      </c>
      <c r="B126" s="1" t="s">
        <v>284</v>
      </c>
      <c r="C126" s="2">
        <v>21220</v>
      </c>
      <c r="D126" s="10">
        <f t="shared" si="5"/>
        <v>21220</v>
      </c>
      <c r="E126" s="9" t="s">
        <v>301</v>
      </c>
      <c r="F126" s="11" t="str">
        <f t="shared" si="4"/>
        <v>insert into ins_premium_det (premium_rcv_code,assorted_code, rec_amount,premium_rcv_detail_code,remaining_amt, payrec, mode_code,coinsurance_code,class_cd,it_remarks) values</v>
      </c>
      <c r="G126" s="12" t="str">
        <f t="shared" si="6"/>
        <v>('14Aug240007','050000684230','21220',(select max(to_number(i.premium_rcv_detail_code))+1
from ins_premium_det i),'21220','21220','02', '11000003','00','Request by Mr. Omair Ali 16-Aug-2024');</v>
      </c>
      <c r="H126" s="13" t="str">
        <f t="shared" si="7"/>
        <v>insert into ins_premium_det (premium_rcv_code,assorted_code, rec_amount,premium_rcv_detail_code,remaining_amt, payrec, mode_code,coinsurance_code,class_cd,it_remarks) values('14Aug240007','050000684230','21220',(select max(to_number(i.premium_rcv_detail_code))+1
from ins_premium_det i),'21220','21220','02', '11000003','00','Request by Mr. Omair Ali 16-Aug-2024');</v>
      </c>
    </row>
    <row r="127" spans="1:8" ht="135" x14ac:dyDescent="0.25">
      <c r="A127" s="1" t="s">
        <v>128</v>
      </c>
      <c r="B127" s="1" t="s">
        <v>285</v>
      </c>
      <c r="C127" s="2">
        <v>61838</v>
      </c>
      <c r="D127" s="10">
        <f t="shared" si="5"/>
        <v>61838</v>
      </c>
      <c r="E127" s="9" t="s">
        <v>301</v>
      </c>
      <c r="F127" s="11" t="str">
        <f t="shared" si="4"/>
        <v>insert into ins_premium_det (premium_rcv_code,assorted_code, rec_amount,premium_rcv_detail_code,remaining_amt, payrec, mode_code,coinsurance_code,class_cd,it_remarks) values</v>
      </c>
      <c r="G127" s="12" t="str">
        <f t="shared" si="6"/>
        <v>('14Aug240007','050000687215','61838',(select max(to_number(i.premium_rcv_detail_code))+1
from ins_premium_det i),'61838','61838','02', '11000003','00','Request by Mr. Omair Ali 16-Aug-2024');</v>
      </c>
      <c r="H127" s="13" t="str">
        <f t="shared" si="7"/>
        <v>insert into ins_premium_det (premium_rcv_code,assorted_code, rec_amount,premium_rcv_detail_code,remaining_amt, payrec, mode_code,coinsurance_code,class_cd,it_remarks) values('14Aug240007','050000687215','61838',(select max(to_number(i.premium_rcv_detail_code))+1
from ins_premium_det i),'61838','61838','02', '11000003','00','Request by Mr. Omair Ali 16-Aug-2024');</v>
      </c>
    </row>
    <row r="128" spans="1:8" ht="135" x14ac:dyDescent="0.25">
      <c r="A128" s="1" t="s">
        <v>129</v>
      </c>
      <c r="B128" s="1" t="s">
        <v>286</v>
      </c>
      <c r="C128" s="2">
        <v>65619</v>
      </c>
      <c r="D128" s="10">
        <f t="shared" si="5"/>
        <v>65619</v>
      </c>
      <c r="E128" s="9" t="s">
        <v>301</v>
      </c>
      <c r="F128" s="11" t="str">
        <f t="shared" si="4"/>
        <v>insert into ins_premium_det (premium_rcv_code,assorted_code, rec_amount,premium_rcv_detail_code,remaining_amt, payrec, mode_code,coinsurance_code,class_cd,it_remarks) values</v>
      </c>
      <c r="G128" s="12" t="str">
        <f t="shared" si="6"/>
        <v>('14Aug240007','050000688133','65619',(select max(to_number(i.premium_rcv_detail_code))+1
from ins_premium_det i),'65619','65619','02', '11000003','00','Request by Mr. Omair Ali 16-Aug-2024');</v>
      </c>
      <c r="H128" s="13" t="str">
        <f t="shared" si="7"/>
        <v>insert into ins_premium_det (premium_rcv_code,assorted_code, rec_amount,premium_rcv_detail_code,remaining_amt, payrec, mode_code,coinsurance_code,class_cd,it_remarks) values('14Aug240007','050000688133','65619',(select max(to_number(i.premium_rcv_detail_code))+1
from ins_premium_det i),'65619','65619','02', '11000003','00','Request by Mr. Omair Ali 16-Aug-2024');</v>
      </c>
    </row>
    <row r="129" spans="1:8" ht="135" x14ac:dyDescent="0.25">
      <c r="A129" s="1" t="s">
        <v>130</v>
      </c>
      <c r="B129" s="1" t="s">
        <v>287</v>
      </c>
      <c r="C129" s="2">
        <v>2138</v>
      </c>
      <c r="D129" s="10">
        <f t="shared" si="5"/>
        <v>2138</v>
      </c>
      <c r="E129" s="9" t="s">
        <v>301</v>
      </c>
      <c r="F129" s="11" t="str">
        <f t="shared" si="4"/>
        <v>insert into ins_premium_det (premium_rcv_code,assorted_code, rec_amount,premium_rcv_detail_code,remaining_amt, payrec, mode_code,coinsurance_code,class_cd,it_remarks) values</v>
      </c>
      <c r="G129" s="12" t="str">
        <f t="shared" si="6"/>
        <v>('14Aug240007','050000688534','2138',(select max(to_number(i.premium_rcv_detail_code))+1
from ins_premium_det i),'2138','2138','02', '11000003','00','Request by Mr. Omair Ali 16-Aug-2024');</v>
      </c>
      <c r="H129" s="13" t="str">
        <f t="shared" si="7"/>
        <v>insert into ins_premium_det (premium_rcv_code,assorted_code, rec_amount,premium_rcv_detail_code,remaining_amt, payrec, mode_code,coinsurance_code,class_cd,it_remarks) values('14Aug240007','050000688534','2138',(select max(to_number(i.premium_rcv_detail_code))+1
from ins_premium_det i),'2138','2138','02', '11000003','00','Request by Mr. Omair Ali 16-Aug-2024');</v>
      </c>
    </row>
    <row r="130" spans="1:8" ht="135" x14ac:dyDescent="0.25">
      <c r="A130" s="1" t="s">
        <v>131</v>
      </c>
      <c r="B130" s="1" t="s">
        <v>288</v>
      </c>
      <c r="C130" s="2">
        <v>12390</v>
      </c>
      <c r="D130" s="10">
        <f t="shared" si="5"/>
        <v>12390</v>
      </c>
      <c r="E130" s="9" t="s">
        <v>301</v>
      </c>
      <c r="F130" s="11" t="str">
        <f t="shared" ref="F130:F142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2" t="str">
        <f t="shared" si="6"/>
        <v>('14Aug240007','050000688907','12390',(select max(to_number(i.premium_rcv_detail_code))+1
from ins_premium_det i),'12390','12390','02', '11000003','00','Request by Mr. Omair Ali 16-Aug-2024');</v>
      </c>
      <c r="H130" s="13" t="str">
        <f t="shared" si="7"/>
        <v>insert into ins_premium_det (premium_rcv_code,assorted_code, rec_amount,premium_rcv_detail_code,remaining_amt, payrec, mode_code,coinsurance_code,class_cd,it_remarks) values('14Aug240007','050000688907','12390',(select max(to_number(i.premium_rcv_detail_code))+1
from ins_premium_det i),'12390','12390','02', '11000003','00','Request by Mr. Omair Ali 16-Aug-2024');</v>
      </c>
    </row>
    <row r="131" spans="1:8" ht="135" x14ac:dyDescent="0.25">
      <c r="A131" s="1" t="s">
        <v>132</v>
      </c>
      <c r="B131" s="1" t="s">
        <v>289</v>
      </c>
      <c r="C131" s="2">
        <v>25647</v>
      </c>
      <c r="D131" s="10">
        <f t="shared" ref="D131:D142" si="9">ROUND(C131,0)</f>
        <v>25647</v>
      </c>
      <c r="E131" s="9" t="s">
        <v>301</v>
      </c>
      <c r="F131" s="11" t="str">
        <f t="shared" si="8"/>
        <v>insert into ins_premium_det (premium_rcv_code,assorted_code, rec_amount,premium_rcv_detail_code,remaining_amt, payrec, mode_code,coinsurance_code,class_cd,it_remarks) values</v>
      </c>
      <c r="G131" s="12" t="str">
        <f t="shared" ref="G131:G142" si="10">"('"&amp;E131&amp;"','"&amp;B131&amp;"','"&amp;D131&amp;"',(select max(to_number(i.premium_rcv_detail_code))+1
from ins_premium_det i),'"&amp;D131&amp;"','"&amp;D131&amp;"','02', '11000003','00','Request by Mr. Omair Ali 16-Aug-2024');"</f>
        <v>('14Aug240007','050000689729','25647',(select max(to_number(i.premium_rcv_detail_code))+1
from ins_premium_det i),'25647','25647','02', '11000003','00','Request by Mr. Omair Ali 16-Aug-2024');</v>
      </c>
      <c r="H131" s="13" t="str">
        <f t="shared" ref="H131:H142" si="11">F131&amp;G131</f>
        <v>insert into ins_premium_det (premium_rcv_code,assorted_code, rec_amount,premium_rcv_detail_code,remaining_amt, payrec, mode_code,coinsurance_code,class_cd,it_remarks) values('14Aug240007','050000689729','25647',(select max(to_number(i.premium_rcv_detail_code))+1
from ins_premium_det i),'25647','25647','02', '11000003','00','Request by Mr. Omair Ali 16-Aug-2024');</v>
      </c>
    </row>
    <row r="132" spans="1:8" ht="135" x14ac:dyDescent="0.25">
      <c r="A132" s="1" t="s">
        <v>133</v>
      </c>
      <c r="B132" s="1" t="s">
        <v>290</v>
      </c>
      <c r="C132" s="2">
        <v>29652</v>
      </c>
      <c r="D132" s="10">
        <f t="shared" si="9"/>
        <v>29652</v>
      </c>
      <c r="E132" s="9" t="s">
        <v>301</v>
      </c>
      <c r="F132" s="11" t="str">
        <f t="shared" si="8"/>
        <v>insert into ins_premium_det (premium_rcv_code,assorted_code, rec_amount,premium_rcv_detail_code,remaining_amt, payrec, mode_code,coinsurance_code,class_cd,it_remarks) values</v>
      </c>
      <c r="G132" s="12" t="str">
        <f t="shared" si="10"/>
        <v>('14Aug240007','050000690890','29652',(select max(to_number(i.premium_rcv_detail_code))+1
from ins_premium_det i),'29652','29652','02', '11000003','00','Request by Mr. Omair Ali 16-Aug-2024');</v>
      </c>
      <c r="H132" s="13" t="str">
        <f t="shared" si="11"/>
        <v>insert into ins_premium_det (premium_rcv_code,assorted_code, rec_amount,premium_rcv_detail_code,remaining_amt, payrec, mode_code,coinsurance_code,class_cd,it_remarks) values('14Aug240007','050000690890','29652',(select max(to_number(i.premium_rcv_detail_code))+1
from ins_premium_det i),'29652','29652','02', '11000003','00','Request by Mr. Omair Ali 16-Aug-2024');</v>
      </c>
    </row>
    <row r="133" spans="1:8" ht="135" x14ac:dyDescent="0.25">
      <c r="A133" s="1" t="s">
        <v>134</v>
      </c>
      <c r="B133" s="1" t="s">
        <v>291</v>
      </c>
      <c r="C133" s="2">
        <v>34386</v>
      </c>
      <c r="D133" s="10">
        <f t="shared" si="9"/>
        <v>34386</v>
      </c>
      <c r="E133" s="9" t="s">
        <v>301</v>
      </c>
      <c r="F133" s="11" t="str">
        <f t="shared" si="8"/>
        <v>insert into ins_premium_det (premium_rcv_code,assorted_code, rec_amount,premium_rcv_detail_code,remaining_amt, payrec, mode_code,coinsurance_code,class_cd,it_remarks) values</v>
      </c>
      <c r="G133" s="12" t="str">
        <f t="shared" si="10"/>
        <v>('14Aug240007','050000691129','34386',(select max(to_number(i.premium_rcv_detail_code))+1
from ins_premium_det i),'34386','34386','02', '11000003','00','Request by Mr. Omair Ali 16-Aug-2024');</v>
      </c>
      <c r="H133" s="13" t="str">
        <f t="shared" si="11"/>
        <v>insert into ins_premium_det (premium_rcv_code,assorted_code, rec_amount,premium_rcv_detail_code,remaining_amt, payrec, mode_code,coinsurance_code,class_cd,it_remarks) values('14Aug240007','050000691129','34386',(select max(to_number(i.premium_rcv_detail_code))+1
from ins_premium_det i),'34386','34386','02', '11000003','00','Request by Mr. Omair Ali 16-Aug-2024');</v>
      </c>
    </row>
    <row r="134" spans="1:8" ht="135" x14ac:dyDescent="0.25">
      <c r="A134" s="1" t="s">
        <v>135</v>
      </c>
      <c r="B134" s="1" t="s">
        <v>292</v>
      </c>
      <c r="C134" s="2">
        <v>18714</v>
      </c>
      <c r="D134" s="10">
        <f t="shared" si="9"/>
        <v>18714</v>
      </c>
      <c r="E134" s="9" t="s">
        <v>301</v>
      </c>
      <c r="F134" s="11" t="str">
        <f t="shared" si="8"/>
        <v>insert into ins_premium_det (premium_rcv_code,assorted_code, rec_amount,premium_rcv_detail_code,remaining_amt, payrec, mode_code,coinsurance_code,class_cd,it_remarks) values</v>
      </c>
      <c r="G134" s="12" t="str">
        <f t="shared" si="10"/>
        <v>('14Aug240007','050000691340','18714',(select max(to_number(i.premium_rcv_detail_code))+1
from ins_premium_det i),'18714','18714','02', '11000003','00','Request by Mr. Omair Ali 16-Aug-2024');</v>
      </c>
      <c r="H134" s="13" t="str">
        <f t="shared" si="11"/>
        <v>insert into ins_premium_det (premium_rcv_code,assorted_code, rec_amount,premium_rcv_detail_code,remaining_amt, payrec, mode_code,coinsurance_code,class_cd,it_remarks) values('14Aug240007','050000691340','18714',(select max(to_number(i.premium_rcv_detail_code))+1
from ins_premium_det i),'18714','18714','02', '11000003','00','Request by Mr. Omair Ali 16-Aug-2024');</v>
      </c>
    </row>
    <row r="135" spans="1:8" ht="135" x14ac:dyDescent="0.25">
      <c r="A135" s="1" t="s">
        <v>136</v>
      </c>
      <c r="B135" s="1" t="s">
        <v>293</v>
      </c>
      <c r="C135" s="2">
        <v>29003</v>
      </c>
      <c r="D135" s="10">
        <f t="shared" si="9"/>
        <v>29003</v>
      </c>
      <c r="E135" s="9" t="s">
        <v>301</v>
      </c>
      <c r="F135" s="11" t="str">
        <f t="shared" si="8"/>
        <v>insert into ins_premium_det (premium_rcv_code,assorted_code, rec_amount,premium_rcv_detail_code,remaining_amt, payrec, mode_code,coinsurance_code,class_cd,it_remarks) values</v>
      </c>
      <c r="G135" s="12" t="str">
        <f t="shared" si="10"/>
        <v>('14Aug240007','050000691575','29003',(select max(to_number(i.premium_rcv_detail_code))+1
from ins_premium_det i),'29003','29003','02', '11000003','00','Request by Mr. Omair Ali 16-Aug-2024');</v>
      </c>
      <c r="H135" s="13" t="str">
        <f t="shared" si="11"/>
        <v>insert into ins_premium_det (premium_rcv_code,assorted_code, rec_amount,premium_rcv_detail_code,remaining_amt, payrec, mode_code,coinsurance_code,class_cd,it_remarks) values('14Aug240007','050000691575','29003',(select max(to_number(i.premium_rcv_detail_code))+1
from ins_premium_det i),'29003','29003','02', '11000003','00','Request by Mr. Omair Ali 16-Aug-2024');</v>
      </c>
    </row>
    <row r="136" spans="1:8" ht="135" x14ac:dyDescent="0.25">
      <c r="A136" s="1" t="s">
        <v>137</v>
      </c>
      <c r="B136" s="1" t="s">
        <v>294</v>
      </c>
      <c r="C136" s="2">
        <v>14518</v>
      </c>
      <c r="D136" s="10">
        <f t="shared" si="9"/>
        <v>14518</v>
      </c>
      <c r="E136" s="9" t="s">
        <v>301</v>
      </c>
      <c r="F136" s="11" t="str">
        <f t="shared" si="8"/>
        <v>insert into ins_premium_det (premium_rcv_code,assorted_code, rec_amount,premium_rcv_detail_code,remaining_amt, payrec, mode_code,coinsurance_code,class_cd,it_remarks) values</v>
      </c>
      <c r="G136" s="12" t="str">
        <f t="shared" si="10"/>
        <v>('14Aug240007','050000692095','14518',(select max(to_number(i.premium_rcv_detail_code))+1
from ins_premium_det i),'14518','14518','02', '11000003','00','Request by Mr. Omair Ali 16-Aug-2024');</v>
      </c>
      <c r="H136" s="13" t="str">
        <f t="shared" si="11"/>
        <v>insert into ins_premium_det (premium_rcv_code,assorted_code, rec_amount,premium_rcv_detail_code,remaining_amt, payrec, mode_code,coinsurance_code,class_cd,it_remarks) values('14Aug240007','050000692095','14518',(select max(to_number(i.premium_rcv_detail_code))+1
from ins_premium_det i),'14518','14518','02', '11000003','00','Request by Mr. Omair Ali 16-Aug-2024');</v>
      </c>
    </row>
    <row r="137" spans="1:8" ht="135" x14ac:dyDescent="0.25">
      <c r="A137" s="1" t="s">
        <v>138</v>
      </c>
      <c r="B137" s="1" t="s">
        <v>295</v>
      </c>
      <c r="C137" s="2">
        <v>40682</v>
      </c>
      <c r="D137" s="10">
        <f t="shared" si="9"/>
        <v>40682</v>
      </c>
      <c r="E137" s="9" t="s">
        <v>301</v>
      </c>
      <c r="F137" s="11" t="str">
        <f t="shared" si="8"/>
        <v>insert into ins_premium_det (premium_rcv_code,assorted_code, rec_amount,premium_rcv_detail_code,remaining_amt, payrec, mode_code,coinsurance_code,class_cd,it_remarks) values</v>
      </c>
      <c r="G137" s="12" t="str">
        <f t="shared" si="10"/>
        <v>('14Aug240007','050000692252','40682',(select max(to_number(i.premium_rcv_detail_code))+1
from ins_premium_det i),'40682','40682','02', '11000003','00','Request by Mr. Omair Ali 16-Aug-2024');</v>
      </c>
      <c r="H137" s="13" t="str">
        <f t="shared" si="11"/>
        <v>insert into ins_premium_det (premium_rcv_code,assorted_code, rec_amount,premium_rcv_detail_code,remaining_amt, payrec, mode_code,coinsurance_code,class_cd,it_remarks) values('14Aug240007','050000692252','40682',(select max(to_number(i.premium_rcv_detail_code))+1
from ins_premium_det i),'40682','40682','02', '11000003','00','Request by Mr. Omair Ali 16-Aug-2024');</v>
      </c>
    </row>
    <row r="138" spans="1:8" ht="135" x14ac:dyDescent="0.25">
      <c r="A138" s="1" t="s">
        <v>139</v>
      </c>
      <c r="B138" s="1" t="s">
        <v>296</v>
      </c>
      <c r="C138" s="2">
        <v>-86864</v>
      </c>
      <c r="D138" s="10">
        <f t="shared" si="9"/>
        <v>-86864</v>
      </c>
      <c r="E138" s="9" t="s">
        <v>301</v>
      </c>
      <c r="F138" s="11" t="str">
        <f t="shared" si="8"/>
        <v>insert into ins_premium_det (premium_rcv_code,assorted_code, rec_amount,premium_rcv_detail_code,remaining_amt, payrec, mode_code,coinsurance_code,class_cd,it_remarks) values</v>
      </c>
      <c r="G138" s="12" t="str">
        <f t="shared" si="10"/>
        <v>('14Aug240007','050000692300','-86864',(select max(to_number(i.premium_rcv_detail_code))+1
from ins_premium_det i),'-86864','-86864','02', '11000003','00','Request by Mr. Omair Ali 16-Aug-2024');</v>
      </c>
      <c r="H138" s="13" t="str">
        <f t="shared" si="11"/>
        <v>insert into ins_premium_det (premium_rcv_code,assorted_code, rec_amount,premium_rcv_detail_code,remaining_amt, payrec, mode_code,coinsurance_code,class_cd,it_remarks) values('14Aug240007','050000692300','-86864',(select max(to_number(i.premium_rcv_detail_code))+1
from ins_premium_det i),'-86864','-86864','02', '11000003','00','Request by Mr. Omair Ali 16-Aug-2024');</v>
      </c>
    </row>
    <row r="139" spans="1:8" ht="135" x14ac:dyDescent="0.25">
      <c r="A139" s="1" t="s">
        <v>140</v>
      </c>
      <c r="B139" s="1" t="s">
        <v>297</v>
      </c>
      <c r="C139" s="2">
        <v>40327</v>
      </c>
      <c r="D139" s="10">
        <f t="shared" si="9"/>
        <v>40327</v>
      </c>
      <c r="E139" s="9" t="s">
        <v>301</v>
      </c>
      <c r="F139" s="11" t="str">
        <f t="shared" si="8"/>
        <v>insert into ins_premium_det (premium_rcv_code,assorted_code, rec_amount,premium_rcv_detail_code,remaining_amt, payrec, mode_code,coinsurance_code,class_cd,it_remarks) values</v>
      </c>
      <c r="G139" s="12" t="str">
        <f t="shared" si="10"/>
        <v>('14Aug240007','050000692418','40327',(select max(to_number(i.premium_rcv_detail_code))+1
from ins_premium_det i),'40327','40327','02', '11000003','00','Request by Mr. Omair Ali 16-Aug-2024');</v>
      </c>
      <c r="H139" s="13" t="str">
        <f t="shared" si="11"/>
        <v>insert into ins_premium_det (premium_rcv_code,assorted_code, rec_amount,premium_rcv_detail_code,remaining_amt, payrec, mode_code,coinsurance_code,class_cd,it_remarks) values('14Aug240007','050000692418','40327',(select max(to_number(i.premium_rcv_detail_code))+1
from ins_premium_det i),'40327','40327','02', '11000003','00','Request by Mr. Omair Ali 16-Aug-2024');</v>
      </c>
    </row>
    <row r="140" spans="1:8" ht="135" x14ac:dyDescent="0.25">
      <c r="A140" s="1" t="s">
        <v>141</v>
      </c>
      <c r="B140" s="1" t="s">
        <v>298</v>
      </c>
      <c r="C140" s="2">
        <v>18048</v>
      </c>
      <c r="D140" s="10">
        <f t="shared" si="9"/>
        <v>18048</v>
      </c>
      <c r="E140" s="9" t="s">
        <v>301</v>
      </c>
      <c r="F140" s="11" t="str">
        <f t="shared" si="8"/>
        <v>insert into ins_premium_det (premium_rcv_code,assorted_code, rec_amount,premium_rcv_detail_code,remaining_amt, payrec, mode_code,coinsurance_code,class_cd,it_remarks) values</v>
      </c>
      <c r="G140" s="12" t="str">
        <f t="shared" si="10"/>
        <v>('14Aug240007','050000693103','18048',(select max(to_number(i.premium_rcv_detail_code))+1
from ins_premium_det i),'18048','18048','02', '11000003','00','Request by Mr. Omair Ali 16-Aug-2024');</v>
      </c>
      <c r="H140" s="13" t="str">
        <f t="shared" si="11"/>
        <v>insert into ins_premium_det (premium_rcv_code,assorted_code, rec_amount,premium_rcv_detail_code,remaining_amt, payrec, mode_code,coinsurance_code,class_cd,it_remarks) values('14Aug240007','050000693103','18048',(select max(to_number(i.premium_rcv_detail_code))+1
from ins_premium_det i),'18048','18048','02', '11000003','00','Request by Mr. Omair Ali 16-Aug-2024');</v>
      </c>
    </row>
    <row r="141" spans="1:8" ht="135" x14ac:dyDescent="0.25">
      <c r="A141" s="1" t="s">
        <v>142</v>
      </c>
      <c r="B141" s="1" t="s">
        <v>299</v>
      </c>
      <c r="C141" s="2">
        <v>14178</v>
      </c>
      <c r="D141" s="10">
        <f t="shared" si="9"/>
        <v>14178</v>
      </c>
      <c r="E141" s="9" t="s">
        <v>301</v>
      </c>
      <c r="F141" s="11" t="str">
        <f t="shared" si="8"/>
        <v>insert into ins_premium_det (premium_rcv_code,assorted_code, rec_amount,premium_rcv_detail_code,remaining_amt, payrec, mode_code,coinsurance_code,class_cd,it_remarks) values</v>
      </c>
      <c r="G141" s="12" t="str">
        <f t="shared" si="10"/>
        <v>('14Aug240007','050000694778','14178',(select max(to_number(i.premium_rcv_detail_code))+1
from ins_premium_det i),'14178','14178','02', '11000003','00','Request by Mr. Omair Ali 16-Aug-2024');</v>
      </c>
      <c r="H141" s="13" t="str">
        <f t="shared" si="11"/>
        <v>insert into ins_premium_det (premium_rcv_code,assorted_code, rec_amount,premium_rcv_detail_code,remaining_amt, payrec, mode_code,coinsurance_code,class_cd,it_remarks) values('14Aug240007','050000694778','14178',(select max(to_number(i.premium_rcv_detail_code))+1
from ins_premium_det i),'14178','14178','02', '11000003','00','Request by Mr. Omair Ali 16-Aug-2024');</v>
      </c>
    </row>
    <row r="142" spans="1:8" ht="135" x14ac:dyDescent="0.25">
      <c r="A142" s="1" t="s">
        <v>143</v>
      </c>
      <c r="B142" s="1" t="s">
        <v>300</v>
      </c>
      <c r="C142" s="2">
        <v>-42138</v>
      </c>
      <c r="D142" s="10">
        <f t="shared" si="9"/>
        <v>-42138</v>
      </c>
      <c r="E142" s="9" t="s">
        <v>301</v>
      </c>
      <c r="F142" s="11" t="str">
        <f t="shared" si="8"/>
        <v>insert into ins_premium_det (premium_rcv_code,assorted_code, rec_amount,premium_rcv_detail_code,remaining_amt, payrec, mode_code,coinsurance_code,class_cd,it_remarks) values</v>
      </c>
      <c r="G142" s="12" t="str">
        <f t="shared" si="10"/>
        <v>('14Aug240007','050000778107','-42138',(select max(to_number(i.premium_rcv_detail_code))+1
from ins_premium_det i),'-42138','-42138','02', '11000003','00','Request by Mr. Omair Ali 16-Aug-2024');</v>
      </c>
      <c r="H142" s="13" t="str">
        <f t="shared" si="11"/>
        <v>insert into ins_premium_det (premium_rcv_code,assorted_code, rec_amount,premium_rcv_detail_code,remaining_amt, payrec, mode_code,coinsurance_code,class_cd,it_remarks) values('14Aug240007','050000778107','-42138',(select max(to_number(i.premium_rcv_detail_code))+1
from ins_premium_det i),'-42138','-42138','02', '11000003','00','Request by Mr. Omair Ali 16-Aug-2024');</v>
      </c>
    </row>
  </sheetData>
  <autoFilter ref="A1:H142" xr:uid="{6E43C218-568D-4084-A7BC-EBFCEA35399F}"/>
  <conditionalFormatting sqref="A1">
    <cfRule type="duplicateValues" dxfId="6" priority="6"/>
  </conditionalFormatting>
  <conditionalFormatting sqref="A2:B142">
    <cfRule type="duplicateValues" dxfId="5" priority="7"/>
    <cfRule type="duplicateValues" dxfId="4" priority="8"/>
    <cfRule type="duplicateValues" dxfId="3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4FD8-436F-4775-851B-347B29876271}">
  <dimension ref="A1:E141"/>
  <sheetViews>
    <sheetView workbookViewId="0">
      <selection activeCell="E1" sqref="E1"/>
    </sheetView>
  </sheetViews>
  <sheetFormatPr defaultRowHeight="15" x14ac:dyDescent="0.25"/>
  <cols>
    <col min="1" max="1" width="38.7109375" bestFit="1" customWidth="1"/>
  </cols>
  <sheetData>
    <row r="1" spans="1:5" x14ac:dyDescent="0.25">
      <c r="A1" s="1" t="s">
        <v>3</v>
      </c>
      <c r="B1" t="s">
        <v>147</v>
      </c>
      <c r="D1">
        <v>18441</v>
      </c>
      <c r="E1" t="str">
        <f>"ia.assorted_string like '%"&amp;D1&amp;B1&amp;"%' or"</f>
        <v>ia.assorted_string like '%18441-02-2023%' or</v>
      </c>
    </row>
    <row r="2" spans="1:5" x14ac:dyDescent="0.25">
      <c r="A2" s="1" t="s">
        <v>4</v>
      </c>
      <c r="B2" t="s">
        <v>147</v>
      </c>
      <c r="D2">
        <v>18449</v>
      </c>
      <c r="E2" t="str">
        <f t="shared" ref="E2:E65" si="0">"ia.assorted_string like '%"&amp;D2&amp;B2&amp;"%' or"</f>
        <v>ia.assorted_string like '%18449-02-2023%' or</v>
      </c>
    </row>
    <row r="3" spans="1:5" x14ac:dyDescent="0.25">
      <c r="A3" s="1" t="s">
        <v>5</v>
      </c>
      <c r="B3" t="s">
        <v>147</v>
      </c>
      <c r="D3">
        <v>18541</v>
      </c>
      <c r="E3" t="str">
        <f t="shared" si="0"/>
        <v>ia.assorted_string like '%18541-02-2023%' or</v>
      </c>
    </row>
    <row r="4" spans="1:5" x14ac:dyDescent="0.25">
      <c r="A4" s="1" t="s">
        <v>6</v>
      </c>
      <c r="B4" t="s">
        <v>147</v>
      </c>
      <c r="D4">
        <v>18607</v>
      </c>
      <c r="E4" t="str">
        <f t="shared" si="0"/>
        <v>ia.assorted_string like '%18607-02-2023%' or</v>
      </c>
    </row>
    <row r="5" spans="1:5" x14ac:dyDescent="0.25">
      <c r="A5" s="1" t="s">
        <v>7</v>
      </c>
      <c r="B5" t="s">
        <v>148</v>
      </c>
      <c r="D5">
        <v>18663</v>
      </c>
      <c r="E5" t="str">
        <f t="shared" si="0"/>
        <v>ia.assorted_string like '%18663-03-2023%' or</v>
      </c>
    </row>
    <row r="6" spans="1:5" x14ac:dyDescent="0.25">
      <c r="A6" s="1" t="s">
        <v>8</v>
      </c>
      <c r="B6" t="s">
        <v>148</v>
      </c>
      <c r="D6">
        <v>18693</v>
      </c>
      <c r="E6" t="str">
        <f t="shared" si="0"/>
        <v>ia.assorted_string like '%18693-03-2023%' or</v>
      </c>
    </row>
    <row r="7" spans="1:5" x14ac:dyDescent="0.25">
      <c r="A7" s="1" t="s">
        <v>9</v>
      </c>
      <c r="B7" t="s">
        <v>148</v>
      </c>
      <c r="D7">
        <v>18712</v>
      </c>
      <c r="E7" t="str">
        <f t="shared" si="0"/>
        <v>ia.assorted_string like '%18712-03-2023%' or</v>
      </c>
    </row>
    <row r="8" spans="1:5" x14ac:dyDescent="0.25">
      <c r="A8" s="1" t="s">
        <v>10</v>
      </c>
      <c r="B8" t="s">
        <v>148</v>
      </c>
      <c r="D8">
        <v>18744</v>
      </c>
      <c r="E8" t="str">
        <f t="shared" si="0"/>
        <v>ia.assorted_string like '%18744-03-2023%' or</v>
      </c>
    </row>
    <row r="9" spans="1:5" x14ac:dyDescent="0.25">
      <c r="A9" s="1" t="s">
        <v>11</v>
      </c>
      <c r="B9" t="s">
        <v>148</v>
      </c>
      <c r="D9">
        <v>18782</v>
      </c>
      <c r="E9" t="str">
        <f t="shared" si="0"/>
        <v>ia.assorted_string like '%18782-03-2023%' or</v>
      </c>
    </row>
    <row r="10" spans="1:5" x14ac:dyDescent="0.25">
      <c r="A10" s="1" t="s">
        <v>12</v>
      </c>
      <c r="B10" t="s">
        <v>148</v>
      </c>
      <c r="D10">
        <v>18802</v>
      </c>
      <c r="E10" t="str">
        <f t="shared" si="0"/>
        <v>ia.assorted_string like '%18802-03-2023%' or</v>
      </c>
    </row>
    <row r="11" spans="1:5" x14ac:dyDescent="0.25">
      <c r="A11" s="1" t="s">
        <v>13</v>
      </c>
      <c r="B11" t="s">
        <v>148</v>
      </c>
      <c r="D11">
        <v>18906</v>
      </c>
      <c r="E11" t="str">
        <f t="shared" si="0"/>
        <v>ia.assorted_string like '%18906-03-2023%' or</v>
      </c>
    </row>
    <row r="12" spans="1:5" x14ac:dyDescent="0.25">
      <c r="A12" s="1" t="s">
        <v>14</v>
      </c>
      <c r="B12" t="s">
        <v>148</v>
      </c>
      <c r="D12">
        <v>18936</v>
      </c>
      <c r="E12" t="str">
        <f t="shared" si="0"/>
        <v>ia.assorted_string like '%18936-03-2023%' or</v>
      </c>
    </row>
    <row r="13" spans="1:5" x14ac:dyDescent="0.25">
      <c r="A13" s="1" t="s">
        <v>15</v>
      </c>
      <c r="B13" t="s">
        <v>148</v>
      </c>
      <c r="D13">
        <v>18979</v>
      </c>
      <c r="E13" t="str">
        <f t="shared" si="0"/>
        <v>ia.assorted_string like '%18979-03-2023%' or</v>
      </c>
    </row>
    <row r="14" spans="1:5" x14ac:dyDescent="0.25">
      <c r="A14" s="1" t="s">
        <v>16</v>
      </c>
      <c r="B14" t="s">
        <v>148</v>
      </c>
      <c r="D14">
        <v>18997</v>
      </c>
      <c r="E14" t="str">
        <f t="shared" si="0"/>
        <v>ia.assorted_string like '%18997-03-2023%' or</v>
      </c>
    </row>
    <row r="15" spans="1:5" x14ac:dyDescent="0.25">
      <c r="A15" s="1" t="s">
        <v>17</v>
      </c>
      <c r="B15" t="s">
        <v>148</v>
      </c>
      <c r="D15">
        <v>19090</v>
      </c>
      <c r="E15" t="str">
        <f t="shared" si="0"/>
        <v>ia.assorted_string like '%19090-03-2023%' or</v>
      </c>
    </row>
    <row r="16" spans="1:5" x14ac:dyDescent="0.25">
      <c r="A16" s="1" t="s">
        <v>18</v>
      </c>
      <c r="B16" t="s">
        <v>149</v>
      </c>
      <c r="D16">
        <v>19164</v>
      </c>
      <c r="E16" t="str">
        <f t="shared" si="0"/>
        <v>ia.assorted_string like '%19164-04-2023%' or</v>
      </c>
    </row>
    <row r="17" spans="1:5" x14ac:dyDescent="0.25">
      <c r="A17" s="1" t="s">
        <v>19</v>
      </c>
      <c r="B17" t="s">
        <v>149</v>
      </c>
      <c r="D17">
        <v>19172</v>
      </c>
      <c r="E17" t="str">
        <f t="shared" si="0"/>
        <v>ia.assorted_string like '%19172-04-2023%' or</v>
      </c>
    </row>
    <row r="18" spans="1:5" x14ac:dyDescent="0.25">
      <c r="A18" s="1" t="s">
        <v>20</v>
      </c>
      <c r="B18" t="s">
        <v>149</v>
      </c>
      <c r="D18">
        <v>19214</v>
      </c>
      <c r="E18" t="str">
        <f t="shared" si="0"/>
        <v>ia.assorted_string like '%19214-04-2023%' or</v>
      </c>
    </row>
    <row r="19" spans="1:5" x14ac:dyDescent="0.25">
      <c r="A19" s="1" t="s">
        <v>21</v>
      </c>
      <c r="B19" t="s">
        <v>149</v>
      </c>
      <c r="D19">
        <v>19231</v>
      </c>
      <c r="E19" t="str">
        <f t="shared" si="0"/>
        <v>ia.assorted_string like '%19231-04-2023%' or</v>
      </c>
    </row>
    <row r="20" spans="1:5" x14ac:dyDescent="0.25">
      <c r="A20" s="1" t="s">
        <v>22</v>
      </c>
      <c r="B20" t="s">
        <v>149</v>
      </c>
      <c r="D20">
        <v>19287</v>
      </c>
      <c r="E20" t="str">
        <f t="shared" si="0"/>
        <v>ia.assorted_string like '%19287-04-2023%' or</v>
      </c>
    </row>
    <row r="21" spans="1:5" x14ac:dyDescent="0.25">
      <c r="A21" s="1" t="s">
        <v>23</v>
      </c>
      <c r="B21" t="s">
        <v>149</v>
      </c>
      <c r="D21">
        <v>19314</v>
      </c>
      <c r="E21" t="str">
        <f t="shared" si="0"/>
        <v>ia.assorted_string like '%19314-04-2023%' or</v>
      </c>
    </row>
    <row r="22" spans="1:5" x14ac:dyDescent="0.25">
      <c r="A22" s="1" t="s">
        <v>24</v>
      </c>
      <c r="B22" t="s">
        <v>149</v>
      </c>
      <c r="D22">
        <v>19371</v>
      </c>
      <c r="E22" t="str">
        <f t="shared" si="0"/>
        <v>ia.assorted_string like '%19371-04-2023%' or</v>
      </c>
    </row>
    <row r="23" spans="1:5" x14ac:dyDescent="0.25">
      <c r="A23" s="1" t="s">
        <v>25</v>
      </c>
      <c r="B23" t="s">
        <v>149</v>
      </c>
      <c r="D23">
        <v>19420</v>
      </c>
      <c r="E23" t="str">
        <f t="shared" si="0"/>
        <v>ia.assorted_string like '%19420-04-2023%' or</v>
      </c>
    </row>
    <row r="24" spans="1:5" x14ac:dyDescent="0.25">
      <c r="A24" s="1" t="s">
        <v>26</v>
      </c>
      <c r="B24" t="s">
        <v>149</v>
      </c>
      <c r="D24">
        <v>19453</v>
      </c>
      <c r="E24" t="str">
        <f t="shared" si="0"/>
        <v>ia.assorted_string like '%19453-04-2023%' or</v>
      </c>
    </row>
    <row r="25" spans="1:5" x14ac:dyDescent="0.25">
      <c r="A25" s="1" t="s">
        <v>27</v>
      </c>
      <c r="B25" t="s">
        <v>150</v>
      </c>
      <c r="D25">
        <v>19503</v>
      </c>
      <c r="E25" t="str">
        <f t="shared" si="0"/>
        <v>ia.assorted_string like '%19503-05-2023%' or</v>
      </c>
    </row>
    <row r="26" spans="1:5" x14ac:dyDescent="0.25">
      <c r="A26" s="1" t="s">
        <v>28</v>
      </c>
      <c r="B26" t="s">
        <v>150</v>
      </c>
      <c r="D26">
        <v>19595</v>
      </c>
      <c r="E26" t="str">
        <f t="shared" si="0"/>
        <v>ia.assorted_string like '%19595-05-2023%' or</v>
      </c>
    </row>
    <row r="27" spans="1:5" x14ac:dyDescent="0.25">
      <c r="A27" s="1" t="s">
        <v>29</v>
      </c>
      <c r="B27" t="s">
        <v>150</v>
      </c>
      <c r="D27">
        <v>19635</v>
      </c>
      <c r="E27" t="str">
        <f t="shared" si="0"/>
        <v>ia.assorted_string like '%19635-05-2023%' or</v>
      </c>
    </row>
    <row r="28" spans="1:5" x14ac:dyDescent="0.25">
      <c r="A28" s="1" t="s">
        <v>30</v>
      </c>
      <c r="B28" t="s">
        <v>150</v>
      </c>
      <c r="D28">
        <v>19664</v>
      </c>
      <c r="E28" t="str">
        <f t="shared" si="0"/>
        <v>ia.assorted_string like '%19664-05-2023%' or</v>
      </c>
    </row>
    <row r="29" spans="1:5" x14ac:dyDescent="0.25">
      <c r="A29" s="1" t="s">
        <v>31</v>
      </c>
      <c r="B29" t="s">
        <v>150</v>
      </c>
      <c r="D29">
        <v>19699</v>
      </c>
      <c r="E29" t="str">
        <f t="shared" si="0"/>
        <v>ia.assorted_string like '%19699-05-2023%' or</v>
      </c>
    </row>
    <row r="30" spans="1:5" x14ac:dyDescent="0.25">
      <c r="A30" s="1" t="s">
        <v>32</v>
      </c>
      <c r="B30" t="s">
        <v>150</v>
      </c>
      <c r="D30">
        <v>19706</v>
      </c>
      <c r="E30" t="str">
        <f t="shared" si="0"/>
        <v>ia.assorted_string like '%19706-05-2023%' or</v>
      </c>
    </row>
    <row r="31" spans="1:5" x14ac:dyDescent="0.25">
      <c r="A31" s="1" t="s">
        <v>33</v>
      </c>
      <c r="B31" t="s">
        <v>150</v>
      </c>
      <c r="D31">
        <v>19749</v>
      </c>
      <c r="E31" t="str">
        <f t="shared" si="0"/>
        <v>ia.assorted_string like '%19749-05-2023%' or</v>
      </c>
    </row>
    <row r="32" spans="1:5" x14ac:dyDescent="0.25">
      <c r="A32" s="1" t="s">
        <v>34</v>
      </c>
      <c r="B32" t="s">
        <v>150</v>
      </c>
      <c r="D32">
        <v>19779</v>
      </c>
      <c r="E32" t="str">
        <f t="shared" si="0"/>
        <v>ia.assorted_string like '%19779-05-2023%' or</v>
      </c>
    </row>
    <row r="33" spans="1:5" x14ac:dyDescent="0.25">
      <c r="A33" s="1" t="s">
        <v>35</v>
      </c>
      <c r="B33" t="s">
        <v>150</v>
      </c>
      <c r="D33">
        <v>19821</v>
      </c>
      <c r="E33" t="str">
        <f t="shared" si="0"/>
        <v>ia.assorted_string like '%19821-05-2023%' or</v>
      </c>
    </row>
    <row r="34" spans="1:5" x14ac:dyDescent="0.25">
      <c r="A34" s="1" t="s">
        <v>36</v>
      </c>
      <c r="B34" t="s">
        <v>150</v>
      </c>
      <c r="D34">
        <v>19850</v>
      </c>
      <c r="E34" t="str">
        <f t="shared" si="0"/>
        <v>ia.assorted_string like '%19850-05-2023%' or</v>
      </c>
    </row>
    <row r="35" spans="1:5" x14ac:dyDescent="0.25">
      <c r="A35" s="1" t="s">
        <v>37</v>
      </c>
      <c r="B35" t="s">
        <v>150</v>
      </c>
      <c r="D35">
        <v>19853</v>
      </c>
      <c r="E35" t="str">
        <f t="shared" si="0"/>
        <v>ia.assorted_string like '%19853-05-2023%' or</v>
      </c>
    </row>
    <row r="36" spans="1:5" x14ac:dyDescent="0.25">
      <c r="A36" s="1" t="s">
        <v>38</v>
      </c>
      <c r="B36" t="s">
        <v>150</v>
      </c>
      <c r="D36">
        <v>19903</v>
      </c>
      <c r="E36" t="str">
        <f t="shared" si="0"/>
        <v>ia.assorted_string like '%19903-05-2023%' or</v>
      </c>
    </row>
    <row r="37" spans="1:5" x14ac:dyDescent="0.25">
      <c r="A37" s="1" t="s">
        <v>39</v>
      </c>
      <c r="B37" t="s">
        <v>150</v>
      </c>
      <c r="D37">
        <v>19957</v>
      </c>
      <c r="E37" t="str">
        <f t="shared" si="0"/>
        <v>ia.assorted_string like '%19957-05-2023%' or</v>
      </c>
    </row>
    <row r="38" spans="1:5" x14ac:dyDescent="0.25">
      <c r="A38" s="1" t="s">
        <v>40</v>
      </c>
      <c r="B38" t="s">
        <v>150</v>
      </c>
      <c r="D38">
        <v>19978</v>
      </c>
      <c r="E38" t="str">
        <f t="shared" si="0"/>
        <v>ia.assorted_string like '%19978-05-2023%' or</v>
      </c>
    </row>
    <row r="39" spans="1:5" x14ac:dyDescent="0.25">
      <c r="A39" s="1" t="s">
        <v>41</v>
      </c>
      <c r="B39" t="s">
        <v>151</v>
      </c>
      <c r="D39">
        <v>20004</v>
      </c>
      <c r="E39" t="str">
        <f t="shared" si="0"/>
        <v>ia.assorted_string like '%20004-06-2023%' or</v>
      </c>
    </row>
    <row r="40" spans="1:5" x14ac:dyDescent="0.25">
      <c r="A40" s="1" t="s">
        <v>42</v>
      </c>
      <c r="B40" t="s">
        <v>151</v>
      </c>
      <c r="D40">
        <v>20037</v>
      </c>
      <c r="E40" t="str">
        <f t="shared" si="0"/>
        <v>ia.assorted_string like '%20037-06-2023%' or</v>
      </c>
    </row>
    <row r="41" spans="1:5" x14ac:dyDescent="0.25">
      <c r="A41" s="1" t="s">
        <v>43</v>
      </c>
      <c r="B41" t="s">
        <v>151</v>
      </c>
      <c r="D41">
        <v>20047</v>
      </c>
      <c r="E41" t="str">
        <f t="shared" si="0"/>
        <v>ia.assorted_string like '%20047-06-2023%' or</v>
      </c>
    </row>
    <row r="42" spans="1:5" x14ac:dyDescent="0.25">
      <c r="A42" s="1" t="s">
        <v>44</v>
      </c>
      <c r="B42" t="s">
        <v>151</v>
      </c>
      <c r="D42">
        <v>20134</v>
      </c>
      <c r="E42" t="str">
        <f t="shared" si="0"/>
        <v>ia.assorted_string like '%20134-06-2023%' or</v>
      </c>
    </row>
    <row r="43" spans="1:5" x14ac:dyDescent="0.25">
      <c r="A43" s="1" t="s">
        <v>45</v>
      </c>
      <c r="B43" t="s">
        <v>151</v>
      </c>
      <c r="D43">
        <v>20192</v>
      </c>
      <c r="E43" t="str">
        <f t="shared" si="0"/>
        <v>ia.assorted_string like '%20192-06-2023%' or</v>
      </c>
    </row>
    <row r="44" spans="1:5" x14ac:dyDescent="0.25">
      <c r="A44" s="1" t="s">
        <v>46</v>
      </c>
      <c r="B44" t="s">
        <v>151</v>
      </c>
      <c r="D44">
        <v>20220</v>
      </c>
      <c r="E44" t="str">
        <f t="shared" si="0"/>
        <v>ia.assorted_string like '%20220-06-2023%' or</v>
      </c>
    </row>
    <row r="45" spans="1:5" x14ac:dyDescent="0.25">
      <c r="A45" s="1" t="s">
        <v>47</v>
      </c>
      <c r="B45" t="s">
        <v>151</v>
      </c>
      <c r="D45">
        <v>20244</v>
      </c>
      <c r="E45" t="str">
        <f t="shared" si="0"/>
        <v>ia.assorted_string like '%20244-06-2023%' or</v>
      </c>
    </row>
    <row r="46" spans="1:5" x14ac:dyDescent="0.25">
      <c r="A46" s="1" t="s">
        <v>48</v>
      </c>
      <c r="B46" t="s">
        <v>151</v>
      </c>
      <c r="D46">
        <v>20303</v>
      </c>
      <c r="E46" t="str">
        <f t="shared" si="0"/>
        <v>ia.assorted_string like '%20303-06-2023%' or</v>
      </c>
    </row>
    <row r="47" spans="1:5" x14ac:dyDescent="0.25">
      <c r="A47" s="1" t="s">
        <v>49</v>
      </c>
      <c r="B47" t="s">
        <v>151</v>
      </c>
      <c r="D47">
        <v>20328</v>
      </c>
      <c r="E47" t="str">
        <f t="shared" si="0"/>
        <v>ia.assorted_string like '%20328-06-2023%' or</v>
      </c>
    </row>
    <row r="48" spans="1:5" x14ac:dyDescent="0.25">
      <c r="A48" s="1" t="s">
        <v>50</v>
      </c>
      <c r="B48" t="s">
        <v>151</v>
      </c>
      <c r="D48">
        <v>20383</v>
      </c>
      <c r="E48" t="str">
        <f t="shared" si="0"/>
        <v>ia.assorted_string like '%20383-06-2023%' or</v>
      </c>
    </row>
    <row r="49" spans="1:5" x14ac:dyDescent="0.25">
      <c r="A49" s="1" t="s">
        <v>51</v>
      </c>
      <c r="B49" t="s">
        <v>151</v>
      </c>
      <c r="D49">
        <v>20447</v>
      </c>
      <c r="E49" t="str">
        <f t="shared" si="0"/>
        <v>ia.assorted_string like '%20447-06-2023%' or</v>
      </c>
    </row>
    <row r="50" spans="1:5" x14ac:dyDescent="0.25">
      <c r="A50" s="1" t="s">
        <v>52</v>
      </c>
      <c r="B50" t="s">
        <v>151</v>
      </c>
      <c r="D50">
        <v>20482</v>
      </c>
      <c r="E50" t="str">
        <f t="shared" si="0"/>
        <v>ia.assorted_string like '%20482-06-2023%' or</v>
      </c>
    </row>
    <row r="51" spans="1:5" x14ac:dyDescent="0.25">
      <c r="A51" s="1" t="s">
        <v>53</v>
      </c>
      <c r="B51" t="s">
        <v>151</v>
      </c>
      <c r="D51">
        <v>20494</v>
      </c>
      <c r="E51" t="str">
        <f t="shared" si="0"/>
        <v>ia.assorted_string like '%20494-06-2023%' or</v>
      </c>
    </row>
    <row r="52" spans="1:5" x14ac:dyDescent="0.25">
      <c r="A52" s="1" t="s">
        <v>54</v>
      </c>
      <c r="B52" t="s">
        <v>152</v>
      </c>
      <c r="D52">
        <v>20516</v>
      </c>
      <c r="E52" t="str">
        <f t="shared" si="0"/>
        <v>ia.assorted_string like '%20516-07-2023%' or</v>
      </c>
    </row>
    <row r="53" spans="1:5" x14ac:dyDescent="0.25">
      <c r="A53" s="1" t="s">
        <v>55</v>
      </c>
      <c r="B53" t="s">
        <v>152</v>
      </c>
      <c r="D53">
        <v>20550</v>
      </c>
      <c r="E53" t="str">
        <f t="shared" si="0"/>
        <v>ia.assorted_string like '%20550-07-2023%' or</v>
      </c>
    </row>
    <row r="54" spans="1:5" x14ac:dyDescent="0.25">
      <c r="A54" s="1" t="s">
        <v>56</v>
      </c>
      <c r="B54" t="s">
        <v>152</v>
      </c>
      <c r="D54">
        <v>20588</v>
      </c>
      <c r="E54" t="str">
        <f t="shared" si="0"/>
        <v>ia.assorted_string like '%20588-07-2023%' or</v>
      </c>
    </row>
    <row r="55" spans="1:5" x14ac:dyDescent="0.25">
      <c r="A55" s="1" t="s">
        <v>57</v>
      </c>
      <c r="B55" t="s">
        <v>152</v>
      </c>
      <c r="D55">
        <v>20633</v>
      </c>
      <c r="E55" t="str">
        <f t="shared" si="0"/>
        <v>ia.assorted_string like '%20633-07-2023%' or</v>
      </c>
    </row>
    <row r="56" spans="1:5" x14ac:dyDescent="0.25">
      <c r="A56" s="1" t="s">
        <v>58</v>
      </c>
      <c r="B56" t="s">
        <v>152</v>
      </c>
      <c r="D56">
        <v>20650</v>
      </c>
      <c r="E56" t="str">
        <f t="shared" si="0"/>
        <v>ia.assorted_string like '%20650-07-2023%' or</v>
      </c>
    </row>
    <row r="57" spans="1:5" x14ac:dyDescent="0.25">
      <c r="A57" s="1" t="s">
        <v>59</v>
      </c>
      <c r="B57" t="s">
        <v>152</v>
      </c>
      <c r="D57">
        <v>20680</v>
      </c>
      <c r="E57" t="str">
        <f t="shared" si="0"/>
        <v>ia.assorted_string like '%20680-07-2023%' or</v>
      </c>
    </row>
    <row r="58" spans="1:5" x14ac:dyDescent="0.25">
      <c r="A58" s="1" t="s">
        <v>60</v>
      </c>
      <c r="B58" t="s">
        <v>152</v>
      </c>
      <c r="D58">
        <v>20746</v>
      </c>
      <c r="E58" t="str">
        <f t="shared" si="0"/>
        <v>ia.assorted_string like '%20746-07-2023%' or</v>
      </c>
    </row>
    <row r="59" spans="1:5" x14ac:dyDescent="0.25">
      <c r="A59" s="1" t="s">
        <v>61</v>
      </c>
      <c r="B59" t="s">
        <v>152</v>
      </c>
      <c r="D59">
        <v>20777</v>
      </c>
      <c r="E59" t="str">
        <f t="shared" si="0"/>
        <v>ia.assorted_string like '%20777-07-2023%' or</v>
      </c>
    </row>
    <row r="60" spans="1:5" x14ac:dyDescent="0.25">
      <c r="A60" s="1" t="s">
        <v>62</v>
      </c>
      <c r="B60" t="s">
        <v>152</v>
      </c>
      <c r="D60">
        <v>20790</v>
      </c>
      <c r="E60" t="str">
        <f t="shared" si="0"/>
        <v>ia.assorted_string like '%20790-07-2023%' or</v>
      </c>
    </row>
    <row r="61" spans="1:5" x14ac:dyDescent="0.25">
      <c r="A61" s="1" t="s">
        <v>63</v>
      </c>
      <c r="B61" t="s">
        <v>153</v>
      </c>
      <c r="D61">
        <v>20841</v>
      </c>
      <c r="E61" t="str">
        <f t="shared" si="0"/>
        <v>ia.assorted_string like '%20841-08-2023%' or</v>
      </c>
    </row>
    <row r="62" spans="1:5" x14ac:dyDescent="0.25">
      <c r="A62" s="1" t="s">
        <v>64</v>
      </c>
      <c r="B62" t="s">
        <v>153</v>
      </c>
      <c r="D62">
        <v>20865</v>
      </c>
      <c r="E62" t="str">
        <f t="shared" si="0"/>
        <v>ia.assorted_string like '%20865-08-2023%' or</v>
      </c>
    </row>
    <row r="63" spans="1:5" x14ac:dyDescent="0.25">
      <c r="A63" s="1" t="s">
        <v>65</v>
      </c>
      <c r="B63" t="s">
        <v>153</v>
      </c>
      <c r="D63">
        <v>20910</v>
      </c>
      <c r="E63" t="str">
        <f t="shared" si="0"/>
        <v>ia.assorted_string like '%20910-08-2023%' or</v>
      </c>
    </row>
    <row r="64" spans="1:5" x14ac:dyDescent="0.25">
      <c r="A64" s="1" t="s">
        <v>66</v>
      </c>
      <c r="B64" t="s">
        <v>153</v>
      </c>
      <c r="D64">
        <v>20938</v>
      </c>
      <c r="E64" t="str">
        <f t="shared" si="0"/>
        <v>ia.assorted_string like '%20938-08-2023%' or</v>
      </c>
    </row>
    <row r="65" spans="1:5" x14ac:dyDescent="0.25">
      <c r="A65" s="1" t="s">
        <v>67</v>
      </c>
      <c r="B65" t="s">
        <v>153</v>
      </c>
      <c r="D65">
        <v>20958</v>
      </c>
      <c r="E65" t="str">
        <f t="shared" si="0"/>
        <v>ia.assorted_string like '%20958-08-2023%' or</v>
      </c>
    </row>
    <row r="66" spans="1:5" x14ac:dyDescent="0.25">
      <c r="A66" s="1" t="s">
        <v>68</v>
      </c>
      <c r="B66" t="s">
        <v>153</v>
      </c>
      <c r="D66">
        <v>20992</v>
      </c>
      <c r="E66" t="str">
        <f t="shared" ref="E66:E129" si="1">"ia.assorted_string like '%"&amp;D66&amp;B66&amp;"%' or"</f>
        <v>ia.assorted_string like '%20992-08-2023%' or</v>
      </c>
    </row>
    <row r="67" spans="1:5" x14ac:dyDescent="0.25">
      <c r="A67" s="1" t="s">
        <v>69</v>
      </c>
      <c r="B67" t="s">
        <v>153</v>
      </c>
      <c r="D67">
        <v>21004</v>
      </c>
      <c r="E67" t="str">
        <f t="shared" si="1"/>
        <v>ia.assorted_string like '%21004-08-2023%' or</v>
      </c>
    </row>
    <row r="68" spans="1:5" x14ac:dyDescent="0.25">
      <c r="A68" s="1" t="s">
        <v>70</v>
      </c>
      <c r="B68" t="s">
        <v>153</v>
      </c>
      <c r="D68">
        <v>21058</v>
      </c>
      <c r="E68" t="str">
        <f t="shared" si="1"/>
        <v>ia.assorted_string like '%21058-08-2023%' or</v>
      </c>
    </row>
    <row r="69" spans="1:5" x14ac:dyDescent="0.25">
      <c r="A69" s="1" t="s">
        <v>71</v>
      </c>
      <c r="B69" t="s">
        <v>153</v>
      </c>
      <c r="D69">
        <v>21094</v>
      </c>
      <c r="E69" t="str">
        <f t="shared" si="1"/>
        <v>ia.assorted_string like '%21094-08-2023%' or</v>
      </c>
    </row>
    <row r="70" spans="1:5" x14ac:dyDescent="0.25">
      <c r="A70" s="1" t="s">
        <v>72</v>
      </c>
      <c r="B70" t="s">
        <v>153</v>
      </c>
      <c r="D70">
        <v>21163</v>
      </c>
      <c r="E70" t="str">
        <f t="shared" si="1"/>
        <v>ia.assorted_string like '%21163-08-2023%' or</v>
      </c>
    </row>
    <row r="71" spans="1:5" x14ac:dyDescent="0.25">
      <c r="A71" s="1" t="s">
        <v>73</v>
      </c>
      <c r="B71" t="s">
        <v>153</v>
      </c>
      <c r="D71">
        <v>21209</v>
      </c>
      <c r="E71" t="str">
        <f t="shared" si="1"/>
        <v>ia.assorted_string like '%21209-08-2023%' or</v>
      </c>
    </row>
    <row r="72" spans="1:5" x14ac:dyDescent="0.25">
      <c r="A72" s="1" t="s">
        <v>74</v>
      </c>
      <c r="B72" t="s">
        <v>153</v>
      </c>
      <c r="D72">
        <v>21235</v>
      </c>
      <c r="E72" t="str">
        <f t="shared" si="1"/>
        <v>ia.assorted_string like '%21235-08-2023%' or</v>
      </c>
    </row>
    <row r="73" spans="1:5" x14ac:dyDescent="0.25">
      <c r="A73" s="1" t="s">
        <v>75</v>
      </c>
      <c r="B73" t="s">
        <v>153</v>
      </c>
      <c r="D73">
        <v>21260</v>
      </c>
      <c r="E73" t="str">
        <f t="shared" si="1"/>
        <v>ia.assorted_string like '%21260-08-2023%' or</v>
      </c>
    </row>
    <row r="74" spans="1:5" x14ac:dyDescent="0.25">
      <c r="A74" s="1" t="s">
        <v>76</v>
      </c>
      <c r="B74" t="s">
        <v>154</v>
      </c>
      <c r="D74">
        <v>21306</v>
      </c>
      <c r="E74" t="str">
        <f t="shared" si="1"/>
        <v>ia.assorted_string like '%21306-09-2023%' or</v>
      </c>
    </row>
    <row r="75" spans="1:5" x14ac:dyDescent="0.25">
      <c r="A75" s="1" t="s">
        <v>77</v>
      </c>
      <c r="B75" t="s">
        <v>154</v>
      </c>
      <c r="D75">
        <v>21361</v>
      </c>
      <c r="E75" t="str">
        <f t="shared" si="1"/>
        <v>ia.assorted_string like '%21361-09-2023%' or</v>
      </c>
    </row>
    <row r="76" spans="1:5" x14ac:dyDescent="0.25">
      <c r="A76" s="1" t="s">
        <v>78</v>
      </c>
      <c r="B76" t="s">
        <v>154</v>
      </c>
      <c r="D76">
        <v>21396</v>
      </c>
      <c r="E76" t="str">
        <f t="shared" si="1"/>
        <v>ia.assorted_string like '%21396-09-2023%' or</v>
      </c>
    </row>
    <row r="77" spans="1:5" x14ac:dyDescent="0.25">
      <c r="A77" s="1" t="s">
        <v>79</v>
      </c>
      <c r="B77" t="s">
        <v>154</v>
      </c>
      <c r="D77">
        <v>21407</v>
      </c>
      <c r="E77" t="str">
        <f t="shared" si="1"/>
        <v>ia.assorted_string like '%21407-09-2023%' or</v>
      </c>
    </row>
    <row r="78" spans="1:5" x14ac:dyDescent="0.25">
      <c r="A78" s="1" t="s">
        <v>80</v>
      </c>
      <c r="B78" t="s">
        <v>154</v>
      </c>
      <c r="D78">
        <v>21435</v>
      </c>
      <c r="E78" t="str">
        <f t="shared" si="1"/>
        <v>ia.assorted_string like '%21435-09-2023%' or</v>
      </c>
    </row>
    <row r="79" spans="1:5" x14ac:dyDescent="0.25">
      <c r="A79" s="1" t="s">
        <v>81</v>
      </c>
      <c r="B79" t="s">
        <v>154</v>
      </c>
      <c r="D79">
        <v>21448</v>
      </c>
      <c r="E79" t="str">
        <f t="shared" si="1"/>
        <v>ia.assorted_string like '%21448-09-2023%' or</v>
      </c>
    </row>
    <row r="80" spans="1:5" x14ac:dyDescent="0.25">
      <c r="A80" s="1" t="s">
        <v>82</v>
      </c>
      <c r="B80" t="s">
        <v>154</v>
      </c>
      <c r="D80">
        <v>21477</v>
      </c>
      <c r="E80" t="str">
        <f t="shared" si="1"/>
        <v>ia.assorted_string like '%21477-09-2023%' or</v>
      </c>
    </row>
    <row r="81" spans="1:5" x14ac:dyDescent="0.25">
      <c r="A81" s="1" t="s">
        <v>83</v>
      </c>
      <c r="B81" t="s">
        <v>154</v>
      </c>
      <c r="D81">
        <v>21515</v>
      </c>
      <c r="E81" t="str">
        <f t="shared" si="1"/>
        <v>ia.assorted_string like '%21515-09-2023%' or</v>
      </c>
    </row>
    <row r="82" spans="1:5" x14ac:dyDescent="0.25">
      <c r="A82" s="1" t="s">
        <v>84</v>
      </c>
      <c r="B82" t="s">
        <v>154</v>
      </c>
      <c r="D82">
        <v>21547</v>
      </c>
      <c r="E82" t="str">
        <f t="shared" si="1"/>
        <v>ia.assorted_string like '%21547-09-2023%' or</v>
      </c>
    </row>
    <row r="83" spans="1:5" x14ac:dyDescent="0.25">
      <c r="A83" s="1" t="s">
        <v>85</v>
      </c>
      <c r="B83" t="s">
        <v>154</v>
      </c>
      <c r="D83">
        <v>21595</v>
      </c>
      <c r="E83" t="str">
        <f t="shared" si="1"/>
        <v>ia.assorted_string like '%21595-09-2023%' or</v>
      </c>
    </row>
    <row r="84" spans="1:5" x14ac:dyDescent="0.25">
      <c r="A84" s="1" t="s">
        <v>86</v>
      </c>
      <c r="B84" t="s">
        <v>154</v>
      </c>
      <c r="D84">
        <v>21623</v>
      </c>
      <c r="E84" t="str">
        <f t="shared" si="1"/>
        <v>ia.assorted_string like '%21623-09-2023%' or</v>
      </c>
    </row>
    <row r="85" spans="1:5" x14ac:dyDescent="0.25">
      <c r="A85" s="1" t="s">
        <v>87</v>
      </c>
      <c r="B85" t="s">
        <v>154</v>
      </c>
      <c r="D85">
        <v>21666</v>
      </c>
      <c r="E85" t="str">
        <f t="shared" si="1"/>
        <v>ia.assorted_string like '%21666-09-2023%' or</v>
      </c>
    </row>
    <row r="86" spans="1:5" x14ac:dyDescent="0.25">
      <c r="A86" s="1" t="s">
        <v>88</v>
      </c>
      <c r="B86" t="s">
        <v>154</v>
      </c>
      <c r="D86">
        <v>21710</v>
      </c>
      <c r="E86" t="str">
        <f t="shared" si="1"/>
        <v>ia.assorted_string like '%21710-09-2023%' or</v>
      </c>
    </row>
    <row r="87" spans="1:5" x14ac:dyDescent="0.25">
      <c r="A87" s="1" t="s">
        <v>89</v>
      </c>
      <c r="B87" t="s">
        <v>155</v>
      </c>
      <c r="D87">
        <v>21803</v>
      </c>
      <c r="E87" t="str">
        <f t="shared" si="1"/>
        <v>ia.assorted_string like '%21803-10-2023%' or</v>
      </c>
    </row>
    <row r="88" spans="1:5" x14ac:dyDescent="0.25">
      <c r="A88" s="1" t="s">
        <v>90</v>
      </c>
      <c r="B88" t="s">
        <v>155</v>
      </c>
      <c r="D88">
        <v>21833</v>
      </c>
      <c r="E88" t="str">
        <f t="shared" si="1"/>
        <v>ia.assorted_string like '%21833-10-2023%' or</v>
      </c>
    </row>
    <row r="89" spans="1:5" x14ac:dyDescent="0.25">
      <c r="A89" s="1" t="s">
        <v>91</v>
      </c>
      <c r="B89" t="s">
        <v>155</v>
      </c>
      <c r="D89">
        <v>21871</v>
      </c>
      <c r="E89" t="str">
        <f t="shared" si="1"/>
        <v>ia.assorted_string like '%21871-10-2023%' or</v>
      </c>
    </row>
    <row r="90" spans="1:5" x14ac:dyDescent="0.25">
      <c r="A90" s="1" t="s">
        <v>92</v>
      </c>
      <c r="B90" t="s">
        <v>155</v>
      </c>
      <c r="D90">
        <v>21913</v>
      </c>
      <c r="E90" t="str">
        <f t="shared" si="1"/>
        <v>ia.assorted_string like '%21913-10-2023%' or</v>
      </c>
    </row>
    <row r="91" spans="1:5" x14ac:dyDescent="0.25">
      <c r="A91" s="1" t="s">
        <v>93</v>
      </c>
      <c r="B91" t="s">
        <v>155</v>
      </c>
      <c r="D91">
        <v>21944</v>
      </c>
      <c r="E91" t="str">
        <f t="shared" si="1"/>
        <v>ia.assorted_string like '%21944-10-2023%' or</v>
      </c>
    </row>
    <row r="92" spans="1:5" x14ac:dyDescent="0.25">
      <c r="A92" s="1" t="s">
        <v>94</v>
      </c>
      <c r="B92" t="s">
        <v>155</v>
      </c>
      <c r="D92">
        <v>21945</v>
      </c>
      <c r="E92" t="str">
        <f t="shared" si="1"/>
        <v>ia.assorted_string like '%21945-10-2023%' or</v>
      </c>
    </row>
    <row r="93" spans="1:5" x14ac:dyDescent="0.25">
      <c r="A93" s="1" t="s">
        <v>95</v>
      </c>
      <c r="B93" t="s">
        <v>155</v>
      </c>
      <c r="D93">
        <v>21981</v>
      </c>
      <c r="E93" t="str">
        <f t="shared" si="1"/>
        <v>ia.assorted_string like '%21981-10-2023%' or</v>
      </c>
    </row>
    <row r="94" spans="1:5" x14ac:dyDescent="0.25">
      <c r="A94" s="1" t="s">
        <v>96</v>
      </c>
      <c r="B94" t="s">
        <v>155</v>
      </c>
      <c r="D94">
        <v>22018</v>
      </c>
      <c r="E94" t="str">
        <f t="shared" si="1"/>
        <v>ia.assorted_string like '%22018-10-2023%' or</v>
      </c>
    </row>
    <row r="95" spans="1:5" x14ac:dyDescent="0.25">
      <c r="A95" s="1" t="s">
        <v>97</v>
      </c>
      <c r="B95" t="s">
        <v>155</v>
      </c>
      <c r="D95">
        <v>22043</v>
      </c>
      <c r="E95" t="str">
        <f t="shared" si="1"/>
        <v>ia.assorted_string like '%22043-10-2023%' or</v>
      </c>
    </row>
    <row r="96" spans="1:5" x14ac:dyDescent="0.25">
      <c r="A96" s="1" t="s">
        <v>98</v>
      </c>
      <c r="B96" t="s">
        <v>155</v>
      </c>
      <c r="D96">
        <v>22060</v>
      </c>
      <c r="E96" t="str">
        <f t="shared" si="1"/>
        <v>ia.assorted_string like '%22060-10-2023%' or</v>
      </c>
    </row>
    <row r="97" spans="1:5" x14ac:dyDescent="0.25">
      <c r="A97" s="1" t="s">
        <v>99</v>
      </c>
      <c r="B97" t="s">
        <v>155</v>
      </c>
      <c r="D97">
        <v>22063</v>
      </c>
      <c r="E97" t="str">
        <f t="shared" si="1"/>
        <v>ia.assorted_string like '%22063-10-2023%' or</v>
      </c>
    </row>
    <row r="98" spans="1:5" x14ac:dyDescent="0.25">
      <c r="A98" s="1" t="s">
        <v>100</v>
      </c>
      <c r="B98" t="s">
        <v>155</v>
      </c>
      <c r="D98">
        <v>22083</v>
      </c>
      <c r="E98" t="str">
        <f t="shared" si="1"/>
        <v>ia.assorted_string like '%22083-10-2023%' or</v>
      </c>
    </row>
    <row r="99" spans="1:5" x14ac:dyDescent="0.25">
      <c r="A99" s="1" t="s">
        <v>101</v>
      </c>
      <c r="B99" t="s">
        <v>155</v>
      </c>
      <c r="D99">
        <v>22101</v>
      </c>
      <c r="E99" t="str">
        <f t="shared" si="1"/>
        <v>ia.assorted_string like '%22101-10-2023%' or</v>
      </c>
    </row>
    <row r="100" spans="1:5" x14ac:dyDescent="0.25">
      <c r="A100" s="1" t="s">
        <v>102</v>
      </c>
      <c r="B100" t="s">
        <v>155</v>
      </c>
      <c r="D100">
        <v>22114</v>
      </c>
      <c r="E100" t="str">
        <f t="shared" si="1"/>
        <v>ia.assorted_string like '%22114-10-2023%' or</v>
      </c>
    </row>
    <row r="101" spans="1:5" x14ac:dyDescent="0.25">
      <c r="A101" s="1" t="s">
        <v>103</v>
      </c>
      <c r="B101" t="s">
        <v>155</v>
      </c>
      <c r="D101">
        <v>22139</v>
      </c>
      <c r="E101" t="str">
        <f t="shared" si="1"/>
        <v>ia.assorted_string like '%22139-10-2023%' or</v>
      </c>
    </row>
    <row r="102" spans="1:5" x14ac:dyDescent="0.25">
      <c r="A102" s="1" t="s">
        <v>104</v>
      </c>
      <c r="B102" t="s">
        <v>155</v>
      </c>
      <c r="D102">
        <v>22167</v>
      </c>
      <c r="E102" t="str">
        <f t="shared" si="1"/>
        <v>ia.assorted_string like '%22167-10-2023%' or</v>
      </c>
    </row>
    <row r="103" spans="1:5" x14ac:dyDescent="0.25">
      <c r="A103" s="1" t="s">
        <v>105</v>
      </c>
      <c r="B103" t="s">
        <v>155</v>
      </c>
      <c r="D103">
        <v>22177</v>
      </c>
      <c r="E103" t="str">
        <f t="shared" si="1"/>
        <v>ia.assorted_string like '%22177-10-2023%' or</v>
      </c>
    </row>
    <row r="104" spans="1:5" x14ac:dyDescent="0.25">
      <c r="A104" s="1" t="s">
        <v>106</v>
      </c>
      <c r="B104" t="s">
        <v>155</v>
      </c>
      <c r="D104">
        <v>22211</v>
      </c>
      <c r="E104" t="str">
        <f t="shared" si="1"/>
        <v>ia.assorted_string like '%22211-10-2023%' or</v>
      </c>
    </row>
    <row r="105" spans="1:5" x14ac:dyDescent="0.25">
      <c r="A105" s="1" t="s">
        <v>107</v>
      </c>
      <c r="B105" t="s">
        <v>155</v>
      </c>
      <c r="D105">
        <v>22259</v>
      </c>
      <c r="E105" t="str">
        <f t="shared" si="1"/>
        <v>ia.assorted_string like '%22259-10-2023%' or</v>
      </c>
    </row>
    <row r="106" spans="1:5" x14ac:dyDescent="0.25">
      <c r="A106" s="1" t="s">
        <v>108</v>
      </c>
      <c r="B106" t="s">
        <v>155</v>
      </c>
      <c r="D106">
        <v>22281</v>
      </c>
      <c r="E106" t="str">
        <f t="shared" si="1"/>
        <v>ia.assorted_string like '%22281-10-2023%' or</v>
      </c>
    </row>
    <row r="107" spans="1:5" x14ac:dyDescent="0.25">
      <c r="A107" s="1" t="s">
        <v>109</v>
      </c>
      <c r="B107" t="s">
        <v>155</v>
      </c>
      <c r="D107">
        <v>22299</v>
      </c>
      <c r="E107" t="str">
        <f t="shared" si="1"/>
        <v>ia.assorted_string like '%22299-10-2023%' or</v>
      </c>
    </row>
    <row r="108" spans="1:5" x14ac:dyDescent="0.25">
      <c r="A108" s="1" t="s">
        <v>110</v>
      </c>
      <c r="B108" t="s">
        <v>155</v>
      </c>
      <c r="D108">
        <v>22301</v>
      </c>
      <c r="E108" t="str">
        <f t="shared" si="1"/>
        <v>ia.assorted_string like '%22301-10-2023%' or</v>
      </c>
    </row>
    <row r="109" spans="1:5" x14ac:dyDescent="0.25">
      <c r="A109" s="1" t="s">
        <v>111</v>
      </c>
      <c r="B109" t="s">
        <v>155</v>
      </c>
      <c r="D109">
        <v>22310</v>
      </c>
      <c r="E109" t="str">
        <f t="shared" si="1"/>
        <v>ia.assorted_string like '%22310-10-2023%' or</v>
      </c>
    </row>
    <row r="110" spans="1:5" x14ac:dyDescent="0.25">
      <c r="A110" s="1" t="s">
        <v>112</v>
      </c>
      <c r="B110" t="s">
        <v>156</v>
      </c>
      <c r="D110">
        <v>22355</v>
      </c>
      <c r="E110" t="str">
        <f t="shared" si="1"/>
        <v>ia.assorted_string like '%22355-11-2023%' or</v>
      </c>
    </row>
    <row r="111" spans="1:5" x14ac:dyDescent="0.25">
      <c r="A111" s="1" t="s">
        <v>113</v>
      </c>
      <c r="B111" t="s">
        <v>156</v>
      </c>
      <c r="D111">
        <v>22388</v>
      </c>
      <c r="E111" t="str">
        <f t="shared" si="1"/>
        <v>ia.assorted_string like '%22388-11-2023%' or</v>
      </c>
    </row>
    <row r="112" spans="1:5" x14ac:dyDescent="0.25">
      <c r="A112" s="1" t="s">
        <v>114</v>
      </c>
      <c r="B112" t="s">
        <v>156</v>
      </c>
      <c r="D112">
        <v>22428</v>
      </c>
      <c r="E112" t="str">
        <f t="shared" si="1"/>
        <v>ia.assorted_string like '%22428-11-2023%' or</v>
      </c>
    </row>
    <row r="113" spans="1:5" x14ac:dyDescent="0.25">
      <c r="A113" s="1" t="s">
        <v>115</v>
      </c>
      <c r="B113" t="s">
        <v>156</v>
      </c>
      <c r="D113">
        <v>22491</v>
      </c>
      <c r="E113" t="str">
        <f t="shared" si="1"/>
        <v>ia.assorted_string like '%22491-11-2023%' or</v>
      </c>
    </row>
    <row r="114" spans="1:5" x14ac:dyDescent="0.25">
      <c r="A114" s="1" t="s">
        <v>116</v>
      </c>
      <c r="B114" t="s">
        <v>156</v>
      </c>
      <c r="D114">
        <v>22516</v>
      </c>
      <c r="E114" t="str">
        <f t="shared" si="1"/>
        <v>ia.assorted_string like '%22516-11-2023%' or</v>
      </c>
    </row>
    <row r="115" spans="1:5" x14ac:dyDescent="0.25">
      <c r="A115" s="1" t="s">
        <v>117</v>
      </c>
      <c r="B115" t="s">
        <v>156</v>
      </c>
      <c r="D115">
        <v>22608</v>
      </c>
      <c r="E115" t="str">
        <f t="shared" si="1"/>
        <v>ia.assorted_string like '%22608-11-2023%' or</v>
      </c>
    </row>
    <row r="116" spans="1:5" x14ac:dyDescent="0.25">
      <c r="A116" s="1" t="s">
        <v>118</v>
      </c>
      <c r="B116" t="s">
        <v>156</v>
      </c>
      <c r="D116">
        <v>22669</v>
      </c>
      <c r="E116" t="str">
        <f t="shared" si="1"/>
        <v>ia.assorted_string like '%22669-11-2023%' or</v>
      </c>
    </row>
    <row r="117" spans="1:5" x14ac:dyDescent="0.25">
      <c r="A117" s="1" t="s">
        <v>119</v>
      </c>
      <c r="B117" t="s">
        <v>156</v>
      </c>
      <c r="D117">
        <v>22725</v>
      </c>
      <c r="E117" t="str">
        <f t="shared" si="1"/>
        <v>ia.assorted_string like '%22725-11-2023%' or</v>
      </c>
    </row>
    <row r="118" spans="1:5" x14ac:dyDescent="0.25">
      <c r="A118" s="1" t="s">
        <v>120</v>
      </c>
      <c r="B118" t="s">
        <v>156</v>
      </c>
      <c r="D118">
        <v>22749</v>
      </c>
      <c r="E118" t="str">
        <f t="shared" si="1"/>
        <v>ia.assorted_string like '%22749-11-2023%' or</v>
      </c>
    </row>
    <row r="119" spans="1:5" x14ac:dyDescent="0.25">
      <c r="A119" s="1" t="s">
        <v>121</v>
      </c>
      <c r="B119" t="s">
        <v>156</v>
      </c>
      <c r="D119">
        <v>22762</v>
      </c>
      <c r="E119" t="str">
        <f t="shared" si="1"/>
        <v>ia.assorted_string like '%22762-11-2023%' or</v>
      </c>
    </row>
    <row r="120" spans="1:5" x14ac:dyDescent="0.25">
      <c r="A120" s="1" t="s">
        <v>122</v>
      </c>
      <c r="B120" t="s">
        <v>156</v>
      </c>
      <c r="D120">
        <v>22779</v>
      </c>
      <c r="E120" t="str">
        <f t="shared" si="1"/>
        <v>ia.assorted_string like '%22779-11-2023%' or</v>
      </c>
    </row>
    <row r="121" spans="1:5" x14ac:dyDescent="0.25">
      <c r="A121" s="1" t="s">
        <v>123</v>
      </c>
      <c r="B121" t="s">
        <v>156</v>
      </c>
      <c r="D121">
        <v>22791</v>
      </c>
      <c r="E121" t="str">
        <f t="shared" si="1"/>
        <v>ia.assorted_string like '%22791-11-2023%' or</v>
      </c>
    </row>
    <row r="122" spans="1:5" x14ac:dyDescent="0.25">
      <c r="A122" s="1" t="s">
        <v>124</v>
      </c>
      <c r="B122" t="s">
        <v>156</v>
      </c>
      <c r="D122">
        <v>22812</v>
      </c>
      <c r="E122" t="str">
        <f t="shared" si="1"/>
        <v>ia.assorted_string like '%22812-11-2023%' or</v>
      </c>
    </row>
    <row r="123" spans="1:5" x14ac:dyDescent="0.25">
      <c r="A123" s="1" t="s">
        <v>125</v>
      </c>
      <c r="B123" t="s">
        <v>156</v>
      </c>
      <c r="D123">
        <v>22844</v>
      </c>
      <c r="E123" t="str">
        <f t="shared" si="1"/>
        <v>ia.assorted_string like '%22844-11-2023%' or</v>
      </c>
    </row>
    <row r="124" spans="1:5" x14ac:dyDescent="0.25">
      <c r="A124" s="1" t="s">
        <v>126</v>
      </c>
      <c r="B124" t="s">
        <v>157</v>
      </c>
      <c r="D124">
        <v>22865</v>
      </c>
      <c r="E124" t="str">
        <f t="shared" si="1"/>
        <v>ia.assorted_string like '%22865-12-2023%' or</v>
      </c>
    </row>
    <row r="125" spans="1:5" x14ac:dyDescent="0.25">
      <c r="A125" s="1" t="s">
        <v>127</v>
      </c>
      <c r="B125" t="s">
        <v>157</v>
      </c>
      <c r="D125">
        <v>22890</v>
      </c>
      <c r="E125" t="str">
        <f t="shared" si="1"/>
        <v>ia.assorted_string like '%22890-12-2023%' or</v>
      </c>
    </row>
    <row r="126" spans="1:5" x14ac:dyDescent="0.25">
      <c r="A126" s="1" t="s">
        <v>128</v>
      </c>
      <c r="B126" t="s">
        <v>157</v>
      </c>
      <c r="D126">
        <v>22944</v>
      </c>
      <c r="E126" t="str">
        <f t="shared" si="1"/>
        <v>ia.assorted_string like '%22944-12-2023%' or</v>
      </c>
    </row>
    <row r="127" spans="1:5" x14ac:dyDescent="0.25">
      <c r="A127" s="1" t="s">
        <v>129</v>
      </c>
      <c r="B127" t="s">
        <v>157</v>
      </c>
      <c r="D127">
        <v>22997</v>
      </c>
      <c r="E127" t="str">
        <f t="shared" si="1"/>
        <v>ia.assorted_string like '%22997-12-2023%' or</v>
      </c>
    </row>
    <row r="128" spans="1:5" x14ac:dyDescent="0.25">
      <c r="A128" s="1" t="s">
        <v>130</v>
      </c>
      <c r="B128" t="s">
        <v>157</v>
      </c>
      <c r="D128">
        <v>23032</v>
      </c>
      <c r="E128" t="str">
        <f t="shared" si="1"/>
        <v>ia.assorted_string like '%23032-12-2023%' or</v>
      </c>
    </row>
    <row r="129" spans="1:5" x14ac:dyDescent="0.25">
      <c r="A129" s="1" t="s">
        <v>131</v>
      </c>
      <c r="B129" t="s">
        <v>157</v>
      </c>
      <c r="D129">
        <v>23045</v>
      </c>
      <c r="E129" t="str">
        <f t="shared" si="1"/>
        <v>ia.assorted_string like '%23045-12-2023%' or</v>
      </c>
    </row>
    <row r="130" spans="1:5" x14ac:dyDescent="0.25">
      <c r="A130" s="1" t="s">
        <v>132</v>
      </c>
      <c r="B130" t="s">
        <v>157</v>
      </c>
      <c r="D130">
        <v>23093</v>
      </c>
      <c r="E130" t="str">
        <f t="shared" ref="E130:E141" si="2">"ia.assorted_string like '%"&amp;D130&amp;B130&amp;"%' or"</f>
        <v>ia.assorted_string like '%23093-12-2023%' or</v>
      </c>
    </row>
    <row r="131" spans="1:5" x14ac:dyDescent="0.25">
      <c r="A131" s="1" t="s">
        <v>133</v>
      </c>
      <c r="B131" t="s">
        <v>157</v>
      </c>
      <c r="D131">
        <v>23110</v>
      </c>
      <c r="E131" t="str">
        <f t="shared" si="2"/>
        <v>ia.assorted_string like '%23110-12-2023%' or</v>
      </c>
    </row>
    <row r="132" spans="1:5" x14ac:dyDescent="0.25">
      <c r="A132" s="1" t="s">
        <v>134</v>
      </c>
      <c r="B132" t="s">
        <v>157</v>
      </c>
      <c r="D132">
        <v>23139</v>
      </c>
      <c r="E132" t="str">
        <f t="shared" si="2"/>
        <v>ia.assorted_string like '%23139-12-2023%' or</v>
      </c>
    </row>
    <row r="133" spans="1:5" x14ac:dyDescent="0.25">
      <c r="A133" s="1" t="s">
        <v>135</v>
      </c>
      <c r="B133" t="s">
        <v>157</v>
      </c>
      <c r="D133">
        <v>23154</v>
      </c>
      <c r="E133" t="str">
        <f t="shared" si="2"/>
        <v>ia.assorted_string like '%23154-12-2023%' or</v>
      </c>
    </row>
    <row r="134" spans="1:5" x14ac:dyDescent="0.25">
      <c r="A134" s="1" t="s">
        <v>136</v>
      </c>
      <c r="B134" t="s">
        <v>157</v>
      </c>
      <c r="D134">
        <v>23182</v>
      </c>
      <c r="E134" t="str">
        <f t="shared" si="2"/>
        <v>ia.assorted_string like '%23182-12-2023%' or</v>
      </c>
    </row>
    <row r="135" spans="1:5" x14ac:dyDescent="0.25">
      <c r="A135" s="1" t="s">
        <v>137</v>
      </c>
      <c r="B135" t="s">
        <v>157</v>
      </c>
      <c r="D135">
        <v>23243</v>
      </c>
      <c r="E135" t="str">
        <f t="shared" si="2"/>
        <v>ia.assorted_string like '%23243-12-2023%' or</v>
      </c>
    </row>
    <row r="136" spans="1:5" x14ac:dyDescent="0.25">
      <c r="A136" s="1" t="s">
        <v>138</v>
      </c>
      <c r="B136" t="s">
        <v>157</v>
      </c>
      <c r="D136">
        <v>23256</v>
      </c>
      <c r="E136" t="str">
        <f t="shared" si="2"/>
        <v>ia.assorted_string like '%23256-12-2023%' or</v>
      </c>
    </row>
    <row r="137" spans="1:5" x14ac:dyDescent="0.25">
      <c r="A137" s="1" t="s">
        <v>139</v>
      </c>
      <c r="B137" t="s">
        <v>157</v>
      </c>
      <c r="D137">
        <v>23276</v>
      </c>
      <c r="E137" t="str">
        <f t="shared" si="2"/>
        <v>ia.assorted_string like '%23276-12-2023%' or</v>
      </c>
    </row>
    <row r="138" spans="1:5" x14ac:dyDescent="0.25">
      <c r="A138" s="1" t="s">
        <v>140</v>
      </c>
      <c r="B138" t="s">
        <v>157</v>
      </c>
      <c r="D138">
        <v>23297</v>
      </c>
      <c r="E138" t="str">
        <f t="shared" si="2"/>
        <v>ia.assorted_string like '%23297-12-2023%' or</v>
      </c>
    </row>
    <row r="139" spans="1:5" x14ac:dyDescent="0.25">
      <c r="A139" s="1" t="s">
        <v>141</v>
      </c>
      <c r="B139" t="s">
        <v>157</v>
      </c>
      <c r="D139">
        <v>23300</v>
      </c>
      <c r="E139" t="str">
        <f t="shared" si="2"/>
        <v>ia.assorted_string like '%23300-12-2023%' or</v>
      </c>
    </row>
    <row r="140" spans="1:5" x14ac:dyDescent="0.25">
      <c r="A140" s="1" t="s">
        <v>142</v>
      </c>
      <c r="B140" t="s">
        <v>158</v>
      </c>
      <c r="D140">
        <v>23345</v>
      </c>
      <c r="E140" t="str">
        <f t="shared" si="2"/>
        <v>ia.assorted_string like '%23345-01-2024%' or</v>
      </c>
    </row>
    <row r="141" spans="1:5" x14ac:dyDescent="0.25">
      <c r="A141" s="1" t="s">
        <v>143</v>
      </c>
      <c r="B141" t="s">
        <v>159</v>
      </c>
      <c r="D141">
        <v>26615</v>
      </c>
      <c r="E141" t="str">
        <f t="shared" si="2"/>
        <v>ia.assorted_string like '%26615-08-2024%' or</v>
      </c>
    </row>
  </sheetData>
  <conditionalFormatting sqref="A1:A141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1414-F5D8-4E28-A2D4-7E32C1D98505}">
  <dimension ref="A1:J114"/>
  <sheetViews>
    <sheetView workbookViewId="0">
      <selection activeCell="J1" sqref="J1"/>
    </sheetView>
  </sheetViews>
  <sheetFormatPr defaultRowHeight="15" x14ac:dyDescent="0.25"/>
  <cols>
    <col min="1" max="1" width="40.5703125" bestFit="1" customWidth="1"/>
    <col min="2" max="2" width="8.42578125" bestFit="1" customWidth="1"/>
  </cols>
  <sheetData>
    <row r="1" spans="1:10" x14ac:dyDescent="0.25">
      <c r="A1" s="14" t="s">
        <v>303</v>
      </c>
      <c r="B1" t="s">
        <v>159</v>
      </c>
      <c r="H1">
        <v>93459</v>
      </c>
      <c r="I1" t="s">
        <v>302</v>
      </c>
      <c r="J1" t="str">
        <f>"ia.assorted_string like '%"&amp;H1&amp;"-"&amp;I1&amp;B1&amp;"%' or"</f>
        <v>ia.assorted_string like '%93459-00025-08-2024%' or</v>
      </c>
    </row>
    <row r="2" spans="1:10" x14ac:dyDescent="0.25">
      <c r="A2" s="14" t="s">
        <v>304</v>
      </c>
      <c r="B2" t="s">
        <v>159</v>
      </c>
    </row>
    <row r="3" spans="1:10" x14ac:dyDescent="0.25">
      <c r="A3" s="14" t="s">
        <v>305</v>
      </c>
      <c r="B3" t="s">
        <v>159</v>
      </c>
    </row>
    <row r="4" spans="1:10" x14ac:dyDescent="0.25">
      <c r="A4" s="14" t="s">
        <v>306</v>
      </c>
      <c r="B4" t="s">
        <v>159</v>
      </c>
    </row>
    <row r="5" spans="1:10" x14ac:dyDescent="0.25">
      <c r="A5" s="14" t="s">
        <v>307</v>
      </c>
      <c r="B5" t="s">
        <v>159</v>
      </c>
    </row>
    <row r="6" spans="1:10" x14ac:dyDescent="0.25">
      <c r="A6" s="14" t="s">
        <v>308</v>
      </c>
      <c r="B6" t="s">
        <v>159</v>
      </c>
    </row>
    <row r="7" spans="1:10" x14ac:dyDescent="0.25">
      <c r="A7" s="14" t="s">
        <v>309</v>
      </c>
      <c r="B7" t="s">
        <v>159</v>
      </c>
    </row>
    <row r="8" spans="1:10" x14ac:dyDescent="0.25">
      <c r="A8" s="14" t="s">
        <v>310</v>
      </c>
      <c r="B8" t="s">
        <v>159</v>
      </c>
    </row>
    <row r="9" spans="1:10" x14ac:dyDescent="0.25">
      <c r="A9" s="14" t="s">
        <v>311</v>
      </c>
      <c r="B9" t="s">
        <v>159</v>
      </c>
    </row>
    <row r="10" spans="1:10" x14ac:dyDescent="0.25">
      <c r="A10" s="14" t="s">
        <v>312</v>
      </c>
      <c r="B10" t="s">
        <v>159</v>
      </c>
    </row>
    <row r="11" spans="1:10" x14ac:dyDescent="0.25">
      <c r="A11" s="14" t="s">
        <v>313</v>
      </c>
      <c r="B11" t="s">
        <v>159</v>
      </c>
    </row>
    <row r="12" spans="1:10" x14ac:dyDescent="0.25">
      <c r="A12" s="14" t="s">
        <v>314</v>
      </c>
      <c r="B12" t="s">
        <v>159</v>
      </c>
    </row>
    <row r="13" spans="1:10" x14ac:dyDescent="0.25">
      <c r="A13" s="14" t="s">
        <v>315</v>
      </c>
      <c r="B13" t="s">
        <v>159</v>
      </c>
    </row>
    <row r="14" spans="1:10" x14ac:dyDescent="0.25">
      <c r="A14" s="14" t="s">
        <v>316</v>
      </c>
      <c r="B14" t="s">
        <v>159</v>
      </c>
    </row>
    <row r="15" spans="1:10" x14ac:dyDescent="0.25">
      <c r="A15" s="14" t="s">
        <v>317</v>
      </c>
      <c r="B15" t="s">
        <v>159</v>
      </c>
    </row>
    <row r="16" spans="1:10" x14ac:dyDescent="0.25">
      <c r="A16" s="14" t="s">
        <v>318</v>
      </c>
      <c r="B16" t="s">
        <v>159</v>
      </c>
    </row>
    <row r="17" spans="1:2" x14ac:dyDescent="0.25">
      <c r="A17" s="14" t="s">
        <v>319</v>
      </c>
      <c r="B17" t="s">
        <v>159</v>
      </c>
    </row>
    <row r="18" spans="1:2" x14ac:dyDescent="0.25">
      <c r="A18" s="14" t="s">
        <v>320</v>
      </c>
      <c r="B18" t="s">
        <v>159</v>
      </c>
    </row>
    <row r="19" spans="1:2" x14ac:dyDescent="0.25">
      <c r="A19" s="14" t="s">
        <v>321</v>
      </c>
      <c r="B19" t="s">
        <v>159</v>
      </c>
    </row>
    <row r="20" spans="1:2" x14ac:dyDescent="0.25">
      <c r="A20" s="14" t="s">
        <v>322</v>
      </c>
      <c r="B20" t="s">
        <v>159</v>
      </c>
    </row>
    <row r="21" spans="1:2" x14ac:dyDescent="0.25">
      <c r="A21" s="14" t="s">
        <v>323</v>
      </c>
      <c r="B21" t="s">
        <v>159</v>
      </c>
    </row>
    <row r="22" spans="1:2" x14ac:dyDescent="0.25">
      <c r="A22" s="14" t="s">
        <v>324</v>
      </c>
      <c r="B22" t="s">
        <v>159</v>
      </c>
    </row>
    <row r="23" spans="1:2" x14ac:dyDescent="0.25">
      <c r="A23" s="14" t="s">
        <v>325</v>
      </c>
      <c r="B23" t="s">
        <v>159</v>
      </c>
    </row>
    <row r="24" spans="1:2" x14ac:dyDescent="0.25">
      <c r="A24" s="14" t="s">
        <v>326</v>
      </c>
      <c r="B24" t="s">
        <v>159</v>
      </c>
    </row>
    <row r="25" spans="1:2" x14ac:dyDescent="0.25">
      <c r="A25" s="14" t="s">
        <v>327</v>
      </c>
      <c r="B25" t="s">
        <v>159</v>
      </c>
    </row>
    <row r="26" spans="1:2" x14ac:dyDescent="0.25">
      <c r="A26" s="14" t="s">
        <v>328</v>
      </c>
      <c r="B26" t="s">
        <v>159</v>
      </c>
    </row>
    <row r="27" spans="1:2" x14ac:dyDescent="0.25">
      <c r="A27" s="14" t="s">
        <v>329</v>
      </c>
      <c r="B27" t="s">
        <v>159</v>
      </c>
    </row>
    <row r="28" spans="1:2" x14ac:dyDescent="0.25">
      <c r="A28" s="14" t="s">
        <v>330</v>
      </c>
      <c r="B28" t="s">
        <v>159</v>
      </c>
    </row>
    <row r="29" spans="1:2" x14ac:dyDescent="0.25">
      <c r="A29" s="14" t="s">
        <v>331</v>
      </c>
      <c r="B29" t="s">
        <v>159</v>
      </c>
    </row>
    <row r="30" spans="1:2" x14ac:dyDescent="0.25">
      <c r="A30" s="14" t="s">
        <v>332</v>
      </c>
      <c r="B30" t="s">
        <v>159</v>
      </c>
    </row>
    <row r="31" spans="1:2" x14ac:dyDescent="0.25">
      <c r="A31" s="14" t="s">
        <v>333</v>
      </c>
      <c r="B31" t="s">
        <v>159</v>
      </c>
    </row>
    <row r="32" spans="1:2" x14ac:dyDescent="0.25">
      <c r="A32" s="14" t="s">
        <v>334</v>
      </c>
      <c r="B32" t="s">
        <v>159</v>
      </c>
    </row>
    <row r="33" spans="1:2" x14ac:dyDescent="0.25">
      <c r="A33" s="14" t="s">
        <v>335</v>
      </c>
      <c r="B33" t="s">
        <v>159</v>
      </c>
    </row>
    <row r="34" spans="1:2" x14ac:dyDescent="0.25">
      <c r="A34" s="14" t="s">
        <v>336</v>
      </c>
      <c r="B34" t="s">
        <v>159</v>
      </c>
    </row>
    <row r="35" spans="1:2" x14ac:dyDescent="0.25">
      <c r="A35" s="14" t="s">
        <v>337</v>
      </c>
      <c r="B35" t="s">
        <v>159</v>
      </c>
    </row>
    <row r="36" spans="1:2" x14ac:dyDescent="0.25">
      <c r="A36" s="14" t="s">
        <v>338</v>
      </c>
      <c r="B36" t="s">
        <v>159</v>
      </c>
    </row>
    <row r="37" spans="1:2" x14ac:dyDescent="0.25">
      <c r="A37" s="14" t="s">
        <v>339</v>
      </c>
      <c r="B37" t="s">
        <v>159</v>
      </c>
    </row>
    <row r="38" spans="1:2" x14ac:dyDescent="0.25">
      <c r="A38" s="14" t="s">
        <v>340</v>
      </c>
      <c r="B38" t="s">
        <v>159</v>
      </c>
    </row>
    <row r="39" spans="1:2" x14ac:dyDescent="0.25">
      <c r="A39" s="14" t="s">
        <v>341</v>
      </c>
      <c r="B39" t="s">
        <v>159</v>
      </c>
    </row>
    <row r="40" spans="1:2" x14ac:dyDescent="0.25">
      <c r="A40" s="14" t="s">
        <v>342</v>
      </c>
      <c r="B40" t="s">
        <v>159</v>
      </c>
    </row>
    <row r="41" spans="1:2" x14ac:dyDescent="0.25">
      <c r="A41" s="14" t="s">
        <v>343</v>
      </c>
      <c r="B41" t="s">
        <v>159</v>
      </c>
    </row>
    <row r="42" spans="1:2" x14ac:dyDescent="0.25">
      <c r="A42" s="14" t="s">
        <v>344</v>
      </c>
      <c r="B42" t="s">
        <v>159</v>
      </c>
    </row>
    <row r="43" spans="1:2" x14ac:dyDescent="0.25">
      <c r="A43" s="14" t="s">
        <v>345</v>
      </c>
      <c r="B43" t="s">
        <v>159</v>
      </c>
    </row>
    <row r="44" spans="1:2" x14ac:dyDescent="0.25">
      <c r="A44" s="14" t="s">
        <v>346</v>
      </c>
      <c r="B44" t="s">
        <v>159</v>
      </c>
    </row>
    <row r="45" spans="1:2" x14ac:dyDescent="0.25">
      <c r="A45" s="14" t="s">
        <v>347</v>
      </c>
      <c r="B45" t="s">
        <v>159</v>
      </c>
    </row>
    <row r="46" spans="1:2" x14ac:dyDescent="0.25">
      <c r="A46" s="14" t="s">
        <v>348</v>
      </c>
      <c r="B46" t="s">
        <v>159</v>
      </c>
    </row>
    <row r="47" spans="1:2" x14ac:dyDescent="0.25">
      <c r="A47" s="14" t="s">
        <v>349</v>
      </c>
      <c r="B47" t="s">
        <v>159</v>
      </c>
    </row>
    <row r="48" spans="1:2" x14ac:dyDescent="0.25">
      <c r="A48" s="14" t="s">
        <v>350</v>
      </c>
      <c r="B48" t="s">
        <v>159</v>
      </c>
    </row>
    <row r="49" spans="1:2" x14ac:dyDescent="0.25">
      <c r="A49" s="14" t="s">
        <v>351</v>
      </c>
      <c r="B49" t="s">
        <v>159</v>
      </c>
    </row>
    <row r="50" spans="1:2" x14ac:dyDescent="0.25">
      <c r="A50" s="14" t="s">
        <v>352</v>
      </c>
      <c r="B50" t="s">
        <v>159</v>
      </c>
    </row>
    <row r="51" spans="1:2" x14ac:dyDescent="0.25">
      <c r="A51" s="14" t="s">
        <v>353</v>
      </c>
      <c r="B51" t="s">
        <v>159</v>
      </c>
    </row>
    <row r="52" spans="1:2" x14ac:dyDescent="0.25">
      <c r="A52" s="14" t="s">
        <v>354</v>
      </c>
      <c r="B52" t="s">
        <v>159</v>
      </c>
    </row>
    <row r="53" spans="1:2" x14ac:dyDescent="0.25">
      <c r="A53" s="14" t="s">
        <v>355</v>
      </c>
      <c r="B53" t="s">
        <v>159</v>
      </c>
    </row>
    <row r="54" spans="1:2" x14ac:dyDescent="0.25">
      <c r="A54" s="14" t="s">
        <v>356</v>
      </c>
      <c r="B54" t="s">
        <v>159</v>
      </c>
    </row>
    <row r="55" spans="1:2" x14ac:dyDescent="0.25">
      <c r="A55" s="14" t="s">
        <v>357</v>
      </c>
      <c r="B55" t="s">
        <v>159</v>
      </c>
    </row>
    <row r="56" spans="1:2" x14ac:dyDescent="0.25">
      <c r="A56" s="14" t="s">
        <v>358</v>
      </c>
      <c r="B56" t="s">
        <v>159</v>
      </c>
    </row>
    <row r="57" spans="1:2" x14ac:dyDescent="0.25">
      <c r="A57" s="14" t="s">
        <v>359</v>
      </c>
      <c r="B57" t="s">
        <v>159</v>
      </c>
    </row>
    <row r="58" spans="1:2" x14ac:dyDescent="0.25">
      <c r="A58" s="14" t="s">
        <v>360</v>
      </c>
      <c r="B58" t="s">
        <v>159</v>
      </c>
    </row>
    <row r="59" spans="1:2" x14ac:dyDescent="0.25">
      <c r="A59" s="14" t="s">
        <v>361</v>
      </c>
      <c r="B59" t="s">
        <v>159</v>
      </c>
    </row>
    <row r="60" spans="1:2" x14ac:dyDescent="0.25">
      <c r="A60" s="14" t="s">
        <v>362</v>
      </c>
      <c r="B60" t="s">
        <v>159</v>
      </c>
    </row>
    <row r="61" spans="1:2" x14ac:dyDescent="0.25">
      <c r="A61" s="14" t="s">
        <v>363</v>
      </c>
      <c r="B61" t="s">
        <v>159</v>
      </c>
    </row>
    <row r="62" spans="1:2" x14ac:dyDescent="0.25">
      <c r="A62" s="14" t="s">
        <v>364</v>
      </c>
      <c r="B62" t="s">
        <v>159</v>
      </c>
    </row>
    <row r="63" spans="1:2" x14ac:dyDescent="0.25">
      <c r="A63" s="14" t="s">
        <v>365</v>
      </c>
      <c r="B63" t="s">
        <v>159</v>
      </c>
    </row>
    <row r="64" spans="1:2" x14ac:dyDescent="0.25">
      <c r="A64" s="14" t="s">
        <v>366</v>
      </c>
      <c r="B64" t="s">
        <v>159</v>
      </c>
    </row>
    <row r="65" spans="1:2" x14ac:dyDescent="0.25">
      <c r="A65" s="14" t="s">
        <v>367</v>
      </c>
      <c r="B65" t="s">
        <v>159</v>
      </c>
    </row>
    <row r="66" spans="1:2" x14ac:dyDescent="0.25">
      <c r="A66" s="14" t="s">
        <v>368</v>
      </c>
      <c r="B66" t="s">
        <v>159</v>
      </c>
    </row>
    <row r="67" spans="1:2" x14ac:dyDescent="0.25">
      <c r="A67" s="14" t="s">
        <v>369</v>
      </c>
      <c r="B67" t="s">
        <v>159</v>
      </c>
    </row>
    <row r="68" spans="1:2" x14ac:dyDescent="0.25">
      <c r="A68" s="14" t="s">
        <v>370</v>
      </c>
      <c r="B68" t="s">
        <v>159</v>
      </c>
    </row>
    <row r="69" spans="1:2" x14ac:dyDescent="0.25">
      <c r="A69" s="14" t="s">
        <v>371</v>
      </c>
      <c r="B69" t="s">
        <v>159</v>
      </c>
    </row>
    <row r="70" spans="1:2" x14ac:dyDescent="0.25">
      <c r="A70" s="14" t="s">
        <v>372</v>
      </c>
      <c r="B70" t="s">
        <v>159</v>
      </c>
    </row>
    <row r="71" spans="1:2" x14ac:dyDescent="0.25">
      <c r="A71" s="14" t="s">
        <v>373</v>
      </c>
      <c r="B71" t="s">
        <v>159</v>
      </c>
    </row>
    <row r="72" spans="1:2" x14ac:dyDescent="0.25">
      <c r="A72" s="14" t="s">
        <v>374</v>
      </c>
      <c r="B72" t="s">
        <v>159</v>
      </c>
    </row>
    <row r="73" spans="1:2" x14ac:dyDescent="0.25">
      <c r="A73" s="14" t="s">
        <v>375</v>
      </c>
      <c r="B73" t="s">
        <v>159</v>
      </c>
    </row>
    <row r="74" spans="1:2" x14ac:dyDescent="0.25">
      <c r="A74" s="14" t="s">
        <v>376</v>
      </c>
      <c r="B74" t="s">
        <v>159</v>
      </c>
    </row>
    <row r="75" spans="1:2" x14ac:dyDescent="0.25">
      <c r="A75" s="14" t="s">
        <v>377</v>
      </c>
      <c r="B75" t="s">
        <v>159</v>
      </c>
    </row>
    <row r="76" spans="1:2" x14ac:dyDescent="0.25">
      <c r="A76" s="14" t="s">
        <v>378</v>
      </c>
      <c r="B76" t="s">
        <v>159</v>
      </c>
    </row>
    <row r="77" spans="1:2" x14ac:dyDescent="0.25">
      <c r="A77" s="14" t="s">
        <v>379</v>
      </c>
      <c r="B77" t="s">
        <v>159</v>
      </c>
    </row>
    <row r="78" spans="1:2" x14ac:dyDescent="0.25">
      <c r="A78" s="14" t="s">
        <v>380</v>
      </c>
      <c r="B78" t="s">
        <v>159</v>
      </c>
    </row>
    <row r="79" spans="1:2" x14ac:dyDescent="0.25">
      <c r="A79" s="14" t="s">
        <v>381</v>
      </c>
      <c r="B79" t="s">
        <v>159</v>
      </c>
    </row>
    <row r="80" spans="1:2" x14ac:dyDescent="0.25">
      <c r="A80" s="14" t="s">
        <v>382</v>
      </c>
      <c r="B80" t="s">
        <v>159</v>
      </c>
    </row>
    <row r="81" spans="1:2" x14ac:dyDescent="0.25">
      <c r="A81" s="14" t="s">
        <v>383</v>
      </c>
      <c r="B81" t="s">
        <v>159</v>
      </c>
    </row>
    <row r="82" spans="1:2" x14ac:dyDescent="0.25">
      <c r="A82" s="14" t="s">
        <v>384</v>
      </c>
      <c r="B82" t="s">
        <v>159</v>
      </c>
    </row>
    <row r="83" spans="1:2" x14ac:dyDescent="0.25">
      <c r="A83" s="14" t="s">
        <v>385</v>
      </c>
      <c r="B83" t="s">
        <v>159</v>
      </c>
    </row>
    <row r="84" spans="1:2" x14ac:dyDescent="0.25">
      <c r="A84" s="14" t="s">
        <v>386</v>
      </c>
      <c r="B84" t="s">
        <v>159</v>
      </c>
    </row>
    <row r="85" spans="1:2" x14ac:dyDescent="0.25">
      <c r="A85" s="14" t="s">
        <v>387</v>
      </c>
      <c r="B85" t="s">
        <v>159</v>
      </c>
    </row>
    <row r="86" spans="1:2" x14ac:dyDescent="0.25">
      <c r="A86" s="14" t="s">
        <v>388</v>
      </c>
      <c r="B86" t="s">
        <v>159</v>
      </c>
    </row>
    <row r="87" spans="1:2" x14ac:dyDescent="0.25">
      <c r="A87" s="14" t="s">
        <v>389</v>
      </c>
      <c r="B87" t="s">
        <v>159</v>
      </c>
    </row>
    <row r="88" spans="1:2" x14ac:dyDescent="0.25">
      <c r="A88" s="14" t="s">
        <v>390</v>
      </c>
      <c r="B88" t="s">
        <v>159</v>
      </c>
    </row>
    <row r="89" spans="1:2" x14ac:dyDescent="0.25">
      <c r="A89" s="14" t="s">
        <v>391</v>
      </c>
      <c r="B89" t="s">
        <v>159</v>
      </c>
    </row>
    <row r="90" spans="1:2" x14ac:dyDescent="0.25">
      <c r="A90" s="14" t="s">
        <v>392</v>
      </c>
      <c r="B90" t="s">
        <v>159</v>
      </c>
    </row>
    <row r="91" spans="1:2" x14ac:dyDescent="0.25">
      <c r="A91" s="14" t="s">
        <v>393</v>
      </c>
      <c r="B91" t="s">
        <v>159</v>
      </c>
    </row>
    <row r="92" spans="1:2" x14ac:dyDescent="0.25">
      <c r="A92" s="14" t="s">
        <v>394</v>
      </c>
      <c r="B92" t="s">
        <v>159</v>
      </c>
    </row>
    <row r="93" spans="1:2" x14ac:dyDescent="0.25">
      <c r="A93" s="14" t="s">
        <v>395</v>
      </c>
      <c r="B93" t="s">
        <v>159</v>
      </c>
    </row>
    <row r="94" spans="1:2" x14ac:dyDescent="0.25">
      <c r="A94" s="14" t="s">
        <v>396</v>
      </c>
      <c r="B94" t="s">
        <v>159</v>
      </c>
    </row>
    <row r="95" spans="1:2" x14ac:dyDescent="0.25">
      <c r="A95" s="14" t="s">
        <v>397</v>
      </c>
      <c r="B95" t="s">
        <v>159</v>
      </c>
    </row>
    <row r="96" spans="1:2" x14ac:dyDescent="0.25">
      <c r="A96" s="14" t="s">
        <v>398</v>
      </c>
      <c r="B96" t="s">
        <v>159</v>
      </c>
    </row>
    <row r="97" spans="1:2" x14ac:dyDescent="0.25">
      <c r="A97" s="14" t="s">
        <v>399</v>
      </c>
      <c r="B97" t="s">
        <v>159</v>
      </c>
    </row>
    <row r="98" spans="1:2" x14ac:dyDescent="0.25">
      <c r="A98" s="14" t="s">
        <v>400</v>
      </c>
      <c r="B98" t="s">
        <v>159</v>
      </c>
    </row>
    <row r="99" spans="1:2" x14ac:dyDescent="0.25">
      <c r="A99" s="14" t="s">
        <v>401</v>
      </c>
      <c r="B99" t="s">
        <v>159</v>
      </c>
    </row>
    <row r="100" spans="1:2" x14ac:dyDescent="0.25">
      <c r="A100" s="14" t="s">
        <v>402</v>
      </c>
      <c r="B100" t="s">
        <v>159</v>
      </c>
    </row>
    <row r="101" spans="1:2" x14ac:dyDescent="0.25">
      <c r="A101" s="14" t="s">
        <v>403</v>
      </c>
      <c r="B101" t="s">
        <v>159</v>
      </c>
    </row>
    <row r="102" spans="1:2" x14ac:dyDescent="0.25">
      <c r="A102" s="14" t="s">
        <v>404</v>
      </c>
      <c r="B102" t="s">
        <v>159</v>
      </c>
    </row>
    <row r="103" spans="1:2" x14ac:dyDescent="0.25">
      <c r="A103" s="14" t="s">
        <v>405</v>
      </c>
      <c r="B103" t="s">
        <v>159</v>
      </c>
    </row>
    <row r="104" spans="1:2" x14ac:dyDescent="0.25">
      <c r="A104" s="14" t="s">
        <v>406</v>
      </c>
      <c r="B104" t="s">
        <v>159</v>
      </c>
    </row>
    <row r="105" spans="1:2" x14ac:dyDescent="0.25">
      <c r="A105" s="14" t="s">
        <v>407</v>
      </c>
      <c r="B105" t="s">
        <v>159</v>
      </c>
    </row>
    <row r="106" spans="1:2" x14ac:dyDescent="0.25">
      <c r="A106" s="14" t="s">
        <v>408</v>
      </c>
      <c r="B106" t="s">
        <v>159</v>
      </c>
    </row>
    <row r="107" spans="1:2" x14ac:dyDescent="0.25">
      <c r="A107" s="14" t="s">
        <v>409</v>
      </c>
      <c r="B107" t="s">
        <v>159</v>
      </c>
    </row>
    <row r="108" spans="1:2" x14ac:dyDescent="0.25">
      <c r="A108" s="14" t="s">
        <v>410</v>
      </c>
      <c r="B108" t="s">
        <v>159</v>
      </c>
    </row>
    <row r="109" spans="1:2" x14ac:dyDescent="0.25">
      <c r="A109" s="14" t="s">
        <v>411</v>
      </c>
      <c r="B109" t="s">
        <v>159</v>
      </c>
    </row>
    <row r="110" spans="1:2" x14ac:dyDescent="0.25">
      <c r="A110" s="14" t="s">
        <v>412</v>
      </c>
      <c r="B110" t="s">
        <v>159</v>
      </c>
    </row>
    <row r="111" spans="1:2" x14ac:dyDescent="0.25">
      <c r="A111" s="14" t="s">
        <v>413</v>
      </c>
      <c r="B111" t="s">
        <v>159</v>
      </c>
    </row>
    <row r="112" spans="1:2" x14ac:dyDescent="0.25">
      <c r="A112" s="14" t="s">
        <v>414</v>
      </c>
      <c r="B112" t="s">
        <v>159</v>
      </c>
    </row>
    <row r="113" spans="1:2" x14ac:dyDescent="0.25">
      <c r="A113" s="14" t="s">
        <v>415</v>
      </c>
      <c r="B113" t="s">
        <v>159</v>
      </c>
    </row>
    <row r="114" spans="1:2" ht="15.75" thickBot="1" x14ac:dyDescent="0.3">
      <c r="A114" s="15" t="s">
        <v>416</v>
      </c>
      <c r="B11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policy</vt:lpstr>
      <vt:lpstr>certificate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Omair Ali</dc:creator>
  <cp:lastModifiedBy>IT User Software</cp:lastModifiedBy>
  <dcterms:created xsi:type="dcterms:W3CDTF">2024-08-15T12:10:48Z</dcterms:created>
  <dcterms:modified xsi:type="dcterms:W3CDTF">2025-07-24T12:07:37Z</dcterms:modified>
</cp:coreProperties>
</file>