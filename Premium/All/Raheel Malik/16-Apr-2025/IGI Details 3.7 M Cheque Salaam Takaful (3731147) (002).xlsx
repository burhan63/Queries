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remium\All\Raheel Malik\16-Apr-2025\"/>
    </mc:Choice>
  </mc:AlternateContent>
  <xr:revisionPtr revIDLastSave="0" documentId="13_ncr:1_{BD17C278-C5CF-4728-8979-21EC954C8864}" xr6:coauthVersionLast="47" xr6:coauthVersionMax="47" xr10:uidLastSave="{00000000-0000-0000-0000-000000000000}"/>
  <bookViews>
    <workbookView xWindow="-120" yWindow="-120" windowWidth="20730" windowHeight="11040" tabRatio="836" activeTab="2" xr2:uid="{00000000-000D-0000-FFFF-FFFF00000000}"/>
  </bookViews>
  <sheets>
    <sheet name="Sheet1" sheetId="1" r:id="rId1"/>
    <sheet name="Sheet2" sheetId="2" r:id="rId2"/>
    <sheet name="Sheet2 (2)" sheetId="3" r:id="rId3"/>
    <sheet name="WORKING" sheetId="4" r:id="rId4"/>
    <sheet name="Sheet4" sheetId="5" r:id="rId5"/>
    <sheet name="policy" sheetId="6" r:id="rId6"/>
    <sheet name="WC" sheetId="7" r:id="rId7"/>
    <sheet name="Sheet7" sheetId="8" r:id="rId8"/>
    <sheet name="PC" sheetId="9" r:id="rId9"/>
    <sheet name="wsc" sheetId="10" r:id="rId10"/>
    <sheet name="Sheet10" sheetId="11" r:id="rId11"/>
    <sheet name="psc" sheetId="12" r:id="rId12"/>
  </sheets>
  <definedNames>
    <definedName name="_xlnm._FilterDatabase" localSheetId="0" hidden="1">Sheet1!$B$3:$J$124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0" i="3" l="1"/>
  <c r="C4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2" i="10"/>
  <c r="G2" i="10" s="1"/>
  <c r="F2" i="10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1" i="11"/>
  <c r="D77" i="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2" i="7"/>
  <c r="G2" i="7" s="1"/>
  <c r="H2" i="7" s="1"/>
  <c r="F2" i="7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1" i="8"/>
  <c r="D43" i="4"/>
  <c r="D44" i="3"/>
  <c r="C43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2" i="4"/>
  <c r="F2" i="4"/>
  <c r="D2" i="4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1" i="5"/>
  <c r="J124" i="1"/>
  <c r="H124" i="1"/>
  <c r="H2" i="10" l="1"/>
  <c r="H2" i="4"/>
</calcChain>
</file>

<file path=xl/sharedStrings.xml><?xml version="1.0" encoding="utf-8"?>
<sst xmlns="http://schemas.openxmlformats.org/spreadsheetml/2006/main" count="2513" uniqueCount="328">
  <si>
    <t>Account Description</t>
  </si>
  <si>
    <t>Company</t>
  </si>
  <si>
    <t>Policy No</t>
  </si>
  <si>
    <t>Client Name</t>
  </si>
  <si>
    <t>Branch</t>
  </si>
  <si>
    <t>Year</t>
  </si>
  <si>
    <t>Amount Payable</t>
  </si>
  <si>
    <t>COINSURANCE RECEIVABLE - CLAIM</t>
  </si>
  <si>
    <t>SALAAM TAKAFUL LTD</t>
  </si>
  <si>
    <t>2024HOSALOI00062-2-1</t>
  </si>
  <si>
    <t>OXFORD UNIVERSITY PRESS PAKISTAN (SMC-PRIVATE)  LIMITED (FORMERLY OXFORD UNIVERSITY PRESS)</t>
  </si>
  <si>
    <t>Head Office</t>
  </si>
  <si>
    <t>2024</t>
  </si>
  <si>
    <t>2024HOSALOI00089-2-1</t>
  </si>
  <si>
    <t>2024HOSALOI00090-2-1</t>
  </si>
  <si>
    <t>2024HOSALOI00125-2-1</t>
  </si>
  <si>
    <t>2024HOSALOI00088-2-1</t>
  </si>
  <si>
    <t>2024HOSALOI00080-3-1</t>
  </si>
  <si>
    <t>2024HOEEEOI00068-2-1</t>
  </si>
  <si>
    <t>PREMIUM PAYABLE - COINSURANCE</t>
  </si>
  <si>
    <t>2024/04/HOSFGOP00750</t>
  </si>
  <si>
    <t>2024/04/HOSCIOP00751</t>
  </si>
  <si>
    <t>2024/04/HOSCIOP00752</t>
  </si>
  <si>
    <t>2024/04/HOSALOP00753</t>
  </si>
  <si>
    <t>2024/04/HOEEEOP00097</t>
  </si>
  <si>
    <t>2024/04/HOSALOP00754</t>
  </si>
  <si>
    <t>2024/04/HOEMBOP00098</t>
  </si>
  <si>
    <t>2024/04/HOECPOP00099</t>
  </si>
  <si>
    <t>2024/04/HOFFNOP00319</t>
  </si>
  <si>
    <t>2024/04/HOFTROP00320</t>
  </si>
  <si>
    <t>2024/04/HOFCMOP00342</t>
  </si>
  <si>
    <t>SANOFI-AVENTIS PAKISTAN LTD</t>
  </si>
  <si>
    <t>2024/04/HOFCMOP00343</t>
  </si>
  <si>
    <t>2024/04/HOFTSROP00344</t>
  </si>
  <si>
    <t>2024/06/HOEEEOP00145</t>
  </si>
  <si>
    <t>THINK PVC (PRIVATE) LIMITED</t>
  </si>
  <si>
    <t>2024/07/HOEEEOP00180</t>
  </si>
  <si>
    <t>ENGRO ENFRASHARE (PRIVATE) LIMITED</t>
  </si>
  <si>
    <t>2024/07/HOEEEOP00179</t>
  </si>
  <si>
    <t>ENGRO POWERGEN QADIRPUR LIMITED</t>
  </si>
  <si>
    <t>2024/07/HOFFNOP00587</t>
  </si>
  <si>
    <t>GHANDHARA INDUSTRIES LIMITED</t>
  </si>
  <si>
    <t>2024/07/HOFFNOP00586</t>
  </si>
  <si>
    <t>2024/07/HOFFNOP00585</t>
  </si>
  <si>
    <t>2024/07/HOEEEOP00184</t>
  </si>
  <si>
    <t>ENGRO ELENGY TERMINAL (PRIVATE) LIMITED</t>
  </si>
  <si>
    <t>2024/07/HOEEEOP00183</t>
  </si>
  <si>
    <t>ENGRO ENERGY LIMITED</t>
  </si>
  <si>
    <t>2024/07/HOFFNOP00594</t>
  </si>
  <si>
    <t>GHANDHARA TYRE AND RUBBER COMPANY LIMITED. (FORMERLY THE GENERAL TYRE AND RUBBER CO OF PAKISTAN LIMITED)</t>
  </si>
  <si>
    <t>2024/07/HOFFNOP00595</t>
  </si>
  <si>
    <t>2024/07/HOFFNOP00596</t>
  </si>
  <si>
    <t>2024/07/HOFFNOP00597</t>
  </si>
  <si>
    <t>2024/07/HOFTROP00598</t>
  </si>
  <si>
    <t>2024/07/HOFFNOP00601</t>
  </si>
  <si>
    <t>2024/07/HOFCMOE01034</t>
  </si>
  <si>
    <t>TRI-PACK FILMS LIMITED</t>
  </si>
  <si>
    <t>2024/07/HOFFNOE01033</t>
  </si>
  <si>
    <t>ENGRO POLYMER AND CHEMICALS LIMITED</t>
  </si>
  <si>
    <t>2024/07/HOEEEOP00187</t>
  </si>
  <si>
    <t>2024/07/HOEEEOP00186</t>
  </si>
  <si>
    <t>2024/07/HOEBPOP00185</t>
  </si>
  <si>
    <t>2023/10/HOFCMOE00635</t>
  </si>
  <si>
    <t>ENGRO FERTILIZER LIMITED</t>
  </si>
  <si>
    <t>2023</t>
  </si>
  <si>
    <t>2023/10/HOEMBOP00122</t>
  </si>
  <si>
    <t>ENGRO CORPORATION LIMITED</t>
  </si>
  <si>
    <t>2024/09/HOFCMOE01445</t>
  </si>
  <si>
    <t>2024/09/HOFTSROE01447</t>
  </si>
  <si>
    <t>COINSURANCE RECEIVABLE - COMMISSION</t>
  </si>
  <si>
    <t>2024/09/HOFCMOE01517</t>
  </si>
  <si>
    <t>COINSURANCE RECEIVABLE - SERVICE CHARGES</t>
  </si>
  <si>
    <t>2024/09/HOFCMOE01576</t>
  </si>
  <si>
    <t>2024/09/HOFCMOE01577</t>
  </si>
  <si>
    <t>2024/09/HOFTSROE01578</t>
  </si>
  <si>
    <t>2024/10/HOEEEOP00314</t>
  </si>
  <si>
    <t>GHANDHARA AUTOMOBILES LIMITED (FORMERLY GHANDHARA NISSAN LIMITED).</t>
  </si>
  <si>
    <t>2024/05/HOSCIOE00180</t>
  </si>
  <si>
    <t xml:space="preserve">STL Policy No. </t>
  </si>
  <si>
    <t>KHI/HO/F/MI/FG/P/4642/10/2024</t>
  </si>
  <si>
    <t>KHI/HO/F/MI/CT/P/4643/10/2024</t>
  </si>
  <si>
    <t>KHI/HO/F/MI/CT/P/4644/10/2024</t>
  </si>
  <si>
    <t>KHI/HO/F/MI/ARC/P/4645/10/2024</t>
  </si>
  <si>
    <t>KHI/HO/F/MI/ARC/P/4646/10/2024</t>
  </si>
  <si>
    <t>KHI/HO/F/EG/EET/P/1196/05/2024</t>
  </si>
  <si>
    <t>KHI/HO/F/EG/MBD/P/1197/05/2024</t>
  </si>
  <si>
    <t>KHI/HO/F/EG/CPM/P/1198/05/2024</t>
  </si>
  <si>
    <t>KHI/HO/F/FR/ND/P/22274/05/2024</t>
  </si>
  <si>
    <t>KHI/HO/F/MI/TRR/P/290/05/2024</t>
  </si>
  <si>
    <t>KHI/HO/F/FR/CMFTP/22347/05/2024</t>
  </si>
  <si>
    <t>LHR/LHR/F/FR/CMFTP/22495/05/2024</t>
  </si>
  <si>
    <t>KHI/HO/F/MI/TRR/P/291/06/2024</t>
  </si>
  <si>
    <t>KHI/HO/F/EG/EET/P/1237/07/2024</t>
  </si>
  <si>
    <t>KHI/HO/F/EG/EET/P/1243/08/2024</t>
  </si>
  <si>
    <t>KHI/HO/F/FR/ND/P/22806/08/2024</t>
  </si>
  <si>
    <t>KHI/HO/F/FR/ND/P/22799/08/2024</t>
  </si>
  <si>
    <t>KHI/HO/F/FR/ND/P/22796/08/2024</t>
  </si>
  <si>
    <t>KHI/HO/F/EG/EET/P/1242/08/2024</t>
  </si>
  <si>
    <t>KHI/HO/F/EG/EET/P/1248/09/2024</t>
  </si>
  <si>
    <t>KHI/HO/F/EG/EET/P/1249/09/2024</t>
  </si>
  <si>
    <t>KHI/HO/F/EG/MBD/P/1081/12/2023</t>
  </si>
  <si>
    <t>KHI/HO/F/FR/ND/P/22814/08/2024</t>
  </si>
  <si>
    <t>KHI/HO/F/FR/D/P/22839/08/2024</t>
  </si>
  <si>
    <t>LHR/LHR/F/FR/D/P/22840/08/2024</t>
  </si>
  <si>
    <t>LHR/LHR/F/FR/D/P/22843/08/2024</t>
  </si>
  <si>
    <t>KHI/HO/F/MI/TRR/P/318/09/2024</t>
  </si>
  <si>
    <t>KHI/HO/F/FR/ND/P/22921/08/2024</t>
  </si>
  <si>
    <t>KHI/HO/F/EG/EET/P/1245/08/2024</t>
  </si>
  <si>
    <t>KHI/HO/F/EG/EET/P/1246/08/2024</t>
  </si>
  <si>
    <t>KHI/HO/F/EG/BPV/P/1244/08/2024</t>
  </si>
  <si>
    <t>KHI/HO/F/EG/EET/P/1256/11/2024</t>
  </si>
  <si>
    <t>KHI/HO/F/FR/CMFTE/10713/10/2024</t>
  </si>
  <si>
    <t>KHI/HO/F/MI/TRR/E/412/12/2024</t>
  </si>
  <si>
    <t>LHR/LHR/F/FR/CMFTE/10711/10/2024</t>
  </si>
  <si>
    <t>KHI/HO/F/FR/CMFTE/10715/10/2024</t>
  </si>
  <si>
    <t>LHR/LHR/F/FR/CMFTE/10714/10/2024</t>
  </si>
  <si>
    <t>KHI/HO/F/MI/TRR/E/413/12/2024</t>
  </si>
  <si>
    <t>KHI/HO/F/FR/ND/E/10612/09/2024</t>
  </si>
  <si>
    <t>KHI/HO/F/FR/CMFTE/10487/08/2024</t>
  </si>
  <si>
    <t>Updated Amount</t>
  </si>
  <si>
    <t>PREMIUM</t>
  </si>
  <si>
    <t>COMISSION</t>
  </si>
  <si>
    <t>SERVICE CHARGES</t>
  </si>
  <si>
    <t>-10-2024</t>
  </si>
  <si>
    <t>-05-2024</t>
  </si>
  <si>
    <t>-06-2024</t>
  </si>
  <si>
    <t>-07-2024</t>
  </si>
  <si>
    <t>-08-2024</t>
  </si>
  <si>
    <t>-09-2024</t>
  </si>
  <si>
    <t>-12-2023</t>
  </si>
  <si>
    <t>-12-2024</t>
  </si>
  <si>
    <t>-11-2024</t>
  </si>
  <si>
    <t xml:space="preserve">   </t>
  </si>
  <si>
    <t>FUNC_ASSORTED_STRING(IA.ASSORTED_CODE)</t>
  </si>
  <si>
    <t>ASSORTED_CODE</t>
  </si>
  <si>
    <t>KHI/HO/D/MO/PC COMP/C/22843/08/2024</t>
  </si>
  <si>
    <t>020000046453</t>
  </si>
  <si>
    <t>040000181344</t>
  </si>
  <si>
    <t>040000175006</t>
  </si>
  <si>
    <t>FSD/FSD/D/FR/ND/P/21081/12/2023</t>
  </si>
  <si>
    <t>040000161221</t>
  </si>
  <si>
    <t>040000160795</t>
  </si>
  <si>
    <t>LHR/LHR/D/MO/PC COMP/R/72290/05/2024</t>
  </si>
  <si>
    <t>080000160269</t>
  </si>
  <si>
    <t>040000172420</t>
  </si>
  <si>
    <t>040000172427</t>
  </si>
  <si>
    <t>KHI/HO/D/MO/PC COMP/E/41290/05/2024</t>
  </si>
  <si>
    <t>050000740706</t>
  </si>
  <si>
    <t>040000172425</t>
  </si>
  <si>
    <t>040000172409</t>
  </si>
  <si>
    <t>LHR/LHR/D/MO/PC TPP/P/88290/05/2024</t>
  </si>
  <si>
    <t>040000172481</t>
  </si>
  <si>
    <t>050000777897</t>
  </si>
  <si>
    <t>LHR/LHR/D/FR/ND/P/22290/05/2024</t>
  </si>
  <si>
    <t>040000172919</t>
  </si>
  <si>
    <t>KHI/AR/AR/D/MO/MC TTT/R/69290/05/2024</t>
  </si>
  <si>
    <t>080000159921</t>
  </si>
  <si>
    <t>KHI/HO/D/MO/PD COMP/E/42291/06/2024</t>
  </si>
  <si>
    <t>050000756532</t>
  </si>
  <si>
    <t>KHI/HO/D/HLGRP HEALTH/E/25290/05/2024</t>
  </si>
  <si>
    <t>050000746673</t>
  </si>
  <si>
    <t>040000182752</t>
  </si>
  <si>
    <t>050000799611</t>
  </si>
  <si>
    <t>050000799774</t>
  </si>
  <si>
    <t>KHI/HO/D/MO/PC COMP/C/24642/10/2024</t>
  </si>
  <si>
    <t>020000048579</t>
  </si>
  <si>
    <t>KHI/HO/D/MO/PD COMP/E/46318/09/2024</t>
  </si>
  <si>
    <t>050000793145</t>
  </si>
  <si>
    <t>KHI/HO/D/HLGRP HEALTH/P/3318/09/2024</t>
  </si>
  <si>
    <t>040000184229</t>
  </si>
  <si>
    <t>KHI/HO/D/MO/PC COMP/E/47318/09/2024</t>
  </si>
  <si>
    <t>050000803762</t>
  </si>
  <si>
    <t>040000183353</t>
  </si>
  <si>
    <t>KHI/HO/D/MO/PC COMP/C/24643/10/2024</t>
  </si>
  <si>
    <t>020000048580</t>
  </si>
  <si>
    <t>050000786710</t>
  </si>
  <si>
    <t>040000185739</t>
  </si>
  <si>
    <t>040000185754</t>
  </si>
  <si>
    <t>KHI/HO/D/MO/PC COMP/P/101256/11/2024</t>
  </si>
  <si>
    <t>040000188482</t>
  </si>
  <si>
    <t>KHI/HO/D/MO/PC TPP/C/22921/08/2024</t>
  </si>
  <si>
    <t>020000046544</t>
  </si>
  <si>
    <t>KHI/HO/D/MO/MC COMP/C/24646/10/2024</t>
  </si>
  <si>
    <t>020000048583</t>
  </si>
  <si>
    <t>KHI/HO/D/MO/MC COMP/R/76318/09/2024</t>
  </si>
  <si>
    <t>080000167028</t>
  </si>
  <si>
    <t>040000185733</t>
  </si>
  <si>
    <t>040000184446</t>
  </si>
  <si>
    <t>KHI/HO/D/MO/PC COMP/R/73291/06/2024</t>
  </si>
  <si>
    <t>080000161556</t>
  </si>
  <si>
    <t>LHR/LHR/D/MO/PC TPP/C/22796/08/2024</t>
  </si>
  <si>
    <t>020000046396</t>
  </si>
  <si>
    <t>KHI/AR/AR/D/MO/MC TTT/P/89290/05/2024</t>
  </si>
  <si>
    <t>040000173803</t>
  </si>
  <si>
    <t>040000174195</t>
  </si>
  <si>
    <t>040000180590</t>
  </si>
  <si>
    <t>040000174621</t>
  </si>
  <si>
    <t>KHI/HO/D/MO/PC COMP/C/21196/05/2024</t>
  </si>
  <si>
    <t>020000044420</t>
  </si>
  <si>
    <t>040000181225</t>
  </si>
  <si>
    <t>040000181265</t>
  </si>
  <si>
    <t>040000181306</t>
  </si>
  <si>
    <t>KHI/HO/D/HLGRP HEALTH/Q/8291/06/2024</t>
  </si>
  <si>
    <t>010000011725</t>
  </si>
  <si>
    <t>KHI/HO/D/MO/PC COMP/C/22814/08/2024</t>
  </si>
  <si>
    <t>020000046421</t>
  </si>
  <si>
    <t>040000181264</t>
  </si>
  <si>
    <t>LHR/LHR/D/MO/PC COMP/P/90291/06/2024</t>
  </si>
  <si>
    <t>040000175142</t>
  </si>
  <si>
    <t>KHI/HO/D/MO/PC COMP/C/21198/05/2024</t>
  </si>
  <si>
    <t>020000044422</t>
  </si>
  <si>
    <t>KHI/HO/D/MO/PC COMP/C/22839/08/2024</t>
  </si>
  <si>
    <t>020000046449</t>
  </si>
  <si>
    <t>KHI/HO/D/MO/PC COMP/C/22840/08/2024</t>
  </si>
  <si>
    <t>020000046450</t>
  </si>
  <si>
    <t>KHI/HO/D/MO/PC COMP/C/21197/05/2024</t>
  </si>
  <si>
    <t>020000044421</t>
  </si>
  <si>
    <t>040000181262</t>
  </si>
  <si>
    <t>040000181263</t>
  </si>
  <si>
    <t>040000180530</t>
  </si>
  <si>
    <t>040000181243</t>
  </si>
  <si>
    <t>LHR/LHR/F/MO/PC COMP/P/91291/06/2024</t>
  </si>
  <si>
    <t>040000176464</t>
  </si>
  <si>
    <t>KHI/HO/D/MO/PC COMP/R/71098/290/05/2024</t>
  </si>
  <si>
    <t>080000160885</t>
  </si>
  <si>
    <t>LHR/LHR/D/MO/PC COMP/C/22799/08/2024</t>
  </si>
  <si>
    <t>020000046399</t>
  </si>
  <si>
    <t>040000174755</t>
  </si>
  <si>
    <t>KHI/AR/AR/D/MO/MC TTT/C/21291/06/2024</t>
  </si>
  <si>
    <t>020000044546</t>
  </si>
  <si>
    <t>040000185737</t>
  </si>
  <si>
    <t>040000185751</t>
  </si>
  <si>
    <t>040000180179</t>
  </si>
  <si>
    <t>040000180540</t>
  </si>
  <si>
    <t>050000799701</t>
  </si>
  <si>
    <t>KHI/HO/D/MO/MC COMP/C/24645/10/2024</t>
  </si>
  <si>
    <t>020000048582</t>
  </si>
  <si>
    <t>KHI/AR/AR/D/MO/MC TTT/C/22806/08/2024</t>
  </si>
  <si>
    <t>020000046409</t>
  </si>
  <si>
    <t>040000180852</t>
  </si>
  <si>
    <t>040000183350</t>
  </si>
  <si>
    <t>KHI/HO/D/MO/MC COMP/P/97318/09/2024</t>
  </si>
  <si>
    <t>040000184023</t>
  </si>
  <si>
    <t>KHI/HO/D/MO/MC COMP/R/77318/09/2024</t>
  </si>
  <si>
    <t>080000167573</t>
  </si>
  <si>
    <t>050000799765</t>
  </si>
  <si>
    <t>KHI/HO/D/MO/PC COMP/C/97805/318/09/2024</t>
  </si>
  <si>
    <t>070000166093</t>
  </si>
  <si>
    <t>KHI/HO/D/MR/IMPORTS/C/20318/09/2024</t>
  </si>
  <si>
    <t>070000164967</t>
  </si>
  <si>
    <t>KHI/HO/D/HLGRP HEALTH/E/27318/09/2024</t>
  </si>
  <si>
    <t>050000789895</t>
  </si>
  <si>
    <t>KHI/HO/D/MR/IMPORTS/C/23318/09/2024</t>
  </si>
  <si>
    <t>020000047599</t>
  </si>
  <si>
    <t>KHI/HO/D/MO/MC TTT/C/24644/10/2024</t>
  </si>
  <si>
    <t>020000048581</t>
  </si>
  <si>
    <t>040000188606</t>
  </si>
  <si>
    <t>KHI/HO/D/MO/PC COMP/C/23318/09/2024</t>
  </si>
  <si>
    <t>020000047011</t>
  </si>
  <si>
    <t>KHI/HO/D/MO/PC TPP/P/98318/09/2024</t>
  </si>
  <si>
    <t>040000185128</t>
  </si>
  <si>
    <t>KHI/HO/D/MI/TRR/E/291/06/2024</t>
  </si>
  <si>
    <t>050000755567</t>
  </si>
  <si>
    <t>KHI/HO/D/MO/PC COMP/R/82413/12/2024</t>
  </si>
  <si>
    <t>080000173201</t>
  </si>
  <si>
    <t>050000833593</t>
  </si>
  <si>
    <t>KHI/HO/D/MO/MC COMP/P/103413/12/2024</t>
  </si>
  <si>
    <t>040000191024</t>
  </si>
  <si>
    <t>KHI/HO/D/MO/PC COMP/C/103702/412/12/2024</t>
  </si>
  <si>
    <t>070000172261</t>
  </si>
  <si>
    <t>KHI/HO/D/MO/PC COMP/C/103702/413/12/2024</t>
  </si>
  <si>
    <t>070000172262</t>
  </si>
  <si>
    <t>LHR/LHR/D/MO/PC TPP/R/83412/12/2024</t>
  </si>
  <si>
    <t>080000174259</t>
  </si>
  <si>
    <t>KHI/HO/D/MI/MP/C/413/12/2024</t>
  </si>
  <si>
    <t>070000172919</t>
  </si>
  <si>
    <t>050000833881</t>
  </si>
  <si>
    <t>KHI/HO/D/MI/MP/C/412/12/2024</t>
  </si>
  <si>
    <t>070000172918</t>
  </si>
  <si>
    <t>KHI/HO/D/HLGRP HEALTH/E/29413/12/2024</t>
  </si>
  <si>
    <t>050000836853</t>
  </si>
  <si>
    <t>KHI/HO/D/MO/PD COMP/E/50412/12/2024</t>
  </si>
  <si>
    <t>050000836625</t>
  </si>
  <si>
    <t>KHI/HO/D/MO/PD COMP/E/50413/12/2024</t>
  </si>
  <si>
    <t>050000836626</t>
  </si>
  <si>
    <t>KHI/AR/AR/D/MO/MC TTT/R/82412/12/2024</t>
  </si>
  <si>
    <t>080000174452</t>
  </si>
  <si>
    <t>KHI/HO/D/MO/MC COMP/P/104412/12/2024</t>
  </si>
  <si>
    <t>040000192304</t>
  </si>
  <si>
    <t>KHI/HO/D/MO/MC COMP/P/104413/12/2024</t>
  </si>
  <si>
    <t>040000192305</t>
  </si>
  <si>
    <t>KHI/HO/D/MO/MC COMP/R/81413/12/2024</t>
  </si>
  <si>
    <t>080000173391</t>
  </si>
  <si>
    <t>KHI/HO/D/HLGRP HEALTH/E/29412/12/2024</t>
  </si>
  <si>
    <t>050000836850</t>
  </si>
  <si>
    <t>KHI/HO/D/MO/PC COMP/P/103412/12/2024</t>
  </si>
  <si>
    <t>040000191023</t>
  </si>
  <si>
    <t>POLICY NO.</t>
  </si>
  <si>
    <t>Assorted_code</t>
  </si>
  <si>
    <t>Premium</t>
  </si>
  <si>
    <t>15Apr250002</t>
  </si>
  <si>
    <t>Commission</t>
  </si>
  <si>
    <t>AGENCY_CODE</t>
  </si>
  <si>
    <t>09000397</t>
  </si>
  <si>
    <t>09000497</t>
  </si>
  <si>
    <t>09000278</t>
  </si>
  <si>
    <t>09000323</t>
  </si>
  <si>
    <t>09000442</t>
  </si>
  <si>
    <t>09000738</t>
  </si>
  <si>
    <t>09000221</t>
  </si>
  <si>
    <t>09000329</t>
  </si>
  <si>
    <t>09000271</t>
  </si>
  <si>
    <t>09000210</t>
  </si>
  <si>
    <t>09000641</t>
  </si>
  <si>
    <t>09000845</t>
  </si>
  <si>
    <t>09000266</t>
  </si>
  <si>
    <t>09000320</t>
  </si>
  <si>
    <t>09000542</t>
  </si>
  <si>
    <t>09000462</t>
  </si>
  <si>
    <t>09000419</t>
  </si>
  <si>
    <t>09000744</t>
  </si>
  <si>
    <t>09000218</t>
  </si>
  <si>
    <t>09000668</t>
  </si>
  <si>
    <t>09000539</t>
  </si>
  <si>
    <t>09000305</t>
  </si>
  <si>
    <t>09000230</t>
  </si>
  <si>
    <t>09000116</t>
  </si>
  <si>
    <t>09000431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</si>
</sst>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/>
    <xf numFmtId="165" fontId="2" fillId="2" borderId="1" xfId="1" applyNumberFormat="1" applyFont="1" applyFill="1" applyBorder="1" applyAlignment="1">
      <alignment horizontal="center" vertical="center" wrapText="1"/>
    </xf>
    <xf numFmtId="165" fontId="2" fillId="0" borderId="0" xfId="1" applyNumberFormat="1" applyFont="1"/>
    <xf numFmtId="165" fontId="5" fillId="0" borderId="0" xfId="1" applyNumberFormat="1" applyFont="1"/>
    <xf numFmtId="0" fontId="3" fillId="3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top"/>
    </xf>
    <xf numFmtId="0" fontId="0" fillId="0" borderId="0" xfId="0" applyAlignment="1">
      <alignment vertical="top"/>
    </xf>
    <xf numFmtId="0" fontId="3" fillId="5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3" fillId="7" borderId="0" xfId="0" applyFont="1" applyFill="1" applyAlignment="1">
      <alignment vertical="top"/>
    </xf>
    <xf numFmtId="0" fontId="6" fillId="8" borderId="0" xfId="0" applyFont="1" applyFill="1"/>
    <xf numFmtId="165" fontId="2" fillId="9" borderId="0" xfId="1" applyNumberFormat="1" applyFont="1" applyFill="1"/>
    <xf numFmtId="165" fontId="2" fillId="10" borderId="0" xfId="1" applyNumberFormat="1" applyFont="1" applyFill="1"/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top"/>
    </xf>
    <xf numFmtId="0" fontId="7" fillId="0" borderId="0" xfId="0" applyFont="1"/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8" fillId="0" borderId="0" xfId="0" applyFont="1"/>
    <xf numFmtId="165" fontId="9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165" fontId="0" fillId="0" borderId="0" xfId="0" applyNumberFormat="1"/>
    <xf numFmtId="0" fontId="10" fillId="0" borderId="0" xfId="0" applyFont="1" applyAlignment="1">
      <alignment vertical="top"/>
    </xf>
    <xf numFmtId="164" fontId="0" fillId="0" borderId="2" xfId="1" applyFont="1" applyBorder="1" applyAlignment="1">
      <alignment horizontal="center" vertical="top"/>
    </xf>
    <xf numFmtId="164" fontId="11" fillId="0" borderId="2" xfId="1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3:J124"/>
  <sheetViews>
    <sheetView workbookViewId="0">
      <selection activeCell="A3" sqref="A3"/>
    </sheetView>
  </sheetViews>
  <sheetFormatPr defaultRowHeight="15" x14ac:dyDescent="0.25"/>
  <cols>
    <col min="2" max="2" width="38" style="5" bestFit="1" customWidth="1"/>
    <col min="3" max="3" width="18.5703125" style="5" bestFit="1" customWidth="1"/>
    <col min="4" max="4" width="22.28515625" style="5" bestFit="1" customWidth="1"/>
    <col min="5" max="5" width="99.42578125" style="5" bestFit="1" customWidth="1"/>
    <col min="6" max="6" width="9.85546875" style="5" bestFit="1" customWidth="1"/>
    <col min="7" max="7" width="5" style="5" bestFit="1" customWidth="1"/>
    <col min="8" max="8" width="13.140625" style="7" bestFit="1" customWidth="1"/>
    <col min="9" max="9" width="34.5703125" bestFit="1" customWidth="1"/>
    <col min="10" max="10" width="15.7109375" customWidth="1"/>
  </cols>
  <sheetData>
    <row r="3" spans="2:10" ht="26.25" thickBot="1" x14ac:dyDescent="0.3">
      <c r="B3" s="1" t="s">
        <v>0</v>
      </c>
      <c r="C3" s="2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6" t="s">
        <v>6</v>
      </c>
      <c r="I3" s="10" t="s">
        <v>78</v>
      </c>
      <c r="J3" s="17" t="s">
        <v>119</v>
      </c>
    </row>
    <row r="4" spans="2:10" ht="15.75" hidden="1" thickTop="1" x14ac:dyDescent="0.25">
      <c r="B4" s="3" t="s">
        <v>7</v>
      </c>
      <c r="C4" s="4" t="s">
        <v>8</v>
      </c>
      <c r="D4" s="9" t="s">
        <v>9</v>
      </c>
      <c r="E4" s="3" t="s">
        <v>10</v>
      </c>
      <c r="F4" s="3" t="s">
        <v>11</v>
      </c>
      <c r="G4" s="3" t="s">
        <v>12</v>
      </c>
      <c r="H4" s="7">
        <v>3356</v>
      </c>
      <c r="J4" s="19">
        <v>-3356</v>
      </c>
    </row>
    <row r="5" spans="2:10" ht="15.75" hidden="1" thickTop="1" x14ac:dyDescent="0.25">
      <c r="B5" s="3" t="s">
        <v>7</v>
      </c>
      <c r="C5" s="4" t="s">
        <v>8</v>
      </c>
      <c r="D5" s="9" t="s">
        <v>13</v>
      </c>
      <c r="E5" s="3" t="s">
        <v>10</v>
      </c>
      <c r="F5" s="3" t="s">
        <v>11</v>
      </c>
      <c r="G5" s="3" t="s">
        <v>12</v>
      </c>
      <c r="H5" s="7">
        <v>1929</v>
      </c>
      <c r="J5" s="19">
        <v>-1929</v>
      </c>
    </row>
    <row r="6" spans="2:10" ht="15.75" hidden="1" thickTop="1" x14ac:dyDescent="0.25">
      <c r="B6" s="3" t="s">
        <v>7</v>
      </c>
      <c r="C6" s="4" t="s">
        <v>8</v>
      </c>
      <c r="D6" s="9" t="s">
        <v>14</v>
      </c>
      <c r="E6" s="3" t="s">
        <v>10</v>
      </c>
      <c r="F6" s="3" t="s">
        <v>11</v>
      </c>
      <c r="G6" s="3" t="s">
        <v>12</v>
      </c>
      <c r="H6" s="7">
        <v>3975</v>
      </c>
      <c r="J6" s="19">
        <v>-3975</v>
      </c>
    </row>
    <row r="7" spans="2:10" ht="15.75" hidden="1" thickTop="1" x14ac:dyDescent="0.25">
      <c r="B7" s="3" t="s">
        <v>7</v>
      </c>
      <c r="C7" s="4" t="s">
        <v>8</v>
      </c>
      <c r="D7" s="9" t="s">
        <v>15</v>
      </c>
      <c r="E7" s="3" t="s">
        <v>10</v>
      </c>
      <c r="F7" s="3" t="s">
        <v>11</v>
      </c>
      <c r="G7" s="3" t="s">
        <v>12</v>
      </c>
      <c r="H7" s="7">
        <v>4184</v>
      </c>
      <c r="J7" s="19">
        <v>-4184</v>
      </c>
    </row>
    <row r="8" spans="2:10" ht="15.75" hidden="1" thickTop="1" x14ac:dyDescent="0.25">
      <c r="B8" s="3" t="s">
        <v>7</v>
      </c>
      <c r="C8" s="4" t="s">
        <v>8</v>
      </c>
      <c r="D8" s="9" t="s">
        <v>16</v>
      </c>
      <c r="E8" s="3" t="s">
        <v>10</v>
      </c>
      <c r="F8" s="3" t="s">
        <v>11</v>
      </c>
      <c r="G8" s="3" t="s">
        <v>12</v>
      </c>
      <c r="H8" s="7">
        <v>8430</v>
      </c>
      <c r="J8" s="19">
        <v>-8430</v>
      </c>
    </row>
    <row r="9" spans="2:10" ht="15.75" hidden="1" thickTop="1" x14ac:dyDescent="0.25">
      <c r="B9" s="3" t="s">
        <v>7</v>
      </c>
      <c r="C9" s="4" t="s">
        <v>8</v>
      </c>
      <c r="D9" s="9" t="s">
        <v>17</v>
      </c>
      <c r="E9" s="3" t="e">
        <v>#N/A</v>
      </c>
      <c r="F9" s="3" t="e">
        <v>#N/A</v>
      </c>
      <c r="G9" s="3" t="s">
        <v>12</v>
      </c>
      <c r="H9" s="7">
        <v>33675</v>
      </c>
      <c r="J9" s="19">
        <v>-33675</v>
      </c>
    </row>
    <row r="10" spans="2:10" ht="15.75" hidden="1" thickTop="1" x14ac:dyDescent="0.25">
      <c r="B10" s="3" t="s">
        <v>7</v>
      </c>
      <c r="C10" s="4" t="s">
        <v>8</v>
      </c>
      <c r="D10" s="9" t="s">
        <v>18</v>
      </c>
      <c r="E10" s="3" t="e">
        <v>#N/A</v>
      </c>
      <c r="F10" s="3" t="e">
        <v>#N/A</v>
      </c>
      <c r="G10" s="3" t="s">
        <v>12</v>
      </c>
      <c r="H10" s="7">
        <v>2655</v>
      </c>
      <c r="J10" s="19">
        <v>-2655</v>
      </c>
    </row>
    <row r="11" spans="2:10" ht="15.75" hidden="1" thickTop="1" x14ac:dyDescent="0.25">
      <c r="B11" s="3" t="s">
        <v>19</v>
      </c>
      <c r="C11" s="4" t="s">
        <v>8</v>
      </c>
      <c r="D11" s="11" t="s">
        <v>20</v>
      </c>
      <c r="E11" s="3" t="s">
        <v>10</v>
      </c>
      <c r="F11" s="3" t="s">
        <v>11</v>
      </c>
      <c r="G11" s="3" t="s">
        <v>12</v>
      </c>
      <c r="H11" s="7">
        <v>-13427</v>
      </c>
      <c r="I11" t="s">
        <v>79</v>
      </c>
      <c r="J11" s="18">
        <v>13427</v>
      </c>
    </row>
    <row r="12" spans="2:10" ht="15.75" hidden="1" thickTop="1" x14ac:dyDescent="0.25">
      <c r="B12" s="3" t="s">
        <v>19</v>
      </c>
      <c r="C12" s="4" t="s">
        <v>8</v>
      </c>
      <c r="D12" s="11" t="s">
        <v>21</v>
      </c>
      <c r="E12" s="3" t="s">
        <v>10</v>
      </c>
      <c r="F12" s="3" t="s">
        <v>11</v>
      </c>
      <c r="G12" s="3" t="s">
        <v>12</v>
      </c>
      <c r="H12" s="7">
        <v>-17035</v>
      </c>
      <c r="I12" t="s">
        <v>80</v>
      </c>
      <c r="J12" s="18">
        <v>17035</v>
      </c>
    </row>
    <row r="13" spans="2:10" ht="15.75" hidden="1" thickTop="1" x14ac:dyDescent="0.25">
      <c r="B13" s="3" t="s">
        <v>19</v>
      </c>
      <c r="C13" s="4" t="s">
        <v>8</v>
      </c>
      <c r="D13" s="11" t="s">
        <v>22</v>
      </c>
      <c r="E13" s="3" t="s">
        <v>10</v>
      </c>
      <c r="F13" s="3" t="s">
        <v>11</v>
      </c>
      <c r="G13" s="3" t="s">
        <v>12</v>
      </c>
      <c r="H13" s="7">
        <v>-7297</v>
      </c>
      <c r="I13" t="s">
        <v>81</v>
      </c>
      <c r="J13" s="18">
        <v>7297</v>
      </c>
    </row>
    <row r="14" spans="2:10" ht="14.25" hidden="1" customHeight="1" x14ac:dyDescent="0.25">
      <c r="B14" s="3" t="s">
        <v>19</v>
      </c>
      <c r="C14" s="4" t="s">
        <v>8</v>
      </c>
      <c r="D14" s="11" t="s">
        <v>23</v>
      </c>
      <c r="E14" s="3" t="s">
        <v>10</v>
      </c>
      <c r="F14" s="3" t="s">
        <v>11</v>
      </c>
      <c r="G14" s="3" t="s">
        <v>12</v>
      </c>
      <c r="H14" s="7">
        <v>-25320</v>
      </c>
      <c r="I14" s="12" t="s">
        <v>82</v>
      </c>
      <c r="J14" s="18">
        <v>25320</v>
      </c>
    </row>
    <row r="15" spans="2:10" ht="15.75" hidden="1" thickTop="1" x14ac:dyDescent="0.25">
      <c r="B15" s="3" t="s">
        <v>19</v>
      </c>
      <c r="C15" s="4" t="s">
        <v>8</v>
      </c>
      <c r="D15" s="11" t="s">
        <v>24</v>
      </c>
      <c r="E15" s="3" t="s">
        <v>10</v>
      </c>
      <c r="F15" s="3" t="s">
        <v>11</v>
      </c>
      <c r="G15" s="3" t="s">
        <v>12</v>
      </c>
      <c r="H15" s="7">
        <v>-7264</v>
      </c>
      <c r="I15" s="12" t="s">
        <v>84</v>
      </c>
      <c r="J15" s="18">
        <v>7264</v>
      </c>
    </row>
    <row r="16" spans="2:10" ht="15.75" hidden="1" thickTop="1" x14ac:dyDescent="0.25">
      <c r="B16" s="3" t="s">
        <v>19</v>
      </c>
      <c r="C16" s="4" t="s">
        <v>8</v>
      </c>
      <c r="D16" s="11" t="s">
        <v>25</v>
      </c>
      <c r="E16" s="3" t="s">
        <v>10</v>
      </c>
      <c r="F16" s="3" t="s">
        <v>11</v>
      </c>
      <c r="G16" s="3" t="s">
        <v>12</v>
      </c>
      <c r="H16" s="7">
        <v>-20613</v>
      </c>
      <c r="I16" t="s">
        <v>83</v>
      </c>
      <c r="J16" s="18">
        <v>20613</v>
      </c>
    </row>
    <row r="17" spans="2:10" ht="15.75" hidden="1" thickTop="1" x14ac:dyDescent="0.25">
      <c r="B17" s="3" t="s">
        <v>19</v>
      </c>
      <c r="C17" s="4" t="s">
        <v>8</v>
      </c>
      <c r="D17" s="11" t="s">
        <v>26</v>
      </c>
      <c r="E17" s="3" t="s">
        <v>10</v>
      </c>
      <c r="F17" s="3" t="s">
        <v>11</v>
      </c>
      <c r="G17" s="3" t="s">
        <v>12</v>
      </c>
      <c r="H17" s="7">
        <v>-16401</v>
      </c>
      <c r="I17" t="s">
        <v>85</v>
      </c>
      <c r="J17" s="18">
        <v>16401</v>
      </c>
    </row>
    <row r="18" spans="2:10" ht="15.75" hidden="1" thickTop="1" x14ac:dyDescent="0.25">
      <c r="B18" s="3" t="s">
        <v>19</v>
      </c>
      <c r="C18" s="4" t="s">
        <v>8</v>
      </c>
      <c r="D18" s="11" t="s">
        <v>27</v>
      </c>
      <c r="E18" s="3" t="s">
        <v>10</v>
      </c>
      <c r="F18" s="3" t="s">
        <v>11</v>
      </c>
      <c r="G18" s="3" t="s">
        <v>12</v>
      </c>
      <c r="H18" s="7">
        <v>-10487</v>
      </c>
      <c r="I18" t="s">
        <v>86</v>
      </c>
      <c r="J18" s="18">
        <v>10487</v>
      </c>
    </row>
    <row r="19" spans="2:10" ht="15.75" hidden="1" thickTop="1" x14ac:dyDescent="0.25">
      <c r="B19" s="3" t="s">
        <v>19</v>
      </c>
      <c r="C19" s="4" t="s">
        <v>8</v>
      </c>
      <c r="D19" s="11" t="s">
        <v>28</v>
      </c>
      <c r="E19" s="3" t="s">
        <v>10</v>
      </c>
      <c r="F19" s="3" t="s">
        <v>11</v>
      </c>
      <c r="G19" s="3" t="s">
        <v>12</v>
      </c>
      <c r="H19" s="7">
        <v>-39947</v>
      </c>
      <c r="I19" t="s">
        <v>87</v>
      </c>
      <c r="J19" s="18">
        <v>39947</v>
      </c>
    </row>
    <row r="20" spans="2:10" ht="15.75" hidden="1" thickTop="1" x14ac:dyDescent="0.25">
      <c r="B20" s="3" t="s">
        <v>19</v>
      </c>
      <c r="C20" s="4" t="s">
        <v>8</v>
      </c>
      <c r="D20" s="11" t="s">
        <v>29</v>
      </c>
      <c r="E20" s="3" t="s">
        <v>10</v>
      </c>
      <c r="F20" s="3" t="s">
        <v>11</v>
      </c>
      <c r="G20" s="3" t="s">
        <v>12</v>
      </c>
      <c r="H20" s="7">
        <v>-14026</v>
      </c>
      <c r="I20" t="s">
        <v>88</v>
      </c>
      <c r="J20" s="18">
        <v>14026</v>
      </c>
    </row>
    <row r="21" spans="2:10" ht="15.75" hidden="1" thickTop="1" x14ac:dyDescent="0.25">
      <c r="B21" s="3" t="s">
        <v>19</v>
      </c>
      <c r="C21" s="4" t="s">
        <v>8</v>
      </c>
      <c r="D21" s="11" t="s">
        <v>30</v>
      </c>
      <c r="E21" s="3" t="s">
        <v>31</v>
      </c>
      <c r="F21" s="3" t="s">
        <v>11</v>
      </c>
      <c r="G21" s="3" t="s">
        <v>12</v>
      </c>
      <c r="H21" s="7">
        <v>-277951</v>
      </c>
      <c r="I21" t="s">
        <v>89</v>
      </c>
      <c r="J21" s="18">
        <v>277951</v>
      </c>
    </row>
    <row r="22" spans="2:10" ht="15.75" hidden="1" thickTop="1" x14ac:dyDescent="0.25">
      <c r="B22" s="3" t="s">
        <v>19</v>
      </c>
      <c r="C22" s="4" t="s">
        <v>8</v>
      </c>
      <c r="D22" s="11" t="s">
        <v>32</v>
      </c>
      <c r="E22" s="3" t="s">
        <v>31</v>
      </c>
      <c r="F22" s="3" t="s">
        <v>11</v>
      </c>
      <c r="G22" s="3" t="s">
        <v>12</v>
      </c>
      <c r="H22" s="7">
        <v>-2734</v>
      </c>
      <c r="I22" t="s">
        <v>90</v>
      </c>
      <c r="J22" s="18">
        <v>2734</v>
      </c>
    </row>
    <row r="23" spans="2:10" ht="15.75" hidden="1" thickTop="1" x14ac:dyDescent="0.25">
      <c r="B23" s="3" t="s">
        <v>19</v>
      </c>
      <c r="C23" s="4" t="s">
        <v>8</v>
      </c>
      <c r="D23" s="11" t="s">
        <v>33</v>
      </c>
      <c r="E23" s="3" t="s">
        <v>31</v>
      </c>
      <c r="F23" s="3" t="s">
        <v>11</v>
      </c>
      <c r="G23" s="3" t="s">
        <v>12</v>
      </c>
      <c r="H23" s="7">
        <v>-83699</v>
      </c>
      <c r="I23" t="s">
        <v>91</v>
      </c>
      <c r="J23" s="18">
        <v>83699</v>
      </c>
    </row>
    <row r="24" spans="2:10" ht="15.75" hidden="1" thickTop="1" x14ac:dyDescent="0.25">
      <c r="B24" s="3" t="s">
        <v>19</v>
      </c>
      <c r="C24" s="4" t="s">
        <v>8</v>
      </c>
      <c r="D24" s="11" t="s">
        <v>34</v>
      </c>
      <c r="E24" s="3" t="s">
        <v>35</v>
      </c>
      <c r="F24" s="3" t="s">
        <v>11</v>
      </c>
      <c r="G24" s="3" t="s">
        <v>12</v>
      </c>
      <c r="H24" s="7">
        <v>-527</v>
      </c>
      <c r="I24" t="s">
        <v>92</v>
      </c>
      <c r="J24" s="18">
        <v>527</v>
      </c>
    </row>
    <row r="25" spans="2:10" ht="15.75" hidden="1" thickTop="1" x14ac:dyDescent="0.25">
      <c r="B25" s="3" t="s">
        <v>19</v>
      </c>
      <c r="C25" s="4" t="s">
        <v>8</v>
      </c>
      <c r="D25" s="11" t="s">
        <v>36</v>
      </c>
      <c r="E25" s="3" t="s">
        <v>37</v>
      </c>
      <c r="F25" s="3" t="s">
        <v>11</v>
      </c>
      <c r="G25" s="3" t="s">
        <v>12</v>
      </c>
      <c r="H25" s="7">
        <v>-40789</v>
      </c>
      <c r="I25" t="s">
        <v>93</v>
      </c>
      <c r="J25" s="18">
        <v>40789</v>
      </c>
    </row>
    <row r="26" spans="2:10" ht="15.75" hidden="1" thickTop="1" x14ac:dyDescent="0.25">
      <c r="B26" s="3" t="s">
        <v>19</v>
      </c>
      <c r="C26" s="4" t="s">
        <v>8</v>
      </c>
      <c r="D26" s="11" t="s">
        <v>38</v>
      </c>
      <c r="E26" s="3" t="s">
        <v>39</v>
      </c>
      <c r="F26" s="3" t="s">
        <v>11</v>
      </c>
      <c r="G26" s="3" t="s">
        <v>12</v>
      </c>
      <c r="H26" s="7">
        <v>-21300</v>
      </c>
      <c r="I26" t="s">
        <v>97</v>
      </c>
      <c r="J26" s="18">
        <v>21300</v>
      </c>
    </row>
    <row r="27" spans="2:10" ht="15.75" hidden="1" thickTop="1" x14ac:dyDescent="0.25">
      <c r="B27" s="3" t="s">
        <v>19</v>
      </c>
      <c r="C27" s="4" t="s">
        <v>8</v>
      </c>
      <c r="D27" s="11" t="s">
        <v>40</v>
      </c>
      <c r="E27" s="3" t="s">
        <v>41</v>
      </c>
      <c r="F27" s="3" t="s">
        <v>11</v>
      </c>
      <c r="G27" s="3" t="s">
        <v>12</v>
      </c>
      <c r="H27" s="7">
        <v>-19181</v>
      </c>
      <c r="I27" t="s">
        <v>94</v>
      </c>
      <c r="J27" s="18">
        <v>19181</v>
      </c>
    </row>
    <row r="28" spans="2:10" ht="14.25" hidden="1" customHeight="1" x14ac:dyDescent="0.25">
      <c r="B28" s="3" t="s">
        <v>19</v>
      </c>
      <c r="C28" s="4" t="s">
        <v>8</v>
      </c>
      <c r="D28" s="11" t="s">
        <v>42</v>
      </c>
      <c r="E28" s="3" t="s">
        <v>41</v>
      </c>
      <c r="F28" s="3" t="s">
        <v>11</v>
      </c>
      <c r="G28" s="3" t="s">
        <v>12</v>
      </c>
      <c r="H28" s="7">
        <v>-9989</v>
      </c>
      <c r="I28" t="s">
        <v>95</v>
      </c>
      <c r="J28" s="18">
        <v>9989</v>
      </c>
    </row>
    <row r="29" spans="2:10" ht="15.75" hidden="1" thickTop="1" x14ac:dyDescent="0.25">
      <c r="B29" s="3" t="s">
        <v>19</v>
      </c>
      <c r="C29" s="4" t="s">
        <v>8</v>
      </c>
      <c r="D29" s="11" t="s">
        <v>43</v>
      </c>
      <c r="E29" s="3" t="s">
        <v>41</v>
      </c>
      <c r="F29" s="3" t="s">
        <v>11</v>
      </c>
      <c r="G29" s="3" t="s">
        <v>12</v>
      </c>
      <c r="H29" s="7">
        <v>-34901</v>
      </c>
      <c r="I29" t="s">
        <v>96</v>
      </c>
      <c r="J29" s="18">
        <v>34901</v>
      </c>
    </row>
    <row r="30" spans="2:10" ht="15.75" hidden="1" thickTop="1" x14ac:dyDescent="0.25">
      <c r="B30" s="3" t="s">
        <v>19</v>
      </c>
      <c r="C30" s="4" t="s">
        <v>8</v>
      </c>
      <c r="D30" s="11" t="s">
        <v>44</v>
      </c>
      <c r="E30" s="3" t="s">
        <v>45</v>
      </c>
      <c r="F30" s="3" t="s">
        <v>11</v>
      </c>
      <c r="G30" s="3" t="s">
        <v>12</v>
      </c>
      <c r="H30" s="7">
        <v>-14469</v>
      </c>
      <c r="I30" t="s">
        <v>98</v>
      </c>
      <c r="J30" s="18">
        <v>14469</v>
      </c>
    </row>
    <row r="31" spans="2:10" ht="15.75" hidden="1" thickTop="1" x14ac:dyDescent="0.25">
      <c r="B31" s="3" t="s">
        <v>19</v>
      </c>
      <c r="C31" s="4" t="s">
        <v>8</v>
      </c>
      <c r="D31" s="11" t="s">
        <v>46</v>
      </c>
      <c r="E31" s="3" t="s">
        <v>47</v>
      </c>
      <c r="F31" s="3" t="s">
        <v>11</v>
      </c>
      <c r="G31" s="3" t="s">
        <v>12</v>
      </c>
      <c r="H31" s="7">
        <v>-1513</v>
      </c>
      <c r="I31" t="s">
        <v>99</v>
      </c>
      <c r="J31" s="18">
        <v>1513</v>
      </c>
    </row>
    <row r="32" spans="2:10" ht="15.75" hidden="1" thickTop="1" x14ac:dyDescent="0.25">
      <c r="B32" s="3" t="s">
        <v>19</v>
      </c>
      <c r="C32" s="4" t="s">
        <v>8</v>
      </c>
      <c r="D32" s="11" t="s">
        <v>48</v>
      </c>
      <c r="E32" s="3" t="s">
        <v>49</v>
      </c>
      <c r="F32" s="3" t="s">
        <v>11</v>
      </c>
      <c r="G32" s="3" t="s">
        <v>12</v>
      </c>
      <c r="H32" s="7">
        <v>-1969381</v>
      </c>
      <c r="I32" t="s">
        <v>101</v>
      </c>
      <c r="J32" s="18">
        <v>1969381</v>
      </c>
    </row>
    <row r="33" spans="2:10" ht="15.75" hidden="1" thickTop="1" x14ac:dyDescent="0.25">
      <c r="B33" s="3" t="s">
        <v>19</v>
      </c>
      <c r="C33" s="4" t="s">
        <v>8</v>
      </c>
      <c r="D33" s="11" t="s">
        <v>50</v>
      </c>
      <c r="E33" s="3" t="s">
        <v>49</v>
      </c>
      <c r="F33" s="3" t="s">
        <v>11</v>
      </c>
      <c r="G33" s="3" t="s">
        <v>12</v>
      </c>
      <c r="H33" s="7">
        <v>-343814</v>
      </c>
      <c r="I33" t="s">
        <v>102</v>
      </c>
      <c r="J33" s="18">
        <v>343814</v>
      </c>
    </row>
    <row r="34" spans="2:10" ht="15.75" hidden="1" thickTop="1" x14ac:dyDescent="0.25">
      <c r="B34" s="3" t="s">
        <v>19</v>
      </c>
      <c r="C34" s="4" t="s">
        <v>8</v>
      </c>
      <c r="D34" s="11" t="s">
        <v>51</v>
      </c>
      <c r="E34" s="3" t="s">
        <v>49</v>
      </c>
      <c r="F34" s="3" t="s">
        <v>11</v>
      </c>
      <c r="G34" s="3" t="s">
        <v>12</v>
      </c>
      <c r="H34" s="7">
        <v>-29750</v>
      </c>
      <c r="I34" t="s">
        <v>103</v>
      </c>
      <c r="J34" s="18">
        <v>29750</v>
      </c>
    </row>
    <row r="35" spans="2:10" ht="15.75" hidden="1" thickTop="1" x14ac:dyDescent="0.25">
      <c r="B35" s="3" t="s">
        <v>19</v>
      </c>
      <c r="C35" s="4" t="s">
        <v>8</v>
      </c>
      <c r="D35" s="11" t="s">
        <v>52</v>
      </c>
      <c r="E35" s="3" t="s">
        <v>49</v>
      </c>
      <c r="F35" s="3" t="s">
        <v>11</v>
      </c>
      <c r="G35" s="3" t="s">
        <v>12</v>
      </c>
      <c r="H35" s="7">
        <v>-5426</v>
      </c>
      <c r="I35" t="s">
        <v>104</v>
      </c>
      <c r="J35" s="18">
        <v>5426</v>
      </c>
    </row>
    <row r="36" spans="2:10" ht="15.75" hidden="1" thickTop="1" x14ac:dyDescent="0.25">
      <c r="B36" s="3" t="s">
        <v>19</v>
      </c>
      <c r="C36" s="4" t="s">
        <v>8</v>
      </c>
      <c r="D36" s="11" t="s">
        <v>53</v>
      </c>
      <c r="E36" s="3" t="s">
        <v>49</v>
      </c>
      <c r="F36" s="3" t="s">
        <v>11</v>
      </c>
      <c r="G36" s="3" t="s">
        <v>12</v>
      </c>
      <c r="H36" s="7">
        <v>-221100</v>
      </c>
      <c r="I36" t="s">
        <v>105</v>
      </c>
      <c r="J36" s="18">
        <v>221100</v>
      </c>
    </row>
    <row r="37" spans="2:10" ht="15.75" hidden="1" thickTop="1" x14ac:dyDescent="0.25">
      <c r="B37" s="3" t="s">
        <v>19</v>
      </c>
      <c r="C37" s="4" t="s">
        <v>8</v>
      </c>
      <c r="D37" s="11" t="s">
        <v>54</v>
      </c>
      <c r="E37" s="3" t="s">
        <v>49</v>
      </c>
      <c r="F37" s="3" t="s">
        <v>11</v>
      </c>
      <c r="G37" s="3" t="s">
        <v>12</v>
      </c>
      <c r="H37" s="7">
        <v>-2060</v>
      </c>
      <c r="I37" t="s">
        <v>106</v>
      </c>
      <c r="J37" s="18">
        <v>2060</v>
      </c>
    </row>
    <row r="38" spans="2:10" ht="15.75" hidden="1" thickTop="1" x14ac:dyDescent="0.25">
      <c r="B38" s="3" t="s">
        <v>19</v>
      </c>
      <c r="C38" s="4" t="s">
        <v>8</v>
      </c>
      <c r="D38" s="16" t="s">
        <v>55</v>
      </c>
      <c r="E38" s="3" t="s">
        <v>56</v>
      </c>
      <c r="F38" s="3" t="s">
        <v>11</v>
      </c>
      <c r="G38" s="3" t="s">
        <v>12</v>
      </c>
      <c r="H38" s="7">
        <v>-848020</v>
      </c>
      <c r="I38" t="s">
        <v>118</v>
      </c>
      <c r="J38" s="18">
        <v>848020</v>
      </c>
    </row>
    <row r="39" spans="2:10" ht="15.75" hidden="1" thickTop="1" x14ac:dyDescent="0.25">
      <c r="B39" s="3" t="s">
        <v>19</v>
      </c>
      <c r="C39" s="4" t="s">
        <v>8</v>
      </c>
      <c r="D39" s="11" t="s">
        <v>57</v>
      </c>
      <c r="E39" s="3" t="s">
        <v>58</v>
      </c>
      <c r="F39" s="3" t="s">
        <v>11</v>
      </c>
      <c r="G39" s="3" t="s">
        <v>12</v>
      </c>
      <c r="H39" s="7">
        <v>-53815</v>
      </c>
      <c r="I39" t="s">
        <v>117</v>
      </c>
      <c r="J39" s="18">
        <v>53815</v>
      </c>
    </row>
    <row r="40" spans="2:10" ht="15.75" hidden="1" thickTop="1" x14ac:dyDescent="0.25">
      <c r="B40" s="3" t="s">
        <v>19</v>
      </c>
      <c r="C40" s="4" t="s">
        <v>8</v>
      </c>
      <c r="D40" s="11" t="s">
        <v>59</v>
      </c>
      <c r="E40" s="3" t="s">
        <v>49</v>
      </c>
      <c r="F40" s="3" t="s">
        <v>11</v>
      </c>
      <c r="G40" s="3" t="s">
        <v>12</v>
      </c>
      <c r="H40" s="7">
        <v>-1025</v>
      </c>
      <c r="I40" t="s">
        <v>107</v>
      </c>
      <c r="J40" s="18">
        <v>1025</v>
      </c>
    </row>
    <row r="41" spans="2:10" ht="15.75" hidden="1" thickTop="1" x14ac:dyDescent="0.25">
      <c r="B41" s="3" t="s">
        <v>19</v>
      </c>
      <c r="C41" s="4" t="s">
        <v>8</v>
      </c>
      <c r="D41" s="11" t="s">
        <v>60</v>
      </c>
      <c r="E41" s="3" t="s">
        <v>49</v>
      </c>
      <c r="F41" s="3" t="s">
        <v>11</v>
      </c>
      <c r="G41" s="3" t="s">
        <v>12</v>
      </c>
      <c r="H41" s="7">
        <v>-12162</v>
      </c>
      <c r="I41" t="s">
        <v>108</v>
      </c>
      <c r="J41" s="18">
        <v>12162</v>
      </c>
    </row>
    <row r="42" spans="2:10" ht="15.75" hidden="1" thickTop="1" x14ac:dyDescent="0.25">
      <c r="B42" s="3" t="s">
        <v>19</v>
      </c>
      <c r="C42" s="4" t="s">
        <v>8</v>
      </c>
      <c r="D42" s="11" t="s">
        <v>61</v>
      </c>
      <c r="E42" s="3" t="s">
        <v>49</v>
      </c>
      <c r="F42" s="3" t="s">
        <v>11</v>
      </c>
      <c r="G42" s="3" t="s">
        <v>12</v>
      </c>
      <c r="H42" s="7">
        <v>-15850</v>
      </c>
      <c r="I42" t="s">
        <v>109</v>
      </c>
      <c r="J42" s="18">
        <v>15850</v>
      </c>
    </row>
    <row r="43" spans="2:10" ht="15.75" hidden="1" thickTop="1" x14ac:dyDescent="0.25">
      <c r="B43" s="3" t="s">
        <v>19</v>
      </c>
      <c r="C43" s="4" t="s">
        <v>8</v>
      </c>
      <c r="D43" s="14" t="s">
        <v>62</v>
      </c>
      <c r="E43" s="3" t="s">
        <v>63</v>
      </c>
      <c r="F43" s="3" t="s">
        <v>11</v>
      </c>
      <c r="G43" s="3" t="s">
        <v>64</v>
      </c>
      <c r="H43" s="7">
        <v>-3264</v>
      </c>
      <c r="J43" s="18">
        <v>3264</v>
      </c>
    </row>
    <row r="44" spans="2:10" ht="15.75" hidden="1" thickTop="1" x14ac:dyDescent="0.25">
      <c r="B44" s="3" t="s">
        <v>19</v>
      </c>
      <c r="C44" s="4" t="s">
        <v>8</v>
      </c>
      <c r="D44" s="15" t="s">
        <v>65</v>
      </c>
      <c r="E44" s="3" t="s">
        <v>66</v>
      </c>
      <c r="F44" s="3" t="s">
        <v>11</v>
      </c>
      <c r="G44" s="3" t="s">
        <v>64</v>
      </c>
      <c r="H44" s="7">
        <v>-16801</v>
      </c>
      <c r="I44" t="s">
        <v>100</v>
      </c>
      <c r="J44" s="18">
        <v>16801</v>
      </c>
    </row>
    <row r="45" spans="2:10" ht="15.75" hidden="1" thickTop="1" x14ac:dyDescent="0.25">
      <c r="B45" s="3" t="s">
        <v>19</v>
      </c>
      <c r="C45" s="4" t="s">
        <v>8</v>
      </c>
      <c r="D45" s="11" t="s">
        <v>67</v>
      </c>
      <c r="E45" s="3" t="s">
        <v>31</v>
      </c>
      <c r="F45" s="3" t="s">
        <v>11</v>
      </c>
      <c r="G45" s="3" t="s">
        <v>12</v>
      </c>
      <c r="H45" s="7">
        <v>-68040</v>
      </c>
      <c r="I45" t="s">
        <v>111</v>
      </c>
      <c r="J45" s="18">
        <v>68040</v>
      </c>
    </row>
    <row r="46" spans="2:10" ht="15.75" hidden="1" thickTop="1" x14ac:dyDescent="0.25">
      <c r="B46" s="3" t="s">
        <v>19</v>
      </c>
      <c r="C46" s="4" t="s">
        <v>8</v>
      </c>
      <c r="D46" s="11" t="s">
        <v>68</v>
      </c>
      <c r="E46" s="3" t="s">
        <v>31</v>
      </c>
      <c r="F46" s="3" t="s">
        <v>11</v>
      </c>
      <c r="G46" s="3" t="s">
        <v>12</v>
      </c>
      <c r="H46" s="7">
        <v>-27149</v>
      </c>
      <c r="I46" t="s">
        <v>112</v>
      </c>
      <c r="J46" s="18">
        <v>27149</v>
      </c>
    </row>
    <row r="47" spans="2:10" ht="15.75" hidden="1" thickTop="1" x14ac:dyDescent="0.25">
      <c r="B47" s="3" t="s">
        <v>69</v>
      </c>
      <c r="C47" s="4" t="s">
        <v>8</v>
      </c>
      <c r="D47" s="11" t="s">
        <v>70</v>
      </c>
      <c r="E47" s="3" t="s">
        <v>31</v>
      </c>
      <c r="F47" s="3" t="s">
        <v>11</v>
      </c>
      <c r="G47" s="3" t="s">
        <v>12</v>
      </c>
      <c r="H47" s="7">
        <v>-22</v>
      </c>
      <c r="I47" t="s">
        <v>113</v>
      </c>
      <c r="J47" s="18">
        <v>22</v>
      </c>
    </row>
    <row r="48" spans="2:10" ht="15.75" thickTop="1" x14ac:dyDescent="0.25">
      <c r="B48" s="3" t="s">
        <v>71</v>
      </c>
      <c r="C48" s="4" t="s">
        <v>8</v>
      </c>
      <c r="D48" s="11" t="s">
        <v>70</v>
      </c>
      <c r="E48" s="3" t="s">
        <v>31</v>
      </c>
      <c r="F48" s="3" t="s">
        <v>11</v>
      </c>
      <c r="G48" s="3" t="s">
        <v>12</v>
      </c>
      <c r="H48" s="7">
        <v>-4</v>
      </c>
      <c r="I48" t="s">
        <v>113</v>
      </c>
      <c r="J48" s="18">
        <v>4</v>
      </c>
    </row>
    <row r="49" spans="2:10" hidden="1" x14ac:dyDescent="0.25">
      <c r="B49" s="3" t="s">
        <v>19</v>
      </c>
      <c r="C49" s="4" t="s">
        <v>8</v>
      </c>
      <c r="D49" s="11" t="s">
        <v>72</v>
      </c>
      <c r="E49" s="3" t="s">
        <v>31</v>
      </c>
      <c r="F49" s="3" t="s">
        <v>11</v>
      </c>
      <c r="G49" s="3" t="s">
        <v>12</v>
      </c>
      <c r="H49" s="7">
        <v>-42051</v>
      </c>
      <c r="I49" t="s">
        <v>114</v>
      </c>
      <c r="J49" s="18">
        <v>42051</v>
      </c>
    </row>
    <row r="50" spans="2:10" hidden="1" x14ac:dyDescent="0.25">
      <c r="B50" s="3" t="s">
        <v>19</v>
      </c>
      <c r="C50" s="4" t="s">
        <v>8</v>
      </c>
      <c r="D50" s="11" t="s">
        <v>73</v>
      </c>
      <c r="E50" s="3" t="s">
        <v>31</v>
      </c>
      <c r="F50" s="3" t="s">
        <v>11</v>
      </c>
      <c r="G50" s="3" t="s">
        <v>12</v>
      </c>
      <c r="H50" s="7">
        <v>-16</v>
      </c>
      <c r="I50" t="s">
        <v>115</v>
      </c>
      <c r="J50" s="18">
        <v>16</v>
      </c>
    </row>
    <row r="51" spans="2:10" hidden="1" x14ac:dyDescent="0.25">
      <c r="B51" s="3" t="s">
        <v>19</v>
      </c>
      <c r="C51" s="4" t="s">
        <v>8</v>
      </c>
      <c r="D51" s="11" t="s">
        <v>74</v>
      </c>
      <c r="E51" s="3" t="s">
        <v>31</v>
      </c>
      <c r="F51" s="3" t="s">
        <v>11</v>
      </c>
      <c r="G51" s="3" t="s">
        <v>12</v>
      </c>
      <c r="H51" s="7">
        <v>-16827</v>
      </c>
      <c r="I51" t="s">
        <v>116</v>
      </c>
      <c r="J51" s="18">
        <v>16827</v>
      </c>
    </row>
    <row r="52" spans="2:10" hidden="1" x14ac:dyDescent="0.25">
      <c r="B52" s="3" t="s">
        <v>19</v>
      </c>
      <c r="C52" s="4" t="s">
        <v>8</v>
      </c>
      <c r="D52" s="11" t="s">
        <v>75</v>
      </c>
      <c r="E52" s="3" t="s">
        <v>76</v>
      </c>
      <c r="F52" s="3" t="s">
        <v>11</v>
      </c>
      <c r="G52" s="3" t="s">
        <v>12</v>
      </c>
      <c r="H52" s="7">
        <v>-3045</v>
      </c>
      <c r="I52" t="s">
        <v>110</v>
      </c>
      <c r="J52" s="18">
        <v>3045</v>
      </c>
    </row>
    <row r="53" spans="2:10" x14ac:dyDescent="0.25">
      <c r="B53" s="3" t="s">
        <v>71</v>
      </c>
      <c r="C53" s="4" t="s">
        <v>8</v>
      </c>
      <c r="D53" s="11" t="s">
        <v>20</v>
      </c>
      <c r="E53" s="3" t="s">
        <v>10</v>
      </c>
      <c r="F53" s="3" t="s">
        <v>11</v>
      </c>
      <c r="G53" s="3" t="s">
        <v>12</v>
      </c>
      <c r="H53" s="7">
        <v>286</v>
      </c>
      <c r="I53" t="s">
        <v>79</v>
      </c>
      <c r="J53" s="18">
        <v>-286</v>
      </c>
    </row>
    <row r="54" spans="2:10" x14ac:dyDescent="0.25">
      <c r="B54" s="3" t="s">
        <v>71</v>
      </c>
      <c r="C54" s="4" t="s">
        <v>8</v>
      </c>
      <c r="D54" s="11" t="s">
        <v>21</v>
      </c>
      <c r="E54" s="3" t="s">
        <v>10</v>
      </c>
      <c r="F54" s="3" t="s">
        <v>11</v>
      </c>
      <c r="G54" s="3" t="s">
        <v>12</v>
      </c>
      <c r="H54" s="7">
        <v>356</v>
      </c>
      <c r="I54" t="s">
        <v>80</v>
      </c>
      <c r="J54" s="18">
        <v>-356</v>
      </c>
    </row>
    <row r="55" spans="2:10" x14ac:dyDescent="0.25">
      <c r="B55" s="3" t="s">
        <v>71</v>
      </c>
      <c r="C55" s="4" t="s">
        <v>8</v>
      </c>
      <c r="D55" s="11" t="s">
        <v>22</v>
      </c>
      <c r="E55" s="3" t="s">
        <v>10</v>
      </c>
      <c r="F55" s="3" t="s">
        <v>11</v>
      </c>
      <c r="G55" s="3" t="s">
        <v>12</v>
      </c>
      <c r="H55" s="7">
        <v>153</v>
      </c>
      <c r="I55" t="s">
        <v>81</v>
      </c>
      <c r="J55" s="18">
        <v>-153</v>
      </c>
    </row>
    <row r="56" spans="2:10" x14ac:dyDescent="0.25">
      <c r="B56" s="3" t="s">
        <v>71</v>
      </c>
      <c r="C56" s="4" t="s">
        <v>8</v>
      </c>
      <c r="D56" s="11" t="s">
        <v>23</v>
      </c>
      <c r="E56" s="3" t="s">
        <v>10</v>
      </c>
      <c r="F56" s="3" t="s">
        <v>11</v>
      </c>
      <c r="G56" s="3" t="s">
        <v>12</v>
      </c>
      <c r="H56" s="7">
        <v>546</v>
      </c>
      <c r="I56" t="s">
        <v>82</v>
      </c>
      <c r="J56" s="18">
        <v>-546</v>
      </c>
    </row>
    <row r="57" spans="2:10" hidden="1" x14ac:dyDescent="0.25">
      <c r="B57" s="3" t="s">
        <v>69</v>
      </c>
      <c r="C57" s="4" t="s">
        <v>8</v>
      </c>
      <c r="D57" s="11" t="s">
        <v>24</v>
      </c>
      <c r="E57" s="3" t="s">
        <v>10</v>
      </c>
      <c r="F57" s="3" t="s">
        <v>11</v>
      </c>
      <c r="G57" s="3" t="s">
        <v>12</v>
      </c>
      <c r="H57" s="7">
        <v>910</v>
      </c>
      <c r="I57" t="s">
        <v>84</v>
      </c>
      <c r="J57" s="18">
        <v>-910</v>
      </c>
    </row>
    <row r="58" spans="2:10" x14ac:dyDescent="0.25">
      <c r="B58" s="3" t="s">
        <v>71</v>
      </c>
      <c r="C58" s="4" t="s">
        <v>8</v>
      </c>
      <c r="D58" s="11" t="s">
        <v>24</v>
      </c>
      <c r="E58" s="3" t="s">
        <v>10</v>
      </c>
      <c r="F58" s="3" t="s">
        <v>11</v>
      </c>
      <c r="G58" s="3" t="s">
        <v>12</v>
      </c>
      <c r="H58" s="7">
        <v>151</v>
      </c>
      <c r="I58" t="s">
        <v>84</v>
      </c>
      <c r="J58" s="18">
        <v>-151</v>
      </c>
    </row>
    <row r="59" spans="2:10" x14ac:dyDescent="0.25">
      <c r="B59" s="3" t="s">
        <v>71</v>
      </c>
      <c r="C59" s="4" t="s">
        <v>8</v>
      </c>
      <c r="D59" s="11" t="s">
        <v>25</v>
      </c>
      <c r="E59" s="3" t="s">
        <v>10</v>
      </c>
      <c r="F59" s="3" t="s">
        <v>11</v>
      </c>
      <c r="G59" s="3" t="s">
        <v>12</v>
      </c>
      <c r="H59" s="7">
        <v>443</v>
      </c>
      <c r="I59" t="s">
        <v>83</v>
      </c>
      <c r="J59" s="18">
        <v>-443</v>
      </c>
    </row>
    <row r="60" spans="2:10" hidden="1" x14ac:dyDescent="0.25">
      <c r="B60" s="3" t="s">
        <v>69</v>
      </c>
      <c r="C60" s="4" t="s">
        <v>8</v>
      </c>
      <c r="D60" s="11" t="s">
        <v>26</v>
      </c>
      <c r="E60" s="3" t="s">
        <v>10</v>
      </c>
      <c r="F60" s="3" t="s">
        <v>11</v>
      </c>
      <c r="G60" s="3" t="s">
        <v>12</v>
      </c>
      <c r="H60" s="7">
        <v>2107</v>
      </c>
      <c r="I60" t="s">
        <v>85</v>
      </c>
      <c r="J60" s="18">
        <v>-2107</v>
      </c>
    </row>
    <row r="61" spans="2:10" x14ac:dyDescent="0.25">
      <c r="B61" s="3" t="s">
        <v>71</v>
      </c>
      <c r="C61" s="4" t="s">
        <v>8</v>
      </c>
      <c r="D61" s="11" t="s">
        <v>26</v>
      </c>
      <c r="E61" s="3" t="s">
        <v>10</v>
      </c>
      <c r="F61" s="3" t="s">
        <v>11</v>
      </c>
      <c r="G61" s="3" t="s">
        <v>12</v>
      </c>
      <c r="H61" s="7">
        <v>352</v>
      </c>
      <c r="I61" t="s">
        <v>85</v>
      </c>
      <c r="J61" s="18">
        <v>-352</v>
      </c>
    </row>
    <row r="62" spans="2:10" hidden="1" x14ac:dyDescent="0.25">
      <c r="B62" s="3" t="s">
        <v>69</v>
      </c>
      <c r="C62" s="4" t="s">
        <v>8</v>
      </c>
      <c r="D62" s="11" t="s">
        <v>27</v>
      </c>
      <c r="E62" s="3" t="s">
        <v>10</v>
      </c>
      <c r="F62" s="3" t="s">
        <v>11</v>
      </c>
      <c r="G62" s="3" t="s">
        <v>12</v>
      </c>
      <c r="H62" s="7">
        <v>1330</v>
      </c>
      <c r="I62" t="s">
        <v>86</v>
      </c>
      <c r="J62" s="18">
        <v>-1330</v>
      </c>
    </row>
    <row r="63" spans="2:10" x14ac:dyDescent="0.25">
      <c r="B63" s="3" t="s">
        <v>71</v>
      </c>
      <c r="C63" s="4" t="s">
        <v>8</v>
      </c>
      <c r="D63" s="11" t="s">
        <v>27</v>
      </c>
      <c r="E63" s="3" t="s">
        <v>10</v>
      </c>
      <c r="F63" s="3" t="s">
        <v>11</v>
      </c>
      <c r="G63" s="3" t="s">
        <v>12</v>
      </c>
      <c r="H63" s="7">
        <v>221</v>
      </c>
      <c r="I63" t="s">
        <v>86</v>
      </c>
      <c r="J63" s="18">
        <v>-221</v>
      </c>
    </row>
    <row r="64" spans="2:10" hidden="1" x14ac:dyDescent="0.25">
      <c r="B64" s="3" t="s">
        <v>69</v>
      </c>
      <c r="C64" s="4" t="s">
        <v>8</v>
      </c>
      <c r="D64" s="11" t="s">
        <v>28</v>
      </c>
      <c r="E64" s="3" t="s">
        <v>10</v>
      </c>
      <c r="F64" s="3" t="s">
        <v>11</v>
      </c>
      <c r="G64" s="3" t="s">
        <v>12</v>
      </c>
      <c r="H64" s="7">
        <v>5206</v>
      </c>
      <c r="I64" t="s">
        <v>87</v>
      </c>
      <c r="J64" s="18">
        <v>-5206</v>
      </c>
    </row>
    <row r="65" spans="2:10" x14ac:dyDescent="0.25">
      <c r="B65" s="3" t="s">
        <v>71</v>
      </c>
      <c r="C65" s="4" t="s">
        <v>8</v>
      </c>
      <c r="D65" s="11" t="s">
        <v>28</v>
      </c>
      <c r="E65" s="3" t="s">
        <v>10</v>
      </c>
      <c r="F65" s="3" t="s">
        <v>11</v>
      </c>
      <c r="G65" s="3" t="s">
        <v>12</v>
      </c>
      <c r="H65" s="7">
        <v>868</v>
      </c>
      <c r="I65" t="s">
        <v>87</v>
      </c>
      <c r="J65" s="18">
        <v>-868</v>
      </c>
    </row>
    <row r="66" spans="2:10" hidden="1" x14ac:dyDescent="0.25">
      <c r="B66" s="3" t="s">
        <v>69</v>
      </c>
      <c r="C66" s="4" t="s">
        <v>8</v>
      </c>
      <c r="D66" s="11" t="s">
        <v>29</v>
      </c>
      <c r="E66" s="3" t="s">
        <v>10</v>
      </c>
      <c r="F66" s="3" t="s">
        <v>11</v>
      </c>
      <c r="G66" s="3" t="s">
        <v>12</v>
      </c>
      <c r="H66" s="7">
        <v>1795</v>
      </c>
      <c r="I66" t="s">
        <v>88</v>
      </c>
      <c r="J66" s="18">
        <v>-1795</v>
      </c>
    </row>
    <row r="67" spans="2:10" x14ac:dyDescent="0.25">
      <c r="B67" s="3" t="s">
        <v>71</v>
      </c>
      <c r="C67" s="4" t="s">
        <v>8</v>
      </c>
      <c r="D67" s="11" t="s">
        <v>29</v>
      </c>
      <c r="E67" s="3" t="s">
        <v>10</v>
      </c>
      <c r="F67" s="3" t="s">
        <v>11</v>
      </c>
      <c r="G67" s="3" t="s">
        <v>12</v>
      </c>
      <c r="H67" s="7">
        <v>299</v>
      </c>
      <c r="I67" t="s">
        <v>88</v>
      </c>
      <c r="J67" s="18">
        <v>-299</v>
      </c>
    </row>
    <row r="68" spans="2:10" hidden="1" x14ac:dyDescent="0.25">
      <c r="B68" s="3" t="s">
        <v>69</v>
      </c>
      <c r="C68" s="4" t="s">
        <v>8</v>
      </c>
      <c r="D68" s="11" t="s">
        <v>30</v>
      </c>
      <c r="E68" s="3" t="s">
        <v>31</v>
      </c>
      <c r="F68" s="3" t="s">
        <v>11</v>
      </c>
      <c r="G68" s="3" t="s">
        <v>12</v>
      </c>
      <c r="H68" s="7">
        <v>36558</v>
      </c>
      <c r="I68" t="s">
        <v>89</v>
      </c>
      <c r="J68" s="18">
        <v>-36558</v>
      </c>
    </row>
    <row r="69" spans="2:10" x14ac:dyDescent="0.25">
      <c r="B69" s="3" t="s">
        <v>71</v>
      </c>
      <c r="C69" s="4" t="s">
        <v>8</v>
      </c>
      <c r="D69" s="11" t="s">
        <v>30</v>
      </c>
      <c r="E69" s="3" t="s">
        <v>31</v>
      </c>
      <c r="F69" s="3" t="s">
        <v>11</v>
      </c>
      <c r="G69" s="3" t="s">
        <v>12</v>
      </c>
      <c r="H69" s="7">
        <v>6093</v>
      </c>
      <c r="I69" t="s">
        <v>89</v>
      </c>
      <c r="J69" s="18">
        <v>-6093</v>
      </c>
    </row>
    <row r="70" spans="2:10" hidden="1" x14ac:dyDescent="0.25">
      <c r="B70" s="3" t="s">
        <v>69</v>
      </c>
      <c r="C70" s="4" t="s">
        <v>8</v>
      </c>
      <c r="D70" s="11" t="s">
        <v>32</v>
      </c>
      <c r="E70" s="3" t="s">
        <v>31</v>
      </c>
      <c r="F70" s="3" t="s">
        <v>11</v>
      </c>
      <c r="G70" s="3" t="s">
        <v>12</v>
      </c>
      <c r="H70" s="7">
        <v>337</v>
      </c>
      <c r="I70" t="s">
        <v>90</v>
      </c>
      <c r="J70" s="18">
        <v>-337</v>
      </c>
    </row>
    <row r="71" spans="2:10" x14ac:dyDescent="0.25">
      <c r="B71" s="3" t="s">
        <v>71</v>
      </c>
      <c r="C71" s="4" t="s">
        <v>8</v>
      </c>
      <c r="D71" s="11" t="s">
        <v>32</v>
      </c>
      <c r="E71" s="3" t="s">
        <v>31</v>
      </c>
      <c r="F71" s="3" t="s">
        <v>11</v>
      </c>
      <c r="G71" s="3" t="s">
        <v>12</v>
      </c>
      <c r="H71" s="7">
        <v>56</v>
      </c>
      <c r="I71" t="s">
        <v>90</v>
      </c>
      <c r="J71" s="18">
        <v>-56</v>
      </c>
    </row>
    <row r="72" spans="2:10" hidden="1" x14ac:dyDescent="0.25">
      <c r="B72" s="3" t="s">
        <v>69</v>
      </c>
      <c r="C72" s="4" t="s">
        <v>8</v>
      </c>
      <c r="D72" s="11" t="s">
        <v>33</v>
      </c>
      <c r="E72" s="3" t="s">
        <v>31</v>
      </c>
      <c r="F72" s="3" t="s">
        <v>11</v>
      </c>
      <c r="G72" s="3" t="s">
        <v>12</v>
      </c>
      <c r="H72" s="7">
        <v>10998</v>
      </c>
      <c r="I72" t="s">
        <v>91</v>
      </c>
      <c r="J72" s="18">
        <v>-10998</v>
      </c>
    </row>
    <row r="73" spans="2:10" x14ac:dyDescent="0.25">
      <c r="B73" s="3" t="s">
        <v>71</v>
      </c>
      <c r="C73" s="4" t="s">
        <v>8</v>
      </c>
      <c r="D73" s="11" t="s">
        <v>33</v>
      </c>
      <c r="E73" s="3" t="s">
        <v>31</v>
      </c>
      <c r="F73" s="3" t="s">
        <v>11</v>
      </c>
      <c r="G73" s="3" t="s">
        <v>12</v>
      </c>
      <c r="H73" s="7">
        <v>1833</v>
      </c>
      <c r="I73" t="s">
        <v>91</v>
      </c>
      <c r="J73" s="18">
        <v>-1833</v>
      </c>
    </row>
    <row r="74" spans="2:10" hidden="1" x14ac:dyDescent="0.25">
      <c r="B74" s="3" t="s">
        <v>69</v>
      </c>
      <c r="C74" s="4" t="s">
        <v>8</v>
      </c>
      <c r="D74" s="13" t="s">
        <v>77</v>
      </c>
      <c r="E74" s="3" t="s">
        <v>10</v>
      </c>
      <c r="F74" s="3" t="s">
        <v>11</v>
      </c>
      <c r="G74" s="3" t="s">
        <v>12</v>
      </c>
      <c r="H74" s="7">
        <v>2846</v>
      </c>
      <c r="J74" s="18">
        <v>-2846</v>
      </c>
    </row>
    <row r="75" spans="2:10" hidden="1" x14ac:dyDescent="0.25">
      <c r="B75" s="3" t="s">
        <v>69</v>
      </c>
      <c r="C75" s="4" t="s">
        <v>8</v>
      </c>
      <c r="D75" s="16" t="s">
        <v>34</v>
      </c>
      <c r="E75" s="3" t="s">
        <v>35</v>
      </c>
      <c r="F75" s="3" t="s">
        <v>11</v>
      </c>
      <c r="G75" s="3" t="s">
        <v>12</v>
      </c>
      <c r="H75" s="7">
        <v>44</v>
      </c>
      <c r="I75" t="s">
        <v>92</v>
      </c>
      <c r="J75" s="18">
        <v>-44</v>
      </c>
    </row>
    <row r="76" spans="2:10" x14ac:dyDescent="0.25">
      <c r="B76" s="3" t="s">
        <v>71</v>
      </c>
      <c r="C76" s="4" t="s">
        <v>8</v>
      </c>
      <c r="D76" s="16" t="s">
        <v>34</v>
      </c>
      <c r="E76" s="3" t="s">
        <v>35</v>
      </c>
      <c r="F76" s="3" t="s">
        <v>11</v>
      </c>
      <c r="G76" s="3" t="s">
        <v>12</v>
      </c>
      <c r="H76" s="7">
        <v>11</v>
      </c>
      <c r="I76" t="s">
        <v>92</v>
      </c>
      <c r="J76" s="18">
        <v>-11</v>
      </c>
    </row>
    <row r="77" spans="2:10" hidden="1" x14ac:dyDescent="0.25">
      <c r="B77" s="3" t="s">
        <v>69</v>
      </c>
      <c r="C77" s="4" t="s">
        <v>8</v>
      </c>
      <c r="D77" s="11" t="s">
        <v>36</v>
      </c>
      <c r="E77" s="3" t="s">
        <v>37</v>
      </c>
      <c r="F77" s="3" t="s">
        <v>11</v>
      </c>
      <c r="G77" s="3" t="s">
        <v>12</v>
      </c>
      <c r="H77" s="7">
        <v>3349</v>
      </c>
      <c r="I77" t="s">
        <v>93</v>
      </c>
      <c r="J77" s="18">
        <v>-3349</v>
      </c>
    </row>
    <row r="78" spans="2:10" x14ac:dyDescent="0.25">
      <c r="B78" s="3" t="s">
        <v>71</v>
      </c>
      <c r="C78" s="4" t="s">
        <v>8</v>
      </c>
      <c r="D78" s="11" t="s">
        <v>36</v>
      </c>
      <c r="E78" s="3" t="s">
        <v>37</v>
      </c>
      <c r="F78" s="3" t="s">
        <v>11</v>
      </c>
      <c r="G78" s="3" t="s">
        <v>12</v>
      </c>
      <c r="H78" s="7">
        <v>837</v>
      </c>
      <c r="I78" t="s">
        <v>93</v>
      </c>
      <c r="J78" s="18">
        <v>-837</v>
      </c>
    </row>
    <row r="79" spans="2:10" hidden="1" x14ac:dyDescent="0.25">
      <c r="B79" s="3" t="s">
        <v>69</v>
      </c>
      <c r="C79" s="4" t="s">
        <v>8</v>
      </c>
      <c r="D79" s="15" t="s">
        <v>38</v>
      </c>
      <c r="E79" s="3" t="s">
        <v>39</v>
      </c>
      <c r="F79" s="3" t="s">
        <v>11</v>
      </c>
      <c r="G79" s="3" t="s">
        <v>12</v>
      </c>
      <c r="H79" s="7">
        <v>1748</v>
      </c>
      <c r="I79" t="s">
        <v>97</v>
      </c>
      <c r="J79" s="18">
        <v>-1748</v>
      </c>
    </row>
    <row r="80" spans="2:10" x14ac:dyDescent="0.25">
      <c r="B80" s="3" t="s">
        <v>71</v>
      </c>
      <c r="C80" s="4" t="s">
        <v>8</v>
      </c>
      <c r="D80" s="15" t="s">
        <v>38</v>
      </c>
      <c r="E80" s="3" t="s">
        <v>39</v>
      </c>
      <c r="F80" s="3" t="s">
        <v>11</v>
      </c>
      <c r="G80" s="3" t="s">
        <v>12</v>
      </c>
      <c r="H80" s="7">
        <v>437</v>
      </c>
      <c r="I80" t="s">
        <v>97</v>
      </c>
      <c r="J80" s="18">
        <v>-437</v>
      </c>
    </row>
    <row r="81" spans="2:10" hidden="1" x14ac:dyDescent="0.25">
      <c r="B81" s="3" t="s">
        <v>69</v>
      </c>
      <c r="C81" s="4" t="s">
        <v>8</v>
      </c>
      <c r="D81" s="11" t="s">
        <v>40</v>
      </c>
      <c r="E81" s="3" t="s">
        <v>41</v>
      </c>
      <c r="F81" s="3" t="s">
        <v>11</v>
      </c>
      <c r="G81" s="3" t="s">
        <v>12</v>
      </c>
      <c r="H81" s="7">
        <v>2451</v>
      </c>
      <c r="I81" t="s">
        <v>94</v>
      </c>
      <c r="J81" s="18">
        <v>-2451</v>
      </c>
    </row>
    <row r="82" spans="2:10" x14ac:dyDescent="0.25">
      <c r="B82" s="3" t="s">
        <v>71</v>
      </c>
      <c r="C82" s="4" t="s">
        <v>8</v>
      </c>
      <c r="D82" s="11" t="s">
        <v>40</v>
      </c>
      <c r="E82" s="3" t="s">
        <v>41</v>
      </c>
      <c r="F82" s="3" t="s">
        <v>11</v>
      </c>
      <c r="G82" s="3" t="s">
        <v>12</v>
      </c>
      <c r="H82" s="7">
        <v>409</v>
      </c>
      <c r="I82" t="s">
        <v>94</v>
      </c>
      <c r="J82" s="18">
        <v>-409</v>
      </c>
    </row>
    <row r="83" spans="2:10" hidden="1" x14ac:dyDescent="0.25">
      <c r="B83" s="3" t="s">
        <v>69</v>
      </c>
      <c r="C83" s="4" t="s">
        <v>8</v>
      </c>
      <c r="D83" s="11" t="s">
        <v>42</v>
      </c>
      <c r="E83" s="3" t="s">
        <v>41</v>
      </c>
      <c r="F83" s="3" t="s">
        <v>11</v>
      </c>
      <c r="G83" s="3" t="s">
        <v>12</v>
      </c>
      <c r="H83" s="7">
        <v>1264</v>
      </c>
      <c r="I83" t="s">
        <v>95</v>
      </c>
      <c r="J83" s="18">
        <v>-1264</v>
      </c>
    </row>
    <row r="84" spans="2:10" x14ac:dyDescent="0.25">
      <c r="B84" s="3" t="s">
        <v>71</v>
      </c>
      <c r="C84" s="4" t="s">
        <v>8</v>
      </c>
      <c r="D84" s="11" t="s">
        <v>42</v>
      </c>
      <c r="E84" s="3" t="s">
        <v>41</v>
      </c>
      <c r="F84" s="3" t="s">
        <v>11</v>
      </c>
      <c r="G84" s="3" t="s">
        <v>12</v>
      </c>
      <c r="H84" s="7">
        <v>211</v>
      </c>
      <c r="I84" t="s">
        <v>95</v>
      </c>
      <c r="J84" s="18">
        <v>-211</v>
      </c>
    </row>
    <row r="85" spans="2:10" hidden="1" x14ac:dyDescent="0.25">
      <c r="B85" s="3" t="s">
        <v>69</v>
      </c>
      <c r="C85" s="4" t="s">
        <v>8</v>
      </c>
      <c r="D85" s="11" t="s">
        <v>43</v>
      </c>
      <c r="E85" s="3" t="s">
        <v>41</v>
      </c>
      <c r="F85" s="3" t="s">
        <v>11</v>
      </c>
      <c r="G85" s="3" t="s">
        <v>12</v>
      </c>
      <c r="H85" s="7">
        <v>4484</v>
      </c>
      <c r="I85" t="s">
        <v>96</v>
      </c>
      <c r="J85" s="18">
        <v>-4484</v>
      </c>
    </row>
    <row r="86" spans="2:10" x14ac:dyDescent="0.25">
      <c r="B86" s="3" t="s">
        <v>71</v>
      </c>
      <c r="C86" s="4" t="s">
        <v>8</v>
      </c>
      <c r="D86" s="11" t="s">
        <v>43</v>
      </c>
      <c r="E86" s="3" t="s">
        <v>41</v>
      </c>
      <c r="F86" s="3" t="s">
        <v>11</v>
      </c>
      <c r="G86" s="3" t="s">
        <v>12</v>
      </c>
      <c r="H86" s="7">
        <v>747</v>
      </c>
      <c r="I86" t="s">
        <v>96</v>
      </c>
      <c r="J86" s="18">
        <v>-747</v>
      </c>
    </row>
    <row r="87" spans="2:10" hidden="1" x14ac:dyDescent="0.25">
      <c r="B87" s="3" t="s">
        <v>69</v>
      </c>
      <c r="C87" s="4" t="s">
        <v>8</v>
      </c>
      <c r="D87" s="15" t="s">
        <v>44</v>
      </c>
      <c r="E87" s="3" t="s">
        <v>45</v>
      </c>
      <c r="F87" s="3" t="s">
        <v>11</v>
      </c>
      <c r="G87" s="3" t="s">
        <v>12</v>
      </c>
      <c r="H87" s="7">
        <v>1188</v>
      </c>
      <c r="I87" t="s">
        <v>98</v>
      </c>
      <c r="J87" s="18">
        <v>-1188</v>
      </c>
    </row>
    <row r="88" spans="2:10" x14ac:dyDescent="0.25">
      <c r="B88" s="3" t="s">
        <v>71</v>
      </c>
      <c r="C88" s="4" t="s">
        <v>8</v>
      </c>
      <c r="D88" s="15" t="s">
        <v>44</v>
      </c>
      <c r="E88" s="3" t="s">
        <v>45</v>
      </c>
      <c r="F88" s="3" t="s">
        <v>11</v>
      </c>
      <c r="G88" s="3" t="s">
        <v>12</v>
      </c>
      <c r="H88" s="7">
        <v>297</v>
      </c>
      <c r="I88" t="s">
        <v>98</v>
      </c>
      <c r="J88" s="18">
        <v>-297</v>
      </c>
    </row>
    <row r="89" spans="2:10" hidden="1" x14ac:dyDescent="0.25">
      <c r="B89" s="3" t="s">
        <v>69</v>
      </c>
      <c r="C89" s="4" t="s">
        <v>8</v>
      </c>
      <c r="D89" s="15" t="s">
        <v>46</v>
      </c>
      <c r="E89" s="3" t="s">
        <v>47</v>
      </c>
      <c r="F89" s="3" t="s">
        <v>11</v>
      </c>
      <c r="G89" s="3" t="s">
        <v>12</v>
      </c>
      <c r="H89" s="7">
        <v>124</v>
      </c>
      <c r="I89" t="s">
        <v>99</v>
      </c>
      <c r="J89" s="18">
        <v>-124</v>
      </c>
    </row>
    <row r="90" spans="2:10" x14ac:dyDescent="0.25">
      <c r="B90" s="3" t="s">
        <v>71</v>
      </c>
      <c r="C90" s="4" t="s">
        <v>8</v>
      </c>
      <c r="D90" s="15" t="s">
        <v>46</v>
      </c>
      <c r="E90" s="3" t="s">
        <v>47</v>
      </c>
      <c r="F90" s="3" t="s">
        <v>11</v>
      </c>
      <c r="G90" s="3" t="s">
        <v>12</v>
      </c>
      <c r="H90" s="7">
        <v>31</v>
      </c>
      <c r="I90" t="s">
        <v>99</v>
      </c>
      <c r="J90" s="18">
        <v>-31</v>
      </c>
    </row>
    <row r="91" spans="2:10" hidden="1" x14ac:dyDescent="0.25">
      <c r="B91" s="3" t="s">
        <v>69</v>
      </c>
      <c r="C91" s="4" t="s">
        <v>8</v>
      </c>
      <c r="D91" s="11" t="s">
        <v>48</v>
      </c>
      <c r="E91" s="3" t="s">
        <v>49</v>
      </c>
      <c r="F91" s="3" t="s">
        <v>11</v>
      </c>
      <c r="G91" s="3" t="s">
        <v>12</v>
      </c>
      <c r="H91" s="7">
        <v>254622</v>
      </c>
      <c r="I91" t="s">
        <v>101</v>
      </c>
      <c r="J91" s="18">
        <v>-254622</v>
      </c>
    </row>
    <row r="92" spans="2:10" x14ac:dyDescent="0.25">
      <c r="B92" s="3" t="s">
        <v>71</v>
      </c>
      <c r="C92" s="4" t="s">
        <v>8</v>
      </c>
      <c r="D92" s="11" t="s">
        <v>48</v>
      </c>
      <c r="E92" s="3" t="s">
        <v>49</v>
      </c>
      <c r="F92" s="3" t="s">
        <v>11</v>
      </c>
      <c r="G92" s="3" t="s">
        <v>12</v>
      </c>
      <c r="H92" s="7">
        <v>42437</v>
      </c>
      <c r="I92" t="s">
        <v>101</v>
      </c>
      <c r="J92" s="18">
        <v>-42437</v>
      </c>
    </row>
    <row r="93" spans="2:10" x14ac:dyDescent="0.25">
      <c r="B93" s="3" t="s">
        <v>71</v>
      </c>
      <c r="C93" s="4" t="s">
        <v>8</v>
      </c>
      <c r="D93" s="11" t="s">
        <v>50</v>
      </c>
      <c r="E93" s="3" t="s">
        <v>49</v>
      </c>
      <c r="F93" s="3" t="s">
        <v>11</v>
      </c>
      <c r="G93" s="3" t="s">
        <v>12</v>
      </c>
      <c r="H93" s="7">
        <v>7404</v>
      </c>
      <c r="I93" t="s">
        <v>102</v>
      </c>
      <c r="J93" s="18">
        <v>-7404</v>
      </c>
    </row>
    <row r="94" spans="2:10" x14ac:dyDescent="0.25">
      <c r="B94" s="3" t="s">
        <v>71</v>
      </c>
      <c r="C94" s="4" t="s">
        <v>8</v>
      </c>
      <c r="D94" s="11" t="s">
        <v>51</v>
      </c>
      <c r="E94" s="3" t="s">
        <v>49</v>
      </c>
      <c r="F94" s="3" t="s">
        <v>11</v>
      </c>
      <c r="G94" s="3" t="s">
        <v>12</v>
      </c>
      <c r="H94" s="7">
        <v>630</v>
      </c>
      <c r="I94" t="s">
        <v>103</v>
      </c>
      <c r="J94" s="18">
        <v>-630</v>
      </c>
    </row>
    <row r="95" spans="2:10" x14ac:dyDescent="0.25">
      <c r="B95" s="3" t="s">
        <v>71</v>
      </c>
      <c r="C95" s="4" t="s">
        <v>8</v>
      </c>
      <c r="D95" s="11" t="s">
        <v>52</v>
      </c>
      <c r="E95" s="3" t="s">
        <v>49</v>
      </c>
      <c r="F95" s="3" t="s">
        <v>11</v>
      </c>
      <c r="G95" s="3" t="s">
        <v>12</v>
      </c>
      <c r="H95" s="7">
        <v>111</v>
      </c>
      <c r="I95" t="s">
        <v>104</v>
      </c>
      <c r="J95" s="18">
        <v>-111</v>
      </c>
    </row>
    <row r="96" spans="2:10" x14ac:dyDescent="0.25">
      <c r="B96" s="3" t="s">
        <v>71</v>
      </c>
      <c r="C96" s="4" t="s">
        <v>8</v>
      </c>
      <c r="D96" s="11" t="s">
        <v>53</v>
      </c>
      <c r="E96" s="3" t="s">
        <v>49</v>
      </c>
      <c r="F96" s="3" t="s">
        <v>11</v>
      </c>
      <c r="G96" s="3" t="s">
        <v>12</v>
      </c>
      <c r="H96" s="7">
        <v>4759</v>
      </c>
      <c r="I96" t="s">
        <v>105</v>
      </c>
      <c r="J96" s="18">
        <v>-4759</v>
      </c>
    </row>
    <row r="97" spans="2:10" hidden="1" x14ac:dyDescent="0.25">
      <c r="B97" s="3" t="s">
        <v>69</v>
      </c>
      <c r="C97" s="4" t="s">
        <v>8</v>
      </c>
      <c r="D97" s="11" t="s">
        <v>54</v>
      </c>
      <c r="E97" s="3" t="s">
        <v>49</v>
      </c>
      <c r="F97" s="3" t="s">
        <v>11</v>
      </c>
      <c r="G97" s="3" t="s">
        <v>12</v>
      </c>
      <c r="H97" s="7">
        <v>253</v>
      </c>
      <c r="I97" t="s">
        <v>106</v>
      </c>
      <c r="J97" s="18">
        <v>-253</v>
      </c>
    </row>
    <row r="98" spans="2:10" x14ac:dyDescent="0.25">
      <c r="B98" s="3" t="s">
        <v>71</v>
      </c>
      <c r="C98" s="4" t="s">
        <v>8</v>
      </c>
      <c r="D98" s="11" t="s">
        <v>54</v>
      </c>
      <c r="E98" s="3" t="s">
        <v>49</v>
      </c>
      <c r="F98" s="3" t="s">
        <v>11</v>
      </c>
      <c r="G98" s="3" t="s">
        <v>12</v>
      </c>
      <c r="H98" s="7">
        <v>43</v>
      </c>
      <c r="I98" t="s">
        <v>106</v>
      </c>
      <c r="J98" s="18">
        <v>-43</v>
      </c>
    </row>
    <row r="99" spans="2:10" hidden="1" x14ac:dyDescent="0.25">
      <c r="B99" s="3" t="s">
        <v>69</v>
      </c>
      <c r="C99" s="4" t="s">
        <v>8</v>
      </c>
      <c r="D99" s="16" t="s">
        <v>55</v>
      </c>
      <c r="E99" s="3" t="s">
        <v>56</v>
      </c>
      <c r="F99" s="3" t="s">
        <v>11</v>
      </c>
      <c r="G99" s="3" t="s">
        <v>12</v>
      </c>
      <c r="H99" s="7">
        <v>109658</v>
      </c>
      <c r="I99" t="s">
        <v>118</v>
      </c>
      <c r="J99" s="18">
        <v>-109658</v>
      </c>
    </row>
    <row r="100" spans="2:10" x14ac:dyDescent="0.25">
      <c r="B100" s="3" t="s">
        <v>71</v>
      </c>
      <c r="C100" s="4" t="s">
        <v>8</v>
      </c>
      <c r="D100" s="16" t="s">
        <v>55</v>
      </c>
      <c r="E100" s="3" t="s">
        <v>56</v>
      </c>
      <c r="F100" s="3" t="s">
        <v>11</v>
      </c>
      <c r="G100" s="3" t="s">
        <v>12</v>
      </c>
      <c r="H100" s="7">
        <v>18276</v>
      </c>
      <c r="I100" t="s">
        <v>118</v>
      </c>
      <c r="J100" s="18">
        <v>-18276</v>
      </c>
    </row>
    <row r="101" spans="2:10" hidden="1" x14ac:dyDescent="0.25">
      <c r="B101" s="3" t="s">
        <v>69</v>
      </c>
      <c r="C101" s="4" t="s">
        <v>8</v>
      </c>
      <c r="D101" s="16" t="s">
        <v>57</v>
      </c>
      <c r="E101" s="3" t="s">
        <v>58</v>
      </c>
      <c r="F101" s="3" t="s">
        <v>11</v>
      </c>
      <c r="G101" s="3" t="s">
        <v>12</v>
      </c>
      <c r="H101" s="7">
        <v>9278</v>
      </c>
      <c r="I101" t="s">
        <v>117</v>
      </c>
      <c r="J101" s="18">
        <v>-9278</v>
      </c>
    </row>
    <row r="102" spans="2:10" x14ac:dyDescent="0.25">
      <c r="B102" s="3" t="s">
        <v>71</v>
      </c>
      <c r="C102" s="4" t="s">
        <v>8</v>
      </c>
      <c r="D102" s="16" t="s">
        <v>57</v>
      </c>
      <c r="E102" s="3" t="s">
        <v>58</v>
      </c>
      <c r="F102" s="3" t="s">
        <v>11</v>
      </c>
      <c r="G102" s="3" t="s">
        <v>12</v>
      </c>
      <c r="H102" s="7">
        <v>1160</v>
      </c>
      <c r="I102" t="s">
        <v>117</v>
      </c>
      <c r="J102" s="18">
        <v>-1160</v>
      </c>
    </row>
    <row r="103" spans="2:10" hidden="1" x14ac:dyDescent="0.25">
      <c r="B103" s="3" t="s">
        <v>69</v>
      </c>
      <c r="C103" s="4" t="s">
        <v>8</v>
      </c>
      <c r="D103" s="11" t="s">
        <v>59</v>
      </c>
      <c r="E103" s="3" t="s">
        <v>49</v>
      </c>
      <c r="F103" s="3" t="s">
        <v>11</v>
      </c>
      <c r="G103" s="3" t="s">
        <v>12</v>
      </c>
      <c r="H103" s="7">
        <v>126</v>
      </c>
      <c r="I103" t="s">
        <v>107</v>
      </c>
      <c r="J103" s="18">
        <v>-126</v>
      </c>
    </row>
    <row r="104" spans="2:10" x14ac:dyDescent="0.25">
      <c r="B104" s="3" t="s">
        <v>71</v>
      </c>
      <c r="C104" s="4" t="s">
        <v>8</v>
      </c>
      <c r="D104" s="11" t="s">
        <v>59</v>
      </c>
      <c r="E104" s="3" t="s">
        <v>49</v>
      </c>
      <c r="F104" s="3" t="s">
        <v>11</v>
      </c>
      <c r="G104" s="3" t="s">
        <v>12</v>
      </c>
      <c r="H104" s="7">
        <v>21</v>
      </c>
      <c r="I104" t="s">
        <v>107</v>
      </c>
      <c r="J104" s="18">
        <v>-21</v>
      </c>
    </row>
    <row r="105" spans="2:10" hidden="1" x14ac:dyDescent="0.25">
      <c r="B105" s="3" t="s">
        <v>69</v>
      </c>
      <c r="C105" s="4" t="s">
        <v>8</v>
      </c>
      <c r="D105" s="11" t="s">
        <v>60</v>
      </c>
      <c r="E105" s="3" t="s">
        <v>49</v>
      </c>
      <c r="F105" s="3" t="s">
        <v>11</v>
      </c>
      <c r="G105" s="3">
        <v>2024</v>
      </c>
      <c r="H105" s="7">
        <v>1535</v>
      </c>
      <c r="I105" t="s">
        <v>108</v>
      </c>
      <c r="J105" s="18">
        <v>-1535</v>
      </c>
    </row>
    <row r="106" spans="2:10" x14ac:dyDescent="0.25">
      <c r="B106" s="3" t="s">
        <v>71</v>
      </c>
      <c r="C106" s="4" t="s">
        <v>8</v>
      </c>
      <c r="D106" s="11" t="s">
        <v>60</v>
      </c>
      <c r="E106" s="3" t="s">
        <v>49</v>
      </c>
      <c r="F106" s="3" t="s">
        <v>11</v>
      </c>
      <c r="G106" s="3" t="s">
        <v>12</v>
      </c>
      <c r="H106" s="7">
        <v>256</v>
      </c>
      <c r="I106" t="s">
        <v>108</v>
      </c>
      <c r="J106" s="18">
        <v>-256</v>
      </c>
    </row>
    <row r="107" spans="2:10" hidden="1" x14ac:dyDescent="0.25">
      <c r="B107" s="3" t="s">
        <v>69</v>
      </c>
      <c r="C107" s="4" t="s">
        <v>8</v>
      </c>
      <c r="D107" s="11" t="s">
        <v>61</v>
      </c>
      <c r="E107" s="3" t="s">
        <v>49</v>
      </c>
      <c r="F107" s="3" t="s">
        <v>11</v>
      </c>
      <c r="G107" s="3" t="s">
        <v>12</v>
      </c>
      <c r="H107" s="7">
        <v>2011</v>
      </c>
      <c r="I107" t="s">
        <v>109</v>
      </c>
      <c r="J107" s="18">
        <v>-2011</v>
      </c>
    </row>
    <row r="108" spans="2:10" x14ac:dyDescent="0.25">
      <c r="B108" s="3" t="s">
        <v>71</v>
      </c>
      <c r="C108" s="4" t="s">
        <v>8</v>
      </c>
      <c r="D108" s="11" t="s">
        <v>61</v>
      </c>
      <c r="E108" s="3" t="s">
        <v>49</v>
      </c>
      <c r="F108" s="3" t="s">
        <v>11</v>
      </c>
      <c r="G108" s="3" t="s">
        <v>12</v>
      </c>
      <c r="H108" s="7">
        <v>336</v>
      </c>
      <c r="I108" t="s">
        <v>109</v>
      </c>
      <c r="J108" s="18">
        <v>-336</v>
      </c>
    </row>
    <row r="109" spans="2:10" hidden="1" x14ac:dyDescent="0.25">
      <c r="B109" s="3" t="s">
        <v>69</v>
      </c>
      <c r="C109" s="4" t="s">
        <v>8</v>
      </c>
      <c r="D109" s="14" t="s">
        <v>62</v>
      </c>
      <c r="E109" s="3" t="s">
        <v>63</v>
      </c>
      <c r="F109" s="3" t="s">
        <v>11</v>
      </c>
      <c r="G109" s="3" t="s">
        <v>64</v>
      </c>
      <c r="H109" s="7">
        <v>573</v>
      </c>
      <c r="J109" s="18">
        <v>-573</v>
      </c>
    </row>
    <row r="110" spans="2:10" x14ac:dyDescent="0.25">
      <c r="B110" s="3" t="s">
        <v>71</v>
      </c>
      <c r="C110" s="4" t="s">
        <v>8</v>
      </c>
      <c r="D110" s="14" t="s">
        <v>62</v>
      </c>
      <c r="E110" s="3" t="s">
        <v>63</v>
      </c>
      <c r="F110" s="3" t="s">
        <v>11</v>
      </c>
      <c r="G110" s="3" t="s">
        <v>64</v>
      </c>
      <c r="H110" s="7">
        <v>72</v>
      </c>
      <c r="J110" s="18">
        <v>-72</v>
      </c>
    </row>
    <row r="111" spans="2:10" x14ac:dyDescent="0.25">
      <c r="B111" s="3" t="s">
        <v>71</v>
      </c>
      <c r="C111" s="4" t="s">
        <v>8</v>
      </c>
      <c r="D111" s="11" t="s">
        <v>65</v>
      </c>
      <c r="E111" s="3" t="s">
        <v>66</v>
      </c>
      <c r="F111" s="3" t="s">
        <v>11</v>
      </c>
      <c r="G111" s="3" t="s">
        <v>64</v>
      </c>
      <c r="H111" s="7">
        <v>351</v>
      </c>
      <c r="I111" t="s">
        <v>100</v>
      </c>
      <c r="J111" s="18">
        <v>-351</v>
      </c>
    </row>
    <row r="112" spans="2:10" hidden="1" x14ac:dyDescent="0.25">
      <c r="B112" s="3" t="s">
        <v>69</v>
      </c>
      <c r="C112" s="4" t="s">
        <v>8</v>
      </c>
      <c r="D112" s="11" t="s">
        <v>67</v>
      </c>
      <c r="E112" s="3" t="s">
        <v>31</v>
      </c>
      <c r="F112" s="3" t="s">
        <v>11</v>
      </c>
      <c r="G112" s="3" t="s">
        <v>12</v>
      </c>
      <c r="H112" s="7">
        <v>8798</v>
      </c>
      <c r="I112" t="s">
        <v>111</v>
      </c>
      <c r="J112" s="18">
        <v>-8798</v>
      </c>
    </row>
    <row r="113" spans="2:10" x14ac:dyDescent="0.25">
      <c r="B113" s="3" t="s">
        <v>71</v>
      </c>
      <c r="C113" s="4" t="s">
        <v>8</v>
      </c>
      <c r="D113" s="11" t="s">
        <v>67</v>
      </c>
      <c r="E113" s="3" t="s">
        <v>31</v>
      </c>
      <c r="F113" s="3" t="s">
        <v>11</v>
      </c>
      <c r="G113" s="3" t="s">
        <v>12</v>
      </c>
      <c r="H113" s="7">
        <v>1466</v>
      </c>
      <c r="I113" t="s">
        <v>111</v>
      </c>
      <c r="J113" s="18">
        <v>-1466</v>
      </c>
    </row>
    <row r="114" spans="2:10" hidden="1" x14ac:dyDescent="0.25">
      <c r="B114" s="3" t="s">
        <v>69</v>
      </c>
      <c r="C114" s="4" t="s">
        <v>8</v>
      </c>
      <c r="D114" s="11" t="s">
        <v>68</v>
      </c>
      <c r="E114" s="3" t="s">
        <v>31</v>
      </c>
      <c r="F114" s="3" t="s">
        <v>11</v>
      </c>
      <c r="G114" s="3" t="s">
        <v>12</v>
      </c>
      <c r="H114" s="7">
        <v>3511</v>
      </c>
      <c r="I114" t="s">
        <v>112</v>
      </c>
      <c r="J114" s="18">
        <v>-3511</v>
      </c>
    </row>
    <row r="115" spans="2:10" x14ac:dyDescent="0.25">
      <c r="B115" s="3" t="s">
        <v>71</v>
      </c>
      <c r="C115" s="4" t="s">
        <v>8</v>
      </c>
      <c r="D115" s="11" t="s">
        <v>68</v>
      </c>
      <c r="E115" s="3" t="s">
        <v>31</v>
      </c>
      <c r="F115" s="3" t="s">
        <v>11</v>
      </c>
      <c r="G115" s="3" t="s">
        <v>12</v>
      </c>
      <c r="H115" s="7">
        <v>585</v>
      </c>
      <c r="I115" t="s">
        <v>112</v>
      </c>
      <c r="J115" s="18">
        <v>-585</v>
      </c>
    </row>
    <row r="116" spans="2:10" hidden="1" x14ac:dyDescent="0.25">
      <c r="B116" s="3" t="s">
        <v>19</v>
      </c>
      <c r="C116" s="4" t="s">
        <v>8</v>
      </c>
      <c r="D116" s="11" t="s">
        <v>70</v>
      </c>
      <c r="E116" s="3" t="s">
        <v>31</v>
      </c>
      <c r="F116" s="3" t="s">
        <v>11</v>
      </c>
      <c r="G116" s="3" t="s">
        <v>12</v>
      </c>
      <c r="H116" s="7">
        <v>170</v>
      </c>
      <c r="I116" t="s">
        <v>113</v>
      </c>
      <c r="J116" s="18">
        <v>-170</v>
      </c>
    </row>
    <row r="117" spans="2:10" hidden="1" x14ac:dyDescent="0.25">
      <c r="B117" s="3" t="s">
        <v>69</v>
      </c>
      <c r="C117" s="4" t="s">
        <v>8</v>
      </c>
      <c r="D117" s="11" t="s">
        <v>72</v>
      </c>
      <c r="E117" s="3" t="s">
        <v>31</v>
      </c>
      <c r="F117" s="3" t="s">
        <v>11</v>
      </c>
      <c r="G117" s="3" t="s">
        <v>12</v>
      </c>
      <c r="H117" s="7">
        <v>5438</v>
      </c>
      <c r="I117" t="s">
        <v>114</v>
      </c>
      <c r="J117" s="18">
        <v>-5438</v>
      </c>
    </row>
    <row r="118" spans="2:10" x14ac:dyDescent="0.25">
      <c r="B118" s="3" t="s">
        <v>71</v>
      </c>
      <c r="C118" s="4" t="s">
        <v>8</v>
      </c>
      <c r="D118" s="11" t="s">
        <v>72</v>
      </c>
      <c r="E118" s="3" t="s">
        <v>31</v>
      </c>
      <c r="F118" s="3" t="s">
        <v>11</v>
      </c>
      <c r="G118" s="3" t="s">
        <v>12</v>
      </c>
      <c r="H118" s="7">
        <v>906</v>
      </c>
      <c r="I118" t="s">
        <v>114</v>
      </c>
      <c r="J118" s="18">
        <v>-906</v>
      </c>
    </row>
    <row r="119" spans="2:10" hidden="1" x14ac:dyDescent="0.25">
      <c r="B119" s="3" t="s">
        <v>69</v>
      </c>
      <c r="C119" s="4" t="s">
        <v>8</v>
      </c>
      <c r="D119" s="11" t="s">
        <v>73</v>
      </c>
      <c r="E119" s="3" t="s">
        <v>31</v>
      </c>
      <c r="F119" s="3" t="s">
        <v>11</v>
      </c>
      <c r="G119" s="3" t="s">
        <v>12</v>
      </c>
      <c r="H119" s="7">
        <v>2</v>
      </c>
      <c r="I119" t="s">
        <v>115</v>
      </c>
      <c r="J119" s="18">
        <v>-2</v>
      </c>
    </row>
    <row r="120" spans="2:10" hidden="1" x14ac:dyDescent="0.25">
      <c r="B120" s="3" t="s">
        <v>69</v>
      </c>
      <c r="C120" s="4" t="s">
        <v>8</v>
      </c>
      <c r="D120" s="11" t="s">
        <v>74</v>
      </c>
      <c r="E120" s="3" t="s">
        <v>31</v>
      </c>
      <c r="F120" s="3" t="s">
        <v>11</v>
      </c>
      <c r="G120" s="3" t="s">
        <v>12</v>
      </c>
      <c r="H120" s="7">
        <v>2176</v>
      </c>
      <c r="I120" t="s">
        <v>116</v>
      </c>
      <c r="J120" s="18">
        <v>-2176</v>
      </c>
    </row>
    <row r="121" spans="2:10" x14ac:dyDescent="0.25">
      <c r="B121" s="3" t="s">
        <v>71</v>
      </c>
      <c r="C121" s="4" t="s">
        <v>8</v>
      </c>
      <c r="D121" s="11" t="s">
        <v>74</v>
      </c>
      <c r="E121" s="3" t="s">
        <v>31</v>
      </c>
      <c r="F121" s="3" t="s">
        <v>11</v>
      </c>
      <c r="G121" s="3" t="s">
        <v>12</v>
      </c>
      <c r="H121" s="7">
        <v>363</v>
      </c>
      <c r="I121" t="s">
        <v>116</v>
      </c>
      <c r="J121" s="18">
        <v>-363</v>
      </c>
    </row>
    <row r="122" spans="2:10" hidden="1" x14ac:dyDescent="0.25">
      <c r="B122" s="3" t="s">
        <v>69</v>
      </c>
      <c r="C122" s="4" t="s">
        <v>8</v>
      </c>
      <c r="D122" s="11" t="s">
        <v>75</v>
      </c>
      <c r="E122" s="3" t="s">
        <v>76</v>
      </c>
      <c r="F122" s="3" t="s">
        <v>11</v>
      </c>
      <c r="G122" s="3" t="s">
        <v>12</v>
      </c>
      <c r="H122" s="7">
        <v>375</v>
      </c>
      <c r="I122" t="s">
        <v>110</v>
      </c>
      <c r="J122" s="18">
        <v>-375</v>
      </c>
    </row>
    <row r="123" spans="2:10" x14ac:dyDescent="0.25">
      <c r="B123" s="3" t="s">
        <v>71</v>
      </c>
      <c r="C123" s="4" t="s">
        <v>8</v>
      </c>
      <c r="D123" s="11" t="s">
        <v>75</v>
      </c>
      <c r="E123" s="3" t="s">
        <v>76</v>
      </c>
      <c r="F123" s="3" t="s">
        <v>11</v>
      </c>
      <c r="G123" s="3" t="s">
        <v>12</v>
      </c>
      <c r="H123" s="7">
        <v>63</v>
      </c>
      <c r="I123" t="s">
        <v>110</v>
      </c>
      <c r="J123" s="18">
        <v>-63</v>
      </c>
    </row>
    <row r="124" spans="2:10" hidden="1" x14ac:dyDescent="0.25">
      <c r="H124" s="8">
        <f>SUM(H3:H123)</f>
        <v>-3731147</v>
      </c>
      <c r="J124" s="8">
        <f>SUM(J4:J123)</f>
        <v>3731147</v>
      </c>
    </row>
  </sheetData>
  <autoFilter ref="B3:J124" xr:uid="{00000000-0001-0000-0000-000000000000}">
    <filterColumn colId="0">
      <filters>
        <filter val="COINSURANCE RECEIVABLE - SERVICE CHARG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6D75-B14D-410D-9307-F58A113A653A}">
  <dimension ref="A2:I131"/>
  <sheetViews>
    <sheetView topLeftCell="A83" workbookViewId="0">
      <selection activeCell="E23" sqref="E23"/>
    </sheetView>
  </sheetViews>
  <sheetFormatPr defaultRowHeight="15" x14ac:dyDescent="0.25"/>
  <cols>
    <col min="2" max="2" width="18.5703125" bestFit="1" customWidth="1"/>
    <col min="3" max="3" width="34.5703125" bestFit="1" customWidth="1"/>
    <col min="4" max="4" width="21.5703125" customWidth="1"/>
    <col min="5" max="5" width="14.5703125" customWidth="1"/>
    <col min="6" max="6" width="7.5703125" customWidth="1"/>
    <col min="8" max="8" width="11.28515625" customWidth="1"/>
    <col min="9" max="9" width="16.28515625" customWidth="1"/>
    <col min="10" max="10" width="10.42578125" customWidth="1"/>
  </cols>
  <sheetData>
    <row r="2" spans="1:9" ht="39" thickBot="1" x14ac:dyDescent="0.3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6" t="s">
        <v>6</v>
      </c>
      <c r="H2" s="20" t="s">
        <v>78</v>
      </c>
      <c r="I2" s="17" t="s">
        <v>119</v>
      </c>
    </row>
    <row r="3" spans="1:9" ht="15.75" thickTop="1" x14ac:dyDescent="0.25">
      <c r="A3" s="3" t="s">
        <v>7</v>
      </c>
      <c r="B3" s="4" t="s">
        <v>8</v>
      </c>
      <c r="C3" s="9" t="s">
        <v>9</v>
      </c>
      <c r="D3" s="3" t="s">
        <v>10</v>
      </c>
      <c r="E3" s="3" t="s">
        <v>11</v>
      </c>
      <c r="F3" s="3" t="s">
        <v>12</v>
      </c>
      <c r="G3" s="7">
        <v>3356</v>
      </c>
      <c r="I3" s="19">
        <v>-3356</v>
      </c>
    </row>
    <row r="4" spans="1:9" x14ac:dyDescent="0.25">
      <c r="A4" s="3" t="s">
        <v>7</v>
      </c>
      <c r="B4" s="4" t="s">
        <v>8</v>
      </c>
      <c r="C4" s="9" t="s">
        <v>13</v>
      </c>
      <c r="D4" s="3" t="s">
        <v>10</v>
      </c>
      <c r="E4" s="3" t="s">
        <v>11</v>
      </c>
      <c r="F4" s="3" t="s">
        <v>12</v>
      </c>
      <c r="G4" s="7">
        <v>1929</v>
      </c>
      <c r="I4" s="19">
        <v>-1929</v>
      </c>
    </row>
    <row r="5" spans="1:9" x14ac:dyDescent="0.25">
      <c r="A5" s="3" t="s">
        <v>7</v>
      </c>
      <c r="B5" s="4" t="s">
        <v>8</v>
      </c>
      <c r="C5" s="9" t="s">
        <v>14</v>
      </c>
      <c r="D5" s="3" t="s">
        <v>10</v>
      </c>
      <c r="E5" s="3" t="s">
        <v>11</v>
      </c>
      <c r="F5" s="3" t="s">
        <v>12</v>
      </c>
      <c r="G5" s="7">
        <v>3975</v>
      </c>
      <c r="I5" s="19">
        <v>-3975</v>
      </c>
    </row>
    <row r="6" spans="1:9" x14ac:dyDescent="0.25">
      <c r="A6" s="3" t="s">
        <v>7</v>
      </c>
      <c r="B6" s="4" t="s">
        <v>8</v>
      </c>
      <c r="C6" s="9" t="s">
        <v>15</v>
      </c>
      <c r="D6" s="3" t="s">
        <v>10</v>
      </c>
      <c r="E6" s="3" t="s">
        <v>11</v>
      </c>
      <c r="F6" s="3" t="s">
        <v>12</v>
      </c>
      <c r="G6" s="7">
        <v>4184</v>
      </c>
      <c r="I6" s="19">
        <v>-4184</v>
      </c>
    </row>
    <row r="7" spans="1:9" x14ac:dyDescent="0.25">
      <c r="A7" s="3" t="s">
        <v>7</v>
      </c>
      <c r="B7" s="4" t="s">
        <v>8</v>
      </c>
      <c r="C7" s="9" t="s">
        <v>16</v>
      </c>
      <c r="D7" s="3" t="s">
        <v>10</v>
      </c>
      <c r="E7" s="3" t="s">
        <v>11</v>
      </c>
      <c r="F7" s="3" t="s">
        <v>12</v>
      </c>
      <c r="G7" s="7">
        <v>8430</v>
      </c>
      <c r="I7" s="19">
        <v>-8430</v>
      </c>
    </row>
    <row r="8" spans="1:9" x14ac:dyDescent="0.25">
      <c r="A8" s="3" t="s">
        <v>7</v>
      </c>
      <c r="B8" s="4" t="s">
        <v>8</v>
      </c>
      <c r="C8" s="9" t="s">
        <v>17</v>
      </c>
      <c r="D8" s="3" t="e">
        <v>#N/A</v>
      </c>
      <c r="E8" s="3" t="e">
        <v>#N/A</v>
      </c>
      <c r="F8" s="3" t="s">
        <v>12</v>
      </c>
      <c r="G8" s="7">
        <v>33675</v>
      </c>
      <c r="I8" s="19">
        <v>-33675</v>
      </c>
    </row>
    <row r="9" spans="1:9" x14ac:dyDescent="0.25">
      <c r="A9" s="3" t="s">
        <v>7</v>
      </c>
      <c r="B9" s="4" t="s">
        <v>8</v>
      </c>
      <c r="C9" s="9" t="s">
        <v>18</v>
      </c>
      <c r="D9" s="3" t="e">
        <v>#N/A</v>
      </c>
      <c r="E9" s="3" t="e">
        <v>#N/A</v>
      </c>
      <c r="F9" s="3" t="s">
        <v>12</v>
      </c>
      <c r="G9" s="7">
        <v>2655</v>
      </c>
      <c r="I9" s="19">
        <v>-2655</v>
      </c>
    </row>
    <row r="11" spans="1:9" x14ac:dyDescent="0.25">
      <c r="C11" s="9" t="s">
        <v>120</v>
      </c>
    </row>
    <row r="12" spans="1:9" ht="15.75" thickBot="1" x14ac:dyDescent="0.3">
      <c r="B12" s="1" t="s">
        <v>0</v>
      </c>
      <c r="C12" s="10" t="s">
        <v>78</v>
      </c>
      <c r="D12" s="17" t="s">
        <v>119</v>
      </c>
    </row>
    <row r="13" spans="1:9" ht="15.75" thickTop="1" x14ac:dyDescent="0.25">
      <c r="B13" s="3" t="s">
        <v>19</v>
      </c>
      <c r="C13" t="s">
        <v>79</v>
      </c>
      <c r="D13" s="18">
        <v>13427</v>
      </c>
    </row>
    <row r="14" spans="1:9" x14ac:dyDescent="0.25">
      <c r="B14" s="3" t="s">
        <v>19</v>
      </c>
      <c r="C14" t="s">
        <v>80</v>
      </c>
      <c r="D14" s="18">
        <v>17035</v>
      </c>
    </row>
    <row r="15" spans="1:9" x14ac:dyDescent="0.25">
      <c r="B15" s="3" t="s">
        <v>19</v>
      </c>
      <c r="C15" t="s">
        <v>81</v>
      </c>
      <c r="D15" s="18">
        <v>7297</v>
      </c>
    </row>
    <row r="16" spans="1:9" ht="14.25" customHeight="1" x14ac:dyDescent="0.25">
      <c r="B16" s="3" t="s">
        <v>19</v>
      </c>
      <c r="C16" s="12" t="s">
        <v>82</v>
      </c>
      <c r="D16" s="18">
        <v>25320</v>
      </c>
    </row>
    <row r="17" spans="2:4" x14ac:dyDescent="0.25">
      <c r="B17" s="3" t="s">
        <v>19</v>
      </c>
      <c r="C17" s="12" t="s">
        <v>84</v>
      </c>
      <c r="D17" s="18">
        <v>7264</v>
      </c>
    </row>
    <row r="18" spans="2:4" x14ac:dyDescent="0.25">
      <c r="B18" s="3" t="s">
        <v>19</v>
      </c>
      <c r="C18" t="s">
        <v>83</v>
      </c>
      <c r="D18" s="18">
        <v>20613</v>
      </c>
    </row>
    <row r="19" spans="2:4" x14ac:dyDescent="0.25">
      <c r="B19" s="3" t="s">
        <v>19</v>
      </c>
      <c r="C19" t="s">
        <v>85</v>
      </c>
      <c r="D19" s="18">
        <v>16401</v>
      </c>
    </row>
    <row r="20" spans="2:4" x14ac:dyDescent="0.25">
      <c r="B20" s="3" t="s">
        <v>19</v>
      </c>
      <c r="C20" t="s">
        <v>86</v>
      </c>
      <c r="D20" s="18">
        <v>10487</v>
      </c>
    </row>
    <row r="21" spans="2:4" x14ac:dyDescent="0.25">
      <c r="B21" s="3" t="s">
        <v>19</v>
      </c>
      <c r="C21" t="s">
        <v>87</v>
      </c>
      <c r="D21" s="18">
        <v>39947</v>
      </c>
    </row>
    <row r="22" spans="2:4" x14ac:dyDescent="0.25">
      <c r="B22" s="3" t="s">
        <v>19</v>
      </c>
      <c r="C22" t="s">
        <v>88</v>
      </c>
      <c r="D22" s="18">
        <v>14026</v>
      </c>
    </row>
    <row r="23" spans="2:4" x14ac:dyDescent="0.25">
      <c r="B23" s="3" t="s">
        <v>19</v>
      </c>
      <c r="C23" t="s">
        <v>89</v>
      </c>
      <c r="D23" s="18">
        <v>277951</v>
      </c>
    </row>
    <row r="24" spans="2:4" x14ac:dyDescent="0.25">
      <c r="B24" s="3" t="s">
        <v>19</v>
      </c>
      <c r="C24" t="s">
        <v>90</v>
      </c>
      <c r="D24" s="18">
        <v>2734</v>
      </c>
    </row>
    <row r="25" spans="2:4" x14ac:dyDescent="0.25">
      <c r="B25" s="3" t="s">
        <v>19</v>
      </c>
      <c r="C25" t="s">
        <v>91</v>
      </c>
      <c r="D25" s="18">
        <v>83699</v>
      </c>
    </row>
    <row r="26" spans="2:4" x14ac:dyDescent="0.25">
      <c r="B26" s="3" t="s">
        <v>19</v>
      </c>
      <c r="C26" t="s">
        <v>92</v>
      </c>
      <c r="D26" s="18">
        <v>527</v>
      </c>
    </row>
    <row r="27" spans="2:4" x14ac:dyDescent="0.25">
      <c r="B27" s="3" t="s">
        <v>19</v>
      </c>
      <c r="C27" t="s">
        <v>93</v>
      </c>
      <c r="D27" s="18">
        <v>40789</v>
      </c>
    </row>
    <row r="28" spans="2:4" x14ac:dyDescent="0.25">
      <c r="B28" s="3" t="s">
        <v>19</v>
      </c>
      <c r="C28" t="s">
        <v>97</v>
      </c>
      <c r="D28" s="18">
        <v>21300</v>
      </c>
    </row>
    <row r="29" spans="2:4" x14ac:dyDescent="0.25">
      <c r="B29" s="3" t="s">
        <v>19</v>
      </c>
      <c r="C29" t="s">
        <v>94</v>
      </c>
      <c r="D29" s="18">
        <v>19181</v>
      </c>
    </row>
    <row r="30" spans="2:4" ht="14.25" customHeight="1" x14ac:dyDescent="0.25">
      <c r="B30" s="3" t="s">
        <v>19</v>
      </c>
      <c r="C30" t="s">
        <v>95</v>
      </c>
      <c r="D30" s="18">
        <v>9989</v>
      </c>
    </row>
    <row r="31" spans="2:4" x14ac:dyDescent="0.25">
      <c r="B31" s="3" t="s">
        <v>19</v>
      </c>
      <c r="C31" t="s">
        <v>96</v>
      </c>
      <c r="D31" s="18">
        <v>34901</v>
      </c>
    </row>
    <row r="32" spans="2:4" x14ac:dyDescent="0.25">
      <c r="B32" s="3" t="s">
        <v>19</v>
      </c>
      <c r="C32" t="s">
        <v>98</v>
      </c>
      <c r="D32" s="18">
        <v>14469</v>
      </c>
    </row>
    <row r="33" spans="2:4" x14ac:dyDescent="0.25">
      <c r="B33" s="3" t="s">
        <v>19</v>
      </c>
      <c r="C33" t="s">
        <v>99</v>
      </c>
      <c r="D33" s="18">
        <v>1513</v>
      </c>
    </row>
    <row r="34" spans="2:4" x14ac:dyDescent="0.25">
      <c r="B34" s="3" t="s">
        <v>19</v>
      </c>
      <c r="C34" t="s">
        <v>101</v>
      </c>
      <c r="D34" s="18">
        <v>1969381</v>
      </c>
    </row>
    <row r="35" spans="2:4" x14ac:dyDescent="0.25">
      <c r="B35" s="3" t="s">
        <v>19</v>
      </c>
      <c r="C35" t="s">
        <v>102</v>
      </c>
      <c r="D35" s="18">
        <v>343814</v>
      </c>
    </row>
    <row r="36" spans="2:4" x14ac:dyDescent="0.25">
      <c r="B36" s="3" t="s">
        <v>19</v>
      </c>
      <c r="C36" t="s">
        <v>103</v>
      </c>
      <c r="D36" s="18">
        <v>29750</v>
      </c>
    </row>
    <row r="37" spans="2:4" x14ac:dyDescent="0.25">
      <c r="B37" s="3" t="s">
        <v>19</v>
      </c>
      <c r="C37" t="s">
        <v>104</v>
      </c>
      <c r="D37" s="18">
        <v>5426</v>
      </c>
    </row>
    <row r="38" spans="2:4" x14ac:dyDescent="0.25">
      <c r="B38" s="3" t="s">
        <v>19</v>
      </c>
      <c r="C38" t="s">
        <v>105</v>
      </c>
      <c r="D38" s="18">
        <v>221100</v>
      </c>
    </row>
    <row r="39" spans="2:4" x14ac:dyDescent="0.25">
      <c r="B39" s="3" t="s">
        <v>19</v>
      </c>
      <c r="C39" t="s">
        <v>106</v>
      </c>
      <c r="D39" s="18">
        <v>2060</v>
      </c>
    </row>
    <row r="40" spans="2:4" x14ac:dyDescent="0.25">
      <c r="B40" s="3" t="s">
        <v>19</v>
      </c>
      <c r="C40" t="s">
        <v>118</v>
      </c>
      <c r="D40" s="18">
        <v>848020</v>
      </c>
    </row>
    <row r="41" spans="2:4" x14ac:dyDescent="0.25">
      <c r="B41" s="3" t="s">
        <v>19</v>
      </c>
      <c r="C41" t="s">
        <v>117</v>
      </c>
      <c r="D41" s="18">
        <v>53815</v>
      </c>
    </row>
    <row r="42" spans="2:4" x14ac:dyDescent="0.25">
      <c r="B42" s="3" t="s">
        <v>19</v>
      </c>
      <c r="C42" t="s">
        <v>107</v>
      </c>
      <c r="D42" s="18">
        <v>1025</v>
      </c>
    </row>
    <row r="43" spans="2:4" x14ac:dyDescent="0.25">
      <c r="B43" s="3" t="s">
        <v>19</v>
      </c>
      <c r="C43" t="s">
        <v>108</v>
      </c>
      <c r="D43" s="18">
        <v>12162</v>
      </c>
    </row>
    <row r="44" spans="2:4" x14ac:dyDescent="0.25">
      <c r="B44" s="3" t="s">
        <v>19</v>
      </c>
      <c r="C44" t="s">
        <v>109</v>
      </c>
      <c r="D44" s="18">
        <v>15850</v>
      </c>
    </row>
    <row r="45" spans="2:4" x14ac:dyDescent="0.25">
      <c r="B45" s="3" t="s">
        <v>19</v>
      </c>
      <c r="D45" s="18">
        <v>3264</v>
      </c>
    </row>
    <row r="46" spans="2:4" x14ac:dyDescent="0.25">
      <c r="B46" s="3" t="s">
        <v>19</v>
      </c>
      <c r="C46" t="s">
        <v>100</v>
      </c>
      <c r="D46" s="18">
        <v>16801</v>
      </c>
    </row>
    <row r="47" spans="2:4" x14ac:dyDescent="0.25">
      <c r="B47" s="3" t="s">
        <v>19</v>
      </c>
      <c r="C47" t="s">
        <v>111</v>
      </c>
      <c r="D47" s="18">
        <v>68040</v>
      </c>
    </row>
    <row r="48" spans="2:4" x14ac:dyDescent="0.25">
      <c r="B48" s="3" t="s">
        <v>19</v>
      </c>
      <c r="C48" t="s">
        <v>112</v>
      </c>
      <c r="D48" s="18">
        <v>27149</v>
      </c>
    </row>
    <row r="49" spans="2:4" x14ac:dyDescent="0.25">
      <c r="B49" s="3" t="s">
        <v>19</v>
      </c>
      <c r="C49" t="s">
        <v>114</v>
      </c>
      <c r="D49" s="18">
        <v>42051</v>
      </c>
    </row>
    <row r="50" spans="2:4" x14ac:dyDescent="0.25">
      <c r="B50" s="3" t="s">
        <v>19</v>
      </c>
      <c r="C50" t="s">
        <v>115</v>
      </c>
      <c r="D50" s="18">
        <v>16</v>
      </c>
    </row>
    <row r="51" spans="2:4" x14ac:dyDescent="0.25">
      <c r="B51" s="3" t="s">
        <v>19</v>
      </c>
      <c r="C51" t="s">
        <v>116</v>
      </c>
      <c r="D51" s="18">
        <v>16827</v>
      </c>
    </row>
    <row r="52" spans="2:4" x14ac:dyDescent="0.25">
      <c r="B52" s="3" t="s">
        <v>19</v>
      </c>
      <c r="C52" t="s">
        <v>110</v>
      </c>
      <c r="D52" s="18">
        <v>3045</v>
      </c>
    </row>
    <row r="53" spans="2:4" x14ac:dyDescent="0.25">
      <c r="B53" s="3" t="s">
        <v>19</v>
      </c>
      <c r="C53" t="s">
        <v>113</v>
      </c>
      <c r="D53" s="18">
        <v>-170</v>
      </c>
    </row>
    <row r="56" spans="2:4" ht="15.75" thickBot="1" x14ac:dyDescent="0.3">
      <c r="B56" s="1" t="s">
        <v>0</v>
      </c>
      <c r="C56" s="10" t="s">
        <v>78</v>
      </c>
      <c r="D56" s="17" t="s">
        <v>119</v>
      </c>
    </row>
    <row r="57" spans="2:4" ht="15.75" thickTop="1" x14ac:dyDescent="0.25">
      <c r="B57" s="3" t="s">
        <v>69</v>
      </c>
      <c r="C57" t="s">
        <v>113</v>
      </c>
      <c r="D57" s="18">
        <v>22</v>
      </c>
    </row>
    <row r="58" spans="2:4" x14ac:dyDescent="0.25">
      <c r="B58" s="3" t="s">
        <v>69</v>
      </c>
      <c r="C58" t="s">
        <v>84</v>
      </c>
      <c r="D58" s="18">
        <v>-910</v>
      </c>
    </row>
    <row r="59" spans="2:4" x14ac:dyDescent="0.25">
      <c r="B59" s="3" t="s">
        <v>69</v>
      </c>
      <c r="C59" t="s">
        <v>85</v>
      </c>
      <c r="D59" s="18">
        <v>-2107</v>
      </c>
    </row>
    <row r="60" spans="2:4" x14ac:dyDescent="0.25">
      <c r="B60" s="3" t="s">
        <v>69</v>
      </c>
      <c r="C60" t="s">
        <v>86</v>
      </c>
      <c r="D60" s="18">
        <v>-1330</v>
      </c>
    </row>
    <row r="61" spans="2:4" x14ac:dyDescent="0.25">
      <c r="B61" s="3" t="s">
        <v>69</v>
      </c>
      <c r="C61" t="s">
        <v>87</v>
      </c>
      <c r="D61" s="18">
        <v>-5206</v>
      </c>
    </row>
    <row r="62" spans="2:4" x14ac:dyDescent="0.25">
      <c r="B62" s="3" t="s">
        <v>69</v>
      </c>
      <c r="C62" t="s">
        <v>88</v>
      </c>
      <c r="D62" s="18">
        <v>-1795</v>
      </c>
    </row>
    <row r="63" spans="2:4" x14ac:dyDescent="0.25">
      <c r="B63" s="3" t="s">
        <v>69</v>
      </c>
      <c r="C63" t="s">
        <v>89</v>
      </c>
      <c r="D63" s="18">
        <v>-36558</v>
      </c>
    </row>
    <row r="64" spans="2:4" x14ac:dyDescent="0.25">
      <c r="B64" s="3" t="s">
        <v>69</v>
      </c>
      <c r="C64" t="s">
        <v>90</v>
      </c>
      <c r="D64" s="18">
        <v>-337</v>
      </c>
    </row>
    <row r="65" spans="2:4" x14ac:dyDescent="0.25">
      <c r="B65" s="3" t="s">
        <v>69</v>
      </c>
      <c r="C65" t="s">
        <v>91</v>
      </c>
      <c r="D65" s="18">
        <v>-10998</v>
      </c>
    </row>
    <row r="66" spans="2:4" x14ac:dyDescent="0.25">
      <c r="B66" s="3" t="s">
        <v>69</v>
      </c>
      <c r="D66" s="18">
        <v>-2846</v>
      </c>
    </row>
    <row r="67" spans="2:4" x14ac:dyDescent="0.25">
      <c r="B67" s="3" t="s">
        <v>69</v>
      </c>
      <c r="C67" t="s">
        <v>92</v>
      </c>
      <c r="D67" s="18">
        <v>-44</v>
      </c>
    </row>
    <row r="68" spans="2:4" x14ac:dyDescent="0.25">
      <c r="B68" s="3" t="s">
        <v>69</v>
      </c>
      <c r="C68" t="s">
        <v>93</v>
      </c>
      <c r="D68" s="18">
        <v>-3349</v>
      </c>
    </row>
    <row r="69" spans="2:4" x14ac:dyDescent="0.25">
      <c r="B69" s="3" t="s">
        <v>69</v>
      </c>
      <c r="C69" t="s">
        <v>97</v>
      </c>
      <c r="D69" s="18">
        <v>-1748</v>
      </c>
    </row>
    <row r="70" spans="2:4" x14ac:dyDescent="0.25">
      <c r="B70" s="3" t="s">
        <v>69</v>
      </c>
      <c r="C70" t="s">
        <v>94</v>
      </c>
      <c r="D70" s="18">
        <v>-2451</v>
      </c>
    </row>
    <row r="71" spans="2:4" x14ac:dyDescent="0.25">
      <c r="B71" s="3" t="s">
        <v>69</v>
      </c>
      <c r="C71" t="s">
        <v>95</v>
      </c>
      <c r="D71" s="18">
        <v>-1264</v>
      </c>
    </row>
    <row r="72" spans="2:4" x14ac:dyDescent="0.25">
      <c r="B72" s="3" t="s">
        <v>69</v>
      </c>
      <c r="C72" t="s">
        <v>96</v>
      </c>
      <c r="D72" s="18">
        <v>-4484</v>
      </c>
    </row>
    <row r="73" spans="2:4" x14ac:dyDescent="0.25">
      <c r="B73" s="3" t="s">
        <v>69</v>
      </c>
      <c r="C73" t="s">
        <v>98</v>
      </c>
      <c r="D73" s="18">
        <v>-1188</v>
      </c>
    </row>
    <row r="74" spans="2:4" x14ac:dyDescent="0.25">
      <c r="B74" s="3" t="s">
        <v>69</v>
      </c>
      <c r="C74" t="s">
        <v>99</v>
      </c>
      <c r="D74" s="18">
        <v>-124</v>
      </c>
    </row>
    <row r="75" spans="2:4" x14ac:dyDescent="0.25">
      <c r="B75" s="3" t="s">
        <v>69</v>
      </c>
      <c r="C75" t="s">
        <v>101</v>
      </c>
      <c r="D75" s="18">
        <v>-254622</v>
      </c>
    </row>
    <row r="76" spans="2:4" x14ac:dyDescent="0.25">
      <c r="B76" s="3" t="s">
        <v>69</v>
      </c>
      <c r="C76" t="s">
        <v>106</v>
      </c>
      <c r="D76" s="18">
        <v>-253</v>
      </c>
    </row>
    <row r="77" spans="2:4" x14ac:dyDescent="0.25">
      <c r="B77" s="3" t="s">
        <v>69</v>
      </c>
      <c r="C77" t="s">
        <v>118</v>
      </c>
      <c r="D77" s="18">
        <v>-109658</v>
      </c>
    </row>
    <row r="78" spans="2:4" x14ac:dyDescent="0.25">
      <c r="B78" s="3" t="s">
        <v>69</v>
      </c>
      <c r="C78" t="s">
        <v>117</v>
      </c>
      <c r="D78" s="18">
        <v>-9278</v>
      </c>
    </row>
    <row r="79" spans="2:4" x14ac:dyDescent="0.25">
      <c r="B79" s="3" t="s">
        <v>69</v>
      </c>
      <c r="C79" t="s">
        <v>107</v>
      </c>
      <c r="D79" s="18">
        <v>-126</v>
      </c>
    </row>
    <row r="80" spans="2:4" x14ac:dyDescent="0.25">
      <c r="B80" s="3" t="s">
        <v>69</v>
      </c>
      <c r="C80" t="s">
        <v>108</v>
      </c>
      <c r="D80" s="18">
        <v>-1535</v>
      </c>
    </row>
    <row r="81" spans="2:4" x14ac:dyDescent="0.25">
      <c r="B81" s="3" t="s">
        <v>69</v>
      </c>
      <c r="C81" t="s">
        <v>109</v>
      </c>
      <c r="D81" s="18">
        <v>-2011</v>
      </c>
    </row>
    <row r="82" spans="2:4" x14ac:dyDescent="0.25">
      <c r="B82" s="3" t="s">
        <v>69</v>
      </c>
      <c r="D82" s="18">
        <v>-573</v>
      </c>
    </row>
    <row r="83" spans="2:4" x14ac:dyDescent="0.25">
      <c r="B83" s="3" t="s">
        <v>69</v>
      </c>
      <c r="C83" t="s">
        <v>111</v>
      </c>
      <c r="D83" s="18">
        <v>-8798</v>
      </c>
    </row>
    <row r="84" spans="2:4" x14ac:dyDescent="0.25">
      <c r="B84" s="3" t="s">
        <v>69</v>
      </c>
      <c r="C84" t="s">
        <v>112</v>
      </c>
      <c r="D84" s="18">
        <v>-3511</v>
      </c>
    </row>
    <row r="85" spans="2:4" x14ac:dyDescent="0.25">
      <c r="B85" s="3" t="s">
        <v>69</v>
      </c>
      <c r="C85" t="s">
        <v>114</v>
      </c>
      <c r="D85" s="18">
        <v>-5438</v>
      </c>
    </row>
    <row r="86" spans="2:4" x14ac:dyDescent="0.25">
      <c r="B86" s="3" t="s">
        <v>69</v>
      </c>
      <c r="C86" t="s">
        <v>115</v>
      </c>
      <c r="D86" s="18">
        <v>-2</v>
      </c>
    </row>
    <row r="87" spans="2:4" x14ac:dyDescent="0.25">
      <c r="B87" s="3" t="s">
        <v>69</v>
      </c>
      <c r="C87" t="s">
        <v>116</v>
      </c>
      <c r="D87" s="18">
        <v>-2176</v>
      </c>
    </row>
    <row r="88" spans="2:4" x14ac:dyDescent="0.25">
      <c r="B88" s="3" t="s">
        <v>69</v>
      </c>
      <c r="C88" t="s">
        <v>110</v>
      </c>
      <c r="D88" s="18">
        <v>-375</v>
      </c>
    </row>
    <row r="91" spans="2:4" ht="15.75" thickBot="1" x14ac:dyDescent="0.3">
      <c r="B91" s="1" t="s">
        <v>0</v>
      </c>
      <c r="C91" s="10" t="s">
        <v>78</v>
      </c>
      <c r="D91" s="17" t="s">
        <v>119</v>
      </c>
    </row>
    <row r="92" spans="2:4" ht="15.75" thickTop="1" x14ac:dyDescent="0.25">
      <c r="B92" s="3" t="s">
        <v>71</v>
      </c>
      <c r="C92" t="s">
        <v>113</v>
      </c>
      <c r="D92" s="18">
        <v>4</v>
      </c>
    </row>
    <row r="93" spans="2:4" x14ac:dyDescent="0.25">
      <c r="B93" s="3" t="s">
        <v>71</v>
      </c>
      <c r="C93" t="s">
        <v>79</v>
      </c>
      <c r="D93" s="18">
        <v>-286</v>
      </c>
    </row>
    <row r="94" spans="2:4" x14ac:dyDescent="0.25">
      <c r="B94" s="3" t="s">
        <v>71</v>
      </c>
      <c r="C94" t="s">
        <v>80</v>
      </c>
      <c r="D94" s="18">
        <v>-356</v>
      </c>
    </row>
    <row r="95" spans="2:4" x14ac:dyDescent="0.25">
      <c r="B95" s="3" t="s">
        <v>71</v>
      </c>
      <c r="C95" t="s">
        <v>81</v>
      </c>
      <c r="D95" s="18">
        <v>-153</v>
      </c>
    </row>
    <row r="96" spans="2:4" x14ac:dyDescent="0.25">
      <c r="B96" s="3" t="s">
        <v>71</v>
      </c>
      <c r="C96" t="s">
        <v>82</v>
      </c>
      <c r="D96" s="18">
        <v>-546</v>
      </c>
    </row>
    <row r="97" spans="2:4" x14ac:dyDescent="0.25">
      <c r="B97" s="3" t="s">
        <v>71</v>
      </c>
      <c r="C97" t="s">
        <v>84</v>
      </c>
      <c r="D97" s="18">
        <v>-151</v>
      </c>
    </row>
    <row r="98" spans="2:4" x14ac:dyDescent="0.25">
      <c r="B98" s="3" t="s">
        <v>71</v>
      </c>
      <c r="C98" t="s">
        <v>83</v>
      </c>
      <c r="D98" s="18">
        <v>-443</v>
      </c>
    </row>
    <row r="99" spans="2:4" x14ac:dyDescent="0.25">
      <c r="B99" s="3" t="s">
        <v>71</v>
      </c>
      <c r="C99" t="s">
        <v>85</v>
      </c>
      <c r="D99" s="18">
        <v>-352</v>
      </c>
    </row>
    <row r="100" spans="2:4" x14ac:dyDescent="0.25">
      <c r="B100" s="3" t="s">
        <v>71</v>
      </c>
      <c r="C100" t="s">
        <v>86</v>
      </c>
      <c r="D100" s="18">
        <v>-221</v>
      </c>
    </row>
    <row r="101" spans="2:4" x14ac:dyDescent="0.25">
      <c r="B101" s="3" t="s">
        <v>71</v>
      </c>
      <c r="C101" t="s">
        <v>87</v>
      </c>
      <c r="D101" s="18">
        <v>-868</v>
      </c>
    </row>
    <row r="102" spans="2:4" x14ac:dyDescent="0.25">
      <c r="B102" s="3" t="s">
        <v>71</v>
      </c>
      <c r="C102" t="s">
        <v>88</v>
      </c>
      <c r="D102" s="18">
        <v>-299</v>
      </c>
    </row>
    <row r="103" spans="2:4" x14ac:dyDescent="0.25">
      <c r="B103" s="3" t="s">
        <v>71</v>
      </c>
      <c r="C103" t="s">
        <v>89</v>
      </c>
      <c r="D103" s="18">
        <v>-6093</v>
      </c>
    </row>
    <row r="104" spans="2:4" x14ac:dyDescent="0.25">
      <c r="B104" s="3" t="s">
        <v>71</v>
      </c>
      <c r="C104" t="s">
        <v>90</v>
      </c>
      <c r="D104" s="18">
        <v>-56</v>
      </c>
    </row>
    <row r="105" spans="2:4" x14ac:dyDescent="0.25">
      <c r="B105" s="3" t="s">
        <v>71</v>
      </c>
      <c r="C105" t="s">
        <v>91</v>
      </c>
      <c r="D105" s="18">
        <v>-1833</v>
      </c>
    </row>
    <row r="106" spans="2:4" x14ac:dyDescent="0.25">
      <c r="B106" s="3" t="s">
        <v>71</v>
      </c>
      <c r="C106" t="s">
        <v>92</v>
      </c>
      <c r="D106" s="18">
        <v>-11</v>
      </c>
    </row>
    <row r="107" spans="2:4" x14ac:dyDescent="0.25">
      <c r="B107" s="3" t="s">
        <v>71</v>
      </c>
      <c r="C107" t="s">
        <v>93</v>
      </c>
      <c r="D107" s="18">
        <v>-837</v>
      </c>
    </row>
    <row r="108" spans="2:4" x14ac:dyDescent="0.25">
      <c r="B108" s="3" t="s">
        <v>71</v>
      </c>
      <c r="C108" t="s">
        <v>97</v>
      </c>
      <c r="D108" s="18">
        <v>-437</v>
      </c>
    </row>
    <row r="109" spans="2:4" x14ac:dyDescent="0.25">
      <c r="B109" s="3" t="s">
        <v>71</v>
      </c>
      <c r="C109" t="s">
        <v>94</v>
      </c>
      <c r="D109" s="18">
        <v>-409</v>
      </c>
    </row>
    <row r="110" spans="2:4" x14ac:dyDescent="0.25">
      <c r="B110" s="3" t="s">
        <v>71</v>
      </c>
      <c r="C110" t="s">
        <v>95</v>
      </c>
      <c r="D110" s="18">
        <v>-211</v>
      </c>
    </row>
    <row r="111" spans="2:4" x14ac:dyDescent="0.25">
      <c r="B111" s="3" t="s">
        <v>71</v>
      </c>
      <c r="C111" t="s">
        <v>96</v>
      </c>
      <c r="D111" s="18">
        <v>-747</v>
      </c>
    </row>
    <row r="112" spans="2:4" x14ac:dyDescent="0.25">
      <c r="B112" s="3" t="s">
        <v>71</v>
      </c>
      <c r="C112" t="s">
        <v>98</v>
      </c>
      <c r="D112" s="18">
        <v>-297</v>
      </c>
    </row>
    <row r="113" spans="2:4" x14ac:dyDescent="0.25">
      <c r="B113" s="3" t="s">
        <v>71</v>
      </c>
      <c r="C113" t="s">
        <v>99</v>
      </c>
      <c r="D113" s="18">
        <v>-31</v>
      </c>
    </row>
    <row r="114" spans="2:4" x14ac:dyDescent="0.25">
      <c r="B114" s="3" t="s">
        <v>71</v>
      </c>
      <c r="C114" t="s">
        <v>101</v>
      </c>
      <c r="D114" s="18">
        <v>-42437</v>
      </c>
    </row>
    <row r="115" spans="2:4" x14ac:dyDescent="0.25">
      <c r="B115" s="3" t="s">
        <v>71</v>
      </c>
      <c r="C115" t="s">
        <v>102</v>
      </c>
      <c r="D115" s="18">
        <v>-7404</v>
      </c>
    </row>
    <row r="116" spans="2:4" x14ac:dyDescent="0.25">
      <c r="B116" s="3" t="s">
        <v>71</v>
      </c>
      <c r="C116" t="s">
        <v>103</v>
      </c>
      <c r="D116" s="18">
        <v>-630</v>
      </c>
    </row>
    <row r="117" spans="2:4" x14ac:dyDescent="0.25">
      <c r="B117" s="3" t="s">
        <v>71</v>
      </c>
      <c r="C117" t="s">
        <v>104</v>
      </c>
      <c r="D117" s="18">
        <v>-111</v>
      </c>
    </row>
    <row r="118" spans="2:4" x14ac:dyDescent="0.25">
      <c r="B118" s="3" t="s">
        <v>71</v>
      </c>
      <c r="C118" t="s">
        <v>105</v>
      </c>
      <c r="D118" s="18">
        <v>-4759</v>
      </c>
    </row>
    <row r="119" spans="2:4" x14ac:dyDescent="0.25">
      <c r="B119" s="3" t="s">
        <v>71</v>
      </c>
      <c r="C119" t="s">
        <v>106</v>
      </c>
      <c r="D119" s="18">
        <v>-43</v>
      </c>
    </row>
    <row r="120" spans="2:4" x14ac:dyDescent="0.25">
      <c r="B120" s="3" t="s">
        <v>71</v>
      </c>
      <c r="C120" t="s">
        <v>118</v>
      </c>
      <c r="D120" s="18">
        <v>-18276</v>
      </c>
    </row>
    <row r="121" spans="2:4" x14ac:dyDescent="0.25">
      <c r="B121" s="3" t="s">
        <v>71</v>
      </c>
      <c r="C121" t="s">
        <v>117</v>
      </c>
      <c r="D121" s="18">
        <v>-1160</v>
      </c>
    </row>
    <row r="122" spans="2:4" x14ac:dyDescent="0.25">
      <c r="B122" s="3" t="s">
        <v>71</v>
      </c>
      <c r="C122" t="s">
        <v>107</v>
      </c>
      <c r="D122" s="18">
        <v>-21</v>
      </c>
    </row>
    <row r="123" spans="2:4" x14ac:dyDescent="0.25">
      <c r="B123" s="3" t="s">
        <v>71</v>
      </c>
      <c r="C123" t="s">
        <v>108</v>
      </c>
      <c r="D123" s="18">
        <v>-256</v>
      </c>
    </row>
    <row r="124" spans="2:4" x14ac:dyDescent="0.25">
      <c r="B124" s="3" t="s">
        <v>71</v>
      </c>
      <c r="C124" t="s">
        <v>109</v>
      </c>
      <c r="D124" s="18">
        <v>-336</v>
      </c>
    </row>
    <row r="125" spans="2:4" x14ac:dyDescent="0.25">
      <c r="B125" s="3" t="s">
        <v>71</v>
      </c>
      <c r="D125" s="18">
        <v>-72</v>
      </c>
    </row>
    <row r="126" spans="2:4" x14ac:dyDescent="0.25">
      <c r="B126" s="3" t="s">
        <v>71</v>
      </c>
      <c r="C126" t="s">
        <v>100</v>
      </c>
      <c r="D126" s="18">
        <v>-351</v>
      </c>
    </row>
    <row r="127" spans="2:4" x14ac:dyDescent="0.25">
      <c r="B127" s="3" t="s">
        <v>71</v>
      </c>
      <c r="C127" t="s">
        <v>111</v>
      </c>
      <c r="D127" s="18">
        <v>-1466</v>
      </c>
    </row>
    <row r="128" spans="2:4" x14ac:dyDescent="0.25">
      <c r="B128" s="3" t="s">
        <v>71</v>
      </c>
      <c r="C128" t="s">
        <v>112</v>
      </c>
      <c r="D128" s="18">
        <v>-585</v>
      </c>
    </row>
    <row r="129" spans="2:4" x14ac:dyDescent="0.25">
      <c r="B129" s="3" t="s">
        <v>71</v>
      </c>
      <c r="C129" t="s">
        <v>114</v>
      </c>
      <c r="D129" s="18">
        <v>-906</v>
      </c>
    </row>
    <row r="130" spans="2:4" x14ac:dyDescent="0.25">
      <c r="B130" s="3" t="s">
        <v>71</v>
      </c>
      <c r="C130" t="s">
        <v>116</v>
      </c>
      <c r="D130" s="18">
        <v>-363</v>
      </c>
    </row>
    <row r="131" spans="2:4" x14ac:dyDescent="0.25">
      <c r="B131" s="3" t="s">
        <v>71</v>
      </c>
      <c r="C131" t="s">
        <v>110</v>
      </c>
      <c r="D131" s="18">
        <v>-63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E543-CB80-4C98-AD3E-06DD1884924D}">
  <dimension ref="B2:D120"/>
  <sheetViews>
    <sheetView tabSelected="1" topLeftCell="A101" workbookViewId="0">
      <selection activeCell="F112" sqref="F112"/>
    </sheetView>
  </sheetViews>
  <sheetFormatPr defaultRowHeight="15" x14ac:dyDescent="0.25"/>
  <cols>
    <col min="2" max="2" width="18.5703125" bestFit="1" customWidth="1"/>
    <col min="3" max="3" width="34.5703125" bestFit="1" customWidth="1"/>
    <col min="4" max="4" width="21.5703125" customWidth="1"/>
    <col min="5" max="5" width="14.5703125" customWidth="1"/>
    <col min="6" max="6" width="7.5703125" customWidth="1"/>
    <col min="8" max="8" width="11.28515625" customWidth="1"/>
    <col min="9" max="9" width="16.28515625" customWidth="1"/>
    <col min="10" max="10" width="10.42578125" customWidth="1"/>
  </cols>
  <sheetData>
    <row r="2" spans="2:4" x14ac:dyDescent="0.25">
      <c r="C2" s="21" t="s">
        <v>120</v>
      </c>
    </row>
    <row r="3" spans="2:4" ht="15.75" thickBot="1" x14ac:dyDescent="0.3">
      <c r="B3" s="1" t="s">
        <v>0</v>
      </c>
      <c r="C3" s="10" t="s">
        <v>78</v>
      </c>
      <c r="D3" s="17" t="s">
        <v>119</v>
      </c>
    </row>
    <row r="4" spans="2:4" ht="15.75" thickTop="1" x14ac:dyDescent="0.25">
      <c r="B4" s="3" t="s">
        <v>19</v>
      </c>
      <c r="C4" t="s">
        <v>79</v>
      </c>
      <c r="D4" s="18">
        <v>13427</v>
      </c>
    </row>
    <row r="5" spans="2:4" x14ac:dyDescent="0.25">
      <c r="B5" s="3" t="s">
        <v>19</v>
      </c>
      <c r="C5" t="s">
        <v>80</v>
      </c>
      <c r="D5" s="18">
        <v>17035</v>
      </c>
    </row>
    <row r="6" spans="2:4" x14ac:dyDescent="0.25">
      <c r="B6" s="3" t="s">
        <v>19</v>
      </c>
      <c r="C6" t="s">
        <v>81</v>
      </c>
      <c r="D6" s="18">
        <v>7297</v>
      </c>
    </row>
    <row r="7" spans="2:4" ht="14.25" customHeight="1" x14ac:dyDescent="0.25">
      <c r="B7" s="3" t="s">
        <v>19</v>
      </c>
      <c r="C7" s="12" t="s">
        <v>82</v>
      </c>
      <c r="D7" s="18">
        <v>25320</v>
      </c>
    </row>
    <row r="8" spans="2:4" x14ac:dyDescent="0.25">
      <c r="B8" s="3" t="s">
        <v>19</v>
      </c>
      <c r="C8" s="12" t="s">
        <v>84</v>
      </c>
      <c r="D8" s="18">
        <v>7264</v>
      </c>
    </row>
    <row r="9" spans="2:4" x14ac:dyDescent="0.25">
      <c r="B9" s="3" t="s">
        <v>19</v>
      </c>
      <c r="C9" t="s">
        <v>83</v>
      </c>
      <c r="D9" s="18">
        <v>20613</v>
      </c>
    </row>
    <row r="10" spans="2:4" x14ac:dyDescent="0.25">
      <c r="B10" s="3" t="s">
        <v>19</v>
      </c>
      <c r="C10" t="s">
        <v>85</v>
      </c>
      <c r="D10" s="18">
        <v>16401</v>
      </c>
    </row>
    <row r="11" spans="2:4" x14ac:dyDescent="0.25">
      <c r="B11" s="3" t="s">
        <v>19</v>
      </c>
      <c r="C11" t="s">
        <v>86</v>
      </c>
      <c r="D11" s="18">
        <v>10487</v>
      </c>
    </row>
    <row r="12" spans="2:4" x14ac:dyDescent="0.25">
      <c r="B12" s="3" t="s">
        <v>19</v>
      </c>
      <c r="C12" t="s">
        <v>87</v>
      </c>
      <c r="D12" s="18">
        <v>39947</v>
      </c>
    </row>
    <row r="13" spans="2:4" x14ac:dyDescent="0.25">
      <c r="B13" s="3" t="s">
        <v>19</v>
      </c>
      <c r="C13" t="s">
        <v>88</v>
      </c>
      <c r="D13" s="18">
        <v>14026</v>
      </c>
    </row>
    <row r="14" spans="2:4" x14ac:dyDescent="0.25">
      <c r="B14" s="3" t="s">
        <v>19</v>
      </c>
      <c r="C14" t="s">
        <v>89</v>
      </c>
      <c r="D14" s="18">
        <v>277951</v>
      </c>
    </row>
    <row r="15" spans="2:4" x14ac:dyDescent="0.25">
      <c r="B15" s="3" t="s">
        <v>19</v>
      </c>
      <c r="C15" t="s">
        <v>90</v>
      </c>
      <c r="D15" s="18">
        <v>2734</v>
      </c>
    </row>
    <row r="16" spans="2:4" x14ac:dyDescent="0.25">
      <c r="B16" s="3" t="s">
        <v>19</v>
      </c>
      <c r="C16" t="s">
        <v>91</v>
      </c>
      <c r="D16" s="18">
        <v>83699</v>
      </c>
    </row>
    <row r="17" spans="2:4" x14ac:dyDescent="0.25">
      <c r="B17" s="3" t="s">
        <v>19</v>
      </c>
      <c r="C17" t="s">
        <v>92</v>
      </c>
      <c r="D17" s="18">
        <v>527</v>
      </c>
    </row>
    <row r="18" spans="2:4" x14ac:dyDescent="0.25">
      <c r="B18" s="3" t="s">
        <v>19</v>
      </c>
      <c r="C18" t="s">
        <v>93</v>
      </c>
      <c r="D18" s="18">
        <v>40789</v>
      </c>
    </row>
    <row r="19" spans="2:4" x14ac:dyDescent="0.25">
      <c r="B19" s="3" t="s">
        <v>19</v>
      </c>
      <c r="C19" t="s">
        <v>97</v>
      </c>
      <c r="D19" s="18">
        <v>21300</v>
      </c>
    </row>
    <row r="20" spans="2:4" x14ac:dyDescent="0.25">
      <c r="B20" s="3" t="s">
        <v>19</v>
      </c>
      <c r="C20" t="s">
        <v>94</v>
      </c>
      <c r="D20" s="18">
        <v>19181</v>
      </c>
    </row>
    <row r="21" spans="2:4" ht="14.25" customHeight="1" x14ac:dyDescent="0.25">
      <c r="B21" s="3" t="s">
        <v>19</v>
      </c>
      <c r="C21" t="s">
        <v>95</v>
      </c>
      <c r="D21" s="18">
        <v>9989</v>
      </c>
    </row>
    <row r="22" spans="2:4" x14ac:dyDescent="0.25">
      <c r="B22" s="3" t="s">
        <v>19</v>
      </c>
      <c r="C22" t="s">
        <v>96</v>
      </c>
      <c r="D22" s="18">
        <v>34901</v>
      </c>
    </row>
    <row r="23" spans="2:4" x14ac:dyDescent="0.25">
      <c r="B23" s="3" t="s">
        <v>19</v>
      </c>
      <c r="C23" t="s">
        <v>98</v>
      </c>
      <c r="D23" s="18">
        <v>14469</v>
      </c>
    </row>
    <row r="24" spans="2:4" x14ac:dyDescent="0.25">
      <c r="B24" s="3" t="s">
        <v>19</v>
      </c>
      <c r="C24" t="s">
        <v>99</v>
      </c>
      <c r="D24" s="18">
        <v>1513</v>
      </c>
    </row>
    <row r="25" spans="2:4" x14ac:dyDescent="0.25">
      <c r="B25" s="3" t="s">
        <v>19</v>
      </c>
      <c r="C25" t="s">
        <v>101</v>
      </c>
      <c r="D25" s="18">
        <v>1969381</v>
      </c>
    </row>
    <row r="26" spans="2:4" x14ac:dyDescent="0.25">
      <c r="B26" s="3" t="s">
        <v>19</v>
      </c>
      <c r="C26" t="s">
        <v>102</v>
      </c>
      <c r="D26" s="18">
        <v>343814</v>
      </c>
    </row>
    <row r="27" spans="2:4" x14ac:dyDescent="0.25">
      <c r="B27" s="3" t="s">
        <v>19</v>
      </c>
      <c r="C27" t="s">
        <v>103</v>
      </c>
      <c r="D27" s="18">
        <v>29750</v>
      </c>
    </row>
    <row r="28" spans="2:4" x14ac:dyDescent="0.25">
      <c r="B28" s="3" t="s">
        <v>19</v>
      </c>
      <c r="C28" t="s">
        <v>104</v>
      </c>
      <c r="D28" s="18">
        <v>5426</v>
      </c>
    </row>
    <row r="29" spans="2:4" x14ac:dyDescent="0.25">
      <c r="B29" s="3" t="s">
        <v>19</v>
      </c>
      <c r="C29" t="s">
        <v>105</v>
      </c>
      <c r="D29" s="18">
        <v>221100</v>
      </c>
    </row>
    <row r="30" spans="2:4" x14ac:dyDescent="0.25">
      <c r="B30" s="3" t="s">
        <v>19</v>
      </c>
      <c r="C30" t="s">
        <v>106</v>
      </c>
      <c r="D30" s="18">
        <v>2060</v>
      </c>
    </row>
    <row r="31" spans="2:4" x14ac:dyDescent="0.25">
      <c r="B31" s="3" t="s">
        <v>19</v>
      </c>
      <c r="C31" t="s">
        <v>118</v>
      </c>
      <c r="D31" s="18">
        <v>848020</v>
      </c>
    </row>
    <row r="32" spans="2:4" x14ac:dyDescent="0.25">
      <c r="B32" s="3" t="s">
        <v>19</v>
      </c>
      <c r="C32" t="s">
        <v>117</v>
      </c>
      <c r="D32" s="18">
        <v>53815</v>
      </c>
    </row>
    <row r="33" spans="2:4" x14ac:dyDescent="0.25">
      <c r="B33" s="3" t="s">
        <v>19</v>
      </c>
      <c r="C33" t="s">
        <v>107</v>
      </c>
      <c r="D33" s="18">
        <v>1025</v>
      </c>
    </row>
    <row r="34" spans="2:4" x14ac:dyDescent="0.25">
      <c r="B34" s="3" t="s">
        <v>19</v>
      </c>
      <c r="C34" t="s">
        <v>108</v>
      </c>
      <c r="D34" s="18">
        <v>12162</v>
      </c>
    </row>
    <row r="35" spans="2:4" x14ac:dyDescent="0.25">
      <c r="B35" s="3" t="s">
        <v>19</v>
      </c>
      <c r="C35" t="s">
        <v>109</v>
      </c>
      <c r="D35" s="18">
        <v>15850</v>
      </c>
    </row>
    <row r="36" spans="2:4" x14ac:dyDescent="0.25">
      <c r="B36" s="3" t="s">
        <v>19</v>
      </c>
      <c r="C36" t="s">
        <v>100</v>
      </c>
      <c r="D36" s="18">
        <v>16801</v>
      </c>
    </row>
    <row r="37" spans="2:4" x14ac:dyDescent="0.25">
      <c r="B37" s="3" t="s">
        <v>19</v>
      </c>
      <c r="C37" t="s">
        <v>111</v>
      </c>
      <c r="D37" s="18">
        <v>68040</v>
      </c>
    </row>
    <row r="38" spans="2:4" x14ac:dyDescent="0.25">
      <c r="B38" s="3" t="s">
        <v>19</v>
      </c>
      <c r="C38" t="s">
        <v>112</v>
      </c>
      <c r="D38" s="18">
        <v>27149</v>
      </c>
    </row>
    <row r="39" spans="2:4" x14ac:dyDescent="0.25">
      <c r="B39" s="3" t="s">
        <v>19</v>
      </c>
      <c r="C39" t="s">
        <v>114</v>
      </c>
      <c r="D39" s="18">
        <v>42051</v>
      </c>
    </row>
    <row r="40" spans="2:4" x14ac:dyDescent="0.25">
      <c r="B40" s="3" t="s">
        <v>19</v>
      </c>
      <c r="C40" t="s">
        <v>115</v>
      </c>
      <c r="D40" s="18">
        <v>16</v>
      </c>
    </row>
    <row r="41" spans="2:4" x14ac:dyDescent="0.25">
      <c r="B41" s="3" t="s">
        <v>19</v>
      </c>
      <c r="C41" t="s">
        <v>116</v>
      </c>
      <c r="D41" s="18">
        <v>16827</v>
      </c>
    </row>
    <row r="42" spans="2:4" x14ac:dyDescent="0.25">
      <c r="B42" s="3" t="s">
        <v>19</v>
      </c>
      <c r="C42" t="s">
        <v>110</v>
      </c>
      <c r="D42" s="18">
        <v>3045</v>
      </c>
    </row>
    <row r="43" spans="2:4" x14ac:dyDescent="0.25">
      <c r="B43" s="3" t="s">
        <v>19</v>
      </c>
      <c r="C43" t="s">
        <v>113</v>
      </c>
      <c r="D43" s="18">
        <v>-170</v>
      </c>
    </row>
    <row r="44" spans="2:4" x14ac:dyDescent="0.25">
      <c r="D44" s="30">
        <f>SUM(D4:D43)</f>
        <v>4355032</v>
      </c>
    </row>
    <row r="45" spans="2:4" x14ac:dyDescent="0.25">
      <c r="C45" s="21" t="s">
        <v>121</v>
      </c>
    </row>
    <row r="46" spans="2:4" ht="15.75" thickBot="1" x14ac:dyDescent="0.3">
      <c r="B46" s="1" t="s">
        <v>0</v>
      </c>
      <c r="C46" s="10" t="s">
        <v>78</v>
      </c>
      <c r="D46" s="17" t="s">
        <v>119</v>
      </c>
    </row>
    <row r="47" spans="2:4" ht="15.75" thickTop="1" x14ac:dyDescent="0.25">
      <c r="B47" s="3" t="s">
        <v>69</v>
      </c>
      <c r="C47" t="s">
        <v>113</v>
      </c>
      <c r="D47" s="18">
        <v>22</v>
      </c>
    </row>
    <row r="48" spans="2:4" x14ac:dyDescent="0.25">
      <c r="B48" s="3" t="s">
        <v>69</v>
      </c>
      <c r="C48" t="s">
        <v>84</v>
      </c>
      <c r="D48" s="18">
        <v>-910</v>
      </c>
    </row>
    <row r="49" spans="2:4" x14ac:dyDescent="0.25">
      <c r="B49" s="3" t="s">
        <v>69</v>
      </c>
      <c r="C49" t="s">
        <v>85</v>
      </c>
      <c r="D49" s="18">
        <v>-2107</v>
      </c>
    </row>
    <row r="50" spans="2:4" x14ac:dyDescent="0.25">
      <c r="B50" s="3" t="s">
        <v>69</v>
      </c>
      <c r="C50" t="s">
        <v>86</v>
      </c>
      <c r="D50" s="18">
        <v>-1330</v>
      </c>
    </row>
    <row r="51" spans="2:4" x14ac:dyDescent="0.25">
      <c r="B51" s="3" t="s">
        <v>69</v>
      </c>
      <c r="C51" t="s">
        <v>87</v>
      </c>
      <c r="D51" s="18">
        <v>-5206</v>
      </c>
    </row>
    <row r="52" spans="2:4" x14ac:dyDescent="0.25">
      <c r="B52" s="3" t="s">
        <v>69</v>
      </c>
      <c r="C52" t="s">
        <v>88</v>
      </c>
      <c r="D52" s="18">
        <v>-1795</v>
      </c>
    </row>
    <row r="53" spans="2:4" x14ac:dyDescent="0.25">
      <c r="B53" s="3" t="s">
        <v>69</v>
      </c>
      <c r="C53" t="s">
        <v>89</v>
      </c>
      <c r="D53" s="18">
        <v>-36558</v>
      </c>
    </row>
    <row r="54" spans="2:4" x14ac:dyDescent="0.25">
      <c r="B54" s="3" t="s">
        <v>69</v>
      </c>
      <c r="C54" t="s">
        <v>90</v>
      </c>
      <c r="D54" s="18">
        <v>-337</v>
      </c>
    </row>
    <row r="55" spans="2:4" x14ac:dyDescent="0.25">
      <c r="B55" s="3" t="s">
        <v>69</v>
      </c>
      <c r="C55" t="s">
        <v>91</v>
      </c>
      <c r="D55" s="18">
        <v>-10998</v>
      </c>
    </row>
    <row r="56" spans="2:4" x14ac:dyDescent="0.25">
      <c r="B56" s="3" t="s">
        <v>69</v>
      </c>
      <c r="C56" t="s">
        <v>92</v>
      </c>
      <c r="D56" s="18">
        <v>-44</v>
      </c>
    </row>
    <row r="57" spans="2:4" x14ac:dyDescent="0.25">
      <c r="B57" s="3" t="s">
        <v>69</v>
      </c>
      <c r="C57" t="s">
        <v>93</v>
      </c>
      <c r="D57" s="18">
        <v>-3349</v>
      </c>
    </row>
    <row r="58" spans="2:4" x14ac:dyDescent="0.25">
      <c r="B58" s="3" t="s">
        <v>69</v>
      </c>
      <c r="C58" t="s">
        <v>97</v>
      </c>
      <c r="D58" s="18">
        <v>-1748</v>
      </c>
    </row>
    <row r="59" spans="2:4" x14ac:dyDescent="0.25">
      <c r="B59" s="3" t="s">
        <v>69</v>
      </c>
      <c r="C59" t="s">
        <v>94</v>
      </c>
      <c r="D59" s="18">
        <v>-2451</v>
      </c>
    </row>
    <row r="60" spans="2:4" x14ac:dyDescent="0.25">
      <c r="B60" s="3" t="s">
        <v>69</v>
      </c>
      <c r="C60" t="s">
        <v>95</v>
      </c>
      <c r="D60" s="18">
        <v>-1264</v>
      </c>
    </row>
    <row r="61" spans="2:4" x14ac:dyDescent="0.25">
      <c r="B61" s="3" t="s">
        <v>69</v>
      </c>
      <c r="C61" t="s">
        <v>96</v>
      </c>
      <c r="D61" s="18">
        <v>-4484</v>
      </c>
    </row>
    <row r="62" spans="2:4" x14ac:dyDescent="0.25">
      <c r="B62" s="3" t="s">
        <v>69</v>
      </c>
      <c r="C62" t="s">
        <v>98</v>
      </c>
      <c r="D62" s="18">
        <v>-1188</v>
      </c>
    </row>
    <row r="63" spans="2:4" x14ac:dyDescent="0.25">
      <c r="B63" s="3" t="s">
        <v>69</v>
      </c>
      <c r="C63" t="s">
        <v>99</v>
      </c>
      <c r="D63" s="18">
        <v>-124</v>
      </c>
    </row>
    <row r="64" spans="2:4" x14ac:dyDescent="0.25">
      <c r="B64" s="3" t="s">
        <v>69</v>
      </c>
      <c r="C64" t="s">
        <v>101</v>
      </c>
      <c r="D64" s="18">
        <v>-254622</v>
      </c>
    </row>
    <row r="65" spans="2:4" x14ac:dyDescent="0.25">
      <c r="B65" s="3" t="s">
        <v>69</v>
      </c>
      <c r="C65" t="s">
        <v>106</v>
      </c>
      <c r="D65" s="18">
        <v>-253</v>
      </c>
    </row>
    <row r="66" spans="2:4" x14ac:dyDescent="0.25">
      <c r="B66" s="3" t="s">
        <v>69</v>
      </c>
      <c r="C66" t="s">
        <v>118</v>
      </c>
      <c r="D66" s="18">
        <v>-109658</v>
      </c>
    </row>
    <row r="67" spans="2:4" x14ac:dyDescent="0.25">
      <c r="B67" s="3" t="s">
        <v>69</v>
      </c>
      <c r="C67" t="s">
        <v>117</v>
      </c>
      <c r="D67" s="18">
        <v>-9278</v>
      </c>
    </row>
    <row r="68" spans="2:4" x14ac:dyDescent="0.25">
      <c r="B68" s="3" t="s">
        <v>69</v>
      </c>
      <c r="C68" t="s">
        <v>107</v>
      </c>
      <c r="D68" s="18">
        <v>-126</v>
      </c>
    </row>
    <row r="69" spans="2:4" x14ac:dyDescent="0.25">
      <c r="B69" s="3" t="s">
        <v>69</v>
      </c>
      <c r="C69" t="s">
        <v>108</v>
      </c>
      <c r="D69" s="18">
        <v>-1535</v>
      </c>
    </row>
    <row r="70" spans="2:4" x14ac:dyDescent="0.25">
      <c r="B70" s="3" t="s">
        <v>69</v>
      </c>
      <c r="C70" t="s">
        <v>109</v>
      </c>
      <c r="D70" s="18">
        <v>-2011</v>
      </c>
    </row>
    <row r="71" spans="2:4" x14ac:dyDescent="0.25">
      <c r="B71" s="3" t="s">
        <v>69</v>
      </c>
      <c r="C71" t="s">
        <v>111</v>
      </c>
      <c r="D71" s="18">
        <v>-8798</v>
      </c>
    </row>
    <row r="72" spans="2:4" x14ac:dyDescent="0.25">
      <c r="B72" s="3" t="s">
        <v>69</v>
      </c>
      <c r="C72" t="s">
        <v>112</v>
      </c>
      <c r="D72" s="18">
        <v>-3511</v>
      </c>
    </row>
    <row r="73" spans="2:4" x14ac:dyDescent="0.25">
      <c r="B73" s="3" t="s">
        <v>69</v>
      </c>
      <c r="C73" t="s">
        <v>114</v>
      </c>
      <c r="D73" s="18">
        <v>-5438</v>
      </c>
    </row>
    <row r="74" spans="2:4" x14ac:dyDescent="0.25">
      <c r="B74" s="3" t="s">
        <v>69</v>
      </c>
      <c r="C74" t="s">
        <v>115</v>
      </c>
      <c r="D74" s="18">
        <v>-2</v>
      </c>
    </row>
    <row r="75" spans="2:4" x14ac:dyDescent="0.25">
      <c r="B75" s="3" t="s">
        <v>69</v>
      </c>
      <c r="C75" t="s">
        <v>116</v>
      </c>
      <c r="D75" s="18">
        <v>-2176</v>
      </c>
    </row>
    <row r="76" spans="2:4" x14ac:dyDescent="0.25">
      <c r="B76" s="3" t="s">
        <v>69</v>
      </c>
      <c r="C76" t="s">
        <v>110</v>
      </c>
      <c r="D76" s="18">
        <v>-375</v>
      </c>
    </row>
    <row r="77" spans="2:4" x14ac:dyDescent="0.25">
      <c r="D77" s="30">
        <f>SUM(D47:D76)</f>
        <v>-471654</v>
      </c>
    </row>
    <row r="78" spans="2:4" x14ac:dyDescent="0.25">
      <c r="C78" s="21" t="s">
        <v>122</v>
      </c>
    </row>
    <row r="79" spans="2:4" ht="15.75" thickBot="1" x14ac:dyDescent="0.3">
      <c r="B79" s="1" t="s">
        <v>0</v>
      </c>
      <c r="C79" s="10" t="s">
        <v>78</v>
      </c>
      <c r="D79" s="17" t="s">
        <v>119</v>
      </c>
    </row>
    <row r="80" spans="2:4" ht="15.75" thickTop="1" x14ac:dyDescent="0.25">
      <c r="B80" s="3" t="s">
        <v>71</v>
      </c>
      <c r="C80" t="s">
        <v>113</v>
      </c>
      <c r="D80" s="18">
        <v>4</v>
      </c>
    </row>
    <row r="81" spans="2:4" x14ac:dyDescent="0.25">
      <c r="B81" s="3" t="s">
        <v>71</v>
      </c>
      <c r="C81" t="s">
        <v>79</v>
      </c>
      <c r="D81" s="18">
        <v>-286</v>
      </c>
    </row>
    <row r="82" spans="2:4" x14ac:dyDescent="0.25">
      <c r="B82" s="3" t="s">
        <v>71</v>
      </c>
      <c r="C82" t="s">
        <v>80</v>
      </c>
      <c r="D82" s="18">
        <v>-356</v>
      </c>
    </row>
    <row r="83" spans="2:4" x14ac:dyDescent="0.25">
      <c r="B83" s="3" t="s">
        <v>71</v>
      </c>
      <c r="C83" t="s">
        <v>81</v>
      </c>
      <c r="D83" s="18">
        <v>-153</v>
      </c>
    </row>
    <row r="84" spans="2:4" x14ac:dyDescent="0.25">
      <c r="B84" s="3" t="s">
        <v>71</v>
      </c>
      <c r="C84" t="s">
        <v>82</v>
      </c>
      <c r="D84" s="18">
        <v>-546</v>
      </c>
    </row>
    <row r="85" spans="2:4" x14ac:dyDescent="0.25">
      <c r="B85" s="3" t="s">
        <v>71</v>
      </c>
      <c r="C85" t="s">
        <v>84</v>
      </c>
      <c r="D85" s="18">
        <v>-151</v>
      </c>
    </row>
    <row r="86" spans="2:4" x14ac:dyDescent="0.25">
      <c r="B86" s="3" t="s">
        <v>71</v>
      </c>
      <c r="C86" t="s">
        <v>83</v>
      </c>
      <c r="D86" s="18">
        <v>-443</v>
      </c>
    </row>
    <row r="87" spans="2:4" x14ac:dyDescent="0.25">
      <c r="B87" s="3" t="s">
        <v>71</v>
      </c>
      <c r="C87" t="s">
        <v>85</v>
      </c>
      <c r="D87" s="18">
        <v>-352</v>
      </c>
    </row>
    <row r="88" spans="2:4" x14ac:dyDescent="0.25">
      <c r="B88" s="3" t="s">
        <v>71</v>
      </c>
      <c r="C88" t="s">
        <v>86</v>
      </c>
      <c r="D88" s="18">
        <v>-221</v>
      </c>
    </row>
    <row r="89" spans="2:4" x14ac:dyDescent="0.25">
      <c r="B89" s="3" t="s">
        <v>71</v>
      </c>
      <c r="C89" t="s">
        <v>87</v>
      </c>
      <c r="D89" s="18">
        <v>-868</v>
      </c>
    </row>
    <row r="90" spans="2:4" x14ac:dyDescent="0.25">
      <c r="B90" s="3" t="s">
        <v>71</v>
      </c>
      <c r="C90" t="s">
        <v>88</v>
      </c>
      <c r="D90" s="18">
        <v>-299</v>
      </c>
    </row>
    <row r="91" spans="2:4" x14ac:dyDescent="0.25">
      <c r="B91" s="3" t="s">
        <v>71</v>
      </c>
      <c r="C91" t="s">
        <v>89</v>
      </c>
      <c r="D91" s="18">
        <v>-6093</v>
      </c>
    </row>
    <row r="92" spans="2:4" x14ac:dyDescent="0.25">
      <c r="B92" s="3" t="s">
        <v>71</v>
      </c>
      <c r="C92" t="s">
        <v>90</v>
      </c>
      <c r="D92" s="18">
        <v>-56</v>
      </c>
    </row>
    <row r="93" spans="2:4" x14ac:dyDescent="0.25">
      <c r="B93" s="3" t="s">
        <v>71</v>
      </c>
      <c r="C93" t="s">
        <v>91</v>
      </c>
      <c r="D93" s="18">
        <v>-1833</v>
      </c>
    </row>
    <row r="94" spans="2:4" x14ac:dyDescent="0.25">
      <c r="B94" s="3" t="s">
        <v>71</v>
      </c>
      <c r="C94" t="s">
        <v>92</v>
      </c>
      <c r="D94" s="18">
        <v>-11</v>
      </c>
    </row>
    <row r="95" spans="2:4" x14ac:dyDescent="0.25">
      <c r="B95" s="3" t="s">
        <v>71</v>
      </c>
      <c r="C95" t="s">
        <v>93</v>
      </c>
      <c r="D95" s="18">
        <v>-837</v>
      </c>
    </row>
    <row r="96" spans="2:4" x14ac:dyDescent="0.25">
      <c r="B96" s="3" t="s">
        <v>71</v>
      </c>
      <c r="C96" t="s">
        <v>97</v>
      </c>
      <c r="D96" s="18">
        <v>-437</v>
      </c>
    </row>
    <row r="97" spans="2:4" x14ac:dyDescent="0.25">
      <c r="B97" s="3" t="s">
        <v>71</v>
      </c>
      <c r="C97" t="s">
        <v>94</v>
      </c>
      <c r="D97" s="18">
        <v>-409</v>
      </c>
    </row>
    <row r="98" spans="2:4" x14ac:dyDescent="0.25">
      <c r="B98" s="3" t="s">
        <v>71</v>
      </c>
      <c r="C98" t="s">
        <v>95</v>
      </c>
      <c r="D98" s="18">
        <v>-211</v>
      </c>
    </row>
    <row r="99" spans="2:4" x14ac:dyDescent="0.25">
      <c r="B99" s="3" t="s">
        <v>71</v>
      </c>
      <c r="C99" t="s">
        <v>96</v>
      </c>
      <c r="D99" s="18">
        <v>-747</v>
      </c>
    </row>
    <row r="100" spans="2:4" x14ac:dyDescent="0.25">
      <c r="B100" s="3" t="s">
        <v>71</v>
      </c>
      <c r="C100" t="s">
        <v>98</v>
      </c>
      <c r="D100" s="18">
        <v>-297</v>
      </c>
    </row>
    <row r="101" spans="2:4" x14ac:dyDescent="0.25">
      <c r="B101" s="3" t="s">
        <v>71</v>
      </c>
      <c r="C101" t="s">
        <v>99</v>
      </c>
      <c r="D101" s="18">
        <v>-31</v>
      </c>
    </row>
    <row r="102" spans="2:4" x14ac:dyDescent="0.25">
      <c r="B102" s="3" t="s">
        <v>71</v>
      </c>
      <c r="C102" t="s">
        <v>101</v>
      </c>
      <c r="D102" s="18">
        <v>-42437</v>
      </c>
    </row>
    <row r="103" spans="2:4" x14ac:dyDescent="0.25">
      <c r="B103" s="3" t="s">
        <v>71</v>
      </c>
      <c r="C103" t="s">
        <v>102</v>
      </c>
      <c r="D103" s="18">
        <v>-7404</v>
      </c>
    </row>
    <row r="104" spans="2:4" x14ac:dyDescent="0.25">
      <c r="B104" s="3" t="s">
        <v>71</v>
      </c>
      <c r="C104" t="s">
        <v>103</v>
      </c>
      <c r="D104" s="18">
        <v>-630</v>
      </c>
    </row>
    <row r="105" spans="2:4" x14ac:dyDescent="0.25">
      <c r="B105" s="3" t="s">
        <v>71</v>
      </c>
      <c r="C105" t="s">
        <v>104</v>
      </c>
      <c r="D105" s="18">
        <v>-111</v>
      </c>
    </row>
    <row r="106" spans="2:4" x14ac:dyDescent="0.25">
      <c r="B106" s="3" t="s">
        <v>71</v>
      </c>
      <c r="C106" t="s">
        <v>105</v>
      </c>
      <c r="D106" s="18">
        <v>-4759</v>
      </c>
    </row>
    <row r="107" spans="2:4" x14ac:dyDescent="0.25">
      <c r="B107" s="3" t="s">
        <v>71</v>
      </c>
      <c r="C107" t="s">
        <v>106</v>
      </c>
      <c r="D107" s="18">
        <v>-43</v>
      </c>
    </row>
    <row r="108" spans="2:4" x14ac:dyDescent="0.25">
      <c r="B108" s="3" t="s">
        <v>71</v>
      </c>
      <c r="C108" t="s">
        <v>118</v>
      </c>
      <c r="D108" s="18">
        <v>-18276</v>
      </c>
    </row>
    <row r="109" spans="2:4" x14ac:dyDescent="0.25">
      <c r="B109" s="3" t="s">
        <v>71</v>
      </c>
      <c r="C109" t="s">
        <v>117</v>
      </c>
      <c r="D109" s="18">
        <v>-1160</v>
      </c>
    </row>
    <row r="110" spans="2:4" x14ac:dyDescent="0.25">
      <c r="B110" s="3" t="s">
        <v>71</v>
      </c>
      <c r="C110" t="s">
        <v>107</v>
      </c>
      <c r="D110" s="18">
        <v>-21</v>
      </c>
    </row>
    <row r="111" spans="2:4" x14ac:dyDescent="0.25">
      <c r="B111" s="3" t="s">
        <v>71</v>
      </c>
      <c r="C111" t="s">
        <v>108</v>
      </c>
      <c r="D111" s="18">
        <v>-256</v>
      </c>
    </row>
    <row r="112" spans="2:4" x14ac:dyDescent="0.25">
      <c r="B112" s="3" t="s">
        <v>71</v>
      </c>
      <c r="C112" t="s">
        <v>109</v>
      </c>
      <c r="D112" s="18">
        <v>-336</v>
      </c>
    </row>
    <row r="113" spans="2:4" x14ac:dyDescent="0.25">
      <c r="B113" s="3" t="s">
        <v>71</v>
      </c>
      <c r="C113" t="s">
        <v>100</v>
      </c>
      <c r="D113" s="18">
        <v>-351</v>
      </c>
    </row>
    <row r="114" spans="2:4" x14ac:dyDescent="0.25">
      <c r="B114" s="3" t="s">
        <v>71</v>
      </c>
      <c r="C114" t="s">
        <v>111</v>
      </c>
      <c r="D114" s="18">
        <v>-1466</v>
      </c>
    </row>
    <row r="115" spans="2:4" x14ac:dyDescent="0.25">
      <c r="B115" s="3" t="s">
        <v>71</v>
      </c>
      <c r="C115" t="s">
        <v>112</v>
      </c>
      <c r="D115" s="18">
        <v>-585</v>
      </c>
    </row>
    <row r="116" spans="2:4" x14ac:dyDescent="0.25">
      <c r="B116" s="3" t="s">
        <v>71</v>
      </c>
      <c r="C116" t="s">
        <v>114</v>
      </c>
      <c r="D116" s="18">
        <v>-906</v>
      </c>
    </row>
    <row r="117" spans="2:4" x14ac:dyDescent="0.25">
      <c r="B117" s="3" t="s">
        <v>71</v>
      </c>
      <c r="C117" t="s">
        <v>116</v>
      </c>
      <c r="D117" s="18">
        <v>-363</v>
      </c>
    </row>
    <row r="118" spans="2:4" x14ac:dyDescent="0.25">
      <c r="B118" s="3" t="s">
        <v>71</v>
      </c>
      <c r="C118" t="s">
        <v>110</v>
      </c>
      <c r="D118" s="18">
        <v>-63</v>
      </c>
    </row>
    <row r="120" spans="2:4" x14ac:dyDescent="0.25">
      <c r="D120" s="30">
        <f>SUM(D80:D118)</f>
        <v>-93800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14F5-F053-4BBB-BE3B-BD1EEAD892B3}">
  <dimension ref="A1:H43"/>
  <sheetViews>
    <sheetView topLeftCell="A32" workbookViewId="0">
      <selection activeCell="E32" sqref="E32"/>
    </sheetView>
  </sheetViews>
  <sheetFormatPr defaultRowHeight="15" x14ac:dyDescent="0.25"/>
  <cols>
    <col min="1" max="1" width="39.85546875" bestFit="1" customWidth="1"/>
    <col min="2" max="2" width="14.28515625" bestFit="1" customWidth="1"/>
    <col min="3" max="3" width="14" bestFit="1" customWidth="1"/>
    <col min="4" max="4" width="10.5703125" bestFit="1" customWidth="1"/>
    <col min="5" max="5" width="13.7109375" bestFit="1" customWidth="1"/>
    <col min="6" max="6" width="93.7109375" customWidth="1"/>
    <col min="7" max="7" width="86" customWidth="1"/>
    <col min="8" max="8" width="77.5703125" customWidth="1"/>
  </cols>
  <sheetData>
    <row r="1" spans="1:8" x14ac:dyDescent="0.25">
      <c r="A1" s="23" t="s">
        <v>297</v>
      </c>
      <c r="B1" t="s">
        <v>298</v>
      </c>
      <c r="D1" s="24" t="s">
        <v>299</v>
      </c>
      <c r="E1" s="25" t="s">
        <v>300</v>
      </c>
    </row>
    <row r="2" spans="1:8" ht="106.5" customHeight="1" x14ac:dyDescent="0.25">
      <c r="A2" t="s">
        <v>79</v>
      </c>
      <c r="B2" s="12" t="str">
        <f>VLOOKUP(A2,policy!B:C,2,0)</f>
        <v>040000185733</v>
      </c>
      <c r="C2" s="18">
        <v>13427</v>
      </c>
      <c r="D2" s="26">
        <f>ROUND(C2,0)</f>
        <v>13427</v>
      </c>
      <c r="E2" s="25" t="s">
        <v>300</v>
      </c>
      <c r="F2" s="27" t="str">
        <f t="shared" ref="F2:F41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8" t="str">
        <f>"('"&amp;E2&amp;"','"&amp;B2&amp;"','"&amp;D2&amp;"',(select max(to_number(i.premium_rcv_detail_code))+1
from ins_premium_det i),'"&amp;D2&amp;"','"&amp;D2&amp;"','02', '11000003','00','Request by Mr. Raheel Malik 16-Apr-2025');"</f>
        <v>('15Apr250002','040000185733','13427',(select max(to_number(i.premium_rcv_detail_code))+1
from ins_premium_det i),'13427','13427','02', '11000003','00','Request by Mr. Raheel Malik 16-Apr-2025');</v>
      </c>
      <c r="H2" s="29" t="str">
        <f>F2&amp;G2</f>
        <v>insert into ins_premium_det (premium_rcv_code,assorted_code, rec_amount,premium_rcv_detail_code,remaining_amt, payrec, mode_code,coinsurance_code,class_cd,it_remarks) values('15Apr250002','040000185733','13427',(select max(to_number(i.premium_rcv_detail_code))+1
from ins_premium_det i),'13427','13427','02', '11000003','00','Request by Mr. Raheel Malik 16-Apr-2025');</v>
      </c>
    </row>
    <row r="3" spans="1:8" ht="105" x14ac:dyDescent="0.25">
      <c r="A3" t="s">
        <v>80</v>
      </c>
      <c r="B3" s="12" t="str">
        <f>VLOOKUP(A3,policy!B:C,2,0)</f>
        <v>040000185737</v>
      </c>
      <c r="C3" s="18">
        <v>17035</v>
      </c>
      <c r="D3" s="26">
        <f t="shared" ref="D3:D41" si="1">ROUND(C3,0)</f>
        <v>17035</v>
      </c>
      <c r="E3" s="25" t="s">
        <v>300</v>
      </c>
      <c r="F3" s="27" t="str">
        <f t="shared" si="0"/>
        <v>insert into ins_premium_det (premium_rcv_code,assorted_code, rec_amount,premium_rcv_detail_code,remaining_amt, payrec, mode_code,coinsurance_code,class_cd,it_remarks) values</v>
      </c>
      <c r="G3" s="28" t="str">
        <f t="shared" ref="G3:G41" si="2">"('"&amp;E3&amp;"','"&amp;B3&amp;"','"&amp;D3&amp;"',(select max(to_number(i.premium_rcv_detail_code))+1
from ins_premium_det i),'"&amp;D3&amp;"','"&amp;D3&amp;"','02', '11000003','00','Request by Mr. Raheel Malik 16-Apr-2025');"</f>
        <v>('15Apr250002','040000185737','17035',(select max(to_number(i.premium_rcv_detail_code))+1
from ins_premium_det i),'17035','17035','02', '11000003','00','Request by Mr. Raheel Malik 16-Apr-2025');</v>
      </c>
      <c r="H3" s="29" t="str">
        <f t="shared" ref="H3:H41" si="3">F3&amp;G3</f>
        <v>insert into ins_premium_det (premium_rcv_code,assorted_code, rec_amount,premium_rcv_detail_code,remaining_amt, payrec, mode_code,coinsurance_code,class_cd,it_remarks) values('15Apr250002','040000185737','17035',(select max(to_number(i.premium_rcv_detail_code))+1
from ins_premium_det i),'17035','17035','02', '11000003','00','Request by Mr. Raheel Malik 16-Apr-2025');</v>
      </c>
    </row>
    <row r="4" spans="1:8" ht="105" x14ac:dyDescent="0.25">
      <c r="A4" t="s">
        <v>81</v>
      </c>
      <c r="B4" s="12" t="str">
        <f>VLOOKUP(A4,policy!B:C,2,0)</f>
        <v>040000185739</v>
      </c>
      <c r="C4" s="18">
        <v>7297</v>
      </c>
      <c r="D4" s="26">
        <f t="shared" si="1"/>
        <v>7297</v>
      </c>
      <c r="E4" s="25" t="s">
        <v>300</v>
      </c>
      <c r="F4" s="27" t="str">
        <f t="shared" si="0"/>
        <v>insert into ins_premium_det (premium_rcv_code,assorted_code, rec_amount,premium_rcv_detail_code,remaining_amt, payrec, mode_code,coinsurance_code,class_cd,it_remarks) values</v>
      </c>
      <c r="G4" s="28" t="str">
        <f t="shared" si="2"/>
        <v>('15Apr250002','040000185739','7297',(select max(to_number(i.premium_rcv_detail_code))+1
from ins_premium_det i),'7297','7297','02', '11000003','00','Request by Mr. Raheel Malik 16-Apr-2025');</v>
      </c>
      <c r="H4" s="29" t="str">
        <f t="shared" si="3"/>
        <v>insert into ins_premium_det (premium_rcv_code,assorted_code, rec_amount,premium_rcv_detail_code,remaining_amt, payrec, mode_code,coinsurance_code,class_cd,it_remarks) values('15Apr250002','040000185739','7297',(select max(to_number(i.premium_rcv_detail_code))+1
from ins_premium_det i),'7297','7297','02', '11000003','00','Request by Mr. Raheel Malik 16-Apr-2025');</v>
      </c>
    </row>
    <row r="5" spans="1:8" ht="105" x14ac:dyDescent="0.25">
      <c r="A5" s="12" t="s">
        <v>82</v>
      </c>
      <c r="B5" s="12" t="str">
        <f>VLOOKUP(A5,policy!B:C,2,0)</f>
        <v>040000185751</v>
      </c>
      <c r="C5" s="18">
        <v>25320</v>
      </c>
      <c r="D5" s="26">
        <f t="shared" si="1"/>
        <v>25320</v>
      </c>
      <c r="E5" s="25" t="s">
        <v>300</v>
      </c>
      <c r="F5" s="27" t="str">
        <f t="shared" si="0"/>
        <v>insert into ins_premium_det (premium_rcv_code,assorted_code, rec_amount,premium_rcv_detail_code,remaining_amt, payrec, mode_code,coinsurance_code,class_cd,it_remarks) values</v>
      </c>
      <c r="G5" s="28" t="str">
        <f t="shared" si="2"/>
        <v>('15Apr250002','040000185751','25320',(select max(to_number(i.premium_rcv_detail_code))+1
from ins_premium_det i),'25320','25320','02', '11000003','00','Request by Mr. Raheel Malik 16-Apr-2025');</v>
      </c>
      <c r="H5" s="29" t="str">
        <f t="shared" si="3"/>
        <v>insert into ins_premium_det (premium_rcv_code,assorted_code, rec_amount,premium_rcv_detail_code,remaining_amt, payrec, mode_code,coinsurance_code,class_cd,it_remarks) values('15Apr250002','040000185751','25320',(select max(to_number(i.premium_rcv_detail_code))+1
from ins_premium_det i),'25320','25320','02', '11000003','00','Request by Mr. Raheel Malik 16-Apr-2025');</v>
      </c>
    </row>
    <row r="6" spans="1:8" ht="105" x14ac:dyDescent="0.25">
      <c r="A6" s="12" t="s">
        <v>84</v>
      </c>
      <c r="B6" s="12" t="str">
        <f>VLOOKUP(A6,policy!B:C,2,0)</f>
        <v>040000172420</v>
      </c>
      <c r="C6" s="18">
        <v>7264</v>
      </c>
      <c r="D6" s="26">
        <f t="shared" si="1"/>
        <v>7264</v>
      </c>
      <c r="E6" s="25" t="s">
        <v>300</v>
      </c>
      <c r="F6" s="27" t="str">
        <f t="shared" si="0"/>
        <v>insert into ins_premium_det (premium_rcv_code,assorted_code, rec_amount,premium_rcv_detail_code,remaining_amt, payrec, mode_code,coinsurance_code,class_cd,it_remarks) values</v>
      </c>
      <c r="G6" s="28" t="str">
        <f t="shared" si="2"/>
        <v>('15Apr250002','040000172420','7264',(select max(to_number(i.premium_rcv_detail_code))+1
from ins_premium_det i),'7264','7264','02', '11000003','00','Request by Mr. Raheel Malik 16-Apr-2025');</v>
      </c>
      <c r="H6" s="29" t="str">
        <f t="shared" si="3"/>
        <v>insert into ins_premium_det (premium_rcv_code,assorted_code, rec_amount,premium_rcv_detail_code,remaining_amt, payrec, mode_code,coinsurance_code,class_cd,it_remarks) values('15Apr250002','040000172420','7264',(select max(to_number(i.premium_rcv_detail_code))+1
from ins_premium_det i),'7264','7264','02', '11000003','00','Request by Mr. Raheel Malik 16-Apr-2025');</v>
      </c>
    </row>
    <row r="7" spans="1:8" ht="105" x14ac:dyDescent="0.25">
      <c r="A7" t="s">
        <v>83</v>
      </c>
      <c r="B7" s="12" t="str">
        <f>VLOOKUP(A7,policy!B:C,2,0)</f>
        <v>040000185754</v>
      </c>
      <c r="C7" s="18">
        <v>20613</v>
      </c>
      <c r="D7" s="26">
        <f t="shared" si="1"/>
        <v>20613</v>
      </c>
      <c r="E7" s="25" t="s">
        <v>300</v>
      </c>
      <c r="F7" s="27" t="str">
        <f t="shared" si="0"/>
        <v>insert into ins_premium_det (premium_rcv_code,assorted_code, rec_amount,premium_rcv_detail_code,remaining_amt, payrec, mode_code,coinsurance_code,class_cd,it_remarks) values</v>
      </c>
      <c r="G7" s="28" t="str">
        <f t="shared" si="2"/>
        <v>('15Apr250002','040000185754','20613',(select max(to_number(i.premium_rcv_detail_code))+1
from ins_premium_det i),'20613','20613','02', '11000003','00','Request by Mr. Raheel Malik 16-Apr-2025');</v>
      </c>
      <c r="H7" s="29" t="str">
        <f t="shared" si="3"/>
        <v>insert into ins_premium_det (premium_rcv_code,assorted_code, rec_amount,premium_rcv_detail_code,remaining_amt, payrec, mode_code,coinsurance_code,class_cd,it_remarks) values('15Apr250002','040000185754','20613',(select max(to_number(i.premium_rcv_detail_code))+1
from ins_premium_det i),'20613','20613','02', '11000003','00','Request by Mr. Raheel Malik 16-Apr-2025');</v>
      </c>
    </row>
    <row r="8" spans="1:8" ht="105" x14ac:dyDescent="0.25">
      <c r="A8" t="s">
        <v>85</v>
      </c>
      <c r="B8" s="12" t="str">
        <f>VLOOKUP(A8,policy!B:C,2,0)</f>
        <v>040000172425</v>
      </c>
      <c r="C8" s="18">
        <v>16401</v>
      </c>
      <c r="D8" s="26">
        <f t="shared" si="1"/>
        <v>16401</v>
      </c>
      <c r="E8" s="25" t="s">
        <v>300</v>
      </c>
      <c r="F8" s="27" t="str">
        <f t="shared" si="0"/>
        <v>insert into ins_premium_det (premium_rcv_code,assorted_code, rec_amount,premium_rcv_detail_code,remaining_amt, payrec, mode_code,coinsurance_code,class_cd,it_remarks) values</v>
      </c>
      <c r="G8" s="28" t="str">
        <f t="shared" si="2"/>
        <v>('15Apr250002','040000172425','16401',(select max(to_number(i.premium_rcv_detail_code))+1
from ins_premium_det i),'16401','16401','02', '11000003','00','Request by Mr. Raheel Malik 16-Apr-2025');</v>
      </c>
      <c r="H8" s="29" t="str">
        <f t="shared" si="3"/>
        <v>insert into ins_premium_det (premium_rcv_code,assorted_code, rec_amount,premium_rcv_detail_code,remaining_amt, payrec, mode_code,coinsurance_code,class_cd,it_remarks) values('15Apr250002','040000172425','16401',(select max(to_number(i.premium_rcv_detail_code))+1
from ins_premium_det i),'16401','16401','02', '11000003','00','Request by Mr. Raheel Malik 16-Apr-2025');</v>
      </c>
    </row>
    <row r="9" spans="1:8" ht="105" x14ac:dyDescent="0.25">
      <c r="A9" t="s">
        <v>86</v>
      </c>
      <c r="B9" s="12" t="str">
        <f>VLOOKUP(A9,policy!B:C,2,0)</f>
        <v>040000172427</v>
      </c>
      <c r="C9" s="18">
        <v>10487</v>
      </c>
      <c r="D9" s="26">
        <f t="shared" si="1"/>
        <v>10487</v>
      </c>
      <c r="E9" s="25" t="s">
        <v>300</v>
      </c>
      <c r="F9" s="27" t="str">
        <f t="shared" si="0"/>
        <v>insert into ins_premium_det (premium_rcv_code,assorted_code, rec_amount,premium_rcv_detail_code,remaining_amt, payrec, mode_code,coinsurance_code,class_cd,it_remarks) values</v>
      </c>
      <c r="G9" s="28" t="str">
        <f t="shared" si="2"/>
        <v>('15Apr250002','040000172427','10487',(select max(to_number(i.premium_rcv_detail_code))+1
from ins_premium_det i),'10487','10487','02', '11000003','00','Request by Mr. Raheel Malik 16-Apr-2025');</v>
      </c>
      <c r="H9" s="29" t="str">
        <f t="shared" si="3"/>
        <v>insert into ins_premium_det (premium_rcv_code,assorted_code, rec_amount,premium_rcv_detail_code,remaining_amt, payrec, mode_code,coinsurance_code,class_cd,it_remarks) values('15Apr250002','040000172427','10487',(select max(to_number(i.premium_rcv_detail_code))+1
from ins_premium_det i),'10487','10487','02', '11000003','00','Request by Mr. Raheel Malik 16-Apr-2025');</v>
      </c>
    </row>
    <row r="10" spans="1:8" ht="105" x14ac:dyDescent="0.25">
      <c r="A10" t="s">
        <v>87</v>
      </c>
      <c r="B10" s="12" t="str">
        <f>VLOOKUP(A10,policy!B:C,2,0)</f>
        <v>040000172409</v>
      </c>
      <c r="C10" s="18">
        <v>39947</v>
      </c>
      <c r="D10" s="26">
        <f t="shared" si="1"/>
        <v>39947</v>
      </c>
      <c r="E10" s="25" t="s">
        <v>300</v>
      </c>
      <c r="F10" s="27" t="str">
        <f t="shared" si="0"/>
        <v>insert into ins_premium_det (premium_rcv_code,assorted_code, rec_amount,premium_rcv_detail_code,remaining_amt, payrec, mode_code,coinsurance_code,class_cd,it_remarks) values</v>
      </c>
      <c r="G10" s="28" t="str">
        <f t="shared" si="2"/>
        <v>('15Apr250002','040000172409','39947',(select max(to_number(i.premium_rcv_detail_code))+1
from ins_premium_det i),'39947','39947','02', '11000003','00','Request by Mr. Raheel Malik 16-Apr-2025');</v>
      </c>
      <c r="H10" s="29" t="str">
        <f t="shared" si="3"/>
        <v>insert into ins_premium_det (premium_rcv_code,assorted_code, rec_amount,premium_rcv_detail_code,remaining_amt, payrec, mode_code,coinsurance_code,class_cd,it_remarks) values('15Apr250002','040000172409','39947',(select max(to_number(i.premium_rcv_detail_code))+1
from ins_premium_det i),'39947','39947','02', '11000003','00','Request by Mr. Raheel Malik 16-Apr-2025');</v>
      </c>
    </row>
    <row r="11" spans="1:8" ht="105" x14ac:dyDescent="0.25">
      <c r="A11" t="s">
        <v>88</v>
      </c>
      <c r="B11" s="12" t="str">
        <f>VLOOKUP(A11,policy!B:C,2,0)</f>
        <v>040000174621</v>
      </c>
      <c r="C11" s="18">
        <v>14026</v>
      </c>
      <c r="D11" s="26">
        <f t="shared" si="1"/>
        <v>14026</v>
      </c>
      <c r="E11" s="25" t="s">
        <v>300</v>
      </c>
      <c r="F11" s="27" t="str">
        <f t="shared" si="0"/>
        <v>insert into ins_premium_det (premium_rcv_code,assorted_code, rec_amount,premium_rcv_detail_code,remaining_amt, payrec, mode_code,coinsurance_code,class_cd,it_remarks) values</v>
      </c>
      <c r="G11" s="28" t="str">
        <f t="shared" si="2"/>
        <v>('15Apr250002','040000174621','14026',(select max(to_number(i.premium_rcv_detail_code))+1
from ins_premium_det i),'14026','14026','02', '11000003','00','Request by Mr. Raheel Malik 16-Apr-2025');</v>
      </c>
      <c r="H11" s="29" t="str">
        <f t="shared" si="3"/>
        <v>insert into ins_premium_det (premium_rcv_code,assorted_code, rec_amount,premium_rcv_detail_code,remaining_amt, payrec, mode_code,coinsurance_code,class_cd,it_remarks) values('15Apr250002','040000174621','14026',(select max(to_number(i.premium_rcv_detail_code))+1
from ins_premium_det i),'14026','14026','02', '11000003','00','Request by Mr. Raheel Malik 16-Apr-2025');</v>
      </c>
    </row>
    <row r="12" spans="1:8" ht="105" x14ac:dyDescent="0.25">
      <c r="A12" t="s">
        <v>89</v>
      </c>
      <c r="B12" s="12" t="str">
        <f>VLOOKUP(A12,policy!B:C,2,0)</f>
        <v>040000174195</v>
      </c>
      <c r="C12" s="18">
        <v>277951</v>
      </c>
      <c r="D12" s="26">
        <f t="shared" si="1"/>
        <v>277951</v>
      </c>
      <c r="E12" s="25" t="s">
        <v>300</v>
      </c>
      <c r="F12" s="27" t="str">
        <f t="shared" si="0"/>
        <v>insert into ins_premium_det (premium_rcv_code,assorted_code, rec_amount,premium_rcv_detail_code,remaining_amt, payrec, mode_code,coinsurance_code,class_cd,it_remarks) values</v>
      </c>
      <c r="G12" s="28" t="str">
        <f t="shared" si="2"/>
        <v>('15Apr250002','040000174195','277951',(select max(to_number(i.premium_rcv_detail_code))+1
from ins_premium_det i),'277951','277951','02', '11000003','00','Request by Mr. Raheel Malik 16-Apr-2025');</v>
      </c>
      <c r="H12" s="29" t="str">
        <f t="shared" si="3"/>
        <v>insert into ins_premium_det (premium_rcv_code,assorted_code, rec_amount,premium_rcv_detail_code,remaining_amt, payrec, mode_code,coinsurance_code,class_cd,it_remarks) values('15Apr250002','040000174195','277951',(select max(to_number(i.premium_rcv_detail_code))+1
from ins_premium_det i),'277951','277951','02', '11000003','00','Request by Mr. Raheel Malik 16-Apr-2025');</v>
      </c>
    </row>
    <row r="13" spans="1:8" ht="105" x14ac:dyDescent="0.25">
      <c r="A13" t="s">
        <v>90</v>
      </c>
      <c r="B13" s="12" t="str">
        <f>VLOOKUP(A13,policy!B:C,2,0)</f>
        <v>040000174755</v>
      </c>
      <c r="C13" s="18">
        <v>2734</v>
      </c>
      <c r="D13" s="26">
        <f t="shared" si="1"/>
        <v>2734</v>
      </c>
      <c r="E13" s="25" t="s">
        <v>300</v>
      </c>
      <c r="F13" s="27" t="str">
        <f t="shared" si="0"/>
        <v>insert into ins_premium_det (premium_rcv_code,assorted_code, rec_amount,premium_rcv_detail_code,remaining_amt, payrec, mode_code,coinsurance_code,class_cd,it_remarks) values</v>
      </c>
      <c r="G13" s="28" t="str">
        <f t="shared" si="2"/>
        <v>('15Apr250002','040000174755','2734',(select max(to_number(i.premium_rcv_detail_code))+1
from ins_premium_det i),'2734','2734','02', '11000003','00','Request by Mr. Raheel Malik 16-Apr-2025');</v>
      </c>
      <c r="H13" s="29" t="str">
        <f t="shared" si="3"/>
        <v>insert into ins_premium_det (premium_rcv_code,assorted_code, rec_amount,premium_rcv_detail_code,remaining_amt, payrec, mode_code,coinsurance_code,class_cd,it_remarks) values('15Apr250002','040000174755','2734',(select max(to_number(i.premium_rcv_detail_code))+1
from ins_premium_det i),'2734','2734','02', '11000003','00','Request by Mr. Raheel Malik 16-Apr-2025');</v>
      </c>
    </row>
    <row r="14" spans="1:8" ht="105" x14ac:dyDescent="0.25">
      <c r="A14" t="s">
        <v>91</v>
      </c>
      <c r="B14" s="12" t="str">
        <f>VLOOKUP(A14,policy!B:C,2,0)</f>
        <v>040000175006</v>
      </c>
      <c r="C14" s="18">
        <v>83699</v>
      </c>
      <c r="D14" s="26">
        <f t="shared" si="1"/>
        <v>83699</v>
      </c>
      <c r="E14" s="25" t="s">
        <v>300</v>
      </c>
      <c r="F14" s="27" t="str">
        <f t="shared" si="0"/>
        <v>insert into ins_premium_det (premium_rcv_code,assorted_code, rec_amount,premium_rcv_detail_code,remaining_amt, payrec, mode_code,coinsurance_code,class_cd,it_remarks) values</v>
      </c>
      <c r="G14" s="28" t="str">
        <f t="shared" si="2"/>
        <v>('15Apr250002','040000175006','83699',(select max(to_number(i.premium_rcv_detail_code))+1
from ins_premium_det i),'83699','83699','02', '11000003','00','Request by Mr. Raheel Malik 16-Apr-2025');</v>
      </c>
      <c r="H14" s="29" t="str">
        <f t="shared" si="3"/>
        <v>insert into ins_premium_det (premium_rcv_code,assorted_code, rec_amount,premium_rcv_detail_code,remaining_amt, payrec, mode_code,coinsurance_code,class_cd,it_remarks) values('15Apr250002','040000175006','83699',(select max(to_number(i.premium_rcv_detail_code))+1
from ins_premium_det i),'83699','83699','02', '11000003','00','Request by Mr. Raheel Malik 16-Apr-2025');</v>
      </c>
    </row>
    <row r="15" spans="1:8" ht="105" x14ac:dyDescent="0.25">
      <c r="A15" t="s">
        <v>92</v>
      </c>
      <c r="B15" s="12" t="str">
        <f>VLOOKUP(A15,policy!B:C,2,0)</f>
        <v>040000180179</v>
      </c>
      <c r="C15" s="18">
        <v>527</v>
      </c>
      <c r="D15" s="26">
        <f t="shared" si="1"/>
        <v>527</v>
      </c>
      <c r="E15" s="25" t="s">
        <v>300</v>
      </c>
      <c r="F15" s="27" t="str">
        <f t="shared" si="0"/>
        <v>insert into ins_premium_det (premium_rcv_code,assorted_code, rec_amount,premium_rcv_detail_code,remaining_amt, payrec, mode_code,coinsurance_code,class_cd,it_remarks) values</v>
      </c>
      <c r="G15" s="28" t="str">
        <f t="shared" si="2"/>
        <v>('15Apr250002','040000180179','527',(select max(to_number(i.premium_rcv_detail_code))+1
from ins_premium_det i),'527','527','02', '11000003','00','Request by Mr. Raheel Malik 16-Apr-2025');</v>
      </c>
      <c r="H15" s="29" t="str">
        <f t="shared" si="3"/>
        <v>insert into ins_premium_det (premium_rcv_code,assorted_code, rec_amount,premium_rcv_detail_code,remaining_amt, payrec, mode_code,coinsurance_code,class_cd,it_remarks) values('15Apr250002','040000180179','527',(select max(to_number(i.premium_rcv_detail_code))+1
from ins_premium_det i),'527','527','02', '11000003','00','Request by Mr. Raheel Malik 16-Apr-2025');</v>
      </c>
    </row>
    <row r="16" spans="1:8" ht="105" x14ac:dyDescent="0.25">
      <c r="A16" t="s">
        <v>93</v>
      </c>
      <c r="B16" s="12" t="str">
        <f>VLOOKUP(A16,policy!B:C,2,0)</f>
        <v>040000181263</v>
      </c>
      <c r="C16" s="18">
        <v>40789</v>
      </c>
      <c r="D16" s="26">
        <f t="shared" si="1"/>
        <v>40789</v>
      </c>
      <c r="E16" s="25" t="s">
        <v>300</v>
      </c>
      <c r="F16" s="27" t="str">
        <f t="shared" si="0"/>
        <v>insert into ins_premium_det (premium_rcv_code,assorted_code, rec_amount,premium_rcv_detail_code,remaining_amt, payrec, mode_code,coinsurance_code,class_cd,it_remarks) values</v>
      </c>
      <c r="G16" s="28" t="str">
        <f t="shared" si="2"/>
        <v>('15Apr250002','040000181263','40789',(select max(to_number(i.premium_rcv_detail_code))+1
from ins_premium_det i),'40789','40789','02', '11000003','00','Request by Mr. Raheel Malik 16-Apr-2025');</v>
      </c>
      <c r="H16" s="29" t="str">
        <f t="shared" si="3"/>
        <v>insert into ins_premium_det (premium_rcv_code,assorted_code, rec_amount,premium_rcv_detail_code,remaining_amt, payrec, mode_code,coinsurance_code,class_cd,it_remarks) values('15Apr250002','040000181263','40789',(select max(to_number(i.premium_rcv_detail_code))+1
from ins_premium_det i),'40789','40789','02', '11000003','00','Request by Mr. Raheel Malik 16-Apr-2025');</v>
      </c>
    </row>
    <row r="17" spans="1:8" ht="105" x14ac:dyDescent="0.25">
      <c r="A17" t="s">
        <v>97</v>
      </c>
      <c r="B17" s="12" t="str">
        <f>VLOOKUP(A17,policy!B:C,2,0)</f>
        <v>040000181262</v>
      </c>
      <c r="C17" s="18">
        <v>21300</v>
      </c>
      <c r="D17" s="26">
        <f t="shared" si="1"/>
        <v>21300</v>
      </c>
      <c r="E17" s="25" t="s">
        <v>300</v>
      </c>
      <c r="F17" s="27" t="str">
        <f t="shared" si="0"/>
        <v>insert into ins_premium_det (premium_rcv_code,assorted_code, rec_amount,premium_rcv_detail_code,remaining_amt, payrec, mode_code,coinsurance_code,class_cd,it_remarks) values</v>
      </c>
      <c r="G17" s="28" t="str">
        <f t="shared" si="2"/>
        <v>('15Apr250002','040000181262','21300',(select max(to_number(i.premium_rcv_detail_code))+1
from ins_premium_det i),'21300','21300','02', '11000003','00','Request by Mr. Raheel Malik 16-Apr-2025');</v>
      </c>
      <c r="H17" s="29" t="str">
        <f t="shared" si="3"/>
        <v>insert into ins_premium_det (premium_rcv_code,assorted_code, rec_amount,premium_rcv_detail_code,remaining_amt, payrec, mode_code,coinsurance_code,class_cd,it_remarks) values('15Apr250002','040000181262','21300',(select max(to_number(i.premium_rcv_detail_code))+1
from ins_premium_det i),'21300','21300','02', '11000003','00','Request by Mr. Raheel Malik 16-Apr-2025');</v>
      </c>
    </row>
    <row r="18" spans="1:8" ht="105" x14ac:dyDescent="0.25">
      <c r="A18" t="s">
        <v>94</v>
      </c>
      <c r="B18" s="12" t="str">
        <f>VLOOKUP(A18,policy!B:C,2,0)</f>
        <v>040000180590</v>
      </c>
      <c r="C18" s="18">
        <v>19181</v>
      </c>
      <c r="D18" s="26">
        <f t="shared" si="1"/>
        <v>19181</v>
      </c>
      <c r="E18" s="25" t="s">
        <v>300</v>
      </c>
      <c r="F18" s="27" t="str">
        <f t="shared" si="0"/>
        <v>insert into ins_premium_det (premium_rcv_code,assorted_code, rec_amount,premium_rcv_detail_code,remaining_amt, payrec, mode_code,coinsurance_code,class_cd,it_remarks) values</v>
      </c>
      <c r="G18" s="28" t="str">
        <f t="shared" si="2"/>
        <v>('15Apr250002','040000180590','19181',(select max(to_number(i.premium_rcv_detail_code))+1
from ins_premium_det i),'19181','19181','02', '11000003','00','Request by Mr. Raheel Malik 16-Apr-2025');</v>
      </c>
      <c r="H18" s="29" t="str">
        <f t="shared" si="3"/>
        <v>insert into ins_premium_det (premium_rcv_code,assorted_code, rec_amount,premium_rcv_detail_code,remaining_amt, payrec, mode_code,coinsurance_code,class_cd,it_remarks) values('15Apr250002','040000180590','19181',(select max(to_number(i.premium_rcv_detail_code))+1
from ins_premium_det i),'19181','19181','02', '11000003','00','Request by Mr. Raheel Malik 16-Apr-2025');</v>
      </c>
    </row>
    <row r="19" spans="1:8" ht="105" x14ac:dyDescent="0.25">
      <c r="A19" t="s">
        <v>95</v>
      </c>
      <c r="B19" s="12" t="str">
        <f>VLOOKUP(A19,policy!B:C,2,0)</f>
        <v>040000180540</v>
      </c>
      <c r="C19" s="18">
        <v>9989</v>
      </c>
      <c r="D19" s="26">
        <f t="shared" si="1"/>
        <v>9989</v>
      </c>
      <c r="E19" s="25" t="s">
        <v>300</v>
      </c>
      <c r="F19" s="27" t="str">
        <f t="shared" si="0"/>
        <v>insert into ins_premium_det (premium_rcv_code,assorted_code, rec_amount,premium_rcv_detail_code,remaining_amt, payrec, mode_code,coinsurance_code,class_cd,it_remarks) values</v>
      </c>
      <c r="G19" s="28" t="str">
        <f t="shared" si="2"/>
        <v>('15Apr250002','040000180540','9989',(select max(to_number(i.premium_rcv_detail_code))+1
from ins_premium_det i),'9989','9989','02', '11000003','00','Request by Mr. Raheel Malik 16-Apr-2025');</v>
      </c>
      <c r="H19" s="29" t="str">
        <f t="shared" si="3"/>
        <v>insert into ins_premium_det (premium_rcv_code,assorted_code, rec_amount,premium_rcv_detail_code,remaining_amt, payrec, mode_code,coinsurance_code,class_cd,it_remarks) values('15Apr250002','040000180540','9989',(select max(to_number(i.premium_rcv_detail_code))+1
from ins_premium_det i),'9989','9989','02', '11000003','00','Request by Mr. Raheel Malik 16-Apr-2025');</v>
      </c>
    </row>
    <row r="20" spans="1:8" ht="105" x14ac:dyDescent="0.25">
      <c r="A20" t="s">
        <v>96</v>
      </c>
      <c r="B20" s="12" t="str">
        <f>VLOOKUP(A20,policy!B:C,2,0)</f>
        <v>040000180530</v>
      </c>
      <c r="C20" s="18">
        <v>34901</v>
      </c>
      <c r="D20" s="26">
        <f t="shared" si="1"/>
        <v>34901</v>
      </c>
      <c r="E20" s="25" t="s">
        <v>300</v>
      </c>
      <c r="F20" s="27" t="str">
        <f t="shared" si="0"/>
        <v>insert into ins_premium_det (premium_rcv_code,assorted_code, rec_amount,premium_rcv_detail_code,remaining_amt, payrec, mode_code,coinsurance_code,class_cd,it_remarks) values</v>
      </c>
      <c r="G20" s="28" t="str">
        <f t="shared" si="2"/>
        <v>('15Apr250002','040000180530','34901',(select max(to_number(i.premium_rcv_detail_code))+1
from ins_premium_det i),'34901','34901','02', '11000003','00','Request by Mr. Raheel Malik 16-Apr-2025');</v>
      </c>
      <c r="H20" s="29" t="str">
        <f t="shared" si="3"/>
        <v>insert into ins_premium_det (premium_rcv_code,assorted_code, rec_amount,premium_rcv_detail_code,remaining_amt, payrec, mode_code,coinsurance_code,class_cd,it_remarks) values('15Apr250002','040000180530','34901',(select max(to_number(i.premium_rcv_detail_code))+1
from ins_premium_det i),'34901','34901','02', '11000003','00','Request by Mr. Raheel Malik 16-Apr-2025');</v>
      </c>
    </row>
    <row r="21" spans="1:8" ht="105" x14ac:dyDescent="0.25">
      <c r="A21" t="s">
        <v>98</v>
      </c>
      <c r="B21" s="12" t="str">
        <f>VLOOKUP(A21,policy!B:C,2,0)</f>
        <v>040000183350</v>
      </c>
      <c r="C21" s="18">
        <v>14469</v>
      </c>
      <c r="D21" s="26">
        <f t="shared" si="1"/>
        <v>14469</v>
      </c>
      <c r="E21" s="25" t="s">
        <v>300</v>
      </c>
      <c r="F21" s="27" t="str">
        <f t="shared" si="0"/>
        <v>insert into ins_premium_det (premium_rcv_code,assorted_code, rec_amount,premium_rcv_detail_code,remaining_amt, payrec, mode_code,coinsurance_code,class_cd,it_remarks) values</v>
      </c>
      <c r="G21" s="28" t="str">
        <f t="shared" si="2"/>
        <v>('15Apr250002','040000183350','14469',(select max(to_number(i.premium_rcv_detail_code))+1
from ins_premium_det i),'14469','14469','02', '11000003','00','Request by Mr. Raheel Malik 16-Apr-2025');</v>
      </c>
      <c r="H21" s="29" t="str">
        <f t="shared" si="3"/>
        <v>insert into ins_premium_det (premium_rcv_code,assorted_code, rec_amount,premium_rcv_detail_code,remaining_amt, payrec, mode_code,coinsurance_code,class_cd,it_remarks) values('15Apr250002','040000183350','14469',(select max(to_number(i.premium_rcv_detail_code))+1
from ins_premium_det i),'14469','14469','02', '11000003','00','Request by Mr. Raheel Malik 16-Apr-2025');</v>
      </c>
    </row>
    <row r="22" spans="1:8" ht="105" x14ac:dyDescent="0.25">
      <c r="A22" t="s">
        <v>99</v>
      </c>
      <c r="B22" s="12" t="str">
        <f>VLOOKUP(A22,policy!B:C,2,0)</f>
        <v>040000183353</v>
      </c>
      <c r="C22" s="18">
        <v>1513</v>
      </c>
      <c r="D22" s="26">
        <f t="shared" si="1"/>
        <v>1513</v>
      </c>
      <c r="E22" s="25" t="s">
        <v>300</v>
      </c>
      <c r="F22" s="27" t="str">
        <f t="shared" si="0"/>
        <v>insert into ins_premium_det (premium_rcv_code,assorted_code, rec_amount,premium_rcv_detail_code,remaining_amt, payrec, mode_code,coinsurance_code,class_cd,it_remarks) values</v>
      </c>
      <c r="G22" s="28" t="str">
        <f t="shared" si="2"/>
        <v>('15Apr250002','040000183353','1513',(select max(to_number(i.premium_rcv_detail_code))+1
from ins_premium_det i),'1513','1513','02', '11000003','00','Request by Mr. Raheel Malik 16-Apr-2025');</v>
      </c>
      <c r="H22" s="29" t="str">
        <f t="shared" si="3"/>
        <v>insert into ins_premium_det (premium_rcv_code,assorted_code, rec_amount,premium_rcv_detail_code,remaining_amt, payrec, mode_code,coinsurance_code,class_cd,it_remarks) values('15Apr250002','040000183353','1513',(select max(to_number(i.premium_rcv_detail_code))+1
from ins_premium_det i),'1513','1513','02', '11000003','00','Request by Mr. Raheel Malik 16-Apr-2025');</v>
      </c>
    </row>
    <row r="23" spans="1:8" ht="105" x14ac:dyDescent="0.25">
      <c r="A23" t="s">
        <v>101</v>
      </c>
      <c r="B23" s="12" t="str">
        <f>VLOOKUP(A23,policy!B:C,2,0)</f>
        <v>040000180852</v>
      </c>
      <c r="C23" s="18">
        <v>1969381</v>
      </c>
      <c r="D23" s="26">
        <f t="shared" si="1"/>
        <v>1969381</v>
      </c>
      <c r="E23" s="25" t="s">
        <v>300</v>
      </c>
      <c r="F23" s="27" t="str">
        <f t="shared" si="0"/>
        <v>insert into ins_premium_det (premium_rcv_code,assorted_code, rec_amount,premium_rcv_detail_code,remaining_amt, payrec, mode_code,coinsurance_code,class_cd,it_remarks) values</v>
      </c>
      <c r="G23" s="28" t="str">
        <f t="shared" si="2"/>
        <v>('15Apr250002','040000180852','1969381',(select max(to_number(i.premium_rcv_detail_code))+1
from ins_premium_det i),'1969381','1969381','02', '11000003','00','Request by Mr. Raheel Malik 16-Apr-2025');</v>
      </c>
      <c r="H23" s="29" t="str">
        <f t="shared" si="3"/>
        <v>insert into ins_premium_det (premium_rcv_code,assorted_code, rec_amount,premium_rcv_detail_code,remaining_amt, payrec, mode_code,coinsurance_code,class_cd,it_remarks) values('15Apr250002','040000180852','1969381',(select max(to_number(i.premium_rcv_detail_code))+1
from ins_premium_det i),'1969381','1969381','02', '11000003','00','Request by Mr. Raheel Malik 16-Apr-2025');</v>
      </c>
    </row>
    <row r="24" spans="1:8" ht="105" x14ac:dyDescent="0.25">
      <c r="A24" t="s">
        <v>102</v>
      </c>
      <c r="B24" s="12" t="str">
        <f>VLOOKUP(A24,policy!B:C,2,0)</f>
        <v>040000181225</v>
      </c>
      <c r="C24" s="18">
        <v>343814</v>
      </c>
      <c r="D24" s="26">
        <f t="shared" si="1"/>
        <v>343814</v>
      </c>
      <c r="E24" s="25" t="s">
        <v>300</v>
      </c>
      <c r="F24" s="27" t="str">
        <f t="shared" si="0"/>
        <v>insert into ins_premium_det (premium_rcv_code,assorted_code, rec_amount,premium_rcv_detail_code,remaining_amt, payrec, mode_code,coinsurance_code,class_cd,it_remarks) values</v>
      </c>
      <c r="G24" s="28" t="str">
        <f t="shared" si="2"/>
        <v>('15Apr250002','040000181225','343814',(select max(to_number(i.premium_rcv_detail_code))+1
from ins_premium_det i),'343814','343814','02', '11000003','00','Request by Mr. Raheel Malik 16-Apr-2025');</v>
      </c>
      <c r="H24" s="29" t="str">
        <f t="shared" si="3"/>
        <v>insert into ins_premium_det (premium_rcv_code,assorted_code, rec_amount,premium_rcv_detail_code,remaining_amt, payrec, mode_code,coinsurance_code,class_cd,it_remarks) values('15Apr250002','040000181225','343814',(select max(to_number(i.premium_rcv_detail_code))+1
from ins_premium_det i),'343814','343814','02', '11000003','00','Request by Mr. Raheel Malik 16-Apr-2025');</v>
      </c>
    </row>
    <row r="25" spans="1:8" ht="105" x14ac:dyDescent="0.25">
      <c r="A25" t="s">
        <v>103</v>
      </c>
      <c r="B25" s="12" t="str">
        <f>VLOOKUP(A25,policy!B:C,2,0)</f>
        <v>040000181243</v>
      </c>
      <c r="C25" s="18">
        <v>29750</v>
      </c>
      <c r="D25" s="26">
        <f t="shared" si="1"/>
        <v>29750</v>
      </c>
      <c r="E25" s="25" t="s">
        <v>300</v>
      </c>
      <c r="F25" s="27" t="str">
        <f t="shared" si="0"/>
        <v>insert into ins_premium_det (premium_rcv_code,assorted_code, rec_amount,premium_rcv_detail_code,remaining_amt, payrec, mode_code,coinsurance_code,class_cd,it_remarks) values</v>
      </c>
      <c r="G25" s="28" t="str">
        <f t="shared" si="2"/>
        <v>('15Apr250002','040000181243','29750',(select max(to_number(i.premium_rcv_detail_code))+1
from ins_premium_det i),'29750','29750','02', '11000003','00','Request by Mr. Raheel Malik 16-Apr-2025');</v>
      </c>
      <c r="H25" s="29" t="str">
        <f t="shared" si="3"/>
        <v>insert into ins_premium_det (premium_rcv_code,assorted_code, rec_amount,premium_rcv_detail_code,remaining_amt, payrec, mode_code,coinsurance_code,class_cd,it_remarks) values('15Apr250002','040000181243','29750',(select max(to_number(i.premium_rcv_detail_code))+1
from ins_premium_det i),'29750','29750','02', '11000003','00','Request by Mr. Raheel Malik 16-Apr-2025');</v>
      </c>
    </row>
    <row r="26" spans="1:8" ht="105" x14ac:dyDescent="0.25">
      <c r="A26" t="s">
        <v>104</v>
      </c>
      <c r="B26" s="12" t="str">
        <f>VLOOKUP(A26,policy!B:C,2,0)</f>
        <v>040000181344</v>
      </c>
      <c r="C26" s="18">
        <v>5426</v>
      </c>
      <c r="D26" s="26">
        <f t="shared" si="1"/>
        <v>5426</v>
      </c>
      <c r="E26" s="25" t="s">
        <v>300</v>
      </c>
      <c r="F26" s="27" t="str">
        <f t="shared" si="0"/>
        <v>insert into ins_premium_det (premium_rcv_code,assorted_code, rec_amount,premium_rcv_detail_code,remaining_amt, payrec, mode_code,coinsurance_code,class_cd,it_remarks) values</v>
      </c>
      <c r="G26" s="28" t="str">
        <f t="shared" si="2"/>
        <v>('15Apr250002','040000181344','5426',(select max(to_number(i.premium_rcv_detail_code))+1
from ins_premium_det i),'5426','5426','02', '11000003','00','Request by Mr. Raheel Malik 16-Apr-2025');</v>
      </c>
      <c r="H26" s="29" t="str">
        <f t="shared" si="3"/>
        <v>insert into ins_premium_det (premium_rcv_code,assorted_code, rec_amount,premium_rcv_detail_code,remaining_amt, payrec, mode_code,coinsurance_code,class_cd,it_remarks) values('15Apr250002','040000181344','5426',(select max(to_number(i.premium_rcv_detail_code))+1
from ins_premium_det i),'5426','5426','02', '11000003','00','Request by Mr. Raheel Malik 16-Apr-2025');</v>
      </c>
    </row>
    <row r="27" spans="1:8" ht="105" x14ac:dyDescent="0.25">
      <c r="A27" t="s">
        <v>105</v>
      </c>
      <c r="B27" s="12" t="str">
        <f>VLOOKUP(A27,policy!B:C,2,0)</f>
        <v>040000184446</v>
      </c>
      <c r="C27" s="18">
        <v>221100</v>
      </c>
      <c r="D27" s="26">
        <f t="shared" si="1"/>
        <v>221100</v>
      </c>
      <c r="E27" s="25" t="s">
        <v>300</v>
      </c>
      <c r="F27" s="27" t="str">
        <f t="shared" si="0"/>
        <v>insert into ins_premium_det (premium_rcv_code,assorted_code, rec_amount,premium_rcv_detail_code,remaining_amt, payrec, mode_code,coinsurance_code,class_cd,it_remarks) values</v>
      </c>
      <c r="G27" s="28" t="str">
        <f t="shared" si="2"/>
        <v>('15Apr250002','040000184446','221100',(select max(to_number(i.premium_rcv_detail_code))+1
from ins_premium_det i),'221100','221100','02', '11000003','00','Request by Mr. Raheel Malik 16-Apr-2025');</v>
      </c>
      <c r="H27" s="29" t="str">
        <f t="shared" si="3"/>
        <v>insert into ins_premium_det (premium_rcv_code,assorted_code, rec_amount,premium_rcv_detail_code,remaining_amt, payrec, mode_code,coinsurance_code,class_cd,it_remarks) values('15Apr250002','040000184446','221100',(select max(to_number(i.premium_rcv_detail_code))+1
from ins_premium_det i),'221100','221100','02', '11000003','00','Request by Mr. Raheel Malik 16-Apr-2025');</v>
      </c>
    </row>
    <row r="28" spans="1:8" ht="105" x14ac:dyDescent="0.25">
      <c r="A28" t="s">
        <v>106</v>
      </c>
      <c r="B28" s="12" t="str">
        <f>VLOOKUP(A28,policy!B:C,2,0)</f>
        <v>040000182752</v>
      </c>
      <c r="C28" s="18">
        <v>2060</v>
      </c>
      <c r="D28" s="26">
        <f t="shared" si="1"/>
        <v>2060</v>
      </c>
      <c r="E28" s="25" t="s">
        <v>300</v>
      </c>
      <c r="F28" s="27" t="str">
        <f t="shared" si="0"/>
        <v>insert into ins_premium_det (premium_rcv_code,assorted_code, rec_amount,premium_rcv_detail_code,remaining_amt, payrec, mode_code,coinsurance_code,class_cd,it_remarks) values</v>
      </c>
      <c r="G28" s="28" t="str">
        <f t="shared" si="2"/>
        <v>('15Apr250002','040000182752','2060',(select max(to_number(i.premium_rcv_detail_code))+1
from ins_premium_det i),'2060','2060','02', '11000003','00','Request by Mr. Raheel Malik 16-Apr-2025');</v>
      </c>
      <c r="H28" s="29" t="str">
        <f t="shared" si="3"/>
        <v>insert into ins_premium_det (premium_rcv_code,assorted_code, rec_amount,premium_rcv_detail_code,remaining_amt, payrec, mode_code,coinsurance_code,class_cd,it_remarks) values('15Apr250002','040000182752','2060',(select max(to_number(i.premium_rcv_detail_code))+1
from ins_premium_det i),'2060','2060','02', '11000003','00','Request by Mr. Raheel Malik 16-Apr-2025');</v>
      </c>
    </row>
    <row r="29" spans="1:8" ht="105" x14ac:dyDescent="0.25">
      <c r="A29" t="s">
        <v>118</v>
      </c>
      <c r="B29" s="12" t="str">
        <f>VLOOKUP(A29,policy!B:C,2,0)</f>
        <v>050000777897</v>
      </c>
      <c r="C29" s="18">
        <v>848020</v>
      </c>
      <c r="D29" s="26">
        <f t="shared" si="1"/>
        <v>848020</v>
      </c>
      <c r="E29" s="25" t="s">
        <v>300</v>
      </c>
      <c r="F29" s="27" t="str">
        <f t="shared" si="0"/>
        <v>insert into ins_premium_det (premium_rcv_code,assorted_code, rec_amount,premium_rcv_detail_code,remaining_amt, payrec, mode_code,coinsurance_code,class_cd,it_remarks) values</v>
      </c>
      <c r="G29" s="28" t="str">
        <f t="shared" si="2"/>
        <v>('15Apr250002','050000777897','848020',(select max(to_number(i.premium_rcv_detail_code))+1
from ins_premium_det i),'848020','848020','02', '11000003','00','Request by Mr. Raheel Malik 16-Apr-2025');</v>
      </c>
      <c r="H29" s="29" t="str">
        <f t="shared" si="3"/>
        <v>insert into ins_premium_det (premium_rcv_code,assorted_code, rec_amount,premium_rcv_detail_code,remaining_amt, payrec, mode_code,coinsurance_code,class_cd,it_remarks) values('15Apr250002','050000777897','848020',(select max(to_number(i.premium_rcv_detail_code))+1
from ins_premium_det i),'848020','848020','02', '11000003','00','Request by Mr. Raheel Malik 16-Apr-2025');</v>
      </c>
    </row>
    <row r="30" spans="1:8" ht="105" x14ac:dyDescent="0.25">
      <c r="A30" t="s">
        <v>117</v>
      </c>
      <c r="B30" s="12" t="str">
        <f>VLOOKUP(A30,policy!B:C,2,0)</f>
        <v>050000786710</v>
      </c>
      <c r="C30" s="18">
        <v>53815</v>
      </c>
      <c r="D30" s="26">
        <f t="shared" si="1"/>
        <v>53815</v>
      </c>
      <c r="E30" s="25" t="s">
        <v>300</v>
      </c>
      <c r="F30" s="27" t="str">
        <f t="shared" si="0"/>
        <v>insert into ins_premium_det (premium_rcv_code,assorted_code, rec_amount,premium_rcv_detail_code,remaining_amt, payrec, mode_code,coinsurance_code,class_cd,it_remarks) values</v>
      </c>
      <c r="G30" s="28" t="str">
        <f t="shared" si="2"/>
        <v>('15Apr250002','050000786710','53815',(select max(to_number(i.premium_rcv_detail_code))+1
from ins_premium_det i),'53815','53815','02', '11000003','00','Request by Mr. Raheel Malik 16-Apr-2025');</v>
      </c>
      <c r="H30" s="29" t="str">
        <f t="shared" si="3"/>
        <v>insert into ins_premium_det (premium_rcv_code,assorted_code, rec_amount,premium_rcv_detail_code,remaining_amt, payrec, mode_code,coinsurance_code,class_cd,it_remarks) values('15Apr250002','050000786710','53815',(select max(to_number(i.premium_rcv_detail_code))+1
from ins_premium_det i),'53815','53815','02', '11000003','00','Request by Mr. Raheel Malik 16-Apr-2025');</v>
      </c>
    </row>
    <row r="31" spans="1:8" ht="105" x14ac:dyDescent="0.25">
      <c r="A31" t="s">
        <v>107</v>
      </c>
      <c r="B31" s="12" t="str">
        <f>VLOOKUP(A31,policy!B:C,2,0)</f>
        <v>040000181265</v>
      </c>
      <c r="C31" s="18">
        <v>1025</v>
      </c>
      <c r="D31" s="26">
        <f t="shared" si="1"/>
        <v>1025</v>
      </c>
      <c r="E31" s="25" t="s">
        <v>300</v>
      </c>
      <c r="F31" s="27" t="str">
        <f t="shared" si="0"/>
        <v>insert into ins_premium_det (premium_rcv_code,assorted_code, rec_amount,premium_rcv_detail_code,remaining_amt, payrec, mode_code,coinsurance_code,class_cd,it_remarks) values</v>
      </c>
      <c r="G31" s="28" t="str">
        <f t="shared" si="2"/>
        <v>('15Apr250002','040000181265','1025',(select max(to_number(i.premium_rcv_detail_code))+1
from ins_premium_det i),'1025','1025','02', '11000003','00','Request by Mr. Raheel Malik 16-Apr-2025');</v>
      </c>
      <c r="H31" s="29" t="str">
        <f t="shared" si="3"/>
        <v>insert into ins_premium_det (premium_rcv_code,assorted_code, rec_amount,premium_rcv_detail_code,remaining_amt, payrec, mode_code,coinsurance_code,class_cd,it_remarks) values('15Apr250002','040000181265','1025',(select max(to_number(i.premium_rcv_detail_code))+1
from ins_premium_det i),'1025','1025','02', '11000003','00','Request by Mr. Raheel Malik 16-Apr-2025');</v>
      </c>
    </row>
    <row r="32" spans="1:8" ht="105" x14ac:dyDescent="0.25">
      <c r="A32" t="s">
        <v>108</v>
      </c>
      <c r="B32" s="12" t="str">
        <f>VLOOKUP(A32,policy!B:C,2,0)</f>
        <v>040000181306</v>
      </c>
      <c r="C32" s="18">
        <v>12162</v>
      </c>
      <c r="D32" s="26">
        <f t="shared" si="1"/>
        <v>12162</v>
      </c>
      <c r="E32" s="25" t="s">
        <v>300</v>
      </c>
      <c r="F32" s="27" t="str">
        <f t="shared" si="0"/>
        <v>insert into ins_premium_det (premium_rcv_code,assorted_code, rec_amount,premium_rcv_detail_code,remaining_amt, payrec, mode_code,coinsurance_code,class_cd,it_remarks) values</v>
      </c>
      <c r="G32" s="28" t="str">
        <f t="shared" si="2"/>
        <v>('15Apr250002','040000181306','12162',(select max(to_number(i.premium_rcv_detail_code))+1
from ins_premium_det i),'12162','12162','02', '11000003','00','Request by Mr. Raheel Malik 16-Apr-2025');</v>
      </c>
      <c r="H32" s="29" t="str">
        <f t="shared" si="3"/>
        <v>insert into ins_premium_det (premium_rcv_code,assorted_code, rec_amount,premium_rcv_detail_code,remaining_amt, payrec, mode_code,coinsurance_code,class_cd,it_remarks) values('15Apr250002','040000181306','12162',(select max(to_number(i.premium_rcv_detail_code))+1
from ins_premium_det i),'12162','12162','02', '11000003','00','Request by Mr. Raheel Malik 16-Apr-2025');</v>
      </c>
    </row>
    <row r="33" spans="1:8" ht="105" x14ac:dyDescent="0.25">
      <c r="A33" t="s">
        <v>109</v>
      </c>
      <c r="B33" s="12" t="str">
        <f>VLOOKUP(A33,policy!B:C,2,0)</f>
        <v>040000181264</v>
      </c>
      <c r="C33" s="18">
        <v>15850</v>
      </c>
      <c r="D33" s="26">
        <f t="shared" si="1"/>
        <v>15850</v>
      </c>
      <c r="E33" s="25" t="s">
        <v>300</v>
      </c>
      <c r="F33" s="27" t="str">
        <f t="shared" si="0"/>
        <v>insert into ins_premium_det (premium_rcv_code,assorted_code, rec_amount,premium_rcv_detail_code,remaining_amt, payrec, mode_code,coinsurance_code,class_cd,it_remarks) values</v>
      </c>
      <c r="G33" s="28" t="str">
        <f t="shared" si="2"/>
        <v>('15Apr250002','040000181264','15850',(select max(to_number(i.premium_rcv_detail_code))+1
from ins_premium_det i),'15850','15850','02', '11000003','00','Request by Mr. Raheel Malik 16-Apr-2025');</v>
      </c>
      <c r="H33" s="29" t="str">
        <f t="shared" si="3"/>
        <v>insert into ins_premium_det (premium_rcv_code,assorted_code, rec_amount,premium_rcv_detail_code,remaining_amt, payrec, mode_code,coinsurance_code,class_cd,it_remarks) values('15Apr250002','040000181264','15850',(select max(to_number(i.premium_rcv_detail_code))+1
from ins_premium_det i),'15850','15850','02', '11000003','00','Request by Mr. Raheel Malik 16-Apr-2025');</v>
      </c>
    </row>
    <row r="34" spans="1:8" ht="105" x14ac:dyDescent="0.25">
      <c r="A34" t="s">
        <v>100</v>
      </c>
      <c r="B34" s="12" t="str">
        <f>VLOOKUP(A34,policy!B:C,2,0)</f>
        <v>040000160795</v>
      </c>
      <c r="C34" s="18">
        <v>16801</v>
      </c>
      <c r="D34" s="26">
        <f t="shared" si="1"/>
        <v>16801</v>
      </c>
      <c r="E34" s="25" t="s">
        <v>300</v>
      </c>
      <c r="F34" s="27" t="str">
        <f t="shared" si="0"/>
        <v>insert into ins_premium_det (premium_rcv_code,assorted_code, rec_amount,premium_rcv_detail_code,remaining_amt, payrec, mode_code,coinsurance_code,class_cd,it_remarks) values</v>
      </c>
      <c r="G34" s="28" t="str">
        <f t="shared" si="2"/>
        <v>('15Apr250002','040000160795','16801',(select max(to_number(i.premium_rcv_detail_code))+1
from ins_premium_det i),'16801','16801','02', '11000003','00','Request by Mr. Raheel Malik 16-Apr-2025');</v>
      </c>
      <c r="H34" s="29" t="str">
        <f t="shared" si="3"/>
        <v>insert into ins_premium_det (premium_rcv_code,assorted_code, rec_amount,premium_rcv_detail_code,remaining_amt, payrec, mode_code,coinsurance_code,class_cd,it_remarks) values('15Apr250002','040000160795','16801',(select max(to_number(i.premium_rcv_detail_code))+1
from ins_premium_det i),'16801','16801','02', '11000003','00','Request by Mr. Raheel Malik 16-Apr-2025');</v>
      </c>
    </row>
    <row r="35" spans="1:8" ht="105" x14ac:dyDescent="0.25">
      <c r="A35" t="s">
        <v>111</v>
      </c>
      <c r="B35" s="12" t="str">
        <f>VLOOKUP(A35,policy!B:C,2,0)</f>
        <v>050000799701</v>
      </c>
      <c r="C35" s="18">
        <v>68040</v>
      </c>
      <c r="D35" s="26">
        <f t="shared" si="1"/>
        <v>68040</v>
      </c>
      <c r="E35" s="25" t="s">
        <v>300</v>
      </c>
      <c r="F35" s="27" t="str">
        <f t="shared" si="0"/>
        <v>insert into ins_premium_det (premium_rcv_code,assorted_code, rec_amount,premium_rcv_detail_code,remaining_amt, payrec, mode_code,coinsurance_code,class_cd,it_remarks) values</v>
      </c>
      <c r="G35" s="28" t="str">
        <f t="shared" si="2"/>
        <v>('15Apr250002','050000799701','68040',(select max(to_number(i.premium_rcv_detail_code))+1
from ins_premium_det i),'68040','68040','02', '11000003','00','Request by Mr. Raheel Malik 16-Apr-2025');</v>
      </c>
      <c r="H35" s="29" t="str">
        <f t="shared" si="3"/>
        <v>insert into ins_premium_det (premium_rcv_code,assorted_code, rec_amount,premium_rcv_detail_code,remaining_amt, payrec, mode_code,coinsurance_code,class_cd,it_remarks) values('15Apr250002','050000799701','68040',(select max(to_number(i.premium_rcv_detail_code))+1
from ins_premium_det i),'68040','68040','02', '11000003','00','Request by Mr. Raheel Malik 16-Apr-2025');</v>
      </c>
    </row>
    <row r="36" spans="1:8" ht="105" x14ac:dyDescent="0.25">
      <c r="A36" t="s">
        <v>112</v>
      </c>
      <c r="B36" s="12" t="str">
        <f>VLOOKUP(A36,policy!B:C,2,0)</f>
        <v>050000833593</v>
      </c>
      <c r="C36" s="18">
        <v>27149</v>
      </c>
      <c r="D36" s="26">
        <f t="shared" si="1"/>
        <v>27149</v>
      </c>
      <c r="E36" s="25" t="s">
        <v>300</v>
      </c>
      <c r="F36" s="27" t="str">
        <f t="shared" si="0"/>
        <v>insert into ins_premium_det (premium_rcv_code,assorted_code, rec_amount,premium_rcv_detail_code,remaining_amt, payrec, mode_code,coinsurance_code,class_cd,it_remarks) values</v>
      </c>
      <c r="G36" s="28" t="str">
        <f t="shared" si="2"/>
        <v>('15Apr250002','050000833593','27149',(select max(to_number(i.premium_rcv_detail_code))+1
from ins_premium_det i),'27149','27149','02', '11000003','00','Request by Mr. Raheel Malik 16-Apr-2025');</v>
      </c>
      <c r="H36" s="29" t="str">
        <f t="shared" si="3"/>
        <v>insert into ins_premium_det (premium_rcv_code,assorted_code, rec_amount,premium_rcv_detail_code,remaining_amt, payrec, mode_code,coinsurance_code,class_cd,it_remarks) values('15Apr250002','050000833593','27149',(select max(to_number(i.premium_rcv_detail_code))+1
from ins_premium_det i),'27149','27149','02', '11000003','00','Request by Mr. Raheel Malik 16-Apr-2025');</v>
      </c>
    </row>
    <row r="37" spans="1:8" ht="105" x14ac:dyDescent="0.25">
      <c r="A37" t="s">
        <v>114</v>
      </c>
      <c r="B37" s="12" t="str">
        <f>VLOOKUP(A37,policy!B:C,2,0)</f>
        <v>050000799774</v>
      </c>
      <c r="C37" s="18">
        <v>42051</v>
      </c>
      <c r="D37" s="26">
        <f t="shared" si="1"/>
        <v>42051</v>
      </c>
      <c r="E37" s="25" t="s">
        <v>300</v>
      </c>
      <c r="F37" s="27" t="str">
        <f t="shared" si="0"/>
        <v>insert into ins_premium_det (premium_rcv_code,assorted_code, rec_amount,premium_rcv_detail_code,remaining_amt, payrec, mode_code,coinsurance_code,class_cd,it_remarks) values</v>
      </c>
      <c r="G37" s="28" t="str">
        <f t="shared" si="2"/>
        <v>('15Apr250002','050000799774','42051',(select max(to_number(i.premium_rcv_detail_code))+1
from ins_premium_det i),'42051','42051','02', '11000003','00','Request by Mr. Raheel Malik 16-Apr-2025');</v>
      </c>
      <c r="H37" s="29" t="str">
        <f t="shared" si="3"/>
        <v>insert into ins_premium_det (premium_rcv_code,assorted_code, rec_amount,premium_rcv_detail_code,remaining_amt, payrec, mode_code,coinsurance_code,class_cd,it_remarks) values('15Apr250002','050000799774','42051',(select max(to_number(i.premium_rcv_detail_code))+1
from ins_premium_det i),'42051','42051','02', '11000003','00','Request by Mr. Raheel Malik 16-Apr-2025');</v>
      </c>
    </row>
    <row r="38" spans="1:8" ht="105" x14ac:dyDescent="0.25">
      <c r="A38" t="s">
        <v>115</v>
      </c>
      <c r="B38" s="12" t="str">
        <f>VLOOKUP(A38,policy!B:C,2,0)</f>
        <v>050000799765</v>
      </c>
      <c r="C38" s="18">
        <v>16</v>
      </c>
      <c r="D38" s="26">
        <f t="shared" si="1"/>
        <v>16</v>
      </c>
      <c r="E38" s="25" t="s">
        <v>300</v>
      </c>
      <c r="F38" s="27" t="str">
        <f t="shared" si="0"/>
        <v>insert into ins_premium_det (premium_rcv_code,assorted_code, rec_amount,premium_rcv_detail_code,remaining_amt, payrec, mode_code,coinsurance_code,class_cd,it_remarks) values</v>
      </c>
      <c r="G38" s="28" t="str">
        <f t="shared" si="2"/>
        <v>('15Apr250002','050000799765','16',(select max(to_number(i.premium_rcv_detail_code))+1
from ins_premium_det i),'16','16','02', '11000003','00','Request by Mr. Raheel Malik 16-Apr-2025');</v>
      </c>
      <c r="H38" s="29" t="str">
        <f t="shared" si="3"/>
        <v>insert into ins_premium_det (premium_rcv_code,assorted_code, rec_amount,premium_rcv_detail_code,remaining_amt, payrec, mode_code,coinsurance_code,class_cd,it_remarks) values('15Apr250002','050000799765','16',(select max(to_number(i.premium_rcv_detail_code))+1
from ins_premium_det i),'16','16','02', '11000003','00','Request by Mr. Raheel Malik 16-Apr-2025');</v>
      </c>
    </row>
    <row r="39" spans="1:8" ht="105" x14ac:dyDescent="0.25">
      <c r="A39" t="s">
        <v>116</v>
      </c>
      <c r="B39" s="12" t="str">
        <f>VLOOKUP(A39,policy!B:C,2,0)</f>
        <v>050000833881</v>
      </c>
      <c r="C39" s="18">
        <v>16827</v>
      </c>
      <c r="D39" s="26">
        <f t="shared" si="1"/>
        <v>16827</v>
      </c>
      <c r="E39" s="25" t="s">
        <v>300</v>
      </c>
      <c r="F39" s="27" t="str">
        <f t="shared" si="0"/>
        <v>insert into ins_premium_det (premium_rcv_code,assorted_code, rec_amount,premium_rcv_detail_code,remaining_amt, payrec, mode_code,coinsurance_code,class_cd,it_remarks) values</v>
      </c>
      <c r="G39" s="28" t="str">
        <f t="shared" si="2"/>
        <v>('15Apr250002','050000833881','16827',(select max(to_number(i.premium_rcv_detail_code))+1
from ins_premium_det i),'16827','16827','02', '11000003','00','Request by Mr. Raheel Malik 16-Apr-2025');</v>
      </c>
      <c r="H39" s="29" t="str">
        <f t="shared" si="3"/>
        <v>insert into ins_premium_det (premium_rcv_code,assorted_code, rec_amount,premium_rcv_detail_code,remaining_amt, payrec, mode_code,coinsurance_code,class_cd,it_remarks) values('15Apr250002','050000833881','16827',(select max(to_number(i.premium_rcv_detail_code))+1
from ins_premium_det i),'16827','16827','02', '11000003','00','Request by Mr. Raheel Malik 16-Apr-2025');</v>
      </c>
    </row>
    <row r="40" spans="1:8" ht="105" x14ac:dyDescent="0.25">
      <c r="A40" t="s">
        <v>110</v>
      </c>
      <c r="B40" s="12" t="str">
        <f>VLOOKUP(A40,policy!B:C,2,0)</f>
        <v>040000188606</v>
      </c>
      <c r="C40" s="18">
        <v>3045</v>
      </c>
      <c r="D40" s="26">
        <f t="shared" si="1"/>
        <v>3045</v>
      </c>
      <c r="E40" s="25" t="s">
        <v>300</v>
      </c>
      <c r="F40" s="27" t="str">
        <f t="shared" si="0"/>
        <v>insert into ins_premium_det (premium_rcv_code,assorted_code, rec_amount,premium_rcv_detail_code,remaining_amt, payrec, mode_code,coinsurance_code,class_cd,it_remarks) values</v>
      </c>
      <c r="G40" s="28" t="str">
        <f t="shared" si="2"/>
        <v>('15Apr250002','040000188606','3045',(select max(to_number(i.premium_rcv_detail_code))+1
from ins_premium_det i),'3045','3045','02', '11000003','00','Request by Mr. Raheel Malik 16-Apr-2025');</v>
      </c>
      <c r="H40" s="29" t="str">
        <f t="shared" si="3"/>
        <v>insert into ins_premium_det (premium_rcv_code,assorted_code, rec_amount,premium_rcv_detail_code,remaining_amt, payrec, mode_code,coinsurance_code,class_cd,it_remarks) values('15Apr250002','040000188606','3045',(select max(to_number(i.premium_rcv_detail_code))+1
from ins_premium_det i),'3045','3045','02', '11000003','00','Request by Mr. Raheel Malik 16-Apr-2025');</v>
      </c>
    </row>
    <row r="41" spans="1:8" ht="105" x14ac:dyDescent="0.25">
      <c r="A41" t="s">
        <v>113</v>
      </c>
      <c r="B41" s="12" t="str">
        <f>VLOOKUP(A41,policy!B:C,2,0)</f>
        <v>050000799611</v>
      </c>
      <c r="C41" s="18">
        <v>-170</v>
      </c>
      <c r="D41" s="26">
        <f t="shared" si="1"/>
        <v>-170</v>
      </c>
      <c r="E41" s="25" t="s">
        <v>300</v>
      </c>
      <c r="F41" s="27" t="str">
        <f t="shared" si="0"/>
        <v>insert into ins_premium_det (premium_rcv_code,assorted_code, rec_amount,premium_rcv_detail_code,remaining_amt, payrec, mode_code,coinsurance_code,class_cd,it_remarks) values</v>
      </c>
      <c r="G41" s="28" t="str">
        <f t="shared" si="2"/>
        <v>('15Apr250002','050000799611','-170',(select max(to_number(i.premium_rcv_detail_code))+1
from ins_premium_det i),'-170','-170','02', '11000003','00','Request by Mr. Raheel Malik 16-Apr-2025');</v>
      </c>
      <c r="H41" s="29" t="str">
        <f t="shared" si="3"/>
        <v>insert into ins_premium_det (premium_rcv_code,assorted_code, rec_amount,premium_rcv_detail_code,remaining_amt, payrec, mode_code,coinsurance_code,class_cd,it_remarks) values('15Apr250002','050000799611','-170',(select max(to_number(i.premium_rcv_detail_code))+1
from ins_premium_det i),'-170','-170','02', '11000003','00','Request by Mr. Raheel Malik 16-Apr-2025');</v>
      </c>
    </row>
    <row r="43" spans="1:8" x14ac:dyDescent="0.25">
      <c r="C43" s="30">
        <f>SUM(C2:C41)</f>
        <v>4355032</v>
      </c>
      <c r="D43" s="30">
        <f>SUM(D2:D41)</f>
        <v>4355032</v>
      </c>
    </row>
  </sheetData>
  <conditionalFormatting sqref="A1">
    <cfRule type="duplicateValues" dxfId="8" priority="1"/>
  </conditionalFormatting>
  <conditionalFormatting sqref="A2:B2 B3:B41">
    <cfRule type="duplicateValues" dxfId="7" priority="2"/>
    <cfRule type="duplicateValues" dxfId="6" priority="3"/>
    <cfRule type="duplicateValues" dxfId="5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D43D-D85B-4344-AB56-818D0F122329}">
  <dimension ref="A1:E40"/>
  <sheetViews>
    <sheetView workbookViewId="0">
      <selection activeCell="E1" sqref="E1"/>
    </sheetView>
  </sheetViews>
  <sheetFormatPr defaultRowHeight="15" x14ac:dyDescent="0.25"/>
  <cols>
    <col min="1" max="1" width="34.5703125" bestFit="1" customWidth="1"/>
  </cols>
  <sheetData>
    <row r="1" spans="1:5" x14ac:dyDescent="0.25">
      <c r="A1" t="s">
        <v>79</v>
      </c>
      <c r="B1" t="s">
        <v>123</v>
      </c>
      <c r="D1">
        <v>4642</v>
      </c>
      <c r="E1" t="str">
        <f>"ia.assorted_string like '%"&amp;D1&amp;B1&amp;"%' or"</f>
        <v>ia.assorted_string like '%4642-10-2024%' or</v>
      </c>
    </row>
    <row r="2" spans="1:5" x14ac:dyDescent="0.25">
      <c r="A2" t="s">
        <v>80</v>
      </c>
      <c r="B2" t="s">
        <v>123</v>
      </c>
      <c r="D2">
        <v>4643</v>
      </c>
      <c r="E2" t="str">
        <f t="shared" ref="E2:E40" si="0">"ia.assorted_string like '%"&amp;D2&amp;B2&amp;"%' or"</f>
        <v>ia.assorted_string like '%4643-10-2024%' or</v>
      </c>
    </row>
    <row r="3" spans="1:5" x14ac:dyDescent="0.25">
      <c r="A3" t="s">
        <v>81</v>
      </c>
      <c r="B3" t="s">
        <v>123</v>
      </c>
      <c r="D3">
        <v>4644</v>
      </c>
      <c r="E3" t="str">
        <f t="shared" si="0"/>
        <v>ia.assorted_string like '%4644-10-2024%' or</v>
      </c>
    </row>
    <row r="4" spans="1:5" x14ac:dyDescent="0.25">
      <c r="A4" s="12" t="s">
        <v>82</v>
      </c>
      <c r="B4" t="s">
        <v>123</v>
      </c>
      <c r="D4">
        <v>4645</v>
      </c>
      <c r="E4" t="str">
        <f t="shared" si="0"/>
        <v>ia.assorted_string like '%4645-10-2024%' or</v>
      </c>
    </row>
    <row r="5" spans="1:5" x14ac:dyDescent="0.25">
      <c r="A5" s="12" t="s">
        <v>84</v>
      </c>
      <c r="B5" t="s">
        <v>124</v>
      </c>
      <c r="D5">
        <v>1196</v>
      </c>
      <c r="E5" t="str">
        <f t="shared" si="0"/>
        <v>ia.assorted_string like '%1196-05-2024%' or</v>
      </c>
    </row>
    <row r="6" spans="1:5" x14ac:dyDescent="0.25">
      <c r="A6" t="s">
        <v>83</v>
      </c>
      <c r="B6" t="s">
        <v>123</v>
      </c>
      <c r="D6">
        <v>4646</v>
      </c>
      <c r="E6" t="str">
        <f t="shared" si="0"/>
        <v>ia.assorted_string like '%4646-10-2024%' or</v>
      </c>
    </row>
    <row r="7" spans="1:5" x14ac:dyDescent="0.25">
      <c r="A7" t="s">
        <v>85</v>
      </c>
      <c r="B7" t="s">
        <v>124</v>
      </c>
      <c r="D7">
        <v>1197</v>
      </c>
      <c r="E7" t="str">
        <f t="shared" si="0"/>
        <v>ia.assorted_string like '%1197-05-2024%' or</v>
      </c>
    </row>
    <row r="8" spans="1:5" x14ac:dyDescent="0.25">
      <c r="A8" t="s">
        <v>86</v>
      </c>
      <c r="B8" t="s">
        <v>124</v>
      </c>
      <c r="D8">
        <v>1198</v>
      </c>
      <c r="E8" t="str">
        <f t="shared" si="0"/>
        <v>ia.assorted_string like '%1198-05-2024%' or</v>
      </c>
    </row>
    <row r="9" spans="1:5" x14ac:dyDescent="0.25">
      <c r="A9" t="s">
        <v>87</v>
      </c>
      <c r="B9" t="s">
        <v>124</v>
      </c>
      <c r="D9">
        <v>22274</v>
      </c>
      <c r="E9" t="str">
        <f t="shared" si="0"/>
        <v>ia.assorted_string like '%22274-05-2024%' or</v>
      </c>
    </row>
    <row r="10" spans="1:5" x14ac:dyDescent="0.25">
      <c r="A10" t="s">
        <v>88</v>
      </c>
      <c r="B10" t="s">
        <v>124</v>
      </c>
      <c r="D10">
        <v>290</v>
      </c>
      <c r="E10" t="str">
        <f t="shared" si="0"/>
        <v>ia.assorted_string like '%290-05-2024%' or</v>
      </c>
    </row>
    <row r="11" spans="1:5" x14ac:dyDescent="0.25">
      <c r="A11" t="s">
        <v>89</v>
      </c>
      <c r="B11" t="s">
        <v>124</v>
      </c>
      <c r="D11">
        <v>22347</v>
      </c>
      <c r="E11" t="str">
        <f t="shared" si="0"/>
        <v>ia.assorted_string like '%22347-05-2024%' or</v>
      </c>
    </row>
    <row r="12" spans="1:5" x14ac:dyDescent="0.25">
      <c r="A12" t="s">
        <v>90</v>
      </c>
      <c r="B12" t="s">
        <v>124</v>
      </c>
      <c r="D12">
        <v>22495</v>
      </c>
      <c r="E12" t="str">
        <f t="shared" si="0"/>
        <v>ia.assorted_string like '%22495-05-2024%' or</v>
      </c>
    </row>
    <row r="13" spans="1:5" x14ac:dyDescent="0.25">
      <c r="A13" t="s">
        <v>91</v>
      </c>
      <c r="B13" t="s">
        <v>125</v>
      </c>
      <c r="D13">
        <v>291</v>
      </c>
      <c r="E13" t="str">
        <f t="shared" si="0"/>
        <v>ia.assorted_string like '%291-06-2024%' or</v>
      </c>
    </row>
    <row r="14" spans="1:5" x14ac:dyDescent="0.25">
      <c r="A14" t="s">
        <v>92</v>
      </c>
      <c r="B14" t="s">
        <v>126</v>
      </c>
      <c r="D14">
        <v>1237</v>
      </c>
      <c r="E14" t="str">
        <f t="shared" si="0"/>
        <v>ia.assorted_string like '%1237-07-2024%' or</v>
      </c>
    </row>
    <row r="15" spans="1:5" x14ac:dyDescent="0.25">
      <c r="A15" t="s">
        <v>93</v>
      </c>
      <c r="B15" t="s">
        <v>127</v>
      </c>
      <c r="D15">
        <v>1243</v>
      </c>
      <c r="E15" t="str">
        <f t="shared" si="0"/>
        <v>ia.assorted_string like '%1243-08-2024%' or</v>
      </c>
    </row>
    <row r="16" spans="1:5" x14ac:dyDescent="0.25">
      <c r="A16" t="s">
        <v>97</v>
      </c>
      <c r="B16" t="s">
        <v>127</v>
      </c>
      <c r="D16">
        <v>1242</v>
      </c>
      <c r="E16" t="str">
        <f t="shared" si="0"/>
        <v>ia.assorted_string like '%1242-08-2024%' or</v>
      </c>
    </row>
    <row r="17" spans="1:5" x14ac:dyDescent="0.25">
      <c r="A17" t="s">
        <v>94</v>
      </c>
      <c r="B17" t="s">
        <v>127</v>
      </c>
      <c r="D17">
        <v>22806</v>
      </c>
      <c r="E17" t="str">
        <f t="shared" si="0"/>
        <v>ia.assorted_string like '%22806-08-2024%' or</v>
      </c>
    </row>
    <row r="18" spans="1:5" x14ac:dyDescent="0.25">
      <c r="A18" t="s">
        <v>95</v>
      </c>
      <c r="B18" t="s">
        <v>127</v>
      </c>
      <c r="D18">
        <v>22799</v>
      </c>
      <c r="E18" t="str">
        <f t="shared" si="0"/>
        <v>ia.assorted_string like '%22799-08-2024%' or</v>
      </c>
    </row>
    <row r="19" spans="1:5" x14ac:dyDescent="0.25">
      <c r="A19" t="s">
        <v>96</v>
      </c>
      <c r="B19" t="s">
        <v>127</v>
      </c>
      <c r="D19">
        <v>22796</v>
      </c>
      <c r="E19" t="str">
        <f t="shared" si="0"/>
        <v>ia.assorted_string like '%22796-08-2024%' or</v>
      </c>
    </row>
    <row r="20" spans="1:5" x14ac:dyDescent="0.25">
      <c r="A20" t="s">
        <v>98</v>
      </c>
      <c r="B20" t="s">
        <v>128</v>
      </c>
      <c r="D20">
        <v>1248</v>
      </c>
      <c r="E20" t="str">
        <f t="shared" si="0"/>
        <v>ia.assorted_string like '%1248-09-2024%' or</v>
      </c>
    </row>
    <row r="21" spans="1:5" x14ac:dyDescent="0.25">
      <c r="A21" t="s">
        <v>99</v>
      </c>
      <c r="B21" t="s">
        <v>128</v>
      </c>
      <c r="D21">
        <v>1249</v>
      </c>
      <c r="E21" t="str">
        <f t="shared" si="0"/>
        <v>ia.assorted_string like '%1249-09-2024%' or</v>
      </c>
    </row>
    <row r="22" spans="1:5" x14ac:dyDescent="0.25">
      <c r="A22" t="s">
        <v>101</v>
      </c>
      <c r="B22" t="s">
        <v>127</v>
      </c>
      <c r="D22">
        <v>22814</v>
      </c>
      <c r="E22" t="str">
        <f t="shared" si="0"/>
        <v>ia.assorted_string like '%22814-08-2024%' or</v>
      </c>
    </row>
    <row r="23" spans="1:5" x14ac:dyDescent="0.25">
      <c r="A23" t="s">
        <v>102</v>
      </c>
      <c r="B23" t="s">
        <v>127</v>
      </c>
      <c r="D23">
        <v>22839</v>
      </c>
      <c r="E23" t="str">
        <f t="shared" si="0"/>
        <v>ia.assorted_string like '%22839-08-2024%' or</v>
      </c>
    </row>
    <row r="24" spans="1:5" x14ac:dyDescent="0.25">
      <c r="A24" t="s">
        <v>103</v>
      </c>
      <c r="B24" t="s">
        <v>127</v>
      </c>
      <c r="D24">
        <v>22840</v>
      </c>
      <c r="E24" t="str">
        <f t="shared" si="0"/>
        <v>ia.assorted_string like '%22840-08-2024%' or</v>
      </c>
    </row>
    <row r="25" spans="1:5" x14ac:dyDescent="0.25">
      <c r="A25" t="s">
        <v>104</v>
      </c>
      <c r="B25" t="s">
        <v>127</v>
      </c>
      <c r="D25">
        <v>22843</v>
      </c>
      <c r="E25" t="str">
        <f t="shared" si="0"/>
        <v>ia.assorted_string like '%22843-08-2024%' or</v>
      </c>
    </row>
    <row r="26" spans="1:5" x14ac:dyDescent="0.25">
      <c r="A26" t="s">
        <v>105</v>
      </c>
      <c r="B26" t="s">
        <v>128</v>
      </c>
      <c r="D26">
        <v>318</v>
      </c>
      <c r="E26" t="str">
        <f t="shared" si="0"/>
        <v>ia.assorted_string like '%318-09-2024%' or</v>
      </c>
    </row>
    <row r="27" spans="1:5" x14ac:dyDescent="0.25">
      <c r="A27" t="s">
        <v>106</v>
      </c>
      <c r="B27" t="s">
        <v>127</v>
      </c>
      <c r="D27">
        <v>22921</v>
      </c>
      <c r="E27" t="str">
        <f t="shared" si="0"/>
        <v>ia.assorted_string like '%22921-08-2024%' or</v>
      </c>
    </row>
    <row r="28" spans="1:5" x14ac:dyDescent="0.25">
      <c r="A28" t="s">
        <v>118</v>
      </c>
      <c r="B28" t="s">
        <v>127</v>
      </c>
      <c r="D28">
        <v>10487</v>
      </c>
      <c r="E28" t="str">
        <f t="shared" si="0"/>
        <v>ia.assorted_string like '%10487-08-2024%' or</v>
      </c>
    </row>
    <row r="29" spans="1:5" x14ac:dyDescent="0.25">
      <c r="A29" t="s">
        <v>117</v>
      </c>
      <c r="B29" t="s">
        <v>128</v>
      </c>
      <c r="D29">
        <v>10612</v>
      </c>
      <c r="E29" t="str">
        <f t="shared" si="0"/>
        <v>ia.assorted_string like '%10612-09-2024%' or</v>
      </c>
    </row>
    <row r="30" spans="1:5" x14ac:dyDescent="0.25">
      <c r="A30" t="s">
        <v>107</v>
      </c>
      <c r="B30" t="s">
        <v>127</v>
      </c>
      <c r="D30">
        <v>1245</v>
      </c>
      <c r="E30" t="str">
        <f t="shared" si="0"/>
        <v>ia.assorted_string like '%1245-08-2024%' or</v>
      </c>
    </row>
    <row r="31" spans="1:5" x14ac:dyDescent="0.25">
      <c r="A31" t="s">
        <v>108</v>
      </c>
      <c r="B31" t="s">
        <v>127</v>
      </c>
      <c r="D31">
        <v>1246</v>
      </c>
      <c r="E31" t="str">
        <f t="shared" si="0"/>
        <v>ia.assorted_string like '%1246-08-2024%' or</v>
      </c>
    </row>
    <row r="32" spans="1:5" x14ac:dyDescent="0.25">
      <c r="A32" t="s">
        <v>109</v>
      </c>
      <c r="B32" t="s">
        <v>127</v>
      </c>
      <c r="D32">
        <v>1244</v>
      </c>
      <c r="E32" t="str">
        <f t="shared" si="0"/>
        <v>ia.assorted_string like '%1244-08-2024%' or</v>
      </c>
    </row>
    <row r="33" spans="1:5" x14ac:dyDescent="0.25">
      <c r="A33" t="s">
        <v>100</v>
      </c>
      <c r="B33" t="s">
        <v>129</v>
      </c>
      <c r="D33">
        <v>1081</v>
      </c>
      <c r="E33" t="str">
        <f t="shared" si="0"/>
        <v>ia.assorted_string like '%1081-12-2023%' or</v>
      </c>
    </row>
    <row r="34" spans="1:5" x14ac:dyDescent="0.25">
      <c r="A34" t="s">
        <v>111</v>
      </c>
      <c r="B34" t="s">
        <v>123</v>
      </c>
      <c r="D34">
        <v>10713</v>
      </c>
      <c r="E34" t="str">
        <f t="shared" si="0"/>
        <v>ia.assorted_string like '%10713-10-2024%' or</v>
      </c>
    </row>
    <row r="35" spans="1:5" x14ac:dyDescent="0.25">
      <c r="A35" t="s">
        <v>112</v>
      </c>
      <c r="B35" t="s">
        <v>130</v>
      </c>
      <c r="D35">
        <v>412</v>
      </c>
      <c r="E35" t="str">
        <f t="shared" si="0"/>
        <v>ia.assorted_string like '%412-12-2024%' or</v>
      </c>
    </row>
    <row r="36" spans="1:5" x14ac:dyDescent="0.25">
      <c r="A36" t="s">
        <v>114</v>
      </c>
      <c r="B36" t="s">
        <v>123</v>
      </c>
      <c r="D36">
        <v>10715</v>
      </c>
      <c r="E36" t="str">
        <f t="shared" si="0"/>
        <v>ia.assorted_string like '%10715-10-2024%' or</v>
      </c>
    </row>
    <row r="37" spans="1:5" x14ac:dyDescent="0.25">
      <c r="A37" t="s">
        <v>115</v>
      </c>
      <c r="B37" t="s">
        <v>123</v>
      </c>
      <c r="D37">
        <v>10714</v>
      </c>
      <c r="E37" t="str">
        <f t="shared" si="0"/>
        <v>ia.assorted_string like '%10714-10-2024%' or</v>
      </c>
    </row>
    <row r="38" spans="1:5" x14ac:dyDescent="0.25">
      <c r="A38" t="s">
        <v>116</v>
      </c>
      <c r="B38" t="s">
        <v>130</v>
      </c>
      <c r="D38">
        <v>413</v>
      </c>
      <c r="E38" t="str">
        <f t="shared" si="0"/>
        <v>ia.assorted_string like '%413-12-2024%' or</v>
      </c>
    </row>
    <row r="39" spans="1:5" x14ac:dyDescent="0.25">
      <c r="A39" t="s">
        <v>110</v>
      </c>
      <c r="B39" t="s">
        <v>131</v>
      </c>
      <c r="D39">
        <v>1256</v>
      </c>
      <c r="E39" t="str">
        <f t="shared" si="0"/>
        <v>ia.assorted_string like '%1256-11-2024%' or</v>
      </c>
    </row>
    <row r="40" spans="1:5" x14ac:dyDescent="0.25">
      <c r="A40" t="s">
        <v>113</v>
      </c>
      <c r="B40" t="s">
        <v>123</v>
      </c>
      <c r="D40">
        <v>10711</v>
      </c>
      <c r="E40" t="str">
        <f t="shared" si="0"/>
        <v>ia.assorted_string like '%10711-10-2024%' or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2C71-E1E8-4B62-B106-D7803D6B7CE6}">
  <dimension ref="A1:C102"/>
  <sheetViews>
    <sheetView workbookViewId="0">
      <selection activeCell="F10" sqref="F10"/>
    </sheetView>
  </sheetViews>
  <sheetFormatPr defaultColWidth="7.85546875" defaultRowHeight="15" x14ac:dyDescent="0.25"/>
  <cols>
    <col min="1" max="1" width="3.140625" customWidth="1"/>
    <col min="2" max="2" width="34.28515625" customWidth="1"/>
    <col min="3" max="3" width="14" customWidth="1"/>
  </cols>
  <sheetData>
    <row r="1" spans="1:3" s="22" customFormat="1" ht="12" x14ac:dyDescent="0.2">
      <c r="A1" s="22" t="s">
        <v>132</v>
      </c>
      <c r="B1" s="22" t="s">
        <v>133</v>
      </c>
      <c r="C1" s="22" t="s">
        <v>134</v>
      </c>
    </row>
    <row r="2" spans="1:3" x14ac:dyDescent="0.25">
      <c r="A2">
        <v>1</v>
      </c>
      <c r="B2" t="s">
        <v>135</v>
      </c>
      <c r="C2" t="s">
        <v>136</v>
      </c>
    </row>
    <row r="3" spans="1:3" x14ac:dyDescent="0.25">
      <c r="A3">
        <v>2</v>
      </c>
      <c r="B3" t="s">
        <v>104</v>
      </c>
      <c r="C3" t="s">
        <v>137</v>
      </c>
    </row>
    <row r="4" spans="1:3" x14ac:dyDescent="0.25">
      <c r="A4">
        <v>3</v>
      </c>
      <c r="B4" t="s">
        <v>91</v>
      </c>
      <c r="C4" t="s">
        <v>138</v>
      </c>
    </row>
    <row r="5" spans="1:3" x14ac:dyDescent="0.25">
      <c r="A5">
        <v>4</v>
      </c>
      <c r="B5" t="s">
        <v>139</v>
      </c>
      <c r="C5" t="s">
        <v>140</v>
      </c>
    </row>
    <row r="6" spans="1:3" x14ac:dyDescent="0.25">
      <c r="A6">
        <v>5</v>
      </c>
      <c r="B6" t="s">
        <v>100</v>
      </c>
      <c r="C6" t="s">
        <v>141</v>
      </c>
    </row>
    <row r="7" spans="1:3" x14ac:dyDescent="0.25">
      <c r="A7">
        <v>6</v>
      </c>
      <c r="B7" t="s">
        <v>142</v>
      </c>
      <c r="C7" t="s">
        <v>143</v>
      </c>
    </row>
    <row r="8" spans="1:3" x14ac:dyDescent="0.25">
      <c r="A8">
        <v>7</v>
      </c>
      <c r="B8" t="s">
        <v>84</v>
      </c>
      <c r="C8" t="s">
        <v>144</v>
      </c>
    </row>
    <row r="9" spans="1:3" x14ac:dyDescent="0.25">
      <c r="A9">
        <v>8</v>
      </c>
      <c r="B9" t="s">
        <v>86</v>
      </c>
      <c r="C9" t="s">
        <v>145</v>
      </c>
    </row>
    <row r="10" spans="1:3" x14ac:dyDescent="0.25">
      <c r="A10">
        <v>9</v>
      </c>
      <c r="B10" t="s">
        <v>146</v>
      </c>
      <c r="C10" t="s">
        <v>147</v>
      </c>
    </row>
    <row r="11" spans="1:3" x14ac:dyDescent="0.25">
      <c r="A11">
        <v>10</v>
      </c>
      <c r="B11" t="s">
        <v>85</v>
      </c>
      <c r="C11" t="s">
        <v>148</v>
      </c>
    </row>
    <row r="12" spans="1:3" x14ac:dyDescent="0.25">
      <c r="A12">
        <v>11</v>
      </c>
      <c r="B12" t="s">
        <v>87</v>
      </c>
      <c r="C12" t="s">
        <v>149</v>
      </c>
    </row>
    <row r="13" spans="1:3" x14ac:dyDescent="0.25">
      <c r="A13">
        <v>12</v>
      </c>
      <c r="B13" t="s">
        <v>150</v>
      </c>
      <c r="C13" t="s">
        <v>151</v>
      </c>
    </row>
    <row r="14" spans="1:3" x14ac:dyDescent="0.25">
      <c r="A14">
        <v>13</v>
      </c>
      <c r="B14" t="s">
        <v>118</v>
      </c>
      <c r="C14" t="s">
        <v>152</v>
      </c>
    </row>
    <row r="15" spans="1:3" x14ac:dyDescent="0.25">
      <c r="A15">
        <v>14</v>
      </c>
      <c r="B15" t="s">
        <v>153</v>
      </c>
      <c r="C15" t="s">
        <v>154</v>
      </c>
    </row>
    <row r="16" spans="1:3" x14ac:dyDescent="0.25">
      <c r="A16">
        <v>15</v>
      </c>
      <c r="B16" t="s">
        <v>155</v>
      </c>
      <c r="C16" t="s">
        <v>156</v>
      </c>
    </row>
    <row r="17" spans="1:3" x14ac:dyDescent="0.25">
      <c r="A17">
        <v>16</v>
      </c>
      <c r="B17" t="s">
        <v>157</v>
      </c>
      <c r="C17" t="s">
        <v>158</v>
      </c>
    </row>
    <row r="18" spans="1:3" x14ac:dyDescent="0.25">
      <c r="A18">
        <v>17</v>
      </c>
      <c r="B18" t="s">
        <v>159</v>
      </c>
      <c r="C18" t="s">
        <v>160</v>
      </c>
    </row>
    <row r="19" spans="1:3" x14ac:dyDescent="0.25">
      <c r="A19">
        <v>18</v>
      </c>
      <c r="B19" t="s">
        <v>106</v>
      </c>
      <c r="C19" t="s">
        <v>161</v>
      </c>
    </row>
    <row r="20" spans="1:3" x14ac:dyDescent="0.25">
      <c r="A20">
        <v>19</v>
      </c>
      <c r="B20" t="s">
        <v>113</v>
      </c>
      <c r="C20" t="s">
        <v>162</v>
      </c>
    </row>
    <row r="21" spans="1:3" x14ac:dyDescent="0.25">
      <c r="A21">
        <v>20</v>
      </c>
      <c r="B21" t="s">
        <v>114</v>
      </c>
      <c r="C21" t="s">
        <v>163</v>
      </c>
    </row>
    <row r="22" spans="1:3" x14ac:dyDescent="0.25">
      <c r="A22">
        <v>21</v>
      </c>
      <c r="B22" t="s">
        <v>164</v>
      </c>
      <c r="C22" t="s">
        <v>165</v>
      </c>
    </row>
    <row r="23" spans="1:3" x14ac:dyDescent="0.25">
      <c r="A23">
        <v>22</v>
      </c>
      <c r="B23" t="s">
        <v>166</v>
      </c>
      <c r="C23" t="s">
        <v>167</v>
      </c>
    </row>
    <row r="24" spans="1:3" x14ac:dyDescent="0.25">
      <c r="A24">
        <v>23</v>
      </c>
      <c r="B24" t="s">
        <v>168</v>
      </c>
      <c r="C24" t="s">
        <v>169</v>
      </c>
    </row>
    <row r="25" spans="1:3" x14ac:dyDescent="0.25">
      <c r="A25">
        <v>24</v>
      </c>
      <c r="B25" t="s">
        <v>170</v>
      </c>
      <c r="C25" t="s">
        <v>171</v>
      </c>
    </row>
    <row r="26" spans="1:3" x14ac:dyDescent="0.25">
      <c r="A26">
        <v>25</v>
      </c>
      <c r="B26" t="s">
        <v>99</v>
      </c>
      <c r="C26" t="s">
        <v>172</v>
      </c>
    </row>
    <row r="27" spans="1:3" x14ac:dyDescent="0.25">
      <c r="A27">
        <v>26</v>
      </c>
      <c r="B27" t="s">
        <v>173</v>
      </c>
      <c r="C27" t="s">
        <v>174</v>
      </c>
    </row>
    <row r="28" spans="1:3" x14ac:dyDescent="0.25">
      <c r="A28">
        <v>27</v>
      </c>
      <c r="B28" t="s">
        <v>117</v>
      </c>
      <c r="C28" t="s">
        <v>175</v>
      </c>
    </row>
    <row r="29" spans="1:3" x14ac:dyDescent="0.25">
      <c r="A29">
        <v>28</v>
      </c>
      <c r="B29" t="s">
        <v>81</v>
      </c>
      <c r="C29" t="s">
        <v>176</v>
      </c>
    </row>
    <row r="30" spans="1:3" x14ac:dyDescent="0.25">
      <c r="A30">
        <v>29</v>
      </c>
      <c r="B30" t="s">
        <v>83</v>
      </c>
      <c r="C30" t="s">
        <v>177</v>
      </c>
    </row>
    <row r="31" spans="1:3" x14ac:dyDescent="0.25">
      <c r="A31">
        <v>30</v>
      </c>
      <c r="B31" t="s">
        <v>178</v>
      </c>
      <c r="C31" t="s">
        <v>179</v>
      </c>
    </row>
    <row r="32" spans="1:3" x14ac:dyDescent="0.25">
      <c r="A32">
        <v>31</v>
      </c>
      <c r="B32" t="s">
        <v>180</v>
      </c>
      <c r="C32" t="s">
        <v>181</v>
      </c>
    </row>
    <row r="33" spans="1:3" x14ac:dyDescent="0.25">
      <c r="A33">
        <v>32</v>
      </c>
      <c r="B33" t="s">
        <v>182</v>
      </c>
      <c r="C33" t="s">
        <v>183</v>
      </c>
    </row>
    <row r="34" spans="1:3" x14ac:dyDescent="0.25">
      <c r="A34">
        <v>33</v>
      </c>
      <c r="B34" t="s">
        <v>184</v>
      </c>
      <c r="C34" t="s">
        <v>185</v>
      </c>
    </row>
    <row r="35" spans="1:3" x14ac:dyDescent="0.25">
      <c r="A35">
        <v>34</v>
      </c>
      <c r="B35" t="s">
        <v>79</v>
      </c>
      <c r="C35" t="s">
        <v>186</v>
      </c>
    </row>
    <row r="36" spans="1:3" x14ac:dyDescent="0.25">
      <c r="A36">
        <v>35</v>
      </c>
      <c r="B36" t="s">
        <v>105</v>
      </c>
      <c r="C36" t="s">
        <v>187</v>
      </c>
    </row>
    <row r="37" spans="1:3" x14ac:dyDescent="0.25">
      <c r="A37">
        <v>36</v>
      </c>
      <c r="B37" t="s">
        <v>188</v>
      </c>
      <c r="C37" t="s">
        <v>189</v>
      </c>
    </row>
    <row r="38" spans="1:3" x14ac:dyDescent="0.25">
      <c r="A38">
        <v>37</v>
      </c>
      <c r="B38" t="s">
        <v>190</v>
      </c>
      <c r="C38" t="s">
        <v>191</v>
      </c>
    </row>
    <row r="39" spans="1:3" x14ac:dyDescent="0.25">
      <c r="A39">
        <v>38</v>
      </c>
      <c r="B39" t="s">
        <v>192</v>
      </c>
      <c r="C39" t="s">
        <v>193</v>
      </c>
    </row>
    <row r="40" spans="1:3" x14ac:dyDescent="0.25">
      <c r="A40">
        <v>39</v>
      </c>
      <c r="B40" t="s">
        <v>89</v>
      </c>
      <c r="C40" t="s">
        <v>194</v>
      </c>
    </row>
    <row r="41" spans="1:3" x14ac:dyDescent="0.25">
      <c r="A41">
        <v>40</v>
      </c>
      <c r="B41" t="s">
        <v>94</v>
      </c>
      <c r="C41" t="s">
        <v>195</v>
      </c>
    </row>
    <row r="42" spans="1:3" x14ac:dyDescent="0.25">
      <c r="A42">
        <v>41</v>
      </c>
      <c r="B42" t="s">
        <v>88</v>
      </c>
      <c r="C42" t="s">
        <v>196</v>
      </c>
    </row>
    <row r="43" spans="1:3" x14ac:dyDescent="0.25">
      <c r="A43">
        <v>42</v>
      </c>
      <c r="B43" t="s">
        <v>197</v>
      </c>
      <c r="C43" t="s">
        <v>198</v>
      </c>
    </row>
    <row r="44" spans="1:3" x14ac:dyDescent="0.25">
      <c r="A44">
        <v>43</v>
      </c>
      <c r="B44" t="s">
        <v>102</v>
      </c>
      <c r="C44" t="s">
        <v>199</v>
      </c>
    </row>
    <row r="45" spans="1:3" x14ac:dyDescent="0.25">
      <c r="A45">
        <v>44</v>
      </c>
      <c r="B45" t="s">
        <v>107</v>
      </c>
      <c r="C45" t="s">
        <v>200</v>
      </c>
    </row>
    <row r="46" spans="1:3" x14ac:dyDescent="0.25">
      <c r="A46">
        <v>45</v>
      </c>
      <c r="B46" t="s">
        <v>108</v>
      </c>
      <c r="C46" t="s">
        <v>201</v>
      </c>
    </row>
    <row r="47" spans="1:3" x14ac:dyDescent="0.25">
      <c r="A47">
        <v>46</v>
      </c>
      <c r="B47" t="s">
        <v>202</v>
      </c>
      <c r="C47" t="s">
        <v>203</v>
      </c>
    </row>
    <row r="48" spans="1:3" x14ac:dyDescent="0.25">
      <c r="A48">
        <v>47</v>
      </c>
      <c r="B48" t="s">
        <v>204</v>
      </c>
      <c r="C48" t="s">
        <v>205</v>
      </c>
    </row>
    <row r="49" spans="1:3" x14ac:dyDescent="0.25">
      <c r="A49">
        <v>48</v>
      </c>
      <c r="B49" t="s">
        <v>109</v>
      </c>
      <c r="C49" t="s">
        <v>206</v>
      </c>
    </row>
    <row r="50" spans="1:3" x14ac:dyDescent="0.25">
      <c r="A50">
        <v>49</v>
      </c>
      <c r="B50" t="s">
        <v>207</v>
      </c>
      <c r="C50" t="s">
        <v>208</v>
      </c>
    </row>
    <row r="51" spans="1:3" x14ac:dyDescent="0.25">
      <c r="A51">
        <v>50</v>
      </c>
      <c r="B51" t="s">
        <v>209</v>
      </c>
      <c r="C51" t="s">
        <v>210</v>
      </c>
    </row>
    <row r="52" spans="1:3" x14ac:dyDescent="0.25">
      <c r="A52">
        <v>51</v>
      </c>
      <c r="B52" t="s">
        <v>211</v>
      </c>
      <c r="C52" t="s">
        <v>212</v>
      </c>
    </row>
    <row r="53" spans="1:3" x14ac:dyDescent="0.25">
      <c r="A53">
        <v>52</v>
      </c>
      <c r="B53" t="s">
        <v>213</v>
      </c>
      <c r="C53" t="s">
        <v>214</v>
      </c>
    </row>
    <row r="54" spans="1:3" x14ac:dyDescent="0.25">
      <c r="A54">
        <v>53</v>
      </c>
      <c r="B54" t="s">
        <v>215</v>
      </c>
      <c r="C54" t="s">
        <v>216</v>
      </c>
    </row>
    <row r="55" spans="1:3" x14ac:dyDescent="0.25">
      <c r="A55">
        <v>54</v>
      </c>
      <c r="B55" t="s">
        <v>97</v>
      </c>
      <c r="C55" t="s">
        <v>217</v>
      </c>
    </row>
    <row r="56" spans="1:3" x14ac:dyDescent="0.25">
      <c r="A56">
        <v>55</v>
      </c>
      <c r="B56" t="s">
        <v>93</v>
      </c>
      <c r="C56" t="s">
        <v>218</v>
      </c>
    </row>
    <row r="57" spans="1:3" x14ac:dyDescent="0.25">
      <c r="A57">
        <v>56</v>
      </c>
      <c r="B57" t="s">
        <v>96</v>
      </c>
      <c r="C57" t="s">
        <v>219</v>
      </c>
    </row>
    <row r="58" spans="1:3" x14ac:dyDescent="0.25">
      <c r="A58">
        <v>57</v>
      </c>
      <c r="B58" t="s">
        <v>103</v>
      </c>
      <c r="C58" t="s">
        <v>220</v>
      </c>
    </row>
    <row r="59" spans="1:3" x14ac:dyDescent="0.25">
      <c r="A59">
        <v>58</v>
      </c>
      <c r="B59" t="s">
        <v>221</v>
      </c>
      <c r="C59" t="s">
        <v>222</v>
      </c>
    </row>
    <row r="60" spans="1:3" x14ac:dyDescent="0.25">
      <c r="A60">
        <v>59</v>
      </c>
      <c r="B60" t="s">
        <v>223</v>
      </c>
      <c r="C60" t="s">
        <v>224</v>
      </c>
    </row>
    <row r="61" spans="1:3" x14ac:dyDescent="0.25">
      <c r="A61">
        <v>60</v>
      </c>
      <c r="B61" t="s">
        <v>225</v>
      </c>
      <c r="C61" t="s">
        <v>226</v>
      </c>
    </row>
    <row r="62" spans="1:3" x14ac:dyDescent="0.25">
      <c r="A62">
        <v>61</v>
      </c>
      <c r="B62" t="s">
        <v>90</v>
      </c>
      <c r="C62" t="s">
        <v>227</v>
      </c>
    </row>
    <row r="63" spans="1:3" x14ac:dyDescent="0.25">
      <c r="A63">
        <v>62</v>
      </c>
      <c r="B63" t="s">
        <v>228</v>
      </c>
      <c r="C63" t="s">
        <v>229</v>
      </c>
    </row>
    <row r="64" spans="1:3" x14ac:dyDescent="0.25">
      <c r="A64">
        <v>63</v>
      </c>
      <c r="B64" t="s">
        <v>80</v>
      </c>
      <c r="C64" t="s">
        <v>230</v>
      </c>
    </row>
    <row r="65" spans="1:3" x14ac:dyDescent="0.25">
      <c r="A65">
        <v>64</v>
      </c>
      <c r="B65" t="s">
        <v>82</v>
      </c>
      <c r="C65" t="s">
        <v>231</v>
      </c>
    </row>
    <row r="66" spans="1:3" x14ac:dyDescent="0.25">
      <c r="A66">
        <v>65</v>
      </c>
      <c r="B66" t="s">
        <v>92</v>
      </c>
      <c r="C66" t="s">
        <v>232</v>
      </c>
    </row>
    <row r="67" spans="1:3" x14ac:dyDescent="0.25">
      <c r="A67">
        <v>66</v>
      </c>
      <c r="B67" t="s">
        <v>95</v>
      </c>
      <c r="C67" t="s">
        <v>233</v>
      </c>
    </row>
    <row r="68" spans="1:3" x14ac:dyDescent="0.25">
      <c r="A68">
        <v>67</v>
      </c>
      <c r="B68" t="s">
        <v>111</v>
      </c>
      <c r="C68" t="s">
        <v>234</v>
      </c>
    </row>
    <row r="69" spans="1:3" x14ac:dyDescent="0.25">
      <c r="A69">
        <v>68</v>
      </c>
      <c r="B69" t="s">
        <v>235</v>
      </c>
      <c r="C69" t="s">
        <v>236</v>
      </c>
    </row>
    <row r="70" spans="1:3" x14ac:dyDescent="0.25">
      <c r="A70">
        <v>69</v>
      </c>
      <c r="B70" t="s">
        <v>237</v>
      </c>
      <c r="C70" t="s">
        <v>238</v>
      </c>
    </row>
    <row r="71" spans="1:3" x14ac:dyDescent="0.25">
      <c r="A71">
        <v>70</v>
      </c>
      <c r="B71" t="s">
        <v>101</v>
      </c>
      <c r="C71" t="s">
        <v>239</v>
      </c>
    </row>
    <row r="72" spans="1:3" x14ac:dyDescent="0.25">
      <c r="A72">
        <v>71</v>
      </c>
      <c r="B72" t="s">
        <v>98</v>
      </c>
      <c r="C72" t="s">
        <v>240</v>
      </c>
    </row>
    <row r="73" spans="1:3" x14ac:dyDescent="0.25">
      <c r="A73">
        <v>72</v>
      </c>
      <c r="B73" t="s">
        <v>241</v>
      </c>
      <c r="C73" t="s">
        <v>242</v>
      </c>
    </row>
    <row r="74" spans="1:3" x14ac:dyDescent="0.25">
      <c r="A74">
        <v>73</v>
      </c>
      <c r="B74" t="s">
        <v>243</v>
      </c>
      <c r="C74" t="s">
        <v>244</v>
      </c>
    </row>
    <row r="75" spans="1:3" x14ac:dyDescent="0.25">
      <c r="A75">
        <v>74</v>
      </c>
      <c r="B75" t="s">
        <v>115</v>
      </c>
      <c r="C75" t="s">
        <v>245</v>
      </c>
    </row>
    <row r="76" spans="1:3" x14ac:dyDescent="0.25">
      <c r="A76">
        <v>75</v>
      </c>
      <c r="B76" t="s">
        <v>246</v>
      </c>
      <c r="C76" t="s">
        <v>247</v>
      </c>
    </row>
    <row r="77" spans="1:3" x14ac:dyDescent="0.25">
      <c r="A77">
        <v>76</v>
      </c>
      <c r="B77" t="s">
        <v>248</v>
      </c>
      <c r="C77" t="s">
        <v>249</v>
      </c>
    </row>
    <row r="78" spans="1:3" x14ac:dyDescent="0.25">
      <c r="A78">
        <v>77</v>
      </c>
      <c r="B78" t="s">
        <v>250</v>
      </c>
      <c r="C78" t="s">
        <v>251</v>
      </c>
    </row>
    <row r="79" spans="1:3" x14ac:dyDescent="0.25">
      <c r="A79">
        <v>78</v>
      </c>
      <c r="B79" t="s">
        <v>252</v>
      </c>
      <c r="C79" t="s">
        <v>253</v>
      </c>
    </row>
    <row r="80" spans="1:3" x14ac:dyDescent="0.25">
      <c r="A80">
        <v>79</v>
      </c>
      <c r="B80" t="s">
        <v>254</v>
      </c>
      <c r="C80" t="s">
        <v>255</v>
      </c>
    </row>
    <row r="81" spans="1:3" x14ac:dyDescent="0.25">
      <c r="A81">
        <v>80</v>
      </c>
      <c r="B81" t="s">
        <v>110</v>
      </c>
      <c r="C81" t="s">
        <v>256</v>
      </c>
    </row>
    <row r="82" spans="1:3" x14ac:dyDescent="0.25">
      <c r="A82">
        <v>81</v>
      </c>
      <c r="B82" t="s">
        <v>257</v>
      </c>
      <c r="C82" t="s">
        <v>258</v>
      </c>
    </row>
    <row r="83" spans="1:3" x14ac:dyDescent="0.25">
      <c r="A83">
        <v>82</v>
      </c>
      <c r="B83" t="s">
        <v>259</v>
      </c>
      <c r="C83" t="s">
        <v>260</v>
      </c>
    </row>
    <row r="84" spans="1:3" x14ac:dyDescent="0.25">
      <c r="A84">
        <v>83</v>
      </c>
      <c r="B84" t="s">
        <v>261</v>
      </c>
      <c r="C84" t="s">
        <v>262</v>
      </c>
    </row>
    <row r="85" spans="1:3" x14ac:dyDescent="0.25">
      <c r="A85">
        <v>84</v>
      </c>
      <c r="B85" t="s">
        <v>263</v>
      </c>
      <c r="C85" t="s">
        <v>264</v>
      </c>
    </row>
    <row r="86" spans="1:3" x14ac:dyDescent="0.25">
      <c r="A86">
        <v>85</v>
      </c>
      <c r="B86" t="s">
        <v>112</v>
      </c>
      <c r="C86" t="s">
        <v>265</v>
      </c>
    </row>
    <row r="87" spans="1:3" x14ac:dyDescent="0.25">
      <c r="A87">
        <v>86</v>
      </c>
      <c r="B87" t="s">
        <v>266</v>
      </c>
      <c r="C87" t="s">
        <v>267</v>
      </c>
    </row>
    <row r="88" spans="1:3" x14ac:dyDescent="0.25">
      <c r="A88">
        <v>87</v>
      </c>
      <c r="B88" t="s">
        <v>268</v>
      </c>
      <c r="C88" t="s">
        <v>269</v>
      </c>
    </row>
    <row r="89" spans="1:3" x14ac:dyDescent="0.25">
      <c r="A89">
        <v>88</v>
      </c>
      <c r="B89" t="s">
        <v>270</v>
      </c>
      <c r="C89" t="s">
        <v>271</v>
      </c>
    </row>
    <row r="90" spans="1:3" x14ac:dyDescent="0.25">
      <c r="A90">
        <v>89</v>
      </c>
      <c r="B90" t="s">
        <v>272</v>
      </c>
      <c r="C90" t="s">
        <v>273</v>
      </c>
    </row>
    <row r="91" spans="1:3" x14ac:dyDescent="0.25">
      <c r="A91">
        <v>90</v>
      </c>
      <c r="B91" t="s">
        <v>274</v>
      </c>
      <c r="C91" t="s">
        <v>275</v>
      </c>
    </row>
    <row r="92" spans="1:3" x14ac:dyDescent="0.25">
      <c r="A92">
        <v>91</v>
      </c>
      <c r="B92" t="s">
        <v>116</v>
      </c>
      <c r="C92" t="s">
        <v>276</v>
      </c>
    </row>
    <row r="93" spans="1:3" x14ac:dyDescent="0.25">
      <c r="A93">
        <v>92</v>
      </c>
      <c r="B93" t="s">
        <v>277</v>
      </c>
      <c r="C93" t="s">
        <v>278</v>
      </c>
    </row>
    <row r="94" spans="1:3" x14ac:dyDescent="0.25">
      <c r="A94">
        <v>93</v>
      </c>
      <c r="B94" t="s">
        <v>279</v>
      </c>
      <c r="C94" t="s">
        <v>280</v>
      </c>
    </row>
    <row r="95" spans="1:3" x14ac:dyDescent="0.25">
      <c r="A95">
        <v>94</v>
      </c>
      <c r="B95" t="s">
        <v>281</v>
      </c>
      <c r="C95" t="s">
        <v>282</v>
      </c>
    </row>
    <row r="96" spans="1:3" x14ac:dyDescent="0.25">
      <c r="A96">
        <v>95</v>
      </c>
      <c r="B96" t="s">
        <v>283</v>
      </c>
      <c r="C96" t="s">
        <v>284</v>
      </c>
    </row>
    <row r="97" spans="1:3" x14ac:dyDescent="0.25">
      <c r="A97">
        <v>96</v>
      </c>
      <c r="B97" t="s">
        <v>285</v>
      </c>
      <c r="C97" t="s">
        <v>286</v>
      </c>
    </row>
    <row r="98" spans="1:3" x14ac:dyDescent="0.25">
      <c r="A98">
        <v>97</v>
      </c>
      <c r="B98" t="s">
        <v>287</v>
      </c>
      <c r="C98" t="s">
        <v>288</v>
      </c>
    </row>
    <row r="99" spans="1:3" x14ac:dyDescent="0.25">
      <c r="A99">
        <v>98</v>
      </c>
      <c r="B99" t="s">
        <v>289</v>
      </c>
      <c r="C99" t="s">
        <v>290</v>
      </c>
    </row>
    <row r="100" spans="1:3" x14ac:dyDescent="0.25">
      <c r="A100">
        <v>99</v>
      </c>
      <c r="B100" t="s">
        <v>291</v>
      </c>
      <c r="C100" t="s">
        <v>292</v>
      </c>
    </row>
    <row r="101" spans="1:3" x14ac:dyDescent="0.25">
      <c r="A101">
        <v>100</v>
      </c>
      <c r="B101" t="s">
        <v>293</v>
      </c>
      <c r="C101" t="s">
        <v>294</v>
      </c>
    </row>
    <row r="102" spans="1:3" x14ac:dyDescent="0.25">
      <c r="A102">
        <v>101</v>
      </c>
      <c r="B102" t="s">
        <v>295</v>
      </c>
      <c r="C102" t="s">
        <v>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BACF-40F7-4DB0-A454-D85107E17A59}">
  <dimension ref="A1:H31"/>
  <sheetViews>
    <sheetView topLeftCell="A30" workbookViewId="0">
      <selection activeCell="D31" sqref="D31"/>
    </sheetView>
  </sheetViews>
  <sheetFormatPr defaultRowHeight="15" x14ac:dyDescent="0.25"/>
  <cols>
    <col min="1" max="1" width="32.5703125" bestFit="1" customWidth="1"/>
    <col min="2" max="2" width="14.5703125" bestFit="1" customWidth="1"/>
    <col min="3" max="3" width="11.85546875" bestFit="1" customWidth="1"/>
    <col min="4" max="4" width="12" bestFit="1" customWidth="1"/>
    <col min="5" max="5" width="10.140625" bestFit="1" customWidth="1"/>
    <col min="6" max="6" width="104.28515625" customWidth="1"/>
    <col min="7" max="7" width="97.5703125" customWidth="1"/>
    <col min="8" max="8" width="88.42578125" customWidth="1"/>
  </cols>
  <sheetData>
    <row r="1" spans="1:8" x14ac:dyDescent="0.25">
      <c r="A1" s="23" t="s">
        <v>297</v>
      </c>
      <c r="B1" t="s">
        <v>298</v>
      </c>
      <c r="C1" s="24" t="s">
        <v>301</v>
      </c>
      <c r="D1" s="25" t="s">
        <v>300</v>
      </c>
      <c r="E1" s="31"/>
    </row>
    <row r="2" spans="1:8" ht="108" customHeight="1" x14ac:dyDescent="0.25">
      <c r="A2" t="s">
        <v>113</v>
      </c>
      <c r="B2" s="32" t="str">
        <f>VLOOKUP(A2,PC!B:C,2,0)</f>
        <v>050000799611</v>
      </c>
      <c r="C2" s="18">
        <v>22</v>
      </c>
      <c r="D2" s="25" t="s">
        <v>300</v>
      </c>
      <c r="E2" s="33" t="str">
        <f>VLOOKUP(A2,PC!B:D,3,0)</f>
        <v>09000397</v>
      </c>
      <c r="F2" s="34" t="str">
        <f t="shared" ref="F2:F31" si="0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2" s="35" t="str">
        <f t="shared" ref="G2:G31" si="1">"('"&amp;D1&amp;"','"&amp;B2&amp;"','"&amp;C2&amp;"',(select max(to_number(i.premium_rcv_detail_code))+1 from ins_premium_det i),'"&amp;C2&amp;"','"&amp;C2&amp;"','03', '"&amp;E2&amp;"','00');"</f>
        <v>('15Apr250002','050000799611','22',(select max(to_number(i.premium_rcv_detail_code))+1 from ins_premium_det i),'22','22','03', '09000397','00');</v>
      </c>
      <c r="H2" s="36" t="str">
        <f t="shared" ref="H2:H31" si="2">F2&amp;G2</f>
        <v>insert into ins_premium_det (premium_rcv_code,assorted_code, rec_amount,premium_rcv_detail_code,remaining_amt, payrec, mode_code,paid_to_code,class_cd) values('15Apr250002','050000799611','22',(select max(to_number(i.premium_rcv_detail_code))+1 from ins_premium_det i),'22','22','03', '09000397','00');</v>
      </c>
    </row>
    <row r="3" spans="1:8" ht="75" x14ac:dyDescent="0.25">
      <c r="A3" t="s">
        <v>84</v>
      </c>
      <c r="B3" s="32" t="str">
        <f>VLOOKUP(A3,PC!B:C,2,0)</f>
        <v>040000172420</v>
      </c>
      <c r="C3" s="18">
        <v>-910</v>
      </c>
      <c r="D3" s="25" t="s">
        <v>300</v>
      </c>
      <c r="E3" s="33" t="str">
        <f>VLOOKUP(A3,PC!B:D,3,0)</f>
        <v>09000278</v>
      </c>
      <c r="F3" s="34" t="str">
        <f t="shared" si="0"/>
        <v>insert into ins_premium_det (premium_rcv_code,assorted_code, rec_amount,premium_rcv_detail_code,remaining_amt, payrec, mode_code,paid_to_code,class_cd) values</v>
      </c>
      <c r="G3" s="35" t="str">
        <f t="shared" si="1"/>
        <v>('15Apr250002','040000172420','-910',(select max(to_number(i.premium_rcv_detail_code))+1 from ins_premium_det i),'-910','-910','03', '09000278','00');</v>
      </c>
      <c r="H3" s="36" t="str">
        <f t="shared" si="2"/>
        <v>insert into ins_premium_det (premium_rcv_code,assorted_code, rec_amount,premium_rcv_detail_code,remaining_amt, payrec, mode_code,paid_to_code,class_cd) values('15Apr250002','040000172420','-910',(select max(to_number(i.premium_rcv_detail_code))+1 from ins_premium_det i),'-910','-910','03', '09000278','00');</v>
      </c>
    </row>
    <row r="4" spans="1:8" ht="75" x14ac:dyDescent="0.25">
      <c r="A4" t="s">
        <v>85</v>
      </c>
      <c r="B4" s="32" t="str">
        <f>VLOOKUP(A4,PC!B:C,2,0)</f>
        <v>040000172425</v>
      </c>
      <c r="C4" s="18">
        <v>-2107</v>
      </c>
      <c r="D4" s="25" t="s">
        <v>300</v>
      </c>
      <c r="E4" s="33" t="str">
        <f>VLOOKUP(A4,PC!B:D,3,0)</f>
        <v>09000278</v>
      </c>
      <c r="F4" s="34" t="str">
        <f t="shared" si="0"/>
        <v>insert into ins_premium_det (premium_rcv_code,assorted_code, rec_amount,premium_rcv_detail_code,remaining_amt, payrec, mode_code,paid_to_code,class_cd) values</v>
      </c>
      <c r="G4" s="35" t="str">
        <f t="shared" si="1"/>
        <v>('15Apr250002','040000172425','-2107',(select max(to_number(i.premium_rcv_detail_code))+1 from ins_premium_det i),'-2107','-2107','03', '09000278','00');</v>
      </c>
      <c r="H4" s="36" t="str">
        <f t="shared" si="2"/>
        <v>insert into ins_premium_det (premium_rcv_code,assorted_code, rec_amount,premium_rcv_detail_code,remaining_amt, payrec, mode_code,paid_to_code,class_cd) values('15Apr250002','040000172425','-2107',(select max(to_number(i.premium_rcv_detail_code))+1 from ins_premium_det i),'-2107','-2107','03', '09000278','00');</v>
      </c>
    </row>
    <row r="5" spans="1:8" ht="75" x14ac:dyDescent="0.25">
      <c r="A5" t="s">
        <v>86</v>
      </c>
      <c r="B5" s="32" t="str">
        <f>VLOOKUP(A5,PC!B:C,2,0)</f>
        <v>040000172427</v>
      </c>
      <c r="C5" s="18">
        <v>-1330</v>
      </c>
      <c r="D5" s="25" t="s">
        <v>300</v>
      </c>
      <c r="E5" s="33" t="str">
        <f>VLOOKUP(A5,PC!B:D,3,0)</f>
        <v>09000278</v>
      </c>
      <c r="F5" s="34" t="str">
        <f t="shared" si="0"/>
        <v>insert into ins_premium_det (premium_rcv_code,assorted_code, rec_amount,premium_rcv_detail_code,remaining_amt, payrec, mode_code,paid_to_code,class_cd) values</v>
      </c>
      <c r="G5" s="35" t="str">
        <f t="shared" si="1"/>
        <v>('15Apr250002','040000172427','-1330',(select max(to_number(i.premium_rcv_detail_code))+1 from ins_premium_det i),'-1330','-1330','03', '09000278','00');</v>
      </c>
      <c r="H5" s="36" t="str">
        <f t="shared" si="2"/>
        <v>insert into ins_premium_det (premium_rcv_code,assorted_code, rec_amount,premium_rcv_detail_code,remaining_amt, payrec, mode_code,paid_to_code,class_cd) values('15Apr250002','040000172427','-1330',(select max(to_number(i.premium_rcv_detail_code))+1 from ins_premium_det i),'-1330','-1330','03', '09000278','00');</v>
      </c>
    </row>
    <row r="6" spans="1:8" ht="75" x14ac:dyDescent="0.25">
      <c r="A6" t="s">
        <v>87</v>
      </c>
      <c r="B6" s="32" t="str">
        <f>VLOOKUP(A6,PC!B:C,2,0)</f>
        <v>040000172409</v>
      </c>
      <c r="C6" s="18">
        <v>-5206</v>
      </c>
      <c r="D6" s="25" t="s">
        <v>300</v>
      </c>
      <c r="E6" s="33" t="str">
        <f>VLOOKUP(A6,PC!B:D,3,0)</f>
        <v>09000278</v>
      </c>
      <c r="F6" s="34" t="str">
        <f t="shared" si="0"/>
        <v>insert into ins_premium_det (premium_rcv_code,assorted_code, rec_amount,premium_rcv_detail_code,remaining_amt, payrec, mode_code,paid_to_code,class_cd) values</v>
      </c>
      <c r="G6" s="35" t="str">
        <f t="shared" si="1"/>
        <v>('15Apr250002','040000172409','-5206',(select max(to_number(i.premium_rcv_detail_code))+1 from ins_premium_det i),'-5206','-5206','03', '09000278','00');</v>
      </c>
      <c r="H6" s="36" t="str">
        <f t="shared" si="2"/>
        <v>insert into ins_premium_det (premium_rcv_code,assorted_code, rec_amount,premium_rcv_detail_code,remaining_amt, payrec, mode_code,paid_to_code,class_cd) values('15Apr250002','040000172409','-5206',(select max(to_number(i.premium_rcv_detail_code))+1 from ins_premium_det i),'-5206','-5206','03', '09000278','00');</v>
      </c>
    </row>
    <row r="7" spans="1:8" ht="75" x14ac:dyDescent="0.25">
      <c r="A7" t="s">
        <v>88</v>
      </c>
      <c r="B7" s="32" t="str">
        <f>VLOOKUP(A7,PC!B:C,2,0)</f>
        <v>040000174621</v>
      </c>
      <c r="C7" s="18">
        <v>-1795</v>
      </c>
      <c r="D7" s="25" t="s">
        <v>300</v>
      </c>
      <c r="E7" s="33" t="str">
        <f>VLOOKUP(A7,PC!B:D,3,0)</f>
        <v>09000278</v>
      </c>
      <c r="F7" s="34" t="str">
        <f t="shared" si="0"/>
        <v>insert into ins_premium_det (premium_rcv_code,assorted_code, rec_amount,premium_rcv_detail_code,remaining_amt, payrec, mode_code,paid_to_code,class_cd) values</v>
      </c>
      <c r="G7" s="35" t="str">
        <f t="shared" si="1"/>
        <v>('15Apr250002','040000174621','-1795',(select max(to_number(i.premium_rcv_detail_code))+1 from ins_premium_det i),'-1795','-1795','03', '09000278','00');</v>
      </c>
      <c r="H7" s="36" t="str">
        <f t="shared" si="2"/>
        <v>insert into ins_premium_det (premium_rcv_code,assorted_code, rec_amount,premium_rcv_detail_code,remaining_amt, payrec, mode_code,paid_to_code,class_cd) values('15Apr250002','040000174621','-1795',(select max(to_number(i.premium_rcv_detail_code))+1 from ins_premium_det i),'-1795','-1795','03', '09000278','00');</v>
      </c>
    </row>
    <row r="8" spans="1:8" ht="75" x14ac:dyDescent="0.25">
      <c r="A8" t="s">
        <v>89</v>
      </c>
      <c r="B8" s="32" t="str">
        <f>VLOOKUP(A8,PC!B:C,2,0)</f>
        <v>040000174195</v>
      </c>
      <c r="C8" s="18">
        <v>-36558</v>
      </c>
      <c r="D8" s="25" t="s">
        <v>300</v>
      </c>
      <c r="E8" s="33" t="str">
        <f>VLOOKUP(A8,PC!B:D,3,0)</f>
        <v>09000397</v>
      </c>
      <c r="F8" s="34" t="str">
        <f t="shared" si="0"/>
        <v>insert into ins_premium_det (premium_rcv_code,assorted_code, rec_amount,premium_rcv_detail_code,remaining_amt, payrec, mode_code,paid_to_code,class_cd) values</v>
      </c>
      <c r="G8" s="35" t="str">
        <f t="shared" si="1"/>
        <v>('15Apr250002','040000174195','-36558',(select max(to_number(i.premium_rcv_detail_code))+1 from ins_premium_det i),'-36558','-36558','03', '09000397','00');</v>
      </c>
      <c r="H8" s="36" t="str">
        <f t="shared" si="2"/>
        <v>insert into ins_premium_det (premium_rcv_code,assorted_code, rec_amount,premium_rcv_detail_code,remaining_amt, payrec, mode_code,paid_to_code,class_cd) values('15Apr250002','040000174195','-36558',(select max(to_number(i.premium_rcv_detail_code))+1 from ins_premium_det i),'-36558','-36558','03', '09000397','00');</v>
      </c>
    </row>
    <row r="9" spans="1:8" ht="75" x14ac:dyDescent="0.25">
      <c r="A9" t="s">
        <v>90</v>
      </c>
      <c r="B9" s="32" t="str">
        <f>VLOOKUP(A9,PC!B:C,2,0)</f>
        <v>040000174755</v>
      </c>
      <c r="C9" s="18">
        <v>-337</v>
      </c>
      <c r="D9" s="25" t="s">
        <v>300</v>
      </c>
      <c r="E9" s="33" t="str">
        <f>VLOOKUP(A9,PC!B:D,3,0)</f>
        <v>09000397</v>
      </c>
      <c r="F9" s="34" t="str">
        <f t="shared" si="0"/>
        <v>insert into ins_premium_det (premium_rcv_code,assorted_code, rec_amount,premium_rcv_detail_code,remaining_amt, payrec, mode_code,paid_to_code,class_cd) values</v>
      </c>
      <c r="G9" s="35" t="str">
        <f t="shared" si="1"/>
        <v>('15Apr250002','040000174755','-337',(select max(to_number(i.premium_rcv_detail_code))+1 from ins_premium_det i),'-337','-337','03', '09000397','00');</v>
      </c>
      <c r="H9" s="36" t="str">
        <f t="shared" si="2"/>
        <v>insert into ins_premium_det (premium_rcv_code,assorted_code, rec_amount,premium_rcv_detail_code,remaining_amt, payrec, mode_code,paid_to_code,class_cd) values('15Apr250002','040000174755','-337',(select max(to_number(i.premium_rcv_detail_code))+1 from ins_premium_det i),'-337','-337','03', '09000397','00');</v>
      </c>
    </row>
    <row r="10" spans="1:8" ht="75" x14ac:dyDescent="0.25">
      <c r="A10" t="s">
        <v>91</v>
      </c>
      <c r="B10" s="32" t="str">
        <f>VLOOKUP(A10,PC!B:C,2,0)</f>
        <v>040000175006</v>
      </c>
      <c r="C10" s="18">
        <v>-10998</v>
      </c>
      <c r="D10" s="25" t="s">
        <v>300</v>
      </c>
      <c r="E10" s="33" t="str">
        <f>VLOOKUP(A10,PC!B:D,3,0)</f>
        <v>09000397</v>
      </c>
      <c r="F10" s="34" t="str">
        <f t="shared" si="0"/>
        <v>insert into ins_premium_det (premium_rcv_code,assorted_code, rec_amount,premium_rcv_detail_code,remaining_amt, payrec, mode_code,paid_to_code,class_cd) values</v>
      </c>
      <c r="G10" s="35" t="str">
        <f t="shared" si="1"/>
        <v>('15Apr250002','040000175006','-10998',(select max(to_number(i.premium_rcv_detail_code))+1 from ins_premium_det i),'-10998','-10998','03', '09000397','00');</v>
      </c>
      <c r="H10" s="36" t="str">
        <f t="shared" si="2"/>
        <v>insert into ins_premium_det (premium_rcv_code,assorted_code, rec_amount,premium_rcv_detail_code,remaining_amt, payrec, mode_code,paid_to_code,class_cd) values('15Apr250002','040000175006','-10998',(select max(to_number(i.premium_rcv_detail_code))+1 from ins_premium_det i),'-10998','-10998','03', '09000397','00');</v>
      </c>
    </row>
    <row r="11" spans="1:8" ht="75" x14ac:dyDescent="0.25">
      <c r="A11" t="s">
        <v>92</v>
      </c>
      <c r="B11" s="32" t="str">
        <f>VLOOKUP(A11,PC!B:C,2,0)</f>
        <v>040000180179</v>
      </c>
      <c r="C11" s="18">
        <v>-44</v>
      </c>
      <c r="D11" s="25" t="s">
        <v>300</v>
      </c>
      <c r="E11" s="33" t="str">
        <f>VLOOKUP(A11,PC!B:D,3,0)</f>
        <v>09000271</v>
      </c>
      <c r="F11" s="34" t="str">
        <f t="shared" si="0"/>
        <v>insert into ins_premium_det (premium_rcv_code,assorted_code, rec_amount,premium_rcv_detail_code,remaining_amt, payrec, mode_code,paid_to_code,class_cd) values</v>
      </c>
      <c r="G11" s="35" t="str">
        <f t="shared" si="1"/>
        <v>('15Apr250002','040000180179','-44',(select max(to_number(i.premium_rcv_detail_code))+1 from ins_premium_det i),'-44','-44','03', '09000271','00');</v>
      </c>
      <c r="H11" s="36" t="str">
        <f t="shared" si="2"/>
        <v>insert into ins_premium_det (premium_rcv_code,assorted_code, rec_amount,premium_rcv_detail_code,remaining_amt, payrec, mode_code,paid_to_code,class_cd) values('15Apr250002','040000180179','-44',(select max(to_number(i.premium_rcv_detail_code))+1 from ins_premium_det i),'-44','-44','03', '09000271','00');</v>
      </c>
    </row>
    <row r="12" spans="1:8" ht="75" x14ac:dyDescent="0.25">
      <c r="A12" t="s">
        <v>93</v>
      </c>
      <c r="B12" s="32" t="str">
        <f>VLOOKUP(A12,PC!B:C,2,0)</f>
        <v>040000181263</v>
      </c>
      <c r="C12" s="18">
        <v>-3349</v>
      </c>
      <c r="D12" s="25" t="s">
        <v>300</v>
      </c>
      <c r="E12" s="33" t="str">
        <f>VLOOKUP(A12,PC!B:D,3,0)</f>
        <v>09000266</v>
      </c>
      <c r="F12" s="34" t="str">
        <f t="shared" si="0"/>
        <v>insert into ins_premium_det (premium_rcv_code,assorted_code, rec_amount,premium_rcv_detail_code,remaining_amt, payrec, mode_code,paid_to_code,class_cd) values</v>
      </c>
      <c r="G12" s="35" t="str">
        <f t="shared" si="1"/>
        <v>('15Apr250002','040000181263','-3349',(select max(to_number(i.premium_rcv_detail_code))+1 from ins_premium_det i),'-3349','-3349','03', '09000266','00');</v>
      </c>
      <c r="H12" s="36" t="str">
        <f t="shared" si="2"/>
        <v>insert into ins_premium_det (premium_rcv_code,assorted_code, rec_amount,premium_rcv_detail_code,remaining_amt, payrec, mode_code,paid_to_code,class_cd) values('15Apr250002','040000181263','-3349',(select max(to_number(i.premium_rcv_detail_code))+1 from ins_premium_det i),'-3349','-3349','03', '09000266','00');</v>
      </c>
    </row>
    <row r="13" spans="1:8" ht="75" x14ac:dyDescent="0.25">
      <c r="A13" t="s">
        <v>97</v>
      </c>
      <c r="B13" s="32" t="str">
        <f>VLOOKUP(A13,PC!B:C,2,0)</f>
        <v>040000181262</v>
      </c>
      <c r="C13" s="18">
        <v>-1748</v>
      </c>
      <c r="D13" s="25" t="s">
        <v>300</v>
      </c>
      <c r="E13" s="33" t="str">
        <f>VLOOKUP(A13,PC!B:D,3,0)</f>
        <v>09000271</v>
      </c>
      <c r="F13" s="34" t="str">
        <f t="shared" si="0"/>
        <v>insert into ins_premium_det (premium_rcv_code,assorted_code, rec_amount,premium_rcv_detail_code,remaining_amt, payrec, mode_code,paid_to_code,class_cd) values</v>
      </c>
      <c r="G13" s="35" t="str">
        <f t="shared" si="1"/>
        <v>('15Apr250002','040000181262','-1748',(select max(to_number(i.premium_rcv_detail_code))+1 from ins_premium_det i),'-1748','-1748','03', '09000271','00');</v>
      </c>
      <c r="H13" s="36" t="str">
        <f t="shared" si="2"/>
        <v>insert into ins_premium_det (premium_rcv_code,assorted_code, rec_amount,premium_rcv_detail_code,remaining_amt, payrec, mode_code,paid_to_code,class_cd) values('15Apr250002','040000181262','-1748',(select max(to_number(i.premium_rcv_detail_code))+1 from ins_premium_det i),'-1748','-1748','03', '09000271','00');</v>
      </c>
    </row>
    <row r="14" spans="1:8" ht="75" x14ac:dyDescent="0.25">
      <c r="A14" t="s">
        <v>94</v>
      </c>
      <c r="B14" s="32" t="str">
        <f>VLOOKUP(A14,PC!B:C,2,0)</f>
        <v>040000180590</v>
      </c>
      <c r="C14" s="18">
        <v>-2451</v>
      </c>
      <c r="D14" s="25" t="s">
        <v>300</v>
      </c>
      <c r="E14" s="33" t="str">
        <f>VLOOKUP(A14,PC!B:D,3,0)</f>
        <v>09000397</v>
      </c>
      <c r="F14" s="34" t="str">
        <f t="shared" si="0"/>
        <v>insert into ins_premium_det (premium_rcv_code,assorted_code, rec_amount,premium_rcv_detail_code,remaining_amt, payrec, mode_code,paid_to_code,class_cd) values</v>
      </c>
      <c r="G14" s="35" t="str">
        <f t="shared" si="1"/>
        <v>('15Apr250002','040000180590','-2451',(select max(to_number(i.premium_rcv_detail_code))+1 from ins_premium_det i),'-2451','-2451','03', '09000397','00');</v>
      </c>
      <c r="H14" s="36" t="str">
        <f t="shared" si="2"/>
        <v>insert into ins_premium_det (premium_rcv_code,assorted_code, rec_amount,premium_rcv_detail_code,remaining_amt, payrec, mode_code,paid_to_code,class_cd) values('15Apr250002','040000180590','-2451',(select max(to_number(i.premium_rcv_detail_code))+1 from ins_premium_det i),'-2451','-2451','03', '09000397','00');</v>
      </c>
    </row>
    <row r="15" spans="1:8" ht="75" x14ac:dyDescent="0.25">
      <c r="A15" t="s">
        <v>95</v>
      </c>
      <c r="B15" s="32" t="str">
        <f>VLOOKUP(A15,PC!B:C,2,0)</f>
        <v>040000180540</v>
      </c>
      <c r="C15" s="18">
        <v>-1264</v>
      </c>
      <c r="D15" s="25" t="s">
        <v>300</v>
      </c>
      <c r="E15" s="33" t="str">
        <f>VLOOKUP(A15,PC!B:D,3,0)</f>
        <v>09000397</v>
      </c>
      <c r="F15" s="34" t="str">
        <f t="shared" si="0"/>
        <v>insert into ins_premium_det (premium_rcv_code,assorted_code, rec_amount,premium_rcv_detail_code,remaining_amt, payrec, mode_code,paid_to_code,class_cd) values</v>
      </c>
      <c r="G15" s="35" t="str">
        <f t="shared" si="1"/>
        <v>('15Apr250002','040000180540','-1264',(select max(to_number(i.premium_rcv_detail_code))+1 from ins_premium_det i),'-1264','-1264','03', '09000397','00');</v>
      </c>
      <c r="H15" s="36" t="str">
        <f t="shared" si="2"/>
        <v>insert into ins_premium_det (premium_rcv_code,assorted_code, rec_amount,premium_rcv_detail_code,remaining_amt, payrec, mode_code,paid_to_code,class_cd) values('15Apr250002','040000180540','-1264',(select max(to_number(i.premium_rcv_detail_code))+1 from ins_premium_det i),'-1264','-1264','03', '09000397','00');</v>
      </c>
    </row>
    <row r="16" spans="1:8" ht="75" x14ac:dyDescent="0.25">
      <c r="A16" t="s">
        <v>96</v>
      </c>
      <c r="B16" s="32" t="str">
        <f>VLOOKUP(A16,PC!B:C,2,0)</f>
        <v>040000180530</v>
      </c>
      <c r="C16" s="18">
        <v>-4484</v>
      </c>
      <c r="D16" s="25" t="s">
        <v>300</v>
      </c>
      <c r="E16" s="33" t="str">
        <f>VLOOKUP(A16,PC!B:D,3,0)</f>
        <v>09000397</v>
      </c>
      <c r="F16" s="34" t="str">
        <f t="shared" si="0"/>
        <v>insert into ins_premium_det (premium_rcv_code,assorted_code, rec_amount,premium_rcv_detail_code,remaining_amt, payrec, mode_code,paid_to_code,class_cd) values</v>
      </c>
      <c r="G16" s="35" t="str">
        <f t="shared" si="1"/>
        <v>('15Apr250002','040000180530','-4484',(select max(to_number(i.premium_rcv_detail_code))+1 from ins_premium_det i),'-4484','-4484','03', '09000397','00');</v>
      </c>
      <c r="H16" s="36" t="str">
        <f t="shared" si="2"/>
        <v>insert into ins_premium_det (premium_rcv_code,assorted_code, rec_amount,premium_rcv_detail_code,remaining_amt, payrec, mode_code,paid_to_code,class_cd) values('15Apr250002','040000180530','-4484',(select max(to_number(i.premium_rcv_detail_code))+1 from ins_premium_det i),'-4484','-4484','03', '09000397','00');</v>
      </c>
    </row>
    <row r="17" spans="1:8" ht="75" x14ac:dyDescent="0.25">
      <c r="A17" t="s">
        <v>98</v>
      </c>
      <c r="B17" s="32" t="str">
        <f>VLOOKUP(A17,PC!B:C,2,0)</f>
        <v>040000183350</v>
      </c>
      <c r="C17" s="18">
        <v>-1188</v>
      </c>
      <c r="D17" s="25" t="s">
        <v>300</v>
      </c>
      <c r="E17" s="33" t="str">
        <f>VLOOKUP(A17,PC!B:D,3,0)</f>
        <v>09000271</v>
      </c>
      <c r="F17" s="34" t="str">
        <f t="shared" si="0"/>
        <v>insert into ins_premium_det (premium_rcv_code,assorted_code, rec_amount,premium_rcv_detail_code,remaining_amt, payrec, mode_code,paid_to_code,class_cd) values</v>
      </c>
      <c r="G17" s="35" t="str">
        <f t="shared" si="1"/>
        <v>('15Apr250002','040000183350','-1188',(select max(to_number(i.premium_rcv_detail_code))+1 from ins_premium_det i),'-1188','-1188','03', '09000271','00');</v>
      </c>
      <c r="H17" s="36" t="str">
        <f t="shared" si="2"/>
        <v>insert into ins_premium_det (premium_rcv_code,assorted_code, rec_amount,premium_rcv_detail_code,remaining_amt, payrec, mode_code,paid_to_code,class_cd) values('15Apr250002','040000183350','-1188',(select max(to_number(i.premium_rcv_detail_code))+1 from ins_premium_det i),'-1188','-1188','03', '09000271','00');</v>
      </c>
    </row>
    <row r="18" spans="1:8" ht="75" x14ac:dyDescent="0.25">
      <c r="A18" t="s">
        <v>99</v>
      </c>
      <c r="B18" s="32" t="str">
        <f>VLOOKUP(A18,PC!B:C,2,0)</f>
        <v>040000183353</v>
      </c>
      <c r="C18" s="18">
        <v>-124</v>
      </c>
      <c r="D18" s="25" t="s">
        <v>300</v>
      </c>
      <c r="E18" s="33" t="str">
        <f>VLOOKUP(A18,PC!B:D,3,0)</f>
        <v>09000271</v>
      </c>
      <c r="F18" s="34" t="str">
        <f t="shared" si="0"/>
        <v>insert into ins_premium_det (premium_rcv_code,assorted_code, rec_amount,premium_rcv_detail_code,remaining_amt, payrec, mode_code,paid_to_code,class_cd) values</v>
      </c>
      <c r="G18" s="35" t="str">
        <f t="shared" si="1"/>
        <v>('15Apr250002','040000183353','-124',(select max(to_number(i.premium_rcv_detail_code))+1 from ins_premium_det i),'-124','-124','03', '09000271','00');</v>
      </c>
      <c r="H18" s="36" t="str">
        <f t="shared" si="2"/>
        <v>insert into ins_premium_det (premium_rcv_code,assorted_code, rec_amount,premium_rcv_detail_code,remaining_amt, payrec, mode_code,paid_to_code,class_cd) values('15Apr250002','040000183353','-124',(select max(to_number(i.premium_rcv_detail_code))+1 from ins_premium_det i),'-124','-124','03', '09000271','00');</v>
      </c>
    </row>
    <row r="19" spans="1:8" ht="75" x14ac:dyDescent="0.25">
      <c r="A19" t="s">
        <v>101</v>
      </c>
      <c r="B19" s="32" t="str">
        <f>VLOOKUP(A19,PC!B:C,2,0)</f>
        <v>040000180852</v>
      </c>
      <c r="C19" s="18">
        <v>-254622</v>
      </c>
      <c r="D19" s="25" t="s">
        <v>300</v>
      </c>
      <c r="E19" s="33" t="str">
        <f>VLOOKUP(A19,PC!B:D,3,0)</f>
        <v>09000397</v>
      </c>
      <c r="F19" s="34" t="str">
        <f t="shared" si="0"/>
        <v>insert into ins_premium_det (premium_rcv_code,assorted_code, rec_amount,premium_rcv_detail_code,remaining_amt, payrec, mode_code,paid_to_code,class_cd) values</v>
      </c>
      <c r="G19" s="35" t="str">
        <f t="shared" si="1"/>
        <v>('15Apr250002','040000180852','-254622',(select max(to_number(i.premium_rcv_detail_code))+1 from ins_premium_det i),'-254622','-254622','03', '09000397','00');</v>
      </c>
      <c r="H19" s="36" t="str">
        <f t="shared" si="2"/>
        <v>insert into ins_premium_det (premium_rcv_code,assorted_code, rec_amount,premium_rcv_detail_code,remaining_amt, payrec, mode_code,paid_to_code,class_cd) values('15Apr250002','040000180852','-254622',(select max(to_number(i.premium_rcv_detail_code))+1 from ins_premium_det i),'-254622','-254622','03', '09000397','00');</v>
      </c>
    </row>
    <row r="20" spans="1:8" ht="75" x14ac:dyDescent="0.25">
      <c r="A20" t="s">
        <v>106</v>
      </c>
      <c r="B20" s="32" t="str">
        <f>VLOOKUP(A20,PC!B:C,2,0)</f>
        <v>040000182752</v>
      </c>
      <c r="C20" s="18">
        <v>-253</v>
      </c>
      <c r="D20" s="25" t="s">
        <v>300</v>
      </c>
      <c r="E20" s="33" t="str">
        <f>VLOOKUP(A20,PC!B:D,3,0)</f>
        <v>09000397</v>
      </c>
      <c r="F20" s="34" t="str">
        <f t="shared" si="0"/>
        <v>insert into ins_premium_det (premium_rcv_code,assorted_code, rec_amount,premium_rcv_detail_code,remaining_amt, payrec, mode_code,paid_to_code,class_cd) values</v>
      </c>
      <c r="G20" s="35" t="str">
        <f t="shared" si="1"/>
        <v>('15Apr250002','040000182752','-253',(select max(to_number(i.premium_rcv_detail_code))+1 from ins_premium_det i),'-253','-253','03', '09000397','00');</v>
      </c>
      <c r="H20" s="36" t="str">
        <f t="shared" si="2"/>
        <v>insert into ins_premium_det (premium_rcv_code,assorted_code, rec_amount,premium_rcv_detail_code,remaining_amt, payrec, mode_code,paid_to_code,class_cd) values('15Apr250002','040000182752','-253',(select max(to_number(i.premium_rcv_detail_code))+1 from ins_premium_det i),'-253','-253','03', '09000397','00');</v>
      </c>
    </row>
    <row r="21" spans="1:8" ht="75" x14ac:dyDescent="0.25">
      <c r="A21" t="s">
        <v>118</v>
      </c>
      <c r="B21" s="32" t="str">
        <f>VLOOKUP(A21,PC!B:C,2,0)</f>
        <v>050000777897</v>
      </c>
      <c r="C21" s="18">
        <v>-109658</v>
      </c>
      <c r="D21" s="25" t="s">
        <v>300</v>
      </c>
      <c r="E21" s="33" t="str">
        <f>VLOOKUP(A21,PC!B:D,3,0)</f>
        <v>09000397</v>
      </c>
      <c r="F21" s="34" t="str">
        <f t="shared" si="0"/>
        <v>insert into ins_premium_det (premium_rcv_code,assorted_code, rec_amount,premium_rcv_detail_code,remaining_amt, payrec, mode_code,paid_to_code,class_cd) values</v>
      </c>
      <c r="G21" s="35" t="str">
        <f t="shared" si="1"/>
        <v>('15Apr250002','050000777897','-109658',(select max(to_number(i.premium_rcv_detail_code))+1 from ins_premium_det i),'-109658','-109658','03', '09000397','00');</v>
      </c>
      <c r="H21" s="36" t="str">
        <f t="shared" si="2"/>
        <v>insert into ins_premium_det (premium_rcv_code,assorted_code, rec_amount,premium_rcv_detail_code,remaining_amt, payrec, mode_code,paid_to_code,class_cd) values('15Apr250002','050000777897','-109658',(select max(to_number(i.premium_rcv_detail_code))+1 from ins_premium_det i),'-109658','-109658','03', '09000397','00');</v>
      </c>
    </row>
    <row r="22" spans="1:8" ht="75" x14ac:dyDescent="0.25">
      <c r="A22" t="s">
        <v>117</v>
      </c>
      <c r="B22" s="32" t="str">
        <f>VLOOKUP(A22,PC!B:C,2,0)</f>
        <v>050000786710</v>
      </c>
      <c r="C22" s="18">
        <v>-9278</v>
      </c>
      <c r="D22" s="25" t="s">
        <v>300</v>
      </c>
      <c r="E22" s="33" t="str">
        <f>VLOOKUP(A22,PC!B:D,3,0)</f>
        <v>09000271</v>
      </c>
      <c r="F22" s="34" t="str">
        <f t="shared" si="0"/>
        <v>insert into ins_premium_det (premium_rcv_code,assorted_code, rec_amount,premium_rcv_detail_code,remaining_amt, payrec, mode_code,paid_to_code,class_cd) values</v>
      </c>
      <c r="G22" s="35" t="str">
        <f t="shared" si="1"/>
        <v>('15Apr250002','050000786710','-9278',(select max(to_number(i.premium_rcv_detail_code))+1 from ins_premium_det i),'-9278','-9278','03', '09000271','00');</v>
      </c>
      <c r="H22" s="36" t="str">
        <f t="shared" si="2"/>
        <v>insert into ins_premium_det (premium_rcv_code,assorted_code, rec_amount,premium_rcv_detail_code,remaining_amt, payrec, mode_code,paid_to_code,class_cd) values('15Apr250002','050000786710','-9278',(select max(to_number(i.premium_rcv_detail_code))+1 from ins_premium_det i),'-9278','-9278','03', '09000271','00');</v>
      </c>
    </row>
    <row r="23" spans="1:8" ht="75" x14ac:dyDescent="0.25">
      <c r="A23" t="s">
        <v>107</v>
      </c>
      <c r="B23" s="32" t="str">
        <f>VLOOKUP(A23,PC!B:C,2,0)</f>
        <v>040000181265</v>
      </c>
      <c r="C23" s="18">
        <v>-126</v>
      </c>
      <c r="D23" s="25" t="s">
        <v>300</v>
      </c>
      <c r="E23" s="33" t="str">
        <f>VLOOKUP(A23,PC!B:D,3,0)</f>
        <v>09000397</v>
      </c>
      <c r="F23" s="34" t="str">
        <f t="shared" si="0"/>
        <v>insert into ins_premium_det (premium_rcv_code,assorted_code, rec_amount,premium_rcv_detail_code,remaining_amt, payrec, mode_code,paid_to_code,class_cd) values</v>
      </c>
      <c r="G23" s="35" t="str">
        <f t="shared" si="1"/>
        <v>('15Apr250002','040000181265','-126',(select max(to_number(i.premium_rcv_detail_code))+1 from ins_premium_det i),'-126','-126','03', '09000397','00');</v>
      </c>
      <c r="H23" s="36" t="str">
        <f t="shared" si="2"/>
        <v>insert into ins_premium_det (premium_rcv_code,assorted_code, rec_amount,premium_rcv_detail_code,remaining_amt, payrec, mode_code,paid_to_code,class_cd) values('15Apr250002','040000181265','-126',(select max(to_number(i.premium_rcv_detail_code))+1 from ins_premium_det i),'-126','-126','03', '09000397','00');</v>
      </c>
    </row>
    <row r="24" spans="1:8" ht="75" x14ac:dyDescent="0.25">
      <c r="A24" t="s">
        <v>108</v>
      </c>
      <c r="B24" s="32" t="str">
        <f>VLOOKUP(A24,PC!B:C,2,0)</f>
        <v>040000181306</v>
      </c>
      <c r="C24" s="18">
        <v>-1535</v>
      </c>
      <c r="D24" s="25" t="s">
        <v>300</v>
      </c>
      <c r="E24" s="33" t="str">
        <f>VLOOKUP(A24,PC!B:D,3,0)</f>
        <v>09000397</v>
      </c>
      <c r="F24" s="34" t="str">
        <f t="shared" si="0"/>
        <v>insert into ins_premium_det (premium_rcv_code,assorted_code, rec_amount,premium_rcv_detail_code,remaining_amt, payrec, mode_code,paid_to_code,class_cd) values</v>
      </c>
      <c r="G24" s="35" t="str">
        <f t="shared" si="1"/>
        <v>('15Apr250002','040000181306','-1535',(select max(to_number(i.premium_rcv_detail_code))+1 from ins_premium_det i),'-1535','-1535','03', '09000397','00');</v>
      </c>
      <c r="H24" s="36" t="str">
        <f t="shared" si="2"/>
        <v>insert into ins_premium_det (premium_rcv_code,assorted_code, rec_amount,premium_rcv_detail_code,remaining_amt, payrec, mode_code,paid_to_code,class_cd) values('15Apr250002','040000181306','-1535',(select max(to_number(i.premium_rcv_detail_code))+1 from ins_premium_det i),'-1535','-1535','03', '09000397','00');</v>
      </c>
    </row>
    <row r="25" spans="1:8" ht="75" x14ac:dyDescent="0.25">
      <c r="A25" t="s">
        <v>109</v>
      </c>
      <c r="B25" s="32" t="str">
        <f>VLOOKUP(A25,PC!B:C,2,0)</f>
        <v>040000181264</v>
      </c>
      <c r="C25" s="18">
        <v>-2011</v>
      </c>
      <c r="D25" s="25" t="s">
        <v>300</v>
      </c>
      <c r="E25" s="33" t="str">
        <f>VLOOKUP(A25,PC!B:D,3,0)</f>
        <v>09000397</v>
      </c>
      <c r="F25" s="34" t="str">
        <f t="shared" si="0"/>
        <v>insert into ins_premium_det (premium_rcv_code,assorted_code, rec_amount,premium_rcv_detail_code,remaining_amt, payrec, mode_code,paid_to_code,class_cd) values</v>
      </c>
      <c r="G25" s="35" t="str">
        <f t="shared" si="1"/>
        <v>('15Apr250002','040000181264','-2011',(select max(to_number(i.premium_rcv_detail_code))+1 from ins_premium_det i),'-2011','-2011','03', '09000397','00');</v>
      </c>
      <c r="H25" s="36" t="str">
        <f t="shared" si="2"/>
        <v>insert into ins_premium_det (premium_rcv_code,assorted_code, rec_amount,premium_rcv_detail_code,remaining_amt, payrec, mode_code,paid_to_code,class_cd) values('15Apr250002','040000181264','-2011',(select max(to_number(i.premium_rcv_detail_code))+1 from ins_premium_det i),'-2011','-2011','03', '09000397','00');</v>
      </c>
    </row>
    <row r="26" spans="1:8" ht="75" x14ac:dyDescent="0.25">
      <c r="A26" t="s">
        <v>111</v>
      </c>
      <c r="B26" s="32" t="str">
        <f>VLOOKUP(A26,PC!B:C,2,0)</f>
        <v>050000799701</v>
      </c>
      <c r="C26" s="18">
        <v>-8798</v>
      </c>
      <c r="D26" s="25" t="s">
        <v>300</v>
      </c>
      <c r="E26" s="33" t="str">
        <f>VLOOKUP(A26,PC!B:D,3,0)</f>
        <v>09000397</v>
      </c>
      <c r="F26" s="34" t="str">
        <f t="shared" si="0"/>
        <v>insert into ins_premium_det (premium_rcv_code,assorted_code, rec_amount,premium_rcv_detail_code,remaining_amt, payrec, mode_code,paid_to_code,class_cd) values</v>
      </c>
      <c r="G26" s="35" t="str">
        <f t="shared" si="1"/>
        <v>('15Apr250002','050000799701','-8798',(select max(to_number(i.premium_rcv_detail_code))+1 from ins_premium_det i),'-8798','-8798','03', '09000397','00');</v>
      </c>
      <c r="H26" s="36" t="str">
        <f t="shared" si="2"/>
        <v>insert into ins_premium_det (premium_rcv_code,assorted_code, rec_amount,premium_rcv_detail_code,remaining_amt, payrec, mode_code,paid_to_code,class_cd) values('15Apr250002','050000799701','-8798',(select max(to_number(i.premium_rcv_detail_code))+1 from ins_premium_det i),'-8798','-8798','03', '09000397','00');</v>
      </c>
    </row>
    <row r="27" spans="1:8" ht="75" x14ac:dyDescent="0.25">
      <c r="A27" t="s">
        <v>112</v>
      </c>
      <c r="B27" s="32" t="str">
        <f>VLOOKUP(A27,PC!B:C,2,0)</f>
        <v>050000833593</v>
      </c>
      <c r="C27" s="18">
        <v>-3511</v>
      </c>
      <c r="D27" s="25" t="s">
        <v>300</v>
      </c>
      <c r="E27" s="33" t="str">
        <f>VLOOKUP(A27,PC!B:D,3,0)</f>
        <v>09000397</v>
      </c>
      <c r="F27" s="34" t="str">
        <f t="shared" si="0"/>
        <v>insert into ins_premium_det (premium_rcv_code,assorted_code, rec_amount,premium_rcv_detail_code,remaining_amt, payrec, mode_code,paid_to_code,class_cd) values</v>
      </c>
      <c r="G27" s="35" t="str">
        <f t="shared" si="1"/>
        <v>('15Apr250002','050000833593','-3511',(select max(to_number(i.premium_rcv_detail_code))+1 from ins_premium_det i),'-3511','-3511','03', '09000397','00');</v>
      </c>
      <c r="H27" s="36" t="str">
        <f t="shared" si="2"/>
        <v>insert into ins_premium_det (premium_rcv_code,assorted_code, rec_amount,premium_rcv_detail_code,remaining_amt, payrec, mode_code,paid_to_code,class_cd) values('15Apr250002','050000833593','-3511',(select max(to_number(i.premium_rcv_detail_code))+1 from ins_premium_det i),'-3511','-3511','03', '09000397','00');</v>
      </c>
    </row>
    <row r="28" spans="1:8" ht="75" x14ac:dyDescent="0.25">
      <c r="A28" t="s">
        <v>114</v>
      </c>
      <c r="B28" s="32" t="str">
        <f>VLOOKUP(A28,PC!B:C,2,0)</f>
        <v>050000799774</v>
      </c>
      <c r="C28" s="18">
        <v>-5438</v>
      </c>
      <c r="D28" s="25" t="s">
        <v>300</v>
      </c>
      <c r="E28" s="33" t="str">
        <f>VLOOKUP(A28,PC!B:D,3,0)</f>
        <v>09000397</v>
      </c>
      <c r="F28" s="34" t="str">
        <f t="shared" si="0"/>
        <v>insert into ins_premium_det (premium_rcv_code,assorted_code, rec_amount,premium_rcv_detail_code,remaining_amt, payrec, mode_code,paid_to_code,class_cd) values</v>
      </c>
      <c r="G28" s="35" t="str">
        <f t="shared" si="1"/>
        <v>('15Apr250002','050000799774','-5438',(select max(to_number(i.premium_rcv_detail_code))+1 from ins_premium_det i),'-5438','-5438','03', '09000397','00');</v>
      </c>
      <c r="H28" s="36" t="str">
        <f t="shared" si="2"/>
        <v>insert into ins_premium_det (premium_rcv_code,assorted_code, rec_amount,premium_rcv_detail_code,remaining_amt, payrec, mode_code,paid_to_code,class_cd) values('15Apr250002','050000799774','-5438',(select max(to_number(i.premium_rcv_detail_code))+1 from ins_premium_det i),'-5438','-5438','03', '09000397','00');</v>
      </c>
    </row>
    <row r="29" spans="1:8" ht="75" x14ac:dyDescent="0.25">
      <c r="A29" t="s">
        <v>115</v>
      </c>
      <c r="B29" s="32" t="str">
        <f>VLOOKUP(A29,PC!B:C,2,0)</f>
        <v>050000799765</v>
      </c>
      <c r="C29" s="18">
        <v>-2</v>
      </c>
      <c r="D29" s="25" t="s">
        <v>300</v>
      </c>
      <c r="E29" s="33" t="str">
        <f>VLOOKUP(A29,PC!B:D,3,0)</f>
        <v>09000397</v>
      </c>
      <c r="F29" s="34" t="str">
        <f t="shared" si="0"/>
        <v>insert into ins_premium_det (premium_rcv_code,assorted_code, rec_amount,premium_rcv_detail_code,remaining_amt, payrec, mode_code,paid_to_code,class_cd) values</v>
      </c>
      <c r="G29" s="35" t="str">
        <f t="shared" si="1"/>
        <v>('15Apr250002','050000799765','-2',(select max(to_number(i.premium_rcv_detail_code))+1 from ins_premium_det i),'-2','-2','03', '09000397','00');</v>
      </c>
      <c r="H29" s="36" t="str">
        <f t="shared" si="2"/>
        <v>insert into ins_premium_det (premium_rcv_code,assorted_code, rec_amount,premium_rcv_detail_code,remaining_amt, payrec, mode_code,paid_to_code,class_cd) values('15Apr250002','050000799765','-2',(select max(to_number(i.premium_rcv_detail_code))+1 from ins_premium_det i),'-2','-2','03', '09000397','00');</v>
      </c>
    </row>
    <row r="30" spans="1:8" ht="75" x14ac:dyDescent="0.25">
      <c r="A30" t="s">
        <v>116</v>
      </c>
      <c r="B30" s="32" t="str">
        <f>VLOOKUP(A30,PC!B:C,2,0)</f>
        <v>050000833881</v>
      </c>
      <c r="C30" s="18">
        <v>-2176</v>
      </c>
      <c r="D30" s="25" t="s">
        <v>300</v>
      </c>
      <c r="E30" s="33" t="str">
        <f>VLOOKUP(A30,PC!B:D,3,0)</f>
        <v>09000397</v>
      </c>
      <c r="F30" s="34" t="str">
        <f t="shared" si="0"/>
        <v>insert into ins_premium_det (premium_rcv_code,assorted_code, rec_amount,premium_rcv_detail_code,remaining_amt, payrec, mode_code,paid_to_code,class_cd) values</v>
      </c>
      <c r="G30" s="35" t="str">
        <f t="shared" si="1"/>
        <v>('15Apr250002','050000833881','-2176',(select max(to_number(i.premium_rcv_detail_code))+1 from ins_premium_det i),'-2176','-2176','03', '09000397','00');</v>
      </c>
      <c r="H30" s="36" t="str">
        <f t="shared" si="2"/>
        <v>insert into ins_premium_det (premium_rcv_code,assorted_code, rec_amount,premium_rcv_detail_code,remaining_amt, payrec, mode_code,paid_to_code,class_cd) values('15Apr250002','050000833881','-2176',(select max(to_number(i.premium_rcv_detail_code))+1 from ins_premium_det i),'-2176','-2176','03', '09000397','00');</v>
      </c>
    </row>
    <row r="31" spans="1:8" ht="75" x14ac:dyDescent="0.25">
      <c r="A31" t="s">
        <v>110</v>
      </c>
      <c r="B31" s="32" t="str">
        <f>VLOOKUP(A31,PC!B:C,2,0)</f>
        <v>040000188606</v>
      </c>
      <c r="C31" s="18">
        <v>-375</v>
      </c>
      <c r="D31" s="25" t="s">
        <v>300</v>
      </c>
      <c r="E31" s="33" t="str">
        <f>VLOOKUP(A31,PC!B:D,3,0)</f>
        <v>09000397</v>
      </c>
      <c r="F31" s="34" t="str">
        <f t="shared" si="0"/>
        <v>insert into ins_premium_det (premium_rcv_code,assorted_code, rec_amount,premium_rcv_detail_code,remaining_amt, payrec, mode_code,paid_to_code,class_cd) values</v>
      </c>
      <c r="G31" s="35" t="str">
        <f t="shared" si="1"/>
        <v>('15Apr250002','040000188606','-375',(select max(to_number(i.premium_rcv_detail_code))+1 from ins_premium_det i),'-375','-375','03', '09000397','00');</v>
      </c>
      <c r="H31" s="36" t="str">
        <f t="shared" si="2"/>
        <v>insert into ins_premium_det (premium_rcv_code,assorted_code, rec_amount,premium_rcv_detail_code,remaining_amt, payrec, mode_code,paid_to_code,class_cd) values('15Apr250002','040000188606','-375',(select max(to_number(i.premium_rcv_detail_code))+1 from ins_premium_det i),'-375','-375','03', '09000397','00');</v>
      </c>
    </row>
  </sheetData>
  <conditionalFormatting sqref="A1">
    <cfRule type="duplicateValues" dxfId="4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BA4C-6189-48B5-8407-8132C65211C7}">
  <dimension ref="A1:E30"/>
  <sheetViews>
    <sheetView workbookViewId="0">
      <selection activeCell="E1" sqref="E1"/>
    </sheetView>
  </sheetViews>
  <sheetFormatPr defaultRowHeight="15" x14ac:dyDescent="0.25"/>
  <cols>
    <col min="1" max="1" width="34.5703125" bestFit="1" customWidth="1"/>
  </cols>
  <sheetData>
    <row r="1" spans="1:5" x14ac:dyDescent="0.25">
      <c r="A1" t="s">
        <v>113</v>
      </c>
      <c r="B1" t="s">
        <v>123</v>
      </c>
      <c r="D1">
        <v>10711</v>
      </c>
      <c r="E1" t="str">
        <f>"ia.assorted_string like '%"&amp;D1&amp;B1&amp;"%' or"</f>
        <v>ia.assorted_string like '%10711-10-2024%' or</v>
      </c>
    </row>
    <row r="2" spans="1:5" x14ac:dyDescent="0.25">
      <c r="A2" t="s">
        <v>84</v>
      </c>
      <c r="B2" t="s">
        <v>124</v>
      </c>
      <c r="D2">
        <v>1196</v>
      </c>
      <c r="E2" t="str">
        <f t="shared" ref="E2:E30" si="0">"ia.assorted_string like '%"&amp;D2&amp;B2&amp;"%' or"</f>
        <v>ia.assorted_string like '%1196-05-2024%' or</v>
      </c>
    </row>
    <row r="3" spans="1:5" x14ac:dyDescent="0.25">
      <c r="A3" t="s">
        <v>85</v>
      </c>
      <c r="B3" t="s">
        <v>124</v>
      </c>
      <c r="D3">
        <v>1197</v>
      </c>
      <c r="E3" t="str">
        <f t="shared" si="0"/>
        <v>ia.assorted_string like '%1197-05-2024%' or</v>
      </c>
    </row>
    <row r="4" spans="1:5" x14ac:dyDescent="0.25">
      <c r="A4" t="s">
        <v>86</v>
      </c>
      <c r="B4" t="s">
        <v>124</v>
      </c>
      <c r="D4">
        <v>1198</v>
      </c>
      <c r="E4" t="str">
        <f t="shared" si="0"/>
        <v>ia.assorted_string like '%1198-05-2024%' or</v>
      </c>
    </row>
    <row r="5" spans="1:5" x14ac:dyDescent="0.25">
      <c r="A5" t="s">
        <v>87</v>
      </c>
      <c r="B5" t="s">
        <v>124</v>
      </c>
      <c r="D5">
        <v>22274</v>
      </c>
      <c r="E5" t="str">
        <f t="shared" si="0"/>
        <v>ia.assorted_string like '%22274-05-2024%' or</v>
      </c>
    </row>
    <row r="6" spans="1:5" x14ac:dyDescent="0.25">
      <c r="A6" t="s">
        <v>88</v>
      </c>
      <c r="B6" t="s">
        <v>124</v>
      </c>
      <c r="D6">
        <v>290</v>
      </c>
      <c r="E6" t="str">
        <f t="shared" si="0"/>
        <v>ia.assorted_string like '%290-05-2024%' or</v>
      </c>
    </row>
    <row r="7" spans="1:5" x14ac:dyDescent="0.25">
      <c r="A7" t="s">
        <v>89</v>
      </c>
      <c r="B7" t="s">
        <v>124</v>
      </c>
      <c r="D7">
        <v>22347</v>
      </c>
      <c r="E7" t="str">
        <f t="shared" si="0"/>
        <v>ia.assorted_string like '%22347-05-2024%' or</v>
      </c>
    </row>
    <row r="8" spans="1:5" x14ac:dyDescent="0.25">
      <c r="A8" t="s">
        <v>90</v>
      </c>
      <c r="B8" t="s">
        <v>124</v>
      </c>
      <c r="D8">
        <v>22495</v>
      </c>
      <c r="E8" t="str">
        <f t="shared" si="0"/>
        <v>ia.assorted_string like '%22495-05-2024%' or</v>
      </c>
    </row>
    <row r="9" spans="1:5" x14ac:dyDescent="0.25">
      <c r="A9" t="s">
        <v>91</v>
      </c>
      <c r="B9" t="s">
        <v>125</v>
      </c>
      <c r="D9">
        <v>291</v>
      </c>
      <c r="E9" t="str">
        <f t="shared" si="0"/>
        <v>ia.assorted_string like '%291-06-2024%' or</v>
      </c>
    </row>
    <row r="10" spans="1:5" x14ac:dyDescent="0.25">
      <c r="A10" t="s">
        <v>92</v>
      </c>
      <c r="B10" t="s">
        <v>126</v>
      </c>
      <c r="D10">
        <v>1237</v>
      </c>
      <c r="E10" t="str">
        <f t="shared" si="0"/>
        <v>ia.assorted_string like '%1237-07-2024%' or</v>
      </c>
    </row>
    <row r="11" spans="1:5" x14ac:dyDescent="0.25">
      <c r="A11" t="s">
        <v>93</v>
      </c>
      <c r="B11" t="s">
        <v>127</v>
      </c>
      <c r="D11">
        <v>1243</v>
      </c>
      <c r="E11" t="str">
        <f t="shared" si="0"/>
        <v>ia.assorted_string like '%1243-08-2024%' or</v>
      </c>
    </row>
    <row r="12" spans="1:5" x14ac:dyDescent="0.25">
      <c r="A12" t="s">
        <v>97</v>
      </c>
      <c r="B12" t="s">
        <v>127</v>
      </c>
      <c r="D12">
        <v>1242</v>
      </c>
      <c r="E12" t="str">
        <f t="shared" si="0"/>
        <v>ia.assorted_string like '%1242-08-2024%' or</v>
      </c>
    </row>
    <row r="13" spans="1:5" x14ac:dyDescent="0.25">
      <c r="A13" t="s">
        <v>94</v>
      </c>
      <c r="B13" t="s">
        <v>127</v>
      </c>
      <c r="D13">
        <v>22806</v>
      </c>
      <c r="E13" t="str">
        <f t="shared" si="0"/>
        <v>ia.assorted_string like '%22806-08-2024%' or</v>
      </c>
    </row>
    <row r="14" spans="1:5" x14ac:dyDescent="0.25">
      <c r="A14" t="s">
        <v>95</v>
      </c>
      <c r="B14" t="s">
        <v>127</v>
      </c>
      <c r="D14">
        <v>22799</v>
      </c>
      <c r="E14" t="str">
        <f t="shared" si="0"/>
        <v>ia.assorted_string like '%22799-08-2024%' or</v>
      </c>
    </row>
    <row r="15" spans="1:5" x14ac:dyDescent="0.25">
      <c r="A15" t="s">
        <v>96</v>
      </c>
      <c r="B15" t="s">
        <v>127</v>
      </c>
      <c r="D15">
        <v>22796</v>
      </c>
      <c r="E15" t="str">
        <f t="shared" si="0"/>
        <v>ia.assorted_string like '%22796-08-2024%' or</v>
      </c>
    </row>
    <row r="16" spans="1:5" x14ac:dyDescent="0.25">
      <c r="A16" t="s">
        <v>98</v>
      </c>
      <c r="B16" t="s">
        <v>128</v>
      </c>
      <c r="D16">
        <v>1248</v>
      </c>
      <c r="E16" t="str">
        <f t="shared" si="0"/>
        <v>ia.assorted_string like '%1248-09-2024%' or</v>
      </c>
    </row>
    <row r="17" spans="1:5" x14ac:dyDescent="0.25">
      <c r="A17" t="s">
        <v>99</v>
      </c>
      <c r="B17" t="s">
        <v>128</v>
      </c>
      <c r="D17">
        <v>1249</v>
      </c>
      <c r="E17" t="str">
        <f t="shared" si="0"/>
        <v>ia.assorted_string like '%1249-09-2024%' or</v>
      </c>
    </row>
    <row r="18" spans="1:5" x14ac:dyDescent="0.25">
      <c r="A18" t="s">
        <v>101</v>
      </c>
      <c r="B18" t="s">
        <v>127</v>
      </c>
      <c r="D18">
        <v>22814</v>
      </c>
      <c r="E18" t="str">
        <f t="shared" si="0"/>
        <v>ia.assorted_string like '%22814-08-2024%' or</v>
      </c>
    </row>
    <row r="19" spans="1:5" x14ac:dyDescent="0.25">
      <c r="A19" t="s">
        <v>106</v>
      </c>
      <c r="B19" t="s">
        <v>127</v>
      </c>
      <c r="D19">
        <v>22921</v>
      </c>
      <c r="E19" t="str">
        <f t="shared" si="0"/>
        <v>ia.assorted_string like '%22921-08-2024%' or</v>
      </c>
    </row>
    <row r="20" spans="1:5" x14ac:dyDescent="0.25">
      <c r="A20" t="s">
        <v>118</v>
      </c>
      <c r="B20" t="s">
        <v>127</v>
      </c>
      <c r="D20">
        <v>10487</v>
      </c>
      <c r="E20" t="str">
        <f t="shared" si="0"/>
        <v>ia.assorted_string like '%10487-08-2024%' or</v>
      </c>
    </row>
    <row r="21" spans="1:5" x14ac:dyDescent="0.25">
      <c r="A21" t="s">
        <v>117</v>
      </c>
      <c r="B21" t="s">
        <v>128</v>
      </c>
      <c r="D21">
        <v>10612</v>
      </c>
      <c r="E21" t="str">
        <f t="shared" si="0"/>
        <v>ia.assorted_string like '%10612-09-2024%' or</v>
      </c>
    </row>
    <row r="22" spans="1:5" x14ac:dyDescent="0.25">
      <c r="A22" t="s">
        <v>107</v>
      </c>
      <c r="B22" t="s">
        <v>127</v>
      </c>
      <c r="D22">
        <v>1245</v>
      </c>
      <c r="E22" t="str">
        <f t="shared" si="0"/>
        <v>ia.assorted_string like '%1245-08-2024%' or</v>
      </c>
    </row>
    <row r="23" spans="1:5" x14ac:dyDescent="0.25">
      <c r="A23" t="s">
        <v>108</v>
      </c>
      <c r="B23" t="s">
        <v>127</v>
      </c>
      <c r="D23">
        <v>1246</v>
      </c>
      <c r="E23" t="str">
        <f t="shared" si="0"/>
        <v>ia.assorted_string like '%1246-08-2024%' or</v>
      </c>
    </row>
    <row r="24" spans="1:5" x14ac:dyDescent="0.25">
      <c r="A24" t="s">
        <v>109</v>
      </c>
      <c r="B24" t="s">
        <v>127</v>
      </c>
      <c r="D24">
        <v>1244</v>
      </c>
      <c r="E24" t="str">
        <f t="shared" si="0"/>
        <v>ia.assorted_string like '%1244-08-2024%' or</v>
      </c>
    </row>
    <row r="25" spans="1:5" x14ac:dyDescent="0.25">
      <c r="A25" t="s">
        <v>111</v>
      </c>
      <c r="B25" t="s">
        <v>123</v>
      </c>
      <c r="D25">
        <v>10713</v>
      </c>
      <c r="E25" t="str">
        <f t="shared" si="0"/>
        <v>ia.assorted_string like '%10713-10-2024%' or</v>
      </c>
    </row>
    <row r="26" spans="1:5" x14ac:dyDescent="0.25">
      <c r="A26" t="s">
        <v>112</v>
      </c>
      <c r="B26" t="s">
        <v>130</v>
      </c>
      <c r="D26">
        <v>412</v>
      </c>
      <c r="E26" t="str">
        <f t="shared" si="0"/>
        <v>ia.assorted_string like '%412-12-2024%' or</v>
      </c>
    </row>
    <row r="27" spans="1:5" x14ac:dyDescent="0.25">
      <c r="A27" t="s">
        <v>114</v>
      </c>
      <c r="B27" t="s">
        <v>123</v>
      </c>
      <c r="D27">
        <v>10715</v>
      </c>
      <c r="E27" t="str">
        <f t="shared" si="0"/>
        <v>ia.assorted_string like '%10715-10-2024%' or</v>
      </c>
    </row>
    <row r="28" spans="1:5" x14ac:dyDescent="0.25">
      <c r="A28" t="s">
        <v>115</v>
      </c>
      <c r="B28" t="s">
        <v>123</v>
      </c>
      <c r="D28">
        <v>10714</v>
      </c>
      <c r="E28" t="str">
        <f t="shared" si="0"/>
        <v>ia.assorted_string like '%10714-10-2024%' or</v>
      </c>
    </row>
    <row r="29" spans="1:5" x14ac:dyDescent="0.25">
      <c r="A29" t="s">
        <v>116</v>
      </c>
      <c r="B29" t="s">
        <v>130</v>
      </c>
      <c r="D29">
        <v>413</v>
      </c>
      <c r="E29" t="str">
        <f t="shared" si="0"/>
        <v>ia.assorted_string like '%413-12-2024%' or</v>
      </c>
    </row>
    <row r="30" spans="1:5" x14ac:dyDescent="0.25">
      <c r="A30" t="s">
        <v>110</v>
      </c>
      <c r="B30" t="s">
        <v>131</v>
      </c>
      <c r="D30">
        <v>1256</v>
      </c>
      <c r="E30" t="str">
        <f t="shared" si="0"/>
        <v>ia.assorted_string like '%1256-11-2024%' or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5692-206D-417D-96F8-4A977ACDBC29}">
  <dimension ref="A1:D71"/>
  <sheetViews>
    <sheetView workbookViewId="0">
      <selection activeCell="G9" sqref="G9"/>
    </sheetView>
  </sheetViews>
  <sheetFormatPr defaultColWidth="7.85546875" defaultRowHeight="15" x14ac:dyDescent="0.25"/>
  <cols>
    <col min="1" max="1" width="2.42578125" customWidth="1"/>
    <col min="2" max="2" width="34.28515625" customWidth="1"/>
    <col min="3" max="3" width="14" customWidth="1"/>
    <col min="4" max="4" width="12.7109375" customWidth="1"/>
  </cols>
  <sheetData>
    <row r="1" spans="1:4" s="22" customFormat="1" ht="12" x14ac:dyDescent="0.2">
      <c r="A1" s="22" t="s">
        <v>132</v>
      </c>
      <c r="B1" s="22" t="s">
        <v>133</v>
      </c>
      <c r="C1" s="22" t="s">
        <v>134</v>
      </c>
      <c r="D1" s="22" t="s">
        <v>302</v>
      </c>
    </row>
    <row r="2" spans="1:4" x14ac:dyDescent="0.25">
      <c r="A2">
        <v>1</v>
      </c>
      <c r="B2" t="s">
        <v>91</v>
      </c>
      <c r="C2" t="s">
        <v>138</v>
      </c>
      <c r="D2" t="s">
        <v>303</v>
      </c>
    </row>
    <row r="3" spans="1:4" x14ac:dyDescent="0.25">
      <c r="A3">
        <v>2</v>
      </c>
      <c r="B3" t="s">
        <v>142</v>
      </c>
      <c r="C3" t="s">
        <v>143</v>
      </c>
      <c r="D3" t="s">
        <v>304</v>
      </c>
    </row>
    <row r="4" spans="1:4" x14ac:dyDescent="0.25">
      <c r="A4">
        <v>3</v>
      </c>
      <c r="B4" t="s">
        <v>84</v>
      </c>
      <c r="C4" t="s">
        <v>144</v>
      </c>
      <c r="D4" t="s">
        <v>305</v>
      </c>
    </row>
    <row r="5" spans="1:4" x14ac:dyDescent="0.25">
      <c r="A5">
        <v>4</v>
      </c>
      <c r="B5" t="s">
        <v>86</v>
      </c>
      <c r="C5" t="s">
        <v>145</v>
      </c>
      <c r="D5" t="s">
        <v>305</v>
      </c>
    </row>
    <row r="6" spans="1:4" x14ac:dyDescent="0.25">
      <c r="A6">
        <v>5</v>
      </c>
      <c r="B6" t="s">
        <v>146</v>
      </c>
      <c r="C6" t="s">
        <v>147</v>
      </c>
      <c r="D6" t="s">
        <v>306</v>
      </c>
    </row>
    <row r="7" spans="1:4" x14ac:dyDescent="0.25">
      <c r="A7">
        <v>6</v>
      </c>
      <c r="B7" t="s">
        <v>85</v>
      </c>
      <c r="C7" t="s">
        <v>148</v>
      </c>
      <c r="D7" t="s">
        <v>305</v>
      </c>
    </row>
    <row r="8" spans="1:4" x14ac:dyDescent="0.25">
      <c r="A8">
        <v>7</v>
      </c>
      <c r="B8" t="s">
        <v>87</v>
      </c>
      <c r="C8" t="s">
        <v>149</v>
      </c>
      <c r="D8" t="s">
        <v>305</v>
      </c>
    </row>
    <row r="9" spans="1:4" x14ac:dyDescent="0.25">
      <c r="A9">
        <v>8</v>
      </c>
      <c r="B9" t="s">
        <v>150</v>
      </c>
      <c r="C9" t="s">
        <v>151</v>
      </c>
      <c r="D9" t="s">
        <v>307</v>
      </c>
    </row>
    <row r="10" spans="1:4" x14ac:dyDescent="0.25">
      <c r="A10">
        <v>9</v>
      </c>
      <c r="B10" t="s">
        <v>118</v>
      </c>
      <c r="C10" t="s">
        <v>152</v>
      </c>
      <c r="D10" t="s">
        <v>303</v>
      </c>
    </row>
    <row r="11" spans="1:4" x14ac:dyDescent="0.25">
      <c r="A11">
        <v>10</v>
      </c>
      <c r="B11" t="s">
        <v>153</v>
      </c>
      <c r="C11" t="s">
        <v>154</v>
      </c>
      <c r="D11" t="s">
        <v>308</v>
      </c>
    </row>
    <row r="12" spans="1:4" x14ac:dyDescent="0.25">
      <c r="A12">
        <v>11</v>
      </c>
      <c r="B12" t="s">
        <v>155</v>
      </c>
      <c r="C12" t="s">
        <v>156</v>
      </c>
      <c r="D12" t="s">
        <v>309</v>
      </c>
    </row>
    <row r="13" spans="1:4" x14ac:dyDescent="0.25">
      <c r="A13">
        <v>12</v>
      </c>
      <c r="B13" t="s">
        <v>157</v>
      </c>
      <c r="C13" t="s">
        <v>158</v>
      </c>
      <c r="D13" t="s">
        <v>310</v>
      </c>
    </row>
    <row r="14" spans="1:4" x14ac:dyDescent="0.25">
      <c r="A14">
        <v>13</v>
      </c>
      <c r="B14" t="s">
        <v>159</v>
      </c>
      <c r="C14" t="s">
        <v>160</v>
      </c>
      <c r="D14" t="s">
        <v>309</v>
      </c>
    </row>
    <row r="15" spans="1:4" x14ac:dyDescent="0.25">
      <c r="A15">
        <v>14</v>
      </c>
      <c r="B15" t="s">
        <v>106</v>
      </c>
      <c r="C15" t="s">
        <v>161</v>
      </c>
      <c r="D15" t="s">
        <v>303</v>
      </c>
    </row>
    <row r="16" spans="1:4" x14ac:dyDescent="0.25">
      <c r="A16">
        <v>15</v>
      </c>
      <c r="B16" t="s">
        <v>113</v>
      </c>
      <c r="C16" t="s">
        <v>162</v>
      </c>
      <c r="D16" t="s">
        <v>303</v>
      </c>
    </row>
    <row r="17" spans="1:4" x14ac:dyDescent="0.25">
      <c r="A17">
        <v>16</v>
      </c>
      <c r="B17" t="s">
        <v>114</v>
      </c>
      <c r="C17" t="s">
        <v>163</v>
      </c>
      <c r="D17" t="s">
        <v>303</v>
      </c>
    </row>
    <row r="18" spans="1:4" x14ac:dyDescent="0.25">
      <c r="A18">
        <v>17</v>
      </c>
      <c r="B18" t="s">
        <v>99</v>
      </c>
      <c r="C18" t="s">
        <v>172</v>
      </c>
      <c r="D18" t="s">
        <v>311</v>
      </c>
    </row>
    <row r="19" spans="1:4" x14ac:dyDescent="0.25">
      <c r="A19">
        <v>18</v>
      </c>
      <c r="B19" t="s">
        <v>117</v>
      </c>
      <c r="C19" t="s">
        <v>175</v>
      </c>
      <c r="D19" t="s">
        <v>311</v>
      </c>
    </row>
    <row r="20" spans="1:4" x14ac:dyDescent="0.25">
      <c r="A20">
        <v>19</v>
      </c>
      <c r="B20" t="s">
        <v>178</v>
      </c>
      <c r="C20" t="s">
        <v>179</v>
      </c>
      <c r="D20" t="s">
        <v>312</v>
      </c>
    </row>
    <row r="21" spans="1:4" x14ac:dyDescent="0.25">
      <c r="A21">
        <v>20</v>
      </c>
      <c r="B21" t="s">
        <v>180</v>
      </c>
      <c r="C21" t="s">
        <v>181</v>
      </c>
      <c r="D21" t="s">
        <v>312</v>
      </c>
    </row>
    <row r="22" spans="1:4" x14ac:dyDescent="0.25">
      <c r="A22">
        <v>21</v>
      </c>
      <c r="B22" t="s">
        <v>188</v>
      </c>
      <c r="C22" t="s">
        <v>189</v>
      </c>
      <c r="D22" t="s">
        <v>309</v>
      </c>
    </row>
    <row r="23" spans="1:4" x14ac:dyDescent="0.25">
      <c r="A23">
        <v>22</v>
      </c>
      <c r="B23" t="s">
        <v>190</v>
      </c>
      <c r="C23" t="s">
        <v>191</v>
      </c>
      <c r="D23" t="s">
        <v>309</v>
      </c>
    </row>
    <row r="24" spans="1:4" x14ac:dyDescent="0.25">
      <c r="A24">
        <v>23</v>
      </c>
      <c r="B24" t="s">
        <v>192</v>
      </c>
      <c r="C24" t="s">
        <v>193</v>
      </c>
      <c r="D24" t="s">
        <v>313</v>
      </c>
    </row>
    <row r="25" spans="1:4" x14ac:dyDescent="0.25">
      <c r="A25">
        <v>24</v>
      </c>
      <c r="B25" t="s">
        <v>89</v>
      </c>
      <c r="C25" t="s">
        <v>194</v>
      </c>
      <c r="D25" t="s">
        <v>303</v>
      </c>
    </row>
    <row r="26" spans="1:4" x14ac:dyDescent="0.25">
      <c r="A26">
        <v>25</v>
      </c>
      <c r="B26" t="s">
        <v>94</v>
      </c>
      <c r="C26" t="s">
        <v>195</v>
      </c>
      <c r="D26" t="s">
        <v>303</v>
      </c>
    </row>
    <row r="27" spans="1:4" x14ac:dyDescent="0.25">
      <c r="A27">
        <v>26</v>
      </c>
      <c r="B27" t="s">
        <v>88</v>
      </c>
      <c r="C27" t="s">
        <v>196</v>
      </c>
      <c r="D27" t="s">
        <v>305</v>
      </c>
    </row>
    <row r="28" spans="1:4" x14ac:dyDescent="0.25">
      <c r="A28">
        <v>27</v>
      </c>
      <c r="B28" t="s">
        <v>197</v>
      </c>
      <c r="C28" t="s">
        <v>198</v>
      </c>
      <c r="D28" t="s">
        <v>312</v>
      </c>
    </row>
    <row r="29" spans="1:4" x14ac:dyDescent="0.25">
      <c r="A29">
        <v>28</v>
      </c>
      <c r="B29" t="s">
        <v>107</v>
      </c>
      <c r="C29" t="s">
        <v>200</v>
      </c>
      <c r="D29" t="s">
        <v>303</v>
      </c>
    </row>
    <row r="30" spans="1:4" x14ac:dyDescent="0.25">
      <c r="A30">
        <v>29</v>
      </c>
      <c r="B30" t="s">
        <v>108</v>
      </c>
      <c r="C30" t="s">
        <v>201</v>
      </c>
      <c r="D30" t="s">
        <v>303</v>
      </c>
    </row>
    <row r="31" spans="1:4" x14ac:dyDescent="0.25">
      <c r="A31">
        <v>30</v>
      </c>
      <c r="B31" t="s">
        <v>202</v>
      </c>
      <c r="C31" t="s">
        <v>203</v>
      </c>
      <c r="D31" t="s">
        <v>309</v>
      </c>
    </row>
    <row r="32" spans="1:4" x14ac:dyDescent="0.25">
      <c r="A32">
        <v>31</v>
      </c>
      <c r="B32" t="s">
        <v>204</v>
      </c>
      <c r="C32" t="s">
        <v>205</v>
      </c>
      <c r="D32" t="s">
        <v>312</v>
      </c>
    </row>
    <row r="33" spans="1:4" x14ac:dyDescent="0.25">
      <c r="A33">
        <v>32</v>
      </c>
      <c r="B33" t="s">
        <v>109</v>
      </c>
      <c r="C33" t="s">
        <v>206</v>
      </c>
      <c r="D33" t="s">
        <v>303</v>
      </c>
    </row>
    <row r="34" spans="1:4" x14ac:dyDescent="0.25">
      <c r="A34">
        <v>33</v>
      </c>
      <c r="B34" t="s">
        <v>207</v>
      </c>
      <c r="C34" t="s">
        <v>208</v>
      </c>
      <c r="D34" t="s">
        <v>314</v>
      </c>
    </row>
    <row r="35" spans="1:4" x14ac:dyDescent="0.25">
      <c r="A35">
        <v>34</v>
      </c>
      <c r="B35" t="s">
        <v>209</v>
      </c>
      <c r="C35" t="s">
        <v>210</v>
      </c>
      <c r="D35" t="s">
        <v>312</v>
      </c>
    </row>
    <row r="36" spans="1:4" x14ac:dyDescent="0.25">
      <c r="A36">
        <v>35</v>
      </c>
      <c r="B36" t="s">
        <v>215</v>
      </c>
      <c r="C36" t="s">
        <v>216</v>
      </c>
      <c r="D36" t="s">
        <v>312</v>
      </c>
    </row>
    <row r="37" spans="1:4" x14ac:dyDescent="0.25">
      <c r="A37">
        <v>36</v>
      </c>
      <c r="B37" t="s">
        <v>97</v>
      </c>
      <c r="C37" t="s">
        <v>217</v>
      </c>
      <c r="D37" t="s">
        <v>311</v>
      </c>
    </row>
    <row r="38" spans="1:4" x14ac:dyDescent="0.25">
      <c r="A38">
        <v>37</v>
      </c>
      <c r="B38" t="s">
        <v>93</v>
      </c>
      <c r="C38" t="s">
        <v>218</v>
      </c>
      <c r="D38" t="s">
        <v>315</v>
      </c>
    </row>
    <row r="39" spans="1:4" x14ac:dyDescent="0.25">
      <c r="A39">
        <v>38</v>
      </c>
      <c r="B39" t="s">
        <v>96</v>
      </c>
      <c r="C39" t="s">
        <v>219</v>
      </c>
      <c r="D39" t="s">
        <v>303</v>
      </c>
    </row>
    <row r="40" spans="1:4" x14ac:dyDescent="0.25">
      <c r="A40">
        <v>39</v>
      </c>
      <c r="B40" t="s">
        <v>221</v>
      </c>
      <c r="C40" t="s">
        <v>222</v>
      </c>
      <c r="D40" t="s">
        <v>316</v>
      </c>
    </row>
    <row r="41" spans="1:4" x14ac:dyDescent="0.25">
      <c r="A41">
        <v>40</v>
      </c>
      <c r="B41" t="s">
        <v>223</v>
      </c>
      <c r="C41" t="s">
        <v>224</v>
      </c>
      <c r="D41" t="s">
        <v>312</v>
      </c>
    </row>
    <row r="42" spans="1:4" x14ac:dyDescent="0.25">
      <c r="A42">
        <v>41</v>
      </c>
      <c r="B42" t="s">
        <v>225</v>
      </c>
      <c r="C42" t="s">
        <v>226</v>
      </c>
      <c r="D42" t="s">
        <v>309</v>
      </c>
    </row>
    <row r="43" spans="1:4" x14ac:dyDescent="0.25">
      <c r="A43">
        <v>42</v>
      </c>
      <c r="B43" t="s">
        <v>90</v>
      </c>
      <c r="C43" t="s">
        <v>227</v>
      </c>
      <c r="D43" t="s">
        <v>303</v>
      </c>
    </row>
    <row r="44" spans="1:4" x14ac:dyDescent="0.25">
      <c r="A44">
        <v>43</v>
      </c>
      <c r="B44" t="s">
        <v>228</v>
      </c>
      <c r="C44" t="s">
        <v>229</v>
      </c>
      <c r="D44" t="s">
        <v>312</v>
      </c>
    </row>
    <row r="45" spans="1:4" x14ac:dyDescent="0.25">
      <c r="A45">
        <v>44</v>
      </c>
      <c r="B45" t="s">
        <v>92</v>
      </c>
      <c r="C45" t="s">
        <v>232</v>
      </c>
      <c r="D45" t="s">
        <v>311</v>
      </c>
    </row>
    <row r="46" spans="1:4" x14ac:dyDescent="0.25">
      <c r="A46">
        <v>45</v>
      </c>
      <c r="B46" t="s">
        <v>95</v>
      </c>
      <c r="C46" t="s">
        <v>233</v>
      </c>
      <c r="D46" t="s">
        <v>303</v>
      </c>
    </row>
    <row r="47" spans="1:4" x14ac:dyDescent="0.25">
      <c r="A47">
        <v>46</v>
      </c>
      <c r="B47" t="s">
        <v>111</v>
      </c>
      <c r="C47" t="s">
        <v>234</v>
      </c>
      <c r="D47" t="s">
        <v>303</v>
      </c>
    </row>
    <row r="48" spans="1:4" x14ac:dyDescent="0.25">
      <c r="A48">
        <v>47</v>
      </c>
      <c r="B48" t="s">
        <v>237</v>
      </c>
      <c r="C48" t="s">
        <v>238</v>
      </c>
      <c r="D48" t="s">
        <v>312</v>
      </c>
    </row>
    <row r="49" spans="1:4" x14ac:dyDescent="0.25">
      <c r="A49">
        <v>48</v>
      </c>
      <c r="B49" t="s">
        <v>101</v>
      </c>
      <c r="C49" t="s">
        <v>239</v>
      </c>
      <c r="D49" t="s">
        <v>303</v>
      </c>
    </row>
    <row r="50" spans="1:4" x14ac:dyDescent="0.25">
      <c r="A50">
        <v>49</v>
      </c>
      <c r="B50" t="s">
        <v>98</v>
      </c>
      <c r="C50" t="s">
        <v>240</v>
      </c>
      <c r="D50" t="s">
        <v>311</v>
      </c>
    </row>
    <row r="51" spans="1:4" x14ac:dyDescent="0.25">
      <c r="A51">
        <v>50</v>
      </c>
      <c r="B51" t="s">
        <v>115</v>
      </c>
      <c r="C51" t="s">
        <v>245</v>
      </c>
      <c r="D51" t="s">
        <v>303</v>
      </c>
    </row>
    <row r="52" spans="1:4" x14ac:dyDescent="0.25">
      <c r="A52">
        <v>51</v>
      </c>
      <c r="B52" t="s">
        <v>110</v>
      </c>
      <c r="C52" t="s">
        <v>256</v>
      </c>
      <c r="D52" t="s">
        <v>303</v>
      </c>
    </row>
    <row r="53" spans="1:4" x14ac:dyDescent="0.25">
      <c r="A53">
        <v>52</v>
      </c>
      <c r="B53" t="s">
        <v>261</v>
      </c>
      <c r="C53" t="s">
        <v>262</v>
      </c>
      <c r="D53" t="s">
        <v>309</v>
      </c>
    </row>
    <row r="54" spans="1:4" x14ac:dyDescent="0.25">
      <c r="A54">
        <v>53</v>
      </c>
      <c r="B54" t="s">
        <v>263</v>
      </c>
      <c r="C54" t="s">
        <v>264</v>
      </c>
      <c r="D54" t="s">
        <v>317</v>
      </c>
    </row>
    <row r="55" spans="1:4" x14ac:dyDescent="0.25">
      <c r="A55">
        <v>54</v>
      </c>
      <c r="B55" t="s">
        <v>112</v>
      </c>
      <c r="C55" t="s">
        <v>265</v>
      </c>
      <c r="D55" t="s">
        <v>303</v>
      </c>
    </row>
    <row r="56" spans="1:4" x14ac:dyDescent="0.25">
      <c r="A56">
        <v>55</v>
      </c>
      <c r="B56" t="s">
        <v>266</v>
      </c>
      <c r="C56" t="s">
        <v>267</v>
      </c>
      <c r="D56" t="s">
        <v>318</v>
      </c>
    </row>
    <row r="57" spans="1:4" x14ac:dyDescent="0.25">
      <c r="A57">
        <v>56</v>
      </c>
      <c r="B57" t="s">
        <v>268</v>
      </c>
      <c r="C57" t="s">
        <v>269</v>
      </c>
      <c r="D57" t="s">
        <v>312</v>
      </c>
    </row>
    <row r="58" spans="1:4" x14ac:dyDescent="0.25">
      <c r="A58">
        <v>57</v>
      </c>
      <c r="B58" t="s">
        <v>270</v>
      </c>
      <c r="C58" t="s">
        <v>271</v>
      </c>
      <c r="D58" t="s">
        <v>312</v>
      </c>
    </row>
    <row r="59" spans="1:4" x14ac:dyDescent="0.25">
      <c r="A59">
        <v>58</v>
      </c>
      <c r="B59" t="s">
        <v>272</v>
      </c>
      <c r="C59" t="s">
        <v>273</v>
      </c>
      <c r="D59" t="s">
        <v>319</v>
      </c>
    </row>
    <row r="60" spans="1:4" x14ac:dyDescent="0.25">
      <c r="A60">
        <v>59</v>
      </c>
      <c r="B60" t="s">
        <v>274</v>
      </c>
      <c r="C60" t="s">
        <v>275</v>
      </c>
      <c r="D60" t="s">
        <v>320</v>
      </c>
    </row>
    <row r="61" spans="1:4" x14ac:dyDescent="0.25">
      <c r="A61">
        <v>60</v>
      </c>
      <c r="B61" t="s">
        <v>116</v>
      </c>
      <c r="C61" t="s">
        <v>276</v>
      </c>
      <c r="D61" t="s">
        <v>303</v>
      </c>
    </row>
    <row r="62" spans="1:4" x14ac:dyDescent="0.25">
      <c r="A62">
        <v>61</v>
      </c>
      <c r="B62" t="s">
        <v>277</v>
      </c>
      <c r="C62" t="s">
        <v>278</v>
      </c>
      <c r="D62" t="s">
        <v>320</v>
      </c>
    </row>
    <row r="63" spans="1:4" x14ac:dyDescent="0.25">
      <c r="A63">
        <v>62</v>
      </c>
      <c r="B63" t="s">
        <v>279</v>
      </c>
      <c r="C63" t="s">
        <v>280</v>
      </c>
      <c r="D63" t="s">
        <v>321</v>
      </c>
    </row>
    <row r="64" spans="1:4" x14ac:dyDescent="0.25">
      <c r="A64">
        <v>63</v>
      </c>
      <c r="B64" t="s">
        <v>281</v>
      </c>
      <c r="C64" t="s">
        <v>282</v>
      </c>
      <c r="D64" t="s">
        <v>309</v>
      </c>
    </row>
    <row r="65" spans="1:4" x14ac:dyDescent="0.25">
      <c r="A65">
        <v>64</v>
      </c>
      <c r="B65" t="s">
        <v>283</v>
      </c>
      <c r="C65" t="s">
        <v>284</v>
      </c>
      <c r="D65" t="s">
        <v>312</v>
      </c>
    </row>
    <row r="66" spans="1:4" x14ac:dyDescent="0.25">
      <c r="A66">
        <v>65</v>
      </c>
      <c r="B66" t="s">
        <v>285</v>
      </c>
      <c r="C66" t="s">
        <v>286</v>
      </c>
      <c r="D66" t="s">
        <v>322</v>
      </c>
    </row>
    <row r="67" spans="1:4" x14ac:dyDescent="0.25">
      <c r="A67">
        <v>66</v>
      </c>
      <c r="B67" t="s">
        <v>287</v>
      </c>
      <c r="C67" t="s">
        <v>288</v>
      </c>
      <c r="D67" t="s">
        <v>318</v>
      </c>
    </row>
    <row r="68" spans="1:4" x14ac:dyDescent="0.25">
      <c r="A68">
        <v>67</v>
      </c>
      <c r="B68" t="s">
        <v>289</v>
      </c>
      <c r="C68" t="s">
        <v>290</v>
      </c>
      <c r="D68" t="s">
        <v>318</v>
      </c>
    </row>
    <row r="69" spans="1:4" x14ac:dyDescent="0.25">
      <c r="A69">
        <v>68</v>
      </c>
      <c r="B69" t="s">
        <v>291</v>
      </c>
      <c r="C69" t="s">
        <v>292</v>
      </c>
      <c r="D69" t="s">
        <v>309</v>
      </c>
    </row>
    <row r="70" spans="1:4" x14ac:dyDescent="0.25">
      <c r="A70">
        <v>69</v>
      </c>
      <c r="B70" t="s">
        <v>293</v>
      </c>
      <c r="C70" t="s">
        <v>294</v>
      </c>
      <c r="D70" t="s">
        <v>305</v>
      </c>
    </row>
    <row r="71" spans="1:4" x14ac:dyDescent="0.25">
      <c r="A71">
        <v>70</v>
      </c>
      <c r="B71" t="s">
        <v>295</v>
      </c>
      <c r="C71" t="s">
        <v>296</v>
      </c>
      <c r="D71" t="s">
        <v>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F35A-E714-45E9-9A60-C6F28A2E9B10}">
  <dimension ref="A1:H42"/>
  <sheetViews>
    <sheetView topLeftCell="A38" workbookViewId="0">
      <selection activeCell="C43" sqref="C43"/>
    </sheetView>
  </sheetViews>
  <sheetFormatPr defaultRowHeight="15" x14ac:dyDescent="0.25"/>
  <cols>
    <col min="1" max="1" width="30.5703125" bestFit="1" customWidth="1"/>
    <col min="2" max="2" width="14.5703125" bestFit="1" customWidth="1"/>
    <col min="3" max="3" width="11.85546875" bestFit="1" customWidth="1"/>
    <col min="4" max="4" width="12" bestFit="1" customWidth="1"/>
    <col min="5" max="5" width="10.140625" bestFit="1" customWidth="1"/>
    <col min="6" max="6" width="105.140625" customWidth="1"/>
    <col min="7" max="7" width="97" customWidth="1"/>
    <col min="8" max="8" width="89.5703125" customWidth="1"/>
  </cols>
  <sheetData>
    <row r="1" spans="1:8" x14ac:dyDescent="0.25">
      <c r="A1" s="23" t="s">
        <v>297</v>
      </c>
      <c r="B1" t="s">
        <v>298</v>
      </c>
      <c r="C1" s="24" t="s">
        <v>301</v>
      </c>
      <c r="D1" s="25" t="s">
        <v>300</v>
      </c>
      <c r="E1" s="31"/>
    </row>
    <row r="2" spans="1:8" ht="84.75" customHeight="1" x14ac:dyDescent="0.25">
      <c r="A2" t="s">
        <v>113</v>
      </c>
      <c r="B2" s="32" t="str">
        <f>VLOOKUP(A2,psc!B:D,2,0)</f>
        <v>050000799611</v>
      </c>
      <c r="C2" s="18">
        <v>4</v>
      </c>
      <c r="D2" s="25" t="s">
        <v>300</v>
      </c>
      <c r="E2" s="33" t="str">
        <f>VLOOKUP(A2,psc!B:D,3,0)</f>
        <v>09000397</v>
      </c>
      <c r="F2" s="34" t="str">
        <f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2" s="35" t="str">
        <f>"('"&amp;D1&amp;"','"&amp;B2&amp;"','"&amp;C2&amp;"',(select max(to_number(i.premium_rcv_detail_code))+1 from ins_premium_det i),'"&amp;C2&amp;"','"&amp;C2&amp;"','05', '"&amp;E2&amp;"','00');"</f>
        <v>('15Apr250002','050000799611','4',(select max(to_number(i.premium_rcv_detail_code))+1 from ins_premium_det i),'4','4','05', '09000397','00');</v>
      </c>
      <c r="H2" s="36" t="str">
        <f t="shared" ref="H2:H40" si="0">F2&amp;G2</f>
        <v>insert into ins_premium_det (premium_rcv_code,assorted_code, rec_amount,premium_rcv_detail_code,remaining_amt, payrec, mode_code,paid_to_code,class_cd) values('15Apr250002','050000799611','4',(select max(to_number(i.premium_rcv_detail_code))+1 from ins_premium_det i),'4','4','05', '09000397','00');</v>
      </c>
    </row>
    <row r="3" spans="1:8" ht="75" x14ac:dyDescent="0.25">
      <c r="A3" t="s">
        <v>79</v>
      </c>
      <c r="B3" s="32" t="str">
        <f>VLOOKUP(A3,psc!B:D,2,0)</f>
        <v>040000185733</v>
      </c>
      <c r="C3" s="18">
        <v>-286</v>
      </c>
      <c r="D3" s="25" t="s">
        <v>300</v>
      </c>
      <c r="E3" s="33" t="str">
        <f>VLOOKUP(A3,psc!B:D,3,0)</f>
        <v>09000278</v>
      </c>
      <c r="F3" s="34" t="str">
        <f t="shared" ref="F3:F40" si="1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3" s="35" t="str">
        <f t="shared" ref="G3:G40" si="2">"('"&amp;D2&amp;"','"&amp;B3&amp;"','"&amp;C3&amp;"',(select max(to_number(i.premium_rcv_detail_code))+1 from ins_premium_det i),'"&amp;C3&amp;"','"&amp;C3&amp;"','05', '"&amp;E3&amp;"','00');"</f>
        <v>('15Apr250002','040000185733','-286',(select max(to_number(i.premium_rcv_detail_code))+1 from ins_premium_det i),'-286','-286','05', '09000278','00');</v>
      </c>
      <c r="H3" s="36" t="str">
        <f t="shared" si="0"/>
        <v>insert into ins_premium_det (premium_rcv_code,assorted_code, rec_amount,premium_rcv_detail_code,remaining_amt, payrec, mode_code,paid_to_code,class_cd) values('15Apr250002','040000185733','-286',(select max(to_number(i.premium_rcv_detail_code))+1 from ins_premium_det i),'-286','-286','05', '09000278','00');</v>
      </c>
    </row>
    <row r="4" spans="1:8" ht="75" x14ac:dyDescent="0.25">
      <c r="A4" t="s">
        <v>80</v>
      </c>
      <c r="B4" s="32" t="str">
        <f>VLOOKUP(A4,psc!B:D,2,0)</f>
        <v>040000185737</v>
      </c>
      <c r="C4" s="18">
        <v>-356</v>
      </c>
      <c r="D4" s="25" t="s">
        <v>300</v>
      </c>
      <c r="E4" s="33" t="str">
        <f>VLOOKUP(A4,psc!B:D,3,0)</f>
        <v>09000278</v>
      </c>
      <c r="F4" s="34" t="str">
        <f t="shared" si="1"/>
        <v>insert into ins_premium_det (premium_rcv_code,assorted_code, rec_amount,premium_rcv_detail_code,remaining_amt, payrec, mode_code,paid_to_code,class_cd) values</v>
      </c>
      <c r="G4" s="35" t="str">
        <f t="shared" si="2"/>
        <v>('15Apr250002','040000185737','-356',(select max(to_number(i.premium_rcv_detail_code))+1 from ins_premium_det i),'-356','-356','05', '09000278','00');</v>
      </c>
      <c r="H4" s="36" t="str">
        <f t="shared" si="0"/>
        <v>insert into ins_premium_det (premium_rcv_code,assorted_code, rec_amount,premium_rcv_detail_code,remaining_amt, payrec, mode_code,paid_to_code,class_cd) values('15Apr250002','040000185737','-356',(select max(to_number(i.premium_rcv_detail_code))+1 from ins_premium_det i),'-356','-356','05', '09000278','00');</v>
      </c>
    </row>
    <row r="5" spans="1:8" ht="75" x14ac:dyDescent="0.25">
      <c r="A5" t="s">
        <v>81</v>
      </c>
      <c r="B5" s="32" t="str">
        <f>VLOOKUP(A5,psc!B:D,2,0)</f>
        <v>040000185739</v>
      </c>
      <c r="C5" s="18">
        <v>-153</v>
      </c>
      <c r="D5" s="25" t="s">
        <v>300</v>
      </c>
      <c r="E5" s="33" t="str">
        <f>VLOOKUP(A5,psc!B:D,3,0)</f>
        <v>09000278</v>
      </c>
      <c r="F5" s="34" t="str">
        <f t="shared" si="1"/>
        <v>insert into ins_premium_det (premium_rcv_code,assorted_code, rec_amount,premium_rcv_detail_code,remaining_amt, payrec, mode_code,paid_to_code,class_cd) values</v>
      </c>
      <c r="G5" s="35" t="str">
        <f t="shared" si="2"/>
        <v>('15Apr250002','040000185739','-153',(select max(to_number(i.premium_rcv_detail_code))+1 from ins_premium_det i),'-153','-153','05', '09000278','00');</v>
      </c>
      <c r="H5" s="36" t="str">
        <f t="shared" si="0"/>
        <v>insert into ins_premium_det (premium_rcv_code,assorted_code, rec_amount,premium_rcv_detail_code,remaining_amt, payrec, mode_code,paid_to_code,class_cd) values('15Apr250002','040000185739','-153',(select max(to_number(i.premium_rcv_detail_code))+1 from ins_premium_det i),'-153','-153','05', '09000278','00');</v>
      </c>
    </row>
    <row r="6" spans="1:8" ht="75" x14ac:dyDescent="0.25">
      <c r="A6" t="s">
        <v>82</v>
      </c>
      <c r="B6" s="32" t="str">
        <f>VLOOKUP(A6,psc!B:D,2,0)</f>
        <v>040000185751</v>
      </c>
      <c r="C6" s="18">
        <v>-546</v>
      </c>
      <c r="D6" s="25" t="s">
        <v>300</v>
      </c>
      <c r="E6" s="33" t="str">
        <f>VLOOKUP(A6,psc!B:D,3,0)</f>
        <v>09000278</v>
      </c>
      <c r="F6" s="34" t="str">
        <f t="shared" si="1"/>
        <v>insert into ins_premium_det (premium_rcv_code,assorted_code, rec_amount,premium_rcv_detail_code,remaining_amt, payrec, mode_code,paid_to_code,class_cd) values</v>
      </c>
      <c r="G6" s="35" t="str">
        <f t="shared" si="2"/>
        <v>('15Apr250002','040000185751','-546',(select max(to_number(i.premium_rcv_detail_code))+1 from ins_premium_det i),'-546','-546','05', '09000278','00');</v>
      </c>
      <c r="H6" s="36" t="str">
        <f t="shared" si="0"/>
        <v>insert into ins_premium_det (premium_rcv_code,assorted_code, rec_amount,premium_rcv_detail_code,remaining_amt, payrec, mode_code,paid_to_code,class_cd) values('15Apr250002','040000185751','-546',(select max(to_number(i.premium_rcv_detail_code))+1 from ins_premium_det i),'-546','-546','05', '09000278','00');</v>
      </c>
    </row>
    <row r="7" spans="1:8" ht="75" x14ac:dyDescent="0.25">
      <c r="A7" t="s">
        <v>84</v>
      </c>
      <c r="B7" s="32" t="str">
        <f>VLOOKUP(A7,psc!B:D,2,0)</f>
        <v>040000172420</v>
      </c>
      <c r="C7" s="18">
        <v>-151</v>
      </c>
      <c r="D7" s="25" t="s">
        <v>300</v>
      </c>
      <c r="E7" s="33" t="str">
        <f>VLOOKUP(A7,psc!B:D,3,0)</f>
        <v>09000278</v>
      </c>
      <c r="F7" s="34" t="str">
        <f t="shared" si="1"/>
        <v>insert into ins_premium_det (premium_rcv_code,assorted_code, rec_amount,premium_rcv_detail_code,remaining_amt, payrec, mode_code,paid_to_code,class_cd) values</v>
      </c>
      <c r="G7" s="35" t="str">
        <f t="shared" si="2"/>
        <v>('15Apr250002','040000172420','-151',(select max(to_number(i.premium_rcv_detail_code))+1 from ins_premium_det i),'-151','-151','05', '09000278','00');</v>
      </c>
      <c r="H7" s="36" t="str">
        <f t="shared" si="0"/>
        <v>insert into ins_premium_det (premium_rcv_code,assorted_code, rec_amount,premium_rcv_detail_code,remaining_amt, payrec, mode_code,paid_to_code,class_cd) values('15Apr250002','040000172420','-151',(select max(to_number(i.premium_rcv_detail_code))+1 from ins_premium_det i),'-151','-151','05', '09000278','00');</v>
      </c>
    </row>
    <row r="8" spans="1:8" ht="75" x14ac:dyDescent="0.25">
      <c r="A8" t="s">
        <v>83</v>
      </c>
      <c r="B8" s="32" t="str">
        <f>VLOOKUP(A8,psc!B:D,2,0)</f>
        <v>040000185754</v>
      </c>
      <c r="C8" s="18">
        <v>-443</v>
      </c>
      <c r="D8" s="25" t="s">
        <v>300</v>
      </c>
      <c r="E8" s="33" t="str">
        <f>VLOOKUP(A8,psc!B:D,3,0)</f>
        <v>09000278</v>
      </c>
      <c r="F8" s="34" t="str">
        <f t="shared" si="1"/>
        <v>insert into ins_premium_det (premium_rcv_code,assorted_code, rec_amount,premium_rcv_detail_code,remaining_amt, payrec, mode_code,paid_to_code,class_cd) values</v>
      </c>
      <c r="G8" s="35" t="str">
        <f t="shared" si="2"/>
        <v>('15Apr250002','040000185754','-443',(select max(to_number(i.premium_rcv_detail_code))+1 from ins_premium_det i),'-443','-443','05', '09000278','00');</v>
      </c>
      <c r="H8" s="36" t="str">
        <f t="shared" si="0"/>
        <v>insert into ins_premium_det (premium_rcv_code,assorted_code, rec_amount,premium_rcv_detail_code,remaining_amt, payrec, mode_code,paid_to_code,class_cd) values('15Apr250002','040000185754','-443',(select max(to_number(i.premium_rcv_detail_code))+1 from ins_premium_det i),'-443','-443','05', '09000278','00');</v>
      </c>
    </row>
    <row r="9" spans="1:8" ht="75" x14ac:dyDescent="0.25">
      <c r="A9" t="s">
        <v>85</v>
      </c>
      <c r="B9" s="32" t="str">
        <f>VLOOKUP(A9,psc!B:D,2,0)</f>
        <v>040000172425</v>
      </c>
      <c r="C9" s="18">
        <v>-352</v>
      </c>
      <c r="D9" s="25" t="s">
        <v>300</v>
      </c>
      <c r="E9" s="33" t="str">
        <f>VLOOKUP(A9,psc!B:D,3,0)</f>
        <v>09000278</v>
      </c>
      <c r="F9" s="34" t="str">
        <f t="shared" si="1"/>
        <v>insert into ins_premium_det (premium_rcv_code,assorted_code, rec_amount,premium_rcv_detail_code,remaining_amt, payrec, mode_code,paid_to_code,class_cd) values</v>
      </c>
      <c r="G9" s="35" t="str">
        <f t="shared" si="2"/>
        <v>('15Apr250002','040000172425','-352',(select max(to_number(i.premium_rcv_detail_code))+1 from ins_premium_det i),'-352','-352','05', '09000278','00');</v>
      </c>
      <c r="H9" s="36" t="str">
        <f t="shared" si="0"/>
        <v>insert into ins_premium_det (premium_rcv_code,assorted_code, rec_amount,premium_rcv_detail_code,remaining_amt, payrec, mode_code,paid_to_code,class_cd) values('15Apr250002','040000172425','-352',(select max(to_number(i.premium_rcv_detail_code))+1 from ins_premium_det i),'-352','-352','05', '09000278','00');</v>
      </c>
    </row>
    <row r="10" spans="1:8" ht="75" x14ac:dyDescent="0.25">
      <c r="A10" t="s">
        <v>86</v>
      </c>
      <c r="B10" s="32" t="str">
        <f>VLOOKUP(A10,psc!B:D,2,0)</f>
        <v>040000172427</v>
      </c>
      <c r="C10" s="18">
        <v>-221</v>
      </c>
      <c r="D10" s="25" t="s">
        <v>300</v>
      </c>
      <c r="E10" s="33" t="str">
        <f>VLOOKUP(A10,psc!B:D,3,0)</f>
        <v>09000278</v>
      </c>
      <c r="F10" s="34" t="str">
        <f t="shared" si="1"/>
        <v>insert into ins_premium_det (premium_rcv_code,assorted_code, rec_amount,premium_rcv_detail_code,remaining_amt, payrec, mode_code,paid_to_code,class_cd) values</v>
      </c>
      <c r="G10" s="35" t="str">
        <f t="shared" si="2"/>
        <v>('15Apr250002','040000172427','-221',(select max(to_number(i.premium_rcv_detail_code))+1 from ins_premium_det i),'-221','-221','05', '09000278','00');</v>
      </c>
      <c r="H10" s="36" t="str">
        <f t="shared" si="0"/>
        <v>insert into ins_premium_det (premium_rcv_code,assorted_code, rec_amount,premium_rcv_detail_code,remaining_amt, payrec, mode_code,paid_to_code,class_cd) values('15Apr250002','040000172427','-221',(select max(to_number(i.premium_rcv_detail_code))+1 from ins_premium_det i),'-221','-221','05', '09000278','00');</v>
      </c>
    </row>
    <row r="11" spans="1:8" ht="75" x14ac:dyDescent="0.25">
      <c r="A11" t="s">
        <v>87</v>
      </c>
      <c r="B11" s="32" t="str">
        <f>VLOOKUP(A11,psc!B:D,2,0)</f>
        <v>040000172409</v>
      </c>
      <c r="C11" s="18">
        <v>-868</v>
      </c>
      <c r="D11" s="25" t="s">
        <v>300</v>
      </c>
      <c r="E11" s="33" t="str">
        <f>VLOOKUP(A11,psc!B:D,3,0)</f>
        <v>09000278</v>
      </c>
      <c r="F11" s="34" t="str">
        <f t="shared" si="1"/>
        <v>insert into ins_premium_det (premium_rcv_code,assorted_code, rec_amount,premium_rcv_detail_code,remaining_amt, payrec, mode_code,paid_to_code,class_cd) values</v>
      </c>
      <c r="G11" s="35" t="str">
        <f t="shared" si="2"/>
        <v>('15Apr250002','040000172409','-868',(select max(to_number(i.premium_rcv_detail_code))+1 from ins_premium_det i),'-868','-868','05', '09000278','00');</v>
      </c>
      <c r="H11" s="36" t="str">
        <f t="shared" si="0"/>
        <v>insert into ins_premium_det (premium_rcv_code,assorted_code, rec_amount,premium_rcv_detail_code,remaining_amt, payrec, mode_code,paid_to_code,class_cd) values('15Apr250002','040000172409','-868',(select max(to_number(i.premium_rcv_detail_code))+1 from ins_premium_det i),'-868','-868','05', '09000278','00');</v>
      </c>
    </row>
    <row r="12" spans="1:8" ht="75" x14ac:dyDescent="0.25">
      <c r="A12" t="s">
        <v>88</v>
      </c>
      <c r="B12" s="32" t="str">
        <f>VLOOKUP(A12,psc!B:D,2,0)</f>
        <v>040000174621</v>
      </c>
      <c r="C12" s="18">
        <v>-299</v>
      </c>
      <c r="D12" s="25" t="s">
        <v>300</v>
      </c>
      <c r="E12" s="33" t="str">
        <f>VLOOKUP(A12,psc!B:D,3,0)</f>
        <v>09000278</v>
      </c>
      <c r="F12" s="34" t="str">
        <f t="shared" si="1"/>
        <v>insert into ins_premium_det (premium_rcv_code,assorted_code, rec_amount,premium_rcv_detail_code,remaining_amt, payrec, mode_code,paid_to_code,class_cd) values</v>
      </c>
      <c r="G12" s="35" t="str">
        <f t="shared" si="2"/>
        <v>('15Apr250002','040000174621','-299',(select max(to_number(i.premium_rcv_detail_code))+1 from ins_premium_det i),'-299','-299','05', '09000278','00');</v>
      </c>
      <c r="H12" s="36" t="str">
        <f t="shared" si="0"/>
        <v>insert into ins_premium_det (premium_rcv_code,assorted_code, rec_amount,premium_rcv_detail_code,remaining_amt, payrec, mode_code,paid_to_code,class_cd) values('15Apr250002','040000174621','-299',(select max(to_number(i.premium_rcv_detail_code))+1 from ins_premium_det i),'-299','-299','05', '09000278','00');</v>
      </c>
    </row>
    <row r="13" spans="1:8" ht="75" x14ac:dyDescent="0.25">
      <c r="A13" t="s">
        <v>89</v>
      </c>
      <c r="B13" s="32" t="str">
        <f>VLOOKUP(A13,psc!B:D,2,0)</f>
        <v>040000174195</v>
      </c>
      <c r="C13" s="18">
        <v>-6093</v>
      </c>
      <c r="D13" s="25" t="s">
        <v>300</v>
      </c>
      <c r="E13" s="33" t="str">
        <f>VLOOKUP(A13,psc!B:D,3,0)</f>
        <v>09000397</v>
      </c>
      <c r="F13" s="34" t="str">
        <f t="shared" si="1"/>
        <v>insert into ins_premium_det (premium_rcv_code,assorted_code, rec_amount,premium_rcv_detail_code,remaining_amt, payrec, mode_code,paid_to_code,class_cd) values</v>
      </c>
      <c r="G13" s="35" t="str">
        <f t="shared" si="2"/>
        <v>('15Apr250002','040000174195','-6093',(select max(to_number(i.premium_rcv_detail_code))+1 from ins_premium_det i),'-6093','-6093','05', '09000397','00');</v>
      </c>
      <c r="H13" s="36" t="str">
        <f t="shared" si="0"/>
        <v>insert into ins_premium_det (premium_rcv_code,assorted_code, rec_amount,premium_rcv_detail_code,remaining_amt, payrec, mode_code,paid_to_code,class_cd) values('15Apr250002','040000174195','-6093',(select max(to_number(i.premium_rcv_detail_code))+1 from ins_premium_det i),'-6093','-6093','05', '09000397','00');</v>
      </c>
    </row>
    <row r="14" spans="1:8" ht="75" x14ac:dyDescent="0.25">
      <c r="A14" t="s">
        <v>90</v>
      </c>
      <c r="B14" s="32" t="str">
        <f>VLOOKUP(A14,psc!B:D,2,0)</f>
        <v>040000174755</v>
      </c>
      <c r="C14" s="18">
        <v>-56</v>
      </c>
      <c r="D14" s="25" t="s">
        <v>300</v>
      </c>
      <c r="E14" s="33" t="str">
        <f>VLOOKUP(A14,psc!B:D,3,0)</f>
        <v>09000397</v>
      </c>
      <c r="F14" s="34" t="str">
        <f t="shared" si="1"/>
        <v>insert into ins_premium_det (premium_rcv_code,assorted_code, rec_amount,premium_rcv_detail_code,remaining_amt, payrec, mode_code,paid_to_code,class_cd) values</v>
      </c>
      <c r="G14" s="35" t="str">
        <f t="shared" si="2"/>
        <v>('15Apr250002','040000174755','-56',(select max(to_number(i.premium_rcv_detail_code))+1 from ins_premium_det i),'-56','-56','05', '09000397','00');</v>
      </c>
      <c r="H14" s="36" t="str">
        <f t="shared" si="0"/>
        <v>insert into ins_premium_det (premium_rcv_code,assorted_code, rec_amount,premium_rcv_detail_code,remaining_amt, payrec, mode_code,paid_to_code,class_cd) values('15Apr250002','040000174755','-56',(select max(to_number(i.premium_rcv_detail_code))+1 from ins_premium_det i),'-56','-56','05', '09000397','00');</v>
      </c>
    </row>
    <row r="15" spans="1:8" ht="75" x14ac:dyDescent="0.25">
      <c r="A15" t="s">
        <v>91</v>
      </c>
      <c r="B15" s="32" t="str">
        <f>VLOOKUP(A15,psc!B:D,2,0)</f>
        <v>040000175006</v>
      </c>
      <c r="C15" s="18">
        <v>-1833</v>
      </c>
      <c r="D15" s="25" t="s">
        <v>300</v>
      </c>
      <c r="E15" s="33" t="str">
        <f>VLOOKUP(A15,psc!B:D,3,0)</f>
        <v>09000397</v>
      </c>
      <c r="F15" s="34" t="str">
        <f t="shared" si="1"/>
        <v>insert into ins_premium_det (premium_rcv_code,assorted_code, rec_amount,premium_rcv_detail_code,remaining_amt, payrec, mode_code,paid_to_code,class_cd) values</v>
      </c>
      <c r="G15" s="35" t="str">
        <f t="shared" si="2"/>
        <v>('15Apr250002','040000175006','-1833',(select max(to_number(i.premium_rcv_detail_code))+1 from ins_premium_det i),'-1833','-1833','05', '09000397','00');</v>
      </c>
      <c r="H15" s="36" t="str">
        <f t="shared" si="0"/>
        <v>insert into ins_premium_det (premium_rcv_code,assorted_code, rec_amount,premium_rcv_detail_code,remaining_amt, payrec, mode_code,paid_to_code,class_cd) values('15Apr250002','040000175006','-1833',(select max(to_number(i.premium_rcv_detail_code))+1 from ins_premium_det i),'-1833','-1833','05', '09000397','00');</v>
      </c>
    </row>
    <row r="16" spans="1:8" ht="75" x14ac:dyDescent="0.25">
      <c r="A16" t="s">
        <v>92</v>
      </c>
      <c r="B16" s="32" t="str">
        <f>VLOOKUP(A16,psc!B:D,2,0)</f>
        <v>040000180179</v>
      </c>
      <c r="C16" s="18">
        <v>-11</v>
      </c>
      <c r="D16" s="25" t="s">
        <v>300</v>
      </c>
      <c r="E16" s="33" t="str">
        <f>VLOOKUP(A16,psc!B:D,3,0)</f>
        <v>09000271</v>
      </c>
      <c r="F16" s="34" t="str">
        <f t="shared" si="1"/>
        <v>insert into ins_premium_det (premium_rcv_code,assorted_code, rec_amount,premium_rcv_detail_code,remaining_amt, payrec, mode_code,paid_to_code,class_cd) values</v>
      </c>
      <c r="G16" s="35" t="str">
        <f t="shared" si="2"/>
        <v>('15Apr250002','040000180179','-11',(select max(to_number(i.premium_rcv_detail_code))+1 from ins_premium_det i),'-11','-11','05', '09000271','00');</v>
      </c>
      <c r="H16" s="36" t="str">
        <f t="shared" si="0"/>
        <v>insert into ins_premium_det (premium_rcv_code,assorted_code, rec_amount,premium_rcv_detail_code,remaining_amt, payrec, mode_code,paid_to_code,class_cd) values('15Apr250002','040000180179','-11',(select max(to_number(i.premium_rcv_detail_code))+1 from ins_premium_det i),'-11','-11','05', '09000271','00');</v>
      </c>
    </row>
    <row r="17" spans="1:8" ht="75" x14ac:dyDescent="0.25">
      <c r="A17" t="s">
        <v>93</v>
      </c>
      <c r="B17" s="32" t="str">
        <f>VLOOKUP(A17,psc!B:D,2,0)</f>
        <v>040000181263</v>
      </c>
      <c r="C17" s="18">
        <v>-837</v>
      </c>
      <c r="D17" s="25" t="s">
        <v>300</v>
      </c>
      <c r="E17" s="33" t="str">
        <f>VLOOKUP(A17,psc!B:D,3,0)</f>
        <v>09000266</v>
      </c>
      <c r="F17" s="34" t="str">
        <f t="shared" si="1"/>
        <v>insert into ins_premium_det (premium_rcv_code,assorted_code, rec_amount,premium_rcv_detail_code,remaining_amt, payrec, mode_code,paid_to_code,class_cd) values</v>
      </c>
      <c r="G17" s="35" t="str">
        <f t="shared" si="2"/>
        <v>('15Apr250002','040000181263','-837',(select max(to_number(i.premium_rcv_detail_code))+1 from ins_premium_det i),'-837','-837','05', '09000266','00');</v>
      </c>
      <c r="H17" s="36" t="str">
        <f t="shared" si="0"/>
        <v>insert into ins_premium_det (premium_rcv_code,assorted_code, rec_amount,premium_rcv_detail_code,remaining_amt, payrec, mode_code,paid_to_code,class_cd) values('15Apr250002','040000181263','-837',(select max(to_number(i.premium_rcv_detail_code))+1 from ins_premium_det i),'-837','-837','05', '09000266','00');</v>
      </c>
    </row>
    <row r="18" spans="1:8" ht="75" x14ac:dyDescent="0.25">
      <c r="A18" t="s">
        <v>97</v>
      </c>
      <c r="B18" s="32" t="str">
        <f>VLOOKUP(A18,psc!B:D,2,0)</f>
        <v>040000181262</v>
      </c>
      <c r="C18" s="18">
        <v>-437</v>
      </c>
      <c r="D18" s="25" t="s">
        <v>300</v>
      </c>
      <c r="E18" s="33" t="str">
        <f>VLOOKUP(A18,psc!B:D,3,0)</f>
        <v>09000271</v>
      </c>
      <c r="F18" s="34" t="str">
        <f t="shared" si="1"/>
        <v>insert into ins_premium_det (premium_rcv_code,assorted_code, rec_amount,premium_rcv_detail_code,remaining_amt, payrec, mode_code,paid_to_code,class_cd) values</v>
      </c>
      <c r="G18" s="35" t="str">
        <f t="shared" si="2"/>
        <v>('15Apr250002','040000181262','-437',(select max(to_number(i.premium_rcv_detail_code))+1 from ins_premium_det i),'-437','-437','05', '09000271','00');</v>
      </c>
      <c r="H18" s="36" t="str">
        <f t="shared" si="0"/>
        <v>insert into ins_premium_det (premium_rcv_code,assorted_code, rec_amount,premium_rcv_detail_code,remaining_amt, payrec, mode_code,paid_to_code,class_cd) values('15Apr250002','040000181262','-437',(select max(to_number(i.premium_rcv_detail_code))+1 from ins_premium_det i),'-437','-437','05', '09000271','00');</v>
      </c>
    </row>
    <row r="19" spans="1:8" ht="75" x14ac:dyDescent="0.25">
      <c r="A19" t="s">
        <v>94</v>
      </c>
      <c r="B19" s="32" t="str">
        <f>VLOOKUP(A19,psc!B:D,2,0)</f>
        <v>040000180590</v>
      </c>
      <c r="C19" s="18">
        <v>-409</v>
      </c>
      <c r="D19" s="25" t="s">
        <v>300</v>
      </c>
      <c r="E19" s="33" t="str">
        <f>VLOOKUP(A19,psc!B:D,3,0)</f>
        <v>09000397</v>
      </c>
      <c r="F19" s="34" t="str">
        <f t="shared" si="1"/>
        <v>insert into ins_premium_det (premium_rcv_code,assorted_code, rec_amount,premium_rcv_detail_code,remaining_amt, payrec, mode_code,paid_to_code,class_cd) values</v>
      </c>
      <c r="G19" s="35" t="str">
        <f t="shared" si="2"/>
        <v>('15Apr250002','040000180590','-409',(select max(to_number(i.premium_rcv_detail_code))+1 from ins_premium_det i),'-409','-409','05', '09000397','00');</v>
      </c>
      <c r="H19" s="36" t="str">
        <f t="shared" si="0"/>
        <v>insert into ins_premium_det (premium_rcv_code,assorted_code, rec_amount,premium_rcv_detail_code,remaining_amt, payrec, mode_code,paid_to_code,class_cd) values('15Apr250002','040000180590','-409',(select max(to_number(i.premium_rcv_detail_code))+1 from ins_premium_det i),'-409','-409','05', '09000397','00');</v>
      </c>
    </row>
    <row r="20" spans="1:8" ht="75" x14ac:dyDescent="0.25">
      <c r="A20" t="s">
        <v>95</v>
      </c>
      <c r="B20" s="32" t="str">
        <f>VLOOKUP(A20,psc!B:D,2,0)</f>
        <v>040000180540</v>
      </c>
      <c r="C20" s="18">
        <v>-211</v>
      </c>
      <c r="D20" s="25" t="s">
        <v>300</v>
      </c>
      <c r="E20" s="33" t="str">
        <f>VLOOKUP(A20,psc!B:D,3,0)</f>
        <v>09000397</v>
      </c>
      <c r="F20" s="34" t="str">
        <f t="shared" si="1"/>
        <v>insert into ins_premium_det (premium_rcv_code,assorted_code, rec_amount,premium_rcv_detail_code,remaining_amt, payrec, mode_code,paid_to_code,class_cd) values</v>
      </c>
      <c r="G20" s="35" t="str">
        <f t="shared" si="2"/>
        <v>('15Apr250002','040000180540','-211',(select max(to_number(i.premium_rcv_detail_code))+1 from ins_premium_det i),'-211','-211','05', '09000397','00');</v>
      </c>
      <c r="H20" s="36" t="str">
        <f t="shared" si="0"/>
        <v>insert into ins_premium_det (premium_rcv_code,assorted_code, rec_amount,premium_rcv_detail_code,remaining_amt, payrec, mode_code,paid_to_code,class_cd) values('15Apr250002','040000180540','-211',(select max(to_number(i.premium_rcv_detail_code))+1 from ins_premium_det i),'-211','-211','05', '09000397','00');</v>
      </c>
    </row>
    <row r="21" spans="1:8" ht="75" x14ac:dyDescent="0.25">
      <c r="A21" t="s">
        <v>96</v>
      </c>
      <c r="B21" s="32" t="str">
        <f>VLOOKUP(A21,psc!B:D,2,0)</f>
        <v>040000180530</v>
      </c>
      <c r="C21" s="18">
        <v>-747</v>
      </c>
      <c r="D21" s="25" t="s">
        <v>300</v>
      </c>
      <c r="E21" s="33" t="str">
        <f>VLOOKUP(A21,psc!B:D,3,0)</f>
        <v>09000397</v>
      </c>
      <c r="F21" s="34" t="str">
        <f t="shared" si="1"/>
        <v>insert into ins_premium_det (premium_rcv_code,assorted_code, rec_amount,premium_rcv_detail_code,remaining_amt, payrec, mode_code,paid_to_code,class_cd) values</v>
      </c>
      <c r="G21" s="35" t="str">
        <f t="shared" si="2"/>
        <v>('15Apr250002','040000180530','-747',(select max(to_number(i.premium_rcv_detail_code))+1 from ins_premium_det i),'-747','-747','05', '09000397','00');</v>
      </c>
      <c r="H21" s="36" t="str">
        <f t="shared" si="0"/>
        <v>insert into ins_premium_det (premium_rcv_code,assorted_code, rec_amount,premium_rcv_detail_code,remaining_amt, payrec, mode_code,paid_to_code,class_cd) values('15Apr250002','040000180530','-747',(select max(to_number(i.premium_rcv_detail_code))+1 from ins_premium_det i),'-747','-747','05', '09000397','00');</v>
      </c>
    </row>
    <row r="22" spans="1:8" ht="75" x14ac:dyDescent="0.25">
      <c r="A22" t="s">
        <v>98</v>
      </c>
      <c r="B22" s="32" t="str">
        <f>VLOOKUP(A22,psc!B:D,2,0)</f>
        <v>040000183350</v>
      </c>
      <c r="C22" s="18">
        <v>-297</v>
      </c>
      <c r="D22" s="25" t="s">
        <v>300</v>
      </c>
      <c r="E22" s="33" t="str">
        <f>VLOOKUP(A22,psc!B:D,3,0)</f>
        <v>09000271</v>
      </c>
      <c r="F22" s="34" t="str">
        <f t="shared" si="1"/>
        <v>insert into ins_premium_det (premium_rcv_code,assorted_code, rec_amount,premium_rcv_detail_code,remaining_amt, payrec, mode_code,paid_to_code,class_cd) values</v>
      </c>
      <c r="G22" s="35" t="str">
        <f t="shared" si="2"/>
        <v>('15Apr250002','040000183350','-297',(select max(to_number(i.premium_rcv_detail_code))+1 from ins_premium_det i),'-297','-297','05', '09000271','00');</v>
      </c>
      <c r="H22" s="36" t="str">
        <f t="shared" si="0"/>
        <v>insert into ins_premium_det (premium_rcv_code,assorted_code, rec_amount,premium_rcv_detail_code,remaining_amt, payrec, mode_code,paid_to_code,class_cd) values('15Apr250002','040000183350','-297',(select max(to_number(i.premium_rcv_detail_code))+1 from ins_premium_det i),'-297','-297','05', '09000271','00');</v>
      </c>
    </row>
    <row r="23" spans="1:8" ht="75" x14ac:dyDescent="0.25">
      <c r="A23" t="s">
        <v>99</v>
      </c>
      <c r="B23" s="32" t="str">
        <f>VLOOKUP(A23,psc!B:D,2,0)</f>
        <v>040000183353</v>
      </c>
      <c r="C23" s="18">
        <v>-31</v>
      </c>
      <c r="D23" s="25" t="s">
        <v>300</v>
      </c>
      <c r="E23" s="33" t="str">
        <f>VLOOKUP(A23,psc!B:D,3,0)</f>
        <v>09000271</v>
      </c>
      <c r="F23" s="34" t="str">
        <f t="shared" si="1"/>
        <v>insert into ins_premium_det (premium_rcv_code,assorted_code, rec_amount,premium_rcv_detail_code,remaining_amt, payrec, mode_code,paid_to_code,class_cd) values</v>
      </c>
      <c r="G23" s="35" t="str">
        <f t="shared" si="2"/>
        <v>('15Apr250002','040000183353','-31',(select max(to_number(i.premium_rcv_detail_code))+1 from ins_premium_det i),'-31','-31','05', '09000271','00');</v>
      </c>
      <c r="H23" s="36" t="str">
        <f t="shared" si="0"/>
        <v>insert into ins_premium_det (premium_rcv_code,assorted_code, rec_amount,premium_rcv_detail_code,remaining_amt, payrec, mode_code,paid_to_code,class_cd) values('15Apr250002','040000183353','-31',(select max(to_number(i.premium_rcv_detail_code))+1 from ins_premium_det i),'-31','-31','05', '09000271','00');</v>
      </c>
    </row>
    <row r="24" spans="1:8" ht="75" x14ac:dyDescent="0.25">
      <c r="A24" t="s">
        <v>101</v>
      </c>
      <c r="B24" s="32" t="str">
        <f>VLOOKUP(A24,psc!B:D,2,0)</f>
        <v>040000180852</v>
      </c>
      <c r="C24" s="18">
        <v>-42437</v>
      </c>
      <c r="D24" s="25" t="s">
        <v>300</v>
      </c>
      <c r="E24" s="33" t="str">
        <f>VLOOKUP(A24,psc!B:D,3,0)</f>
        <v>09000397</v>
      </c>
      <c r="F24" s="34" t="str">
        <f t="shared" si="1"/>
        <v>insert into ins_premium_det (premium_rcv_code,assorted_code, rec_amount,premium_rcv_detail_code,remaining_amt, payrec, mode_code,paid_to_code,class_cd) values</v>
      </c>
      <c r="G24" s="35" t="str">
        <f t="shared" si="2"/>
        <v>('15Apr250002','040000180852','-42437',(select max(to_number(i.premium_rcv_detail_code))+1 from ins_premium_det i),'-42437','-42437','05', '09000397','00');</v>
      </c>
      <c r="H24" s="36" t="str">
        <f t="shared" si="0"/>
        <v>insert into ins_premium_det (premium_rcv_code,assorted_code, rec_amount,premium_rcv_detail_code,remaining_amt, payrec, mode_code,paid_to_code,class_cd) values('15Apr250002','040000180852','-42437',(select max(to_number(i.premium_rcv_detail_code))+1 from ins_premium_det i),'-42437','-42437','05', '09000397','00');</v>
      </c>
    </row>
    <row r="25" spans="1:8" ht="75" x14ac:dyDescent="0.25">
      <c r="A25" t="s">
        <v>102</v>
      </c>
      <c r="B25" s="32" t="str">
        <f>VLOOKUP(A25,psc!B:D,2,0)</f>
        <v>040000181225</v>
      </c>
      <c r="C25" s="18">
        <v>-7404</v>
      </c>
      <c r="D25" s="25" t="s">
        <v>300</v>
      </c>
      <c r="E25" s="33" t="str">
        <f>VLOOKUP(A25,psc!B:D,3,0)</f>
        <v>09000397</v>
      </c>
      <c r="F25" s="34" t="str">
        <f t="shared" si="1"/>
        <v>insert into ins_premium_det (premium_rcv_code,assorted_code, rec_amount,premium_rcv_detail_code,remaining_amt, payrec, mode_code,paid_to_code,class_cd) values</v>
      </c>
      <c r="G25" s="35" t="str">
        <f t="shared" si="2"/>
        <v>('15Apr250002','040000181225','-7404',(select max(to_number(i.premium_rcv_detail_code))+1 from ins_premium_det i),'-7404','-7404','05', '09000397','00');</v>
      </c>
      <c r="H25" s="36" t="str">
        <f t="shared" si="0"/>
        <v>insert into ins_premium_det (premium_rcv_code,assorted_code, rec_amount,premium_rcv_detail_code,remaining_amt, payrec, mode_code,paid_to_code,class_cd) values('15Apr250002','040000181225','-7404',(select max(to_number(i.premium_rcv_detail_code))+1 from ins_premium_det i),'-7404','-7404','05', '09000397','00');</v>
      </c>
    </row>
    <row r="26" spans="1:8" ht="75" x14ac:dyDescent="0.25">
      <c r="A26" t="s">
        <v>103</v>
      </c>
      <c r="B26" s="32" t="str">
        <f>VLOOKUP(A26,psc!B:D,2,0)</f>
        <v>040000181243</v>
      </c>
      <c r="C26" s="18">
        <v>-630</v>
      </c>
      <c r="D26" s="25" t="s">
        <v>300</v>
      </c>
      <c r="E26" s="33" t="str">
        <f>VLOOKUP(A26,psc!B:D,3,0)</f>
        <v>09000397</v>
      </c>
      <c r="F26" s="34" t="str">
        <f t="shared" si="1"/>
        <v>insert into ins_premium_det (premium_rcv_code,assorted_code, rec_amount,premium_rcv_detail_code,remaining_amt, payrec, mode_code,paid_to_code,class_cd) values</v>
      </c>
      <c r="G26" s="35" t="str">
        <f t="shared" si="2"/>
        <v>('15Apr250002','040000181243','-630',(select max(to_number(i.premium_rcv_detail_code))+1 from ins_premium_det i),'-630','-630','05', '09000397','00');</v>
      </c>
      <c r="H26" s="36" t="str">
        <f t="shared" si="0"/>
        <v>insert into ins_premium_det (premium_rcv_code,assorted_code, rec_amount,premium_rcv_detail_code,remaining_amt, payrec, mode_code,paid_to_code,class_cd) values('15Apr250002','040000181243','-630',(select max(to_number(i.premium_rcv_detail_code))+1 from ins_premium_det i),'-630','-630','05', '09000397','00');</v>
      </c>
    </row>
    <row r="27" spans="1:8" ht="75" x14ac:dyDescent="0.25">
      <c r="A27" t="s">
        <v>104</v>
      </c>
      <c r="B27" s="32" t="str">
        <f>VLOOKUP(A27,psc!B:D,2,0)</f>
        <v>040000181344</v>
      </c>
      <c r="C27" s="18">
        <v>-111</v>
      </c>
      <c r="D27" s="25" t="s">
        <v>300</v>
      </c>
      <c r="E27" s="33" t="str">
        <f>VLOOKUP(A27,psc!B:D,3,0)</f>
        <v>09000397</v>
      </c>
      <c r="F27" s="34" t="str">
        <f t="shared" si="1"/>
        <v>insert into ins_premium_det (premium_rcv_code,assorted_code, rec_amount,premium_rcv_detail_code,remaining_amt, payrec, mode_code,paid_to_code,class_cd) values</v>
      </c>
      <c r="G27" s="35" t="str">
        <f t="shared" si="2"/>
        <v>('15Apr250002','040000181344','-111',(select max(to_number(i.premium_rcv_detail_code))+1 from ins_premium_det i),'-111','-111','05', '09000397','00');</v>
      </c>
      <c r="H27" s="36" t="str">
        <f t="shared" si="0"/>
        <v>insert into ins_premium_det (premium_rcv_code,assorted_code, rec_amount,premium_rcv_detail_code,remaining_amt, payrec, mode_code,paid_to_code,class_cd) values('15Apr250002','040000181344','-111',(select max(to_number(i.premium_rcv_detail_code))+1 from ins_premium_det i),'-111','-111','05', '09000397','00');</v>
      </c>
    </row>
    <row r="28" spans="1:8" ht="75" x14ac:dyDescent="0.25">
      <c r="A28" t="s">
        <v>105</v>
      </c>
      <c r="B28" s="32" t="str">
        <f>VLOOKUP(A28,psc!B:D,2,0)</f>
        <v>040000184446</v>
      </c>
      <c r="C28" s="18">
        <v>-4759</v>
      </c>
      <c r="D28" s="25" t="s">
        <v>300</v>
      </c>
      <c r="E28" s="33" t="str">
        <f>VLOOKUP(A28,psc!B:D,3,0)</f>
        <v>09000397</v>
      </c>
      <c r="F28" s="34" t="str">
        <f t="shared" si="1"/>
        <v>insert into ins_premium_det (premium_rcv_code,assorted_code, rec_amount,premium_rcv_detail_code,remaining_amt, payrec, mode_code,paid_to_code,class_cd) values</v>
      </c>
      <c r="G28" s="35" t="str">
        <f t="shared" si="2"/>
        <v>('15Apr250002','040000184446','-4759',(select max(to_number(i.premium_rcv_detail_code))+1 from ins_premium_det i),'-4759','-4759','05', '09000397','00');</v>
      </c>
      <c r="H28" s="36" t="str">
        <f t="shared" si="0"/>
        <v>insert into ins_premium_det (premium_rcv_code,assorted_code, rec_amount,premium_rcv_detail_code,remaining_amt, payrec, mode_code,paid_to_code,class_cd) values('15Apr250002','040000184446','-4759',(select max(to_number(i.premium_rcv_detail_code))+1 from ins_premium_det i),'-4759','-4759','05', '09000397','00');</v>
      </c>
    </row>
    <row r="29" spans="1:8" ht="75" x14ac:dyDescent="0.25">
      <c r="A29" t="s">
        <v>106</v>
      </c>
      <c r="B29" s="32" t="str">
        <f>VLOOKUP(A29,psc!B:D,2,0)</f>
        <v>040000182752</v>
      </c>
      <c r="C29" s="18">
        <v>-43</v>
      </c>
      <c r="D29" s="25" t="s">
        <v>300</v>
      </c>
      <c r="E29" s="33" t="str">
        <f>VLOOKUP(A29,psc!B:D,3,0)</f>
        <v>09000397</v>
      </c>
      <c r="F29" s="34" t="str">
        <f t="shared" si="1"/>
        <v>insert into ins_premium_det (premium_rcv_code,assorted_code, rec_amount,premium_rcv_detail_code,remaining_amt, payrec, mode_code,paid_to_code,class_cd) values</v>
      </c>
      <c r="G29" s="35" t="str">
        <f t="shared" si="2"/>
        <v>('15Apr250002','040000182752','-43',(select max(to_number(i.premium_rcv_detail_code))+1 from ins_premium_det i),'-43','-43','05', '09000397','00');</v>
      </c>
      <c r="H29" s="36" t="str">
        <f t="shared" si="0"/>
        <v>insert into ins_premium_det (premium_rcv_code,assorted_code, rec_amount,premium_rcv_detail_code,remaining_amt, payrec, mode_code,paid_to_code,class_cd) values('15Apr250002','040000182752','-43',(select max(to_number(i.premium_rcv_detail_code))+1 from ins_premium_det i),'-43','-43','05', '09000397','00');</v>
      </c>
    </row>
    <row r="30" spans="1:8" ht="75" x14ac:dyDescent="0.25">
      <c r="A30" t="s">
        <v>118</v>
      </c>
      <c r="B30" s="32" t="str">
        <f>VLOOKUP(A30,psc!B:D,2,0)</f>
        <v>050000777897</v>
      </c>
      <c r="C30" s="18">
        <v>-18276</v>
      </c>
      <c r="D30" s="25" t="s">
        <v>300</v>
      </c>
      <c r="E30" s="33" t="str">
        <f>VLOOKUP(A30,psc!B:D,3,0)</f>
        <v>09000397</v>
      </c>
      <c r="F30" s="34" t="str">
        <f t="shared" si="1"/>
        <v>insert into ins_premium_det (premium_rcv_code,assorted_code, rec_amount,premium_rcv_detail_code,remaining_amt, payrec, mode_code,paid_to_code,class_cd) values</v>
      </c>
      <c r="G30" s="35" t="str">
        <f t="shared" si="2"/>
        <v>('15Apr250002','050000777897','-18276',(select max(to_number(i.premium_rcv_detail_code))+1 from ins_premium_det i),'-18276','-18276','05', '09000397','00');</v>
      </c>
      <c r="H30" s="36" t="str">
        <f t="shared" si="0"/>
        <v>insert into ins_premium_det (premium_rcv_code,assorted_code, rec_amount,premium_rcv_detail_code,remaining_amt, payrec, mode_code,paid_to_code,class_cd) values('15Apr250002','050000777897','-18276',(select max(to_number(i.premium_rcv_detail_code))+1 from ins_premium_det i),'-18276','-18276','05', '09000397','00');</v>
      </c>
    </row>
    <row r="31" spans="1:8" ht="75" x14ac:dyDescent="0.25">
      <c r="A31" t="s">
        <v>117</v>
      </c>
      <c r="B31" s="32" t="str">
        <f>VLOOKUP(A31,psc!B:D,2,0)</f>
        <v>050000786710</v>
      </c>
      <c r="C31" s="18">
        <v>-1160</v>
      </c>
      <c r="D31" s="25" t="s">
        <v>300</v>
      </c>
      <c r="E31" s="33" t="str">
        <f>VLOOKUP(A31,psc!B:D,3,0)</f>
        <v>09000271</v>
      </c>
      <c r="F31" s="34" t="str">
        <f t="shared" si="1"/>
        <v>insert into ins_premium_det (premium_rcv_code,assorted_code, rec_amount,premium_rcv_detail_code,remaining_amt, payrec, mode_code,paid_to_code,class_cd) values</v>
      </c>
      <c r="G31" s="35" t="str">
        <f t="shared" si="2"/>
        <v>('15Apr250002','050000786710','-1160',(select max(to_number(i.premium_rcv_detail_code))+1 from ins_premium_det i),'-1160','-1160','05', '09000271','00');</v>
      </c>
      <c r="H31" s="36" t="str">
        <f t="shared" si="0"/>
        <v>insert into ins_premium_det (premium_rcv_code,assorted_code, rec_amount,premium_rcv_detail_code,remaining_amt, payrec, mode_code,paid_to_code,class_cd) values('15Apr250002','050000786710','-1160',(select max(to_number(i.premium_rcv_detail_code))+1 from ins_premium_det i),'-1160','-1160','05', '09000271','00');</v>
      </c>
    </row>
    <row r="32" spans="1:8" ht="75" x14ac:dyDescent="0.25">
      <c r="A32" t="s">
        <v>107</v>
      </c>
      <c r="B32" s="32" t="str">
        <f>VLOOKUP(A32,psc!B:D,2,0)</f>
        <v>040000181265</v>
      </c>
      <c r="C32" s="18">
        <v>-21</v>
      </c>
      <c r="D32" s="25" t="s">
        <v>300</v>
      </c>
      <c r="E32" s="33" t="str">
        <f>VLOOKUP(A32,psc!B:D,3,0)</f>
        <v>09000397</v>
      </c>
      <c r="F32" s="34" t="str">
        <f t="shared" si="1"/>
        <v>insert into ins_premium_det (premium_rcv_code,assorted_code, rec_amount,premium_rcv_detail_code,remaining_amt, payrec, mode_code,paid_to_code,class_cd) values</v>
      </c>
      <c r="G32" s="35" t="str">
        <f t="shared" si="2"/>
        <v>('15Apr250002','040000181265','-21',(select max(to_number(i.premium_rcv_detail_code))+1 from ins_premium_det i),'-21','-21','05', '09000397','00');</v>
      </c>
      <c r="H32" s="36" t="str">
        <f t="shared" si="0"/>
        <v>insert into ins_premium_det (premium_rcv_code,assorted_code, rec_amount,premium_rcv_detail_code,remaining_amt, payrec, mode_code,paid_to_code,class_cd) values('15Apr250002','040000181265','-21',(select max(to_number(i.premium_rcv_detail_code))+1 from ins_premium_det i),'-21','-21','05', '09000397','00');</v>
      </c>
    </row>
    <row r="33" spans="1:8" ht="75" x14ac:dyDescent="0.25">
      <c r="A33" t="s">
        <v>108</v>
      </c>
      <c r="B33" s="32" t="str">
        <f>VLOOKUP(A33,psc!B:D,2,0)</f>
        <v>040000181306</v>
      </c>
      <c r="C33" s="18">
        <v>-256</v>
      </c>
      <c r="D33" s="25" t="s">
        <v>300</v>
      </c>
      <c r="E33" s="33" t="str">
        <f>VLOOKUP(A33,psc!B:D,3,0)</f>
        <v>09000397</v>
      </c>
      <c r="F33" s="34" t="str">
        <f t="shared" si="1"/>
        <v>insert into ins_premium_det (premium_rcv_code,assorted_code, rec_amount,premium_rcv_detail_code,remaining_amt, payrec, mode_code,paid_to_code,class_cd) values</v>
      </c>
      <c r="G33" s="35" t="str">
        <f t="shared" si="2"/>
        <v>('15Apr250002','040000181306','-256',(select max(to_number(i.premium_rcv_detail_code))+1 from ins_premium_det i),'-256','-256','05', '09000397','00');</v>
      </c>
      <c r="H33" s="36" t="str">
        <f t="shared" si="0"/>
        <v>insert into ins_premium_det (premium_rcv_code,assorted_code, rec_amount,premium_rcv_detail_code,remaining_amt, payrec, mode_code,paid_to_code,class_cd) values('15Apr250002','040000181306','-256',(select max(to_number(i.premium_rcv_detail_code))+1 from ins_premium_det i),'-256','-256','05', '09000397','00');</v>
      </c>
    </row>
    <row r="34" spans="1:8" ht="75" x14ac:dyDescent="0.25">
      <c r="A34" t="s">
        <v>109</v>
      </c>
      <c r="B34" s="32" t="str">
        <f>VLOOKUP(A34,psc!B:D,2,0)</f>
        <v>040000181264</v>
      </c>
      <c r="C34" s="18">
        <v>-336</v>
      </c>
      <c r="D34" s="25" t="s">
        <v>300</v>
      </c>
      <c r="E34" s="33" t="str">
        <f>VLOOKUP(A34,psc!B:D,3,0)</f>
        <v>09000397</v>
      </c>
      <c r="F34" s="34" t="str">
        <f t="shared" si="1"/>
        <v>insert into ins_premium_det (premium_rcv_code,assorted_code, rec_amount,premium_rcv_detail_code,remaining_amt, payrec, mode_code,paid_to_code,class_cd) values</v>
      </c>
      <c r="G34" s="35" t="str">
        <f t="shared" si="2"/>
        <v>('15Apr250002','040000181264','-336',(select max(to_number(i.premium_rcv_detail_code))+1 from ins_premium_det i),'-336','-336','05', '09000397','00');</v>
      </c>
      <c r="H34" s="36" t="str">
        <f t="shared" si="0"/>
        <v>insert into ins_premium_det (premium_rcv_code,assorted_code, rec_amount,premium_rcv_detail_code,remaining_amt, payrec, mode_code,paid_to_code,class_cd) values('15Apr250002','040000181264','-336',(select max(to_number(i.premium_rcv_detail_code))+1 from ins_premium_det i),'-336','-336','05', '09000397','00');</v>
      </c>
    </row>
    <row r="35" spans="1:8" ht="75" x14ac:dyDescent="0.25">
      <c r="A35" t="s">
        <v>100</v>
      </c>
      <c r="B35" s="32" t="str">
        <f>VLOOKUP(A35,psc!B:D,2,0)</f>
        <v>040000160795</v>
      </c>
      <c r="C35" s="18">
        <v>-351</v>
      </c>
      <c r="D35" s="25" t="s">
        <v>300</v>
      </c>
      <c r="E35" s="33" t="str">
        <f>VLOOKUP(A35,psc!B:D,3,0)</f>
        <v>09000271</v>
      </c>
      <c r="F35" s="34" t="str">
        <f t="shared" si="1"/>
        <v>insert into ins_premium_det (premium_rcv_code,assorted_code, rec_amount,premium_rcv_detail_code,remaining_amt, payrec, mode_code,paid_to_code,class_cd) values</v>
      </c>
      <c r="G35" s="35" t="str">
        <f t="shared" si="2"/>
        <v>('15Apr250002','040000160795','-351',(select max(to_number(i.premium_rcv_detail_code))+1 from ins_premium_det i),'-351','-351','05', '09000271','00');</v>
      </c>
      <c r="H35" s="36" t="str">
        <f t="shared" si="0"/>
        <v>insert into ins_premium_det (premium_rcv_code,assorted_code, rec_amount,premium_rcv_detail_code,remaining_amt, payrec, mode_code,paid_to_code,class_cd) values('15Apr250002','040000160795','-351',(select max(to_number(i.premium_rcv_detail_code))+1 from ins_premium_det i),'-351','-351','05', '09000271','00');</v>
      </c>
    </row>
    <row r="36" spans="1:8" ht="75" x14ac:dyDescent="0.25">
      <c r="A36" t="s">
        <v>111</v>
      </c>
      <c r="B36" s="32" t="str">
        <f>VLOOKUP(A36,psc!B:D,2,0)</f>
        <v>050000799701</v>
      </c>
      <c r="C36" s="18">
        <v>-1466</v>
      </c>
      <c r="D36" s="25" t="s">
        <v>300</v>
      </c>
      <c r="E36" s="33" t="str">
        <f>VLOOKUP(A36,psc!B:D,3,0)</f>
        <v>09000397</v>
      </c>
      <c r="F36" s="34" t="str">
        <f t="shared" si="1"/>
        <v>insert into ins_premium_det (premium_rcv_code,assorted_code, rec_amount,premium_rcv_detail_code,remaining_amt, payrec, mode_code,paid_to_code,class_cd) values</v>
      </c>
      <c r="G36" s="35" t="str">
        <f t="shared" si="2"/>
        <v>('15Apr250002','050000799701','-1466',(select max(to_number(i.premium_rcv_detail_code))+1 from ins_premium_det i),'-1466','-1466','05', '09000397','00');</v>
      </c>
      <c r="H36" s="36" t="str">
        <f t="shared" si="0"/>
        <v>insert into ins_premium_det (premium_rcv_code,assorted_code, rec_amount,premium_rcv_detail_code,remaining_amt, payrec, mode_code,paid_to_code,class_cd) values('15Apr250002','050000799701','-1466',(select max(to_number(i.premium_rcv_detail_code))+1 from ins_premium_det i),'-1466','-1466','05', '09000397','00');</v>
      </c>
    </row>
    <row r="37" spans="1:8" ht="75" x14ac:dyDescent="0.25">
      <c r="A37" t="s">
        <v>112</v>
      </c>
      <c r="B37" s="32" t="str">
        <f>VLOOKUP(A37,psc!B:D,2,0)</f>
        <v>050000833593</v>
      </c>
      <c r="C37" s="18">
        <v>-585</v>
      </c>
      <c r="D37" s="25" t="s">
        <v>300</v>
      </c>
      <c r="E37" s="33" t="str">
        <f>VLOOKUP(A37,psc!B:D,3,0)</f>
        <v>09000397</v>
      </c>
      <c r="F37" s="34" t="str">
        <f t="shared" si="1"/>
        <v>insert into ins_premium_det (premium_rcv_code,assorted_code, rec_amount,premium_rcv_detail_code,remaining_amt, payrec, mode_code,paid_to_code,class_cd) values</v>
      </c>
      <c r="G37" s="35" t="str">
        <f t="shared" si="2"/>
        <v>('15Apr250002','050000833593','-585',(select max(to_number(i.premium_rcv_detail_code))+1 from ins_premium_det i),'-585','-585','05', '09000397','00');</v>
      </c>
      <c r="H37" s="36" t="str">
        <f t="shared" si="0"/>
        <v>insert into ins_premium_det (premium_rcv_code,assorted_code, rec_amount,premium_rcv_detail_code,remaining_amt, payrec, mode_code,paid_to_code,class_cd) values('15Apr250002','050000833593','-585',(select max(to_number(i.premium_rcv_detail_code))+1 from ins_premium_det i),'-585','-585','05', '09000397','00');</v>
      </c>
    </row>
    <row r="38" spans="1:8" ht="75" x14ac:dyDescent="0.25">
      <c r="A38" t="s">
        <v>114</v>
      </c>
      <c r="B38" s="32" t="str">
        <f>VLOOKUP(A38,psc!B:D,2,0)</f>
        <v>050000799774</v>
      </c>
      <c r="C38" s="18">
        <v>-906</v>
      </c>
      <c r="D38" s="25" t="s">
        <v>300</v>
      </c>
      <c r="E38" s="33" t="str">
        <f>VLOOKUP(A38,psc!B:D,3,0)</f>
        <v>09000397</v>
      </c>
      <c r="F38" s="34" t="str">
        <f t="shared" si="1"/>
        <v>insert into ins_premium_det (premium_rcv_code,assorted_code, rec_amount,premium_rcv_detail_code,remaining_amt, payrec, mode_code,paid_to_code,class_cd) values</v>
      </c>
      <c r="G38" s="35" t="str">
        <f t="shared" si="2"/>
        <v>('15Apr250002','050000799774','-906',(select max(to_number(i.premium_rcv_detail_code))+1 from ins_premium_det i),'-906','-906','05', '09000397','00');</v>
      </c>
      <c r="H38" s="36" t="str">
        <f t="shared" si="0"/>
        <v>insert into ins_premium_det (premium_rcv_code,assorted_code, rec_amount,premium_rcv_detail_code,remaining_amt, payrec, mode_code,paid_to_code,class_cd) values('15Apr250002','050000799774','-906',(select max(to_number(i.premium_rcv_detail_code))+1 from ins_premium_det i),'-906','-906','05', '09000397','00');</v>
      </c>
    </row>
    <row r="39" spans="1:8" ht="75" x14ac:dyDescent="0.25">
      <c r="A39" t="s">
        <v>116</v>
      </c>
      <c r="B39" s="32" t="str">
        <f>VLOOKUP(A39,psc!B:D,2,0)</f>
        <v>050000833881</v>
      </c>
      <c r="C39" s="18">
        <v>-363</v>
      </c>
      <c r="D39" s="25" t="s">
        <v>300</v>
      </c>
      <c r="E39" s="33" t="str">
        <f>VLOOKUP(A39,psc!B:D,3,0)</f>
        <v>09000397</v>
      </c>
      <c r="F39" s="34" t="str">
        <f t="shared" si="1"/>
        <v>insert into ins_premium_det (premium_rcv_code,assorted_code, rec_amount,premium_rcv_detail_code,remaining_amt, payrec, mode_code,paid_to_code,class_cd) values</v>
      </c>
      <c r="G39" s="35" t="str">
        <f t="shared" si="2"/>
        <v>('15Apr250002','050000833881','-363',(select max(to_number(i.premium_rcv_detail_code))+1 from ins_premium_det i),'-363','-363','05', '09000397','00');</v>
      </c>
      <c r="H39" s="36" t="str">
        <f t="shared" si="0"/>
        <v>insert into ins_premium_det (premium_rcv_code,assorted_code, rec_amount,premium_rcv_detail_code,remaining_amt, payrec, mode_code,paid_to_code,class_cd) values('15Apr250002','050000833881','-363',(select max(to_number(i.premium_rcv_detail_code))+1 from ins_premium_det i),'-363','-363','05', '09000397','00');</v>
      </c>
    </row>
    <row r="40" spans="1:8" ht="75" x14ac:dyDescent="0.25">
      <c r="A40" t="s">
        <v>110</v>
      </c>
      <c r="B40" s="32" t="str">
        <f>VLOOKUP(A40,psc!B:D,2,0)</f>
        <v>040000188606</v>
      </c>
      <c r="C40" s="18">
        <v>-63</v>
      </c>
      <c r="D40" s="25" t="s">
        <v>300</v>
      </c>
      <c r="E40" s="33" t="str">
        <f>VLOOKUP(A40,psc!B:D,3,0)</f>
        <v>09000397</v>
      </c>
      <c r="F40" s="34" t="str">
        <f t="shared" si="1"/>
        <v>insert into ins_premium_det (premium_rcv_code,assorted_code, rec_amount,premium_rcv_detail_code,remaining_amt, payrec, mode_code,paid_to_code,class_cd) values</v>
      </c>
      <c r="G40" s="35" t="str">
        <f t="shared" si="2"/>
        <v>('15Apr250002','040000188606','-63',(select max(to_number(i.premium_rcv_detail_code))+1 from ins_premium_det i),'-63','-63','05', '09000397','00');</v>
      </c>
      <c r="H40" s="36" t="str">
        <f t="shared" si="0"/>
        <v>insert into ins_premium_det (premium_rcv_code,assorted_code, rec_amount,premium_rcv_detail_code,remaining_amt, payrec, mode_code,paid_to_code,class_cd) values('15Apr250002','040000188606','-63',(select max(to_number(i.premium_rcv_detail_code))+1 from ins_premium_det i),'-63','-63','05', '09000397','00');</v>
      </c>
    </row>
    <row r="42" spans="1:8" x14ac:dyDescent="0.25">
      <c r="C42" s="30">
        <f>SUM(C2:C40)</f>
        <v>-93800</v>
      </c>
    </row>
  </sheetData>
  <conditionalFormatting sqref="A1">
    <cfRule type="duplicateValues" dxfId="3" priority="4"/>
  </conditionalFormatting>
  <conditionalFormatting sqref="A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8F4A-D1D1-497D-BB36-14D0D9B1B2CD}">
  <dimension ref="A1:E39"/>
  <sheetViews>
    <sheetView workbookViewId="0">
      <selection activeCell="K10" sqref="K10"/>
    </sheetView>
  </sheetViews>
  <sheetFormatPr defaultRowHeight="15" x14ac:dyDescent="0.25"/>
  <cols>
    <col min="1" max="1" width="34.5703125" bestFit="1" customWidth="1"/>
  </cols>
  <sheetData>
    <row r="1" spans="1:5" x14ac:dyDescent="0.25">
      <c r="A1" t="s">
        <v>113</v>
      </c>
      <c r="B1" t="s">
        <v>123</v>
      </c>
      <c r="D1">
        <v>10711</v>
      </c>
      <c r="E1" t="str">
        <f>"ia.assorted_string like '%"&amp;D1&amp;B1&amp;"%' or"</f>
        <v>ia.assorted_string like '%10711-10-2024%' or</v>
      </c>
    </row>
    <row r="2" spans="1:5" x14ac:dyDescent="0.25">
      <c r="A2" t="s">
        <v>79</v>
      </c>
      <c r="B2" t="s">
        <v>123</v>
      </c>
      <c r="D2">
        <v>4642</v>
      </c>
      <c r="E2" t="str">
        <f t="shared" ref="E2:E39" si="0">"ia.assorted_string like '%"&amp;D2&amp;B2&amp;"%' or"</f>
        <v>ia.assorted_string like '%4642-10-2024%' or</v>
      </c>
    </row>
    <row r="3" spans="1:5" x14ac:dyDescent="0.25">
      <c r="A3" t="s">
        <v>80</v>
      </c>
      <c r="B3" t="s">
        <v>123</v>
      </c>
      <c r="D3">
        <v>4643</v>
      </c>
      <c r="E3" t="str">
        <f t="shared" si="0"/>
        <v>ia.assorted_string like '%4643-10-2024%' or</v>
      </c>
    </row>
    <row r="4" spans="1:5" x14ac:dyDescent="0.25">
      <c r="A4" t="s">
        <v>81</v>
      </c>
      <c r="B4" t="s">
        <v>123</v>
      </c>
      <c r="D4">
        <v>4644</v>
      </c>
      <c r="E4" t="str">
        <f t="shared" si="0"/>
        <v>ia.assorted_string like '%4644-10-2024%' or</v>
      </c>
    </row>
    <row r="5" spans="1:5" x14ac:dyDescent="0.25">
      <c r="A5" t="s">
        <v>82</v>
      </c>
      <c r="B5" t="s">
        <v>123</v>
      </c>
      <c r="D5">
        <v>4645</v>
      </c>
      <c r="E5" t="str">
        <f t="shared" si="0"/>
        <v>ia.assorted_string like '%4645-10-2024%' or</v>
      </c>
    </row>
    <row r="6" spans="1:5" x14ac:dyDescent="0.25">
      <c r="A6" t="s">
        <v>84</v>
      </c>
      <c r="B6" t="s">
        <v>124</v>
      </c>
      <c r="D6">
        <v>1196</v>
      </c>
      <c r="E6" t="str">
        <f t="shared" si="0"/>
        <v>ia.assorted_string like '%1196-05-2024%' or</v>
      </c>
    </row>
    <row r="7" spans="1:5" x14ac:dyDescent="0.25">
      <c r="A7" t="s">
        <v>83</v>
      </c>
      <c r="B7" t="s">
        <v>123</v>
      </c>
      <c r="D7">
        <v>4646</v>
      </c>
      <c r="E7" t="str">
        <f t="shared" si="0"/>
        <v>ia.assorted_string like '%4646-10-2024%' or</v>
      </c>
    </row>
    <row r="8" spans="1:5" x14ac:dyDescent="0.25">
      <c r="A8" t="s">
        <v>85</v>
      </c>
      <c r="B8" t="s">
        <v>124</v>
      </c>
      <c r="D8">
        <v>1197</v>
      </c>
      <c r="E8" t="str">
        <f t="shared" si="0"/>
        <v>ia.assorted_string like '%1197-05-2024%' or</v>
      </c>
    </row>
    <row r="9" spans="1:5" x14ac:dyDescent="0.25">
      <c r="A9" t="s">
        <v>86</v>
      </c>
      <c r="B9" t="s">
        <v>124</v>
      </c>
      <c r="D9">
        <v>1198</v>
      </c>
      <c r="E9" t="str">
        <f t="shared" si="0"/>
        <v>ia.assorted_string like '%1198-05-2024%' or</v>
      </c>
    </row>
    <row r="10" spans="1:5" x14ac:dyDescent="0.25">
      <c r="A10" t="s">
        <v>87</v>
      </c>
      <c r="B10" t="s">
        <v>124</v>
      </c>
      <c r="D10">
        <v>22274</v>
      </c>
      <c r="E10" t="str">
        <f t="shared" si="0"/>
        <v>ia.assorted_string like '%22274-05-2024%' or</v>
      </c>
    </row>
    <row r="11" spans="1:5" x14ac:dyDescent="0.25">
      <c r="A11" t="s">
        <v>88</v>
      </c>
      <c r="B11" t="s">
        <v>124</v>
      </c>
      <c r="D11">
        <v>290</v>
      </c>
      <c r="E11" t="str">
        <f t="shared" si="0"/>
        <v>ia.assorted_string like '%290-05-2024%' or</v>
      </c>
    </row>
    <row r="12" spans="1:5" x14ac:dyDescent="0.25">
      <c r="A12" t="s">
        <v>89</v>
      </c>
      <c r="B12" t="s">
        <v>124</v>
      </c>
      <c r="D12">
        <v>22347</v>
      </c>
      <c r="E12" t="str">
        <f t="shared" si="0"/>
        <v>ia.assorted_string like '%22347-05-2024%' or</v>
      </c>
    </row>
    <row r="13" spans="1:5" x14ac:dyDescent="0.25">
      <c r="A13" t="s">
        <v>90</v>
      </c>
      <c r="B13" t="s">
        <v>124</v>
      </c>
      <c r="D13">
        <v>22495</v>
      </c>
      <c r="E13" t="str">
        <f t="shared" si="0"/>
        <v>ia.assorted_string like '%22495-05-2024%' or</v>
      </c>
    </row>
    <row r="14" spans="1:5" x14ac:dyDescent="0.25">
      <c r="A14" t="s">
        <v>91</v>
      </c>
      <c r="B14" t="s">
        <v>125</v>
      </c>
      <c r="D14">
        <v>291</v>
      </c>
      <c r="E14" t="str">
        <f t="shared" si="0"/>
        <v>ia.assorted_string like '%291-06-2024%' or</v>
      </c>
    </row>
    <row r="15" spans="1:5" x14ac:dyDescent="0.25">
      <c r="A15" t="s">
        <v>92</v>
      </c>
      <c r="B15" t="s">
        <v>126</v>
      </c>
      <c r="D15">
        <v>1237</v>
      </c>
      <c r="E15" t="str">
        <f t="shared" si="0"/>
        <v>ia.assorted_string like '%1237-07-2024%' or</v>
      </c>
    </row>
    <row r="16" spans="1:5" x14ac:dyDescent="0.25">
      <c r="A16" t="s">
        <v>93</v>
      </c>
      <c r="B16" t="s">
        <v>127</v>
      </c>
      <c r="D16">
        <v>1243</v>
      </c>
      <c r="E16" t="str">
        <f t="shared" si="0"/>
        <v>ia.assorted_string like '%1243-08-2024%' or</v>
      </c>
    </row>
    <row r="17" spans="1:5" x14ac:dyDescent="0.25">
      <c r="A17" t="s">
        <v>97</v>
      </c>
      <c r="B17" t="s">
        <v>127</v>
      </c>
      <c r="D17">
        <v>1242</v>
      </c>
      <c r="E17" t="str">
        <f t="shared" si="0"/>
        <v>ia.assorted_string like '%1242-08-2024%' or</v>
      </c>
    </row>
    <row r="18" spans="1:5" x14ac:dyDescent="0.25">
      <c r="A18" t="s">
        <v>94</v>
      </c>
      <c r="B18" t="s">
        <v>127</v>
      </c>
      <c r="D18">
        <v>22806</v>
      </c>
      <c r="E18" t="str">
        <f t="shared" si="0"/>
        <v>ia.assorted_string like '%22806-08-2024%' or</v>
      </c>
    </row>
    <row r="19" spans="1:5" x14ac:dyDescent="0.25">
      <c r="A19" t="s">
        <v>95</v>
      </c>
      <c r="B19" t="s">
        <v>127</v>
      </c>
      <c r="D19">
        <v>22799</v>
      </c>
      <c r="E19" t="str">
        <f t="shared" si="0"/>
        <v>ia.assorted_string like '%22799-08-2024%' or</v>
      </c>
    </row>
    <row r="20" spans="1:5" x14ac:dyDescent="0.25">
      <c r="A20" t="s">
        <v>96</v>
      </c>
      <c r="B20" t="s">
        <v>127</v>
      </c>
      <c r="D20">
        <v>22796</v>
      </c>
      <c r="E20" t="str">
        <f t="shared" si="0"/>
        <v>ia.assorted_string like '%22796-08-2024%' or</v>
      </c>
    </row>
    <row r="21" spans="1:5" x14ac:dyDescent="0.25">
      <c r="A21" t="s">
        <v>98</v>
      </c>
      <c r="B21" t="s">
        <v>128</v>
      </c>
      <c r="D21">
        <v>1248</v>
      </c>
      <c r="E21" t="str">
        <f t="shared" si="0"/>
        <v>ia.assorted_string like '%1248-09-2024%' or</v>
      </c>
    </row>
    <row r="22" spans="1:5" x14ac:dyDescent="0.25">
      <c r="A22" t="s">
        <v>99</v>
      </c>
      <c r="B22" t="s">
        <v>128</v>
      </c>
      <c r="D22">
        <v>1249</v>
      </c>
      <c r="E22" t="str">
        <f t="shared" si="0"/>
        <v>ia.assorted_string like '%1249-09-2024%' or</v>
      </c>
    </row>
    <row r="23" spans="1:5" x14ac:dyDescent="0.25">
      <c r="A23" t="s">
        <v>101</v>
      </c>
      <c r="B23" t="s">
        <v>127</v>
      </c>
      <c r="D23">
        <v>22814</v>
      </c>
      <c r="E23" t="str">
        <f t="shared" si="0"/>
        <v>ia.assorted_string like '%22814-08-2024%' or</v>
      </c>
    </row>
    <row r="24" spans="1:5" x14ac:dyDescent="0.25">
      <c r="A24" t="s">
        <v>102</v>
      </c>
      <c r="B24" t="s">
        <v>127</v>
      </c>
      <c r="D24">
        <v>22839</v>
      </c>
      <c r="E24" t="str">
        <f t="shared" si="0"/>
        <v>ia.assorted_string like '%22839-08-2024%' or</v>
      </c>
    </row>
    <row r="25" spans="1:5" x14ac:dyDescent="0.25">
      <c r="A25" t="s">
        <v>103</v>
      </c>
      <c r="B25" t="s">
        <v>127</v>
      </c>
      <c r="D25">
        <v>22840</v>
      </c>
      <c r="E25" t="str">
        <f t="shared" si="0"/>
        <v>ia.assorted_string like '%22840-08-2024%' or</v>
      </c>
    </row>
    <row r="26" spans="1:5" x14ac:dyDescent="0.25">
      <c r="A26" t="s">
        <v>104</v>
      </c>
      <c r="B26" t="s">
        <v>127</v>
      </c>
      <c r="D26">
        <v>22843</v>
      </c>
      <c r="E26" t="str">
        <f t="shared" si="0"/>
        <v>ia.assorted_string like '%22843-08-2024%' or</v>
      </c>
    </row>
    <row r="27" spans="1:5" x14ac:dyDescent="0.25">
      <c r="A27" t="s">
        <v>105</v>
      </c>
      <c r="B27" t="s">
        <v>128</v>
      </c>
      <c r="D27">
        <v>318</v>
      </c>
      <c r="E27" t="str">
        <f t="shared" si="0"/>
        <v>ia.assorted_string like '%318-09-2024%' or</v>
      </c>
    </row>
    <row r="28" spans="1:5" x14ac:dyDescent="0.25">
      <c r="A28" t="s">
        <v>106</v>
      </c>
      <c r="B28" t="s">
        <v>127</v>
      </c>
      <c r="D28">
        <v>22921</v>
      </c>
      <c r="E28" t="str">
        <f t="shared" si="0"/>
        <v>ia.assorted_string like '%22921-08-2024%' or</v>
      </c>
    </row>
    <row r="29" spans="1:5" x14ac:dyDescent="0.25">
      <c r="A29" t="s">
        <v>118</v>
      </c>
      <c r="B29" t="s">
        <v>127</v>
      </c>
      <c r="D29">
        <v>10487</v>
      </c>
      <c r="E29" t="str">
        <f t="shared" si="0"/>
        <v>ia.assorted_string like '%10487-08-2024%' or</v>
      </c>
    </row>
    <row r="30" spans="1:5" x14ac:dyDescent="0.25">
      <c r="A30" t="s">
        <v>117</v>
      </c>
      <c r="B30" t="s">
        <v>128</v>
      </c>
      <c r="D30">
        <v>10612</v>
      </c>
      <c r="E30" t="str">
        <f t="shared" si="0"/>
        <v>ia.assorted_string like '%10612-09-2024%' or</v>
      </c>
    </row>
    <row r="31" spans="1:5" x14ac:dyDescent="0.25">
      <c r="A31" t="s">
        <v>107</v>
      </c>
      <c r="B31" t="s">
        <v>127</v>
      </c>
      <c r="D31">
        <v>1245</v>
      </c>
      <c r="E31" t="str">
        <f t="shared" si="0"/>
        <v>ia.assorted_string like '%1245-08-2024%' or</v>
      </c>
    </row>
    <row r="32" spans="1:5" x14ac:dyDescent="0.25">
      <c r="A32" t="s">
        <v>108</v>
      </c>
      <c r="B32" t="s">
        <v>127</v>
      </c>
      <c r="D32">
        <v>1246</v>
      </c>
      <c r="E32" t="str">
        <f t="shared" si="0"/>
        <v>ia.assorted_string like '%1246-08-2024%' or</v>
      </c>
    </row>
    <row r="33" spans="1:5" x14ac:dyDescent="0.25">
      <c r="A33" t="s">
        <v>109</v>
      </c>
      <c r="B33" t="s">
        <v>127</v>
      </c>
      <c r="D33">
        <v>1244</v>
      </c>
      <c r="E33" t="str">
        <f t="shared" si="0"/>
        <v>ia.assorted_string like '%1244-08-2024%' or</v>
      </c>
    </row>
    <row r="34" spans="1:5" x14ac:dyDescent="0.25">
      <c r="A34" t="s">
        <v>100</v>
      </c>
      <c r="B34" t="s">
        <v>129</v>
      </c>
      <c r="D34">
        <v>1081</v>
      </c>
      <c r="E34" t="str">
        <f t="shared" si="0"/>
        <v>ia.assorted_string like '%1081-12-2023%' or</v>
      </c>
    </row>
    <row r="35" spans="1:5" x14ac:dyDescent="0.25">
      <c r="A35" t="s">
        <v>111</v>
      </c>
      <c r="B35" t="s">
        <v>123</v>
      </c>
      <c r="D35">
        <v>10713</v>
      </c>
      <c r="E35" t="str">
        <f t="shared" si="0"/>
        <v>ia.assorted_string like '%10713-10-2024%' or</v>
      </c>
    </row>
    <row r="36" spans="1:5" x14ac:dyDescent="0.25">
      <c r="A36" t="s">
        <v>112</v>
      </c>
      <c r="B36" t="s">
        <v>130</v>
      </c>
      <c r="D36">
        <v>412</v>
      </c>
      <c r="E36" t="str">
        <f t="shared" si="0"/>
        <v>ia.assorted_string like '%412-12-2024%' or</v>
      </c>
    </row>
    <row r="37" spans="1:5" x14ac:dyDescent="0.25">
      <c r="A37" t="s">
        <v>114</v>
      </c>
      <c r="B37" t="s">
        <v>123</v>
      </c>
      <c r="D37">
        <v>10715</v>
      </c>
      <c r="E37" t="str">
        <f t="shared" si="0"/>
        <v>ia.assorted_string like '%10715-10-2024%' or</v>
      </c>
    </row>
    <row r="38" spans="1:5" x14ac:dyDescent="0.25">
      <c r="A38" t="s">
        <v>116</v>
      </c>
      <c r="B38" t="s">
        <v>130</v>
      </c>
      <c r="D38">
        <v>413</v>
      </c>
      <c r="E38" t="str">
        <f t="shared" si="0"/>
        <v>ia.assorted_string like '%413-12-2024%' or</v>
      </c>
    </row>
    <row r="39" spans="1:5" x14ac:dyDescent="0.25">
      <c r="A39" t="s">
        <v>110</v>
      </c>
      <c r="B39" t="s">
        <v>131</v>
      </c>
      <c r="D39">
        <v>1256</v>
      </c>
      <c r="E39" t="str">
        <f t="shared" si="0"/>
        <v>ia.assorted_string like '%1256-11-2024%' or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2567-B9A4-4BB8-88BC-428364C9E320}">
  <dimension ref="A1:D101"/>
  <sheetViews>
    <sheetView workbookViewId="0">
      <selection activeCell="C11" sqref="C11"/>
    </sheetView>
  </sheetViews>
  <sheetFormatPr defaultColWidth="7.85546875" defaultRowHeight="15" x14ac:dyDescent="0.25"/>
  <cols>
    <col min="1" max="1" width="4" bestFit="1" customWidth="1"/>
    <col min="2" max="2" width="44.28515625" bestFit="1" customWidth="1"/>
    <col min="3" max="3" width="15" bestFit="1" customWidth="1"/>
    <col min="4" max="4" width="12.7109375" customWidth="1"/>
  </cols>
  <sheetData>
    <row r="1" spans="1:4" s="22" customFormat="1" ht="12" x14ac:dyDescent="0.2">
      <c r="A1" s="22" t="s">
        <v>132</v>
      </c>
      <c r="B1" s="22" t="s">
        <v>133</v>
      </c>
      <c r="C1" s="22" t="s">
        <v>134</v>
      </c>
      <c r="D1" s="22" t="s">
        <v>302</v>
      </c>
    </row>
    <row r="2" spans="1:4" x14ac:dyDescent="0.25">
      <c r="A2">
        <v>1</v>
      </c>
      <c r="B2" t="s">
        <v>135</v>
      </c>
      <c r="C2" t="s">
        <v>136</v>
      </c>
      <c r="D2" t="s">
        <v>312</v>
      </c>
    </row>
    <row r="3" spans="1:4" x14ac:dyDescent="0.25">
      <c r="A3">
        <v>2</v>
      </c>
      <c r="B3" t="s">
        <v>104</v>
      </c>
      <c r="C3" t="s">
        <v>137</v>
      </c>
      <c r="D3" t="s">
        <v>303</v>
      </c>
    </row>
    <row r="4" spans="1:4" x14ac:dyDescent="0.25">
      <c r="A4">
        <v>3</v>
      </c>
      <c r="B4" t="s">
        <v>91</v>
      </c>
      <c r="C4" t="s">
        <v>138</v>
      </c>
      <c r="D4" t="s">
        <v>303</v>
      </c>
    </row>
    <row r="5" spans="1:4" x14ac:dyDescent="0.25">
      <c r="A5">
        <v>4</v>
      </c>
      <c r="B5" t="s">
        <v>139</v>
      </c>
      <c r="C5" t="s">
        <v>140</v>
      </c>
      <c r="D5" t="s">
        <v>324</v>
      </c>
    </row>
    <row r="6" spans="1:4" x14ac:dyDescent="0.25">
      <c r="A6">
        <v>5</v>
      </c>
      <c r="B6" t="s">
        <v>100</v>
      </c>
      <c r="C6" t="s">
        <v>141</v>
      </c>
      <c r="D6" t="s">
        <v>311</v>
      </c>
    </row>
    <row r="7" spans="1:4" x14ac:dyDescent="0.25">
      <c r="A7">
        <v>6</v>
      </c>
      <c r="B7" t="s">
        <v>142</v>
      </c>
      <c r="C7" t="s">
        <v>143</v>
      </c>
      <c r="D7" t="s">
        <v>304</v>
      </c>
    </row>
    <row r="8" spans="1:4" x14ac:dyDescent="0.25">
      <c r="A8">
        <v>7</v>
      </c>
      <c r="B8" t="s">
        <v>84</v>
      </c>
      <c r="C8" t="s">
        <v>144</v>
      </c>
      <c r="D8" t="s">
        <v>305</v>
      </c>
    </row>
    <row r="9" spans="1:4" x14ac:dyDescent="0.25">
      <c r="A9">
        <v>8</v>
      </c>
      <c r="B9" t="s">
        <v>86</v>
      </c>
      <c r="C9" t="s">
        <v>145</v>
      </c>
      <c r="D9" t="s">
        <v>305</v>
      </c>
    </row>
    <row r="10" spans="1:4" x14ac:dyDescent="0.25">
      <c r="A10">
        <v>9</v>
      </c>
      <c r="B10" t="s">
        <v>146</v>
      </c>
      <c r="C10" t="s">
        <v>147</v>
      </c>
      <c r="D10" t="s">
        <v>306</v>
      </c>
    </row>
    <row r="11" spans="1:4" x14ac:dyDescent="0.25">
      <c r="A11">
        <v>10</v>
      </c>
      <c r="B11" t="s">
        <v>85</v>
      </c>
      <c r="C11" t="s">
        <v>148</v>
      </c>
      <c r="D11" t="s">
        <v>305</v>
      </c>
    </row>
    <row r="12" spans="1:4" x14ac:dyDescent="0.25">
      <c r="A12">
        <v>11</v>
      </c>
      <c r="B12" t="s">
        <v>87</v>
      </c>
      <c r="C12" t="s">
        <v>149</v>
      </c>
      <c r="D12" t="s">
        <v>305</v>
      </c>
    </row>
    <row r="13" spans="1:4" x14ac:dyDescent="0.25">
      <c r="A13">
        <v>12</v>
      </c>
      <c r="B13" t="s">
        <v>150</v>
      </c>
      <c r="C13" t="s">
        <v>151</v>
      </c>
      <c r="D13" t="s">
        <v>307</v>
      </c>
    </row>
    <row r="14" spans="1:4" x14ac:dyDescent="0.25">
      <c r="A14">
        <v>13</v>
      </c>
      <c r="B14" t="s">
        <v>118</v>
      </c>
      <c r="C14" t="s">
        <v>152</v>
      </c>
      <c r="D14" t="s">
        <v>303</v>
      </c>
    </row>
    <row r="15" spans="1:4" x14ac:dyDescent="0.25">
      <c r="A15">
        <v>14</v>
      </c>
      <c r="B15" t="s">
        <v>153</v>
      </c>
      <c r="C15" t="s">
        <v>154</v>
      </c>
      <c r="D15" t="s">
        <v>308</v>
      </c>
    </row>
    <row r="16" spans="1:4" x14ac:dyDescent="0.25">
      <c r="A16">
        <v>15</v>
      </c>
      <c r="B16" t="s">
        <v>155</v>
      </c>
      <c r="C16" t="s">
        <v>156</v>
      </c>
      <c r="D16" t="s">
        <v>309</v>
      </c>
    </row>
    <row r="17" spans="1:4" x14ac:dyDescent="0.25">
      <c r="A17">
        <v>16</v>
      </c>
      <c r="B17" t="s">
        <v>157</v>
      </c>
      <c r="C17" t="s">
        <v>158</v>
      </c>
      <c r="D17" t="s">
        <v>310</v>
      </c>
    </row>
    <row r="18" spans="1:4" x14ac:dyDescent="0.25">
      <c r="A18">
        <v>17</v>
      </c>
      <c r="B18" t="s">
        <v>159</v>
      </c>
      <c r="C18" t="s">
        <v>160</v>
      </c>
      <c r="D18" t="s">
        <v>309</v>
      </c>
    </row>
    <row r="19" spans="1:4" x14ac:dyDescent="0.25">
      <c r="A19">
        <v>18</v>
      </c>
      <c r="B19" t="s">
        <v>106</v>
      </c>
      <c r="C19" t="s">
        <v>161</v>
      </c>
      <c r="D19" t="s">
        <v>303</v>
      </c>
    </row>
    <row r="20" spans="1:4" x14ac:dyDescent="0.25">
      <c r="A20">
        <v>19</v>
      </c>
      <c r="B20" t="s">
        <v>113</v>
      </c>
      <c r="C20" t="s">
        <v>162</v>
      </c>
      <c r="D20" t="s">
        <v>303</v>
      </c>
    </row>
    <row r="21" spans="1:4" x14ac:dyDescent="0.25">
      <c r="A21">
        <v>20</v>
      </c>
      <c r="B21" t="s">
        <v>114</v>
      </c>
      <c r="C21" t="s">
        <v>163</v>
      </c>
      <c r="D21" t="s">
        <v>303</v>
      </c>
    </row>
    <row r="22" spans="1:4" x14ac:dyDescent="0.25">
      <c r="A22">
        <v>21</v>
      </c>
      <c r="B22" t="s">
        <v>164</v>
      </c>
      <c r="C22" t="s">
        <v>165</v>
      </c>
      <c r="D22" t="s">
        <v>312</v>
      </c>
    </row>
    <row r="23" spans="1:4" x14ac:dyDescent="0.25">
      <c r="A23">
        <v>22</v>
      </c>
      <c r="B23" t="s">
        <v>166</v>
      </c>
      <c r="C23" t="s">
        <v>167</v>
      </c>
      <c r="D23" t="s">
        <v>309</v>
      </c>
    </row>
    <row r="24" spans="1:4" x14ac:dyDescent="0.25">
      <c r="A24">
        <v>23</v>
      </c>
      <c r="B24" t="s">
        <v>168</v>
      </c>
      <c r="C24" t="s">
        <v>169</v>
      </c>
      <c r="D24" t="s">
        <v>309</v>
      </c>
    </row>
    <row r="25" spans="1:4" x14ac:dyDescent="0.25">
      <c r="A25">
        <v>24</v>
      </c>
      <c r="B25" t="s">
        <v>170</v>
      </c>
      <c r="C25" t="s">
        <v>171</v>
      </c>
      <c r="D25" t="s">
        <v>309</v>
      </c>
    </row>
    <row r="26" spans="1:4" x14ac:dyDescent="0.25">
      <c r="A26">
        <v>25</v>
      </c>
      <c r="B26" t="s">
        <v>99</v>
      </c>
      <c r="C26" t="s">
        <v>172</v>
      </c>
      <c r="D26" t="s">
        <v>311</v>
      </c>
    </row>
    <row r="27" spans="1:4" x14ac:dyDescent="0.25">
      <c r="A27">
        <v>26</v>
      </c>
      <c r="B27" t="s">
        <v>173</v>
      </c>
      <c r="C27" t="s">
        <v>174</v>
      </c>
      <c r="D27" t="s">
        <v>312</v>
      </c>
    </row>
    <row r="28" spans="1:4" x14ac:dyDescent="0.25">
      <c r="A28">
        <v>27</v>
      </c>
      <c r="B28" t="s">
        <v>117</v>
      </c>
      <c r="C28" t="s">
        <v>175</v>
      </c>
      <c r="D28" t="s">
        <v>311</v>
      </c>
    </row>
    <row r="29" spans="1:4" x14ac:dyDescent="0.25">
      <c r="A29">
        <v>28</v>
      </c>
      <c r="B29" t="s">
        <v>81</v>
      </c>
      <c r="C29" t="s">
        <v>176</v>
      </c>
      <c r="D29" t="s">
        <v>305</v>
      </c>
    </row>
    <row r="30" spans="1:4" x14ac:dyDescent="0.25">
      <c r="A30">
        <v>29</v>
      </c>
      <c r="B30" t="s">
        <v>83</v>
      </c>
      <c r="C30" t="s">
        <v>177</v>
      </c>
      <c r="D30" t="s">
        <v>305</v>
      </c>
    </row>
    <row r="31" spans="1:4" x14ac:dyDescent="0.25">
      <c r="A31">
        <v>30</v>
      </c>
      <c r="B31" t="s">
        <v>178</v>
      </c>
      <c r="C31" t="s">
        <v>179</v>
      </c>
      <c r="D31" t="s">
        <v>312</v>
      </c>
    </row>
    <row r="32" spans="1:4" x14ac:dyDescent="0.25">
      <c r="A32">
        <v>31</v>
      </c>
      <c r="B32" t="s">
        <v>180</v>
      </c>
      <c r="C32" t="s">
        <v>181</v>
      </c>
      <c r="D32" t="s">
        <v>312</v>
      </c>
    </row>
    <row r="33" spans="1:4" x14ac:dyDescent="0.25">
      <c r="A33">
        <v>32</v>
      </c>
      <c r="B33" t="s">
        <v>182</v>
      </c>
      <c r="C33" t="s">
        <v>183</v>
      </c>
      <c r="D33" t="s">
        <v>312</v>
      </c>
    </row>
    <row r="34" spans="1:4" x14ac:dyDescent="0.25">
      <c r="A34">
        <v>33</v>
      </c>
      <c r="B34" t="s">
        <v>184</v>
      </c>
      <c r="C34" t="s">
        <v>185</v>
      </c>
      <c r="D34" t="s">
        <v>309</v>
      </c>
    </row>
    <row r="35" spans="1:4" x14ac:dyDescent="0.25">
      <c r="A35">
        <v>34</v>
      </c>
      <c r="B35" t="s">
        <v>79</v>
      </c>
      <c r="C35" t="s">
        <v>186</v>
      </c>
      <c r="D35" t="s">
        <v>305</v>
      </c>
    </row>
    <row r="36" spans="1:4" x14ac:dyDescent="0.25">
      <c r="A36">
        <v>35</v>
      </c>
      <c r="B36" t="s">
        <v>105</v>
      </c>
      <c r="C36" t="s">
        <v>187</v>
      </c>
      <c r="D36" t="s">
        <v>303</v>
      </c>
    </row>
    <row r="37" spans="1:4" x14ac:dyDescent="0.25">
      <c r="A37">
        <v>36</v>
      </c>
      <c r="B37" t="s">
        <v>188</v>
      </c>
      <c r="C37" t="s">
        <v>189</v>
      </c>
      <c r="D37" t="s">
        <v>309</v>
      </c>
    </row>
    <row r="38" spans="1:4" x14ac:dyDescent="0.25">
      <c r="A38">
        <v>37</v>
      </c>
      <c r="B38" t="s">
        <v>190</v>
      </c>
      <c r="C38" t="s">
        <v>191</v>
      </c>
      <c r="D38" t="s">
        <v>309</v>
      </c>
    </row>
    <row r="39" spans="1:4" x14ac:dyDescent="0.25">
      <c r="A39">
        <v>38</v>
      </c>
      <c r="B39" t="s">
        <v>192</v>
      </c>
      <c r="C39" t="s">
        <v>193</v>
      </c>
      <c r="D39" t="s">
        <v>313</v>
      </c>
    </row>
    <row r="40" spans="1:4" x14ac:dyDescent="0.25">
      <c r="A40">
        <v>39</v>
      </c>
      <c r="B40" t="s">
        <v>89</v>
      </c>
      <c r="C40" t="s">
        <v>194</v>
      </c>
      <c r="D40" t="s">
        <v>303</v>
      </c>
    </row>
    <row r="41" spans="1:4" x14ac:dyDescent="0.25">
      <c r="A41">
        <v>40</v>
      </c>
      <c r="B41" t="s">
        <v>94</v>
      </c>
      <c r="C41" t="s">
        <v>195</v>
      </c>
      <c r="D41" t="s">
        <v>303</v>
      </c>
    </row>
    <row r="42" spans="1:4" x14ac:dyDescent="0.25">
      <c r="A42">
        <v>41</v>
      </c>
      <c r="B42" t="s">
        <v>88</v>
      </c>
      <c r="C42" t="s">
        <v>196</v>
      </c>
      <c r="D42" t="s">
        <v>305</v>
      </c>
    </row>
    <row r="43" spans="1:4" x14ac:dyDescent="0.25">
      <c r="A43">
        <v>42</v>
      </c>
      <c r="B43" t="s">
        <v>197</v>
      </c>
      <c r="C43" t="s">
        <v>198</v>
      </c>
      <c r="D43" t="s">
        <v>312</v>
      </c>
    </row>
    <row r="44" spans="1:4" x14ac:dyDescent="0.25">
      <c r="A44">
        <v>43</v>
      </c>
      <c r="B44" t="s">
        <v>102</v>
      </c>
      <c r="C44" t="s">
        <v>199</v>
      </c>
      <c r="D44" t="s">
        <v>303</v>
      </c>
    </row>
    <row r="45" spans="1:4" x14ac:dyDescent="0.25">
      <c r="A45">
        <v>44</v>
      </c>
      <c r="B45" t="s">
        <v>107</v>
      </c>
      <c r="C45" t="s">
        <v>200</v>
      </c>
      <c r="D45" t="s">
        <v>303</v>
      </c>
    </row>
    <row r="46" spans="1:4" x14ac:dyDescent="0.25">
      <c r="A46">
        <v>45</v>
      </c>
      <c r="B46" t="s">
        <v>108</v>
      </c>
      <c r="C46" t="s">
        <v>201</v>
      </c>
      <c r="D46" t="s">
        <v>303</v>
      </c>
    </row>
    <row r="47" spans="1:4" x14ac:dyDescent="0.25">
      <c r="A47">
        <v>46</v>
      </c>
      <c r="B47" t="s">
        <v>202</v>
      </c>
      <c r="C47" t="s">
        <v>203</v>
      </c>
      <c r="D47" t="s">
        <v>309</v>
      </c>
    </row>
    <row r="48" spans="1:4" x14ac:dyDescent="0.25">
      <c r="A48">
        <v>47</v>
      </c>
      <c r="B48" t="s">
        <v>204</v>
      </c>
      <c r="C48" t="s">
        <v>205</v>
      </c>
      <c r="D48" t="s">
        <v>312</v>
      </c>
    </row>
    <row r="49" spans="1:4" x14ac:dyDescent="0.25">
      <c r="A49">
        <v>48</v>
      </c>
      <c r="B49" t="s">
        <v>109</v>
      </c>
      <c r="C49" t="s">
        <v>206</v>
      </c>
      <c r="D49" t="s">
        <v>303</v>
      </c>
    </row>
    <row r="50" spans="1:4" x14ac:dyDescent="0.25">
      <c r="A50">
        <v>49</v>
      </c>
      <c r="B50" t="s">
        <v>207</v>
      </c>
      <c r="C50" t="s">
        <v>208</v>
      </c>
      <c r="D50" t="s">
        <v>314</v>
      </c>
    </row>
    <row r="51" spans="1:4" x14ac:dyDescent="0.25">
      <c r="A51">
        <v>50</v>
      </c>
      <c r="B51" t="s">
        <v>209</v>
      </c>
      <c r="C51" t="s">
        <v>210</v>
      </c>
      <c r="D51" t="s">
        <v>312</v>
      </c>
    </row>
    <row r="52" spans="1:4" x14ac:dyDescent="0.25">
      <c r="A52">
        <v>51</v>
      </c>
      <c r="B52" t="s">
        <v>211</v>
      </c>
      <c r="C52" t="s">
        <v>212</v>
      </c>
      <c r="D52" t="s">
        <v>312</v>
      </c>
    </row>
    <row r="53" spans="1:4" x14ac:dyDescent="0.25">
      <c r="A53">
        <v>52</v>
      </c>
      <c r="B53" t="s">
        <v>213</v>
      </c>
      <c r="C53" t="s">
        <v>214</v>
      </c>
      <c r="D53" t="s">
        <v>312</v>
      </c>
    </row>
    <row r="54" spans="1:4" x14ac:dyDescent="0.25">
      <c r="A54">
        <v>53</v>
      </c>
      <c r="B54" t="s">
        <v>215</v>
      </c>
      <c r="C54" t="s">
        <v>216</v>
      </c>
      <c r="D54" t="s">
        <v>312</v>
      </c>
    </row>
    <row r="55" spans="1:4" x14ac:dyDescent="0.25">
      <c r="A55">
        <v>54</v>
      </c>
      <c r="B55" t="s">
        <v>97</v>
      </c>
      <c r="C55" t="s">
        <v>217</v>
      </c>
      <c r="D55" t="s">
        <v>311</v>
      </c>
    </row>
    <row r="56" spans="1:4" x14ac:dyDescent="0.25">
      <c r="A56">
        <v>55</v>
      </c>
      <c r="B56" t="s">
        <v>93</v>
      </c>
      <c r="C56" t="s">
        <v>218</v>
      </c>
      <c r="D56" t="s">
        <v>315</v>
      </c>
    </row>
    <row r="57" spans="1:4" x14ac:dyDescent="0.25">
      <c r="A57">
        <v>56</v>
      </c>
      <c r="B57" t="s">
        <v>96</v>
      </c>
      <c r="C57" t="s">
        <v>219</v>
      </c>
      <c r="D57" t="s">
        <v>303</v>
      </c>
    </row>
    <row r="58" spans="1:4" x14ac:dyDescent="0.25">
      <c r="A58">
        <v>57</v>
      </c>
      <c r="B58" t="s">
        <v>103</v>
      </c>
      <c r="C58" t="s">
        <v>220</v>
      </c>
      <c r="D58" t="s">
        <v>303</v>
      </c>
    </row>
    <row r="59" spans="1:4" x14ac:dyDescent="0.25">
      <c r="A59">
        <v>58</v>
      </c>
      <c r="B59" t="s">
        <v>221</v>
      </c>
      <c r="C59" t="s">
        <v>222</v>
      </c>
      <c r="D59" t="s">
        <v>316</v>
      </c>
    </row>
    <row r="60" spans="1:4" x14ac:dyDescent="0.25">
      <c r="A60">
        <v>59</v>
      </c>
      <c r="B60" t="s">
        <v>223</v>
      </c>
      <c r="C60" t="s">
        <v>224</v>
      </c>
      <c r="D60" t="s">
        <v>312</v>
      </c>
    </row>
    <row r="61" spans="1:4" x14ac:dyDescent="0.25">
      <c r="A61">
        <v>60</v>
      </c>
      <c r="B61" t="s">
        <v>225</v>
      </c>
      <c r="C61" t="s">
        <v>226</v>
      </c>
      <c r="D61" t="s">
        <v>309</v>
      </c>
    </row>
    <row r="62" spans="1:4" x14ac:dyDescent="0.25">
      <c r="A62">
        <v>61</v>
      </c>
      <c r="B62" t="s">
        <v>90</v>
      </c>
      <c r="C62" t="s">
        <v>227</v>
      </c>
      <c r="D62" t="s">
        <v>303</v>
      </c>
    </row>
    <row r="63" spans="1:4" x14ac:dyDescent="0.25">
      <c r="A63">
        <v>62</v>
      </c>
      <c r="B63" t="s">
        <v>228</v>
      </c>
      <c r="C63" t="s">
        <v>229</v>
      </c>
      <c r="D63" t="s">
        <v>312</v>
      </c>
    </row>
    <row r="64" spans="1:4" x14ac:dyDescent="0.25">
      <c r="A64">
        <v>63</v>
      </c>
      <c r="B64" t="s">
        <v>80</v>
      </c>
      <c r="C64" t="s">
        <v>230</v>
      </c>
      <c r="D64" t="s">
        <v>305</v>
      </c>
    </row>
    <row r="65" spans="1:4" x14ac:dyDescent="0.25">
      <c r="A65">
        <v>64</v>
      </c>
      <c r="B65" t="s">
        <v>82</v>
      </c>
      <c r="C65" t="s">
        <v>231</v>
      </c>
      <c r="D65" t="s">
        <v>305</v>
      </c>
    </row>
    <row r="66" spans="1:4" x14ac:dyDescent="0.25">
      <c r="A66">
        <v>65</v>
      </c>
      <c r="B66" t="s">
        <v>92</v>
      </c>
      <c r="C66" t="s">
        <v>232</v>
      </c>
      <c r="D66" t="s">
        <v>311</v>
      </c>
    </row>
    <row r="67" spans="1:4" x14ac:dyDescent="0.25">
      <c r="A67">
        <v>66</v>
      </c>
      <c r="B67" t="s">
        <v>95</v>
      </c>
      <c r="C67" t="s">
        <v>233</v>
      </c>
      <c r="D67" t="s">
        <v>303</v>
      </c>
    </row>
    <row r="68" spans="1:4" x14ac:dyDescent="0.25">
      <c r="A68">
        <v>67</v>
      </c>
      <c r="B68" t="s">
        <v>111</v>
      </c>
      <c r="C68" t="s">
        <v>234</v>
      </c>
      <c r="D68" t="s">
        <v>303</v>
      </c>
    </row>
    <row r="69" spans="1:4" x14ac:dyDescent="0.25">
      <c r="A69">
        <v>68</v>
      </c>
      <c r="B69" t="s">
        <v>235</v>
      </c>
      <c r="C69" t="s">
        <v>236</v>
      </c>
      <c r="D69" t="s">
        <v>312</v>
      </c>
    </row>
    <row r="70" spans="1:4" x14ac:dyDescent="0.25">
      <c r="A70">
        <v>69</v>
      </c>
      <c r="B70" t="s">
        <v>237</v>
      </c>
      <c r="C70" t="s">
        <v>238</v>
      </c>
      <c r="D70" t="s">
        <v>312</v>
      </c>
    </row>
    <row r="71" spans="1:4" x14ac:dyDescent="0.25">
      <c r="A71">
        <v>70</v>
      </c>
      <c r="B71" t="s">
        <v>101</v>
      </c>
      <c r="C71" t="s">
        <v>239</v>
      </c>
      <c r="D71" t="s">
        <v>303</v>
      </c>
    </row>
    <row r="72" spans="1:4" x14ac:dyDescent="0.25">
      <c r="A72">
        <v>71</v>
      </c>
      <c r="B72" t="s">
        <v>98</v>
      </c>
      <c r="C72" t="s">
        <v>240</v>
      </c>
      <c r="D72" t="s">
        <v>311</v>
      </c>
    </row>
    <row r="73" spans="1:4" x14ac:dyDescent="0.25">
      <c r="A73">
        <v>72</v>
      </c>
      <c r="B73" t="s">
        <v>241</v>
      </c>
      <c r="C73" t="s">
        <v>242</v>
      </c>
      <c r="D73" t="s">
        <v>318</v>
      </c>
    </row>
    <row r="74" spans="1:4" x14ac:dyDescent="0.25">
      <c r="A74">
        <v>73</v>
      </c>
      <c r="B74" t="s">
        <v>243</v>
      </c>
      <c r="C74" t="s">
        <v>244</v>
      </c>
      <c r="D74" t="s">
        <v>309</v>
      </c>
    </row>
    <row r="75" spans="1:4" x14ac:dyDescent="0.25">
      <c r="A75">
        <v>74</v>
      </c>
      <c r="B75" t="s">
        <v>246</v>
      </c>
      <c r="C75" t="s">
        <v>247</v>
      </c>
      <c r="D75" t="s">
        <v>312</v>
      </c>
    </row>
    <row r="76" spans="1:4" x14ac:dyDescent="0.25">
      <c r="A76">
        <v>75</v>
      </c>
      <c r="B76" t="s">
        <v>248</v>
      </c>
      <c r="C76" t="s">
        <v>249</v>
      </c>
      <c r="D76" t="s">
        <v>309</v>
      </c>
    </row>
    <row r="77" spans="1:4" x14ac:dyDescent="0.25">
      <c r="A77">
        <v>76</v>
      </c>
      <c r="B77" t="s">
        <v>250</v>
      </c>
      <c r="C77" t="s">
        <v>251</v>
      </c>
      <c r="D77" t="s">
        <v>325</v>
      </c>
    </row>
    <row r="78" spans="1:4" x14ac:dyDescent="0.25">
      <c r="A78">
        <v>77</v>
      </c>
      <c r="B78" t="s">
        <v>252</v>
      </c>
      <c r="C78" t="s">
        <v>253</v>
      </c>
      <c r="D78" t="s">
        <v>326</v>
      </c>
    </row>
    <row r="79" spans="1:4" x14ac:dyDescent="0.25">
      <c r="A79">
        <v>78</v>
      </c>
      <c r="B79" t="s">
        <v>254</v>
      </c>
      <c r="C79" t="s">
        <v>255</v>
      </c>
      <c r="D79" t="s">
        <v>312</v>
      </c>
    </row>
    <row r="80" spans="1:4" x14ac:dyDescent="0.25">
      <c r="A80">
        <v>79</v>
      </c>
      <c r="B80" t="s">
        <v>110</v>
      </c>
      <c r="C80" t="s">
        <v>256</v>
      </c>
      <c r="D80" t="s">
        <v>303</v>
      </c>
    </row>
    <row r="81" spans="1:4" x14ac:dyDescent="0.25">
      <c r="A81">
        <v>80</v>
      </c>
      <c r="B81" t="s">
        <v>257</v>
      </c>
      <c r="C81" t="s">
        <v>258</v>
      </c>
      <c r="D81" t="s">
        <v>312</v>
      </c>
    </row>
    <row r="82" spans="1:4" x14ac:dyDescent="0.25">
      <c r="A82">
        <v>81</v>
      </c>
      <c r="B82" t="s">
        <v>259</v>
      </c>
      <c r="C82" t="s">
        <v>260</v>
      </c>
      <c r="D82" t="s">
        <v>327</v>
      </c>
    </row>
    <row r="83" spans="1:4" x14ac:dyDescent="0.25">
      <c r="A83">
        <v>82</v>
      </c>
      <c r="B83" t="s">
        <v>261</v>
      </c>
      <c r="C83" t="s">
        <v>262</v>
      </c>
      <c r="D83" t="s">
        <v>309</v>
      </c>
    </row>
    <row r="84" spans="1:4" x14ac:dyDescent="0.25">
      <c r="A84">
        <v>83</v>
      </c>
      <c r="B84" t="s">
        <v>263</v>
      </c>
      <c r="C84" t="s">
        <v>264</v>
      </c>
      <c r="D84" t="s">
        <v>317</v>
      </c>
    </row>
    <row r="85" spans="1:4" x14ac:dyDescent="0.25">
      <c r="A85">
        <v>84</v>
      </c>
      <c r="B85" t="s">
        <v>112</v>
      </c>
      <c r="C85" t="s">
        <v>265</v>
      </c>
      <c r="D85" t="s">
        <v>303</v>
      </c>
    </row>
    <row r="86" spans="1:4" x14ac:dyDescent="0.25">
      <c r="A86">
        <v>85</v>
      </c>
      <c r="B86" t="s">
        <v>266</v>
      </c>
      <c r="C86" t="s">
        <v>267</v>
      </c>
      <c r="D86" t="s">
        <v>318</v>
      </c>
    </row>
    <row r="87" spans="1:4" x14ac:dyDescent="0.25">
      <c r="A87">
        <v>86</v>
      </c>
      <c r="B87" t="s">
        <v>268</v>
      </c>
      <c r="C87" t="s">
        <v>269</v>
      </c>
      <c r="D87" t="s">
        <v>312</v>
      </c>
    </row>
    <row r="88" spans="1:4" x14ac:dyDescent="0.25">
      <c r="A88">
        <v>87</v>
      </c>
      <c r="B88" t="s">
        <v>270</v>
      </c>
      <c r="C88" t="s">
        <v>271</v>
      </c>
      <c r="D88" t="s">
        <v>312</v>
      </c>
    </row>
    <row r="89" spans="1:4" x14ac:dyDescent="0.25">
      <c r="A89">
        <v>88</v>
      </c>
      <c r="B89" t="s">
        <v>272</v>
      </c>
      <c r="C89" t="s">
        <v>273</v>
      </c>
      <c r="D89" t="s">
        <v>319</v>
      </c>
    </row>
    <row r="90" spans="1:4" x14ac:dyDescent="0.25">
      <c r="A90">
        <v>89</v>
      </c>
      <c r="B90" t="s">
        <v>274</v>
      </c>
      <c r="C90" t="s">
        <v>275</v>
      </c>
      <c r="D90" t="s">
        <v>320</v>
      </c>
    </row>
    <row r="91" spans="1:4" x14ac:dyDescent="0.25">
      <c r="A91">
        <v>90</v>
      </c>
      <c r="B91" t="s">
        <v>116</v>
      </c>
      <c r="C91" t="s">
        <v>276</v>
      </c>
      <c r="D91" t="s">
        <v>303</v>
      </c>
    </row>
    <row r="92" spans="1:4" x14ac:dyDescent="0.25">
      <c r="A92">
        <v>91</v>
      </c>
      <c r="B92" t="s">
        <v>277</v>
      </c>
      <c r="C92" t="s">
        <v>278</v>
      </c>
      <c r="D92" t="s">
        <v>320</v>
      </c>
    </row>
    <row r="93" spans="1:4" x14ac:dyDescent="0.25">
      <c r="A93">
        <v>92</v>
      </c>
      <c r="B93" t="s">
        <v>279</v>
      </c>
      <c r="C93" t="s">
        <v>280</v>
      </c>
      <c r="D93" t="s">
        <v>321</v>
      </c>
    </row>
    <row r="94" spans="1:4" x14ac:dyDescent="0.25">
      <c r="A94">
        <v>93</v>
      </c>
      <c r="B94" t="s">
        <v>281</v>
      </c>
      <c r="C94" t="s">
        <v>282</v>
      </c>
      <c r="D94" t="s">
        <v>309</v>
      </c>
    </row>
    <row r="95" spans="1:4" x14ac:dyDescent="0.25">
      <c r="A95">
        <v>94</v>
      </c>
      <c r="B95" t="s">
        <v>283</v>
      </c>
      <c r="C95" t="s">
        <v>284</v>
      </c>
      <c r="D95" t="s">
        <v>312</v>
      </c>
    </row>
    <row r="96" spans="1:4" x14ac:dyDescent="0.25">
      <c r="A96">
        <v>95</v>
      </c>
      <c r="B96" t="s">
        <v>285</v>
      </c>
      <c r="C96" t="s">
        <v>286</v>
      </c>
      <c r="D96" t="s">
        <v>322</v>
      </c>
    </row>
    <row r="97" spans="1:4" x14ac:dyDescent="0.25">
      <c r="A97">
        <v>96</v>
      </c>
      <c r="B97" t="s">
        <v>287</v>
      </c>
      <c r="C97" t="s">
        <v>288</v>
      </c>
      <c r="D97" t="s">
        <v>318</v>
      </c>
    </row>
    <row r="98" spans="1:4" x14ac:dyDescent="0.25">
      <c r="A98">
        <v>97</v>
      </c>
      <c r="B98" t="s">
        <v>289</v>
      </c>
      <c r="C98" t="s">
        <v>290</v>
      </c>
      <c r="D98" t="s">
        <v>318</v>
      </c>
    </row>
    <row r="99" spans="1:4" x14ac:dyDescent="0.25">
      <c r="A99">
        <v>98</v>
      </c>
      <c r="B99" t="s">
        <v>291</v>
      </c>
      <c r="C99" t="s">
        <v>292</v>
      </c>
      <c r="D99" t="s">
        <v>309</v>
      </c>
    </row>
    <row r="100" spans="1:4" x14ac:dyDescent="0.25">
      <c r="A100">
        <v>99</v>
      </c>
      <c r="B100" t="s">
        <v>293</v>
      </c>
      <c r="C100" t="s">
        <v>294</v>
      </c>
      <c r="D100" t="s">
        <v>305</v>
      </c>
    </row>
    <row r="101" spans="1:4" x14ac:dyDescent="0.25">
      <c r="A101">
        <v>100</v>
      </c>
      <c r="B101" t="s">
        <v>295</v>
      </c>
      <c r="C101" t="s">
        <v>296</v>
      </c>
      <c r="D1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Sheet2 (2)</vt:lpstr>
      <vt:lpstr>WORKING</vt:lpstr>
      <vt:lpstr>Sheet4</vt:lpstr>
      <vt:lpstr>policy</vt:lpstr>
      <vt:lpstr>WC</vt:lpstr>
      <vt:lpstr>Sheet7</vt:lpstr>
      <vt:lpstr>PC</vt:lpstr>
      <vt:lpstr>wsc</vt:lpstr>
      <vt:lpstr>Sheet10</vt:lpstr>
      <vt:lpstr>psc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Ather/Underwriting/Karachi</dc:creator>
  <cp:lastModifiedBy>IT User Software</cp:lastModifiedBy>
  <dcterms:created xsi:type="dcterms:W3CDTF">2024-12-09T07:14:34Z</dcterms:created>
  <dcterms:modified xsi:type="dcterms:W3CDTF">2025-04-16T12:19:49Z</dcterms:modified>
</cp:coreProperties>
</file>