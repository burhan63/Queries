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mium\Premium\Saqib Saleem\18-March-2025\"/>
    </mc:Choice>
  </mc:AlternateContent>
  <xr:revisionPtr revIDLastSave="0" documentId="8_{66A977E8-D18C-47C8-9214-51D5F91634BB}" xr6:coauthVersionLast="47" xr6:coauthVersionMax="47" xr10:uidLastSave="{00000000-0000-0000-0000-000000000000}"/>
  <bookViews>
    <workbookView xWindow="-120" yWindow="-120" windowWidth="20730" windowHeight="11040" activeTab="1" xr2:uid="{13E213CD-21AE-44B5-ABA1-9B1990047EE3}"/>
  </bookViews>
  <sheets>
    <sheet name="Sheet1" sheetId="1" r:id="rId1"/>
    <sheet name="working" sheetId="2" r:id="rId2"/>
    <sheet name="Sheet3" sheetId="3" r:id="rId3"/>
    <sheet name="polic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2" i="2"/>
  <c r="F2" i="2"/>
  <c r="D2" i="2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1" i="3"/>
  <c r="H2" i="2" l="1"/>
</calcChain>
</file>

<file path=xl/sharedStrings.xml><?xml version="1.0" encoding="utf-8"?>
<sst xmlns="http://schemas.openxmlformats.org/spreadsheetml/2006/main" count="453" uniqueCount="152">
  <si>
    <t>S. NO.</t>
  </si>
  <si>
    <t>ENDORSEMENT NUMBER</t>
  </si>
  <si>
    <t>KHI/HO/D/HLGRP HEALTH/P/2887/12/2023</t>
  </si>
  <si>
    <t>KHI/HO/D/HLGRP HEALTH/E/23751/01/2024</t>
  </si>
  <si>
    <t>KHI/HO/D/HLGRP HEALTH/E/23766/01/2024</t>
  </si>
  <si>
    <t>KHI/HO/D/HLGRP HEALTH/E/23816/01/2024</t>
  </si>
  <si>
    <t>KHI/HO/D/HLGRP HEALTH/E/23940/02/2024</t>
  </si>
  <si>
    <t>KHI/HO/D/HLGRP HEALTH/E/23992/02/2024</t>
  </si>
  <si>
    <t>KHI/HO/D/HLGRP HEALTH/E/24120/02/2024</t>
  </si>
  <si>
    <t>KHI/HO/D/HLGRP HEALTH/E/24142/02/2024</t>
  </si>
  <si>
    <t>KHI/HO/D/HLGRP HEALTH/E/24207/02/2024</t>
  </si>
  <si>
    <t>KHI/HO/D/HLGRP HEALTH/E/24253/02/2024</t>
  </si>
  <si>
    <t>KHI/HO/D/HLGRP HEALTH/E/24443/03/2024</t>
  </si>
  <si>
    <t>KHI/HO/D/HLGRP HEALTH/E/24566/03/2024</t>
  </si>
  <si>
    <t>KHI/HO/D/HLGRP HEALTH/E/24617/03/2024</t>
  </si>
  <si>
    <t>KHI/HO/D/HLGRP HEALTH/E/24705/04/2024</t>
  </si>
  <si>
    <t>KHI/HO/D/HLGRP HEALTH/E/24839/04/2024</t>
  </si>
  <si>
    <t>KHI/HO/D/HLGRP HEALTH/E/24855/04/2024</t>
  </si>
  <si>
    <t>KHI/HO/D/HLGRP HEALTH/E/24926/04/2024</t>
  </si>
  <si>
    <t>KHI/HO/D/HLGRP HEALTH/E/25417/05/2024</t>
  </si>
  <si>
    <t>KHI/HO/D/HLGRP HEALTH/E/25731/06/2024</t>
  </si>
  <si>
    <t>KHI/HO/D/HLGRP HEALTH/E/25995/07/2024</t>
  </si>
  <si>
    <t>KHI/HO/D/HLGRP HEALTH/E/26011/07/2024</t>
  </si>
  <si>
    <t>KHI/HO/D/HLGRP HEALTH/E/26405/08/2024</t>
  </si>
  <si>
    <t>KHI/HO/D/HLGRP HEALTH/E/26452/08/2024</t>
  </si>
  <si>
    <t>KHI/HO/D/HLGRP HEALTH/E/26477/08/2024</t>
  </si>
  <si>
    <t>KHI/HO/D/HLGRP HEALTH/E/26493/08/2024</t>
  </si>
  <si>
    <t>KHI/HO/D/HLGRP HEALTH/E/26546/08/2024</t>
  </si>
  <si>
    <t>KHI/HO/D/HLGRP HEALTH/E/26684/08/2024</t>
  </si>
  <si>
    <t>KHI/HO/D/HLGRP HEALTH/E/26749/08/2024</t>
  </si>
  <si>
    <t>KHI/HO/D/HLGRP HEALTH/E/26763/08/2024</t>
  </si>
  <si>
    <t>KHI/HO/D/HLGRP HEALTH/E/26883/08/2024</t>
  </si>
  <si>
    <t>KHI/HO/D/HLGRP HEALTH/E/26993/09/2024</t>
  </si>
  <si>
    <t>KHI/HO/D/HLGRP HEALTH/E/27033/09/2024</t>
  </si>
  <si>
    <t>KHI/HO/D/HLGRP HEALTH/E/27078/09/2024</t>
  </si>
  <si>
    <t>KHI/HO/D/HLGRP HEALTH/E/27184/09/2024</t>
  </si>
  <si>
    <t>KHI/HO/D/HLGRP HEALTH/E/27226/09/2024</t>
  </si>
  <si>
    <t>KHI/HO/D/HLGRP HEALTH/E/27458/09/2024</t>
  </si>
  <si>
    <t>KHI/HO/D/HLGRP HEALTH/E/27594/10/2024</t>
  </si>
  <si>
    <t>KHI/HO/D/HLGRP HEALTH/E/27610/10/2024</t>
  </si>
  <si>
    <t>KHI/HO/D/HLGRP HEALTH/E/27640/10/2024</t>
  </si>
  <si>
    <t>KHI/HO/D/HLGRP HEALTH/E/27659/10/2024</t>
  </si>
  <si>
    <t>KHI/HO/D/HLGRP HEALTH/E/27756/10/2024</t>
  </si>
  <si>
    <t>KHI/HO/D/HLGRP HEALTH/E/27787/10/2024</t>
  </si>
  <si>
    <t>KHI/HO/D/HLGRP HEALTH/E/27841/10/2024</t>
  </si>
  <si>
    <t>KHI/HO/D/HLGRP HEALTH/E/27896/10/2024</t>
  </si>
  <si>
    <t>KHI/HO/D/HLGRP HEALTH/E/27988/10/2024</t>
  </si>
  <si>
    <t>KHI/HO/D/HLGRP HEALTH/E/28081/10/2024</t>
  </si>
  <si>
    <t>KHI/HO/D/HLGRP HEALTH/E/28222/10/2024</t>
  </si>
  <si>
    <t>KHI/HO/D/HLGRP HEALTH/E/28255/10/2024</t>
  </si>
  <si>
    <t>KHI/HO/D/HLGRP HEALTH/E/28296/11/2024</t>
  </si>
  <si>
    <t>KHI/HO/D/HLGRP HEALTH/E/28375/11/2024</t>
  </si>
  <si>
    <t>KHI/HO/D/HLGRP HEALTH/E/28488/11/2024</t>
  </si>
  <si>
    <t>KHI/HO/D/HLGRP HEALTH/E/28518/11/2024</t>
  </si>
  <si>
    <t>KHI/HO/D/HLGRP HEALTH/E/28531/11/2024</t>
  </si>
  <si>
    <t>KHI/HO/D/HLGRP HEALTH/E/28717/11/2024</t>
  </si>
  <si>
    <t>KHI/HO/D/HLGRP HEALTH/E/28864/11/2024</t>
  </si>
  <si>
    <t>KHI/HO/D/HLGRP HEALTH/E/28899/12/2024</t>
  </si>
  <si>
    <t>KHI/HO/D/HLGRP HEALTH/E/28955/12/2024</t>
  </si>
  <si>
    <t>KHI/HO/D/HLGRP HEALTH/E/29077/12/2024</t>
  </si>
  <si>
    <t>KHI/HO/D/HLGRP HEALTH/E/29300/12/2024</t>
  </si>
  <si>
    <t>KHI/HO/D/HLGRP HEALTH/E/29314/12/2024</t>
  </si>
  <si>
    <t>KHI/HO/D/HLGRP HEALTH/E/29433/12/2024</t>
  </si>
  <si>
    <t>KHI/HO/D/HLGRP HEALTH/E/23438/01/2024</t>
  </si>
  <si>
    <t>OS</t>
  </si>
  <si>
    <t>KHI/HO/D/HLGRP HEALTH/E/30357/03/2025</t>
  </si>
  <si>
    <t>-12-2023</t>
  </si>
  <si>
    <t>-01-2024</t>
  </si>
  <si>
    <t>-02-2024</t>
  </si>
  <si>
    <t>-03-2024</t>
  </si>
  <si>
    <t>-04-2024</t>
  </si>
  <si>
    <t>-05-2024</t>
  </si>
  <si>
    <t>-06-2024</t>
  </si>
  <si>
    <t>-07-2024</t>
  </si>
  <si>
    <t>-08-2024</t>
  </si>
  <si>
    <t>-09-2024</t>
  </si>
  <si>
    <t>-10-2024</t>
  </si>
  <si>
    <t>-11-2024</t>
  </si>
  <si>
    <t>-12-2024</t>
  </si>
  <si>
    <t>-03-2025</t>
  </si>
  <si>
    <t xml:space="preserve">   </t>
  </si>
  <si>
    <t>FUNC_ASSORTED_STRING(IA.ASSORTED_CODE)</t>
  </si>
  <si>
    <t>ASSORTED_CODE</t>
  </si>
  <si>
    <t>050000777702</t>
  </si>
  <si>
    <t>KHI/HO/D/HLGRP HEALTH/E/22887/12/2023</t>
  </si>
  <si>
    <t>050000683773</t>
  </si>
  <si>
    <t>040000161386</t>
  </si>
  <si>
    <t>050000707008</t>
  </si>
  <si>
    <t>050000726194</t>
  </si>
  <si>
    <t>050000719308</t>
  </si>
  <si>
    <t>050000697958</t>
  </si>
  <si>
    <t>050000705732</t>
  </si>
  <si>
    <t>050000728200</t>
  </si>
  <si>
    <t>050000729079</t>
  </si>
  <si>
    <t>050000712378</t>
  </si>
  <si>
    <t>050000729371</t>
  </si>
  <si>
    <t>050000737160</t>
  </si>
  <si>
    <t>050000711014</t>
  </si>
  <si>
    <t>050000718029</t>
  </si>
  <si>
    <t>050000705522</t>
  </si>
  <si>
    <t>050000738369</t>
  </si>
  <si>
    <t>050000718144</t>
  </si>
  <si>
    <t>050000735395</t>
  </si>
  <si>
    <t>050000718330</t>
  </si>
  <si>
    <t>050000780186</t>
  </si>
  <si>
    <t>050000800664</t>
  </si>
  <si>
    <t>050000788847</t>
  </si>
  <si>
    <t>050000814156</t>
  </si>
  <si>
    <t>050000795589</t>
  </si>
  <si>
    <t>050000798964</t>
  </si>
  <si>
    <t>050000795479</t>
  </si>
  <si>
    <t>050000781964</t>
  </si>
  <si>
    <t>050000786237</t>
  </si>
  <si>
    <t>050000779039</t>
  </si>
  <si>
    <t>050000816005</t>
  </si>
  <si>
    <t>050000816299</t>
  </si>
  <si>
    <t>050000788205</t>
  </si>
  <si>
    <t>050000787053</t>
  </si>
  <si>
    <t>050000812164</t>
  </si>
  <si>
    <t>050000797224</t>
  </si>
  <si>
    <t>050000791723</t>
  </si>
  <si>
    <t>050000799603</t>
  </si>
  <si>
    <t>050000761595</t>
  </si>
  <si>
    <t>050000772594</t>
  </si>
  <si>
    <t>050000748942</t>
  </si>
  <si>
    <t>050000773848</t>
  </si>
  <si>
    <t>050000758931</t>
  </si>
  <si>
    <t>050000761216</t>
  </si>
  <si>
    <t>050000775535</t>
  </si>
  <si>
    <t>050000776428</t>
  </si>
  <si>
    <t>050000800097</t>
  </si>
  <si>
    <t>050000795508</t>
  </si>
  <si>
    <t>050000786565</t>
  </si>
  <si>
    <t>050000780525</t>
  </si>
  <si>
    <t>050000817551</t>
  </si>
  <si>
    <t>050000826790</t>
  </si>
  <si>
    <t>050000836057</t>
  </si>
  <si>
    <t>050000837410</t>
  </si>
  <si>
    <t>050000829425</t>
  </si>
  <si>
    <t>050000823144</t>
  </si>
  <si>
    <t>050000836035</t>
  </si>
  <si>
    <t>050000864967</t>
  </si>
  <si>
    <t>050000826671</t>
  </si>
  <si>
    <t>050000821208</t>
  </si>
  <si>
    <t>050000832691</t>
  </si>
  <si>
    <t>050000823057</t>
  </si>
  <si>
    <t>050000823175</t>
  </si>
  <si>
    <t>050000824880</t>
  </si>
  <si>
    <t>POLICY NO.</t>
  </si>
  <si>
    <t>Assorted_code</t>
  </si>
  <si>
    <t>Premium</t>
  </si>
  <si>
    <t>17Mar250088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</si>
</sst>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Trade Gothic Next"/>
      <family val="2"/>
    </font>
    <font>
      <sz val="9"/>
      <color theme="1"/>
      <name val="Trade Gothic Next"/>
      <family val="2"/>
    </font>
    <font>
      <b/>
      <sz val="11"/>
      <color theme="1"/>
      <name val="Aptos Narrow"/>
      <family val="2"/>
      <scheme val="minor"/>
    </font>
    <font>
      <b/>
      <sz val="9"/>
      <color theme="1"/>
      <name val="Segoe UI"/>
      <family val="2"/>
      <charset val="1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64" fontId="2" fillId="2" borderId="1" xfId="1" applyFont="1" applyFill="1" applyBorder="1" applyAlignment="1">
      <alignment horizontal="center" vertical="center" wrapText="1"/>
    </xf>
    <xf numFmtId="164" fontId="3" fillId="0" borderId="0" xfId="1" applyFont="1" applyAlignment="1">
      <alignment vertical="center"/>
    </xf>
    <xf numFmtId="164" fontId="0" fillId="0" borderId="0" xfId="1" applyFont="1"/>
    <xf numFmtId="0" fontId="5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6" fillId="0" borderId="0" xfId="0" applyFont="1"/>
    <xf numFmtId="0" fontId="0" fillId="0" borderId="0" xfId="0" applyAlignment="1">
      <alignment vertical="top"/>
    </xf>
    <xf numFmtId="165" fontId="7" fillId="0" borderId="0" xfId="1" applyNumberFormat="1" applyFont="1" applyAlignment="1">
      <alignment vertical="top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wrapText="1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1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A8386-FB8A-416B-8540-2956BC4FB39B}">
  <dimension ref="A1:C64"/>
  <sheetViews>
    <sheetView topLeftCell="B1" workbookViewId="0">
      <selection activeCell="C64" sqref="C2:C64"/>
    </sheetView>
  </sheetViews>
  <sheetFormatPr defaultRowHeight="15" x14ac:dyDescent="0.25"/>
  <cols>
    <col min="1" max="1" width="5.5703125" bestFit="1" customWidth="1"/>
    <col min="2" max="2" width="38.140625" customWidth="1"/>
    <col min="3" max="3" width="14" style="7" bestFit="1" customWidth="1"/>
  </cols>
  <sheetData>
    <row r="1" spans="1:3" x14ac:dyDescent="0.25">
      <c r="A1" s="2" t="s">
        <v>0</v>
      </c>
      <c r="B1" s="2" t="s">
        <v>1</v>
      </c>
      <c r="C1" s="5" t="s">
        <v>64</v>
      </c>
    </row>
    <row r="2" spans="1:3" x14ac:dyDescent="0.25">
      <c r="A2" s="1">
        <v>1</v>
      </c>
      <c r="B2" s="3" t="s">
        <v>2</v>
      </c>
      <c r="C2" s="6">
        <v>8666670</v>
      </c>
    </row>
    <row r="3" spans="1:3" x14ac:dyDescent="0.25">
      <c r="A3" s="1">
        <v>2</v>
      </c>
      <c r="B3" s="4" t="s">
        <v>3</v>
      </c>
      <c r="C3" s="6">
        <v>455569</v>
      </c>
    </row>
    <row r="4" spans="1:3" x14ac:dyDescent="0.25">
      <c r="A4" s="1">
        <v>3</v>
      </c>
      <c r="B4" s="4" t="s">
        <v>4</v>
      </c>
      <c r="C4" s="6">
        <v>-607935</v>
      </c>
    </row>
    <row r="5" spans="1:3" x14ac:dyDescent="0.25">
      <c r="A5" s="1">
        <v>4</v>
      </c>
      <c r="B5" s="4" t="s">
        <v>5</v>
      </c>
      <c r="C5" s="6">
        <v>290116</v>
      </c>
    </row>
    <row r="6" spans="1:3" x14ac:dyDescent="0.25">
      <c r="A6" s="1">
        <v>5</v>
      </c>
      <c r="B6" s="4" t="s">
        <v>6</v>
      </c>
      <c r="C6" s="6">
        <v>-2187973</v>
      </c>
    </row>
    <row r="7" spans="1:3" x14ac:dyDescent="0.25">
      <c r="A7" s="1">
        <v>6</v>
      </c>
      <c r="B7" s="4" t="s">
        <v>7</v>
      </c>
      <c r="C7" s="6">
        <v>-51882</v>
      </c>
    </row>
    <row r="8" spans="1:3" x14ac:dyDescent="0.25">
      <c r="A8" s="1">
        <v>7</v>
      </c>
      <c r="B8" s="4" t="s">
        <v>8</v>
      </c>
      <c r="C8" s="6">
        <v>-15419</v>
      </c>
    </row>
    <row r="9" spans="1:3" x14ac:dyDescent="0.25">
      <c r="A9" s="1">
        <v>8</v>
      </c>
      <c r="B9" s="4" t="s">
        <v>9</v>
      </c>
      <c r="C9" s="6">
        <v>24154</v>
      </c>
    </row>
    <row r="10" spans="1:3" x14ac:dyDescent="0.25">
      <c r="A10" s="1">
        <v>9</v>
      </c>
      <c r="B10" s="4" t="s">
        <v>10</v>
      </c>
      <c r="C10" s="6">
        <v>11785</v>
      </c>
    </row>
    <row r="11" spans="1:3" x14ac:dyDescent="0.25">
      <c r="A11" s="1">
        <v>10</v>
      </c>
      <c r="B11" s="4" t="s">
        <v>11</v>
      </c>
      <c r="C11" s="6">
        <v>29594</v>
      </c>
    </row>
    <row r="12" spans="1:3" x14ac:dyDescent="0.25">
      <c r="A12" s="1">
        <v>11</v>
      </c>
      <c r="B12" s="4" t="s">
        <v>12</v>
      </c>
      <c r="C12" s="6">
        <v>76177</v>
      </c>
    </row>
    <row r="13" spans="1:3" x14ac:dyDescent="0.25">
      <c r="A13" s="1">
        <v>12</v>
      </c>
      <c r="B13" s="4" t="s">
        <v>13</v>
      </c>
      <c r="C13" s="6">
        <v>-192549</v>
      </c>
    </row>
    <row r="14" spans="1:3" x14ac:dyDescent="0.25">
      <c r="A14" s="1">
        <v>13</v>
      </c>
      <c r="B14" s="4" t="s">
        <v>14</v>
      </c>
      <c r="C14" s="6">
        <v>-29681</v>
      </c>
    </row>
    <row r="15" spans="1:3" x14ac:dyDescent="0.25">
      <c r="A15" s="1">
        <v>14</v>
      </c>
      <c r="B15" s="4" t="s">
        <v>15</v>
      </c>
      <c r="C15" s="6">
        <v>-165219</v>
      </c>
    </row>
    <row r="16" spans="1:3" x14ac:dyDescent="0.25">
      <c r="A16" s="1">
        <v>15</v>
      </c>
      <c r="B16" s="4" t="s">
        <v>16</v>
      </c>
      <c r="C16" s="6">
        <v>33922</v>
      </c>
    </row>
    <row r="17" spans="1:3" x14ac:dyDescent="0.25">
      <c r="A17" s="1">
        <v>16</v>
      </c>
      <c r="B17" s="4" t="s">
        <v>17</v>
      </c>
      <c r="C17" s="6">
        <v>-133490</v>
      </c>
    </row>
    <row r="18" spans="1:3" x14ac:dyDescent="0.25">
      <c r="A18" s="1">
        <v>17</v>
      </c>
      <c r="B18" s="4" t="s">
        <v>18</v>
      </c>
      <c r="C18" s="6">
        <v>11371</v>
      </c>
    </row>
    <row r="19" spans="1:3" x14ac:dyDescent="0.25">
      <c r="A19" s="1">
        <v>18</v>
      </c>
      <c r="B19" s="4" t="s">
        <v>19</v>
      </c>
      <c r="C19" s="6">
        <v>8477</v>
      </c>
    </row>
    <row r="20" spans="1:3" x14ac:dyDescent="0.25">
      <c r="A20" s="1">
        <v>19</v>
      </c>
      <c r="B20" s="4" t="s">
        <v>20</v>
      </c>
      <c r="C20" s="6">
        <v>-92173</v>
      </c>
    </row>
    <row r="21" spans="1:3" x14ac:dyDescent="0.25">
      <c r="A21" s="1">
        <v>20</v>
      </c>
      <c r="B21" s="4" t="s">
        <v>21</v>
      </c>
      <c r="C21" s="6">
        <v>-2910904</v>
      </c>
    </row>
    <row r="22" spans="1:3" x14ac:dyDescent="0.25">
      <c r="A22" s="1">
        <v>21</v>
      </c>
      <c r="B22" s="4" t="s">
        <v>22</v>
      </c>
      <c r="C22" s="6">
        <v>71734</v>
      </c>
    </row>
    <row r="23" spans="1:3" x14ac:dyDescent="0.25">
      <c r="A23" s="1">
        <v>22</v>
      </c>
      <c r="B23" s="4" t="s">
        <v>23</v>
      </c>
      <c r="C23" s="6">
        <v>-211424</v>
      </c>
    </row>
    <row r="24" spans="1:3" x14ac:dyDescent="0.25">
      <c r="A24" s="1">
        <v>23</v>
      </c>
      <c r="B24" s="4" t="s">
        <v>24</v>
      </c>
      <c r="C24" s="6">
        <v>10643</v>
      </c>
    </row>
    <row r="25" spans="1:3" x14ac:dyDescent="0.25">
      <c r="A25" s="1">
        <v>24</v>
      </c>
      <c r="B25" s="4" t="s">
        <v>25</v>
      </c>
      <c r="C25" s="6">
        <v>4481</v>
      </c>
    </row>
    <row r="26" spans="1:3" x14ac:dyDescent="0.25">
      <c r="A26" s="1">
        <v>25</v>
      </c>
      <c r="B26" s="4" t="s">
        <v>26</v>
      </c>
      <c r="C26" s="6">
        <v>5341</v>
      </c>
    </row>
    <row r="27" spans="1:3" x14ac:dyDescent="0.25">
      <c r="A27" s="1">
        <v>26</v>
      </c>
      <c r="B27" s="4" t="s">
        <v>27</v>
      </c>
      <c r="C27" s="6">
        <v>99691</v>
      </c>
    </row>
    <row r="28" spans="1:3" x14ac:dyDescent="0.25">
      <c r="A28" s="1">
        <v>27</v>
      </c>
      <c r="B28" s="4" t="s">
        <v>28</v>
      </c>
      <c r="C28" s="6">
        <v>24682</v>
      </c>
    </row>
    <row r="29" spans="1:3" x14ac:dyDescent="0.25">
      <c r="A29" s="1">
        <v>28</v>
      </c>
      <c r="B29" s="4" t="s">
        <v>29</v>
      </c>
      <c r="C29" s="6">
        <v>-142132</v>
      </c>
    </row>
    <row r="30" spans="1:3" x14ac:dyDescent="0.25">
      <c r="A30" s="1">
        <v>29</v>
      </c>
      <c r="B30" s="4" t="s">
        <v>30</v>
      </c>
      <c r="C30" s="6">
        <v>47383</v>
      </c>
    </row>
    <row r="31" spans="1:3" x14ac:dyDescent="0.25">
      <c r="A31" s="1">
        <v>30</v>
      </c>
      <c r="B31" s="4" t="s">
        <v>31</v>
      </c>
      <c r="C31" s="6">
        <v>24030</v>
      </c>
    </row>
    <row r="32" spans="1:3" x14ac:dyDescent="0.25">
      <c r="A32" s="1">
        <v>31</v>
      </c>
      <c r="B32" s="4" t="s">
        <v>32</v>
      </c>
      <c r="C32" s="6">
        <v>42543</v>
      </c>
    </row>
    <row r="33" spans="1:3" x14ac:dyDescent="0.25">
      <c r="A33" s="1">
        <v>32</v>
      </c>
      <c r="B33" s="4" t="s">
        <v>33</v>
      </c>
      <c r="C33" s="6">
        <v>15739</v>
      </c>
    </row>
    <row r="34" spans="1:3" x14ac:dyDescent="0.25">
      <c r="A34" s="1">
        <v>33</v>
      </c>
      <c r="B34" s="4" t="s">
        <v>34</v>
      </c>
      <c r="C34" s="6">
        <v>118284</v>
      </c>
    </row>
    <row r="35" spans="1:3" x14ac:dyDescent="0.25">
      <c r="A35" s="1">
        <v>34</v>
      </c>
      <c r="B35" s="4" t="s">
        <v>35</v>
      </c>
      <c r="C35" s="6">
        <v>5031</v>
      </c>
    </row>
    <row r="36" spans="1:3" x14ac:dyDescent="0.25">
      <c r="A36" s="1">
        <v>35</v>
      </c>
      <c r="B36" s="4" t="s">
        <v>36</v>
      </c>
      <c r="C36" s="6">
        <v>17229</v>
      </c>
    </row>
    <row r="37" spans="1:3" x14ac:dyDescent="0.25">
      <c r="A37" s="1">
        <v>36</v>
      </c>
      <c r="B37" s="4" t="s">
        <v>37</v>
      </c>
      <c r="C37" s="6">
        <v>21869</v>
      </c>
    </row>
    <row r="38" spans="1:3" x14ac:dyDescent="0.25">
      <c r="A38" s="1">
        <v>37</v>
      </c>
      <c r="B38" s="4" t="s">
        <v>38</v>
      </c>
      <c r="C38" s="6">
        <v>7511</v>
      </c>
    </row>
    <row r="39" spans="1:3" x14ac:dyDescent="0.25">
      <c r="A39" s="1">
        <v>38</v>
      </c>
      <c r="B39" s="4" t="s">
        <v>39</v>
      </c>
      <c r="C39" s="6">
        <v>-197016</v>
      </c>
    </row>
    <row r="40" spans="1:3" x14ac:dyDescent="0.25">
      <c r="A40" s="1">
        <v>39</v>
      </c>
      <c r="B40" s="4" t="s">
        <v>40</v>
      </c>
      <c r="C40" s="6">
        <v>18840</v>
      </c>
    </row>
    <row r="41" spans="1:3" x14ac:dyDescent="0.25">
      <c r="A41" s="1">
        <v>40</v>
      </c>
      <c r="B41" s="4" t="s">
        <v>41</v>
      </c>
      <c r="C41" s="6">
        <v>-46575</v>
      </c>
    </row>
    <row r="42" spans="1:3" x14ac:dyDescent="0.25">
      <c r="A42" s="1">
        <v>41</v>
      </c>
      <c r="B42" s="4" t="s">
        <v>42</v>
      </c>
      <c r="C42" s="6">
        <v>54091</v>
      </c>
    </row>
    <row r="43" spans="1:3" x14ac:dyDescent="0.25">
      <c r="A43" s="1">
        <v>42</v>
      </c>
      <c r="B43" s="4" t="s">
        <v>43</v>
      </c>
      <c r="C43" s="6">
        <v>-22257</v>
      </c>
    </row>
    <row r="44" spans="1:3" x14ac:dyDescent="0.25">
      <c r="A44" s="1">
        <v>43</v>
      </c>
      <c r="B44" s="4" t="s">
        <v>44</v>
      </c>
      <c r="C44" s="6">
        <v>13806</v>
      </c>
    </row>
    <row r="45" spans="1:3" x14ac:dyDescent="0.25">
      <c r="A45" s="1">
        <v>44</v>
      </c>
      <c r="B45" s="4" t="s">
        <v>45</v>
      </c>
      <c r="C45" s="6">
        <v>2791</v>
      </c>
    </row>
    <row r="46" spans="1:3" x14ac:dyDescent="0.25">
      <c r="A46" s="1">
        <v>45</v>
      </c>
      <c r="B46" s="4" t="s">
        <v>46</v>
      </c>
      <c r="C46" s="6">
        <v>5238</v>
      </c>
    </row>
    <row r="47" spans="1:3" x14ac:dyDescent="0.25">
      <c r="A47" s="1">
        <v>46</v>
      </c>
      <c r="B47" s="4" t="s">
        <v>47</v>
      </c>
      <c r="C47" s="6">
        <v>28</v>
      </c>
    </row>
    <row r="48" spans="1:3" x14ac:dyDescent="0.25">
      <c r="A48" s="1">
        <v>47</v>
      </c>
      <c r="B48" s="4" t="s">
        <v>48</v>
      </c>
      <c r="C48" s="6">
        <v>18462</v>
      </c>
    </row>
    <row r="49" spans="1:3" x14ac:dyDescent="0.25">
      <c r="A49" s="1">
        <v>48</v>
      </c>
      <c r="B49" s="4" t="s">
        <v>49</v>
      </c>
      <c r="C49" s="6">
        <v>8936</v>
      </c>
    </row>
    <row r="50" spans="1:3" x14ac:dyDescent="0.25">
      <c r="A50" s="1">
        <v>49</v>
      </c>
      <c r="B50" s="4" t="s">
        <v>50</v>
      </c>
      <c r="C50" s="6">
        <v>4908</v>
      </c>
    </row>
    <row r="51" spans="1:3" x14ac:dyDescent="0.25">
      <c r="A51" s="1">
        <v>50</v>
      </c>
      <c r="B51" s="4" t="s">
        <v>51</v>
      </c>
      <c r="C51" s="6">
        <v>9924</v>
      </c>
    </row>
    <row r="52" spans="1:3" x14ac:dyDescent="0.25">
      <c r="A52" s="1">
        <v>51</v>
      </c>
      <c r="B52" s="4" t="s">
        <v>52</v>
      </c>
      <c r="C52" s="6">
        <v>-42994</v>
      </c>
    </row>
    <row r="53" spans="1:3" x14ac:dyDescent="0.25">
      <c r="A53" s="1">
        <v>52</v>
      </c>
      <c r="B53" s="4" t="s">
        <v>53</v>
      </c>
      <c r="C53" s="6">
        <v>3652</v>
      </c>
    </row>
    <row r="54" spans="1:3" x14ac:dyDescent="0.25">
      <c r="A54" s="1">
        <v>53</v>
      </c>
      <c r="B54" s="4" t="s">
        <v>54</v>
      </c>
      <c r="C54" s="6">
        <v>-45933</v>
      </c>
    </row>
    <row r="55" spans="1:3" x14ac:dyDescent="0.25">
      <c r="A55" s="1">
        <v>54</v>
      </c>
      <c r="B55" s="4" t="s">
        <v>55</v>
      </c>
      <c r="C55" s="6">
        <v>4584</v>
      </c>
    </row>
    <row r="56" spans="1:3" x14ac:dyDescent="0.25">
      <c r="A56" s="1">
        <v>55</v>
      </c>
      <c r="B56" s="4" t="s">
        <v>56</v>
      </c>
      <c r="C56" s="6">
        <v>1172</v>
      </c>
    </row>
    <row r="57" spans="1:3" x14ac:dyDescent="0.25">
      <c r="A57" s="1">
        <v>56</v>
      </c>
      <c r="B57" s="4" t="s">
        <v>57</v>
      </c>
      <c r="C57" s="6">
        <v>4584</v>
      </c>
    </row>
    <row r="58" spans="1:3" x14ac:dyDescent="0.25">
      <c r="A58" s="1">
        <v>57</v>
      </c>
      <c r="B58" s="4" t="s">
        <v>58</v>
      </c>
      <c r="C58" s="6">
        <v>5548</v>
      </c>
    </row>
    <row r="59" spans="1:3" x14ac:dyDescent="0.25">
      <c r="A59" s="1">
        <v>58</v>
      </c>
      <c r="B59" s="4" t="s">
        <v>59</v>
      </c>
      <c r="C59" s="6">
        <v>4718</v>
      </c>
    </row>
    <row r="60" spans="1:3" x14ac:dyDescent="0.25">
      <c r="A60" s="1">
        <v>59</v>
      </c>
      <c r="B60" s="4" t="s">
        <v>60</v>
      </c>
      <c r="C60" s="6">
        <v>2205</v>
      </c>
    </row>
    <row r="61" spans="1:3" x14ac:dyDescent="0.25">
      <c r="A61" s="1">
        <v>60</v>
      </c>
      <c r="B61" s="4" t="s">
        <v>61</v>
      </c>
      <c r="C61" s="6">
        <v>-6840</v>
      </c>
    </row>
    <row r="62" spans="1:3" x14ac:dyDescent="0.25">
      <c r="A62" s="1">
        <v>61</v>
      </c>
      <c r="B62" s="4" t="s">
        <v>62</v>
      </c>
      <c r="C62" s="6">
        <v>40818</v>
      </c>
    </row>
    <row r="63" spans="1:3" x14ac:dyDescent="0.25">
      <c r="A63" s="1">
        <v>1</v>
      </c>
      <c r="B63" s="4" t="s">
        <v>63</v>
      </c>
      <c r="C63" s="6">
        <v>86783</v>
      </c>
    </row>
    <row r="64" spans="1:3" x14ac:dyDescent="0.25">
      <c r="B64" s="4" t="s">
        <v>65</v>
      </c>
      <c r="C64" s="7">
        <v>-3312718</v>
      </c>
    </row>
  </sheetData>
  <conditionalFormatting sqref="A2:C63">
    <cfRule type="notContainsBlanks" dxfId="10" priority="2">
      <formula>LEN(TRIM(A2))&gt;0</formula>
    </cfRule>
  </conditionalFormatting>
  <conditionalFormatting sqref="B64">
    <cfRule type="notContainsBlanks" dxfId="9" priority="1">
      <formula>LEN(TRIM(B64))&gt;0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8E152-80F0-4B4C-882D-2DC256091685}">
  <dimension ref="A1:H66"/>
  <sheetViews>
    <sheetView tabSelected="1" topLeftCell="A63" workbookViewId="0">
      <selection activeCell="C67" sqref="C67"/>
    </sheetView>
  </sheetViews>
  <sheetFormatPr defaultRowHeight="15" x14ac:dyDescent="0.25"/>
  <cols>
    <col min="1" max="1" width="38.7109375" bestFit="1" customWidth="1"/>
    <col min="2" max="3" width="14" bestFit="1" customWidth="1"/>
    <col min="4" max="4" width="9.5703125" bestFit="1" customWidth="1"/>
    <col min="5" max="5" width="13.7109375" bestFit="1" customWidth="1"/>
    <col min="6" max="6" width="95.7109375" customWidth="1"/>
    <col min="7" max="7" width="88.5703125" customWidth="1"/>
    <col min="8" max="8" width="79.85546875" customWidth="1"/>
  </cols>
  <sheetData>
    <row r="1" spans="1:8" x14ac:dyDescent="0.25">
      <c r="A1" s="9" t="s">
        <v>148</v>
      </c>
      <c r="B1" t="s">
        <v>149</v>
      </c>
      <c r="D1" s="10" t="s">
        <v>150</v>
      </c>
      <c r="E1" s="11" t="s">
        <v>151</v>
      </c>
    </row>
    <row r="2" spans="1:8" ht="93" customHeight="1" x14ac:dyDescent="0.25">
      <c r="A2" s="3" t="s">
        <v>2</v>
      </c>
      <c r="B2" s="12" t="str">
        <f>VLOOKUP(A2,policy!B:C,2,0)</f>
        <v>040000161386</v>
      </c>
      <c r="C2" s="6">
        <v>8666670</v>
      </c>
      <c r="D2" s="13">
        <f>ROUND(C2,0)</f>
        <v>8666670</v>
      </c>
      <c r="E2" s="11" t="s">
        <v>151</v>
      </c>
      <c r="F2" s="14" t="str">
        <f t="shared" ref="F2:F64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5" t="str">
        <f>"('"&amp;E2&amp;"','"&amp;B2&amp;"','"&amp;D2&amp;"',(select max(to_number(i.premium_rcv_detail_code))+1
from ins_premium_det i),'"&amp;D2&amp;"','"&amp;D2&amp;"','02', '11000003','00','Request by Mr. Omair Ali 18-March-2025');"</f>
        <v>('17Mar250088','040000161386','8666670',(select max(to_number(i.premium_rcv_detail_code))+1
from ins_premium_det i),'8666670','8666670','02', '11000003','00','Request by Mr. Omair Ali 18-March-2025');</v>
      </c>
      <c r="H2" s="16" t="str">
        <f>F2&amp;G2</f>
        <v>insert into ins_premium_det (premium_rcv_code,assorted_code, rec_amount,premium_rcv_detail_code,remaining_amt, payrec, mode_code,coinsurance_code,class_cd,it_remarks) values('17Mar250088','040000161386','8666670',(select max(to_number(i.premium_rcv_detail_code))+1
from ins_premium_det i),'8666670','8666670','02', '11000003','00','Request by Mr. Omair Ali 18-March-2025');</v>
      </c>
    </row>
    <row r="3" spans="1:8" ht="105" x14ac:dyDescent="0.25">
      <c r="A3" s="4" t="s">
        <v>3</v>
      </c>
      <c r="B3" s="12" t="str">
        <f>VLOOKUP(A3,policy!B:C,2,0)</f>
        <v>050000705522</v>
      </c>
      <c r="C3" s="6">
        <v>455569</v>
      </c>
      <c r="D3" s="13">
        <f t="shared" ref="D3:D64" si="1">ROUND(C3,0)</f>
        <v>455569</v>
      </c>
      <c r="E3" s="11" t="s">
        <v>151</v>
      </c>
      <c r="F3" s="14" t="str">
        <f t="shared" si="0"/>
        <v>insert into ins_premium_det (premium_rcv_code,assorted_code, rec_amount,premium_rcv_detail_code,remaining_amt, payrec, mode_code,coinsurance_code,class_cd,it_remarks) values</v>
      </c>
      <c r="G3" s="15" t="str">
        <f t="shared" ref="G3:G64" si="2">"('"&amp;E3&amp;"','"&amp;B3&amp;"','"&amp;D3&amp;"',(select max(to_number(i.premium_rcv_detail_code))+1
from ins_premium_det i),'"&amp;D3&amp;"','"&amp;D3&amp;"','02', '11000003','00','Request by Mr. Omair Ali 18-March-2025');"</f>
        <v>('17Mar250088','050000705522','455569',(select max(to_number(i.premium_rcv_detail_code))+1
from ins_premium_det i),'455569','455569','02', '11000003','00','Request by Mr. Omair Ali 18-March-2025');</v>
      </c>
      <c r="H3" s="16" t="str">
        <f t="shared" ref="H3:H64" si="3">F3&amp;G3</f>
        <v>insert into ins_premium_det (premium_rcv_code,assorted_code, rec_amount,premium_rcv_detail_code,remaining_amt, payrec, mode_code,coinsurance_code,class_cd,it_remarks) values('17Mar250088','050000705522','455569',(select max(to_number(i.premium_rcv_detail_code))+1
from ins_premium_det i),'455569','455569','02', '11000003','00','Request by Mr. Omair Ali 18-March-2025');</v>
      </c>
    </row>
    <row r="4" spans="1:8" ht="105" x14ac:dyDescent="0.25">
      <c r="A4" s="4" t="s">
        <v>4</v>
      </c>
      <c r="B4" s="12" t="str">
        <f>VLOOKUP(A4,policy!B:C,2,0)</f>
        <v>050000705732</v>
      </c>
      <c r="C4" s="6">
        <v>-607935</v>
      </c>
      <c r="D4" s="13">
        <f t="shared" si="1"/>
        <v>-607935</v>
      </c>
      <c r="E4" s="11" t="s">
        <v>151</v>
      </c>
      <c r="F4" s="14" t="str">
        <f t="shared" si="0"/>
        <v>insert into ins_premium_det (premium_rcv_code,assorted_code, rec_amount,premium_rcv_detail_code,remaining_amt, payrec, mode_code,coinsurance_code,class_cd,it_remarks) values</v>
      </c>
      <c r="G4" s="15" t="str">
        <f t="shared" si="2"/>
        <v>('17Mar250088','050000705732','-607935',(select max(to_number(i.premium_rcv_detail_code))+1
from ins_premium_det i),'-607935','-607935','02', '11000003','00','Request by Mr. Omair Ali 18-March-2025');</v>
      </c>
      <c r="H4" s="16" t="str">
        <f t="shared" si="3"/>
        <v>insert into ins_premium_det (premium_rcv_code,assorted_code, rec_amount,premium_rcv_detail_code,remaining_amt, payrec, mode_code,coinsurance_code,class_cd,it_remarks) values('17Mar250088','050000705732','-607935',(select max(to_number(i.premium_rcv_detail_code))+1
from ins_premium_det i),'-607935','-607935','02', '11000003','00','Request by Mr. Omair Ali 18-March-2025');</v>
      </c>
    </row>
    <row r="5" spans="1:8" ht="105" x14ac:dyDescent="0.25">
      <c r="A5" s="4" t="s">
        <v>5</v>
      </c>
      <c r="B5" s="12" t="str">
        <f>VLOOKUP(A5,policy!B:C,2,0)</f>
        <v>050000707008</v>
      </c>
      <c r="C5" s="6">
        <v>290116</v>
      </c>
      <c r="D5" s="13">
        <f t="shared" si="1"/>
        <v>290116</v>
      </c>
      <c r="E5" s="11" t="s">
        <v>151</v>
      </c>
      <c r="F5" s="14" t="str">
        <f t="shared" si="0"/>
        <v>insert into ins_premium_det (premium_rcv_code,assorted_code, rec_amount,premium_rcv_detail_code,remaining_amt, payrec, mode_code,coinsurance_code,class_cd,it_remarks) values</v>
      </c>
      <c r="G5" s="15" t="str">
        <f t="shared" si="2"/>
        <v>('17Mar250088','050000707008','290116',(select max(to_number(i.premium_rcv_detail_code))+1
from ins_premium_det i),'290116','290116','02', '11000003','00','Request by Mr. Omair Ali 18-March-2025');</v>
      </c>
      <c r="H5" s="16" t="str">
        <f t="shared" si="3"/>
        <v>insert into ins_premium_det (premium_rcv_code,assorted_code, rec_amount,premium_rcv_detail_code,remaining_amt, payrec, mode_code,coinsurance_code,class_cd,it_remarks) values('17Mar250088','050000707008','290116',(select max(to_number(i.premium_rcv_detail_code))+1
from ins_premium_det i),'290116','290116','02', '11000003','00','Request by Mr. Omair Ali 18-March-2025');</v>
      </c>
    </row>
    <row r="6" spans="1:8" ht="105" x14ac:dyDescent="0.25">
      <c r="A6" s="4" t="s">
        <v>6</v>
      </c>
      <c r="B6" s="12" t="str">
        <f>VLOOKUP(A6,policy!B:C,2,0)</f>
        <v>050000711014</v>
      </c>
      <c r="C6" s="6">
        <v>-2187973</v>
      </c>
      <c r="D6" s="13">
        <f t="shared" si="1"/>
        <v>-2187973</v>
      </c>
      <c r="E6" s="11" t="s">
        <v>151</v>
      </c>
      <c r="F6" s="14" t="str">
        <f t="shared" si="0"/>
        <v>insert into ins_premium_det (premium_rcv_code,assorted_code, rec_amount,premium_rcv_detail_code,remaining_amt, payrec, mode_code,coinsurance_code,class_cd,it_remarks) values</v>
      </c>
      <c r="G6" s="15" t="str">
        <f t="shared" si="2"/>
        <v>('17Mar250088','050000711014','-2187973',(select max(to_number(i.premium_rcv_detail_code))+1
from ins_premium_det i),'-2187973','-2187973','02', '11000003','00','Request by Mr. Omair Ali 18-March-2025');</v>
      </c>
      <c r="H6" s="16" t="str">
        <f t="shared" si="3"/>
        <v>insert into ins_premium_det (premium_rcv_code,assorted_code, rec_amount,premium_rcv_detail_code,remaining_amt, payrec, mode_code,coinsurance_code,class_cd,it_remarks) values('17Mar250088','050000711014','-2187973',(select max(to_number(i.premium_rcv_detail_code))+1
from ins_premium_det i),'-2187973','-2187973','02', '11000003','00','Request by Mr. Omair Ali 18-March-2025');</v>
      </c>
    </row>
    <row r="7" spans="1:8" ht="105" x14ac:dyDescent="0.25">
      <c r="A7" s="4" t="s">
        <v>7</v>
      </c>
      <c r="B7" s="12" t="str">
        <f>VLOOKUP(A7,policy!B:C,2,0)</f>
        <v>050000712378</v>
      </c>
      <c r="C7" s="6">
        <v>-51882</v>
      </c>
      <c r="D7" s="13">
        <f t="shared" si="1"/>
        <v>-51882</v>
      </c>
      <c r="E7" s="11" t="s">
        <v>151</v>
      </c>
      <c r="F7" s="14" t="str">
        <f t="shared" si="0"/>
        <v>insert into ins_premium_det (premium_rcv_code,assorted_code, rec_amount,premium_rcv_detail_code,remaining_amt, payrec, mode_code,coinsurance_code,class_cd,it_remarks) values</v>
      </c>
      <c r="G7" s="15" t="str">
        <f t="shared" si="2"/>
        <v>('17Mar250088','050000712378','-51882',(select max(to_number(i.premium_rcv_detail_code))+1
from ins_premium_det i),'-51882','-51882','02', '11000003','00','Request by Mr. Omair Ali 18-March-2025');</v>
      </c>
      <c r="H7" s="16" t="str">
        <f t="shared" si="3"/>
        <v>insert into ins_premium_det (premium_rcv_code,assorted_code, rec_amount,premium_rcv_detail_code,remaining_amt, payrec, mode_code,coinsurance_code,class_cd,it_remarks) values('17Mar250088','050000712378','-51882',(select max(to_number(i.premium_rcv_detail_code))+1
from ins_premium_det i),'-51882','-51882','02', '11000003','00','Request by Mr. Omair Ali 18-March-2025');</v>
      </c>
    </row>
    <row r="8" spans="1:8" ht="105" x14ac:dyDescent="0.25">
      <c r="A8" s="4" t="s">
        <v>8</v>
      </c>
      <c r="B8" s="12" t="str">
        <f>VLOOKUP(A8,policy!B:C,2,0)</f>
        <v>050000718029</v>
      </c>
      <c r="C8" s="6">
        <v>-15419</v>
      </c>
      <c r="D8" s="13">
        <f t="shared" si="1"/>
        <v>-15419</v>
      </c>
      <c r="E8" s="11" t="s">
        <v>151</v>
      </c>
      <c r="F8" s="14" t="str">
        <f t="shared" si="0"/>
        <v>insert into ins_premium_det (premium_rcv_code,assorted_code, rec_amount,premium_rcv_detail_code,remaining_amt, payrec, mode_code,coinsurance_code,class_cd,it_remarks) values</v>
      </c>
      <c r="G8" s="15" t="str">
        <f t="shared" si="2"/>
        <v>('17Mar250088','050000718029','-15419',(select max(to_number(i.premium_rcv_detail_code))+1
from ins_premium_det i),'-15419','-15419','02', '11000003','00','Request by Mr. Omair Ali 18-March-2025');</v>
      </c>
      <c r="H8" s="16" t="str">
        <f t="shared" si="3"/>
        <v>insert into ins_premium_det (premium_rcv_code,assorted_code, rec_amount,premium_rcv_detail_code,remaining_amt, payrec, mode_code,coinsurance_code,class_cd,it_remarks) values('17Mar250088','050000718029','-15419',(select max(to_number(i.premium_rcv_detail_code))+1
from ins_premium_det i),'-15419','-15419','02', '11000003','00','Request by Mr. Omair Ali 18-March-2025');</v>
      </c>
    </row>
    <row r="9" spans="1:8" ht="105" x14ac:dyDescent="0.25">
      <c r="A9" s="4" t="s">
        <v>9</v>
      </c>
      <c r="B9" s="12" t="str">
        <f>VLOOKUP(A9,policy!B:C,2,0)</f>
        <v>050000718144</v>
      </c>
      <c r="C9" s="6">
        <v>24154</v>
      </c>
      <c r="D9" s="13">
        <f t="shared" si="1"/>
        <v>24154</v>
      </c>
      <c r="E9" s="11" t="s">
        <v>151</v>
      </c>
      <c r="F9" s="14" t="str">
        <f t="shared" si="0"/>
        <v>insert into ins_premium_det (premium_rcv_code,assorted_code, rec_amount,premium_rcv_detail_code,remaining_amt, payrec, mode_code,coinsurance_code,class_cd,it_remarks) values</v>
      </c>
      <c r="G9" s="15" t="str">
        <f t="shared" si="2"/>
        <v>('17Mar250088','050000718144','24154',(select max(to_number(i.premium_rcv_detail_code))+1
from ins_premium_det i),'24154','24154','02', '11000003','00','Request by Mr. Omair Ali 18-March-2025');</v>
      </c>
      <c r="H9" s="16" t="str">
        <f t="shared" si="3"/>
        <v>insert into ins_premium_det (premium_rcv_code,assorted_code, rec_amount,premium_rcv_detail_code,remaining_amt, payrec, mode_code,coinsurance_code,class_cd,it_remarks) values('17Mar250088','050000718144','24154',(select max(to_number(i.premium_rcv_detail_code))+1
from ins_premium_det i),'24154','24154','02', '11000003','00','Request by Mr. Omair Ali 18-March-2025');</v>
      </c>
    </row>
    <row r="10" spans="1:8" ht="105" x14ac:dyDescent="0.25">
      <c r="A10" s="4" t="s">
        <v>10</v>
      </c>
      <c r="B10" s="12" t="str">
        <f>VLOOKUP(A10,policy!B:C,2,0)</f>
        <v>050000718330</v>
      </c>
      <c r="C10" s="6">
        <v>11785</v>
      </c>
      <c r="D10" s="13">
        <f t="shared" si="1"/>
        <v>11785</v>
      </c>
      <c r="E10" s="11" t="s">
        <v>151</v>
      </c>
      <c r="F10" s="14" t="str">
        <f t="shared" si="0"/>
        <v>insert into ins_premium_det (premium_rcv_code,assorted_code, rec_amount,premium_rcv_detail_code,remaining_amt, payrec, mode_code,coinsurance_code,class_cd,it_remarks) values</v>
      </c>
      <c r="G10" s="15" t="str">
        <f t="shared" si="2"/>
        <v>('17Mar250088','050000718330','11785',(select max(to_number(i.premium_rcv_detail_code))+1
from ins_premium_det i),'11785','11785','02', '11000003','00','Request by Mr. Omair Ali 18-March-2025');</v>
      </c>
      <c r="H10" s="16" t="str">
        <f t="shared" si="3"/>
        <v>insert into ins_premium_det (premium_rcv_code,assorted_code, rec_amount,premium_rcv_detail_code,remaining_amt, payrec, mode_code,coinsurance_code,class_cd,it_remarks) values('17Mar250088','050000718330','11785',(select max(to_number(i.premium_rcv_detail_code))+1
from ins_premium_det i),'11785','11785','02', '11000003','00','Request by Mr. Omair Ali 18-March-2025');</v>
      </c>
    </row>
    <row r="11" spans="1:8" ht="105" x14ac:dyDescent="0.25">
      <c r="A11" s="4" t="s">
        <v>11</v>
      </c>
      <c r="B11" s="12" t="str">
        <f>VLOOKUP(A11,policy!B:C,2,0)</f>
        <v>050000719308</v>
      </c>
      <c r="C11" s="6">
        <v>29594</v>
      </c>
      <c r="D11" s="13">
        <f t="shared" si="1"/>
        <v>29594</v>
      </c>
      <c r="E11" s="11" t="s">
        <v>151</v>
      </c>
      <c r="F11" s="14" t="str">
        <f t="shared" si="0"/>
        <v>insert into ins_premium_det (premium_rcv_code,assorted_code, rec_amount,premium_rcv_detail_code,remaining_amt, payrec, mode_code,coinsurance_code,class_cd,it_remarks) values</v>
      </c>
      <c r="G11" s="15" t="str">
        <f t="shared" si="2"/>
        <v>('17Mar250088','050000719308','29594',(select max(to_number(i.premium_rcv_detail_code))+1
from ins_premium_det i),'29594','29594','02', '11000003','00','Request by Mr. Omair Ali 18-March-2025');</v>
      </c>
      <c r="H11" s="16" t="str">
        <f t="shared" si="3"/>
        <v>insert into ins_premium_det (premium_rcv_code,assorted_code, rec_amount,premium_rcv_detail_code,remaining_amt, payrec, mode_code,coinsurance_code,class_cd,it_remarks) values('17Mar250088','050000719308','29594',(select max(to_number(i.premium_rcv_detail_code))+1
from ins_premium_det i),'29594','29594','02', '11000003','00','Request by Mr. Omair Ali 18-March-2025');</v>
      </c>
    </row>
    <row r="12" spans="1:8" ht="105" x14ac:dyDescent="0.25">
      <c r="A12" s="4" t="s">
        <v>12</v>
      </c>
      <c r="B12" s="12" t="str">
        <f>VLOOKUP(A12,policy!B:C,2,0)</f>
        <v>050000726194</v>
      </c>
      <c r="C12" s="6">
        <v>76177</v>
      </c>
      <c r="D12" s="13">
        <f t="shared" si="1"/>
        <v>76177</v>
      </c>
      <c r="E12" s="11" t="s">
        <v>151</v>
      </c>
      <c r="F12" s="14" t="str">
        <f t="shared" si="0"/>
        <v>insert into ins_premium_det (premium_rcv_code,assorted_code, rec_amount,premium_rcv_detail_code,remaining_amt, payrec, mode_code,coinsurance_code,class_cd,it_remarks) values</v>
      </c>
      <c r="G12" s="15" t="str">
        <f t="shared" si="2"/>
        <v>('17Mar250088','050000726194','76177',(select max(to_number(i.premium_rcv_detail_code))+1
from ins_premium_det i),'76177','76177','02', '11000003','00','Request by Mr. Omair Ali 18-March-2025');</v>
      </c>
      <c r="H12" s="16" t="str">
        <f t="shared" si="3"/>
        <v>insert into ins_premium_det (premium_rcv_code,assorted_code, rec_amount,premium_rcv_detail_code,remaining_amt, payrec, mode_code,coinsurance_code,class_cd,it_remarks) values('17Mar250088','050000726194','76177',(select max(to_number(i.premium_rcv_detail_code))+1
from ins_premium_det i),'76177','76177','02', '11000003','00','Request by Mr. Omair Ali 18-March-2025');</v>
      </c>
    </row>
    <row r="13" spans="1:8" ht="105" x14ac:dyDescent="0.25">
      <c r="A13" s="4" t="s">
        <v>13</v>
      </c>
      <c r="B13" s="12" t="str">
        <f>VLOOKUP(A13,policy!B:C,2,0)</f>
        <v>050000728200</v>
      </c>
      <c r="C13" s="6">
        <v>-192549</v>
      </c>
      <c r="D13" s="13">
        <f t="shared" si="1"/>
        <v>-192549</v>
      </c>
      <c r="E13" s="11" t="s">
        <v>151</v>
      </c>
      <c r="F13" s="14" t="str">
        <f t="shared" si="0"/>
        <v>insert into ins_premium_det (premium_rcv_code,assorted_code, rec_amount,premium_rcv_detail_code,remaining_amt, payrec, mode_code,coinsurance_code,class_cd,it_remarks) values</v>
      </c>
      <c r="G13" s="15" t="str">
        <f t="shared" si="2"/>
        <v>('17Mar250088','050000728200','-192549',(select max(to_number(i.premium_rcv_detail_code))+1
from ins_premium_det i),'-192549','-192549','02', '11000003','00','Request by Mr. Omair Ali 18-March-2025');</v>
      </c>
      <c r="H13" s="16" t="str">
        <f t="shared" si="3"/>
        <v>insert into ins_premium_det (premium_rcv_code,assorted_code, rec_amount,premium_rcv_detail_code,remaining_amt, payrec, mode_code,coinsurance_code,class_cd,it_remarks) values('17Mar250088','050000728200','-192549',(select max(to_number(i.premium_rcv_detail_code))+1
from ins_premium_det i),'-192549','-192549','02', '11000003','00','Request by Mr. Omair Ali 18-March-2025');</v>
      </c>
    </row>
    <row r="14" spans="1:8" ht="105" x14ac:dyDescent="0.25">
      <c r="A14" s="4" t="s">
        <v>14</v>
      </c>
      <c r="B14" s="12" t="str">
        <f>VLOOKUP(A14,policy!B:C,2,0)</f>
        <v>050000729079</v>
      </c>
      <c r="C14" s="6">
        <v>-29681</v>
      </c>
      <c r="D14" s="13">
        <f t="shared" si="1"/>
        <v>-29681</v>
      </c>
      <c r="E14" s="11" t="s">
        <v>151</v>
      </c>
      <c r="F14" s="14" t="str">
        <f t="shared" si="0"/>
        <v>insert into ins_premium_det (premium_rcv_code,assorted_code, rec_amount,premium_rcv_detail_code,remaining_amt, payrec, mode_code,coinsurance_code,class_cd,it_remarks) values</v>
      </c>
      <c r="G14" s="15" t="str">
        <f t="shared" si="2"/>
        <v>('17Mar250088','050000729079','-29681',(select max(to_number(i.premium_rcv_detail_code))+1
from ins_premium_det i),'-29681','-29681','02', '11000003','00','Request by Mr. Omair Ali 18-March-2025');</v>
      </c>
      <c r="H14" s="16" t="str">
        <f t="shared" si="3"/>
        <v>insert into ins_premium_det (premium_rcv_code,assorted_code, rec_amount,premium_rcv_detail_code,remaining_amt, payrec, mode_code,coinsurance_code,class_cd,it_remarks) values('17Mar250088','050000729079','-29681',(select max(to_number(i.premium_rcv_detail_code))+1
from ins_premium_det i),'-29681','-29681','02', '11000003','00','Request by Mr. Omair Ali 18-March-2025');</v>
      </c>
    </row>
    <row r="15" spans="1:8" ht="105" x14ac:dyDescent="0.25">
      <c r="A15" s="4" t="s">
        <v>15</v>
      </c>
      <c r="B15" s="12" t="str">
        <f>VLOOKUP(A15,policy!B:C,2,0)</f>
        <v>050000729371</v>
      </c>
      <c r="C15" s="6">
        <v>-165219</v>
      </c>
      <c r="D15" s="13">
        <f t="shared" si="1"/>
        <v>-165219</v>
      </c>
      <c r="E15" s="11" t="s">
        <v>151</v>
      </c>
      <c r="F15" s="14" t="str">
        <f t="shared" si="0"/>
        <v>insert into ins_premium_det (premium_rcv_code,assorted_code, rec_amount,premium_rcv_detail_code,remaining_amt, payrec, mode_code,coinsurance_code,class_cd,it_remarks) values</v>
      </c>
      <c r="G15" s="15" t="str">
        <f t="shared" si="2"/>
        <v>('17Mar250088','050000729371','-165219',(select max(to_number(i.premium_rcv_detail_code))+1
from ins_premium_det i),'-165219','-165219','02', '11000003','00','Request by Mr. Omair Ali 18-March-2025');</v>
      </c>
      <c r="H15" s="16" t="str">
        <f t="shared" si="3"/>
        <v>insert into ins_premium_det (premium_rcv_code,assorted_code, rec_amount,premium_rcv_detail_code,remaining_amt, payrec, mode_code,coinsurance_code,class_cd,it_remarks) values('17Mar250088','050000729371','-165219',(select max(to_number(i.premium_rcv_detail_code))+1
from ins_premium_det i),'-165219','-165219','02', '11000003','00','Request by Mr. Omair Ali 18-March-2025');</v>
      </c>
    </row>
    <row r="16" spans="1:8" ht="105" x14ac:dyDescent="0.25">
      <c r="A16" s="4" t="s">
        <v>16</v>
      </c>
      <c r="B16" s="12" t="str">
        <f>VLOOKUP(A16,policy!B:C,2,0)</f>
        <v>050000735395</v>
      </c>
      <c r="C16" s="6">
        <v>33922</v>
      </c>
      <c r="D16" s="13">
        <f t="shared" si="1"/>
        <v>33922</v>
      </c>
      <c r="E16" s="11" t="s">
        <v>151</v>
      </c>
      <c r="F16" s="14" t="str">
        <f t="shared" si="0"/>
        <v>insert into ins_premium_det (premium_rcv_code,assorted_code, rec_amount,premium_rcv_detail_code,remaining_amt, payrec, mode_code,coinsurance_code,class_cd,it_remarks) values</v>
      </c>
      <c r="G16" s="15" t="str">
        <f t="shared" si="2"/>
        <v>('17Mar250088','050000735395','33922',(select max(to_number(i.premium_rcv_detail_code))+1
from ins_premium_det i),'33922','33922','02', '11000003','00','Request by Mr. Omair Ali 18-March-2025');</v>
      </c>
      <c r="H16" s="16" t="str">
        <f t="shared" si="3"/>
        <v>insert into ins_premium_det (premium_rcv_code,assorted_code, rec_amount,premium_rcv_detail_code,remaining_amt, payrec, mode_code,coinsurance_code,class_cd,it_remarks) values('17Mar250088','050000735395','33922',(select max(to_number(i.premium_rcv_detail_code))+1
from ins_premium_det i),'33922','33922','02', '11000003','00','Request by Mr. Omair Ali 18-March-2025');</v>
      </c>
    </row>
    <row r="17" spans="1:8" ht="105" x14ac:dyDescent="0.25">
      <c r="A17" s="4" t="s">
        <v>17</v>
      </c>
      <c r="B17" s="12" t="str">
        <f>VLOOKUP(A17,policy!B:C,2,0)</f>
        <v>050000737160</v>
      </c>
      <c r="C17" s="6">
        <v>-133490</v>
      </c>
      <c r="D17" s="13">
        <f t="shared" si="1"/>
        <v>-133490</v>
      </c>
      <c r="E17" s="11" t="s">
        <v>151</v>
      </c>
      <c r="F17" s="14" t="str">
        <f t="shared" si="0"/>
        <v>insert into ins_premium_det (premium_rcv_code,assorted_code, rec_amount,premium_rcv_detail_code,remaining_amt, payrec, mode_code,coinsurance_code,class_cd,it_remarks) values</v>
      </c>
      <c r="G17" s="15" t="str">
        <f t="shared" si="2"/>
        <v>('17Mar250088','050000737160','-133490',(select max(to_number(i.premium_rcv_detail_code))+1
from ins_premium_det i),'-133490','-133490','02', '11000003','00','Request by Mr. Omair Ali 18-March-2025');</v>
      </c>
      <c r="H17" s="16" t="str">
        <f t="shared" si="3"/>
        <v>insert into ins_premium_det (premium_rcv_code,assorted_code, rec_amount,premium_rcv_detail_code,remaining_amt, payrec, mode_code,coinsurance_code,class_cd,it_remarks) values('17Mar250088','050000737160','-133490',(select max(to_number(i.premium_rcv_detail_code))+1
from ins_premium_det i),'-133490','-133490','02', '11000003','00','Request by Mr. Omair Ali 18-March-2025');</v>
      </c>
    </row>
    <row r="18" spans="1:8" ht="105" x14ac:dyDescent="0.25">
      <c r="A18" s="4" t="s">
        <v>18</v>
      </c>
      <c r="B18" s="12" t="str">
        <f>VLOOKUP(A18,policy!B:C,2,0)</f>
        <v>050000738369</v>
      </c>
      <c r="C18" s="6">
        <v>11371</v>
      </c>
      <c r="D18" s="13">
        <f t="shared" si="1"/>
        <v>11371</v>
      </c>
      <c r="E18" s="11" t="s">
        <v>151</v>
      </c>
      <c r="F18" s="14" t="str">
        <f t="shared" si="0"/>
        <v>insert into ins_premium_det (premium_rcv_code,assorted_code, rec_amount,premium_rcv_detail_code,remaining_amt, payrec, mode_code,coinsurance_code,class_cd,it_remarks) values</v>
      </c>
      <c r="G18" s="15" t="str">
        <f t="shared" si="2"/>
        <v>('17Mar250088','050000738369','11371',(select max(to_number(i.premium_rcv_detail_code))+1
from ins_premium_det i),'11371','11371','02', '11000003','00','Request by Mr. Omair Ali 18-March-2025');</v>
      </c>
      <c r="H18" s="16" t="str">
        <f t="shared" si="3"/>
        <v>insert into ins_premium_det (premium_rcv_code,assorted_code, rec_amount,premium_rcv_detail_code,remaining_amt, payrec, mode_code,coinsurance_code,class_cd,it_remarks) values('17Mar250088','050000738369','11371',(select max(to_number(i.premium_rcv_detail_code))+1
from ins_premium_det i),'11371','11371','02', '11000003','00','Request by Mr. Omair Ali 18-March-2025');</v>
      </c>
    </row>
    <row r="19" spans="1:8" ht="105" x14ac:dyDescent="0.25">
      <c r="A19" s="4" t="s">
        <v>19</v>
      </c>
      <c r="B19" s="12" t="str">
        <f>VLOOKUP(A19,policy!B:C,2,0)</f>
        <v>050000748942</v>
      </c>
      <c r="C19" s="6">
        <v>8477</v>
      </c>
      <c r="D19" s="13">
        <f t="shared" si="1"/>
        <v>8477</v>
      </c>
      <c r="E19" s="11" t="s">
        <v>151</v>
      </c>
      <c r="F19" s="14" t="str">
        <f t="shared" si="0"/>
        <v>insert into ins_premium_det (premium_rcv_code,assorted_code, rec_amount,premium_rcv_detail_code,remaining_amt, payrec, mode_code,coinsurance_code,class_cd,it_remarks) values</v>
      </c>
      <c r="G19" s="15" t="str">
        <f t="shared" si="2"/>
        <v>('17Mar250088','050000748942','8477',(select max(to_number(i.premium_rcv_detail_code))+1
from ins_premium_det i),'8477','8477','02', '11000003','00','Request by Mr. Omair Ali 18-March-2025');</v>
      </c>
      <c r="H19" s="16" t="str">
        <f t="shared" si="3"/>
        <v>insert into ins_premium_det (premium_rcv_code,assorted_code, rec_amount,premium_rcv_detail_code,remaining_amt, payrec, mode_code,coinsurance_code,class_cd,it_remarks) values('17Mar250088','050000748942','8477',(select max(to_number(i.premium_rcv_detail_code))+1
from ins_premium_det i),'8477','8477','02', '11000003','00','Request by Mr. Omair Ali 18-March-2025');</v>
      </c>
    </row>
    <row r="20" spans="1:8" ht="105" x14ac:dyDescent="0.25">
      <c r="A20" s="4" t="s">
        <v>20</v>
      </c>
      <c r="B20" s="12" t="str">
        <f>VLOOKUP(A20,policy!B:C,2,0)</f>
        <v>050000758931</v>
      </c>
      <c r="C20" s="6">
        <v>-92173</v>
      </c>
      <c r="D20" s="13">
        <f t="shared" si="1"/>
        <v>-92173</v>
      </c>
      <c r="E20" s="11" t="s">
        <v>151</v>
      </c>
      <c r="F20" s="14" t="str">
        <f t="shared" si="0"/>
        <v>insert into ins_premium_det (premium_rcv_code,assorted_code, rec_amount,premium_rcv_detail_code,remaining_amt, payrec, mode_code,coinsurance_code,class_cd,it_remarks) values</v>
      </c>
      <c r="G20" s="15" t="str">
        <f t="shared" si="2"/>
        <v>('17Mar250088','050000758931','-92173',(select max(to_number(i.premium_rcv_detail_code))+1
from ins_premium_det i),'-92173','-92173','02', '11000003','00','Request by Mr. Omair Ali 18-March-2025');</v>
      </c>
      <c r="H20" s="16" t="str">
        <f t="shared" si="3"/>
        <v>insert into ins_premium_det (premium_rcv_code,assorted_code, rec_amount,premium_rcv_detail_code,remaining_amt, payrec, mode_code,coinsurance_code,class_cd,it_remarks) values('17Mar250088','050000758931','-92173',(select max(to_number(i.premium_rcv_detail_code))+1
from ins_premium_det i),'-92173','-92173','02', '11000003','00','Request by Mr. Omair Ali 18-March-2025');</v>
      </c>
    </row>
    <row r="21" spans="1:8" ht="105" x14ac:dyDescent="0.25">
      <c r="A21" s="4" t="s">
        <v>21</v>
      </c>
      <c r="B21" s="12" t="str">
        <f>VLOOKUP(A21,policy!B:C,2,0)</f>
        <v>050000761216</v>
      </c>
      <c r="C21" s="6">
        <v>-2910904</v>
      </c>
      <c r="D21" s="13">
        <f t="shared" si="1"/>
        <v>-2910904</v>
      </c>
      <c r="E21" s="11" t="s">
        <v>151</v>
      </c>
      <c r="F21" s="14" t="str">
        <f t="shared" si="0"/>
        <v>insert into ins_premium_det (premium_rcv_code,assorted_code, rec_amount,premium_rcv_detail_code,remaining_amt, payrec, mode_code,coinsurance_code,class_cd,it_remarks) values</v>
      </c>
      <c r="G21" s="15" t="str">
        <f t="shared" si="2"/>
        <v>('17Mar250088','050000761216','-2910904',(select max(to_number(i.premium_rcv_detail_code))+1
from ins_premium_det i),'-2910904','-2910904','02', '11000003','00','Request by Mr. Omair Ali 18-March-2025');</v>
      </c>
      <c r="H21" s="16" t="str">
        <f t="shared" si="3"/>
        <v>insert into ins_premium_det (premium_rcv_code,assorted_code, rec_amount,premium_rcv_detail_code,remaining_amt, payrec, mode_code,coinsurance_code,class_cd,it_remarks) values('17Mar250088','050000761216','-2910904',(select max(to_number(i.premium_rcv_detail_code))+1
from ins_premium_det i),'-2910904','-2910904','02', '11000003','00','Request by Mr. Omair Ali 18-March-2025');</v>
      </c>
    </row>
    <row r="22" spans="1:8" ht="105" x14ac:dyDescent="0.25">
      <c r="A22" s="4" t="s">
        <v>22</v>
      </c>
      <c r="B22" s="12" t="str">
        <f>VLOOKUP(A22,policy!B:C,2,0)</f>
        <v>050000761595</v>
      </c>
      <c r="C22" s="6">
        <v>71734</v>
      </c>
      <c r="D22" s="13">
        <f t="shared" si="1"/>
        <v>71734</v>
      </c>
      <c r="E22" s="11" t="s">
        <v>151</v>
      </c>
      <c r="F22" s="14" t="str">
        <f t="shared" si="0"/>
        <v>insert into ins_premium_det (premium_rcv_code,assorted_code, rec_amount,premium_rcv_detail_code,remaining_amt, payrec, mode_code,coinsurance_code,class_cd,it_remarks) values</v>
      </c>
      <c r="G22" s="15" t="str">
        <f t="shared" si="2"/>
        <v>('17Mar250088','050000761595','71734',(select max(to_number(i.premium_rcv_detail_code))+1
from ins_premium_det i),'71734','71734','02', '11000003','00','Request by Mr. Omair Ali 18-March-2025');</v>
      </c>
      <c r="H22" s="16" t="str">
        <f t="shared" si="3"/>
        <v>insert into ins_premium_det (premium_rcv_code,assorted_code, rec_amount,premium_rcv_detail_code,remaining_amt, payrec, mode_code,coinsurance_code,class_cd,it_remarks) values('17Mar250088','050000761595','71734',(select max(to_number(i.premium_rcv_detail_code))+1
from ins_premium_det i),'71734','71734','02', '11000003','00','Request by Mr. Omair Ali 18-March-2025');</v>
      </c>
    </row>
    <row r="23" spans="1:8" ht="105" x14ac:dyDescent="0.25">
      <c r="A23" s="4" t="s">
        <v>23</v>
      </c>
      <c r="B23" s="12" t="str">
        <f>VLOOKUP(A23,policy!B:C,2,0)</f>
        <v>050000772594</v>
      </c>
      <c r="C23" s="6">
        <v>-211424</v>
      </c>
      <c r="D23" s="13">
        <f t="shared" si="1"/>
        <v>-211424</v>
      </c>
      <c r="E23" s="11" t="s">
        <v>151</v>
      </c>
      <c r="F23" s="14" t="str">
        <f t="shared" si="0"/>
        <v>insert into ins_premium_det (premium_rcv_code,assorted_code, rec_amount,premium_rcv_detail_code,remaining_amt, payrec, mode_code,coinsurance_code,class_cd,it_remarks) values</v>
      </c>
      <c r="G23" s="15" t="str">
        <f t="shared" si="2"/>
        <v>('17Mar250088','050000772594','-211424',(select max(to_number(i.premium_rcv_detail_code))+1
from ins_premium_det i),'-211424','-211424','02', '11000003','00','Request by Mr. Omair Ali 18-March-2025');</v>
      </c>
      <c r="H23" s="16" t="str">
        <f t="shared" si="3"/>
        <v>insert into ins_premium_det (premium_rcv_code,assorted_code, rec_amount,premium_rcv_detail_code,remaining_amt, payrec, mode_code,coinsurance_code,class_cd,it_remarks) values('17Mar250088','050000772594','-211424',(select max(to_number(i.premium_rcv_detail_code))+1
from ins_premium_det i),'-211424','-211424','02', '11000003','00','Request by Mr. Omair Ali 18-March-2025');</v>
      </c>
    </row>
    <row r="24" spans="1:8" ht="105" x14ac:dyDescent="0.25">
      <c r="A24" s="4" t="s">
        <v>24</v>
      </c>
      <c r="B24" s="12" t="str">
        <f>VLOOKUP(A24,policy!B:C,2,0)</f>
        <v>050000773848</v>
      </c>
      <c r="C24" s="6">
        <v>10643</v>
      </c>
      <c r="D24" s="13">
        <f t="shared" si="1"/>
        <v>10643</v>
      </c>
      <c r="E24" s="11" t="s">
        <v>151</v>
      </c>
      <c r="F24" s="14" t="str">
        <f t="shared" si="0"/>
        <v>insert into ins_premium_det (premium_rcv_code,assorted_code, rec_amount,premium_rcv_detail_code,remaining_amt, payrec, mode_code,coinsurance_code,class_cd,it_remarks) values</v>
      </c>
      <c r="G24" s="15" t="str">
        <f t="shared" si="2"/>
        <v>('17Mar250088','050000773848','10643',(select max(to_number(i.premium_rcv_detail_code))+1
from ins_premium_det i),'10643','10643','02', '11000003','00','Request by Mr. Omair Ali 18-March-2025');</v>
      </c>
      <c r="H24" s="16" t="str">
        <f t="shared" si="3"/>
        <v>insert into ins_premium_det (premium_rcv_code,assorted_code, rec_amount,premium_rcv_detail_code,remaining_amt, payrec, mode_code,coinsurance_code,class_cd,it_remarks) values('17Mar250088','050000773848','10643',(select max(to_number(i.premium_rcv_detail_code))+1
from ins_premium_det i),'10643','10643','02', '11000003','00','Request by Mr. Omair Ali 18-March-2025');</v>
      </c>
    </row>
    <row r="25" spans="1:8" ht="105" x14ac:dyDescent="0.25">
      <c r="A25" s="4" t="s">
        <v>25</v>
      </c>
      <c r="B25" s="12" t="str">
        <f>VLOOKUP(A25,policy!B:C,2,0)</f>
        <v>050000775535</v>
      </c>
      <c r="C25" s="6">
        <v>4481</v>
      </c>
      <c r="D25" s="13">
        <f t="shared" si="1"/>
        <v>4481</v>
      </c>
      <c r="E25" s="11" t="s">
        <v>151</v>
      </c>
      <c r="F25" s="14" t="str">
        <f t="shared" si="0"/>
        <v>insert into ins_premium_det (premium_rcv_code,assorted_code, rec_amount,premium_rcv_detail_code,remaining_amt, payrec, mode_code,coinsurance_code,class_cd,it_remarks) values</v>
      </c>
      <c r="G25" s="15" t="str">
        <f t="shared" si="2"/>
        <v>('17Mar250088','050000775535','4481',(select max(to_number(i.premium_rcv_detail_code))+1
from ins_premium_det i),'4481','4481','02', '11000003','00','Request by Mr. Omair Ali 18-March-2025');</v>
      </c>
      <c r="H25" s="16" t="str">
        <f t="shared" si="3"/>
        <v>insert into ins_premium_det (premium_rcv_code,assorted_code, rec_amount,premium_rcv_detail_code,remaining_amt, payrec, mode_code,coinsurance_code,class_cd,it_remarks) values('17Mar250088','050000775535','4481',(select max(to_number(i.premium_rcv_detail_code))+1
from ins_premium_det i),'4481','4481','02', '11000003','00','Request by Mr. Omair Ali 18-March-2025');</v>
      </c>
    </row>
    <row r="26" spans="1:8" ht="105" x14ac:dyDescent="0.25">
      <c r="A26" s="4" t="s">
        <v>26</v>
      </c>
      <c r="B26" s="12" t="str">
        <f>VLOOKUP(A26,policy!B:C,2,0)</f>
        <v>050000776428</v>
      </c>
      <c r="C26" s="6">
        <v>5341</v>
      </c>
      <c r="D26" s="13">
        <f t="shared" si="1"/>
        <v>5341</v>
      </c>
      <c r="E26" s="11" t="s">
        <v>151</v>
      </c>
      <c r="F26" s="14" t="str">
        <f t="shared" si="0"/>
        <v>insert into ins_premium_det (premium_rcv_code,assorted_code, rec_amount,premium_rcv_detail_code,remaining_amt, payrec, mode_code,coinsurance_code,class_cd,it_remarks) values</v>
      </c>
      <c r="G26" s="15" t="str">
        <f t="shared" si="2"/>
        <v>('17Mar250088','050000776428','5341',(select max(to_number(i.premium_rcv_detail_code))+1
from ins_premium_det i),'5341','5341','02', '11000003','00','Request by Mr. Omair Ali 18-March-2025');</v>
      </c>
      <c r="H26" s="16" t="str">
        <f t="shared" si="3"/>
        <v>insert into ins_premium_det (premium_rcv_code,assorted_code, rec_amount,premium_rcv_detail_code,remaining_amt, payrec, mode_code,coinsurance_code,class_cd,it_remarks) values('17Mar250088','050000776428','5341',(select max(to_number(i.premium_rcv_detail_code))+1
from ins_premium_det i),'5341','5341','02', '11000003','00','Request by Mr. Omair Ali 18-March-2025');</v>
      </c>
    </row>
    <row r="27" spans="1:8" ht="105" x14ac:dyDescent="0.25">
      <c r="A27" s="4" t="s">
        <v>27</v>
      </c>
      <c r="B27" s="12" t="str">
        <f>VLOOKUP(A27,policy!B:C,2,0)</f>
        <v>050000777702</v>
      </c>
      <c r="C27" s="6">
        <v>99691</v>
      </c>
      <c r="D27" s="13">
        <f t="shared" si="1"/>
        <v>99691</v>
      </c>
      <c r="E27" s="11" t="s">
        <v>151</v>
      </c>
      <c r="F27" s="14" t="str">
        <f t="shared" si="0"/>
        <v>insert into ins_premium_det (premium_rcv_code,assorted_code, rec_amount,premium_rcv_detail_code,remaining_amt, payrec, mode_code,coinsurance_code,class_cd,it_remarks) values</v>
      </c>
      <c r="G27" s="15" t="str">
        <f t="shared" si="2"/>
        <v>('17Mar250088','050000777702','99691',(select max(to_number(i.premium_rcv_detail_code))+1
from ins_premium_det i),'99691','99691','02', '11000003','00','Request by Mr. Omair Ali 18-March-2025');</v>
      </c>
      <c r="H27" s="16" t="str">
        <f t="shared" si="3"/>
        <v>insert into ins_premium_det (premium_rcv_code,assorted_code, rec_amount,premium_rcv_detail_code,remaining_amt, payrec, mode_code,coinsurance_code,class_cd,it_remarks) values('17Mar250088','050000777702','99691',(select max(to_number(i.premium_rcv_detail_code))+1
from ins_premium_det i),'99691','99691','02', '11000003','00','Request by Mr. Omair Ali 18-March-2025');</v>
      </c>
    </row>
    <row r="28" spans="1:8" ht="105" x14ac:dyDescent="0.25">
      <c r="A28" s="4" t="s">
        <v>28</v>
      </c>
      <c r="B28" s="12" t="str">
        <f>VLOOKUP(A28,policy!B:C,2,0)</f>
        <v>050000779039</v>
      </c>
      <c r="C28" s="6">
        <v>24682</v>
      </c>
      <c r="D28" s="13">
        <f t="shared" si="1"/>
        <v>24682</v>
      </c>
      <c r="E28" s="11" t="s">
        <v>151</v>
      </c>
      <c r="F28" s="14" t="str">
        <f t="shared" si="0"/>
        <v>insert into ins_premium_det (premium_rcv_code,assorted_code, rec_amount,premium_rcv_detail_code,remaining_amt, payrec, mode_code,coinsurance_code,class_cd,it_remarks) values</v>
      </c>
      <c r="G28" s="15" t="str">
        <f t="shared" si="2"/>
        <v>('17Mar250088','050000779039','24682',(select max(to_number(i.premium_rcv_detail_code))+1
from ins_premium_det i),'24682','24682','02', '11000003','00','Request by Mr. Omair Ali 18-March-2025');</v>
      </c>
      <c r="H28" s="16" t="str">
        <f t="shared" si="3"/>
        <v>insert into ins_premium_det (premium_rcv_code,assorted_code, rec_amount,premium_rcv_detail_code,remaining_amt, payrec, mode_code,coinsurance_code,class_cd,it_remarks) values('17Mar250088','050000779039','24682',(select max(to_number(i.premium_rcv_detail_code))+1
from ins_premium_det i),'24682','24682','02', '11000003','00','Request by Mr. Omair Ali 18-March-2025');</v>
      </c>
    </row>
    <row r="29" spans="1:8" ht="105" x14ac:dyDescent="0.25">
      <c r="A29" s="4" t="s">
        <v>29</v>
      </c>
      <c r="B29" s="12" t="str">
        <f>VLOOKUP(A29,policy!B:C,2,0)</f>
        <v>050000780186</v>
      </c>
      <c r="C29" s="6">
        <v>-142132</v>
      </c>
      <c r="D29" s="13">
        <f t="shared" si="1"/>
        <v>-142132</v>
      </c>
      <c r="E29" s="11" t="s">
        <v>151</v>
      </c>
      <c r="F29" s="14" t="str">
        <f t="shared" si="0"/>
        <v>insert into ins_premium_det (premium_rcv_code,assorted_code, rec_amount,premium_rcv_detail_code,remaining_amt, payrec, mode_code,coinsurance_code,class_cd,it_remarks) values</v>
      </c>
      <c r="G29" s="15" t="str">
        <f t="shared" si="2"/>
        <v>('17Mar250088','050000780186','-142132',(select max(to_number(i.premium_rcv_detail_code))+1
from ins_premium_det i),'-142132','-142132','02', '11000003','00','Request by Mr. Omair Ali 18-March-2025');</v>
      </c>
      <c r="H29" s="16" t="str">
        <f t="shared" si="3"/>
        <v>insert into ins_premium_det (premium_rcv_code,assorted_code, rec_amount,premium_rcv_detail_code,remaining_amt, payrec, mode_code,coinsurance_code,class_cd,it_remarks) values('17Mar250088','050000780186','-142132',(select max(to_number(i.premium_rcv_detail_code))+1
from ins_premium_det i),'-142132','-142132','02', '11000003','00','Request by Mr. Omair Ali 18-March-2025');</v>
      </c>
    </row>
    <row r="30" spans="1:8" ht="105" x14ac:dyDescent="0.25">
      <c r="A30" s="4" t="s">
        <v>30</v>
      </c>
      <c r="B30" s="12" t="str">
        <f>VLOOKUP(A30,policy!B:C,2,0)</f>
        <v>050000780525</v>
      </c>
      <c r="C30" s="6">
        <v>47383</v>
      </c>
      <c r="D30" s="13">
        <f t="shared" si="1"/>
        <v>47383</v>
      </c>
      <c r="E30" s="11" t="s">
        <v>151</v>
      </c>
      <c r="F30" s="14" t="str">
        <f t="shared" si="0"/>
        <v>insert into ins_premium_det (premium_rcv_code,assorted_code, rec_amount,premium_rcv_detail_code,remaining_amt, payrec, mode_code,coinsurance_code,class_cd,it_remarks) values</v>
      </c>
      <c r="G30" s="15" t="str">
        <f t="shared" si="2"/>
        <v>('17Mar250088','050000780525','47383',(select max(to_number(i.premium_rcv_detail_code))+1
from ins_premium_det i),'47383','47383','02', '11000003','00','Request by Mr. Omair Ali 18-March-2025');</v>
      </c>
      <c r="H30" s="16" t="str">
        <f t="shared" si="3"/>
        <v>insert into ins_premium_det (premium_rcv_code,assorted_code, rec_amount,premium_rcv_detail_code,remaining_amt, payrec, mode_code,coinsurance_code,class_cd,it_remarks) values('17Mar250088','050000780525','47383',(select max(to_number(i.premium_rcv_detail_code))+1
from ins_premium_det i),'47383','47383','02', '11000003','00','Request by Mr. Omair Ali 18-March-2025');</v>
      </c>
    </row>
    <row r="31" spans="1:8" ht="105" x14ac:dyDescent="0.25">
      <c r="A31" s="4" t="s">
        <v>31</v>
      </c>
      <c r="B31" s="12" t="str">
        <f>VLOOKUP(A31,policy!B:C,2,0)</f>
        <v>050000781964</v>
      </c>
      <c r="C31" s="6">
        <v>24030</v>
      </c>
      <c r="D31" s="13">
        <f t="shared" si="1"/>
        <v>24030</v>
      </c>
      <c r="E31" s="11" t="s">
        <v>151</v>
      </c>
      <c r="F31" s="14" t="str">
        <f t="shared" si="0"/>
        <v>insert into ins_premium_det (premium_rcv_code,assorted_code, rec_amount,premium_rcv_detail_code,remaining_amt, payrec, mode_code,coinsurance_code,class_cd,it_remarks) values</v>
      </c>
      <c r="G31" s="15" t="str">
        <f t="shared" si="2"/>
        <v>('17Mar250088','050000781964','24030',(select max(to_number(i.premium_rcv_detail_code))+1
from ins_premium_det i),'24030','24030','02', '11000003','00','Request by Mr. Omair Ali 18-March-2025');</v>
      </c>
      <c r="H31" s="16" t="str">
        <f t="shared" si="3"/>
        <v>insert into ins_premium_det (premium_rcv_code,assorted_code, rec_amount,premium_rcv_detail_code,remaining_amt, payrec, mode_code,coinsurance_code,class_cd,it_remarks) values('17Mar250088','050000781964','24030',(select max(to_number(i.premium_rcv_detail_code))+1
from ins_premium_det i),'24030','24030','02', '11000003','00','Request by Mr. Omair Ali 18-March-2025');</v>
      </c>
    </row>
    <row r="32" spans="1:8" ht="105" x14ac:dyDescent="0.25">
      <c r="A32" s="4" t="s">
        <v>32</v>
      </c>
      <c r="B32" s="12" t="str">
        <f>VLOOKUP(A32,policy!B:C,2,0)</f>
        <v>050000786237</v>
      </c>
      <c r="C32" s="6">
        <v>42543</v>
      </c>
      <c r="D32" s="13">
        <f t="shared" si="1"/>
        <v>42543</v>
      </c>
      <c r="E32" s="11" t="s">
        <v>151</v>
      </c>
      <c r="F32" s="14" t="str">
        <f t="shared" si="0"/>
        <v>insert into ins_premium_det (premium_rcv_code,assorted_code, rec_amount,premium_rcv_detail_code,remaining_amt, payrec, mode_code,coinsurance_code,class_cd,it_remarks) values</v>
      </c>
      <c r="G32" s="15" t="str">
        <f t="shared" si="2"/>
        <v>('17Mar250088','050000786237','42543',(select max(to_number(i.premium_rcv_detail_code))+1
from ins_premium_det i),'42543','42543','02', '11000003','00','Request by Mr. Omair Ali 18-March-2025');</v>
      </c>
      <c r="H32" s="16" t="str">
        <f t="shared" si="3"/>
        <v>insert into ins_premium_det (premium_rcv_code,assorted_code, rec_amount,premium_rcv_detail_code,remaining_amt, payrec, mode_code,coinsurance_code,class_cd,it_remarks) values('17Mar250088','050000786237','42543',(select max(to_number(i.premium_rcv_detail_code))+1
from ins_premium_det i),'42543','42543','02', '11000003','00','Request by Mr. Omair Ali 18-March-2025');</v>
      </c>
    </row>
    <row r="33" spans="1:8" ht="105" x14ac:dyDescent="0.25">
      <c r="A33" s="4" t="s">
        <v>33</v>
      </c>
      <c r="B33" s="12" t="str">
        <f>VLOOKUP(A33,policy!B:C,2,0)</f>
        <v>050000786565</v>
      </c>
      <c r="C33" s="6">
        <v>15739</v>
      </c>
      <c r="D33" s="13">
        <f t="shared" si="1"/>
        <v>15739</v>
      </c>
      <c r="E33" s="11" t="s">
        <v>151</v>
      </c>
      <c r="F33" s="14" t="str">
        <f t="shared" si="0"/>
        <v>insert into ins_premium_det (premium_rcv_code,assorted_code, rec_amount,premium_rcv_detail_code,remaining_amt, payrec, mode_code,coinsurance_code,class_cd,it_remarks) values</v>
      </c>
      <c r="G33" s="15" t="str">
        <f t="shared" si="2"/>
        <v>('17Mar250088','050000786565','15739',(select max(to_number(i.premium_rcv_detail_code))+1
from ins_premium_det i),'15739','15739','02', '11000003','00','Request by Mr. Omair Ali 18-March-2025');</v>
      </c>
      <c r="H33" s="16" t="str">
        <f t="shared" si="3"/>
        <v>insert into ins_premium_det (premium_rcv_code,assorted_code, rec_amount,premium_rcv_detail_code,remaining_amt, payrec, mode_code,coinsurance_code,class_cd,it_remarks) values('17Mar250088','050000786565','15739',(select max(to_number(i.premium_rcv_detail_code))+1
from ins_premium_det i),'15739','15739','02', '11000003','00','Request by Mr. Omair Ali 18-March-2025');</v>
      </c>
    </row>
    <row r="34" spans="1:8" ht="105" x14ac:dyDescent="0.25">
      <c r="A34" s="4" t="s">
        <v>34</v>
      </c>
      <c r="B34" s="12" t="str">
        <f>VLOOKUP(A34,policy!B:C,2,0)</f>
        <v>050000787053</v>
      </c>
      <c r="C34" s="6">
        <v>118284</v>
      </c>
      <c r="D34" s="13">
        <f t="shared" si="1"/>
        <v>118284</v>
      </c>
      <c r="E34" s="11" t="s">
        <v>151</v>
      </c>
      <c r="F34" s="14" t="str">
        <f t="shared" si="0"/>
        <v>insert into ins_premium_det (premium_rcv_code,assorted_code, rec_amount,premium_rcv_detail_code,remaining_amt, payrec, mode_code,coinsurance_code,class_cd,it_remarks) values</v>
      </c>
      <c r="G34" s="15" t="str">
        <f t="shared" si="2"/>
        <v>('17Mar250088','050000787053','118284',(select max(to_number(i.premium_rcv_detail_code))+1
from ins_premium_det i),'118284','118284','02', '11000003','00','Request by Mr. Omair Ali 18-March-2025');</v>
      </c>
      <c r="H34" s="16" t="str">
        <f t="shared" si="3"/>
        <v>insert into ins_premium_det (premium_rcv_code,assorted_code, rec_amount,premium_rcv_detail_code,remaining_amt, payrec, mode_code,coinsurance_code,class_cd,it_remarks) values('17Mar250088','050000787053','118284',(select max(to_number(i.premium_rcv_detail_code))+1
from ins_premium_det i),'118284','118284','02', '11000003','00','Request by Mr. Omair Ali 18-March-2025');</v>
      </c>
    </row>
    <row r="35" spans="1:8" ht="105" x14ac:dyDescent="0.25">
      <c r="A35" s="4" t="s">
        <v>35</v>
      </c>
      <c r="B35" s="12" t="str">
        <f>VLOOKUP(A35,policy!B:C,2,0)</f>
        <v>050000788205</v>
      </c>
      <c r="C35" s="6">
        <v>5031</v>
      </c>
      <c r="D35" s="13">
        <f t="shared" si="1"/>
        <v>5031</v>
      </c>
      <c r="E35" s="11" t="s">
        <v>151</v>
      </c>
      <c r="F35" s="14" t="str">
        <f t="shared" si="0"/>
        <v>insert into ins_premium_det (premium_rcv_code,assorted_code, rec_amount,premium_rcv_detail_code,remaining_amt, payrec, mode_code,coinsurance_code,class_cd,it_remarks) values</v>
      </c>
      <c r="G35" s="15" t="str">
        <f t="shared" si="2"/>
        <v>('17Mar250088','050000788205','5031',(select max(to_number(i.premium_rcv_detail_code))+1
from ins_premium_det i),'5031','5031','02', '11000003','00','Request by Mr. Omair Ali 18-March-2025');</v>
      </c>
      <c r="H35" s="16" t="str">
        <f t="shared" si="3"/>
        <v>insert into ins_premium_det (premium_rcv_code,assorted_code, rec_amount,premium_rcv_detail_code,remaining_amt, payrec, mode_code,coinsurance_code,class_cd,it_remarks) values('17Mar250088','050000788205','5031',(select max(to_number(i.premium_rcv_detail_code))+1
from ins_premium_det i),'5031','5031','02', '11000003','00','Request by Mr. Omair Ali 18-March-2025');</v>
      </c>
    </row>
    <row r="36" spans="1:8" ht="105" x14ac:dyDescent="0.25">
      <c r="A36" s="4" t="s">
        <v>36</v>
      </c>
      <c r="B36" s="12" t="str">
        <f>VLOOKUP(A36,policy!B:C,2,0)</f>
        <v>050000788847</v>
      </c>
      <c r="C36" s="6">
        <v>17229</v>
      </c>
      <c r="D36" s="13">
        <f t="shared" si="1"/>
        <v>17229</v>
      </c>
      <c r="E36" s="11" t="s">
        <v>151</v>
      </c>
      <c r="F36" s="14" t="str">
        <f t="shared" si="0"/>
        <v>insert into ins_premium_det (premium_rcv_code,assorted_code, rec_amount,premium_rcv_detail_code,remaining_amt, payrec, mode_code,coinsurance_code,class_cd,it_remarks) values</v>
      </c>
      <c r="G36" s="15" t="str">
        <f t="shared" si="2"/>
        <v>('17Mar250088','050000788847','17229',(select max(to_number(i.premium_rcv_detail_code))+1
from ins_premium_det i),'17229','17229','02', '11000003','00','Request by Mr. Omair Ali 18-March-2025');</v>
      </c>
      <c r="H36" s="16" t="str">
        <f t="shared" si="3"/>
        <v>insert into ins_premium_det (premium_rcv_code,assorted_code, rec_amount,premium_rcv_detail_code,remaining_amt, payrec, mode_code,coinsurance_code,class_cd,it_remarks) values('17Mar250088','050000788847','17229',(select max(to_number(i.premium_rcv_detail_code))+1
from ins_premium_det i),'17229','17229','02', '11000003','00','Request by Mr. Omair Ali 18-March-2025');</v>
      </c>
    </row>
    <row r="37" spans="1:8" ht="105" x14ac:dyDescent="0.25">
      <c r="A37" s="4" t="s">
        <v>37</v>
      </c>
      <c r="B37" s="12" t="str">
        <f>VLOOKUP(A37,policy!B:C,2,0)</f>
        <v>050000791723</v>
      </c>
      <c r="C37" s="6">
        <v>21869</v>
      </c>
      <c r="D37" s="13">
        <f t="shared" si="1"/>
        <v>21869</v>
      </c>
      <c r="E37" s="11" t="s">
        <v>151</v>
      </c>
      <c r="F37" s="14" t="str">
        <f t="shared" si="0"/>
        <v>insert into ins_premium_det (premium_rcv_code,assorted_code, rec_amount,premium_rcv_detail_code,remaining_amt, payrec, mode_code,coinsurance_code,class_cd,it_remarks) values</v>
      </c>
      <c r="G37" s="15" t="str">
        <f t="shared" si="2"/>
        <v>('17Mar250088','050000791723','21869',(select max(to_number(i.premium_rcv_detail_code))+1
from ins_premium_det i),'21869','21869','02', '11000003','00','Request by Mr. Omair Ali 18-March-2025');</v>
      </c>
      <c r="H37" s="16" t="str">
        <f t="shared" si="3"/>
        <v>insert into ins_premium_det (premium_rcv_code,assorted_code, rec_amount,premium_rcv_detail_code,remaining_amt, payrec, mode_code,coinsurance_code,class_cd,it_remarks) values('17Mar250088','050000791723','21869',(select max(to_number(i.premium_rcv_detail_code))+1
from ins_premium_det i),'21869','21869','02', '11000003','00','Request by Mr. Omair Ali 18-March-2025');</v>
      </c>
    </row>
    <row r="38" spans="1:8" ht="105" x14ac:dyDescent="0.25">
      <c r="A38" s="4" t="s">
        <v>38</v>
      </c>
      <c r="B38" s="12" t="str">
        <f>VLOOKUP(A38,policy!B:C,2,0)</f>
        <v>050000795479</v>
      </c>
      <c r="C38" s="6">
        <v>7511</v>
      </c>
      <c r="D38" s="13">
        <f t="shared" si="1"/>
        <v>7511</v>
      </c>
      <c r="E38" s="11" t="s">
        <v>151</v>
      </c>
      <c r="F38" s="14" t="str">
        <f t="shared" si="0"/>
        <v>insert into ins_premium_det (premium_rcv_code,assorted_code, rec_amount,premium_rcv_detail_code,remaining_amt, payrec, mode_code,coinsurance_code,class_cd,it_remarks) values</v>
      </c>
      <c r="G38" s="15" t="str">
        <f t="shared" si="2"/>
        <v>('17Mar250088','050000795479','7511',(select max(to_number(i.premium_rcv_detail_code))+1
from ins_premium_det i),'7511','7511','02', '11000003','00','Request by Mr. Omair Ali 18-March-2025');</v>
      </c>
      <c r="H38" s="16" t="str">
        <f t="shared" si="3"/>
        <v>insert into ins_premium_det (premium_rcv_code,assorted_code, rec_amount,premium_rcv_detail_code,remaining_amt, payrec, mode_code,coinsurance_code,class_cd,it_remarks) values('17Mar250088','050000795479','7511',(select max(to_number(i.premium_rcv_detail_code))+1
from ins_premium_det i),'7511','7511','02', '11000003','00','Request by Mr. Omair Ali 18-March-2025');</v>
      </c>
    </row>
    <row r="39" spans="1:8" ht="105" x14ac:dyDescent="0.25">
      <c r="A39" s="4" t="s">
        <v>39</v>
      </c>
      <c r="B39" s="12" t="str">
        <f>VLOOKUP(A39,policy!B:C,2,0)</f>
        <v>050000795508</v>
      </c>
      <c r="C39" s="6">
        <v>-197016</v>
      </c>
      <c r="D39" s="13">
        <f t="shared" si="1"/>
        <v>-197016</v>
      </c>
      <c r="E39" s="11" t="s">
        <v>151</v>
      </c>
      <c r="F39" s="14" t="str">
        <f t="shared" si="0"/>
        <v>insert into ins_premium_det (premium_rcv_code,assorted_code, rec_amount,premium_rcv_detail_code,remaining_amt, payrec, mode_code,coinsurance_code,class_cd,it_remarks) values</v>
      </c>
      <c r="G39" s="15" t="str">
        <f t="shared" si="2"/>
        <v>('17Mar250088','050000795508','-197016',(select max(to_number(i.premium_rcv_detail_code))+1
from ins_premium_det i),'-197016','-197016','02', '11000003','00','Request by Mr. Omair Ali 18-March-2025');</v>
      </c>
      <c r="H39" s="16" t="str">
        <f t="shared" si="3"/>
        <v>insert into ins_premium_det (premium_rcv_code,assorted_code, rec_amount,premium_rcv_detail_code,remaining_amt, payrec, mode_code,coinsurance_code,class_cd,it_remarks) values('17Mar250088','050000795508','-197016',(select max(to_number(i.premium_rcv_detail_code))+1
from ins_premium_det i),'-197016','-197016','02', '11000003','00','Request by Mr. Omair Ali 18-March-2025');</v>
      </c>
    </row>
    <row r="40" spans="1:8" ht="105" x14ac:dyDescent="0.25">
      <c r="A40" s="4" t="s">
        <v>40</v>
      </c>
      <c r="B40" s="12" t="str">
        <f>VLOOKUP(A40,policy!B:C,2,0)</f>
        <v>050000795589</v>
      </c>
      <c r="C40" s="6">
        <v>18840</v>
      </c>
      <c r="D40" s="13">
        <f t="shared" si="1"/>
        <v>18840</v>
      </c>
      <c r="E40" s="11" t="s">
        <v>151</v>
      </c>
      <c r="F40" s="14" t="str">
        <f t="shared" si="0"/>
        <v>insert into ins_premium_det (premium_rcv_code,assorted_code, rec_amount,premium_rcv_detail_code,remaining_amt, payrec, mode_code,coinsurance_code,class_cd,it_remarks) values</v>
      </c>
      <c r="G40" s="15" t="str">
        <f t="shared" si="2"/>
        <v>('17Mar250088','050000795589','18840',(select max(to_number(i.premium_rcv_detail_code))+1
from ins_premium_det i),'18840','18840','02', '11000003','00','Request by Mr. Omair Ali 18-March-2025');</v>
      </c>
      <c r="H40" s="16" t="str">
        <f t="shared" si="3"/>
        <v>insert into ins_premium_det (premium_rcv_code,assorted_code, rec_amount,premium_rcv_detail_code,remaining_amt, payrec, mode_code,coinsurance_code,class_cd,it_remarks) values('17Mar250088','050000795589','18840',(select max(to_number(i.premium_rcv_detail_code))+1
from ins_premium_det i),'18840','18840','02', '11000003','00','Request by Mr. Omair Ali 18-March-2025');</v>
      </c>
    </row>
    <row r="41" spans="1:8" ht="105" x14ac:dyDescent="0.25">
      <c r="A41" s="4" t="s">
        <v>41</v>
      </c>
      <c r="B41" s="12" t="str">
        <f>VLOOKUP(A41,policy!B:C,2,0)</f>
        <v>050000797224</v>
      </c>
      <c r="C41" s="6">
        <v>-46575</v>
      </c>
      <c r="D41" s="13">
        <f t="shared" si="1"/>
        <v>-46575</v>
      </c>
      <c r="E41" s="11" t="s">
        <v>151</v>
      </c>
      <c r="F41" s="14" t="str">
        <f t="shared" si="0"/>
        <v>insert into ins_premium_det (premium_rcv_code,assorted_code, rec_amount,premium_rcv_detail_code,remaining_amt, payrec, mode_code,coinsurance_code,class_cd,it_remarks) values</v>
      </c>
      <c r="G41" s="15" t="str">
        <f t="shared" si="2"/>
        <v>('17Mar250088','050000797224','-46575',(select max(to_number(i.premium_rcv_detail_code))+1
from ins_premium_det i),'-46575','-46575','02', '11000003','00','Request by Mr. Omair Ali 18-March-2025');</v>
      </c>
      <c r="H41" s="16" t="str">
        <f t="shared" si="3"/>
        <v>insert into ins_premium_det (premium_rcv_code,assorted_code, rec_amount,premium_rcv_detail_code,remaining_amt, payrec, mode_code,coinsurance_code,class_cd,it_remarks) values('17Mar250088','050000797224','-46575',(select max(to_number(i.premium_rcv_detail_code))+1
from ins_premium_det i),'-46575','-46575','02', '11000003','00','Request by Mr. Omair Ali 18-March-2025');</v>
      </c>
    </row>
    <row r="42" spans="1:8" ht="105" x14ac:dyDescent="0.25">
      <c r="A42" s="4" t="s">
        <v>42</v>
      </c>
      <c r="B42" s="12" t="str">
        <f>VLOOKUP(A42,policy!B:C,2,0)</f>
        <v>050000798964</v>
      </c>
      <c r="C42" s="6">
        <v>54091</v>
      </c>
      <c r="D42" s="13">
        <f t="shared" si="1"/>
        <v>54091</v>
      </c>
      <c r="E42" s="11" t="s">
        <v>151</v>
      </c>
      <c r="F42" s="14" t="str">
        <f t="shared" si="0"/>
        <v>insert into ins_premium_det (premium_rcv_code,assorted_code, rec_amount,premium_rcv_detail_code,remaining_amt, payrec, mode_code,coinsurance_code,class_cd,it_remarks) values</v>
      </c>
      <c r="G42" s="15" t="str">
        <f t="shared" si="2"/>
        <v>('17Mar250088','050000798964','54091',(select max(to_number(i.premium_rcv_detail_code))+1
from ins_premium_det i),'54091','54091','02', '11000003','00','Request by Mr. Omair Ali 18-March-2025');</v>
      </c>
      <c r="H42" s="16" t="str">
        <f t="shared" si="3"/>
        <v>insert into ins_premium_det (premium_rcv_code,assorted_code, rec_amount,premium_rcv_detail_code,remaining_amt, payrec, mode_code,coinsurance_code,class_cd,it_remarks) values('17Mar250088','050000798964','54091',(select max(to_number(i.premium_rcv_detail_code))+1
from ins_premium_det i),'54091','54091','02', '11000003','00','Request by Mr. Omair Ali 18-March-2025');</v>
      </c>
    </row>
    <row r="43" spans="1:8" ht="105" x14ac:dyDescent="0.25">
      <c r="A43" s="4" t="s">
        <v>43</v>
      </c>
      <c r="B43" s="12" t="str">
        <f>VLOOKUP(A43,policy!B:C,2,0)</f>
        <v>050000799603</v>
      </c>
      <c r="C43" s="6">
        <v>-22257</v>
      </c>
      <c r="D43" s="13">
        <f t="shared" si="1"/>
        <v>-22257</v>
      </c>
      <c r="E43" s="11" t="s">
        <v>151</v>
      </c>
      <c r="F43" s="14" t="str">
        <f t="shared" si="0"/>
        <v>insert into ins_premium_det (premium_rcv_code,assorted_code, rec_amount,premium_rcv_detail_code,remaining_amt, payrec, mode_code,coinsurance_code,class_cd,it_remarks) values</v>
      </c>
      <c r="G43" s="15" t="str">
        <f t="shared" si="2"/>
        <v>('17Mar250088','050000799603','-22257',(select max(to_number(i.premium_rcv_detail_code))+1
from ins_premium_det i),'-22257','-22257','02', '11000003','00','Request by Mr. Omair Ali 18-March-2025');</v>
      </c>
      <c r="H43" s="16" t="str">
        <f t="shared" si="3"/>
        <v>insert into ins_premium_det (premium_rcv_code,assorted_code, rec_amount,premium_rcv_detail_code,remaining_amt, payrec, mode_code,coinsurance_code,class_cd,it_remarks) values('17Mar250088','050000799603','-22257',(select max(to_number(i.premium_rcv_detail_code))+1
from ins_premium_det i),'-22257','-22257','02', '11000003','00','Request by Mr. Omair Ali 18-March-2025');</v>
      </c>
    </row>
    <row r="44" spans="1:8" ht="105" x14ac:dyDescent="0.25">
      <c r="A44" s="4" t="s">
        <v>44</v>
      </c>
      <c r="B44" s="12" t="str">
        <f>VLOOKUP(A44,policy!B:C,2,0)</f>
        <v>050000800097</v>
      </c>
      <c r="C44" s="6">
        <v>13806</v>
      </c>
      <c r="D44" s="13">
        <f t="shared" si="1"/>
        <v>13806</v>
      </c>
      <c r="E44" s="11" t="s">
        <v>151</v>
      </c>
      <c r="F44" s="14" t="str">
        <f t="shared" si="0"/>
        <v>insert into ins_premium_det (premium_rcv_code,assorted_code, rec_amount,premium_rcv_detail_code,remaining_amt, payrec, mode_code,coinsurance_code,class_cd,it_remarks) values</v>
      </c>
      <c r="G44" s="15" t="str">
        <f t="shared" si="2"/>
        <v>('17Mar250088','050000800097','13806',(select max(to_number(i.premium_rcv_detail_code))+1
from ins_premium_det i),'13806','13806','02', '11000003','00','Request by Mr. Omair Ali 18-March-2025');</v>
      </c>
      <c r="H44" s="16" t="str">
        <f t="shared" si="3"/>
        <v>insert into ins_premium_det (premium_rcv_code,assorted_code, rec_amount,premium_rcv_detail_code,remaining_amt, payrec, mode_code,coinsurance_code,class_cd,it_remarks) values('17Mar250088','050000800097','13806',(select max(to_number(i.premium_rcv_detail_code))+1
from ins_premium_det i),'13806','13806','02', '11000003','00','Request by Mr. Omair Ali 18-March-2025');</v>
      </c>
    </row>
    <row r="45" spans="1:8" ht="105" x14ac:dyDescent="0.25">
      <c r="A45" s="4" t="s">
        <v>45</v>
      </c>
      <c r="B45" s="12" t="str">
        <f>VLOOKUP(A45,policy!B:C,2,0)</f>
        <v>050000800664</v>
      </c>
      <c r="C45" s="6">
        <v>2791</v>
      </c>
      <c r="D45" s="13">
        <f t="shared" si="1"/>
        <v>2791</v>
      </c>
      <c r="E45" s="11" t="s">
        <v>151</v>
      </c>
      <c r="F45" s="14" t="str">
        <f t="shared" si="0"/>
        <v>insert into ins_premium_det (premium_rcv_code,assorted_code, rec_amount,premium_rcv_detail_code,remaining_amt, payrec, mode_code,coinsurance_code,class_cd,it_remarks) values</v>
      </c>
      <c r="G45" s="15" t="str">
        <f t="shared" si="2"/>
        <v>('17Mar250088','050000800664','2791',(select max(to_number(i.premium_rcv_detail_code))+1
from ins_premium_det i),'2791','2791','02', '11000003','00','Request by Mr. Omair Ali 18-March-2025');</v>
      </c>
      <c r="H45" s="16" t="str">
        <f t="shared" si="3"/>
        <v>insert into ins_premium_det (premium_rcv_code,assorted_code, rec_amount,premium_rcv_detail_code,remaining_amt, payrec, mode_code,coinsurance_code,class_cd,it_remarks) values('17Mar250088','050000800664','2791',(select max(to_number(i.premium_rcv_detail_code))+1
from ins_premium_det i),'2791','2791','02', '11000003','00','Request by Mr. Omair Ali 18-March-2025');</v>
      </c>
    </row>
    <row r="46" spans="1:8" ht="105" x14ac:dyDescent="0.25">
      <c r="A46" s="4" t="s">
        <v>46</v>
      </c>
      <c r="B46" s="12" t="str">
        <f>VLOOKUP(A46,policy!B:C,2,0)</f>
        <v>050000812164</v>
      </c>
      <c r="C46" s="6">
        <v>5238</v>
      </c>
      <c r="D46" s="13">
        <f t="shared" si="1"/>
        <v>5238</v>
      </c>
      <c r="E46" s="11" t="s">
        <v>151</v>
      </c>
      <c r="F46" s="14" t="str">
        <f t="shared" si="0"/>
        <v>insert into ins_premium_det (premium_rcv_code,assorted_code, rec_amount,premium_rcv_detail_code,remaining_amt, payrec, mode_code,coinsurance_code,class_cd,it_remarks) values</v>
      </c>
      <c r="G46" s="15" t="str">
        <f t="shared" si="2"/>
        <v>('17Mar250088','050000812164','5238',(select max(to_number(i.premium_rcv_detail_code))+1
from ins_premium_det i),'5238','5238','02', '11000003','00','Request by Mr. Omair Ali 18-March-2025');</v>
      </c>
      <c r="H46" s="16" t="str">
        <f t="shared" si="3"/>
        <v>insert into ins_premium_det (premium_rcv_code,assorted_code, rec_amount,premium_rcv_detail_code,remaining_amt, payrec, mode_code,coinsurance_code,class_cd,it_remarks) values('17Mar250088','050000812164','5238',(select max(to_number(i.premium_rcv_detail_code))+1
from ins_premium_det i),'5238','5238','02', '11000003','00','Request by Mr. Omair Ali 18-March-2025');</v>
      </c>
    </row>
    <row r="47" spans="1:8" ht="105" x14ac:dyDescent="0.25">
      <c r="A47" s="4" t="s">
        <v>47</v>
      </c>
      <c r="B47" s="12" t="str">
        <f>VLOOKUP(A47,policy!B:C,2,0)</f>
        <v>050000814156</v>
      </c>
      <c r="C47" s="6">
        <v>28</v>
      </c>
      <c r="D47" s="13">
        <f t="shared" si="1"/>
        <v>28</v>
      </c>
      <c r="E47" s="11" t="s">
        <v>151</v>
      </c>
      <c r="F47" s="14" t="str">
        <f t="shared" si="0"/>
        <v>insert into ins_premium_det (premium_rcv_code,assorted_code, rec_amount,premium_rcv_detail_code,remaining_amt, payrec, mode_code,coinsurance_code,class_cd,it_remarks) values</v>
      </c>
      <c r="G47" s="15" t="str">
        <f t="shared" si="2"/>
        <v>('17Mar250088','050000814156','28',(select max(to_number(i.premium_rcv_detail_code))+1
from ins_premium_det i),'28','28','02', '11000003','00','Request by Mr. Omair Ali 18-March-2025');</v>
      </c>
      <c r="H47" s="16" t="str">
        <f t="shared" si="3"/>
        <v>insert into ins_premium_det (premium_rcv_code,assorted_code, rec_amount,premium_rcv_detail_code,remaining_amt, payrec, mode_code,coinsurance_code,class_cd,it_remarks) values('17Mar250088','050000814156','28',(select max(to_number(i.premium_rcv_detail_code))+1
from ins_premium_det i),'28','28','02', '11000003','00','Request by Mr. Omair Ali 18-March-2025');</v>
      </c>
    </row>
    <row r="48" spans="1:8" ht="105" x14ac:dyDescent="0.25">
      <c r="A48" s="4" t="s">
        <v>48</v>
      </c>
      <c r="B48" s="12" t="str">
        <f>VLOOKUP(A48,policy!B:C,2,0)</f>
        <v>050000816005</v>
      </c>
      <c r="C48" s="6">
        <v>18462</v>
      </c>
      <c r="D48" s="13">
        <f t="shared" si="1"/>
        <v>18462</v>
      </c>
      <c r="E48" s="11" t="s">
        <v>151</v>
      </c>
      <c r="F48" s="14" t="str">
        <f t="shared" si="0"/>
        <v>insert into ins_premium_det (premium_rcv_code,assorted_code, rec_amount,premium_rcv_detail_code,remaining_amt, payrec, mode_code,coinsurance_code,class_cd,it_remarks) values</v>
      </c>
      <c r="G48" s="15" t="str">
        <f t="shared" si="2"/>
        <v>('17Mar250088','050000816005','18462',(select max(to_number(i.premium_rcv_detail_code))+1
from ins_premium_det i),'18462','18462','02', '11000003','00','Request by Mr. Omair Ali 18-March-2025');</v>
      </c>
      <c r="H48" s="16" t="str">
        <f t="shared" si="3"/>
        <v>insert into ins_premium_det (premium_rcv_code,assorted_code, rec_amount,premium_rcv_detail_code,remaining_amt, payrec, mode_code,coinsurance_code,class_cd,it_remarks) values('17Mar250088','050000816005','18462',(select max(to_number(i.premium_rcv_detail_code))+1
from ins_premium_det i),'18462','18462','02', '11000003','00','Request by Mr. Omair Ali 18-March-2025');</v>
      </c>
    </row>
    <row r="49" spans="1:8" ht="105" x14ac:dyDescent="0.25">
      <c r="A49" s="4" t="s">
        <v>49</v>
      </c>
      <c r="B49" s="12" t="str">
        <f>VLOOKUP(A49,policy!B:C,2,0)</f>
        <v>050000816299</v>
      </c>
      <c r="C49" s="6">
        <v>8936</v>
      </c>
      <c r="D49" s="13">
        <f t="shared" si="1"/>
        <v>8936</v>
      </c>
      <c r="E49" s="11" t="s">
        <v>151</v>
      </c>
      <c r="F49" s="14" t="str">
        <f t="shared" si="0"/>
        <v>insert into ins_premium_det (premium_rcv_code,assorted_code, rec_amount,premium_rcv_detail_code,remaining_amt, payrec, mode_code,coinsurance_code,class_cd,it_remarks) values</v>
      </c>
      <c r="G49" s="15" t="str">
        <f t="shared" si="2"/>
        <v>('17Mar250088','050000816299','8936',(select max(to_number(i.premium_rcv_detail_code))+1
from ins_premium_det i),'8936','8936','02', '11000003','00','Request by Mr. Omair Ali 18-March-2025');</v>
      </c>
      <c r="H49" s="16" t="str">
        <f t="shared" si="3"/>
        <v>insert into ins_premium_det (premium_rcv_code,assorted_code, rec_amount,premium_rcv_detail_code,remaining_amt, payrec, mode_code,coinsurance_code,class_cd,it_remarks) values('17Mar250088','050000816299','8936',(select max(to_number(i.premium_rcv_detail_code))+1
from ins_premium_det i),'8936','8936','02', '11000003','00','Request by Mr. Omair Ali 18-March-2025');</v>
      </c>
    </row>
    <row r="50" spans="1:8" ht="105" x14ac:dyDescent="0.25">
      <c r="A50" s="4" t="s">
        <v>50</v>
      </c>
      <c r="B50" s="12" t="str">
        <f>VLOOKUP(A50,policy!B:C,2,0)</f>
        <v>050000817551</v>
      </c>
      <c r="C50" s="6">
        <v>4908</v>
      </c>
      <c r="D50" s="13">
        <f t="shared" si="1"/>
        <v>4908</v>
      </c>
      <c r="E50" s="11" t="s">
        <v>151</v>
      </c>
      <c r="F50" s="14" t="str">
        <f t="shared" si="0"/>
        <v>insert into ins_premium_det (premium_rcv_code,assorted_code, rec_amount,premium_rcv_detail_code,remaining_amt, payrec, mode_code,coinsurance_code,class_cd,it_remarks) values</v>
      </c>
      <c r="G50" s="15" t="str">
        <f t="shared" si="2"/>
        <v>('17Mar250088','050000817551','4908',(select max(to_number(i.premium_rcv_detail_code))+1
from ins_premium_det i),'4908','4908','02', '11000003','00','Request by Mr. Omair Ali 18-March-2025');</v>
      </c>
      <c r="H50" s="16" t="str">
        <f t="shared" si="3"/>
        <v>insert into ins_premium_det (premium_rcv_code,assorted_code, rec_amount,premium_rcv_detail_code,remaining_amt, payrec, mode_code,coinsurance_code,class_cd,it_remarks) values('17Mar250088','050000817551','4908',(select max(to_number(i.premium_rcv_detail_code))+1
from ins_premium_det i),'4908','4908','02', '11000003','00','Request by Mr. Omair Ali 18-March-2025');</v>
      </c>
    </row>
    <row r="51" spans="1:8" ht="105" x14ac:dyDescent="0.25">
      <c r="A51" s="4" t="s">
        <v>51</v>
      </c>
      <c r="B51" s="12" t="str">
        <f>VLOOKUP(A51,policy!B:C,2,0)</f>
        <v>050000821208</v>
      </c>
      <c r="C51" s="6">
        <v>9924</v>
      </c>
      <c r="D51" s="13">
        <f t="shared" si="1"/>
        <v>9924</v>
      </c>
      <c r="E51" s="11" t="s">
        <v>151</v>
      </c>
      <c r="F51" s="14" t="str">
        <f t="shared" si="0"/>
        <v>insert into ins_premium_det (premium_rcv_code,assorted_code, rec_amount,premium_rcv_detail_code,remaining_amt, payrec, mode_code,coinsurance_code,class_cd,it_remarks) values</v>
      </c>
      <c r="G51" s="15" t="str">
        <f t="shared" si="2"/>
        <v>('17Mar250088','050000821208','9924',(select max(to_number(i.premium_rcv_detail_code))+1
from ins_premium_det i),'9924','9924','02', '11000003','00','Request by Mr. Omair Ali 18-March-2025');</v>
      </c>
      <c r="H51" s="16" t="str">
        <f t="shared" si="3"/>
        <v>insert into ins_premium_det (premium_rcv_code,assorted_code, rec_amount,premium_rcv_detail_code,remaining_amt, payrec, mode_code,coinsurance_code,class_cd,it_remarks) values('17Mar250088','050000821208','9924',(select max(to_number(i.premium_rcv_detail_code))+1
from ins_premium_det i),'9924','9924','02', '11000003','00','Request by Mr. Omair Ali 18-March-2025');</v>
      </c>
    </row>
    <row r="52" spans="1:8" ht="105" x14ac:dyDescent="0.25">
      <c r="A52" s="4" t="s">
        <v>52</v>
      </c>
      <c r="B52" s="12" t="str">
        <f>VLOOKUP(A52,policy!B:C,2,0)</f>
        <v>050000823057</v>
      </c>
      <c r="C52" s="6">
        <v>-42994</v>
      </c>
      <c r="D52" s="13">
        <f t="shared" si="1"/>
        <v>-42994</v>
      </c>
      <c r="E52" s="11" t="s">
        <v>151</v>
      </c>
      <c r="F52" s="14" t="str">
        <f t="shared" si="0"/>
        <v>insert into ins_premium_det (premium_rcv_code,assorted_code, rec_amount,premium_rcv_detail_code,remaining_amt, payrec, mode_code,coinsurance_code,class_cd,it_remarks) values</v>
      </c>
      <c r="G52" s="15" t="str">
        <f t="shared" si="2"/>
        <v>('17Mar250088','050000823057','-42994',(select max(to_number(i.premium_rcv_detail_code))+1
from ins_premium_det i),'-42994','-42994','02', '11000003','00','Request by Mr. Omair Ali 18-March-2025');</v>
      </c>
      <c r="H52" s="16" t="str">
        <f t="shared" si="3"/>
        <v>insert into ins_premium_det (premium_rcv_code,assorted_code, rec_amount,premium_rcv_detail_code,remaining_amt, payrec, mode_code,coinsurance_code,class_cd,it_remarks) values('17Mar250088','050000823057','-42994',(select max(to_number(i.premium_rcv_detail_code))+1
from ins_premium_det i),'-42994','-42994','02', '11000003','00','Request by Mr. Omair Ali 18-March-2025');</v>
      </c>
    </row>
    <row r="53" spans="1:8" ht="105" x14ac:dyDescent="0.25">
      <c r="A53" s="4" t="s">
        <v>53</v>
      </c>
      <c r="B53" s="12" t="str">
        <f>VLOOKUP(A53,policy!B:C,2,0)</f>
        <v>050000823144</v>
      </c>
      <c r="C53" s="6">
        <v>3652</v>
      </c>
      <c r="D53" s="13">
        <f t="shared" si="1"/>
        <v>3652</v>
      </c>
      <c r="E53" s="11" t="s">
        <v>151</v>
      </c>
      <c r="F53" s="14" t="str">
        <f t="shared" si="0"/>
        <v>insert into ins_premium_det (premium_rcv_code,assorted_code, rec_amount,premium_rcv_detail_code,remaining_amt, payrec, mode_code,coinsurance_code,class_cd,it_remarks) values</v>
      </c>
      <c r="G53" s="15" t="str">
        <f t="shared" si="2"/>
        <v>('17Mar250088','050000823144','3652',(select max(to_number(i.premium_rcv_detail_code))+1
from ins_premium_det i),'3652','3652','02', '11000003','00','Request by Mr. Omair Ali 18-March-2025');</v>
      </c>
      <c r="H53" s="16" t="str">
        <f t="shared" si="3"/>
        <v>insert into ins_premium_det (premium_rcv_code,assorted_code, rec_amount,premium_rcv_detail_code,remaining_amt, payrec, mode_code,coinsurance_code,class_cd,it_remarks) values('17Mar250088','050000823144','3652',(select max(to_number(i.premium_rcv_detail_code))+1
from ins_premium_det i),'3652','3652','02', '11000003','00','Request by Mr. Omair Ali 18-March-2025');</v>
      </c>
    </row>
    <row r="54" spans="1:8" ht="105" x14ac:dyDescent="0.25">
      <c r="A54" s="4" t="s">
        <v>54</v>
      </c>
      <c r="B54" s="12" t="str">
        <f>VLOOKUP(A54,policy!B:C,2,0)</f>
        <v>050000823175</v>
      </c>
      <c r="C54" s="6">
        <v>-45933</v>
      </c>
      <c r="D54" s="13">
        <f t="shared" si="1"/>
        <v>-45933</v>
      </c>
      <c r="E54" s="11" t="s">
        <v>151</v>
      </c>
      <c r="F54" s="14" t="str">
        <f t="shared" si="0"/>
        <v>insert into ins_premium_det (premium_rcv_code,assorted_code, rec_amount,premium_rcv_detail_code,remaining_amt, payrec, mode_code,coinsurance_code,class_cd,it_remarks) values</v>
      </c>
      <c r="G54" s="15" t="str">
        <f t="shared" si="2"/>
        <v>('17Mar250088','050000823175','-45933',(select max(to_number(i.premium_rcv_detail_code))+1
from ins_premium_det i),'-45933','-45933','02', '11000003','00','Request by Mr. Omair Ali 18-March-2025');</v>
      </c>
      <c r="H54" s="16" t="str">
        <f t="shared" si="3"/>
        <v>insert into ins_premium_det (premium_rcv_code,assorted_code, rec_amount,premium_rcv_detail_code,remaining_amt, payrec, mode_code,coinsurance_code,class_cd,it_remarks) values('17Mar250088','050000823175','-45933',(select max(to_number(i.premium_rcv_detail_code))+1
from ins_premium_det i),'-45933','-45933','02', '11000003','00','Request by Mr. Omair Ali 18-March-2025');</v>
      </c>
    </row>
    <row r="55" spans="1:8" ht="105" x14ac:dyDescent="0.25">
      <c r="A55" s="4" t="s">
        <v>55</v>
      </c>
      <c r="B55" s="12" t="str">
        <f>VLOOKUP(A55,policy!B:C,2,0)</f>
        <v>050000824880</v>
      </c>
      <c r="C55" s="6">
        <v>4584</v>
      </c>
      <c r="D55" s="13">
        <f t="shared" si="1"/>
        <v>4584</v>
      </c>
      <c r="E55" s="11" t="s">
        <v>151</v>
      </c>
      <c r="F55" s="14" t="str">
        <f t="shared" si="0"/>
        <v>insert into ins_premium_det (premium_rcv_code,assorted_code, rec_amount,premium_rcv_detail_code,remaining_amt, payrec, mode_code,coinsurance_code,class_cd,it_remarks) values</v>
      </c>
      <c r="G55" s="15" t="str">
        <f t="shared" si="2"/>
        <v>('17Mar250088','050000824880','4584',(select max(to_number(i.premium_rcv_detail_code))+1
from ins_premium_det i),'4584','4584','02', '11000003','00','Request by Mr. Omair Ali 18-March-2025');</v>
      </c>
      <c r="H55" s="16" t="str">
        <f t="shared" si="3"/>
        <v>insert into ins_premium_det (premium_rcv_code,assorted_code, rec_amount,premium_rcv_detail_code,remaining_amt, payrec, mode_code,coinsurance_code,class_cd,it_remarks) values('17Mar250088','050000824880','4584',(select max(to_number(i.premium_rcv_detail_code))+1
from ins_premium_det i),'4584','4584','02', '11000003','00','Request by Mr. Omair Ali 18-March-2025');</v>
      </c>
    </row>
    <row r="56" spans="1:8" ht="105" x14ac:dyDescent="0.25">
      <c r="A56" s="4" t="s">
        <v>56</v>
      </c>
      <c r="B56" s="12" t="str">
        <f>VLOOKUP(A56,policy!B:C,2,0)</f>
        <v>050000826671</v>
      </c>
      <c r="C56" s="6">
        <v>1172</v>
      </c>
      <c r="D56" s="13">
        <f t="shared" si="1"/>
        <v>1172</v>
      </c>
      <c r="E56" s="11" t="s">
        <v>151</v>
      </c>
      <c r="F56" s="14" t="str">
        <f t="shared" si="0"/>
        <v>insert into ins_premium_det (premium_rcv_code,assorted_code, rec_amount,premium_rcv_detail_code,remaining_amt, payrec, mode_code,coinsurance_code,class_cd,it_remarks) values</v>
      </c>
      <c r="G56" s="15" t="str">
        <f t="shared" si="2"/>
        <v>('17Mar250088','050000826671','1172',(select max(to_number(i.premium_rcv_detail_code))+1
from ins_premium_det i),'1172','1172','02', '11000003','00','Request by Mr. Omair Ali 18-March-2025');</v>
      </c>
      <c r="H56" s="16" t="str">
        <f t="shared" si="3"/>
        <v>insert into ins_premium_det (premium_rcv_code,assorted_code, rec_amount,premium_rcv_detail_code,remaining_amt, payrec, mode_code,coinsurance_code,class_cd,it_remarks) values('17Mar250088','050000826671','1172',(select max(to_number(i.premium_rcv_detail_code))+1
from ins_premium_det i),'1172','1172','02', '11000003','00','Request by Mr. Omair Ali 18-March-2025');</v>
      </c>
    </row>
    <row r="57" spans="1:8" ht="105" x14ac:dyDescent="0.25">
      <c r="A57" s="4" t="s">
        <v>57</v>
      </c>
      <c r="B57" s="12" t="str">
        <f>VLOOKUP(A57,policy!B:C,2,0)</f>
        <v>050000826790</v>
      </c>
      <c r="C57" s="6">
        <v>4584</v>
      </c>
      <c r="D57" s="13">
        <f t="shared" si="1"/>
        <v>4584</v>
      </c>
      <c r="E57" s="11" t="s">
        <v>151</v>
      </c>
      <c r="F57" s="14" t="str">
        <f t="shared" si="0"/>
        <v>insert into ins_premium_det (premium_rcv_code,assorted_code, rec_amount,premium_rcv_detail_code,remaining_amt, payrec, mode_code,coinsurance_code,class_cd,it_remarks) values</v>
      </c>
      <c r="G57" s="15" t="str">
        <f t="shared" si="2"/>
        <v>('17Mar250088','050000826790','4584',(select max(to_number(i.premium_rcv_detail_code))+1
from ins_premium_det i),'4584','4584','02', '11000003','00','Request by Mr. Omair Ali 18-March-2025');</v>
      </c>
      <c r="H57" s="16" t="str">
        <f t="shared" si="3"/>
        <v>insert into ins_premium_det (premium_rcv_code,assorted_code, rec_amount,premium_rcv_detail_code,remaining_amt, payrec, mode_code,coinsurance_code,class_cd,it_remarks) values('17Mar250088','050000826790','4584',(select max(to_number(i.premium_rcv_detail_code))+1
from ins_premium_det i),'4584','4584','02', '11000003','00','Request by Mr. Omair Ali 18-March-2025');</v>
      </c>
    </row>
    <row r="58" spans="1:8" ht="105" x14ac:dyDescent="0.25">
      <c r="A58" s="4" t="s">
        <v>58</v>
      </c>
      <c r="B58" s="12" t="str">
        <f>VLOOKUP(A58,policy!B:C,2,0)</f>
        <v>050000829425</v>
      </c>
      <c r="C58" s="6">
        <v>5548</v>
      </c>
      <c r="D58" s="13">
        <f t="shared" si="1"/>
        <v>5548</v>
      </c>
      <c r="E58" s="11" t="s">
        <v>151</v>
      </c>
      <c r="F58" s="14" t="str">
        <f t="shared" si="0"/>
        <v>insert into ins_premium_det (premium_rcv_code,assorted_code, rec_amount,premium_rcv_detail_code,remaining_amt, payrec, mode_code,coinsurance_code,class_cd,it_remarks) values</v>
      </c>
      <c r="G58" s="15" t="str">
        <f t="shared" si="2"/>
        <v>('17Mar250088','050000829425','5548',(select max(to_number(i.premium_rcv_detail_code))+1
from ins_premium_det i),'5548','5548','02', '11000003','00','Request by Mr. Omair Ali 18-March-2025');</v>
      </c>
      <c r="H58" s="16" t="str">
        <f t="shared" si="3"/>
        <v>insert into ins_premium_det (premium_rcv_code,assorted_code, rec_amount,premium_rcv_detail_code,remaining_amt, payrec, mode_code,coinsurance_code,class_cd,it_remarks) values('17Mar250088','050000829425','5548',(select max(to_number(i.premium_rcv_detail_code))+1
from ins_premium_det i),'5548','5548','02', '11000003','00','Request by Mr. Omair Ali 18-March-2025');</v>
      </c>
    </row>
    <row r="59" spans="1:8" ht="105" x14ac:dyDescent="0.25">
      <c r="A59" s="4" t="s">
        <v>59</v>
      </c>
      <c r="B59" s="12" t="str">
        <f>VLOOKUP(A59,policy!B:C,2,0)</f>
        <v>050000832691</v>
      </c>
      <c r="C59" s="6">
        <v>4718</v>
      </c>
      <c r="D59" s="13">
        <f t="shared" si="1"/>
        <v>4718</v>
      </c>
      <c r="E59" s="11" t="s">
        <v>151</v>
      </c>
      <c r="F59" s="14" t="str">
        <f t="shared" si="0"/>
        <v>insert into ins_premium_det (premium_rcv_code,assorted_code, rec_amount,premium_rcv_detail_code,remaining_amt, payrec, mode_code,coinsurance_code,class_cd,it_remarks) values</v>
      </c>
      <c r="G59" s="15" t="str">
        <f t="shared" si="2"/>
        <v>('17Mar250088','050000832691','4718',(select max(to_number(i.premium_rcv_detail_code))+1
from ins_premium_det i),'4718','4718','02', '11000003','00','Request by Mr. Omair Ali 18-March-2025');</v>
      </c>
      <c r="H59" s="16" t="str">
        <f t="shared" si="3"/>
        <v>insert into ins_premium_det (premium_rcv_code,assorted_code, rec_amount,premium_rcv_detail_code,remaining_amt, payrec, mode_code,coinsurance_code,class_cd,it_remarks) values('17Mar250088','050000832691','4718',(select max(to_number(i.premium_rcv_detail_code))+1
from ins_premium_det i),'4718','4718','02', '11000003','00','Request by Mr. Omair Ali 18-March-2025');</v>
      </c>
    </row>
    <row r="60" spans="1:8" ht="105" x14ac:dyDescent="0.25">
      <c r="A60" s="4" t="s">
        <v>60</v>
      </c>
      <c r="B60" s="12" t="str">
        <f>VLOOKUP(A60,policy!B:C,2,0)</f>
        <v>050000836035</v>
      </c>
      <c r="C60" s="6">
        <v>2205</v>
      </c>
      <c r="D60" s="13">
        <f t="shared" si="1"/>
        <v>2205</v>
      </c>
      <c r="E60" s="11" t="s">
        <v>151</v>
      </c>
      <c r="F60" s="14" t="str">
        <f t="shared" si="0"/>
        <v>insert into ins_premium_det (premium_rcv_code,assorted_code, rec_amount,premium_rcv_detail_code,remaining_amt, payrec, mode_code,coinsurance_code,class_cd,it_remarks) values</v>
      </c>
      <c r="G60" s="15" t="str">
        <f t="shared" si="2"/>
        <v>('17Mar250088','050000836035','2205',(select max(to_number(i.premium_rcv_detail_code))+1
from ins_premium_det i),'2205','2205','02', '11000003','00','Request by Mr. Omair Ali 18-March-2025');</v>
      </c>
      <c r="H60" s="16" t="str">
        <f t="shared" si="3"/>
        <v>insert into ins_premium_det (premium_rcv_code,assorted_code, rec_amount,premium_rcv_detail_code,remaining_amt, payrec, mode_code,coinsurance_code,class_cd,it_remarks) values('17Mar250088','050000836035','2205',(select max(to_number(i.premium_rcv_detail_code))+1
from ins_premium_det i),'2205','2205','02', '11000003','00','Request by Mr. Omair Ali 18-March-2025');</v>
      </c>
    </row>
    <row r="61" spans="1:8" ht="105" x14ac:dyDescent="0.25">
      <c r="A61" s="4" t="s">
        <v>61</v>
      </c>
      <c r="B61" s="12" t="str">
        <f>VLOOKUP(A61,policy!B:C,2,0)</f>
        <v>050000836057</v>
      </c>
      <c r="C61" s="6">
        <v>-6840</v>
      </c>
      <c r="D61" s="13">
        <f t="shared" si="1"/>
        <v>-6840</v>
      </c>
      <c r="E61" s="11" t="s">
        <v>151</v>
      </c>
      <c r="F61" s="14" t="str">
        <f t="shared" si="0"/>
        <v>insert into ins_premium_det (premium_rcv_code,assorted_code, rec_amount,premium_rcv_detail_code,remaining_amt, payrec, mode_code,coinsurance_code,class_cd,it_remarks) values</v>
      </c>
      <c r="G61" s="15" t="str">
        <f t="shared" si="2"/>
        <v>('17Mar250088','050000836057','-6840',(select max(to_number(i.premium_rcv_detail_code))+1
from ins_premium_det i),'-6840','-6840','02', '11000003','00','Request by Mr. Omair Ali 18-March-2025');</v>
      </c>
      <c r="H61" s="16" t="str">
        <f t="shared" si="3"/>
        <v>insert into ins_premium_det (premium_rcv_code,assorted_code, rec_amount,premium_rcv_detail_code,remaining_amt, payrec, mode_code,coinsurance_code,class_cd,it_remarks) values('17Mar250088','050000836057','-6840',(select max(to_number(i.premium_rcv_detail_code))+1
from ins_premium_det i),'-6840','-6840','02', '11000003','00','Request by Mr. Omair Ali 18-March-2025');</v>
      </c>
    </row>
    <row r="62" spans="1:8" ht="105" x14ac:dyDescent="0.25">
      <c r="A62" s="4" t="s">
        <v>62</v>
      </c>
      <c r="B62" s="12" t="str">
        <f>VLOOKUP(A62,policy!B:C,2,0)</f>
        <v>050000837410</v>
      </c>
      <c r="C62" s="6">
        <v>40818</v>
      </c>
      <c r="D62" s="13">
        <f t="shared" si="1"/>
        <v>40818</v>
      </c>
      <c r="E62" s="11" t="s">
        <v>151</v>
      </c>
      <c r="F62" s="14" t="str">
        <f t="shared" si="0"/>
        <v>insert into ins_premium_det (premium_rcv_code,assorted_code, rec_amount,premium_rcv_detail_code,remaining_amt, payrec, mode_code,coinsurance_code,class_cd,it_remarks) values</v>
      </c>
      <c r="G62" s="15" t="str">
        <f t="shared" si="2"/>
        <v>('17Mar250088','050000837410','40818',(select max(to_number(i.premium_rcv_detail_code))+1
from ins_premium_det i),'40818','40818','02', '11000003','00','Request by Mr. Omair Ali 18-March-2025');</v>
      </c>
      <c r="H62" s="16" t="str">
        <f t="shared" si="3"/>
        <v>insert into ins_premium_det (premium_rcv_code,assorted_code, rec_amount,premium_rcv_detail_code,remaining_amt, payrec, mode_code,coinsurance_code,class_cd,it_remarks) values('17Mar250088','050000837410','40818',(select max(to_number(i.premium_rcv_detail_code))+1
from ins_premium_det i),'40818','40818','02', '11000003','00','Request by Mr. Omair Ali 18-March-2025');</v>
      </c>
    </row>
    <row r="63" spans="1:8" ht="105" x14ac:dyDescent="0.25">
      <c r="A63" s="4" t="s">
        <v>63</v>
      </c>
      <c r="B63" s="12" t="str">
        <f>VLOOKUP(A63,policy!B:C,2,0)</f>
        <v>050000697958</v>
      </c>
      <c r="C63" s="6">
        <v>86783</v>
      </c>
      <c r="D63" s="13">
        <f t="shared" si="1"/>
        <v>86783</v>
      </c>
      <c r="E63" s="11" t="s">
        <v>151</v>
      </c>
      <c r="F63" s="14" t="str">
        <f t="shared" si="0"/>
        <v>insert into ins_premium_det (premium_rcv_code,assorted_code, rec_amount,premium_rcv_detail_code,remaining_amt, payrec, mode_code,coinsurance_code,class_cd,it_remarks) values</v>
      </c>
      <c r="G63" s="15" t="str">
        <f t="shared" si="2"/>
        <v>('17Mar250088','050000697958','86783',(select max(to_number(i.premium_rcv_detail_code))+1
from ins_premium_det i),'86783','86783','02', '11000003','00','Request by Mr. Omair Ali 18-March-2025');</v>
      </c>
      <c r="H63" s="16" t="str">
        <f t="shared" si="3"/>
        <v>insert into ins_premium_det (premium_rcv_code,assorted_code, rec_amount,premium_rcv_detail_code,remaining_amt, payrec, mode_code,coinsurance_code,class_cd,it_remarks) values('17Mar250088','050000697958','86783',(select max(to_number(i.premium_rcv_detail_code))+1
from ins_premium_det i),'86783','86783','02', '11000003','00','Request by Mr. Omair Ali 18-March-2025');</v>
      </c>
    </row>
    <row r="64" spans="1:8" ht="105" x14ac:dyDescent="0.25">
      <c r="A64" s="4" t="s">
        <v>65</v>
      </c>
      <c r="B64" s="12" t="str">
        <f>VLOOKUP(A64,policy!B:C,2,0)</f>
        <v>050000864967</v>
      </c>
      <c r="C64" s="7">
        <v>-3312718</v>
      </c>
      <c r="D64" s="13">
        <f t="shared" si="1"/>
        <v>-3312718</v>
      </c>
      <c r="E64" s="11" t="s">
        <v>151</v>
      </c>
      <c r="F64" s="14" t="str">
        <f t="shared" si="0"/>
        <v>insert into ins_premium_det (premium_rcv_code,assorted_code, rec_amount,premium_rcv_detail_code,remaining_amt, payrec, mode_code,coinsurance_code,class_cd,it_remarks) values</v>
      </c>
      <c r="G64" s="15" t="str">
        <f t="shared" si="2"/>
        <v>('17Mar250088','050000864967','-3312718',(select max(to_number(i.premium_rcv_detail_code))+1
from ins_premium_det i),'-3312718','-3312718','02', '11000003','00','Request by Mr. Omair Ali 18-March-2025');</v>
      </c>
      <c r="H64" s="16" t="str">
        <f t="shared" si="3"/>
        <v>insert into ins_premium_det (premium_rcv_code,assorted_code, rec_amount,premium_rcv_detail_code,remaining_amt, payrec, mode_code,coinsurance_code,class_cd,it_remarks) values('17Mar250088','050000864967','-3312718',(select max(to_number(i.premium_rcv_detail_code))+1
from ins_premium_det i),'-3312718','-3312718','02', '11000003','00','Request by Mr. Omair Ali 18-March-2025');</v>
      </c>
    </row>
    <row r="66" spans="3:3" x14ac:dyDescent="0.25">
      <c r="C66" s="17">
        <f>SUM(C2:C64)</f>
        <v>0</v>
      </c>
    </row>
  </sheetData>
  <conditionalFormatting sqref="A1">
    <cfRule type="duplicateValues" dxfId="6" priority="4"/>
  </conditionalFormatting>
  <conditionalFormatting sqref="B2:B64">
    <cfRule type="duplicateValues" dxfId="5" priority="5"/>
    <cfRule type="duplicateValues" dxfId="4" priority="6"/>
    <cfRule type="duplicateValues" dxfId="3" priority="7"/>
  </conditionalFormatting>
  <conditionalFormatting sqref="A2:A63">
    <cfRule type="notContainsBlanks" dxfId="2" priority="3">
      <formula>LEN(TRIM(A2))&gt;0</formula>
    </cfRule>
  </conditionalFormatting>
  <conditionalFormatting sqref="A64">
    <cfRule type="notContainsBlanks" dxfId="1" priority="2">
      <formula>LEN(TRIM(A64))&gt;0</formula>
    </cfRule>
  </conditionalFormatting>
  <conditionalFormatting sqref="C2:C63">
    <cfRule type="notContainsBlanks" dxfId="0" priority="1">
      <formula>LEN(TRIM(C2))&gt;0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7A18-EE3A-407E-BF14-86B269A6C1E2}">
  <dimension ref="A1:E63"/>
  <sheetViews>
    <sheetView topLeftCell="A46" workbookViewId="0">
      <selection activeCell="H56" sqref="H56"/>
    </sheetView>
  </sheetViews>
  <sheetFormatPr defaultRowHeight="15" x14ac:dyDescent="0.25"/>
  <cols>
    <col min="1" max="1" width="35.7109375" bestFit="1" customWidth="1"/>
    <col min="3" max="3" width="9.28515625" customWidth="1"/>
  </cols>
  <sheetData>
    <row r="1" spans="1:5" x14ac:dyDescent="0.25">
      <c r="A1" s="3" t="s">
        <v>2</v>
      </c>
      <c r="B1" t="s">
        <v>66</v>
      </c>
      <c r="D1">
        <v>2887</v>
      </c>
      <c r="E1" t="str">
        <f>"ia.assorted_string like '%"&amp;D1&amp;B1&amp;"%' or"</f>
        <v>ia.assorted_string like '%2887-12-2023%' or</v>
      </c>
    </row>
    <row r="2" spans="1:5" x14ac:dyDescent="0.25">
      <c r="A2" s="4" t="s">
        <v>3</v>
      </c>
      <c r="B2" t="s">
        <v>67</v>
      </c>
      <c r="D2">
        <v>23751</v>
      </c>
      <c r="E2" t="str">
        <f t="shared" ref="E2:E63" si="0">"ia.assorted_string like '%"&amp;D2&amp;B2&amp;"%' or"</f>
        <v>ia.assorted_string like '%23751-01-2024%' or</v>
      </c>
    </row>
    <row r="3" spans="1:5" x14ac:dyDescent="0.25">
      <c r="A3" s="4" t="s">
        <v>4</v>
      </c>
      <c r="B3" t="s">
        <v>67</v>
      </c>
      <c r="D3">
        <v>23766</v>
      </c>
      <c r="E3" t="str">
        <f t="shared" si="0"/>
        <v>ia.assorted_string like '%23766-01-2024%' or</v>
      </c>
    </row>
    <row r="4" spans="1:5" x14ac:dyDescent="0.25">
      <c r="A4" s="4" t="s">
        <v>5</v>
      </c>
      <c r="B4" t="s">
        <v>67</v>
      </c>
      <c r="D4">
        <v>23816</v>
      </c>
      <c r="E4" t="str">
        <f t="shared" si="0"/>
        <v>ia.assorted_string like '%23816-01-2024%' or</v>
      </c>
    </row>
    <row r="5" spans="1:5" x14ac:dyDescent="0.25">
      <c r="A5" s="4" t="s">
        <v>6</v>
      </c>
      <c r="B5" t="s">
        <v>68</v>
      </c>
      <c r="D5">
        <v>23940</v>
      </c>
      <c r="E5" t="str">
        <f t="shared" si="0"/>
        <v>ia.assorted_string like '%23940-02-2024%' or</v>
      </c>
    </row>
    <row r="6" spans="1:5" x14ac:dyDescent="0.25">
      <c r="A6" s="4" t="s">
        <v>7</v>
      </c>
      <c r="B6" t="s">
        <v>68</v>
      </c>
      <c r="D6">
        <v>23992</v>
      </c>
      <c r="E6" t="str">
        <f t="shared" si="0"/>
        <v>ia.assorted_string like '%23992-02-2024%' or</v>
      </c>
    </row>
    <row r="7" spans="1:5" x14ac:dyDescent="0.25">
      <c r="A7" s="4" t="s">
        <v>8</v>
      </c>
      <c r="B7" t="s">
        <v>68</v>
      </c>
      <c r="D7">
        <v>24120</v>
      </c>
      <c r="E7" t="str">
        <f t="shared" si="0"/>
        <v>ia.assorted_string like '%24120-02-2024%' or</v>
      </c>
    </row>
    <row r="8" spans="1:5" x14ac:dyDescent="0.25">
      <c r="A8" s="4" t="s">
        <v>9</v>
      </c>
      <c r="B8" t="s">
        <v>68</v>
      </c>
      <c r="D8">
        <v>24142</v>
      </c>
      <c r="E8" t="str">
        <f t="shared" si="0"/>
        <v>ia.assorted_string like '%24142-02-2024%' or</v>
      </c>
    </row>
    <row r="9" spans="1:5" x14ac:dyDescent="0.25">
      <c r="A9" s="4" t="s">
        <v>10</v>
      </c>
      <c r="B9" t="s">
        <v>68</v>
      </c>
      <c r="D9">
        <v>24207</v>
      </c>
      <c r="E9" t="str">
        <f t="shared" si="0"/>
        <v>ia.assorted_string like '%24207-02-2024%' or</v>
      </c>
    </row>
    <row r="10" spans="1:5" x14ac:dyDescent="0.25">
      <c r="A10" s="4" t="s">
        <v>11</v>
      </c>
      <c r="B10" t="s">
        <v>68</v>
      </c>
      <c r="D10">
        <v>24253</v>
      </c>
      <c r="E10" t="str">
        <f t="shared" si="0"/>
        <v>ia.assorted_string like '%24253-02-2024%' or</v>
      </c>
    </row>
    <row r="11" spans="1:5" x14ac:dyDescent="0.25">
      <c r="A11" s="4" t="s">
        <v>12</v>
      </c>
      <c r="B11" t="s">
        <v>69</v>
      </c>
      <c r="D11">
        <v>24443</v>
      </c>
      <c r="E11" t="str">
        <f t="shared" si="0"/>
        <v>ia.assorted_string like '%24443-03-2024%' or</v>
      </c>
    </row>
    <row r="12" spans="1:5" x14ac:dyDescent="0.25">
      <c r="A12" s="4" t="s">
        <v>13</v>
      </c>
      <c r="B12" t="s">
        <v>69</v>
      </c>
      <c r="D12">
        <v>24566</v>
      </c>
      <c r="E12" t="str">
        <f t="shared" si="0"/>
        <v>ia.assorted_string like '%24566-03-2024%' or</v>
      </c>
    </row>
    <row r="13" spans="1:5" x14ac:dyDescent="0.25">
      <c r="A13" s="4" t="s">
        <v>14</v>
      </c>
      <c r="B13" t="s">
        <v>69</v>
      </c>
      <c r="D13">
        <v>24617</v>
      </c>
      <c r="E13" t="str">
        <f t="shared" si="0"/>
        <v>ia.assorted_string like '%24617-03-2024%' or</v>
      </c>
    </row>
    <row r="14" spans="1:5" x14ac:dyDescent="0.25">
      <c r="A14" s="4" t="s">
        <v>15</v>
      </c>
      <c r="B14" t="s">
        <v>70</v>
      </c>
      <c r="D14">
        <v>24705</v>
      </c>
      <c r="E14" t="str">
        <f t="shared" si="0"/>
        <v>ia.assorted_string like '%24705-04-2024%' or</v>
      </c>
    </row>
    <row r="15" spans="1:5" x14ac:dyDescent="0.25">
      <c r="A15" s="4" t="s">
        <v>16</v>
      </c>
      <c r="B15" t="s">
        <v>70</v>
      </c>
      <c r="D15">
        <v>24839</v>
      </c>
      <c r="E15" t="str">
        <f t="shared" si="0"/>
        <v>ia.assorted_string like '%24839-04-2024%' or</v>
      </c>
    </row>
    <row r="16" spans="1:5" x14ac:dyDescent="0.25">
      <c r="A16" s="4" t="s">
        <v>17</v>
      </c>
      <c r="B16" t="s">
        <v>70</v>
      </c>
      <c r="D16">
        <v>24855</v>
      </c>
      <c r="E16" t="str">
        <f t="shared" si="0"/>
        <v>ia.assorted_string like '%24855-04-2024%' or</v>
      </c>
    </row>
    <row r="17" spans="1:5" x14ac:dyDescent="0.25">
      <c r="A17" s="4" t="s">
        <v>18</v>
      </c>
      <c r="B17" t="s">
        <v>70</v>
      </c>
      <c r="D17">
        <v>24926</v>
      </c>
      <c r="E17" t="str">
        <f t="shared" si="0"/>
        <v>ia.assorted_string like '%24926-04-2024%' or</v>
      </c>
    </row>
    <row r="18" spans="1:5" x14ac:dyDescent="0.25">
      <c r="A18" s="4" t="s">
        <v>19</v>
      </c>
      <c r="B18" t="s">
        <v>71</v>
      </c>
      <c r="D18">
        <v>25417</v>
      </c>
      <c r="E18" t="str">
        <f t="shared" si="0"/>
        <v>ia.assorted_string like '%25417-05-2024%' or</v>
      </c>
    </row>
    <row r="19" spans="1:5" x14ac:dyDescent="0.25">
      <c r="A19" s="4" t="s">
        <v>20</v>
      </c>
      <c r="B19" t="s">
        <v>72</v>
      </c>
      <c r="D19">
        <v>25731</v>
      </c>
      <c r="E19" t="str">
        <f t="shared" si="0"/>
        <v>ia.assorted_string like '%25731-06-2024%' or</v>
      </c>
    </row>
    <row r="20" spans="1:5" x14ac:dyDescent="0.25">
      <c r="A20" s="4" t="s">
        <v>21</v>
      </c>
      <c r="B20" t="s">
        <v>73</v>
      </c>
      <c r="D20">
        <v>25995</v>
      </c>
      <c r="E20" t="str">
        <f t="shared" si="0"/>
        <v>ia.assorted_string like '%25995-07-2024%' or</v>
      </c>
    </row>
    <row r="21" spans="1:5" x14ac:dyDescent="0.25">
      <c r="A21" s="4" t="s">
        <v>22</v>
      </c>
      <c r="B21" t="s">
        <v>73</v>
      </c>
      <c r="D21">
        <v>26011</v>
      </c>
      <c r="E21" t="str">
        <f t="shared" si="0"/>
        <v>ia.assorted_string like '%26011-07-2024%' or</v>
      </c>
    </row>
    <row r="22" spans="1:5" x14ac:dyDescent="0.25">
      <c r="A22" s="4" t="s">
        <v>23</v>
      </c>
      <c r="B22" t="s">
        <v>74</v>
      </c>
      <c r="D22">
        <v>26405</v>
      </c>
      <c r="E22" t="str">
        <f t="shared" si="0"/>
        <v>ia.assorted_string like '%26405-08-2024%' or</v>
      </c>
    </row>
    <row r="23" spans="1:5" x14ac:dyDescent="0.25">
      <c r="A23" s="4" t="s">
        <v>24</v>
      </c>
      <c r="B23" t="s">
        <v>74</v>
      </c>
      <c r="D23">
        <v>26452</v>
      </c>
      <c r="E23" t="str">
        <f t="shared" si="0"/>
        <v>ia.assorted_string like '%26452-08-2024%' or</v>
      </c>
    </row>
    <row r="24" spans="1:5" x14ac:dyDescent="0.25">
      <c r="A24" s="4" t="s">
        <v>25</v>
      </c>
      <c r="B24" t="s">
        <v>74</v>
      </c>
      <c r="D24">
        <v>26477</v>
      </c>
      <c r="E24" t="str">
        <f t="shared" si="0"/>
        <v>ia.assorted_string like '%26477-08-2024%' or</v>
      </c>
    </row>
    <row r="25" spans="1:5" x14ac:dyDescent="0.25">
      <c r="A25" s="4" t="s">
        <v>26</v>
      </c>
      <c r="B25" t="s">
        <v>74</v>
      </c>
      <c r="D25">
        <v>26493</v>
      </c>
      <c r="E25" t="str">
        <f t="shared" si="0"/>
        <v>ia.assorted_string like '%26493-08-2024%' or</v>
      </c>
    </row>
    <row r="26" spans="1:5" x14ac:dyDescent="0.25">
      <c r="A26" s="4" t="s">
        <v>27</v>
      </c>
      <c r="B26" t="s">
        <v>74</v>
      </c>
      <c r="D26">
        <v>26546</v>
      </c>
      <c r="E26" t="str">
        <f t="shared" si="0"/>
        <v>ia.assorted_string like '%26546-08-2024%' or</v>
      </c>
    </row>
    <row r="27" spans="1:5" x14ac:dyDescent="0.25">
      <c r="A27" s="4" t="s">
        <v>28</v>
      </c>
      <c r="B27" t="s">
        <v>74</v>
      </c>
      <c r="D27">
        <v>26684</v>
      </c>
      <c r="E27" t="str">
        <f t="shared" si="0"/>
        <v>ia.assorted_string like '%26684-08-2024%' or</v>
      </c>
    </row>
    <row r="28" spans="1:5" x14ac:dyDescent="0.25">
      <c r="A28" s="4" t="s">
        <v>29</v>
      </c>
      <c r="B28" t="s">
        <v>74</v>
      </c>
      <c r="D28">
        <v>26749</v>
      </c>
      <c r="E28" t="str">
        <f t="shared" si="0"/>
        <v>ia.assorted_string like '%26749-08-2024%' or</v>
      </c>
    </row>
    <row r="29" spans="1:5" x14ac:dyDescent="0.25">
      <c r="A29" s="4" t="s">
        <v>30</v>
      </c>
      <c r="B29" t="s">
        <v>74</v>
      </c>
      <c r="D29">
        <v>26763</v>
      </c>
      <c r="E29" t="str">
        <f t="shared" si="0"/>
        <v>ia.assorted_string like '%26763-08-2024%' or</v>
      </c>
    </row>
    <row r="30" spans="1:5" x14ac:dyDescent="0.25">
      <c r="A30" s="4" t="s">
        <v>31</v>
      </c>
      <c r="B30" t="s">
        <v>74</v>
      </c>
      <c r="D30">
        <v>26883</v>
      </c>
      <c r="E30" t="str">
        <f t="shared" si="0"/>
        <v>ia.assorted_string like '%26883-08-2024%' or</v>
      </c>
    </row>
    <row r="31" spans="1:5" x14ac:dyDescent="0.25">
      <c r="A31" s="4" t="s">
        <v>32</v>
      </c>
      <c r="B31" t="s">
        <v>75</v>
      </c>
      <c r="D31">
        <v>26993</v>
      </c>
      <c r="E31" t="str">
        <f t="shared" si="0"/>
        <v>ia.assorted_string like '%26993-09-2024%' or</v>
      </c>
    </row>
    <row r="32" spans="1:5" x14ac:dyDescent="0.25">
      <c r="A32" s="4" t="s">
        <v>33</v>
      </c>
      <c r="B32" t="s">
        <v>75</v>
      </c>
      <c r="D32">
        <v>27033</v>
      </c>
      <c r="E32" t="str">
        <f t="shared" si="0"/>
        <v>ia.assorted_string like '%27033-09-2024%' or</v>
      </c>
    </row>
    <row r="33" spans="1:5" x14ac:dyDescent="0.25">
      <c r="A33" s="4" t="s">
        <v>34</v>
      </c>
      <c r="B33" t="s">
        <v>75</v>
      </c>
      <c r="D33">
        <v>27078</v>
      </c>
      <c r="E33" t="str">
        <f t="shared" si="0"/>
        <v>ia.assorted_string like '%27078-09-2024%' or</v>
      </c>
    </row>
    <row r="34" spans="1:5" x14ac:dyDescent="0.25">
      <c r="A34" s="4" t="s">
        <v>35</v>
      </c>
      <c r="B34" t="s">
        <v>75</v>
      </c>
      <c r="D34">
        <v>27184</v>
      </c>
      <c r="E34" t="str">
        <f t="shared" si="0"/>
        <v>ia.assorted_string like '%27184-09-2024%' or</v>
      </c>
    </row>
    <row r="35" spans="1:5" x14ac:dyDescent="0.25">
      <c r="A35" s="4" t="s">
        <v>36</v>
      </c>
      <c r="B35" t="s">
        <v>75</v>
      </c>
      <c r="D35">
        <v>27226</v>
      </c>
      <c r="E35" t="str">
        <f t="shared" si="0"/>
        <v>ia.assorted_string like '%27226-09-2024%' or</v>
      </c>
    </row>
    <row r="36" spans="1:5" x14ac:dyDescent="0.25">
      <c r="A36" s="4" t="s">
        <v>37</v>
      </c>
      <c r="B36" t="s">
        <v>75</v>
      </c>
      <c r="D36">
        <v>27458</v>
      </c>
      <c r="E36" t="str">
        <f t="shared" si="0"/>
        <v>ia.assorted_string like '%27458-09-2024%' or</v>
      </c>
    </row>
    <row r="37" spans="1:5" x14ac:dyDescent="0.25">
      <c r="A37" s="4" t="s">
        <v>38</v>
      </c>
      <c r="B37" t="s">
        <v>76</v>
      </c>
      <c r="D37">
        <v>27594</v>
      </c>
      <c r="E37" t="str">
        <f t="shared" si="0"/>
        <v>ia.assorted_string like '%27594-10-2024%' or</v>
      </c>
    </row>
    <row r="38" spans="1:5" x14ac:dyDescent="0.25">
      <c r="A38" s="4" t="s">
        <v>39</v>
      </c>
      <c r="B38" t="s">
        <v>76</v>
      </c>
      <c r="D38">
        <v>27610</v>
      </c>
      <c r="E38" t="str">
        <f t="shared" si="0"/>
        <v>ia.assorted_string like '%27610-10-2024%' or</v>
      </c>
    </row>
    <row r="39" spans="1:5" x14ac:dyDescent="0.25">
      <c r="A39" s="4" t="s">
        <v>40</v>
      </c>
      <c r="B39" t="s">
        <v>76</v>
      </c>
      <c r="D39">
        <v>27640</v>
      </c>
      <c r="E39" t="str">
        <f t="shared" si="0"/>
        <v>ia.assorted_string like '%27640-10-2024%' or</v>
      </c>
    </row>
    <row r="40" spans="1:5" x14ac:dyDescent="0.25">
      <c r="A40" s="4" t="s">
        <v>41</v>
      </c>
      <c r="B40" t="s">
        <v>76</v>
      </c>
      <c r="D40">
        <v>27659</v>
      </c>
      <c r="E40" t="str">
        <f t="shared" si="0"/>
        <v>ia.assorted_string like '%27659-10-2024%' or</v>
      </c>
    </row>
    <row r="41" spans="1:5" x14ac:dyDescent="0.25">
      <c r="A41" s="4" t="s">
        <v>42</v>
      </c>
      <c r="B41" t="s">
        <v>76</v>
      </c>
      <c r="D41">
        <v>27756</v>
      </c>
      <c r="E41" t="str">
        <f t="shared" si="0"/>
        <v>ia.assorted_string like '%27756-10-2024%' or</v>
      </c>
    </row>
    <row r="42" spans="1:5" x14ac:dyDescent="0.25">
      <c r="A42" s="4" t="s">
        <v>43</v>
      </c>
      <c r="B42" t="s">
        <v>76</v>
      </c>
      <c r="D42">
        <v>27787</v>
      </c>
      <c r="E42" t="str">
        <f t="shared" si="0"/>
        <v>ia.assorted_string like '%27787-10-2024%' or</v>
      </c>
    </row>
    <row r="43" spans="1:5" x14ac:dyDescent="0.25">
      <c r="A43" s="4" t="s">
        <v>44</v>
      </c>
      <c r="B43" t="s">
        <v>76</v>
      </c>
      <c r="D43">
        <v>27841</v>
      </c>
      <c r="E43" t="str">
        <f t="shared" si="0"/>
        <v>ia.assorted_string like '%27841-10-2024%' or</v>
      </c>
    </row>
    <row r="44" spans="1:5" x14ac:dyDescent="0.25">
      <c r="A44" s="4" t="s">
        <v>45</v>
      </c>
      <c r="B44" t="s">
        <v>76</v>
      </c>
      <c r="D44">
        <v>27896</v>
      </c>
      <c r="E44" t="str">
        <f t="shared" si="0"/>
        <v>ia.assorted_string like '%27896-10-2024%' or</v>
      </c>
    </row>
    <row r="45" spans="1:5" x14ac:dyDescent="0.25">
      <c r="A45" s="4" t="s">
        <v>46</v>
      </c>
      <c r="B45" t="s">
        <v>76</v>
      </c>
      <c r="D45">
        <v>27988</v>
      </c>
      <c r="E45" t="str">
        <f t="shared" si="0"/>
        <v>ia.assorted_string like '%27988-10-2024%' or</v>
      </c>
    </row>
    <row r="46" spans="1:5" x14ac:dyDescent="0.25">
      <c r="A46" s="4" t="s">
        <v>47</v>
      </c>
      <c r="B46" t="s">
        <v>76</v>
      </c>
      <c r="D46">
        <v>28081</v>
      </c>
      <c r="E46" t="str">
        <f t="shared" si="0"/>
        <v>ia.assorted_string like '%28081-10-2024%' or</v>
      </c>
    </row>
    <row r="47" spans="1:5" x14ac:dyDescent="0.25">
      <c r="A47" s="4" t="s">
        <v>48</v>
      </c>
      <c r="B47" t="s">
        <v>76</v>
      </c>
      <c r="D47">
        <v>28222</v>
      </c>
      <c r="E47" t="str">
        <f t="shared" si="0"/>
        <v>ia.assorted_string like '%28222-10-2024%' or</v>
      </c>
    </row>
    <row r="48" spans="1:5" x14ac:dyDescent="0.25">
      <c r="A48" s="4" t="s">
        <v>49</v>
      </c>
      <c r="B48" t="s">
        <v>76</v>
      </c>
      <c r="D48">
        <v>28255</v>
      </c>
      <c r="E48" t="str">
        <f t="shared" si="0"/>
        <v>ia.assorted_string like '%28255-10-2024%' or</v>
      </c>
    </row>
    <row r="49" spans="1:5" x14ac:dyDescent="0.25">
      <c r="A49" s="4" t="s">
        <v>50</v>
      </c>
      <c r="B49" t="s">
        <v>77</v>
      </c>
      <c r="D49">
        <v>28296</v>
      </c>
      <c r="E49" t="str">
        <f t="shared" si="0"/>
        <v>ia.assorted_string like '%28296-11-2024%' or</v>
      </c>
    </row>
    <row r="50" spans="1:5" x14ac:dyDescent="0.25">
      <c r="A50" s="4" t="s">
        <v>51</v>
      </c>
      <c r="B50" t="s">
        <v>77</v>
      </c>
      <c r="D50">
        <v>28375</v>
      </c>
      <c r="E50" t="str">
        <f t="shared" si="0"/>
        <v>ia.assorted_string like '%28375-11-2024%' or</v>
      </c>
    </row>
    <row r="51" spans="1:5" x14ac:dyDescent="0.25">
      <c r="A51" s="4" t="s">
        <v>52</v>
      </c>
      <c r="B51" t="s">
        <v>77</v>
      </c>
      <c r="D51">
        <v>28488</v>
      </c>
      <c r="E51" t="str">
        <f t="shared" si="0"/>
        <v>ia.assorted_string like '%28488-11-2024%' or</v>
      </c>
    </row>
    <row r="52" spans="1:5" x14ac:dyDescent="0.25">
      <c r="A52" s="4" t="s">
        <v>53</v>
      </c>
      <c r="B52" t="s">
        <v>77</v>
      </c>
      <c r="D52">
        <v>28518</v>
      </c>
      <c r="E52" t="str">
        <f t="shared" si="0"/>
        <v>ia.assorted_string like '%28518-11-2024%' or</v>
      </c>
    </row>
    <row r="53" spans="1:5" x14ac:dyDescent="0.25">
      <c r="A53" s="4" t="s">
        <v>54</v>
      </c>
      <c r="B53" t="s">
        <v>77</v>
      </c>
      <c r="D53">
        <v>28531</v>
      </c>
      <c r="E53" t="str">
        <f t="shared" si="0"/>
        <v>ia.assorted_string like '%28531-11-2024%' or</v>
      </c>
    </row>
    <row r="54" spans="1:5" x14ac:dyDescent="0.25">
      <c r="A54" s="4" t="s">
        <v>55</v>
      </c>
      <c r="B54" t="s">
        <v>77</v>
      </c>
      <c r="D54">
        <v>28717</v>
      </c>
      <c r="E54" t="str">
        <f t="shared" si="0"/>
        <v>ia.assorted_string like '%28717-11-2024%' or</v>
      </c>
    </row>
    <row r="55" spans="1:5" x14ac:dyDescent="0.25">
      <c r="A55" s="4" t="s">
        <v>56</v>
      </c>
      <c r="B55" t="s">
        <v>77</v>
      </c>
      <c r="D55">
        <v>28864</v>
      </c>
      <c r="E55" t="str">
        <f t="shared" si="0"/>
        <v>ia.assorted_string like '%28864-11-2024%' or</v>
      </c>
    </row>
    <row r="56" spans="1:5" x14ac:dyDescent="0.25">
      <c r="A56" s="4" t="s">
        <v>57</v>
      </c>
      <c r="B56" t="s">
        <v>78</v>
      </c>
      <c r="D56">
        <v>28899</v>
      </c>
      <c r="E56" t="str">
        <f t="shared" si="0"/>
        <v>ia.assorted_string like '%28899-12-2024%' or</v>
      </c>
    </row>
    <row r="57" spans="1:5" x14ac:dyDescent="0.25">
      <c r="A57" s="4" t="s">
        <v>58</v>
      </c>
      <c r="B57" t="s">
        <v>78</v>
      </c>
      <c r="D57">
        <v>28955</v>
      </c>
      <c r="E57" t="str">
        <f t="shared" si="0"/>
        <v>ia.assorted_string like '%28955-12-2024%' or</v>
      </c>
    </row>
    <row r="58" spans="1:5" x14ac:dyDescent="0.25">
      <c r="A58" s="4" t="s">
        <v>59</v>
      </c>
      <c r="B58" t="s">
        <v>78</v>
      </c>
      <c r="D58">
        <v>29077</v>
      </c>
      <c r="E58" t="str">
        <f t="shared" si="0"/>
        <v>ia.assorted_string like '%29077-12-2024%' or</v>
      </c>
    </row>
    <row r="59" spans="1:5" x14ac:dyDescent="0.25">
      <c r="A59" s="4" t="s">
        <v>60</v>
      </c>
      <c r="B59" t="s">
        <v>78</v>
      </c>
      <c r="D59">
        <v>29300</v>
      </c>
      <c r="E59" t="str">
        <f t="shared" si="0"/>
        <v>ia.assorted_string like '%29300-12-2024%' or</v>
      </c>
    </row>
    <row r="60" spans="1:5" x14ac:dyDescent="0.25">
      <c r="A60" s="4" t="s">
        <v>61</v>
      </c>
      <c r="B60" t="s">
        <v>78</v>
      </c>
      <c r="D60">
        <v>29314</v>
      </c>
      <c r="E60" t="str">
        <f t="shared" si="0"/>
        <v>ia.assorted_string like '%29314-12-2024%' or</v>
      </c>
    </row>
    <row r="61" spans="1:5" x14ac:dyDescent="0.25">
      <c r="A61" s="4" t="s">
        <v>62</v>
      </c>
      <c r="B61" t="s">
        <v>78</v>
      </c>
      <c r="D61">
        <v>29433</v>
      </c>
      <c r="E61" t="str">
        <f t="shared" si="0"/>
        <v>ia.assorted_string like '%29433-12-2024%' or</v>
      </c>
    </row>
    <row r="62" spans="1:5" x14ac:dyDescent="0.25">
      <c r="A62" s="4" t="s">
        <v>63</v>
      </c>
      <c r="B62" t="s">
        <v>67</v>
      </c>
      <c r="D62">
        <v>23438</v>
      </c>
      <c r="E62" t="str">
        <f t="shared" si="0"/>
        <v>ia.assorted_string like '%23438-01-2024%' or</v>
      </c>
    </row>
    <row r="63" spans="1:5" x14ac:dyDescent="0.25">
      <c r="A63" s="4" t="s">
        <v>65</v>
      </c>
      <c r="B63" t="s">
        <v>79</v>
      </c>
      <c r="D63">
        <v>30357</v>
      </c>
      <c r="E63" t="str">
        <f t="shared" si="0"/>
        <v>ia.assorted_string like '%30357-03-2025%' or</v>
      </c>
    </row>
  </sheetData>
  <conditionalFormatting sqref="A1:A62">
    <cfRule type="notContainsBlanks" dxfId="8" priority="4">
      <formula>LEN(TRIM(A1))&gt;0</formula>
    </cfRule>
  </conditionalFormatting>
  <conditionalFormatting sqref="A63">
    <cfRule type="notContainsBlanks" dxfId="7" priority="3">
      <formula>LEN(TRIM(A63))&gt;0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A41FF-A446-431A-B14B-ADC1A6451E11}">
  <dimension ref="A1:C65"/>
  <sheetViews>
    <sheetView workbookViewId="0">
      <selection activeCell="B8" sqref="B8"/>
    </sheetView>
  </sheetViews>
  <sheetFormatPr defaultColWidth="7.85546875" defaultRowHeight="15" x14ac:dyDescent="0.25"/>
  <cols>
    <col min="1" max="1" width="3" bestFit="1" customWidth="1"/>
    <col min="2" max="2" width="40" bestFit="1" customWidth="1"/>
    <col min="3" max="3" width="15" bestFit="1" customWidth="1"/>
  </cols>
  <sheetData>
    <row r="1" spans="1:3" s="8" customFormat="1" ht="12" x14ac:dyDescent="0.2">
      <c r="A1" s="8" t="s">
        <v>80</v>
      </c>
      <c r="B1" s="8" t="s">
        <v>81</v>
      </c>
      <c r="C1" s="8" t="s">
        <v>82</v>
      </c>
    </row>
    <row r="2" spans="1:3" x14ac:dyDescent="0.25">
      <c r="A2">
        <v>1</v>
      </c>
      <c r="B2" t="s">
        <v>27</v>
      </c>
      <c r="C2" t="s">
        <v>83</v>
      </c>
    </row>
    <row r="3" spans="1:3" x14ac:dyDescent="0.25">
      <c r="A3">
        <v>2</v>
      </c>
      <c r="B3" t="s">
        <v>84</v>
      </c>
      <c r="C3" t="s">
        <v>85</v>
      </c>
    </row>
    <row r="4" spans="1:3" x14ac:dyDescent="0.25">
      <c r="A4">
        <v>3</v>
      </c>
      <c r="B4" t="s">
        <v>2</v>
      </c>
      <c r="C4" t="s">
        <v>86</v>
      </c>
    </row>
    <row r="5" spans="1:3" x14ac:dyDescent="0.25">
      <c r="A5">
        <v>4</v>
      </c>
      <c r="B5" t="s">
        <v>5</v>
      </c>
      <c r="C5" t="s">
        <v>87</v>
      </c>
    </row>
    <row r="6" spans="1:3" x14ac:dyDescent="0.25">
      <c r="A6">
        <v>5</v>
      </c>
      <c r="B6" t="s">
        <v>12</v>
      </c>
      <c r="C6" t="s">
        <v>88</v>
      </c>
    </row>
    <row r="7" spans="1:3" x14ac:dyDescent="0.25">
      <c r="A7">
        <v>6</v>
      </c>
      <c r="B7" t="s">
        <v>11</v>
      </c>
      <c r="C7" t="s">
        <v>89</v>
      </c>
    </row>
    <row r="8" spans="1:3" x14ac:dyDescent="0.25">
      <c r="A8">
        <v>7</v>
      </c>
      <c r="B8" t="s">
        <v>63</v>
      </c>
      <c r="C8" t="s">
        <v>90</v>
      </c>
    </row>
    <row r="9" spans="1:3" x14ac:dyDescent="0.25">
      <c r="A9">
        <v>8</v>
      </c>
      <c r="B9" t="s">
        <v>4</v>
      </c>
      <c r="C9" t="s">
        <v>91</v>
      </c>
    </row>
    <row r="10" spans="1:3" x14ac:dyDescent="0.25">
      <c r="A10">
        <v>9</v>
      </c>
      <c r="B10" t="s">
        <v>13</v>
      </c>
      <c r="C10" t="s">
        <v>92</v>
      </c>
    </row>
    <row r="11" spans="1:3" x14ac:dyDescent="0.25">
      <c r="A11">
        <v>10</v>
      </c>
      <c r="B11" t="s">
        <v>14</v>
      </c>
      <c r="C11" t="s">
        <v>93</v>
      </c>
    </row>
    <row r="12" spans="1:3" x14ac:dyDescent="0.25">
      <c r="A12">
        <v>11</v>
      </c>
      <c r="B12" t="s">
        <v>7</v>
      </c>
      <c r="C12" t="s">
        <v>94</v>
      </c>
    </row>
    <row r="13" spans="1:3" x14ac:dyDescent="0.25">
      <c r="A13">
        <v>12</v>
      </c>
      <c r="B13" t="s">
        <v>15</v>
      </c>
      <c r="C13" t="s">
        <v>95</v>
      </c>
    </row>
    <row r="14" spans="1:3" x14ac:dyDescent="0.25">
      <c r="A14">
        <v>13</v>
      </c>
      <c r="B14" t="s">
        <v>17</v>
      </c>
      <c r="C14" t="s">
        <v>96</v>
      </c>
    </row>
    <row r="15" spans="1:3" x14ac:dyDescent="0.25">
      <c r="A15">
        <v>14</v>
      </c>
      <c r="B15" t="s">
        <v>6</v>
      </c>
      <c r="C15" t="s">
        <v>97</v>
      </c>
    </row>
    <row r="16" spans="1:3" x14ac:dyDescent="0.25">
      <c r="A16">
        <v>15</v>
      </c>
      <c r="B16" t="s">
        <v>8</v>
      </c>
      <c r="C16" t="s">
        <v>98</v>
      </c>
    </row>
    <row r="17" spans="1:3" x14ac:dyDescent="0.25">
      <c r="A17">
        <v>16</v>
      </c>
      <c r="B17" t="s">
        <v>3</v>
      </c>
      <c r="C17" t="s">
        <v>99</v>
      </c>
    </row>
    <row r="18" spans="1:3" x14ac:dyDescent="0.25">
      <c r="A18">
        <v>17</v>
      </c>
      <c r="B18" t="s">
        <v>18</v>
      </c>
      <c r="C18" t="s">
        <v>100</v>
      </c>
    </row>
    <row r="19" spans="1:3" x14ac:dyDescent="0.25">
      <c r="A19">
        <v>18</v>
      </c>
      <c r="B19" t="s">
        <v>9</v>
      </c>
      <c r="C19" t="s">
        <v>101</v>
      </c>
    </row>
    <row r="20" spans="1:3" x14ac:dyDescent="0.25">
      <c r="A20">
        <v>19</v>
      </c>
      <c r="B20" t="s">
        <v>16</v>
      </c>
      <c r="C20" t="s">
        <v>102</v>
      </c>
    </row>
    <row r="21" spans="1:3" x14ac:dyDescent="0.25">
      <c r="A21">
        <v>20</v>
      </c>
      <c r="B21" t="s">
        <v>10</v>
      </c>
      <c r="C21" t="s">
        <v>103</v>
      </c>
    </row>
    <row r="22" spans="1:3" x14ac:dyDescent="0.25">
      <c r="A22">
        <v>21</v>
      </c>
      <c r="B22" t="s">
        <v>29</v>
      </c>
      <c r="C22" t="s">
        <v>104</v>
      </c>
    </row>
    <row r="23" spans="1:3" x14ac:dyDescent="0.25">
      <c r="A23">
        <v>22</v>
      </c>
      <c r="B23" t="s">
        <v>45</v>
      </c>
      <c r="C23" t="s">
        <v>105</v>
      </c>
    </row>
    <row r="24" spans="1:3" x14ac:dyDescent="0.25">
      <c r="A24">
        <v>23</v>
      </c>
      <c r="B24" t="s">
        <v>36</v>
      </c>
      <c r="C24" t="s">
        <v>106</v>
      </c>
    </row>
    <row r="25" spans="1:3" x14ac:dyDescent="0.25">
      <c r="A25">
        <v>24</v>
      </c>
      <c r="B25" t="s">
        <v>47</v>
      </c>
      <c r="C25" t="s">
        <v>107</v>
      </c>
    </row>
    <row r="26" spans="1:3" x14ac:dyDescent="0.25">
      <c r="A26">
        <v>25</v>
      </c>
      <c r="B26" t="s">
        <v>40</v>
      </c>
      <c r="C26" t="s">
        <v>108</v>
      </c>
    </row>
    <row r="27" spans="1:3" x14ac:dyDescent="0.25">
      <c r="A27">
        <v>26</v>
      </c>
      <c r="B27" t="s">
        <v>42</v>
      </c>
      <c r="C27" t="s">
        <v>109</v>
      </c>
    </row>
    <row r="28" spans="1:3" x14ac:dyDescent="0.25">
      <c r="A28">
        <v>27</v>
      </c>
      <c r="B28" t="s">
        <v>38</v>
      </c>
      <c r="C28" t="s">
        <v>110</v>
      </c>
    </row>
    <row r="29" spans="1:3" x14ac:dyDescent="0.25">
      <c r="A29">
        <v>28</v>
      </c>
      <c r="B29" t="s">
        <v>31</v>
      </c>
      <c r="C29" t="s">
        <v>111</v>
      </c>
    </row>
    <row r="30" spans="1:3" x14ac:dyDescent="0.25">
      <c r="A30">
        <v>29</v>
      </c>
      <c r="B30" t="s">
        <v>32</v>
      </c>
      <c r="C30" t="s">
        <v>112</v>
      </c>
    </row>
    <row r="31" spans="1:3" x14ac:dyDescent="0.25">
      <c r="A31">
        <v>30</v>
      </c>
      <c r="B31" t="s">
        <v>28</v>
      </c>
      <c r="C31" t="s">
        <v>113</v>
      </c>
    </row>
    <row r="32" spans="1:3" x14ac:dyDescent="0.25">
      <c r="A32">
        <v>31</v>
      </c>
      <c r="B32" t="s">
        <v>48</v>
      </c>
      <c r="C32" t="s">
        <v>114</v>
      </c>
    </row>
    <row r="33" spans="1:3" x14ac:dyDescent="0.25">
      <c r="A33">
        <v>32</v>
      </c>
      <c r="B33" t="s">
        <v>49</v>
      </c>
      <c r="C33" t="s">
        <v>115</v>
      </c>
    </row>
    <row r="34" spans="1:3" x14ac:dyDescent="0.25">
      <c r="A34">
        <v>33</v>
      </c>
      <c r="B34" t="s">
        <v>35</v>
      </c>
      <c r="C34" t="s">
        <v>116</v>
      </c>
    </row>
    <row r="35" spans="1:3" x14ac:dyDescent="0.25">
      <c r="A35">
        <v>34</v>
      </c>
      <c r="B35" t="s">
        <v>34</v>
      </c>
      <c r="C35" t="s">
        <v>117</v>
      </c>
    </row>
    <row r="36" spans="1:3" x14ac:dyDescent="0.25">
      <c r="A36">
        <v>35</v>
      </c>
      <c r="B36" t="s">
        <v>46</v>
      </c>
      <c r="C36" t="s">
        <v>118</v>
      </c>
    </row>
    <row r="37" spans="1:3" x14ac:dyDescent="0.25">
      <c r="A37">
        <v>36</v>
      </c>
      <c r="B37" t="s">
        <v>41</v>
      </c>
      <c r="C37" t="s">
        <v>119</v>
      </c>
    </row>
    <row r="38" spans="1:3" x14ac:dyDescent="0.25">
      <c r="A38">
        <v>37</v>
      </c>
      <c r="B38" t="s">
        <v>37</v>
      </c>
      <c r="C38" t="s">
        <v>120</v>
      </c>
    </row>
    <row r="39" spans="1:3" x14ac:dyDescent="0.25">
      <c r="A39">
        <v>38</v>
      </c>
      <c r="B39" t="s">
        <v>43</v>
      </c>
      <c r="C39" t="s">
        <v>121</v>
      </c>
    </row>
    <row r="40" spans="1:3" x14ac:dyDescent="0.25">
      <c r="A40">
        <v>39</v>
      </c>
      <c r="B40" t="s">
        <v>22</v>
      </c>
      <c r="C40" t="s">
        <v>122</v>
      </c>
    </row>
    <row r="41" spans="1:3" x14ac:dyDescent="0.25">
      <c r="A41">
        <v>40</v>
      </c>
      <c r="B41" t="s">
        <v>23</v>
      </c>
      <c r="C41" t="s">
        <v>123</v>
      </c>
    </row>
    <row r="42" spans="1:3" x14ac:dyDescent="0.25">
      <c r="A42">
        <v>41</v>
      </c>
      <c r="B42" t="s">
        <v>19</v>
      </c>
      <c r="C42" t="s">
        <v>124</v>
      </c>
    </row>
    <row r="43" spans="1:3" x14ac:dyDescent="0.25">
      <c r="A43">
        <v>42</v>
      </c>
      <c r="B43" t="s">
        <v>24</v>
      </c>
      <c r="C43" t="s">
        <v>125</v>
      </c>
    </row>
    <row r="44" spans="1:3" x14ac:dyDescent="0.25">
      <c r="A44">
        <v>43</v>
      </c>
      <c r="B44" t="s">
        <v>20</v>
      </c>
      <c r="C44" t="s">
        <v>126</v>
      </c>
    </row>
    <row r="45" spans="1:3" x14ac:dyDescent="0.25">
      <c r="A45">
        <v>44</v>
      </c>
      <c r="B45" t="s">
        <v>21</v>
      </c>
      <c r="C45" t="s">
        <v>127</v>
      </c>
    </row>
    <row r="46" spans="1:3" x14ac:dyDescent="0.25">
      <c r="A46">
        <v>45</v>
      </c>
      <c r="B46" t="s">
        <v>25</v>
      </c>
      <c r="C46" t="s">
        <v>128</v>
      </c>
    </row>
    <row r="47" spans="1:3" x14ac:dyDescent="0.25">
      <c r="A47">
        <v>46</v>
      </c>
      <c r="B47" t="s">
        <v>26</v>
      </c>
      <c r="C47" t="s">
        <v>129</v>
      </c>
    </row>
    <row r="48" spans="1:3" x14ac:dyDescent="0.25">
      <c r="A48">
        <v>47</v>
      </c>
      <c r="B48" t="s">
        <v>44</v>
      </c>
      <c r="C48" t="s">
        <v>130</v>
      </c>
    </row>
    <row r="49" spans="1:3" x14ac:dyDescent="0.25">
      <c r="A49">
        <v>48</v>
      </c>
      <c r="B49" t="s">
        <v>39</v>
      </c>
      <c r="C49" t="s">
        <v>131</v>
      </c>
    </row>
    <row r="50" spans="1:3" x14ac:dyDescent="0.25">
      <c r="A50">
        <v>49</v>
      </c>
      <c r="B50" t="s">
        <v>33</v>
      </c>
      <c r="C50" t="s">
        <v>132</v>
      </c>
    </row>
    <row r="51" spans="1:3" x14ac:dyDescent="0.25">
      <c r="A51">
        <v>50</v>
      </c>
      <c r="B51" t="s">
        <v>30</v>
      </c>
      <c r="C51" t="s">
        <v>133</v>
      </c>
    </row>
    <row r="52" spans="1:3" x14ac:dyDescent="0.25">
      <c r="A52">
        <v>51</v>
      </c>
      <c r="B52" t="s">
        <v>50</v>
      </c>
      <c r="C52" t="s">
        <v>134</v>
      </c>
    </row>
    <row r="53" spans="1:3" x14ac:dyDescent="0.25">
      <c r="A53">
        <v>52</v>
      </c>
      <c r="B53" t="s">
        <v>57</v>
      </c>
      <c r="C53" t="s">
        <v>135</v>
      </c>
    </row>
    <row r="54" spans="1:3" x14ac:dyDescent="0.25">
      <c r="A54">
        <v>53</v>
      </c>
      <c r="B54" t="s">
        <v>61</v>
      </c>
      <c r="C54" t="s">
        <v>136</v>
      </c>
    </row>
    <row r="55" spans="1:3" x14ac:dyDescent="0.25">
      <c r="A55">
        <v>54</v>
      </c>
      <c r="B55" t="s">
        <v>62</v>
      </c>
      <c r="C55" t="s">
        <v>137</v>
      </c>
    </row>
    <row r="56" spans="1:3" x14ac:dyDescent="0.25">
      <c r="A56">
        <v>55</v>
      </c>
      <c r="B56" t="s">
        <v>58</v>
      </c>
      <c r="C56" t="s">
        <v>138</v>
      </c>
    </row>
    <row r="57" spans="1:3" x14ac:dyDescent="0.25">
      <c r="A57">
        <v>56</v>
      </c>
      <c r="B57" t="s">
        <v>53</v>
      </c>
      <c r="C57" t="s">
        <v>139</v>
      </c>
    </row>
    <row r="58" spans="1:3" x14ac:dyDescent="0.25">
      <c r="A58">
        <v>57</v>
      </c>
      <c r="B58" t="s">
        <v>60</v>
      </c>
      <c r="C58" t="s">
        <v>140</v>
      </c>
    </row>
    <row r="59" spans="1:3" x14ac:dyDescent="0.25">
      <c r="A59">
        <v>58</v>
      </c>
      <c r="B59" t="s">
        <v>65</v>
      </c>
      <c r="C59" t="s">
        <v>141</v>
      </c>
    </row>
    <row r="60" spans="1:3" x14ac:dyDescent="0.25">
      <c r="A60">
        <v>59</v>
      </c>
      <c r="B60" t="s">
        <v>56</v>
      </c>
      <c r="C60" t="s">
        <v>142</v>
      </c>
    </row>
    <row r="61" spans="1:3" x14ac:dyDescent="0.25">
      <c r="A61">
        <v>60</v>
      </c>
      <c r="B61" t="s">
        <v>51</v>
      </c>
      <c r="C61" t="s">
        <v>143</v>
      </c>
    </row>
    <row r="62" spans="1:3" x14ac:dyDescent="0.25">
      <c r="A62">
        <v>61</v>
      </c>
      <c r="B62" t="s">
        <v>59</v>
      </c>
      <c r="C62" t="s">
        <v>144</v>
      </c>
    </row>
    <row r="63" spans="1:3" x14ac:dyDescent="0.25">
      <c r="A63">
        <v>62</v>
      </c>
      <c r="B63" t="s">
        <v>52</v>
      </c>
      <c r="C63" t="s">
        <v>145</v>
      </c>
    </row>
    <row r="64" spans="1:3" x14ac:dyDescent="0.25">
      <c r="A64">
        <v>63</v>
      </c>
      <c r="B64" t="s">
        <v>54</v>
      </c>
      <c r="C64" t="s">
        <v>146</v>
      </c>
    </row>
    <row r="65" spans="1:3" x14ac:dyDescent="0.25">
      <c r="A65">
        <v>64</v>
      </c>
      <c r="B65" t="s">
        <v>55</v>
      </c>
      <c r="C6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working</vt:lpstr>
      <vt:lpstr>Sheet3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Shehzad Alam</dc:creator>
  <cp:lastModifiedBy>IT User Software</cp:lastModifiedBy>
  <dcterms:created xsi:type="dcterms:W3CDTF">2025-03-17T11:23:37Z</dcterms:created>
  <dcterms:modified xsi:type="dcterms:W3CDTF">2025-03-18T05:15:00Z</dcterms:modified>
</cp:coreProperties>
</file>