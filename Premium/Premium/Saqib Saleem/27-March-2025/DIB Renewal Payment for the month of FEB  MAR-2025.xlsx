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mium\Premium\Saqib Saleem\27-March-2025\"/>
    </mc:Choice>
  </mc:AlternateContent>
  <xr:revisionPtr revIDLastSave="0" documentId="13_ncr:1_{07A8E8E7-034B-479D-B88C-E9A8D9D1B806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sheet" sheetId="2" r:id="rId1"/>
    <sheet name="working" sheetId="3" r:id="rId2"/>
    <sheet name="Sheet2" sheetId="4" r:id="rId3"/>
    <sheet name="policy" sheetId="5" r:id="rId4"/>
    <sheet name="working1" sheetId="6" r:id="rId5"/>
    <sheet name="POLICY1" sheetId="7" r:id="rId6"/>
    <sheet name="Sheet6" sheetId="8" r:id="rId7"/>
  </sheets>
  <definedNames>
    <definedName name="_xlnm._FilterDatabase" localSheetId="0" hidden="1">sheet!$A$1:$AO$417</definedName>
    <definedName name="_xlnm._FilterDatabase" localSheetId="2" hidden="1">Sheet2!$A$1:$H$421</definedName>
    <definedName name="_xlnm._FilterDatabase" localSheetId="1" hidden="1">working!$H$1:$H$416</definedName>
    <definedName name="_xlnm._FilterDatabase" localSheetId="4" hidden="1">working1!$H$1:$H$168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D171" i="8"/>
  <c r="C171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2" i="8"/>
  <c r="F2" i="8"/>
  <c r="D2" i="8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" i="6"/>
  <c r="C418" i="4"/>
  <c r="C426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D3" i="4"/>
  <c r="D4" i="4"/>
  <c r="D5" i="4"/>
  <c r="D6" i="4"/>
  <c r="D7" i="4"/>
  <c r="D8" i="4"/>
  <c r="D10" i="4"/>
  <c r="D11" i="4"/>
  <c r="D12" i="4"/>
  <c r="D13" i="4"/>
  <c r="D14" i="4"/>
  <c r="D15" i="4"/>
  <c r="D16" i="4"/>
  <c r="D17" i="4"/>
  <c r="D18" i="4"/>
  <c r="D19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G66" i="4" s="1"/>
  <c r="H66" i="4" s="1"/>
  <c r="B67" i="4"/>
  <c r="B68" i="4"/>
  <c r="B69" i="4"/>
  <c r="B70" i="4"/>
  <c r="B71" i="4"/>
  <c r="B72" i="4"/>
  <c r="B73" i="4"/>
  <c r="B74" i="4"/>
  <c r="G74" i="4" s="1"/>
  <c r="H74" i="4" s="1"/>
  <c r="B75" i="4"/>
  <c r="B76" i="4"/>
  <c r="B77" i="4"/>
  <c r="B78" i="4"/>
  <c r="G78" i="4" s="1"/>
  <c r="H78" i="4" s="1"/>
  <c r="B79" i="4"/>
  <c r="B80" i="4"/>
  <c r="B81" i="4"/>
  <c r="B82" i="4"/>
  <c r="G82" i="4" s="1"/>
  <c r="H82" i="4" s="1"/>
  <c r="B83" i="4"/>
  <c r="B84" i="4"/>
  <c r="B85" i="4"/>
  <c r="B86" i="4"/>
  <c r="B87" i="4"/>
  <c r="B88" i="4"/>
  <c r="B89" i="4"/>
  <c r="B90" i="4"/>
  <c r="G90" i="4" s="1"/>
  <c r="H90" i="4" s="1"/>
  <c r="B91" i="4"/>
  <c r="B92" i="4"/>
  <c r="B93" i="4"/>
  <c r="B94" i="4"/>
  <c r="G94" i="4" s="1"/>
  <c r="H94" i="4" s="1"/>
  <c r="B95" i="4"/>
  <c r="B96" i="4"/>
  <c r="B97" i="4"/>
  <c r="B98" i="4"/>
  <c r="G98" i="4" s="1"/>
  <c r="H98" i="4" s="1"/>
  <c r="B99" i="4"/>
  <c r="B100" i="4"/>
  <c r="B101" i="4"/>
  <c r="B102" i="4"/>
  <c r="B103" i="4"/>
  <c r="B104" i="4"/>
  <c r="B105" i="4"/>
  <c r="B106" i="4"/>
  <c r="G106" i="4" s="1"/>
  <c r="H106" i="4" s="1"/>
  <c r="B107" i="4"/>
  <c r="B108" i="4"/>
  <c r="B109" i="4"/>
  <c r="B110" i="4"/>
  <c r="G110" i="4" s="1"/>
  <c r="H110" i="4" s="1"/>
  <c r="B111" i="4"/>
  <c r="B112" i="4"/>
  <c r="B113" i="4"/>
  <c r="B114" i="4"/>
  <c r="G114" i="4" s="1"/>
  <c r="H114" i="4" s="1"/>
  <c r="B115" i="4"/>
  <c r="B116" i="4"/>
  <c r="B117" i="4"/>
  <c r="B118" i="4"/>
  <c r="B119" i="4"/>
  <c r="B120" i="4"/>
  <c r="G120" i="4" s="1"/>
  <c r="H120" i="4" s="1"/>
  <c r="B121" i="4"/>
  <c r="B122" i="4"/>
  <c r="G122" i="4" s="1"/>
  <c r="H122" i="4" s="1"/>
  <c r="B123" i="4"/>
  <c r="B124" i="4"/>
  <c r="G124" i="4" s="1"/>
  <c r="H124" i="4" s="1"/>
  <c r="B125" i="4"/>
  <c r="B126" i="4"/>
  <c r="G126" i="4" s="1"/>
  <c r="H126" i="4" s="1"/>
  <c r="B127" i="4"/>
  <c r="B128" i="4"/>
  <c r="G128" i="4" s="1"/>
  <c r="H128" i="4" s="1"/>
  <c r="B129" i="4"/>
  <c r="B130" i="4"/>
  <c r="G130" i="4" s="1"/>
  <c r="H130" i="4" s="1"/>
  <c r="B131" i="4"/>
  <c r="B132" i="4"/>
  <c r="G132" i="4" s="1"/>
  <c r="H132" i="4" s="1"/>
  <c r="B133" i="4"/>
  <c r="B134" i="4"/>
  <c r="B135" i="4"/>
  <c r="B136" i="4"/>
  <c r="G136" i="4" s="1"/>
  <c r="H136" i="4" s="1"/>
  <c r="B137" i="4"/>
  <c r="B138" i="4"/>
  <c r="B139" i="4"/>
  <c r="B140" i="4"/>
  <c r="G140" i="4" s="1"/>
  <c r="H140" i="4" s="1"/>
  <c r="B141" i="4"/>
  <c r="B142" i="4"/>
  <c r="B143" i="4"/>
  <c r="B144" i="4"/>
  <c r="G144" i="4" s="1"/>
  <c r="H144" i="4" s="1"/>
  <c r="B145" i="4"/>
  <c r="B146" i="4"/>
  <c r="B147" i="4"/>
  <c r="B148" i="4"/>
  <c r="G148" i="4" s="1"/>
  <c r="H148" i="4" s="1"/>
  <c r="B149" i="4"/>
  <c r="B150" i="4"/>
  <c r="B151" i="4"/>
  <c r="B152" i="4"/>
  <c r="G152" i="4" s="1"/>
  <c r="H152" i="4" s="1"/>
  <c r="B153" i="4"/>
  <c r="B154" i="4"/>
  <c r="G154" i="4" s="1"/>
  <c r="H154" i="4" s="1"/>
  <c r="B155" i="4"/>
  <c r="B156" i="4"/>
  <c r="G156" i="4" s="1"/>
  <c r="H156" i="4" s="1"/>
  <c r="B157" i="4"/>
  <c r="B158" i="4"/>
  <c r="G158" i="4" s="1"/>
  <c r="H158" i="4" s="1"/>
  <c r="B159" i="4"/>
  <c r="B160" i="4"/>
  <c r="G160" i="4" s="1"/>
  <c r="H160" i="4" s="1"/>
  <c r="B161" i="4"/>
  <c r="B162" i="4"/>
  <c r="G162" i="4" s="1"/>
  <c r="H162" i="4" s="1"/>
  <c r="B163" i="4"/>
  <c r="B164" i="4"/>
  <c r="G164" i="4" s="1"/>
  <c r="H164" i="4" s="1"/>
  <c r="B165" i="4"/>
  <c r="B166" i="4"/>
  <c r="B167" i="4"/>
  <c r="B168" i="4"/>
  <c r="G168" i="4" s="1"/>
  <c r="H168" i="4" s="1"/>
  <c r="B169" i="4"/>
  <c r="B170" i="4"/>
  <c r="G170" i="4" s="1"/>
  <c r="H170" i="4" s="1"/>
  <c r="B171" i="4"/>
  <c r="B172" i="4"/>
  <c r="G172" i="4" s="1"/>
  <c r="H172" i="4" s="1"/>
  <c r="B173" i="4"/>
  <c r="B174" i="4"/>
  <c r="G174" i="4" s="1"/>
  <c r="H174" i="4" s="1"/>
  <c r="B175" i="4"/>
  <c r="B176" i="4"/>
  <c r="G176" i="4" s="1"/>
  <c r="H176" i="4" s="1"/>
  <c r="B177" i="4"/>
  <c r="B178" i="4"/>
  <c r="G178" i="4" s="1"/>
  <c r="H178" i="4" s="1"/>
  <c r="B179" i="4"/>
  <c r="B180" i="4"/>
  <c r="B181" i="4"/>
  <c r="B182" i="4"/>
  <c r="G182" i="4" s="1"/>
  <c r="H182" i="4" s="1"/>
  <c r="B183" i="4"/>
  <c r="B184" i="4"/>
  <c r="B185" i="4"/>
  <c r="B186" i="4"/>
  <c r="G186" i="4" s="1"/>
  <c r="H186" i="4" s="1"/>
  <c r="B187" i="4"/>
  <c r="B188" i="4"/>
  <c r="B189" i="4"/>
  <c r="B190" i="4"/>
  <c r="G190" i="4" s="1"/>
  <c r="H190" i="4" s="1"/>
  <c r="B191" i="4"/>
  <c r="B192" i="4"/>
  <c r="B193" i="4"/>
  <c r="B194" i="4"/>
  <c r="G194" i="4" s="1"/>
  <c r="H194" i="4" s="1"/>
  <c r="B195" i="4"/>
  <c r="B196" i="4"/>
  <c r="B197" i="4"/>
  <c r="B198" i="4"/>
  <c r="G198" i="4" s="1"/>
  <c r="H198" i="4" s="1"/>
  <c r="B199" i="4"/>
  <c r="B200" i="4"/>
  <c r="B201" i="4"/>
  <c r="B202" i="4"/>
  <c r="G202" i="4" s="1"/>
  <c r="H202" i="4" s="1"/>
  <c r="B203" i="4"/>
  <c r="B204" i="4"/>
  <c r="B205" i="4"/>
  <c r="B206" i="4"/>
  <c r="G206" i="4" s="1"/>
  <c r="H206" i="4" s="1"/>
  <c r="B207" i="4"/>
  <c r="B208" i="4"/>
  <c r="B209" i="4"/>
  <c r="B210" i="4"/>
  <c r="G210" i="4" s="1"/>
  <c r="H210" i="4" s="1"/>
  <c r="B211" i="4"/>
  <c r="B212" i="4"/>
  <c r="B213" i="4"/>
  <c r="B214" i="4"/>
  <c r="G214" i="4" s="1"/>
  <c r="H214" i="4" s="1"/>
  <c r="B215" i="4"/>
  <c r="B216" i="4"/>
  <c r="B217" i="4"/>
  <c r="B218" i="4"/>
  <c r="G218" i="4" s="1"/>
  <c r="H218" i="4" s="1"/>
  <c r="B219" i="4"/>
  <c r="B220" i="4"/>
  <c r="B221" i="4"/>
  <c r="B222" i="4"/>
  <c r="G222" i="4" s="1"/>
  <c r="H222" i="4" s="1"/>
  <c r="B223" i="4"/>
  <c r="B224" i="4"/>
  <c r="B225" i="4"/>
  <c r="B226" i="4"/>
  <c r="G226" i="4" s="1"/>
  <c r="H226" i="4" s="1"/>
  <c r="B227" i="4"/>
  <c r="B228" i="4"/>
  <c r="B229" i="4"/>
  <c r="B230" i="4"/>
  <c r="B231" i="4"/>
  <c r="B232" i="4"/>
  <c r="G232" i="4" s="1"/>
  <c r="H232" i="4" s="1"/>
  <c r="B233" i="4"/>
  <c r="B234" i="4"/>
  <c r="G234" i="4" s="1"/>
  <c r="H234" i="4" s="1"/>
  <c r="B235" i="4"/>
  <c r="B236" i="4"/>
  <c r="G236" i="4" s="1"/>
  <c r="H236" i="4" s="1"/>
  <c r="B237" i="4"/>
  <c r="B238" i="4"/>
  <c r="G238" i="4" s="1"/>
  <c r="H238" i="4" s="1"/>
  <c r="B239" i="4"/>
  <c r="B240" i="4"/>
  <c r="G240" i="4" s="1"/>
  <c r="H240" i="4" s="1"/>
  <c r="B241" i="4"/>
  <c r="B242" i="4"/>
  <c r="G242" i="4" s="1"/>
  <c r="H242" i="4" s="1"/>
  <c r="B243" i="4"/>
  <c r="B244" i="4"/>
  <c r="G244" i="4" s="1"/>
  <c r="H244" i="4" s="1"/>
  <c r="B245" i="4"/>
  <c r="B246" i="4"/>
  <c r="G246" i="4" s="1"/>
  <c r="H246" i="4" s="1"/>
  <c r="B247" i="4"/>
  <c r="B248" i="4"/>
  <c r="G248" i="4" s="1"/>
  <c r="H248" i="4" s="1"/>
  <c r="B249" i="4"/>
  <c r="B250" i="4"/>
  <c r="G250" i="4" s="1"/>
  <c r="H250" i="4" s="1"/>
  <c r="B251" i="4"/>
  <c r="B252" i="4"/>
  <c r="G252" i="4" s="1"/>
  <c r="H252" i="4" s="1"/>
  <c r="B253" i="4"/>
  <c r="B254" i="4"/>
  <c r="G254" i="4" s="1"/>
  <c r="H254" i="4" s="1"/>
  <c r="B255" i="4"/>
  <c r="B256" i="4"/>
  <c r="G256" i="4" s="1"/>
  <c r="H256" i="4" s="1"/>
  <c r="B257" i="4"/>
  <c r="B258" i="4"/>
  <c r="G258" i="4" s="1"/>
  <c r="H258" i="4" s="1"/>
  <c r="B259" i="4"/>
  <c r="B260" i="4"/>
  <c r="G260" i="4" s="1"/>
  <c r="H260" i="4" s="1"/>
  <c r="B261" i="4"/>
  <c r="B262" i="4"/>
  <c r="G262" i="4" s="1"/>
  <c r="H262" i="4" s="1"/>
  <c r="B263" i="4"/>
  <c r="B264" i="4"/>
  <c r="G264" i="4" s="1"/>
  <c r="H264" i="4" s="1"/>
  <c r="B265" i="4"/>
  <c r="B266" i="4"/>
  <c r="G266" i="4" s="1"/>
  <c r="H266" i="4" s="1"/>
  <c r="B267" i="4"/>
  <c r="B268" i="4"/>
  <c r="G268" i="4" s="1"/>
  <c r="H268" i="4" s="1"/>
  <c r="B269" i="4"/>
  <c r="B270" i="4"/>
  <c r="G270" i="4" s="1"/>
  <c r="H270" i="4" s="1"/>
  <c r="B271" i="4"/>
  <c r="B272" i="4"/>
  <c r="G272" i="4" s="1"/>
  <c r="H272" i="4" s="1"/>
  <c r="B273" i="4"/>
  <c r="B274" i="4"/>
  <c r="B275" i="4"/>
  <c r="B276" i="4"/>
  <c r="G276" i="4" s="1"/>
  <c r="H276" i="4" s="1"/>
  <c r="B277" i="4"/>
  <c r="B278" i="4"/>
  <c r="B279" i="4"/>
  <c r="B280" i="4"/>
  <c r="G280" i="4" s="1"/>
  <c r="H280" i="4" s="1"/>
  <c r="B281" i="4"/>
  <c r="B282" i="4"/>
  <c r="B283" i="4"/>
  <c r="B284" i="4"/>
  <c r="G284" i="4" s="1"/>
  <c r="H284" i="4" s="1"/>
  <c r="B285" i="4"/>
  <c r="B286" i="4"/>
  <c r="B287" i="4"/>
  <c r="B288" i="4"/>
  <c r="G288" i="4" s="1"/>
  <c r="H288" i="4" s="1"/>
  <c r="B289" i="4"/>
  <c r="B290" i="4"/>
  <c r="B291" i="4"/>
  <c r="B292" i="4"/>
  <c r="G292" i="4" s="1"/>
  <c r="H292" i="4" s="1"/>
  <c r="B293" i="4"/>
  <c r="B294" i="4"/>
  <c r="B295" i="4"/>
  <c r="B296" i="4"/>
  <c r="G296" i="4" s="1"/>
  <c r="H296" i="4" s="1"/>
  <c r="B297" i="4"/>
  <c r="B298" i="4"/>
  <c r="B299" i="4"/>
  <c r="B300" i="4"/>
  <c r="G300" i="4" s="1"/>
  <c r="H300" i="4" s="1"/>
  <c r="B301" i="4"/>
  <c r="B302" i="4"/>
  <c r="B303" i="4"/>
  <c r="B304" i="4"/>
  <c r="G304" i="4" s="1"/>
  <c r="H304" i="4" s="1"/>
  <c r="B305" i="4"/>
  <c r="B306" i="4"/>
  <c r="B307" i="4"/>
  <c r="B308" i="4"/>
  <c r="G308" i="4" s="1"/>
  <c r="H308" i="4" s="1"/>
  <c r="B309" i="4"/>
  <c r="B310" i="4"/>
  <c r="B311" i="4"/>
  <c r="B312" i="4"/>
  <c r="G312" i="4" s="1"/>
  <c r="H312" i="4" s="1"/>
  <c r="B313" i="4"/>
  <c r="B314" i="4"/>
  <c r="B315" i="4"/>
  <c r="B316" i="4"/>
  <c r="G316" i="4" s="1"/>
  <c r="H316" i="4" s="1"/>
  <c r="B317" i="4"/>
  <c r="B318" i="4"/>
  <c r="B319" i="4"/>
  <c r="B320" i="4"/>
  <c r="G320" i="4" s="1"/>
  <c r="H320" i="4" s="1"/>
  <c r="B321" i="4"/>
  <c r="B322" i="4"/>
  <c r="B323" i="4"/>
  <c r="B324" i="4"/>
  <c r="G324" i="4" s="1"/>
  <c r="H324" i="4" s="1"/>
  <c r="B325" i="4"/>
  <c r="B326" i="4"/>
  <c r="B327" i="4"/>
  <c r="B328" i="4"/>
  <c r="G328" i="4" s="1"/>
  <c r="H328" i="4" s="1"/>
  <c r="B329" i="4"/>
  <c r="B330" i="4"/>
  <c r="B331" i="4"/>
  <c r="B332" i="4"/>
  <c r="G332" i="4" s="1"/>
  <c r="H332" i="4" s="1"/>
  <c r="B333" i="4"/>
  <c r="B334" i="4"/>
  <c r="B335" i="4"/>
  <c r="B336" i="4"/>
  <c r="G336" i="4" s="1"/>
  <c r="H336" i="4" s="1"/>
  <c r="B337" i="4"/>
  <c r="B338" i="4"/>
  <c r="B339" i="4"/>
  <c r="B340" i="4"/>
  <c r="G340" i="4" s="1"/>
  <c r="H340" i="4" s="1"/>
  <c r="B341" i="4"/>
  <c r="B342" i="4"/>
  <c r="B343" i="4"/>
  <c r="B344" i="4"/>
  <c r="G344" i="4" s="1"/>
  <c r="H344" i="4" s="1"/>
  <c r="B345" i="4"/>
  <c r="B346" i="4"/>
  <c r="B347" i="4"/>
  <c r="B348" i="4"/>
  <c r="G348" i="4" s="1"/>
  <c r="H348" i="4" s="1"/>
  <c r="B349" i="4"/>
  <c r="B350" i="4"/>
  <c r="B351" i="4"/>
  <c r="B352" i="4"/>
  <c r="G352" i="4" s="1"/>
  <c r="H352" i="4" s="1"/>
  <c r="B353" i="4"/>
  <c r="B354" i="4"/>
  <c r="B355" i="4"/>
  <c r="B356" i="4"/>
  <c r="G356" i="4" s="1"/>
  <c r="H356" i="4" s="1"/>
  <c r="B357" i="4"/>
  <c r="B358" i="4"/>
  <c r="B359" i="4"/>
  <c r="B360" i="4"/>
  <c r="G360" i="4" s="1"/>
  <c r="H360" i="4" s="1"/>
  <c r="B361" i="4"/>
  <c r="B362" i="4"/>
  <c r="B363" i="4"/>
  <c r="B364" i="4"/>
  <c r="G364" i="4" s="1"/>
  <c r="H364" i="4" s="1"/>
  <c r="B365" i="4"/>
  <c r="B366" i="4"/>
  <c r="B367" i="4"/>
  <c r="B368" i="4"/>
  <c r="G368" i="4" s="1"/>
  <c r="H368" i="4" s="1"/>
  <c r="B369" i="4"/>
  <c r="B370" i="4"/>
  <c r="B371" i="4"/>
  <c r="B372" i="4"/>
  <c r="G372" i="4" s="1"/>
  <c r="H372" i="4" s="1"/>
  <c r="B373" i="4"/>
  <c r="B374" i="4"/>
  <c r="B375" i="4"/>
  <c r="B376" i="4"/>
  <c r="G376" i="4" s="1"/>
  <c r="H376" i="4" s="1"/>
  <c r="B377" i="4"/>
  <c r="B378" i="4"/>
  <c r="B379" i="4"/>
  <c r="B380" i="4"/>
  <c r="G380" i="4" s="1"/>
  <c r="H380" i="4" s="1"/>
  <c r="B381" i="4"/>
  <c r="B382" i="4"/>
  <c r="B383" i="4"/>
  <c r="B384" i="4"/>
  <c r="G384" i="4" s="1"/>
  <c r="H384" i="4" s="1"/>
  <c r="B385" i="4"/>
  <c r="B386" i="4"/>
  <c r="B387" i="4"/>
  <c r="B388" i="4"/>
  <c r="G388" i="4" s="1"/>
  <c r="H388" i="4" s="1"/>
  <c r="B389" i="4"/>
  <c r="B390" i="4"/>
  <c r="B391" i="4"/>
  <c r="B392" i="4"/>
  <c r="G392" i="4" s="1"/>
  <c r="H392" i="4" s="1"/>
  <c r="B393" i="4"/>
  <c r="B394" i="4"/>
  <c r="B395" i="4"/>
  <c r="B396" i="4"/>
  <c r="G396" i="4" s="1"/>
  <c r="H396" i="4" s="1"/>
  <c r="B397" i="4"/>
  <c r="B398" i="4"/>
  <c r="B399" i="4"/>
  <c r="B400" i="4"/>
  <c r="G400" i="4" s="1"/>
  <c r="H400" i="4" s="1"/>
  <c r="B401" i="4"/>
  <c r="B402" i="4"/>
  <c r="B403" i="4"/>
  <c r="B404" i="4"/>
  <c r="G404" i="4" s="1"/>
  <c r="H404" i="4" s="1"/>
  <c r="B405" i="4"/>
  <c r="B406" i="4"/>
  <c r="B407" i="4"/>
  <c r="B408" i="4"/>
  <c r="G408" i="4" s="1"/>
  <c r="H408" i="4" s="1"/>
  <c r="B409" i="4"/>
  <c r="B410" i="4"/>
  <c r="B411" i="4"/>
  <c r="B412" i="4"/>
  <c r="G412" i="4" s="1"/>
  <c r="H412" i="4" s="1"/>
  <c r="B413" i="4"/>
  <c r="B414" i="4"/>
  <c r="B415" i="4"/>
  <c r="B416" i="4"/>
  <c r="G416" i="4" s="1"/>
  <c r="H416" i="4" s="1"/>
  <c r="B417" i="4"/>
  <c r="B2" i="4"/>
  <c r="F2" i="4"/>
  <c r="D2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1" i="3"/>
  <c r="H2" i="8" l="1"/>
  <c r="G228" i="4"/>
  <c r="H228" i="4" s="1"/>
  <c r="G224" i="4"/>
  <c r="H224" i="4" s="1"/>
  <c r="G220" i="4"/>
  <c r="H220" i="4" s="1"/>
  <c r="G216" i="4"/>
  <c r="H216" i="4" s="1"/>
  <c r="G212" i="4"/>
  <c r="H212" i="4" s="1"/>
  <c r="G208" i="4"/>
  <c r="H208" i="4" s="1"/>
  <c r="G204" i="4"/>
  <c r="H204" i="4" s="1"/>
  <c r="G200" i="4"/>
  <c r="H200" i="4" s="1"/>
  <c r="G196" i="4"/>
  <c r="H196" i="4" s="1"/>
  <c r="G192" i="4"/>
  <c r="H192" i="4" s="1"/>
  <c r="G188" i="4"/>
  <c r="H188" i="4" s="1"/>
  <c r="G184" i="4"/>
  <c r="H184" i="4" s="1"/>
  <c r="G180" i="4"/>
  <c r="H180" i="4" s="1"/>
  <c r="G116" i="4"/>
  <c r="H116" i="4" s="1"/>
  <c r="G112" i="4"/>
  <c r="H112" i="4" s="1"/>
  <c r="G108" i="4"/>
  <c r="H108" i="4" s="1"/>
  <c r="G104" i="4"/>
  <c r="H104" i="4" s="1"/>
  <c r="G100" i="4"/>
  <c r="H100" i="4" s="1"/>
  <c r="G96" i="4"/>
  <c r="H96" i="4" s="1"/>
  <c r="G92" i="4"/>
  <c r="H92" i="4" s="1"/>
  <c r="G88" i="4"/>
  <c r="H88" i="4" s="1"/>
  <c r="G84" i="4"/>
  <c r="H84" i="4" s="1"/>
  <c r="G80" i="4"/>
  <c r="H80" i="4" s="1"/>
  <c r="G76" i="4"/>
  <c r="H76" i="4" s="1"/>
  <c r="G72" i="4"/>
  <c r="H72" i="4" s="1"/>
  <c r="G68" i="4"/>
  <c r="H68" i="4" s="1"/>
  <c r="G64" i="4"/>
  <c r="H64" i="4" s="1"/>
  <c r="G414" i="4"/>
  <c r="H414" i="4" s="1"/>
  <c r="G410" i="4"/>
  <c r="H410" i="4" s="1"/>
  <c r="G406" i="4"/>
  <c r="H406" i="4" s="1"/>
  <c r="G402" i="4"/>
  <c r="H402" i="4" s="1"/>
  <c r="G398" i="4"/>
  <c r="H398" i="4" s="1"/>
  <c r="G394" i="4"/>
  <c r="H394" i="4" s="1"/>
  <c r="G390" i="4"/>
  <c r="H390" i="4" s="1"/>
  <c r="G386" i="4"/>
  <c r="H386" i="4" s="1"/>
  <c r="G382" i="4"/>
  <c r="H382" i="4" s="1"/>
  <c r="G378" i="4"/>
  <c r="H378" i="4" s="1"/>
  <c r="G374" i="4"/>
  <c r="H374" i="4" s="1"/>
  <c r="G370" i="4"/>
  <c r="H370" i="4" s="1"/>
  <c r="G366" i="4"/>
  <c r="H366" i="4" s="1"/>
  <c r="G362" i="4"/>
  <c r="H362" i="4" s="1"/>
  <c r="G358" i="4"/>
  <c r="H358" i="4" s="1"/>
  <c r="G354" i="4"/>
  <c r="H354" i="4" s="1"/>
  <c r="G350" i="4"/>
  <c r="H350" i="4" s="1"/>
  <c r="G346" i="4"/>
  <c r="H346" i="4" s="1"/>
  <c r="G342" i="4"/>
  <c r="H342" i="4" s="1"/>
  <c r="G338" i="4"/>
  <c r="H338" i="4" s="1"/>
  <c r="G334" i="4"/>
  <c r="H334" i="4" s="1"/>
  <c r="G330" i="4"/>
  <c r="H330" i="4" s="1"/>
  <c r="G326" i="4"/>
  <c r="H326" i="4" s="1"/>
  <c r="G322" i="4"/>
  <c r="H322" i="4" s="1"/>
  <c r="G318" i="4"/>
  <c r="H318" i="4" s="1"/>
  <c r="G314" i="4"/>
  <c r="H314" i="4" s="1"/>
  <c r="G310" i="4"/>
  <c r="H310" i="4" s="1"/>
  <c r="G306" i="4"/>
  <c r="H306" i="4" s="1"/>
  <c r="G302" i="4"/>
  <c r="H302" i="4" s="1"/>
  <c r="G298" i="4"/>
  <c r="H298" i="4" s="1"/>
  <c r="G294" i="4"/>
  <c r="H294" i="4" s="1"/>
  <c r="G290" i="4"/>
  <c r="H290" i="4" s="1"/>
  <c r="G286" i="4"/>
  <c r="H286" i="4" s="1"/>
  <c r="G282" i="4"/>
  <c r="H282" i="4" s="1"/>
  <c r="G278" i="4"/>
  <c r="H278" i="4" s="1"/>
  <c r="G274" i="4"/>
  <c r="H274" i="4" s="1"/>
  <c r="G146" i="4"/>
  <c r="H146" i="4" s="1"/>
  <c r="G142" i="4"/>
  <c r="H142" i="4" s="1"/>
  <c r="G138" i="4"/>
  <c r="H138" i="4" s="1"/>
  <c r="G230" i="4"/>
  <c r="H230" i="4" s="1"/>
  <c r="G417" i="4"/>
  <c r="H417" i="4" s="1"/>
  <c r="G413" i="4"/>
  <c r="H413" i="4" s="1"/>
  <c r="G405" i="4"/>
  <c r="H405" i="4" s="1"/>
  <c r="G65" i="4"/>
  <c r="H65" i="4" s="1"/>
  <c r="G409" i="4"/>
  <c r="H409" i="4" s="1"/>
  <c r="G61" i="4"/>
  <c r="H61" i="4" s="1"/>
  <c r="G57" i="4"/>
  <c r="H57" i="4" s="1"/>
  <c r="G53" i="4"/>
  <c r="H53" i="4" s="1"/>
  <c r="G49" i="4"/>
  <c r="H49" i="4" s="1"/>
  <c r="G45" i="4"/>
  <c r="H45" i="4" s="1"/>
  <c r="G41" i="4"/>
  <c r="H41" i="4" s="1"/>
  <c r="G37" i="4"/>
  <c r="H37" i="4" s="1"/>
  <c r="G33" i="4"/>
  <c r="H33" i="4" s="1"/>
  <c r="G29" i="4"/>
  <c r="H29" i="4" s="1"/>
  <c r="G25" i="4"/>
  <c r="H25" i="4" s="1"/>
  <c r="G21" i="4"/>
  <c r="H21" i="4" s="1"/>
  <c r="G17" i="4"/>
  <c r="H17" i="4" s="1"/>
  <c r="G13" i="4"/>
  <c r="H13" i="4" s="1"/>
  <c r="G9" i="4"/>
  <c r="H9" i="4" s="1"/>
  <c r="G60" i="4"/>
  <c r="H60" i="4" s="1"/>
  <c r="G56" i="4"/>
  <c r="H56" i="4" s="1"/>
  <c r="G52" i="4"/>
  <c r="H52" i="4" s="1"/>
  <c r="G48" i="4"/>
  <c r="H48" i="4" s="1"/>
  <c r="G44" i="4"/>
  <c r="H44" i="4" s="1"/>
  <c r="G40" i="4"/>
  <c r="H40" i="4" s="1"/>
  <c r="G36" i="4"/>
  <c r="H36" i="4" s="1"/>
  <c r="G32" i="4"/>
  <c r="H32" i="4" s="1"/>
  <c r="G28" i="4"/>
  <c r="H28" i="4" s="1"/>
  <c r="G24" i="4"/>
  <c r="H24" i="4" s="1"/>
  <c r="G20" i="4"/>
  <c r="H20" i="4" s="1"/>
  <c r="G16" i="4"/>
  <c r="H16" i="4" s="1"/>
  <c r="G12" i="4"/>
  <c r="H12" i="4" s="1"/>
  <c r="G8" i="4"/>
  <c r="H8" i="4" s="1"/>
  <c r="G4" i="4"/>
  <c r="H4" i="4" s="1"/>
  <c r="G401" i="4"/>
  <c r="H401" i="4" s="1"/>
  <c r="G397" i="4"/>
  <c r="H397" i="4" s="1"/>
  <c r="G393" i="4"/>
  <c r="H393" i="4" s="1"/>
  <c r="G389" i="4"/>
  <c r="H389" i="4" s="1"/>
  <c r="G385" i="4"/>
  <c r="H385" i="4" s="1"/>
  <c r="G381" i="4"/>
  <c r="H381" i="4" s="1"/>
  <c r="G377" i="4"/>
  <c r="H377" i="4" s="1"/>
  <c r="G373" i="4"/>
  <c r="H373" i="4" s="1"/>
  <c r="G369" i="4"/>
  <c r="H369" i="4" s="1"/>
  <c r="G365" i="4"/>
  <c r="H365" i="4" s="1"/>
  <c r="G361" i="4"/>
  <c r="H361" i="4" s="1"/>
  <c r="G357" i="4"/>
  <c r="H357" i="4" s="1"/>
  <c r="G353" i="4"/>
  <c r="H353" i="4" s="1"/>
  <c r="G349" i="4"/>
  <c r="H349" i="4" s="1"/>
  <c r="G345" i="4"/>
  <c r="H345" i="4" s="1"/>
  <c r="G341" i="4"/>
  <c r="H341" i="4" s="1"/>
  <c r="G337" i="4"/>
  <c r="H337" i="4" s="1"/>
  <c r="G333" i="4"/>
  <c r="H333" i="4" s="1"/>
  <c r="G329" i="4"/>
  <c r="H329" i="4" s="1"/>
  <c r="G325" i="4"/>
  <c r="H325" i="4" s="1"/>
  <c r="G321" i="4"/>
  <c r="H321" i="4" s="1"/>
  <c r="G317" i="4"/>
  <c r="H317" i="4" s="1"/>
  <c r="G313" i="4"/>
  <c r="H313" i="4" s="1"/>
  <c r="G309" i="4"/>
  <c r="H309" i="4" s="1"/>
  <c r="G305" i="4"/>
  <c r="H305" i="4" s="1"/>
  <c r="G301" i="4"/>
  <c r="H301" i="4" s="1"/>
  <c r="G297" i="4"/>
  <c r="H297" i="4" s="1"/>
  <c r="G293" i="4"/>
  <c r="H293" i="4" s="1"/>
  <c r="G289" i="4"/>
  <c r="H289" i="4" s="1"/>
  <c r="G285" i="4"/>
  <c r="H285" i="4" s="1"/>
  <c r="G281" i="4"/>
  <c r="H281" i="4" s="1"/>
  <c r="G277" i="4"/>
  <c r="H277" i="4" s="1"/>
  <c r="G273" i="4"/>
  <c r="H273" i="4" s="1"/>
  <c r="G269" i="4"/>
  <c r="H269" i="4" s="1"/>
  <c r="G265" i="4"/>
  <c r="H265" i="4" s="1"/>
  <c r="G261" i="4"/>
  <c r="H261" i="4" s="1"/>
  <c r="G257" i="4"/>
  <c r="H257" i="4" s="1"/>
  <c r="G253" i="4"/>
  <c r="H253" i="4" s="1"/>
  <c r="G249" i="4"/>
  <c r="H249" i="4" s="1"/>
  <c r="G245" i="4"/>
  <c r="H245" i="4" s="1"/>
  <c r="G241" i="4"/>
  <c r="H241" i="4" s="1"/>
  <c r="G237" i="4"/>
  <c r="H237" i="4" s="1"/>
  <c r="G233" i="4"/>
  <c r="H233" i="4" s="1"/>
  <c r="G229" i="4"/>
  <c r="H229" i="4" s="1"/>
  <c r="G225" i="4"/>
  <c r="H225" i="4" s="1"/>
  <c r="G221" i="4"/>
  <c r="H221" i="4" s="1"/>
  <c r="G217" i="4"/>
  <c r="H217" i="4" s="1"/>
  <c r="G213" i="4"/>
  <c r="H213" i="4" s="1"/>
  <c r="G209" i="4"/>
  <c r="H209" i="4" s="1"/>
  <c r="G205" i="4"/>
  <c r="H205" i="4" s="1"/>
  <c r="G201" i="4"/>
  <c r="H201" i="4" s="1"/>
  <c r="G197" i="4"/>
  <c r="H197" i="4" s="1"/>
  <c r="G193" i="4"/>
  <c r="H193" i="4" s="1"/>
  <c r="G189" i="4"/>
  <c r="H189" i="4" s="1"/>
  <c r="G185" i="4"/>
  <c r="H185" i="4" s="1"/>
  <c r="G181" i="4"/>
  <c r="H181" i="4" s="1"/>
  <c r="G177" i="4"/>
  <c r="H177" i="4" s="1"/>
  <c r="G173" i="4"/>
  <c r="H173" i="4" s="1"/>
  <c r="G169" i="4"/>
  <c r="H169" i="4" s="1"/>
  <c r="G165" i="4"/>
  <c r="H165" i="4" s="1"/>
  <c r="G161" i="4"/>
  <c r="H161" i="4" s="1"/>
  <c r="G157" i="4"/>
  <c r="H157" i="4" s="1"/>
  <c r="G153" i="4"/>
  <c r="H153" i="4" s="1"/>
  <c r="G149" i="4"/>
  <c r="H149" i="4" s="1"/>
  <c r="G145" i="4"/>
  <c r="H145" i="4" s="1"/>
  <c r="G141" i="4"/>
  <c r="H141" i="4" s="1"/>
  <c r="G137" i="4"/>
  <c r="H137" i="4" s="1"/>
  <c r="G133" i="4"/>
  <c r="H133" i="4" s="1"/>
  <c r="G129" i="4"/>
  <c r="H129" i="4" s="1"/>
  <c r="G125" i="4"/>
  <c r="H125" i="4" s="1"/>
  <c r="G121" i="4"/>
  <c r="H121" i="4" s="1"/>
  <c r="G117" i="4"/>
  <c r="H117" i="4" s="1"/>
  <c r="G113" i="4"/>
  <c r="H113" i="4" s="1"/>
  <c r="G109" i="4"/>
  <c r="H109" i="4" s="1"/>
  <c r="G105" i="4"/>
  <c r="H105" i="4" s="1"/>
  <c r="G101" i="4"/>
  <c r="H101" i="4" s="1"/>
  <c r="G97" i="4"/>
  <c r="H97" i="4" s="1"/>
  <c r="G93" i="4"/>
  <c r="H93" i="4" s="1"/>
  <c r="G89" i="4"/>
  <c r="H89" i="4" s="1"/>
  <c r="G85" i="4"/>
  <c r="H85" i="4" s="1"/>
  <c r="G81" i="4"/>
  <c r="H81" i="4" s="1"/>
  <c r="G77" i="4"/>
  <c r="H77" i="4" s="1"/>
  <c r="G73" i="4"/>
  <c r="H73" i="4" s="1"/>
  <c r="G69" i="4"/>
  <c r="H69" i="4" s="1"/>
  <c r="G54" i="4"/>
  <c r="H54" i="4" s="1"/>
  <c r="G38" i="4"/>
  <c r="H38" i="4" s="1"/>
  <c r="G22" i="4"/>
  <c r="H22" i="4" s="1"/>
  <c r="G6" i="4"/>
  <c r="H6" i="4" s="1"/>
  <c r="G411" i="4"/>
  <c r="H411" i="4" s="1"/>
  <c r="G407" i="4"/>
  <c r="H407" i="4" s="1"/>
  <c r="G403" i="4"/>
  <c r="H403" i="4" s="1"/>
  <c r="G395" i="4"/>
  <c r="H395" i="4" s="1"/>
  <c r="G391" i="4"/>
  <c r="H391" i="4" s="1"/>
  <c r="G387" i="4"/>
  <c r="H387" i="4" s="1"/>
  <c r="G383" i="4"/>
  <c r="H383" i="4" s="1"/>
  <c r="G379" i="4"/>
  <c r="H379" i="4" s="1"/>
  <c r="G375" i="4"/>
  <c r="H375" i="4" s="1"/>
  <c r="G371" i="4"/>
  <c r="H371" i="4" s="1"/>
  <c r="G367" i="4"/>
  <c r="H367" i="4" s="1"/>
  <c r="G363" i="4"/>
  <c r="H363" i="4" s="1"/>
  <c r="G359" i="4"/>
  <c r="H359" i="4" s="1"/>
  <c r="G355" i="4"/>
  <c r="H355" i="4" s="1"/>
  <c r="G63" i="4"/>
  <c r="H63" i="4" s="1"/>
  <c r="G415" i="4"/>
  <c r="H415" i="4" s="1"/>
  <c r="G399" i="4"/>
  <c r="H399" i="4" s="1"/>
  <c r="G59" i="4"/>
  <c r="H59" i="4" s="1"/>
  <c r="G55" i="4"/>
  <c r="H55" i="4" s="1"/>
  <c r="G51" i="4"/>
  <c r="H51" i="4" s="1"/>
  <c r="G47" i="4"/>
  <c r="H47" i="4" s="1"/>
  <c r="G43" i="4"/>
  <c r="H43" i="4" s="1"/>
  <c r="G39" i="4"/>
  <c r="H39" i="4" s="1"/>
  <c r="G35" i="4"/>
  <c r="H35" i="4" s="1"/>
  <c r="G31" i="4"/>
  <c r="H31" i="4" s="1"/>
  <c r="G27" i="4"/>
  <c r="H27" i="4" s="1"/>
  <c r="G23" i="4"/>
  <c r="H23" i="4" s="1"/>
  <c r="G19" i="4"/>
  <c r="H19" i="4" s="1"/>
  <c r="G15" i="4"/>
  <c r="H15" i="4" s="1"/>
  <c r="G11" i="4"/>
  <c r="H11" i="4" s="1"/>
  <c r="G7" i="4"/>
  <c r="H7" i="4" s="1"/>
  <c r="G3" i="4"/>
  <c r="H3" i="4" s="1"/>
  <c r="G166" i="4"/>
  <c r="H166" i="4" s="1"/>
  <c r="G150" i="4"/>
  <c r="H150" i="4" s="1"/>
  <c r="G134" i="4"/>
  <c r="H134" i="4" s="1"/>
  <c r="G118" i="4"/>
  <c r="H118" i="4" s="1"/>
  <c r="G102" i="4"/>
  <c r="H102" i="4" s="1"/>
  <c r="G86" i="4"/>
  <c r="H86" i="4" s="1"/>
  <c r="G70" i="4"/>
  <c r="H70" i="4" s="1"/>
  <c r="G62" i="4"/>
  <c r="H62" i="4" s="1"/>
  <c r="G58" i="4"/>
  <c r="H58" i="4" s="1"/>
  <c r="G50" i="4"/>
  <c r="H50" i="4" s="1"/>
  <c r="G46" i="4"/>
  <c r="H46" i="4" s="1"/>
  <c r="G42" i="4"/>
  <c r="H42" i="4" s="1"/>
  <c r="G34" i="4"/>
  <c r="H34" i="4" s="1"/>
  <c r="G30" i="4"/>
  <c r="H30" i="4" s="1"/>
  <c r="G26" i="4"/>
  <c r="H26" i="4" s="1"/>
  <c r="G18" i="4"/>
  <c r="H18" i="4" s="1"/>
  <c r="G14" i="4"/>
  <c r="H14" i="4" s="1"/>
  <c r="G10" i="4"/>
  <c r="H10" i="4" s="1"/>
  <c r="G351" i="4"/>
  <c r="H351" i="4" s="1"/>
  <c r="G347" i="4"/>
  <c r="H347" i="4" s="1"/>
  <c r="G343" i="4"/>
  <c r="H343" i="4" s="1"/>
  <c r="G339" i="4"/>
  <c r="H339" i="4" s="1"/>
  <c r="G335" i="4"/>
  <c r="H335" i="4" s="1"/>
  <c r="G331" i="4"/>
  <c r="H331" i="4" s="1"/>
  <c r="G327" i="4"/>
  <c r="H327" i="4" s="1"/>
  <c r="G323" i="4"/>
  <c r="H323" i="4" s="1"/>
  <c r="G319" i="4"/>
  <c r="H319" i="4" s="1"/>
  <c r="G315" i="4"/>
  <c r="H315" i="4" s="1"/>
  <c r="G311" i="4"/>
  <c r="H311" i="4" s="1"/>
  <c r="G307" i="4"/>
  <c r="H307" i="4" s="1"/>
  <c r="G303" i="4"/>
  <c r="H303" i="4" s="1"/>
  <c r="G299" i="4"/>
  <c r="H299" i="4" s="1"/>
  <c r="G295" i="4"/>
  <c r="H295" i="4" s="1"/>
  <c r="G291" i="4"/>
  <c r="H291" i="4" s="1"/>
  <c r="G287" i="4"/>
  <c r="H287" i="4" s="1"/>
  <c r="G283" i="4"/>
  <c r="H283" i="4" s="1"/>
  <c r="G279" i="4"/>
  <c r="H279" i="4" s="1"/>
  <c r="G275" i="4"/>
  <c r="H275" i="4" s="1"/>
  <c r="G271" i="4"/>
  <c r="H271" i="4" s="1"/>
  <c r="G267" i="4"/>
  <c r="H267" i="4" s="1"/>
  <c r="G263" i="4"/>
  <c r="H263" i="4" s="1"/>
  <c r="G259" i="4"/>
  <c r="H259" i="4" s="1"/>
  <c r="G255" i="4"/>
  <c r="H255" i="4" s="1"/>
  <c r="G251" i="4"/>
  <c r="H251" i="4" s="1"/>
  <c r="G247" i="4"/>
  <c r="H247" i="4" s="1"/>
  <c r="G243" i="4"/>
  <c r="H243" i="4" s="1"/>
  <c r="G239" i="4"/>
  <c r="H239" i="4" s="1"/>
  <c r="G235" i="4"/>
  <c r="H235" i="4" s="1"/>
  <c r="G231" i="4"/>
  <c r="H231" i="4" s="1"/>
  <c r="G227" i="4"/>
  <c r="H227" i="4" s="1"/>
  <c r="G223" i="4"/>
  <c r="H223" i="4" s="1"/>
  <c r="G219" i="4"/>
  <c r="H219" i="4" s="1"/>
  <c r="G215" i="4"/>
  <c r="H215" i="4" s="1"/>
  <c r="G211" i="4"/>
  <c r="H211" i="4" s="1"/>
  <c r="G207" i="4"/>
  <c r="H207" i="4" s="1"/>
  <c r="G203" i="4"/>
  <c r="H203" i="4" s="1"/>
  <c r="G199" i="4"/>
  <c r="H199" i="4" s="1"/>
  <c r="G195" i="4"/>
  <c r="H195" i="4" s="1"/>
  <c r="G191" i="4"/>
  <c r="H191" i="4" s="1"/>
  <c r="G187" i="4"/>
  <c r="H187" i="4" s="1"/>
  <c r="G183" i="4"/>
  <c r="H183" i="4" s="1"/>
  <c r="G179" i="4"/>
  <c r="H179" i="4" s="1"/>
  <c r="G175" i="4"/>
  <c r="H175" i="4" s="1"/>
  <c r="G171" i="4"/>
  <c r="H171" i="4" s="1"/>
  <c r="G167" i="4"/>
  <c r="H167" i="4" s="1"/>
  <c r="G163" i="4"/>
  <c r="H163" i="4" s="1"/>
  <c r="G159" i="4"/>
  <c r="H159" i="4" s="1"/>
  <c r="G155" i="4"/>
  <c r="H155" i="4" s="1"/>
  <c r="G151" i="4"/>
  <c r="H151" i="4" s="1"/>
  <c r="G147" i="4"/>
  <c r="H147" i="4" s="1"/>
  <c r="G143" i="4"/>
  <c r="H143" i="4" s="1"/>
  <c r="G139" i="4"/>
  <c r="H139" i="4" s="1"/>
  <c r="G135" i="4"/>
  <c r="H135" i="4" s="1"/>
  <c r="G131" i="4"/>
  <c r="H131" i="4" s="1"/>
  <c r="G127" i="4"/>
  <c r="H127" i="4" s="1"/>
  <c r="G123" i="4"/>
  <c r="H123" i="4" s="1"/>
  <c r="G119" i="4"/>
  <c r="H119" i="4" s="1"/>
  <c r="G115" i="4"/>
  <c r="H115" i="4" s="1"/>
  <c r="G111" i="4"/>
  <c r="H111" i="4" s="1"/>
  <c r="G107" i="4"/>
  <c r="H107" i="4" s="1"/>
  <c r="G103" i="4"/>
  <c r="H103" i="4" s="1"/>
  <c r="G99" i="4"/>
  <c r="H99" i="4" s="1"/>
  <c r="G95" i="4"/>
  <c r="H95" i="4" s="1"/>
  <c r="G91" i="4"/>
  <c r="H91" i="4" s="1"/>
  <c r="G87" i="4"/>
  <c r="H87" i="4" s="1"/>
  <c r="G83" i="4"/>
  <c r="H83" i="4" s="1"/>
  <c r="G79" i="4"/>
  <c r="H79" i="4" s="1"/>
  <c r="G75" i="4"/>
  <c r="H75" i="4" s="1"/>
  <c r="G71" i="4"/>
  <c r="H71" i="4" s="1"/>
  <c r="G67" i="4"/>
  <c r="H67" i="4" s="1"/>
  <c r="G2" i="4"/>
  <c r="H2" i="4" s="1"/>
  <c r="G5" i="4"/>
  <c r="H5" i="4" s="1"/>
  <c r="AL419" i="2" l="1"/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2" i="2"/>
  <c r="AG419" i="2"/>
  <c r="AO419" i="2" l="1"/>
</calcChain>
</file>

<file path=xl/sharedStrings.xml><?xml version="1.0" encoding="utf-8"?>
<sst xmlns="http://schemas.openxmlformats.org/spreadsheetml/2006/main" count="15295" uniqueCount="6493">
  <si>
    <t>Sr.</t>
  </si>
  <si>
    <t>Status</t>
  </si>
  <si>
    <t>Contract No.</t>
  </si>
  <si>
    <t>Contract Status</t>
  </si>
  <si>
    <t>Insurance Agency</t>
  </si>
  <si>
    <t>Customer Name</t>
  </si>
  <si>
    <t>City</t>
  </si>
  <si>
    <t>CNIC No.</t>
  </si>
  <si>
    <t>Home Phone#</t>
  </si>
  <si>
    <t>Mobile Number</t>
  </si>
  <si>
    <t>Business Phone#</t>
  </si>
  <si>
    <t>Mail Address</t>
  </si>
  <si>
    <t>Finance Amount</t>
  </si>
  <si>
    <t>Car Price</t>
  </si>
  <si>
    <t>Ins. Policy</t>
  </si>
  <si>
    <t>Ins. Expiry Date</t>
  </si>
  <si>
    <t>Engine No.</t>
  </si>
  <si>
    <t>Chassis No.</t>
  </si>
  <si>
    <t>Car Category</t>
  </si>
  <si>
    <t>Reg. No.</t>
  </si>
  <si>
    <t>Car Name</t>
  </si>
  <si>
    <t>Model</t>
  </si>
  <si>
    <t>Contract Booking Date</t>
  </si>
  <si>
    <t>Contract Value Date</t>
  </si>
  <si>
    <t>Contract Maturity Date</t>
  </si>
  <si>
    <t>Purchase Order No.</t>
  </si>
  <si>
    <t>Tenor#2</t>
  </si>
  <si>
    <t>Tracker Company</t>
  </si>
  <si>
    <t>Tracker Reference Number</t>
  </si>
  <si>
    <t>Tracker Installation Date</t>
  </si>
  <si>
    <t>Insurance Rate</t>
  </si>
  <si>
    <t>Sum Insured</t>
  </si>
  <si>
    <t>Premium</t>
  </si>
  <si>
    <t>OLD Contract Ref</t>
  </si>
  <si>
    <t>Remarks-I</t>
  </si>
  <si>
    <t>Remarks-II</t>
  </si>
  <si>
    <t>A</t>
  </si>
  <si>
    <t>T-PAK</t>
  </si>
  <si>
    <t>Multan</t>
  </si>
  <si>
    <t>SUZUKI WAGONR VXR</t>
  </si>
  <si>
    <t>2017</t>
  </si>
  <si>
    <t>17-MAR-2022</t>
  </si>
  <si>
    <t>21-MAR-2022</t>
  </si>
  <si>
    <t>21-Mar-2027</t>
  </si>
  <si>
    <t>CTRK</t>
  </si>
  <si>
    <t>11-MAR-2022</t>
  </si>
  <si>
    <t>1.5%</t>
  </si>
  <si>
    <t>Karachi</t>
  </si>
  <si>
    <t>USD</t>
  </si>
  <si>
    <t>2016</t>
  </si>
  <si>
    <t>03-MAR-2020</t>
  </si>
  <si>
    <t>ITFM</t>
  </si>
  <si>
    <t>29-FEB-2020</t>
  </si>
  <si>
    <t>Faisalabad</t>
  </si>
  <si>
    <t>NEW</t>
  </si>
  <si>
    <t/>
  </si>
  <si>
    <t>SUZUKI WAGON R VXL</t>
  </si>
  <si>
    <t>2022</t>
  </si>
  <si>
    <t>02-MAR-2022</t>
  </si>
  <si>
    <t>ZUBAIR KHAN</t>
  </si>
  <si>
    <t>2020</t>
  </si>
  <si>
    <t>NORM</t>
  </si>
  <si>
    <t>9976AD1220110005</t>
  </si>
  <si>
    <t>MALIK ADNAN YAQOOB</t>
  </si>
  <si>
    <t>Islamabad</t>
  </si>
  <si>
    <t>37405-7616612-3</t>
  </si>
  <si>
    <t>03335142774</t>
  </si>
  <si>
    <t>0</t>
  </si>
  <si>
    <t xml:space="preserve">H # 5-A ST # 24 SECTOR F-7/2 ISLAMABAD PK </t>
  </si>
  <si>
    <t>59294/0004/03/2022</t>
  </si>
  <si>
    <t>14808473</t>
  </si>
  <si>
    <t>025239</t>
  </si>
  <si>
    <t>HONDA BRV-IVTEC-S</t>
  </si>
  <si>
    <t>11-JAN-2022</t>
  </si>
  <si>
    <t>11-Mar-2027</t>
  </si>
  <si>
    <t>OLAISD300083024</t>
  </si>
  <si>
    <t>ITECL</t>
  </si>
  <si>
    <t>6520/03/2022</t>
  </si>
  <si>
    <t>2%</t>
  </si>
  <si>
    <t>NA</t>
  </si>
  <si>
    <t>9976AD1210300105</t>
  </si>
  <si>
    <t>MUHAMMAD AAMIR</t>
  </si>
  <si>
    <t>Rawalpindi</t>
  </si>
  <si>
    <t>35200-1536704-3</t>
  </si>
  <si>
    <t>03334001278</t>
  </si>
  <si>
    <t>0512283654</t>
  </si>
  <si>
    <t xml:space="preserve">HOUSE NO 125 STREET NO 71 SECTOR G-9/3 ISLAMABAD </t>
  </si>
  <si>
    <t>53968/00001/03/2021</t>
  </si>
  <si>
    <t>Z16918554</t>
  </si>
  <si>
    <t>070717</t>
  </si>
  <si>
    <t>HONDA CIVIC VTI ORIEL P/T</t>
  </si>
  <si>
    <t>2021</t>
  </si>
  <si>
    <t>30-JAN-2021</t>
  </si>
  <si>
    <t>21-MAR-2021</t>
  </si>
  <si>
    <t>21-Mar-2026</t>
  </si>
  <si>
    <t>OLARWP300065591</t>
  </si>
  <si>
    <t>DIB0029769</t>
  </si>
  <si>
    <t>03-MAR-2021</t>
  </si>
  <si>
    <t>RCN</t>
  </si>
  <si>
    <t>KIA PICANTO 1.0L A/T</t>
  </si>
  <si>
    <t>03-MAR-2022</t>
  </si>
  <si>
    <t>28-FEB-2022</t>
  </si>
  <si>
    <t>KIA PICANTO 1.0 L M/T</t>
  </si>
  <si>
    <t>MUHAMMAD ASIF BAWANY</t>
  </si>
  <si>
    <t>42201-5578219-7</t>
  </si>
  <si>
    <t>02134171267</t>
  </si>
  <si>
    <t>03003456409</t>
  </si>
  <si>
    <t>02132576489</t>
  </si>
  <si>
    <t>HONDA CITY ASPIRE A/T</t>
  </si>
  <si>
    <t>26-FEB-2022</t>
  </si>
  <si>
    <t>2014</t>
  </si>
  <si>
    <t>Lahore</t>
  </si>
  <si>
    <t>TOYOTA YARIS ATIV X CVT 1.5</t>
  </si>
  <si>
    <t>25-FEB-2022</t>
  </si>
  <si>
    <t>2015</t>
  </si>
  <si>
    <t>27-FEB-2022</t>
  </si>
  <si>
    <t>24-FEB-2022</t>
  </si>
  <si>
    <t>22-FEB-2021</t>
  </si>
  <si>
    <t>22-FEB-2022</t>
  </si>
  <si>
    <t>21-FEB-2021</t>
  </si>
  <si>
    <t>21-Feb-2026</t>
  </si>
  <si>
    <t>18-FEB-2021</t>
  </si>
  <si>
    <t>MUHAMMAD TAHIR</t>
  </si>
  <si>
    <t>SUZUKI CULTUS VXR</t>
  </si>
  <si>
    <t>WAGON R VXL</t>
  </si>
  <si>
    <t>16-FEB-2022</t>
  </si>
  <si>
    <t>9976AD1212730065</t>
  </si>
  <si>
    <t>FARHAN MANZOOR</t>
  </si>
  <si>
    <t>33100-4587597-7</t>
  </si>
  <si>
    <t>03006640592</t>
  </si>
  <si>
    <t>03006640592, 03006640592</t>
  </si>
  <si>
    <t>0418787931</t>
  </si>
  <si>
    <t xml:space="preserve">H NO P-154 ST NO 05 KHALID ABAD NO 01 FAISALABAD PK </t>
  </si>
  <si>
    <t>58470/00291/02/2022</t>
  </si>
  <si>
    <t>230730</t>
  </si>
  <si>
    <t>10130728</t>
  </si>
  <si>
    <t>30-SEP-2021</t>
  </si>
  <si>
    <t>11-Mar-2026</t>
  </si>
  <si>
    <t>OLAFSD300074293</t>
  </si>
  <si>
    <t>DIB0033650</t>
  </si>
  <si>
    <t>15-FEB-2022</t>
  </si>
  <si>
    <t>11-FEB-2021</t>
  </si>
  <si>
    <t>9976AP1220660001</t>
  </si>
  <si>
    <t>ZAHEER ASGHAR</t>
  </si>
  <si>
    <t>Gujranwala</t>
  </si>
  <si>
    <t>34104-5573816-3</t>
  </si>
  <si>
    <t>03317777139</t>
  </si>
  <si>
    <t xml:space="preserve">KOT NOORA ROAD MOH SIKANDAR PURA GH AKHAR MANDI GUJRANWALA PK </t>
  </si>
  <si>
    <t>59294/00015/03/2022</t>
  </si>
  <si>
    <t>17441653</t>
  </si>
  <si>
    <t>R181898</t>
  </si>
  <si>
    <t>LEC-16-4453</t>
  </si>
  <si>
    <t>HONDA CITY I-VTEC</t>
  </si>
  <si>
    <t>07-MAR-2022</t>
  </si>
  <si>
    <t>OLAGWL300085054</t>
  </si>
  <si>
    <t>DIB0033723</t>
  </si>
  <si>
    <t>04-MAR-2022</t>
  </si>
  <si>
    <t>TOYOTA COROLLA ALTIS GRANDE CVT</t>
  </si>
  <si>
    <t>2019</t>
  </si>
  <si>
    <t>09-MAR-2020</t>
  </si>
  <si>
    <t>11-MAR-2020</t>
  </si>
  <si>
    <t>59294/00024/03/2022</t>
  </si>
  <si>
    <t>KIA PICANTO 1.0</t>
  </si>
  <si>
    <t>08-MAR-2022</t>
  </si>
  <si>
    <t>9976AD1213290019</t>
  </si>
  <si>
    <t>SOFIA OWAIS</t>
  </si>
  <si>
    <t>42201-0660881-2</t>
  </si>
  <si>
    <t>03333666848</t>
  </si>
  <si>
    <t xml:space="preserve">HOUSE NO 54 B/1 KHAYABAN-E- BAHRIA DHA PHASE 7 SHEEL PETROL PUMP KARACHI PK </t>
  </si>
  <si>
    <t>59294/00016/03/2022</t>
  </si>
  <si>
    <t>2A47420</t>
  </si>
  <si>
    <t>9517702</t>
  </si>
  <si>
    <t>TOYOTA YARIS ATIV X 1.5 AT</t>
  </si>
  <si>
    <t>25-NOV-2021</t>
  </si>
  <si>
    <t>OLAKHI300080262</t>
  </si>
  <si>
    <t>FLCN</t>
  </si>
  <si>
    <t>108748/03/2022</t>
  </si>
  <si>
    <t>PICANTO 1.0L A/T</t>
  </si>
  <si>
    <t>11-MAR-2021</t>
  </si>
  <si>
    <t>9976AP1210140002</t>
  </si>
  <si>
    <t>BILAL AHMAD</t>
  </si>
  <si>
    <t>35202-8138215-5</t>
  </si>
  <si>
    <t xml:space="preserve">OFFICE NO 13 1ST FLOOR GLAMAR ONE P LAZA MAIN PECO ROAD MOCHIPURA  LAHORE </t>
  </si>
  <si>
    <t>2524/02288/00040/01/2021</t>
  </si>
  <si>
    <t>2A09535</t>
  </si>
  <si>
    <t>YARIS ATIV CVT 1.3</t>
  </si>
  <si>
    <t>21-JAN-2021</t>
  </si>
  <si>
    <t>OLDLHR300064859</t>
  </si>
  <si>
    <t>DIB0029335</t>
  </si>
  <si>
    <t>EFU-TW</t>
  </si>
  <si>
    <t>9976AD2210300042</t>
  </si>
  <si>
    <t>HAFEEZ UR REHMAN NASIR</t>
  </si>
  <si>
    <t>35202-3344491-1</t>
  </si>
  <si>
    <t>042-7845338 0321-4121057</t>
  </si>
  <si>
    <t>0321-4121057</t>
  </si>
  <si>
    <t>042-35783219</t>
  </si>
  <si>
    <t xml:space="preserve">H NO 124 JASMEEN BLOCK PARK VIEW VILLAGE OPPSITE EME SOCIETY MULTAN ROAD LAHORE </t>
  </si>
  <si>
    <t>53968/00005/03/2021</t>
  </si>
  <si>
    <t>R18Z16918627</t>
  </si>
  <si>
    <t>NFBFC6660MR070786</t>
  </si>
  <si>
    <t>HONDA CIVIC</t>
  </si>
  <si>
    <t>OLALHR300065597</t>
  </si>
  <si>
    <t>DIB0029772</t>
  </si>
  <si>
    <t>WACH</t>
  </si>
  <si>
    <t>9976AP1220320087</t>
  </si>
  <si>
    <t>MUHAMMAD NAVEED SHAIKH</t>
  </si>
  <si>
    <t>Hyderabad</t>
  </si>
  <si>
    <t>41303-7851664-7</t>
  </si>
  <si>
    <t>03363082992</t>
  </si>
  <si>
    <t xml:space="preserve">HOUSE # 75/A BLOCK A-1 BISMILLAH CI TY UNIT # 10 LATIFABAD NEAR ABDUL G HYDERABAD PK </t>
  </si>
  <si>
    <t>57872/00288/01/2022</t>
  </si>
  <si>
    <t>135929</t>
  </si>
  <si>
    <t>10035925</t>
  </si>
  <si>
    <t>BPJ-276</t>
  </si>
  <si>
    <t>SUZUKI CULTUS VXL</t>
  </si>
  <si>
    <t>03-FEB-2022</t>
  </si>
  <si>
    <t>OLUHYD300083841</t>
  </si>
  <si>
    <t>DIB0033348</t>
  </si>
  <si>
    <t>31-JAN-2022</t>
  </si>
  <si>
    <t>IGI-TW</t>
  </si>
  <si>
    <t>9976AD1201790028</t>
  </si>
  <si>
    <t>MISBAH BASHIR</t>
  </si>
  <si>
    <t>35202-3770201-2</t>
  </si>
  <si>
    <t>03060475045</t>
  </si>
  <si>
    <t xml:space="preserve">OFF# 120 3 D 2 GREEN TOWN LAHORE </t>
  </si>
  <si>
    <t>50255/00026/01/2019</t>
  </si>
  <si>
    <t>180335</t>
  </si>
  <si>
    <t>10080342</t>
  </si>
  <si>
    <t>LEA-19-4251</t>
  </si>
  <si>
    <t>WAGONR VXL</t>
  </si>
  <si>
    <t>2018</t>
  </si>
  <si>
    <t>27-SEP-2020</t>
  </si>
  <si>
    <t>POALHR300040075</t>
  </si>
  <si>
    <t>TDIDIB0026279</t>
  </si>
  <si>
    <t>24-JAN-2019</t>
  </si>
  <si>
    <t>3.1%</t>
  </si>
  <si>
    <t>9976AD1183120002</t>
  </si>
  <si>
    <t>CO19 Relief Principal Deferment Cases</t>
  </si>
  <si>
    <t>9976AD2233520001</t>
  </si>
  <si>
    <t>MUHAMMAD FAREED</t>
  </si>
  <si>
    <t>33102-7009350-1</t>
  </si>
  <si>
    <t>03120000592</t>
  </si>
  <si>
    <t>03120000592, 03120000592</t>
  </si>
  <si>
    <t xml:space="preserve">P-137 ST NO 01 ISLAM NAGAR FSD NEAR SOFIA MASJID FAISALABAD PK </t>
  </si>
  <si>
    <t>81032/00026/01/2024</t>
  </si>
  <si>
    <t>2A64781</t>
  </si>
  <si>
    <t>7042414</t>
  </si>
  <si>
    <t>TOYOTA YARIS AERO 1.3</t>
  </si>
  <si>
    <t>2023</t>
  </si>
  <si>
    <t>03-FEB-2024</t>
  </si>
  <si>
    <t>OLAFSD300098610</t>
  </si>
  <si>
    <t>DIB0035556</t>
  </si>
  <si>
    <t>24-JAN-2024</t>
  </si>
  <si>
    <t>1.75%</t>
  </si>
  <si>
    <t>9976AD1213330059</t>
  </si>
  <si>
    <t>MUHAMMAD ADNAN BUTT</t>
  </si>
  <si>
    <t>37405-0137234-5</t>
  </si>
  <si>
    <t>03215050004</t>
  </si>
  <si>
    <t xml:space="preserve">H # 1-A ST # 1 SECTOR G PHASE 8 BAH RIA TOWN ISLAMABAD PK </t>
  </si>
  <si>
    <t>66406/00048/01/2023</t>
  </si>
  <si>
    <t>174463</t>
  </si>
  <si>
    <t>711781</t>
  </si>
  <si>
    <t>KIA PICANTO 1.0 L A/T</t>
  </si>
  <si>
    <t>27-JAN-2023</t>
  </si>
  <si>
    <t>OLARWP300060642</t>
  </si>
  <si>
    <t>9877/01/2023</t>
  </si>
  <si>
    <t>25-JAN-2023</t>
  </si>
  <si>
    <t>9976AD1223550010</t>
  </si>
  <si>
    <t>MAHBOOB AHMED</t>
  </si>
  <si>
    <t>31301-4548937-7</t>
  </si>
  <si>
    <t>00971547194644</t>
  </si>
  <si>
    <t xml:space="preserve">FLAT NO318 U04 ITALY CLUSTER INTERNATIONAL CITY DUBAI 506003 UNITED ARAB EMIRATES </t>
  </si>
  <si>
    <t>DIB/T/39825/KHI/0123</t>
  </si>
  <si>
    <t>90000618</t>
  </si>
  <si>
    <t>501475</t>
  </si>
  <si>
    <t>RDA</t>
  </si>
  <si>
    <t>PEUGEOT 2008 ALLURE</t>
  </si>
  <si>
    <t>21-JAN-2023</t>
  </si>
  <si>
    <t>OLAKHI300091275</t>
  </si>
  <si>
    <t>ITFT</t>
  </si>
  <si>
    <t>9758/01/2023/ITFM</t>
  </si>
  <si>
    <t>09-JAN-2023</t>
  </si>
  <si>
    <t>1.4%</t>
  </si>
  <si>
    <t>9976AP1220670005</t>
  </si>
  <si>
    <t>FAIZAN AHMED</t>
  </si>
  <si>
    <t>35501-0352057-3</t>
  </si>
  <si>
    <t>03229999968</t>
  </si>
  <si>
    <t>03229999968, 03229999968</t>
  </si>
  <si>
    <t xml:space="preserve">P-49 ST NO 6 AL NOOR GARDENS FSD FAISALABAD PK </t>
  </si>
  <si>
    <t>59294/00014/03/2022</t>
  </si>
  <si>
    <t>71402490</t>
  </si>
  <si>
    <t>008498</t>
  </si>
  <si>
    <t>AAF-400</t>
  </si>
  <si>
    <t>HONDA CIVIC 1.5L TURBO</t>
  </si>
  <si>
    <t>OLUFSD300085052</t>
  </si>
  <si>
    <t>DIB0033722</t>
  </si>
  <si>
    <t>9976AD1212420025</t>
  </si>
  <si>
    <t>MUHMMAD HUSSAIN AFZAL</t>
  </si>
  <si>
    <t>35201-7016546-3</t>
  </si>
  <si>
    <t>03474357791</t>
  </si>
  <si>
    <t>04236311747</t>
  </si>
  <si>
    <t xml:space="preserve">509,510,515,516 NATIONAL TOWER 28 E GERTON ROAD LAHORE </t>
  </si>
  <si>
    <t>57872/00115/01/2022</t>
  </si>
  <si>
    <t>189873</t>
  </si>
  <si>
    <t>10089868</t>
  </si>
  <si>
    <t>SUZUKI CULTUS VXR EURO II</t>
  </si>
  <si>
    <t>27-JAN-2022</t>
  </si>
  <si>
    <t>OLALHR300072668</t>
  </si>
  <si>
    <t>DIB0033202</t>
  </si>
  <si>
    <t>19-JAN-2022</t>
  </si>
  <si>
    <t>997APD2201790054</t>
  </si>
  <si>
    <t>MUHAMMAD ABDULLAH AWAN</t>
  </si>
  <si>
    <t>35201-5582150-9</t>
  </si>
  <si>
    <t>03219484109</t>
  </si>
  <si>
    <t>03009484109 03219484109</t>
  </si>
  <si>
    <t>04235600244</t>
  </si>
  <si>
    <t xml:space="preserve">VILLAGE HAYER P O KHAS BEDIAN ROAD LHR </t>
  </si>
  <si>
    <t>51671/00047/01/2020</t>
  </si>
  <si>
    <t>154342</t>
  </si>
  <si>
    <t>10054330</t>
  </si>
  <si>
    <t>LEA-20-2894</t>
  </si>
  <si>
    <t>PODLHR300053053</t>
  </si>
  <si>
    <t>DIB0028161</t>
  </si>
  <si>
    <t>31-JAN-2020</t>
  </si>
  <si>
    <t>2.5%</t>
  </si>
  <si>
    <t>997APD2200310017</t>
  </si>
  <si>
    <t>9976AD2212720023</t>
  </si>
  <si>
    <t>SAQIB SARWAR</t>
  </si>
  <si>
    <t>42101-9970985-1</t>
  </si>
  <si>
    <t>03432480513</t>
  </si>
  <si>
    <t xml:space="preserve">SCHEME # 33 H # A-743 AHSANABAD NEW KARACHI KARACHI PK </t>
  </si>
  <si>
    <t>59294/00017/03/2022</t>
  </si>
  <si>
    <t>215049</t>
  </si>
  <si>
    <t>1115064</t>
  </si>
  <si>
    <t>SUZUKI ALTO VXR EURO II</t>
  </si>
  <si>
    <t>29-SEP-2021</t>
  </si>
  <si>
    <t>11-Mar-2029</t>
  </si>
  <si>
    <t>OLAKHI300074288</t>
  </si>
  <si>
    <t>DIB0033700</t>
  </si>
  <si>
    <t>997APD1201790099</t>
  </si>
  <si>
    <t>MUHAMMAD BILAL ASHIQ</t>
  </si>
  <si>
    <t>35202-1989362-7</t>
  </si>
  <si>
    <t>03004621267</t>
  </si>
  <si>
    <t xml:space="preserve">H NO 18/A, MOHALLAH RAVI COLONY 2 BUND ROAD LAHORE </t>
  </si>
  <si>
    <t>51671/00042/01/2020</t>
  </si>
  <si>
    <t>202053</t>
  </si>
  <si>
    <t>10101882</t>
  </si>
  <si>
    <t>LEA-20-2840</t>
  </si>
  <si>
    <t>PODLHR300053036</t>
  </si>
  <si>
    <t>DIB0028149</t>
  </si>
  <si>
    <t>30-JAN-2020</t>
  </si>
  <si>
    <t>997APD1200310007</t>
  </si>
  <si>
    <t>9976AP2201810001</t>
  </si>
  <si>
    <t>SULTAN GHAZI</t>
  </si>
  <si>
    <t>42201-0574561-7</t>
  </si>
  <si>
    <t>34387070</t>
  </si>
  <si>
    <t>03211466533</t>
  </si>
  <si>
    <t>34893635</t>
  </si>
  <si>
    <t xml:space="preserve">FLAT NO 3 AND 4 1ST FLOOR 825 C IMRAN APPT BLOCK 2 PECHS OPP JHEEL PARK KARACHI </t>
  </si>
  <si>
    <t>DIB/T/19765/KHI/0118</t>
  </si>
  <si>
    <t>327032</t>
  </si>
  <si>
    <t>7026147</t>
  </si>
  <si>
    <t>BLK-228</t>
  </si>
  <si>
    <t>03-OCT-2020</t>
  </si>
  <si>
    <t>PODKHI300028960</t>
  </si>
  <si>
    <t>14460/01/2018</t>
  </si>
  <si>
    <t>04-JAN-2018</t>
  </si>
  <si>
    <t>3.2%</t>
  </si>
  <si>
    <t>9976AP2180050003</t>
  </si>
  <si>
    <t>TDI-TW</t>
  </si>
  <si>
    <t>9976AP1220310042</t>
  </si>
  <si>
    <t>WASEEM YOUNIS</t>
  </si>
  <si>
    <t>42101-7965884-9</t>
  </si>
  <si>
    <t>03432555365</t>
  </si>
  <si>
    <t>02199012719</t>
  </si>
  <si>
    <t xml:space="preserve">FLAT # 202 JINNAH COMPLEX BLOCK A- M.A JINNAH ROAD KARACHI KARACHI PK </t>
  </si>
  <si>
    <t>DIB/T/35492/KHI/0122</t>
  </si>
  <si>
    <t>B-110096</t>
  </si>
  <si>
    <t>PK10010085</t>
  </si>
  <si>
    <t>BEW-828</t>
  </si>
  <si>
    <t>SUZUKI WAGNOR VXL</t>
  </si>
  <si>
    <t>OLUKHI300083734</t>
  </si>
  <si>
    <t>TDIDIB0030017</t>
  </si>
  <si>
    <t>9976AP2220310051</t>
  </si>
  <si>
    <t>HAFIZ UMAIR UL HASSAN HASHMI</t>
  </si>
  <si>
    <t>42101-2139260-7</t>
  </si>
  <si>
    <t>03219473373</t>
  </si>
  <si>
    <t>3219473373, 3219473373</t>
  </si>
  <si>
    <t>3219473373</t>
  </si>
  <si>
    <t xml:space="preserve">PLOT # 2B2 FLAT # A-2 1ST FLOOR BAS HIR MARKET FLATS BASHIR MARKET COMM KARACHI PK </t>
  </si>
  <si>
    <t>DIB/T/35490/KHI/0122</t>
  </si>
  <si>
    <t>13025787</t>
  </si>
  <si>
    <t>10025768</t>
  </si>
  <si>
    <t>BCC-937</t>
  </si>
  <si>
    <t>SUZUKI SWIFT A/T NAVIGATION</t>
  </si>
  <si>
    <t>OLUKHI300083746</t>
  </si>
  <si>
    <t>TDIDIB0030016</t>
  </si>
  <si>
    <t>9976AP2220310064</t>
  </si>
  <si>
    <t>MUHAMMAD FAROOQ MEMON</t>
  </si>
  <si>
    <t>41306-5546166-9</t>
  </si>
  <si>
    <t>N/A</t>
  </si>
  <si>
    <t>03008372488</t>
  </si>
  <si>
    <t>0321-8372488</t>
  </si>
  <si>
    <t xml:space="preserve">H # A-13 MEMON CO OPERATIVE HOUSING SOCIETY QASIMABAD NEAR MARYAM MASJID HYDARABAD </t>
  </si>
  <si>
    <t>DIB/T/35499/HYD/0122</t>
  </si>
  <si>
    <t>Q326880</t>
  </si>
  <si>
    <t>7056048</t>
  </si>
  <si>
    <t>OLDHYD300083842</t>
  </si>
  <si>
    <t>TDIDIB0030022</t>
  </si>
  <si>
    <t>9976AP2220310056</t>
  </si>
  <si>
    <t>MUHAMMAD ALI JAMAL</t>
  </si>
  <si>
    <t>42301-5689797-5</t>
  </si>
  <si>
    <t>35841843</t>
  </si>
  <si>
    <t>0321-8230113</t>
  </si>
  <si>
    <t>111-565-565</t>
  </si>
  <si>
    <t xml:space="preserve">HOUSE NO 65/1 6TH STREET KHAYABAN-E-BADBAN PHASE 5 DHA SAUDI CONSULATE KARACHI </t>
  </si>
  <si>
    <t>DIB/T/35493/KHI/0122</t>
  </si>
  <si>
    <t>615Z81004146</t>
  </si>
  <si>
    <t>011408</t>
  </si>
  <si>
    <t>OLDKHI300083800</t>
  </si>
  <si>
    <t>TDIDIB0030019</t>
  </si>
  <si>
    <t>9976AP2220320076</t>
  </si>
  <si>
    <t>RAHEEL</t>
  </si>
  <si>
    <t>42301-8907342-3</t>
  </si>
  <si>
    <t>03332426655</t>
  </si>
  <si>
    <t xml:space="preserve">FLAT # 202 2ND FLOOR BAKSHI ROYAL R ESIDENCY PLOT # JM 71 NEAR HUSSAIN KARACHI PK </t>
  </si>
  <si>
    <t>57872/00301/01/2022</t>
  </si>
  <si>
    <t>6R164957</t>
  </si>
  <si>
    <t>H1064913</t>
  </si>
  <si>
    <t>BTY-884</t>
  </si>
  <si>
    <t>SUZUKI ALTO VXR</t>
  </si>
  <si>
    <t>OLUKHI300083943</t>
  </si>
  <si>
    <t>DIB0033352</t>
  </si>
  <si>
    <t>9976AP2220320092</t>
  </si>
  <si>
    <t>AMAN ULLAH SOOMRO</t>
  </si>
  <si>
    <t>41306-9665808-7</t>
  </si>
  <si>
    <t>03083303122</t>
  </si>
  <si>
    <t xml:space="preserve">HOUSE # 17-A LAB E MEHRAN HOUSING S OCIETY QASIMABAD HYDERABAD PK </t>
  </si>
  <si>
    <t>57872/00302/01/2022</t>
  </si>
  <si>
    <t>188996</t>
  </si>
  <si>
    <t>10088975</t>
  </si>
  <si>
    <t>BVA-874</t>
  </si>
  <si>
    <t>OLUHYD300083919</t>
  </si>
  <si>
    <t>DIB0033360</t>
  </si>
  <si>
    <t>01-FEB-2022</t>
  </si>
  <si>
    <t>9976AD2212710002</t>
  </si>
  <si>
    <t>KAMRAN KHAN</t>
  </si>
  <si>
    <t>42101-6108385-9</t>
  </si>
  <si>
    <t>03172050500</t>
  </si>
  <si>
    <t xml:space="preserve">OFFICE B-293 SABZAZAR MULTAN ROAD N EAR DARE ARQAM SCHOOL LAHORE </t>
  </si>
  <si>
    <t>215242</t>
  </si>
  <si>
    <t>1115222</t>
  </si>
  <si>
    <t>28-SEP-2021</t>
  </si>
  <si>
    <t>OLALHR300073782</t>
  </si>
  <si>
    <t>DIB0033732</t>
  </si>
  <si>
    <t>9976AP1220310058</t>
  </si>
  <si>
    <t>ASIM NADEEM</t>
  </si>
  <si>
    <t>33100-4949629-7</t>
  </si>
  <si>
    <t>03019200098</t>
  </si>
  <si>
    <t>03019200098, 03019200098</t>
  </si>
  <si>
    <t xml:space="preserve">2967 ST NO 5 ROZA PARK MANSOOR ABAD FSD FAISALABAD PK </t>
  </si>
  <si>
    <t>57872/00263/01/2022</t>
  </si>
  <si>
    <t>PKT935823</t>
  </si>
  <si>
    <t>SV308PK01052310</t>
  </si>
  <si>
    <t>CV-8837</t>
  </si>
  <si>
    <t>SUZUKI BOLAN VX</t>
  </si>
  <si>
    <t>OLUFSD300083794</t>
  </si>
  <si>
    <t>6231/01/2022</t>
  </si>
  <si>
    <t>997AAD1203210013</t>
  </si>
  <si>
    <t>MUHAMMAD AZHAR NAEEM</t>
  </si>
  <si>
    <t>35201-8239659-7</t>
  </si>
  <si>
    <t>35230650-54</t>
  </si>
  <si>
    <t xml:space="preserve">H# 83-D TARIQ GARDEN NEAR WAPDA TOWN NR USMANIA TOWER LAHORE </t>
  </si>
  <si>
    <t>53545/00128/01/2021</t>
  </si>
  <si>
    <t>G4NALH34202</t>
  </si>
  <si>
    <t>NNAQL51AZKP508418</t>
  </si>
  <si>
    <t>SPORTAGE AWD</t>
  </si>
  <si>
    <t>03-FEB-2021</t>
  </si>
  <si>
    <t>POALHR300060961</t>
  </si>
  <si>
    <t>Tracker Not Install</t>
  </si>
  <si>
    <t>9976AP2220310052</t>
  </si>
  <si>
    <t>AHMED SHAH</t>
  </si>
  <si>
    <t>42201-0727539-3</t>
  </si>
  <si>
    <t>03008231124</t>
  </si>
  <si>
    <t xml:space="preserve">G-9 AND G-48 GOLD LINE HARBOUR NEAR ABL BANK JACKSON MARKET KEMARI KARACHI </t>
  </si>
  <si>
    <t>57872/00245/01/2022</t>
  </si>
  <si>
    <t>Q088739</t>
  </si>
  <si>
    <t>6066183</t>
  </si>
  <si>
    <t>TOYOTA COROLLA ALTIS 1.6 SPECIAL EDITION</t>
  </si>
  <si>
    <t>OLDKHI300083768</t>
  </si>
  <si>
    <t>DIB0033333</t>
  </si>
  <si>
    <t>9976AD1212940032</t>
  </si>
  <si>
    <t>WAJID ZAKIR</t>
  </si>
  <si>
    <t>82303-6957909-3</t>
  </si>
  <si>
    <t>03138586926</t>
  </si>
  <si>
    <t>0512201256</t>
  </si>
  <si>
    <t xml:space="preserve">DANISH ENTERPRISES SHOP NO 4 ZAKIA PLAZA NEAR CHINA CHOWK FAZAL E HAQ ROAD BLUE AREA ISLAMABAD </t>
  </si>
  <si>
    <t>59294/00026/03/2022</t>
  </si>
  <si>
    <t>197795</t>
  </si>
  <si>
    <t>1097766</t>
  </si>
  <si>
    <t>21-OCT-2021</t>
  </si>
  <si>
    <t>OLAISD300075525</t>
  </si>
  <si>
    <t>DIB0033731</t>
  </si>
  <si>
    <t>9976AP1220320079</t>
  </si>
  <si>
    <t>MUHAMMAD RIZWAN YOUSAF</t>
  </si>
  <si>
    <t>35202-2174987-9</t>
  </si>
  <si>
    <t>03219808888</t>
  </si>
  <si>
    <t xml:space="preserve">OPPOSITE GATE # 1 , MANSOORA HOSPIT AL , MULTAN ROAD LHR LAHORE PK </t>
  </si>
  <si>
    <t>57872/00235/01/2022</t>
  </si>
  <si>
    <t>R18Z12901668</t>
  </si>
  <si>
    <t>NFBFC6666GR002223</t>
  </si>
  <si>
    <t>LE-16A-2324</t>
  </si>
  <si>
    <t>OLULHR300083771</t>
  </si>
  <si>
    <t>6205/01/2022</t>
  </si>
  <si>
    <t>29-JAN-2022</t>
  </si>
  <si>
    <t>9976AP1210300060</t>
  </si>
  <si>
    <t>KIRAN AKIF</t>
  </si>
  <si>
    <t>35202-2647195-2</t>
  </si>
  <si>
    <t xml:space="preserve">31-FCC GULBERG 4   LAHORE </t>
  </si>
  <si>
    <t>53545/00118/01/2021</t>
  </si>
  <si>
    <t>Z399031</t>
  </si>
  <si>
    <t>AAE-524</t>
  </si>
  <si>
    <t>TOYOTA COROLLA GLI A/T</t>
  </si>
  <si>
    <t>OLULHR300065474</t>
  </si>
  <si>
    <t>4175/01/2021/ITFM</t>
  </si>
  <si>
    <t>9976AD1212940026</t>
  </si>
  <si>
    <t>UMAIR ASLAM</t>
  </si>
  <si>
    <t>37405-0721570-1</t>
  </si>
  <si>
    <t>03028985224</t>
  </si>
  <si>
    <t>0514499159</t>
  </si>
  <si>
    <t xml:space="preserve">H # 12 ST # 10 KORANG TOWN ISLAMABAD PK </t>
  </si>
  <si>
    <t>59294/00022/03/2022</t>
  </si>
  <si>
    <t>216143</t>
  </si>
  <si>
    <t>1116111</t>
  </si>
  <si>
    <t>OLAISD300075532</t>
  </si>
  <si>
    <t>DIB0033726</t>
  </si>
  <si>
    <t>9976AP1220670007</t>
  </si>
  <si>
    <t>ARSLAN TARIQ</t>
  </si>
  <si>
    <t>34101-9277897-1</t>
  </si>
  <si>
    <t>03216426800</t>
  </si>
  <si>
    <t xml:space="preserve">HOUSE NO 2 UMAR MANZIL MOHALLAH SHA HEEN ABAD GT ROAD NEAR DARAZ OFFICE GUJRANWALA PK </t>
  </si>
  <si>
    <t>59294/00031/03/2022</t>
  </si>
  <si>
    <t>PK10K100061</t>
  </si>
  <si>
    <t>10000059</t>
  </si>
  <si>
    <t>LEF-17-3060</t>
  </si>
  <si>
    <t>SUZUKI CULTUS VXL EURO II</t>
  </si>
  <si>
    <t>OLUGWL300085053</t>
  </si>
  <si>
    <t>DIB0033741</t>
  </si>
  <si>
    <t>9976AP1210300093</t>
  </si>
  <si>
    <t>ARSALAN MALICK</t>
  </si>
  <si>
    <t>42101-8138874-9</t>
  </si>
  <si>
    <t xml:space="preserve">ICON HOUS E# 83-C 12TH COMMERICIAL STREET DHAH PHASE 2 EXT KHI NEAR SI LK BANK KARACHI </t>
  </si>
  <si>
    <t>53545/00105/01/2021</t>
  </si>
  <si>
    <t>KQ9788</t>
  </si>
  <si>
    <t>BNE-425</t>
  </si>
  <si>
    <t>NISSAN DAYS</t>
  </si>
  <si>
    <t>OLUKHI300065404</t>
  </si>
  <si>
    <t>4166/01/2021/ITFM</t>
  </si>
  <si>
    <t>9976AP1220310016</t>
  </si>
  <si>
    <t>MUHAMMAD SHOAIB</t>
  </si>
  <si>
    <t>36501-9075847-7</t>
  </si>
  <si>
    <t>03406823500</t>
  </si>
  <si>
    <t xml:space="preserve">HOUSE # 697 ST # 44 SECTOR G-14/4 ISLAMABAD PK </t>
  </si>
  <si>
    <t>57872/00215/01/2022</t>
  </si>
  <si>
    <t>620622</t>
  </si>
  <si>
    <t>527510</t>
  </si>
  <si>
    <t>AAV-334</t>
  </si>
  <si>
    <t>OLDISD300083716</t>
  </si>
  <si>
    <t>6191/01/2022</t>
  </si>
  <si>
    <t>28-JAN-2022</t>
  </si>
  <si>
    <t>997AAD1203210015</t>
  </si>
  <si>
    <t>NASIR AZIZ</t>
  </si>
  <si>
    <t>35201-7980017-1</t>
  </si>
  <si>
    <t xml:space="preserve">550 C OPF HOUSING SCHEME KHYABAN E JINNAH  LAHORE </t>
  </si>
  <si>
    <t>53545/00097/01/2021</t>
  </si>
  <si>
    <t>G4NALH342669</t>
  </si>
  <si>
    <t>`NNAQL51AZKP509022</t>
  </si>
  <si>
    <t>POALHR300060951</t>
  </si>
  <si>
    <t>997AAD1202830012</t>
  </si>
  <si>
    <t>SALMA REHMAN</t>
  </si>
  <si>
    <t>35202-2622285-3</t>
  </si>
  <si>
    <t xml:space="preserve">80 BABAR BLOCK NEW GARDEN TOWN   LAHORE </t>
  </si>
  <si>
    <t>53545/00098/01/2021</t>
  </si>
  <si>
    <t>G4NALH341884</t>
  </si>
  <si>
    <t>NNAQL51AZKP508429</t>
  </si>
  <si>
    <t>POALHR300058252</t>
  </si>
  <si>
    <t>9976AP2220280031</t>
  </si>
  <si>
    <t>AHMED SALMAN MIRZA</t>
  </si>
  <si>
    <t>34603-1889697-5</t>
  </si>
  <si>
    <t>0515958880</t>
  </si>
  <si>
    <t>0519215192</t>
  </si>
  <si>
    <t xml:space="preserve">H # 395 NEAR STREET 65/A PAKISTAN T OWN ISLAMABAD PK </t>
  </si>
  <si>
    <t>57872/00209/01/2022</t>
  </si>
  <si>
    <t>529113</t>
  </si>
  <si>
    <t>1006006</t>
  </si>
  <si>
    <t>CHANGAN ALSVIN 1.5</t>
  </si>
  <si>
    <t>OLDISD300083655</t>
  </si>
  <si>
    <t>6173/01/2022</t>
  </si>
  <si>
    <t>9976AP2220670003</t>
  </si>
  <si>
    <t>ABDUL REHMAN JATOI</t>
  </si>
  <si>
    <t>42201-5145490-9</t>
  </si>
  <si>
    <t>03003451042</t>
  </si>
  <si>
    <t xml:space="preserve">APARTMENT # 005 TOWER 08 PRECINCT-19 BAAHIRA TOWN KARACHI 0300-3451042 </t>
  </si>
  <si>
    <t>59294/00020/03/2022</t>
  </si>
  <si>
    <t>Q331456</t>
  </si>
  <si>
    <t>7030565</t>
  </si>
  <si>
    <t>BNJ-507</t>
  </si>
  <si>
    <t>TOYOTA COROLLA ALTI GRANDE</t>
  </si>
  <si>
    <t>OLUKHI300085032</t>
  </si>
  <si>
    <t>DIB0033725</t>
  </si>
  <si>
    <t>9976AP2210300074</t>
  </si>
  <si>
    <t>SYEDA ATIYA FARHEEN ZEHRA</t>
  </si>
  <si>
    <t>42101-2283706-4</t>
  </si>
  <si>
    <t xml:space="preserve">PLOT # 5-C BADAR COMMERCIAL STREET # 10 PH-V DHA FLAT # 301 DHA NEAR K KARACHI PK </t>
  </si>
  <si>
    <t>53545/00096/01/2021</t>
  </si>
  <si>
    <t>L13Z17446472</t>
  </si>
  <si>
    <t>NFBGM1541GR187446</t>
  </si>
  <si>
    <t>BHC-949</t>
  </si>
  <si>
    <t>CITY IVTEC M/T</t>
  </si>
  <si>
    <t>OLUKHI300065369</t>
  </si>
  <si>
    <t>4144/01/2021/ITFM</t>
  </si>
  <si>
    <t>9976AP2220670006</t>
  </si>
  <si>
    <t>RASHEED AHMED</t>
  </si>
  <si>
    <t>36601-4037327-5</t>
  </si>
  <si>
    <t>0515152771</t>
  </si>
  <si>
    <t xml:space="preserve">H # 2852, MAIN BAZAR AL MUMTAZ COLO NY NEAR GULRAZ 1 CHAKLALA SCHEME II RAWALPINDI PK </t>
  </si>
  <si>
    <t>59294/00021/03/2022</t>
  </si>
  <si>
    <t>14044228</t>
  </si>
  <si>
    <t>127994</t>
  </si>
  <si>
    <t>RIB-15-8</t>
  </si>
  <si>
    <t>OLURWP300085073</t>
  </si>
  <si>
    <t>6534/03/2022</t>
  </si>
  <si>
    <t>997AAD1203210014</t>
  </si>
  <si>
    <t>MUHAMMAD AMIN</t>
  </si>
  <si>
    <t>35201-7210165-1</t>
  </si>
  <si>
    <t>042-6823311 35450119</t>
  </si>
  <si>
    <t>0321-4776572</t>
  </si>
  <si>
    <t xml:space="preserve">H # 119-D TARIQ GARDEN NEAR WAPDA TOWN  LAHORE </t>
  </si>
  <si>
    <t>53545/00093/01/2021</t>
  </si>
  <si>
    <t>G4NQALH342058</t>
  </si>
  <si>
    <t>NNAQL51AZKP508650</t>
  </si>
  <si>
    <t>POALHR300060952</t>
  </si>
  <si>
    <t>9976AP1220310029</t>
  </si>
  <si>
    <t>ZOHAIB ALTAF</t>
  </si>
  <si>
    <t>35202-8414009-1</t>
  </si>
  <si>
    <t>03104949927</t>
  </si>
  <si>
    <t xml:space="preserve">OPPOSITE LMDC ADJACENT SHOUKAT KHAN AM LABS MAIN CANAL ROAD LAHORE </t>
  </si>
  <si>
    <t>57872/00184/01/2022</t>
  </si>
  <si>
    <t>PK10K131247</t>
  </si>
  <si>
    <t>10031255</t>
  </si>
  <si>
    <t>LEC-18A-2983</t>
  </si>
  <si>
    <t>SUZUKI CULTUS VXR EURO-II</t>
  </si>
  <si>
    <t>OLULHR300083602</t>
  </si>
  <si>
    <t>DIB0033300</t>
  </si>
  <si>
    <t>26-JAN-2022</t>
  </si>
  <si>
    <t>9976AP2220670004</t>
  </si>
  <si>
    <t>ASHAR ALI QADRI</t>
  </si>
  <si>
    <t>42101-7902398-9</t>
  </si>
  <si>
    <t>03002412193</t>
  </si>
  <si>
    <t xml:space="preserve">HOUSE A 122 BLOCK 12 SINDH BALOCH COPRATING SPCIETY GULISTAN E JOHAR KARACHI </t>
  </si>
  <si>
    <t>59294/00030/03/2022</t>
  </si>
  <si>
    <t>R18Z16918978</t>
  </si>
  <si>
    <t>NFBFC666XMR071122</t>
  </si>
  <si>
    <t>BTY-801</t>
  </si>
  <si>
    <t>HONDA CIVIC 1.8 L ORIEL</t>
  </si>
  <si>
    <t>OLUKHI300085123</t>
  </si>
  <si>
    <t>DIB0033739</t>
  </si>
  <si>
    <t>9976AP1220290007</t>
  </si>
  <si>
    <t>ZAIN UL ABIDEEN</t>
  </si>
  <si>
    <t>35200-1460618-1</t>
  </si>
  <si>
    <t>03214353726</t>
  </si>
  <si>
    <t xml:space="preserve">12 ASKARI BANK TUFAIL ROAD LAHORE C ANTT NEAR GIRJA CHOWK LAHORE </t>
  </si>
  <si>
    <t>57872/00186/01/2022</t>
  </si>
  <si>
    <t>686394</t>
  </si>
  <si>
    <t>01229415</t>
  </si>
  <si>
    <t>LED-17-6403</t>
  </si>
  <si>
    <t>SUZUKI MEHRAN VXR EURO II</t>
  </si>
  <si>
    <t>OLULHR300083584</t>
  </si>
  <si>
    <t>DIB0033297</t>
  </si>
  <si>
    <t>9976AP2240640001</t>
  </si>
  <si>
    <t>SHEIKH MUHAMMAD ASIF</t>
  </si>
  <si>
    <t>33202-8946105-5</t>
  </si>
  <si>
    <t>041-8520585</t>
  </si>
  <si>
    <t>0300-7501252</t>
  </si>
  <si>
    <t>041-2540741</t>
  </si>
  <si>
    <t xml:space="preserve">H NO P-05 NOORANI BLOCK, USMAN CHOWK, KHYABAN COLONY NO 2, FAISALABAD </t>
  </si>
  <si>
    <t>84828/00002/03/2024</t>
  </si>
  <si>
    <t>Z574584</t>
  </si>
  <si>
    <t>R-4199100</t>
  </si>
  <si>
    <t>AQA-608</t>
  </si>
  <si>
    <t>TOYOTA COROLLA GLI M/T</t>
  </si>
  <si>
    <t>11-MAR-2024</t>
  </si>
  <si>
    <t>OLUFSD300099469</t>
  </si>
  <si>
    <t>10995/03/2024/ITFM</t>
  </si>
  <si>
    <t>04-MAR-2024</t>
  </si>
  <si>
    <t>9976AP1220270064</t>
  </si>
  <si>
    <t>SAJIDA IRFAN</t>
  </si>
  <si>
    <t>35201-1474657-6</t>
  </si>
  <si>
    <t>0426675543</t>
  </si>
  <si>
    <t>0300-4475543</t>
  </si>
  <si>
    <t>042-9220649</t>
  </si>
  <si>
    <t xml:space="preserve">25/7 - A BLOCK KHICHI STREET AL FAISAL TOWN GHAZI ROAD LAHORE CANTT LAHORE </t>
  </si>
  <si>
    <t>57872/00169/01/2022</t>
  </si>
  <si>
    <t>18Z13742698</t>
  </si>
  <si>
    <t>NFBFB2667ER116725</t>
  </si>
  <si>
    <t>LEA-14-894</t>
  </si>
  <si>
    <t>OLULHR300083532</t>
  </si>
  <si>
    <t>DIB0033272</t>
  </si>
  <si>
    <t>997APD1200690004</t>
  </si>
  <si>
    <t>AMMAR KALEEM</t>
  </si>
  <si>
    <t>42201-0308210-5</t>
  </si>
  <si>
    <t>03323037041</t>
  </si>
  <si>
    <t xml:space="preserve">HOUSE # 1/66 COMMERCIAL AREA # 02 CHOWRANGI SHAH FAISAL COLONY # 01 NEAR SHAMA SHOPPING MALL KARACHI PAKISTAN </t>
  </si>
  <si>
    <t>51999/00010/03/2020</t>
  </si>
  <si>
    <t>157503</t>
  </si>
  <si>
    <t>10057513</t>
  </si>
  <si>
    <t>BRR-316</t>
  </si>
  <si>
    <t>PODKHI300053581</t>
  </si>
  <si>
    <t>DIB0028242</t>
  </si>
  <si>
    <t>06-MAR-2020</t>
  </si>
  <si>
    <t>9976AP2220260018</t>
  </si>
  <si>
    <t>TOUSIF ASHRAF</t>
  </si>
  <si>
    <t>34101-5574824-5</t>
  </si>
  <si>
    <t>03002037370</t>
  </si>
  <si>
    <t xml:space="preserve">H NO 105 BLOCK D PHASE II GARDEN TO WN GUJRANWALA PK </t>
  </si>
  <si>
    <t>57872/00172/01/2022</t>
  </si>
  <si>
    <t>228737</t>
  </si>
  <si>
    <t>10128720</t>
  </si>
  <si>
    <t>SUZUKI WAGONR VXL</t>
  </si>
  <si>
    <t>OLDGWL300083483</t>
  </si>
  <si>
    <t>DIB0033271</t>
  </si>
  <si>
    <t>25-JAN-2022</t>
  </si>
  <si>
    <t>9976AP2220290036</t>
  </si>
  <si>
    <t>SALMAN AKBAR</t>
  </si>
  <si>
    <t>35202-8659643-9</t>
  </si>
  <si>
    <t>03314721741</t>
  </si>
  <si>
    <t xml:space="preserve">HOUSE NO 100 ISLAM BLOCK MOHALLAH A ZAM GARDEN MULTAN ROAD LAHORE PK </t>
  </si>
  <si>
    <t>DIB/T/35306/LHR/0122</t>
  </si>
  <si>
    <t>208851</t>
  </si>
  <si>
    <t>1108860</t>
  </si>
  <si>
    <t>OLDLHR300083553</t>
  </si>
  <si>
    <t>TDIDIB0030008</t>
  </si>
  <si>
    <t>9976AP2220310063</t>
  </si>
  <si>
    <t>ADNAN RAFIQ</t>
  </si>
  <si>
    <t>33100-1785661-9</t>
  </si>
  <si>
    <t>03006648035</t>
  </si>
  <si>
    <t>03006648035, 03006648035</t>
  </si>
  <si>
    <t xml:space="preserve">H NO 229 BAZAR NO 02 ST NO 05 D BL OCK GM ABAD FSD FAISALABAD PK </t>
  </si>
  <si>
    <t>57872/00237/01/2022</t>
  </si>
  <si>
    <t>115200</t>
  </si>
  <si>
    <t>10015203</t>
  </si>
  <si>
    <t>LEF-16-4325</t>
  </si>
  <si>
    <t>OLUFSD300083762</t>
  </si>
  <si>
    <t>6198/01/2022</t>
  </si>
  <si>
    <t>9976AD1203520036</t>
  </si>
  <si>
    <t>JUNAID ISMAIL</t>
  </si>
  <si>
    <t>42201-6732390-3</t>
  </si>
  <si>
    <t xml:space="preserve">H # A- 234 WORK CO OPERATIVE HOUSIN G SOCIETY GULISTAN-E- JOUHAR IBRAHI KARACHI PK </t>
  </si>
  <si>
    <t>53545/00080/01/2021</t>
  </si>
  <si>
    <t>2A16785</t>
  </si>
  <si>
    <t>NSP151R-9506812</t>
  </si>
  <si>
    <t>27-JAN-2021</t>
  </si>
  <si>
    <t>POAKHI300064021</t>
  </si>
  <si>
    <t>4099/01/2021/ITFM</t>
  </si>
  <si>
    <t>997APD1200220008</t>
  </si>
  <si>
    <t>MUHAMMAD HASSAN JAVED</t>
  </si>
  <si>
    <t>35202-9084610-5</t>
  </si>
  <si>
    <t>03464400298</t>
  </si>
  <si>
    <t xml:space="preserve">HOUSE NO 10-G STREET NO 12 BLOCK-BEDEN VALUE HOMES MULTAN ROAD LAHORE </t>
  </si>
  <si>
    <t>51671/00014/01/2020</t>
  </si>
  <si>
    <t>130465</t>
  </si>
  <si>
    <t>1030440</t>
  </si>
  <si>
    <t>LEA-20-2051</t>
  </si>
  <si>
    <t>ALTO VXR EURO II</t>
  </si>
  <si>
    <t>21-JAN-2020</t>
  </si>
  <si>
    <t>PODLHR300052802</t>
  </si>
  <si>
    <t>2260/01/2020/ITFM</t>
  </si>
  <si>
    <t>9976AP1220210008</t>
  </si>
  <si>
    <t>ZEESHAN HAIDER</t>
  </si>
  <si>
    <t>42401-0568046-7</t>
  </si>
  <si>
    <t>03212795108</t>
  </si>
  <si>
    <t xml:space="preserve">HOUSE # B-275 STREET # 32 SHAH FAIS AL MUHALLAH SECTOR 7 F BALOCH GOTH KARACHI PK </t>
  </si>
  <si>
    <t>57872/00137/01/2022</t>
  </si>
  <si>
    <t>157535</t>
  </si>
  <si>
    <t>10057558</t>
  </si>
  <si>
    <t>21-JAN-2022</t>
  </si>
  <si>
    <t>OLUKHI300083359</t>
  </si>
  <si>
    <t>DIB0033233</t>
  </si>
  <si>
    <t>9976AP1220210001</t>
  </si>
  <si>
    <t>AHAD ALI</t>
  </si>
  <si>
    <t>42501-6464676-5</t>
  </si>
  <si>
    <t>03335415376</t>
  </si>
  <si>
    <t>0512104777</t>
  </si>
  <si>
    <t xml:space="preserve">HOUSE # 382 AMEER MILAT ROAD MAIN D OUBLE ROAD SECTOR E11/1 ISLAMABAD PK </t>
  </si>
  <si>
    <t>57872/00126/01/2022</t>
  </si>
  <si>
    <t>119532</t>
  </si>
  <si>
    <t>1019756</t>
  </si>
  <si>
    <t>APK-988</t>
  </si>
  <si>
    <t>SUZUKI ALTO VXL AGS EURO II</t>
  </si>
  <si>
    <t>OLUISD300083342</t>
  </si>
  <si>
    <t>6135/01/2022</t>
  </si>
  <si>
    <t>9976AD1213640072</t>
  </si>
  <si>
    <t>SYED SUMAIR ALI</t>
  </si>
  <si>
    <t>42101-5424763-3</t>
  </si>
  <si>
    <t>03362000050</t>
  </si>
  <si>
    <t>0515732598</t>
  </si>
  <si>
    <t xml:space="preserve">HOUSE NO 354 STREET NO 50 SAFARI HOMES SEC F BAHRIA TOWN PHASE 8 RAWALPINDI </t>
  </si>
  <si>
    <t>57872/00122/01/2022</t>
  </si>
  <si>
    <t>6931144</t>
  </si>
  <si>
    <t>083713</t>
  </si>
  <si>
    <t>OLAISD300082681</t>
  </si>
  <si>
    <t>DIB0033215</t>
  </si>
  <si>
    <t>20-JAN-2022</t>
  </si>
  <si>
    <t>9976AD2213010004</t>
  </si>
  <si>
    <t>MUHAMMAD YAQOOB</t>
  </si>
  <si>
    <t>Taxila</t>
  </si>
  <si>
    <t>34101-0954705-9</t>
  </si>
  <si>
    <t>03005122854</t>
  </si>
  <si>
    <t xml:space="preserve">H # 10 PHASE 1 LANE 1 KOHSAR COLONY CANTT TAXILA PK </t>
  </si>
  <si>
    <t>57872/00121/01/2022</t>
  </si>
  <si>
    <t>14807767</t>
  </si>
  <si>
    <t>024429</t>
  </si>
  <si>
    <t>HONDA BRV I VTEC S</t>
  </si>
  <si>
    <t>OLATAX300076972</t>
  </si>
  <si>
    <t>DIB0033211</t>
  </si>
  <si>
    <t>9976AP1220290012</t>
  </si>
  <si>
    <t>RAHEELA GHULAM RASOOL</t>
  </si>
  <si>
    <t>41302-6551532-0</t>
  </si>
  <si>
    <t>0315-0003571</t>
  </si>
  <si>
    <t xml:space="preserve">FL# 16 ZAIN UL ABDEEN HEIGHT SAKHI PIR ROAD NEAR AL NOOR WOOD SHOP HYDERABAD PAKISTAN </t>
  </si>
  <si>
    <t>57872/00106/01/2022</t>
  </si>
  <si>
    <t>139089</t>
  </si>
  <si>
    <t>1039078</t>
  </si>
  <si>
    <t>BSR-784</t>
  </si>
  <si>
    <t>SUZUKI ALTO VX EURO II</t>
  </si>
  <si>
    <t>OLUHYD300083239</t>
  </si>
  <si>
    <t>6133/01/2022</t>
  </si>
  <si>
    <t>18-JAN-2022</t>
  </si>
  <si>
    <t>9976AP1220190038</t>
  </si>
  <si>
    <t>SARA TARIQ</t>
  </si>
  <si>
    <t>82101-3377234-4</t>
  </si>
  <si>
    <t>03245483576</t>
  </si>
  <si>
    <t xml:space="preserve">H # 1191 ST # 33 ADYALA ROAD SECTOR 2 GULSHANABAD RAWALPINDI PK </t>
  </si>
  <si>
    <t>57872/00104/01/2022</t>
  </si>
  <si>
    <t>162307</t>
  </si>
  <si>
    <t>1062309</t>
  </si>
  <si>
    <t>AUA-739</t>
  </si>
  <si>
    <t>SUZUKI ALTO VXL AGS</t>
  </si>
  <si>
    <t>OLURWP300083255</t>
  </si>
  <si>
    <t>6124/01/2022</t>
  </si>
  <si>
    <t>17-JAN-2022</t>
  </si>
  <si>
    <t>9976AP1220170017</t>
  </si>
  <si>
    <t>SHAHBAZ RASHEED</t>
  </si>
  <si>
    <t>31103-7796001-9</t>
  </si>
  <si>
    <t>03034960809</t>
  </si>
  <si>
    <t xml:space="preserve">HOUSE NO 9 STREET NO 1 RAJPOOT PARK SHADBAGH NEAR KOH-E-NOOR MARRIAGE LAHORE PK </t>
  </si>
  <si>
    <t>57872/00080/01/2022</t>
  </si>
  <si>
    <t>G4NALU071294</t>
  </si>
  <si>
    <t>PMHJ2813SMN201893</t>
  </si>
  <si>
    <t>ACQ-404</t>
  </si>
  <si>
    <t>HYUNDAI TUCSON AWD</t>
  </si>
  <si>
    <t>OLULHR300083163</t>
  </si>
  <si>
    <t>6100/01/2022</t>
  </si>
  <si>
    <t>13-JAN-2022</t>
  </si>
  <si>
    <t>9976AP2220130003</t>
  </si>
  <si>
    <t>WASEEM ANWAR KHAN</t>
  </si>
  <si>
    <t>42301-3332254-3</t>
  </si>
  <si>
    <t>03112935507</t>
  </si>
  <si>
    <t xml:space="preserve">HOUSE 546 BLOCK AI P- 32 42 POLICE HEAD QUARTER SOUTH GARDEN BILAL MAS KARACHI PK </t>
  </si>
  <si>
    <t>57872/00045/01/2022</t>
  </si>
  <si>
    <t>118882</t>
  </si>
  <si>
    <t>1018891</t>
  </si>
  <si>
    <t>BRF-224</t>
  </si>
  <si>
    <t>SUZUKI ALTO VXL AGS EURO-II</t>
  </si>
  <si>
    <t>OLUKHI300083034</t>
  </si>
  <si>
    <t>DIB0033125</t>
  </si>
  <si>
    <t>12-JAN-2022</t>
  </si>
  <si>
    <t>9976AD1240170001</t>
  </si>
  <si>
    <t>MUHAMMAD WASEEM</t>
  </si>
  <si>
    <t>13101-3784945-5</t>
  </si>
  <si>
    <t>03002077156</t>
  </si>
  <si>
    <t>03002077156, 03002077156</t>
  </si>
  <si>
    <t xml:space="preserve">HOUSE # FAISAL PLAZA FLAT NO 64 IB N-E-SINIA LINE SADDAR NEAR OPP CHIP KARACHI PK </t>
  </si>
  <si>
    <t>84828/00005/03/2024</t>
  </si>
  <si>
    <t>1018533</t>
  </si>
  <si>
    <t>201246</t>
  </si>
  <si>
    <t>SUZUKI SWIFT GLX</t>
  </si>
  <si>
    <t>2024</t>
  </si>
  <si>
    <t>OLAKHI300099016</t>
  </si>
  <si>
    <t>10885/02/2024/ITFM</t>
  </si>
  <si>
    <t>13-FEB-2024</t>
  </si>
  <si>
    <t>9976AP2220200021</t>
  </si>
  <si>
    <t>RAHEEM GUL</t>
  </si>
  <si>
    <t>42501-7013551-1</t>
  </si>
  <si>
    <t>03492039638</t>
  </si>
  <si>
    <t xml:space="preserve">HOUSE NO R- 30 MASARAH COLONY F AR EA LANDHI KARACHI PK </t>
  </si>
  <si>
    <t>57872/00041/01/2022</t>
  </si>
  <si>
    <t>R18Z12912362</t>
  </si>
  <si>
    <t>NFBFC666HR015605</t>
  </si>
  <si>
    <t>BXX-011</t>
  </si>
  <si>
    <t>OLUKHI300082998</t>
  </si>
  <si>
    <t>DIB0033228</t>
  </si>
  <si>
    <t>9976AD2213630020</t>
  </si>
  <si>
    <t>KHADIM HUSSAIN</t>
  </si>
  <si>
    <t>37405-5805363-7</t>
  </si>
  <si>
    <t>0333-5345467</t>
  </si>
  <si>
    <t>051-5450930</t>
  </si>
  <si>
    <t xml:space="preserve">H # 47 STREET # 2 MISRIYAL ROAD HUSSAIN ABAD RAWALPINDI </t>
  </si>
  <si>
    <t>57872/00016/01/2022</t>
  </si>
  <si>
    <t>1019270</t>
  </si>
  <si>
    <t>01135779</t>
  </si>
  <si>
    <t>SUZUKI BOLAN VX EURO II</t>
  </si>
  <si>
    <t>OLARWP300082623</t>
  </si>
  <si>
    <t>6075/01/2022</t>
  </si>
  <si>
    <t>9976AD1203440004</t>
  </si>
  <si>
    <t>SHAHMEER AHMED KHAN</t>
  </si>
  <si>
    <t>42101-6172647-5</t>
  </si>
  <si>
    <t xml:space="preserve">R- 53 GROUND FLOOR SECTER 5-A /2 NO RTH KHI 4K CHOWRANGI  KARACHI </t>
  </si>
  <si>
    <t>53545/00012/01/2021</t>
  </si>
  <si>
    <t>POAKHI300063621</t>
  </si>
  <si>
    <t>3985/01/2021/ITFM</t>
  </si>
  <si>
    <t>997APD1202410013</t>
  </si>
  <si>
    <t>ZAHID SHAHZAD</t>
  </si>
  <si>
    <t>35202-2406557-3</t>
  </si>
  <si>
    <t>03218493131</t>
  </si>
  <si>
    <t>04235762275, 03218493131</t>
  </si>
  <si>
    <t>04235762275</t>
  </si>
  <si>
    <t xml:space="preserve">PHASE 2 LALAZAR JUDITIONAL CO-OPERA TIVE HOUSING SOCIETY HOUSE NO 87-B LAHORE </t>
  </si>
  <si>
    <t>51873/00018/02/2020</t>
  </si>
  <si>
    <t>R18Z12929333</t>
  </si>
  <si>
    <t>NFBFC6663JR032691</t>
  </si>
  <si>
    <t>AHV-031</t>
  </si>
  <si>
    <t>HONDA CIVIC IVTEC ORIEL P/T</t>
  </si>
  <si>
    <t>27-FEB-2021</t>
  </si>
  <si>
    <t>27-Oct-2026</t>
  </si>
  <si>
    <t>POULHR300043480</t>
  </si>
  <si>
    <t>2451/02/2020/ITFM</t>
  </si>
  <si>
    <t>997APD1200600031</t>
  </si>
  <si>
    <t>997APD2200600029</t>
  </si>
  <si>
    <t>MAH</t>
  </si>
  <si>
    <t>42201-4034099-8</t>
  </si>
  <si>
    <t xml:space="preserve">TELENOR MICROFINANCE BANK, KORANGI NO. 1, MAIN KORANGI ROAD KARACHI. PAKISTAN. </t>
  </si>
  <si>
    <t>51873/00067/02/2020</t>
  </si>
  <si>
    <t>951953</t>
  </si>
  <si>
    <t>1068469</t>
  </si>
  <si>
    <t>CW-4655</t>
  </si>
  <si>
    <t>BOLAN VX EURO II</t>
  </si>
  <si>
    <t>03-Mar-2027</t>
  </si>
  <si>
    <t>POUKHI300053517</t>
  </si>
  <si>
    <t>2489/02/2020</t>
  </si>
  <si>
    <t>9976AP1210580065</t>
  </si>
  <si>
    <t>MUHAMMAD MOAZZAM</t>
  </si>
  <si>
    <t>35202-5186391-5</t>
  </si>
  <si>
    <t>03217269055</t>
  </si>
  <si>
    <t xml:space="preserve">52/3-G LIBERTY PLAZA GULBERG III LAHORE </t>
  </si>
  <si>
    <t>L13Z17440779</t>
  </si>
  <si>
    <t>NFBGM1545GR180841</t>
  </si>
  <si>
    <t>LEC-16-3736</t>
  </si>
  <si>
    <t>CITY I-VTEC M/T</t>
  </si>
  <si>
    <t>27-Feb-2026</t>
  </si>
  <si>
    <t>OLULHR300066464</t>
  </si>
  <si>
    <t>DIB0029724</t>
  </si>
  <si>
    <t>SUBS</t>
  </si>
  <si>
    <t>9976AP2210580038</t>
  </si>
  <si>
    <t>MAZHAR</t>
  </si>
  <si>
    <t>35202-2807573-7</t>
  </si>
  <si>
    <t xml:space="preserve">6-KM PAKPATTAN ROAD NEAR ENGRO FOOD SAHIWAL. </t>
  </si>
  <si>
    <t>R18Z12944845</t>
  </si>
  <si>
    <t>NFBFC6667JR048229</t>
  </si>
  <si>
    <t>ALE-095</t>
  </si>
  <si>
    <t>CIVIC VTI ORILE P/T</t>
  </si>
  <si>
    <t>OLULHR300066470</t>
  </si>
  <si>
    <t>DIB0029725</t>
  </si>
  <si>
    <t>9976AD1212740170</t>
  </si>
  <si>
    <t>MUHAMMAD IQBAL</t>
  </si>
  <si>
    <t>33100-7421490-9</t>
  </si>
  <si>
    <t>03008686581</t>
  </si>
  <si>
    <t>03008683581, 03008683581</t>
  </si>
  <si>
    <t>0418812010</t>
  </si>
  <si>
    <t xml:space="preserve">P-59 BLOCK BILAL TOWN GULISTAN ALI FSD NEAR FAISALABAD PK </t>
  </si>
  <si>
    <t>59294/00002/03/2022</t>
  </si>
  <si>
    <t>230601</t>
  </si>
  <si>
    <t>10130622</t>
  </si>
  <si>
    <t>11-Mar-2028</t>
  </si>
  <si>
    <t>OLAFSD300074520</t>
  </si>
  <si>
    <t>DIB0033684</t>
  </si>
  <si>
    <t>01-MAR-2022</t>
  </si>
  <si>
    <t>9976AP1210580078</t>
  </si>
  <si>
    <t>IMRAN BAIG</t>
  </si>
  <si>
    <t>33100-0989214-5</t>
  </si>
  <si>
    <t>03226995023</t>
  </si>
  <si>
    <t>03226995023, 03226995023</t>
  </si>
  <si>
    <t xml:space="preserve">H # 603 ST NO 8 MOHALLA NOORPURA SA TYANA ROAD FAISALABAD PK </t>
  </si>
  <si>
    <t>158140</t>
  </si>
  <si>
    <t>1058101</t>
  </si>
  <si>
    <t>OLDFSD300066463</t>
  </si>
  <si>
    <t>DIB0029721</t>
  </si>
  <si>
    <t>9976AP1220590054</t>
  </si>
  <si>
    <t>MUHAMMAD SAQIB KHURSHEED</t>
  </si>
  <si>
    <t>42101-8769757-7</t>
  </si>
  <si>
    <t>03471255229</t>
  </si>
  <si>
    <t xml:space="preserve">FLAT NO B 305 AL AMNA AVENUE SECTOR 7D 1 NORTH KARACHI KARACHI </t>
  </si>
  <si>
    <t>58470/00317/02/2022</t>
  </si>
  <si>
    <t>561055</t>
  </si>
  <si>
    <t>4186349</t>
  </si>
  <si>
    <t>BTD-094</t>
  </si>
  <si>
    <t>OLUKHI300084856</t>
  </si>
  <si>
    <t>6501/02/2022</t>
  </si>
  <si>
    <t>9976AP1240600004</t>
  </si>
  <si>
    <t>ANJUM SAEED</t>
  </si>
  <si>
    <t>33100-3487954-9</t>
  </si>
  <si>
    <t>03007604290</t>
  </si>
  <si>
    <t xml:space="preserve">HOUSE NO. 81-B MOHLLA GULISTAN COLONY NO.1, FAISALABAD </t>
  </si>
  <si>
    <t>83427/00011/02/2024</t>
  </si>
  <si>
    <t>129075</t>
  </si>
  <si>
    <t>10029185</t>
  </si>
  <si>
    <t>LEB-18A-4802</t>
  </si>
  <si>
    <t>03-MAR-2024</t>
  </si>
  <si>
    <t>03-Mar-2028</t>
  </si>
  <si>
    <t>OLUFSD300099418</t>
  </si>
  <si>
    <t>10959/02/2024/ITFM</t>
  </si>
  <si>
    <t>28-FEB-2024</t>
  </si>
  <si>
    <t>9976AP1240600003</t>
  </si>
  <si>
    <t>SUFYAN MEHMOOD</t>
  </si>
  <si>
    <t>33100-7646439-1</t>
  </si>
  <si>
    <t>03018551314</t>
  </si>
  <si>
    <t>03018551314, 03018551314</t>
  </si>
  <si>
    <t>0412651314</t>
  </si>
  <si>
    <t xml:space="preserve">H NO P-16/11 BUTT STREET MUHAMMADI COLONY FAISALABAD PK </t>
  </si>
  <si>
    <t>83427/00012/02/2024</t>
  </si>
  <si>
    <t>1018817</t>
  </si>
  <si>
    <t>00201480</t>
  </si>
  <si>
    <t>03-Mar-2026</t>
  </si>
  <si>
    <t>OLDFSD300099423</t>
  </si>
  <si>
    <t>10962/02/2024/ITFM</t>
  </si>
  <si>
    <t>9976AP2240600003</t>
  </si>
  <si>
    <t>JAHANZAIB AMJAD</t>
  </si>
  <si>
    <t>33102-3066376-5</t>
  </si>
  <si>
    <t>03007608066</t>
  </si>
  <si>
    <t>03007608066, 03007608066</t>
  </si>
  <si>
    <t xml:space="preserve">H NO 48 RAVI GARDEN SATYANA ROAD FS D FAISALABAD PK </t>
  </si>
  <si>
    <t>83427/00013/02/2024</t>
  </si>
  <si>
    <t>6R298106</t>
  </si>
  <si>
    <t>1198103</t>
  </si>
  <si>
    <t>03-Mar-2029</t>
  </si>
  <si>
    <t>OLDFSD300099425</t>
  </si>
  <si>
    <t>10968/02/2024/ITFM</t>
  </si>
  <si>
    <t>29-FEB-2024</t>
  </si>
  <si>
    <t>9976AD2213500005</t>
  </si>
  <si>
    <t>NABEELA ASID</t>
  </si>
  <si>
    <t>33100-0910262-0</t>
  </si>
  <si>
    <t>03216683072</t>
  </si>
  <si>
    <t>03216683072, 03216683072</t>
  </si>
  <si>
    <t xml:space="preserve">P-237 F BLOCK CANAL ROAD WAPDA CITY FSD NEAR DUBAI ISLAMIC BANK FAISALABAD PK </t>
  </si>
  <si>
    <t>59294/00042/03/2022</t>
  </si>
  <si>
    <t>8607607W</t>
  </si>
  <si>
    <t>03675</t>
  </si>
  <si>
    <t>PRINCE PRINCE PEARL</t>
  </si>
  <si>
    <t>16-DEC-2021</t>
  </si>
  <si>
    <t>OLAFSD300081912</t>
  </si>
  <si>
    <t>DIB0033753</t>
  </si>
  <si>
    <t>9976AP1240600015</t>
  </si>
  <si>
    <t>AMIR SHAHZAD</t>
  </si>
  <si>
    <t>33102-6632677-9</t>
  </si>
  <si>
    <t>03214208928</t>
  </si>
  <si>
    <t xml:space="preserve">SHOP NO 1751, AL-MADINA COMMERCIAL MARKET, OPP GANESH MILLS FAISALABAD. 0321 4208928 </t>
  </si>
  <si>
    <t>83427/00016/02/2024</t>
  </si>
  <si>
    <t>6R300185</t>
  </si>
  <si>
    <t>1200241</t>
  </si>
  <si>
    <t>OLDFSD300099445</t>
  </si>
  <si>
    <t>10977/02/2024/ITFM</t>
  </si>
  <si>
    <t>9976AD1212940022</t>
  </si>
  <si>
    <t>ASAD AHMED KHAN</t>
  </si>
  <si>
    <t>61101-5729602-9</t>
  </si>
  <si>
    <t>03209112628</t>
  </si>
  <si>
    <t>0514907706</t>
  </si>
  <si>
    <t xml:space="preserve">H # 158 ST # 2 KHAYAM TOWER NEAR KA SHMIR HIGHWAY NEAR BLESSING TOWER ISLAMABAD PK </t>
  </si>
  <si>
    <t>59294/00037/03/2022</t>
  </si>
  <si>
    <t>216091</t>
  </si>
  <si>
    <t>1116083</t>
  </si>
  <si>
    <t>OLAISD300075716</t>
  </si>
  <si>
    <t>DIB0033747</t>
  </si>
  <si>
    <t>9976AP2220740023</t>
  </si>
  <si>
    <t>ZAWAIB ASHFAQ</t>
  </si>
  <si>
    <t>35202-4632465-5</t>
  </si>
  <si>
    <t>03334340496</t>
  </si>
  <si>
    <t xml:space="preserve">22-KM FEROZPUR ROAD 3.8-KM ROOHI NA LA MOZA KACHA TIBBA LAHORE </t>
  </si>
  <si>
    <t>59294/00041/03/2022</t>
  </si>
  <si>
    <t>HJ300560</t>
  </si>
  <si>
    <t>18002191</t>
  </si>
  <si>
    <t>AQS-852</t>
  </si>
  <si>
    <t>FAW-V2</t>
  </si>
  <si>
    <t>15-MAR-2022</t>
  </si>
  <si>
    <t>OLULHR300085262</t>
  </si>
  <si>
    <t>DIB0033751</t>
  </si>
  <si>
    <t>9976AP1240600016</t>
  </si>
  <si>
    <t>SAJID MUNIR</t>
  </si>
  <si>
    <t>33201-7065394-5</t>
  </si>
  <si>
    <t>03336512525</t>
  </si>
  <si>
    <t>03100000029, 03336512525</t>
  </si>
  <si>
    <t>03100000029</t>
  </si>
  <si>
    <t xml:space="preserve">2146 BLOCK K MOHALLA GULISTAN COLON Y FSD FAISALABAD PK </t>
  </si>
  <si>
    <t>83427/00015/02/2024</t>
  </si>
  <si>
    <t>6R175524</t>
  </si>
  <si>
    <t>1075496</t>
  </si>
  <si>
    <t>AEG-956</t>
  </si>
  <si>
    <t>OLUFSD300099447</t>
  </si>
  <si>
    <t>10978/02/2024/ITFM</t>
  </si>
  <si>
    <t>9976AD1212700035</t>
  </si>
  <si>
    <t>SAMI ULLAH KHAN</t>
  </si>
  <si>
    <t>35202-2710439-1</t>
  </si>
  <si>
    <t>03244160627</t>
  </si>
  <si>
    <t xml:space="preserve">OFFICE NO 1118 11th FLOOR HIGH Q TO WER JAIL ROAD LAHORE </t>
  </si>
  <si>
    <t>59294/00034/03/2022</t>
  </si>
  <si>
    <t>214290</t>
  </si>
  <si>
    <t>1114310</t>
  </si>
  <si>
    <t>27-SEP-2021</t>
  </si>
  <si>
    <t>OLALHR300073895</t>
  </si>
  <si>
    <t>DIB0033743</t>
  </si>
  <si>
    <t>9976AP1220690016</t>
  </si>
  <si>
    <t>RAJESH KUMAR</t>
  </si>
  <si>
    <t>41507-0385421-7</t>
  </si>
  <si>
    <t>03103730376</t>
  </si>
  <si>
    <t>03103730376, 03241378960</t>
  </si>
  <si>
    <t xml:space="preserve">PLOT # B-31 GULSHAN E ABBAS QASIMAB AD HYDERABAD PK </t>
  </si>
  <si>
    <t>59294/00038/03/2022</t>
  </si>
  <si>
    <t>6R124060</t>
  </si>
  <si>
    <t>1024022</t>
  </si>
  <si>
    <t>10-MAR-2022</t>
  </si>
  <si>
    <t>OLUHYD300085055</t>
  </si>
  <si>
    <t>6537/03/2022</t>
  </si>
  <si>
    <t>9976AP1220690012</t>
  </si>
  <si>
    <t>NAILA ASGHAR</t>
  </si>
  <si>
    <t>42101-4518463-8</t>
  </si>
  <si>
    <t>03312803771</t>
  </si>
  <si>
    <t xml:space="preserve">SF-2, BLOCK 37 SEA VIEW APARTMENT PHASE V DHA KARACHI 0331-2803771 </t>
  </si>
  <si>
    <t>59294/00049/03/2022</t>
  </si>
  <si>
    <t>13047562</t>
  </si>
  <si>
    <t>10047560</t>
  </si>
  <si>
    <t>BQT-612</t>
  </si>
  <si>
    <t>SUZUKI SWIFT A/T</t>
  </si>
  <si>
    <t>OLUKHI300085063</t>
  </si>
  <si>
    <t>DIB0033755</t>
  </si>
  <si>
    <t>09-MAR-2022</t>
  </si>
  <si>
    <t>9976AP2240600007</t>
  </si>
  <si>
    <t>HASSAN JAVED</t>
  </si>
  <si>
    <t>33103-2348315-3</t>
  </si>
  <si>
    <t>03157455895</t>
  </si>
  <si>
    <t xml:space="preserve">H # P-107 MADINA GARDEN SATYNA ROAD FSD 03157455895 </t>
  </si>
  <si>
    <t>83427/00014/02/2024</t>
  </si>
  <si>
    <t>297840</t>
  </si>
  <si>
    <t>1197753</t>
  </si>
  <si>
    <t>SUZUKI ALTO VX</t>
  </si>
  <si>
    <t>OLDFSD300099440</t>
  </si>
  <si>
    <t>10972/02/2024/ITFM</t>
  </si>
  <si>
    <t>9976AP1240600024</t>
  </si>
  <si>
    <t>NAVEED ALAM</t>
  </si>
  <si>
    <t>42201-9203147-1</t>
  </si>
  <si>
    <t>03009262520</t>
  </si>
  <si>
    <t>03009262520, 03009262520</t>
  </si>
  <si>
    <t xml:space="preserve">HOUSE # R-157 AEECHS GUL ESTATE BLO CK 8 GULISTAN-E-JOHAR NEAR FURQAN J KARACHI PK </t>
  </si>
  <si>
    <t>83427/00017/02/2024</t>
  </si>
  <si>
    <t>150357</t>
  </si>
  <si>
    <t>502448</t>
  </si>
  <si>
    <t>BUS-948</t>
  </si>
  <si>
    <t>OLUKHI300099459</t>
  </si>
  <si>
    <t>10994/02/2024/ITFM</t>
  </si>
  <si>
    <t>9976AP1220700020</t>
  </si>
  <si>
    <t>MUHAMMAD ZULLQURNAN SHAHZAD</t>
  </si>
  <si>
    <t>36104-0445323-7</t>
  </si>
  <si>
    <t>03218448125</t>
  </si>
  <si>
    <t xml:space="preserve">HOUSE NO 835-H STREET NO 27 JASMIN BLOCK SECTOR C BAHRIA TOWN LAHORE PK </t>
  </si>
  <si>
    <t>59294/00040/03/2022</t>
  </si>
  <si>
    <t>172113</t>
  </si>
  <si>
    <t>10072117</t>
  </si>
  <si>
    <t>ADP-567</t>
  </si>
  <si>
    <t>SUZUKI CULTUS VXL AGS EURO II</t>
  </si>
  <si>
    <t>OLULHR300085252</t>
  </si>
  <si>
    <t>DIB0033750</t>
  </si>
  <si>
    <t>9976AD1212730086</t>
  </si>
  <si>
    <t>SADIA IJAZ</t>
  </si>
  <si>
    <t>35202-9605424-6</t>
  </si>
  <si>
    <t>03224281312</t>
  </si>
  <si>
    <t>03224281312, 03224281312</t>
  </si>
  <si>
    <t xml:space="preserve">P-90C CITY HOUSABU BAKAR MASJID ING SDARGODHA ROAD FSD FAISALABAD PK </t>
  </si>
  <si>
    <t>59294/00033/03/2022</t>
  </si>
  <si>
    <t>1008958</t>
  </si>
  <si>
    <t>14777</t>
  </si>
  <si>
    <t>HONDA CITY I VTEC PT</t>
  </si>
  <si>
    <t>OLAFSD300074333</t>
  </si>
  <si>
    <t>DIB0033742</t>
  </si>
  <si>
    <t>9976AP2230670004</t>
  </si>
  <si>
    <t>NAZIR HUSSAIN JADRAN</t>
  </si>
  <si>
    <t>33100-1658155-7</t>
  </si>
  <si>
    <t>03006397105</t>
  </si>
  <si>
    <t>03006397105, 03006397105</t>
  </si>
  <si>
    <t xml:space="preserve">ST NO 8 NEAR CHAKI WALA CHOWK JHANG ROAD FSD NEAR NAIMAT ABAD FAISALABAD PK </t>
  </si>
  <si>
    <t>68593/00001/03/2023</t>
  </si>
  <si>
    <t>110878</t>
  </si>
  <si>
    <t>10010862</t>
  </si>
  <si>
    <t>LEB-17A-7690</t>
  </si>
  <si>
    <t>SUZUKI CULTUS VXL EURO-II</t>
  </si>
  <si>
    <t>08-MAR-2023</t>
  </si>
  <si>
    <t>11-MAR-2023</t>
  </si>
  <si>
    <t>OLUFSD300092533</t>
  </si>
  <si>
    <t>10139/03/2023/ITFM</t>
  </si>
  <si>
    <t>9976AP2220600024</t>
  </si>
  <si>
    <t>TANVIR AHMED</t>
  </si>
  <si>
    <t>33102-1802519-9</t>
  </si>
  <si>
    <t>03009659018</t>
  </si>
  <si>
    <t>03009659018, 03009659018</t>
  </si>
  <si>
    <t xml:space="preserve">P-3088 ST NO 3 ROZA PARK MANSOOR AB AD FSD NEAR ABID GENERAL STORE FAISALABAD </t>
  </si>
  <si>
    <t>58470/00329/02/2022</t>
  </si>
  <si>
    <t>128191</t>
  </si>
  <si>
    <t>10028167</t>
  </si>
  <si>
    <t>LEC-17-8617</t>
  </si>
  <si>
    <t>OLUFSD300084973</t>
  </si>
  <si>
    <t>DIB0033679</t>
  </si>
  <si>
    <t>9976AP2220600026</t>
  </si>
  <si>
    <t>TAHIR JAMIL</t>
  </si>
  <si>
    <t>36402-0752859-3</t>
  </si>
  <si>
    <t>03219805978</t>
  </si>
  <si>
    <t xml:space="preserve">HOUSE NO 236-C T AND T AAB PARA SOC IETY RAIWIND ROAD LAHORE PK </t>
  </si>
  <si>
    <t>58470/00313/02/2022</t>
  </si>
  <si>
    <t>2569833</t>
  </si>
  <si>
    <t>4195302</t>
  </si>
  <si>
    <t>LEA-19A-2398</t>
  </si>
  <si>
    <t>OLULHR300084926</t>
  </si>
  <si>
    <t>6497/02/2022</t>
  </si>
  <si>
    <t>9976AP1220600058</t>
  </si>
  <si>
    <t>UZMA DOST MUHAMMAD RAJAR</t>
  </si>
  <si>
    <t>41306-1972820-2</t>
  </si>
  <si>
    <t>03008374117</t>
  </si>
  <si>
    <t xml:space="preserve">BANGLOW NO 72/3 SINDHI MUSLIM HOUSI NG SOCIETY HYDERABAD PK </t>
  </si>
  <si>
    <t>58470/00309/02/2022</t>
  </si>
  <si>
    <t>615B71400715</t>
  </si>
  <si>
    <t>NFBFC1661GR003072</t>
  </si>
  <si>
    <t>BHB-505</t>
  </si>
  <si>
    <t>HONDA CIVIC 1.5 L TURBO</t>
  </si>
  <si>
    <t>OLUHYD300084914</t>
  </si>
  <si>
    <t>6499/02/2022</t>
  </si>
  <si>
    <t>9976AP1220590044</t>
  </si>
  <si>
    <t>HINA ASIM</t>
  </si>
  <si>
    <t>41304-7688742-6</t>
  </si>
  <si>
    <t>03303197579</t>
  </si>
  <si>
    <t xml:space="preserve">HOUSE # 131 BHATTI GOTH PHULELI PAR INDUSTRIAL AREA NEAR NOOR MASJID H HYDERABAD PK </t>
  </si>
  <si>
    <t>58470/00308/02/2022</t>
  </si>
  <si>
    <t>6R135731</t>
  </si>
  <si>
    <t>NF1AET306H1035722</t>
  </si>
  <si>
    <t>BSA-528</t>
  </si>
  <si>
    <t>OLUHYD300084893</t>
  </si>
  <si>
    <t>6500/02/2022</t>
  </si>
  <si>
    <t>9976AP2230590010</t>
  </si>
  <si>
    <t>MARIA NAZEER</t>
  </si>
  <si>
    <t>35202-9984060-2</t>
  </si>
  <si>
    <t>03025554330</t>
  </si>
  <si>
    <t>04235298681</t>
  </si>
  <si>
    <t xml:space="preserve">H NO 334 LINE NO 2 BLOCK P JOHAR TO WN NEAR EMPORIUM MALL LAHORE PK </t>
  </si>
  <si>
    <t>67335/00019/02/2023</t>
  </si>
  <si>
    <t>6R156458</t>
  </si>
  <si>
    <t>1056445</t>
  </si>
  <si>
    <t>ACU-034</t>
  </si>
  <si>
    <t>03-MAR-2023</t>
  </si>
  <si>
    <t>OLULHR300092407</t>
  </si>
  <si>
    <t>10101/02/2023/ITFM</t>
  </si>
  <si>
    <t>28-FEB-2023</t>
  </si>
  <si>
    <t>9976AP1220600067</t>
  </si>
  <si>
    <t>HANNAN ANWAR</t>
  </si>
  <si>
    <t>37405-5597165-5</t>
  </si>
  <si>
    <t>03344486226</t>
  </si>
  <si>
    <t xml:space="preserve">H # 223-Z/9 ABDUL HABIB KHAN ROAD M OHALLAD TARIQABAD LALHURTI RAWALPINDI PK </t>
  </si>
  <si>
    <t>58470/00314/02/2022</t>
  </si>
  <si>
    <t>16912232</t>
  </si>
  <si>
    <t>063920</t>
  </si>
  <si>
    <t>AMC-302</t>
  </si>
  <si>
    <t>OLURWP300084939</t>
  </si>
  <si>
    <t>DIB0033676</t>
  </si>
  <si>
    <t>9976AP1220600081</t>
  </si>
  <si>
    <t>MOHSIN ALI</t>
  </si>
  <si>
    <t>42000-0475027-1</t>
  </si>
  <si>
    <t>03002386965</t>
  </si>
  <si>
    <t>02134312672</t>
  </si>
  <si>
    <t xml:space="preserve">B-21 2ND FLOOR JIWANI APP BUSINESS RECRDER ROAD PLOT # 538/25 OPP MCB KARACHI PK </t>
  </si>
  <si>
    <t>58470/00315/02/2022</t>
  </si>
  <si>
    <t>343493</t>
  </si>
  <si>
    <t>7042673</t>
  </si>
  <si>
    <t>BZB-999</t>
  </si>
  <si>
    <t>OLUKHI300084896</t>
  </si>
  <si>
    <t>6496/02/2022</t>
  </si>
  <si>
    <t>9976AP2220590010</t>
  </si>
  <si>
    <t>NASREEN BIBI</t>
  </si>
  <si>
    <t>31301-1352832-2</t>
  </si>
  <si>
    <t>03461299151</t>
  </si>
  <si>
    <t xml:space="preserve">PLOT # D-67 Q, PHASE 1, SITE 2, SUPER HIGHWAY, KARACHI, PAKISTAN. 0346-1299151 </t>
  </si>
  <si>
    <t>58470/00286/02/2022</t>
  </si>
  <si>
    <t>Q-089294</t>
  </si>
  <si>
    <t>6066893</t>
  </si>
  <si>
    <t>TOYOTA COROLLA ALTIS A/T</t>
  </si>
  <si>
    <t>OLDKHI300084826</t>
  </si>
  <si>
    <t>6479/02/2022</t>
  </si>
  <si>
    <t>9976AP1220590034</t>
  </si>
  <si>
    <t>MUHAMMAD SADIQ JAMANI</t>
  </si>
  <si>
    <t>42201-0784560-1</t>
  </si>
  <si>
    <t>03219900881</t>
  </si>
  <si>
    <t>322702027</t>
  </si>
  <si>
    <t xml:space="preserve">GHADEER ENTERPRISES A-711, 7TH FLOOR , SAIMA TRADE TOWER I.I CHUNDRIGAR ROAD KARACHI </t>
  </si>
  <si>
    <t>58470/00298/02/2022</t>
  </si>
  <si>
    <t>Q-322815</t>
  </si>
  <si>
    <t>7021871</t>
  </si>
  <si>
    <t>BJR-007</t>
  </si>
  <si>
    <t>OLUKHI300084791</t>
  </si>
  <si>
    <t>DIB0033668</t>
  </si>
  <si>
    <t>9976AP1220600087</t>
  </si>
  <si>
    <t>MUHAMMAD HAMZA MALKA</t>
  </si>
  <si>
    <t>42301-3741271-3</t>
  </si>
  <si>
    <t>03000654424</t>
  </si>
  <si>
    <t xml:space="preserve">HOUSE # 3/6 1ST FLOOR KHAY-E-HARAM STREET 1 MOALLIMABAD PECHS BLOCK 3 KARACHI PK </t>
  </si>
  <si>
    <t>58470/00321/02/2022</t>
  </si>
  <si>
    <t>2A01652</t>
  </si>
  <si>
    <t>NSP151R-9501206</t>
  </si>
  <si>
    <t>BRT-816</t>
  </si>
  <si>
    <t>OLUKHI300084851</t>
  </si>
  <si>
    <t>6507/02/2022</t>
  </si>
  <si>
    <t>9976AP1220600064</t>
  </si>
  <si>
    <t>JAMSHAID YOUNAS</t>
  </si>
  <si>
    <t>35202-0885980-7</t>
  </si>
  <si>
    <t>03008081860</t>
  </si>
  <si>
    <t xml:space="preserve">SHOP NO 56-A HAJVERY BLOCK AZAM CLO TH MARKET LAHORE </t>
  </si>
  <si>
    <t>58470/00316/02/2022</t>
  </si>
  <si>
    <t>L13Z17530987</t>
  </si>
  <si>
    <t>NFBGM1646KR249852</t>
  </si>
  <si>
    <t>AND-621</t>
  </si>
  <si>
    <t>HONDA CITY I VTEC P/T</t>
  </si>
  <si>
    <t>OLULHR300084935</t>
  </si>
  <si>
    <t>6505/02/2022</t>
  </si>
  <si>
    <t>9976AP1220600059</t>
  </si>
  <si>
    <t>42501-0961330-9</t>
  </si>
  <si>
    <t>03343343664</t>
  </si>
  <si>
    <t xml:space="preserve">G-1 JANNAT BLESSING UNIT # 9 LATIFA BAD HYDERABAD PK </t>
  </si>
  <si>
    <t>58470/00277/02/2022</t>
  </si>
  <si>
    <t>51004558</t>
  </si>
  <si>
    <t>006241</t>
  </si>
  <si>
    <t>BVF-013</t>
  </si>
  <si>
    <t>HONDA CITY IVTEC 1.2L CVT</t>
  </si>
  <si>
    <t>OLUHYD300084764</t>
  </si>
  <si>
    <t>DIB0033681</t>
  </si>
  <si>
    <t>9976AP1220750037</t>
  </si>
  <si>
    <t>MUHAMMAD RASHID MAJID</t>
  </si>
  <si>
    <t>35201-9580746-1</t>
  </si>
  <si>
    <t>03236311111</t>
  </si>
  <si>
    <t xml:space="preserve">HOUSE NO.18 TEAK WOOD CENTER FLAIMING ROAD GUWALMANDI LAHORE </t>
  </si>
  <si>
    <t>59294/00050/03/2022</t>
  </si>
  <si>
    <t>229683</t>
  </si>
  <si>
    <t>10129680</t>
  </si>
  <si>
    <t>SUZUKI WAGONR VXL AGS</t>
  </si>
  <si>
    <t>16-MAR-2022</t>
  </si>
  <si>
    <t>OLDLHR300085302</t>
  </si>
  <si>
    <t>DIB0033761</t>
  </si>
  <si>
    <t>9976AP2220600029</t>
  </si>
  <si>
    <t>SHAHZADI</t>
  </si>
  <si>
    <t>42501-6513646-6</t>
  </si>
  <si>
    <t>03330128649</t>
  </si>
  <si>
    <t xml:space="preserve">105 2ND FLOOR ROYAL RESIDENCY BLOCK 13-D/2 GULSHAN-E- IQBAL RUFI CENTE KARACHI PK </t>
  </si>
  <si>
    <t>58470/00320/02/2022</t>
  </si>
  <si>
    <t>164089</t>
  </si>
  <si>
    <t>10064090</t>
  </si>
  <si>
    <t>BSV-798</t>
  </si>
  <si>
    <t>SUZUKI CULTUS VXL AGS EURO-II</t>
  </si>
  <si>
    <t>OLUKHI300084951</t>
  </si>
  <si>
    <t>6506/02/2022</t>
  </si>
  <si>
    <t>9976AP2230730005</t>
  </si>
  <si>
    <t>RABEEL ANEES</t>
  </si>
  <si>
    <t>33102-8520261-7</t>
  </si>
  <si>
    <t>03314681597</t>
  </si>
  <si>
    <t xml:space="preserve">P 611SHOP NO 1MAIN GATE JINNAH COLONY FAISALABAD 03314681597 </t>
  </si>
  <si>
    <t>68593/00003/03/2023</t>
  </si>
  <si>
    <t>Z399534</t>
  </si>
  <si>
    <t>4063900</t>
  </si>
  <si>
    <t>LEA-16-6203</t>
  </si>
  <si>
    <t>TOYOTA COROLLA GLI MT</t>
  </si>
  <si>
    <t>14-MAR-2023</t>
  </si>
  <si>
    <t>21-MAR-2023</t>
  </si>
  <si>
    <t>OLUFSD300092575</t>
  </si>
  <si>
    <t>DIB0034938</t>
  </si>
  <si>
    <t>10-MAR-2023</t>
  </si>
  <si>
    <t>9976AP1220690013</t>
  </si>
  <si>
    <t>FAHAD YAR KHAN</t>
  </si>
  <si>
    <t>42201-0542771-1</t>
  </si>
  <si>
    <t>03422161088</t>
  </si>
  <si>
    <t>03323057136, 03422161088</t>
  </si>
  <si>
    <t xml:space="preserve">H.NO. 690 BLOCK 4 SHAH FAISAL COLON Y CHISTIYA MASJID KARACHI KARACHI PK </t>
  </si>
  <si>
    <t>59294/00051/03/2022</t>
  </si>
  <si>
    <t>6R156778</t>
  </si>
  <si>
    <t>1056775</t>
  </si>
  <si>
    <t>BUM-673</t>
  </si>
  <si>
    <t>OLUKHI300085242</t>
  </si>
  <si>
    <t>DIB0033775</t>
  </si>
  <si>
    <t>9976AP1220590046</t>
  </si>
  <si>
    <t>AMAN ULLAH</t>
  </si>
  <si>
    <t>35202-9686790-5</t>
  </si>
  <si>
    <t>03218844188</t>
  </si>
  <si>
    <t xml:space="preserve">SHOP NO 63 ABUBAKAR BLOCK PAKISTAN CLOTH MARKET AZAM MARKET LAHORE </t>
  </si>
  <si>
    <t>58470/00295/02/2022</t>
  </si>
  <si>
    <t>G3LAKP197398</t>
  </si>
  <si>
    <t>NNATA52AZKP701160</t>
  </si>
  <si>
    <t>AAW-335</t>
  </si>
  <si>
    <t>OLULHR300084894</t>
  </si>
  <si>
    <t>DIB0033663</t>
  </si>
  <si>
    <t>9976AP1220600076</t>
  </si>
  <si>
    <t>HASSAAN ZAFAR</t>
  </si>
  <si>
    <t>42201-3377307-5</t>
  </si>
  <si>
    <t>03432673313</t>
  </si>
  <si>
    <t>03432673313, 03432673313</t>
  </si>
  <si>
    <t xml:space="preserve">HOUSE # 9-A STREET 29 BLOCK 2 PECHS NEAR MODEL SCHOOL KARACHI PK </t>
  </si>
  <si>
    <t>58470/00280/02/2022</t>
  </si>
  <si>
    <t>7534330</t>
  </si>
  <si>
    <t>254035</t>
  </si>
  <si>
    <t>BQQ-662</t>
  </si>
  <si>
    <t>HONDA CITY 1-V TECH P/T 1.5 L</t>
  </si>
  <si>
    <t>OLUKHI300084821</t>
  </si>
  <si>
    <t>DIB0033680</t>
  </si>
  <si>
    <t>9976AP1220610091</t>
  </si>
  <si>
    <t>ALI RAZA</t>
  </si>
  <si>
    <t>35202-3913114-9</t>
  </si>
  <si>
    <t>03008491172</t>
  </si>
  <si>
    <t xml:space="preserve">GODOWN NO 76-B SHAREEF GARDEN STREE T NO 2 NEAR ATTOCK PATROL PUMP SALA MAT PURA STOP DAROGHAWALA NEAR ABL LAHORE </t>
  </si>
  <si>
    <t>58470/00281/02/2022</t>
  </si>
  <si>
    <t>153721</t>
  </si>
  <si>
    <t>709182</t>
  </si>
  <si>
    <t>OLDLHR300084801</t>
  </si>
  <si>
    <t>DIB0033644</t>
  </si>
  <si>
    <t>9976AP1220590033</t>
  </si>
  <si>
    <t>TOUHEED AHMED</t>
  </si>
  <si>
    <t>35202-2442732-1</t>
  </si>
  <si>
    <t>03214342612</t>
  </si>
  <si>
    <t xml:space="preserve">SHOP NO 2 BASEMENT ABASSEEN CENTER NAULAKHA TYRE MARKET RAILWAY STATIO N LAHORE </t>
  </si>
  <si>
    <t>58470/00289/02/2022</t>
  </si>
  <si>
    <t>13509295</t>
  </si>
  <si>
    <t>009302</t>
  </si>
  <si>
    <t>LEE-18-1486</t>
  </si>
  <si>
    <t>HONDA BR-V IVTEC -S</t>
  </si>
  <si>
    <t>OLULHR300084842</t>
  </si>
  <si>
    <t>DIB0033659</t>
  </si>
  <si>
    <t>9976AP1220600070</t>
  </si>
  <si>
    <t>BABAR SHAHZAD</t>
  </si>
  <si>
    <t>35202-7951018-1</t>
  </si>
  <si>
    <t>03004841360</t>
  </si>
  <si>
    <t xml:space="preserve">OFFICE NO 02 GROUND FLOOR (RIGHT SI DE) ZAM ZAM PLAZA 84 MCLEOD ROAD LAHORE </t>
  </si>
  <si>
    <t>58470/00278/02/2022</t>
  </si>
  <si>
    <t>230164</t>
  </si>
  <si>
    <t>10130188</t>
  </si>
  <si>
    <t>OLDLHR300084802</t>
  </si>
  <si>
    <t>DIB0033643</t>
  </si>
  <si>
    <t>9976AP1220600069</t>
  </si>
  <si>
    <t>LUTF ULLAH FARID BUTTAR</t>
  </si>
  <si>
    <t>37405-0613605-1</t>
  </si>
  <si>
    <t>03338999990</t>
  </si>
  <si>
    <t>0515574603</t>
  </si>
  <si>
    <t xml:space="preserve">H # 619 ST # 79 SECTOR-III GULABAD ADIYALA ROAD Rawalpindi PK </t>
  </si>
  <si>
    <t>58470/00318/02/2022</t>
  </si>
  <si>
    <t>337451</t>
  </si>
  <si>
    <t>7036572</t>
  </si>
  <si>
    <t>ANK-972</t>
  </si>
  <si>
    <t>TOYOTA COROLLA ALTIS M/T</t>
  </si>
  <si>
    <t>OLURWP300084963</t>
  </si>
  <si>
    <t>DIB0033678</t>
  </si>
  <si>
    <t>9976AP2220590015</t>
  </si>
  <si>
    <t>FAREEHA SAQLAIN</t>
  </si>
  <si>
    <t>35202-4663647-6</t>
  </si>
  <si>
    <t>03354024028</t>
  </si>
  <si>
    <t xml:space="preserve">HOUSE NO 114 BLOCK L JOHAR TOWN LAHORE </t>
  </si>
  <si>
    <t>58470/00288/02/2022</t>
  </si>
  <si>
    <t>18655</t>
  </si>
  <si>
    <t>233939</t>
  </si>
  <si>
    <t>AKZ-961</t>
  </si>
  <si>
    <t>HONDA CITY IVTEC P/T</t>
  </si>
  <si>
    <t>OLULHR300084811</t>
  </si>
  <si>
    <t>DIB0033645</t>
  </si>
  <si>
    <t>9976AP2220590007</t>
  </si>
  <si>
    <t>KHALIDA PERWEEN</t>
  </si>
  <si>
    <t>41304-2228346-0</t>
  </si>
  <si>
    <t>03453569594</t>
  </si>
  <si>
    <t>03453569594, 03453569594</t>
  </si>
  <si>
    <t xml:space="preserve">HOUSE # 616 SHAH NAJAF COLONY UNIT # 5 LATIFABAD HYDERABAD NEAR JHANDA HYDERABAD PK </t>
  </si>
  <si>
    <t>58470/00282/02/2022</t>
  </si>
  <si>
    <t>528871</t>
  </si>
  <si>
    <t>4154782</t>
  </si>
  <si>
    <t>BNK-779</t>
  </si>
  <si>
    <t>TOYOTA COROLLA GLI</t>
  </si>
  <si>
    <t>OLUHYD300084687</t>
  </si>
  <si>
    <t>DIB0033658</t>
  </si>
  <si>
    <t>997APD2200710001</t>
  </si>
  <si>
    <t>MUHAMMAD OWAIS KHAN</t>
  </si>
  <si>
    <t>42101-5107922-7</t>
  </si>
  <si>
    <t>03158501085</t>
  </si>
  <si>
    <t>02135112718</t>
  </si>
  <si>
    <t xml:space="preserve">R-310 SECTOR 14-A SHADMAN TOWN NORT H KARACHI NEAR HYDER FOOD KARACHI PK </t>
  </si>
  <si>
    <t>51999/00018/03/2020</t>
  </si>
  <si>
    <t>J246664</t>
  </si>
  <si>
    <t>1324525</t>
  </si>
  <si>
    <t>BNH-243</t>
  </si>
  <si>
    <t>DAIHATSU MIRA</t>
  </si>
  <si>
    <t>POUKHI300053623</t>
  </si>
  <si>
    <t>DI B0028249</t>
  </si>
  <si>
    <t>10-MAR-2020</t>
  </si>
  <si>
    <t>9976AD2213030007</t>
  </si>
  <si>
    <t>MUHAMMAD IMRAN</t>
  </si>
  <si>
    <t>33100-3204507-7</t>
  </si>
  <si>
    <t>03017094095</t>
  </si>
  <si>
    <t>03017094095, 03017094095</t>
  </si>
  <si>
    <t>0418811798</t>
  </si>
  <si>
    <t xml:space="preserve">P-372-5 TAIBA STREET MOHALLA NASEER ABAD SHEIKHUPURA ROAD FSD FAISALABAD PK </t>
  </si>
  <si>
    <t>59294/00055/03/2022</t>
  </si>
  <si>
    <t>231149</t>
  </si>
  <si>
    <t>10131175</t>
  </si>
  <si>
    <t>30-OCT-2021</t>
  </si>
  <si>
    <t>OLAFSD30077632</t>
  </si>
  <si>
    <t>DIB0033768</t>
  </si>
  <si>
    <t>9976AP1220590042</t>
  </si>
  <si>
    <t>SHAHID HAFEEZ</t>
  </si>
  <si>
    <t>33100-6147875-3</t>
  </si>
  <si>
    <t>03219999986</t>
  </si>
  <si>
    <t>03219999986, 03219999986</t>
  </si>
  <si>
    <t xml:space="preserve">H NO 177 B BLOCK GULISTAN COLONY NO 02 FAISALABAD PK </t>
  </si>
  <si>
    <t>58470/00283/02/2022</t>
  </si>
  <si>
    <t>17501980</t>
  </si>
  <si>
    <t>211821</t>
  </si>
  <si>
    <t>HONDA CITY I-VTEC P/T</t>
  </si>
  <si>
    <t>OLUFSD300084844</t>
  </si>
  <si>
    <t>6470/02/2022</t>
  </si>
  <si>
    <t>9976AD1212880044</t>
  </si>
  <si>
    <t>ZEESHAN HAYDER SHAH</t>
  </si>
  <si>
    <t>33100-8761008-9</t>
  </si>
  <si>
    <t>03316084877</t>
  </si>
  <si>
    <t>03316084877, 03316084877</t>
  </si>
  <si>
    <t>0419220168</t>
  </si>
  <si>
    <t xml:space="preserve">P-456 PEOPLES COLONY NO 2 FSD FAISALABAD PK </t>
  </si>
  <si>
    <t>58294/00054/03/2022</t>
  </si>
  <si>
    <t>216473</t>
  </si>
  <si>
    <t>1116592</t>
  </si>
  <si>
    <t>15-OCT-2021</t>
  </si>
  <si>
    <t>21-Mar-2029</t>
  </si>
  <si>
    <t>OLAFSD300075372</t>
  </si>
  <si>
    <t>DIB0033767</t>
  </si>
  <si>
    <t>9976AP1220730023</t>
  </si>
  <si>
    <t>ABUBAKAR BAJWA</t>
  </si>
  <si>
    <t>Sialkot</t>
  </si>
  <si>
    <t>34603-8279337-1</t>
  </si>
  <si>
    <t>03216829828</t>
  </si>
  <si>
    <t xml:space="preserve">PUNJAB TEMPER SHAHAB PURA DEFENCE ROAD SIALKOT 03216829828 </t>
  </si>
  <si>
    <t>59294/00056/03/2022</t>
  </si>
  <si>
    <t>123443</t>
  </si>
  <si>
    <t>10023416</t>
  </si>
  <si>
    <t>LE-174-5409</t>
  </si>
  <si>
    <t>14-MAR-2022</t>
  </si>
  <si>
    <t>OLUSKT300085442</t>
  </si>
  <si>
    <t>DIB0033770</t>
  </si>
  <si>
    <t>9976AD2213020001</t>
  </si>
  <si>
    <t>MUHAMMAD AKRAM BUTT</t>
  </si>
  <si>
    <t>33100-2180830-1</t>
  </si>
  <si>
    <t>03215353335</t>
  </si>
  <si>
    <t>03215353335, 03215353335</t>
  </si>
  <si>
    <t xml:space="preserve">P-28 ST NO 5 GM ABAD REHMAT TOWN NE AR SITARA CHAPPAL STORE FAISALABAD PK </t>
  </si>
  <si>
    <t>59294/00059/03/2022</t>
  </si>
  <si>
    <t>231037</t>
  </si>
  <si>
    <t>10131047</t>
  </si>
  <si>
    <t>SUZUKI WAGON R</t>
  </si>
  <si>
    <t>29-OCT-2021</t>
  </si>
  <si>
    <t>OLAFSD300077422</t>
  </si>
  <si>
    <t>DIB0033791</t>
  </si>
  <si>
    <t>9976AP2220730015</t>
  </si>
  <si>
    <t>BILAL YOUNAS</t>
  </si>
  <si>
    <t>34101-5894420-3</t>
  </si>
  <si>
    <t>03007450700</t>
  </si>
  <si>
    <t xml:space="preserve">KIPS COLLEGE FOR BOYS OPPOSITE SHAH EENA GUJRANWALA </t>
  </si>
  <si>
    <t>12/P/T111/0004755/0322/01</t>
  </si>
  <si>
    <t>230395</t>
  </si>
  <si>
    <t>10130389</t>
  </si>
  <si>
    <t>OLDGWL300085501</t>
  </si>
  <si>
    <t>DIB0033792</t>
  </si>
  <si>
    <t>CIC-TW</t>
  </si>
  <si>
    <t>9976AD1220240004</t>
  </si>
  <si>
    <t>AYESHA REHMAN</t>
  </si>
  <si>
    <t>37401-4575263-0</t>
  </si>
  <si>
    <t>03315124745</t>
  </si>
  <si>
    <t>03008250083</t>
  </si>
  <si>
    <t>111436111</t>
  </si>
  <si>
    <t xml:space="preserve">GEO PRINTING HOUSE, I.I CHUNDRIGAR ROAD KHI </t>
  </si>
  <si>
    <t>59294/00048/03/2022</t>
  </si>
  <si>
    <t>217010</t>
  </si>
  <si>
    <t>1117021</t>
  </si>
  <si>
    <t>24-JAN-2022</t>
  </si>
  <si>
    <t>21-Mar-2028</t>
  </si>
  <si>
    <t>OLARWP300082492</t>
  </si>
  <si>
    <t>6545/03/2022</t>
  </si>
  <si>
    <t>9976AP1220600062</t>
  </si>
  <si>
    <t>YASIR ALI</t>
  </si>
  <si>
    <t>33100-4913384-5</t>
  </si>
  <si>
    <t>03336589385</t>
  </si>
  <si>
    <t>03336589385, 03336589385</t>
  </si>
  <si>
    <t xml:space="preserve">P-86, RAOID GARDEN, GAREEN TOWN, NL M HASSAN MART FAISALABAD </t>
  </si>
  <si>
    <t>58470/00304/02/2022</t>
  </si>
  <si>
    <t>PK10K160978</t>
  </si>
  <si>
    <t>NF1AVK31H10060983</t>
  </si>
  <si>
    <t>AAQ-894</t>
  </si>
  <si>
    <t>OLUFSD300084907</t>
  </si>
  <si>
    <t>DIB0033665</t>
  </si>
  <si>
    <t>9976AD1213020003</t>
  </si>
  <si>
    <t>ZAIN ALI</t>
  </si>
  <si>
    <t>33102-1932716-9</t>
  </si>
  <si>
    <t>03074845998</t>
  </si>
  <si>
    <t>03074845998, 03074845998</t>
  </si>
  <si>
    <t xml:space="preserve">P-3 ST NO 3 RASHEED ABAD GM ABAD SI DHUPURA FSD FAISALABAD PK </t>
  </si>
  <si>
    <t>59294/00053/03/2022</t>
  </si>
  <si>
    <t>231036</t>
  </si>
  <si>
    <t>10131027</t>
  </si>
  <si>
    <t>OLAFSD300077442</t>
  </si>
  <si>
    <t>DIB0033766</t>
  </si>
  <si>
    <t>9976AP1220600083</t>
  </si>
  <si>
    <t>ASIF ABDUL RASHEED-ASAAN ACCOUNT</t>
  </si>
  <si>
    <t>42101-2369986-1</t>
  </si>
  <si>
    <t>03162015457</t>
  </si>
  <si>
    <t xml:space="preserve">H NO L-472 SECTOR 5-M NORTH KARACHI KARACHI </t>
  </si>
  <si>
    <t>58470/00333/02/2022</t>
  </si>
  <si>
    <t>PK10B114657</t>
  </si>
  <si>
    <t>PK10014659</t>
  </si>
  <si>
    <t>BFT-820</t>
  </si>
  <si>
    <t>SUZUKI WAGNOR VXR</t>
  </si>
  <si>
    <t>OLUKHI300084969</t>
  </si>
  <si>
    <t>6516/02/2022</t>
  </si>
  <si>
    <t>9976AP1212170110</t>
  </si>
  <si>
    <t>RASHID FAYYAZ KHAN - ASAAN</t>
  </si>
  <si>
    <t>42101-1788356-9</t>
  </si>
  <si>
    <t>03218202953</t>
  </si>
  <si>
    <t xml:space="preserve">PLOT NO 40 SECTOR 19 KORANGI INDUSTRIAL AREA KARACHI </t>
  </si>
  <si>
    <t>KHI/HO/D/MO/PC COMP/P/55236/08/2021</t>
  </si>
  <si>
    <t>140806168</t>
  </si>
  <si>
    <t>22847</t>
  </si>
  <si>
    <t>HONDA BRV IVTEC S</t>
  </si>
  <si>
    <t>05-AUG-2021</t>
  </si>
  <si>
    <t>11-AUG-2021</t>
  </si>
  <si>
    <t>11-Aug-2026</t>
  </si>
  <si>
    <t>OLDKHI300071622</t>
  </si>
  <si>
    <t>5265/08/2021</t>
  </si>
  <si>
    <t>04/08/2021</t>
  </si>
  <si>
    <t>9976AD1212420035</t>
  </si>
  <si>
    <t>ATIF ALI ANSARI</t>
  </si>
  <si>
    <t>35202-2582979-3</t>
  </si>
  <si>
    <t>03334302276</t>
  </si>
  <si>
    <t xml:space="preserve">10 AZIZ BUILDING AZIZ ROAD MISRI SH AH LAHORE </t>
  </si>
  <si>
    <t>58470/00296/02/2022</t>
  </si>
  <si>
    <t>6R213216</t>
  </si>
  <si>
    <t>1113215</t>
  </si>
  <si>
    <t>OLALHR300072571</t>
  </si>
  <si>
    <t>DIB0033662</t>
  </si>
  <si>
    <t>9976AD1212770006</t>
  </si>
  <si>
    <t>TAIYYABAH ARSHAD</t>
  </si>
  <si>
    <t>35202-6976887-6</t>
  </si>
  <si>
    <t>03004820918</t>
  </si>
  <si>
    <t xml:space="preserve">110-B QUAID-E-AZAM INDUSTRIAL ESTAT E KOT LAKHPAT LAHORE </t>
  </si>
  <si>
    <t>58470/00285/02/2022</t>
  </si>
  <si>
    <t>PK10B230639</t>
  </si>
  <si>
    <t>AIJ310PK10130670</t>
  </si>
  <si>
    <t>OLALHR300073922</t>
  </si>
  <si>
    <t>DIB0033655</t>
  </si>
  <si>
    <t>9976AP2220600023</t>
  </si>
  <si>
    <t>RANA QAISAR MAHMOOD</t>
  </si>
  <si>
    <t>35501-0335142-1</t>
  </si>
  <si>
    <t>03214495933</t>
  </si>
  <si>
    <t xml:space="preserve">CITY NEWS NETWORK 47-M QUAID-E-AZAM INDUSTRIAL ESTATE KOT LAKHPAT LAHORE </t>
  </si>
  <si>
    <t>58470/00328/02/2022</t>
  </si>
  <si>
    <t>169646</t>
  </si>
  <si>
    <t>10069628</t>
  </si>
  <si>
    <t>BNL-133</t>
  </si>
  <si>
    <t>OLULHR300084961</t>
  </si>
  <si>
    <t>6511/02/2022</t>
  </si>
  <si>
    <t>9976AP1240590013</t>
  </si>
  <si>
    <t>MUHAMMAD SHABIR</t>
  </si>
  <si>
    <t>33102-5176523-7</t>
  </si>
  <si>
    <t>03137665004</t>
  </si>
  <si>
    <t>03137665004, 03137665004</t>
  </si>
  <si>
    <t xml:space="preserve">P-68, ST NO 6 ANARKALI BAZAR BHOWAN A BAZAR FSD NEAR AL HAMRA SWEETS FAISALABAD </t>
  </si>
  <si>
    <t>83427/00009/02/2024</t>
  </si>
  <si>
    <t>300475</t>
  </si>
  <si>
    <t>1200439</t>
  </si>
  <si>
    <t>OLDFSD300099408</t>
  </si>
  <si>
    <t>10949/02/2024/ITFM</t>
  </si>
  <si>
    <t>27-FEB-2024</t>
  </si>
  <si>
    <t>9976AP1220690011</t>
  </si>
  <si>
    <t>MUHAMMAD SHAFIQUE</t>
  </si>
  <si>
    <t>36603-7402476-3</t>
  </si>
  <si>
    <t>34638223</t>
  </si>
  <si>
    <t>03002210942 0321-2305050</t>
  </si>
  <si>
    <t>32424700</t>
  </si>
  <si>
    <t xml:space="preserve">H.A INTERNATIONAL OFFICE NO 2/2-11 2ND FLOOR ARKAY SQUARE SHAHRAH - E - LIAQUAT NEW CHALLI KARACHI </t>
  </si>
  <si>
    <t>59294/00052/03/2022</t>
  </si>
  <si>
    <t>050881</t>
  </si>
  <si>
    <t>706156</t>
  </si>
  <si>
    <t>BUP-609</t>
  </si>
  <si>
    <t>OLUKHI300085352</t>
  </si>
  <si>
    <t>6544/03/2022</t>
  </si>
  <si>
    <t>9976AP1240600008</t>
  </si>
  <si>
    <t>ATIF REHMAN</t>
  </si>
  <si>
    <t>36302-3878217-9</t>
  </si>
  <si>
    <t>03215859090</t>
  </si>
  <si>
    <t>03215859090, 03215859090</t>
  </si>
  <si>
    <t xml:space="preserve">HOUSE NO 120 MDA OFFICERS CO-OPERAT IVE HOUSING SOCIETY MULTAN MULTAN PK </t>
  </si>
  <si>
    <t>83427/00008/02/2024</t>
  </si>
  <si>
    <t>299471</t>
  </si>
  <si>
    <t>1199319</t>
  </si>
  <si>
    <t>SUZUKI ALTO AGS EURO II</t>
  </si>
  <si>
    <t>OLDMUX300099387</t>
  </si>
  <si>
    <t>DIB0035568</t>
  </si>
  <si>
    <t>9976AP1210700017</t>
  </si>
  <si>
    <t>SAIF UL ISLAM</t>
  </si>
  <si>
    <t>41304-3500859-3</t>
  </si>
  <si>
    <t>03224314346</t>
  </si>
  <si>
    <t xml:space="preserve">MAJOR MUSTAFA SHAHEED ROAD NEAR JAM IA USMANIA BADIAN ROAD NEAR MADINA SERVICE STATION LAHORE CANTT LAHORE </t>
  </si>
  <si>
    <t>53968/00019/03/2021</t>
  </si>
  <si>
    <t>12913770</t>
  </si>
  <si>
    <t>017079</t>
  </si>
  <si>
    <t>AGS-972</t>
  </si>
  <si>
    <t>OLULHR300066603</t>
  </si>
  <si>
    <t>DIB0029814</t>
  </si>
  <si>
    <t>09-MAR-2021</t>
  </si>
  <si>
    <t>9976AP1240580011</t>
  </si>
  <si>
    <t>JALIL AKBAR</t>
  </si>
  <si>
    <t>33100-7065029-1</t>
  </si>
  <si>
    <t>03217600545</t>
  </si>
  <si>
    <t xml:space="preserve">HOUSE NO 88 STREET NO 19 X BLOCK MUHALLA MADINA TOWN FAISALABAD </t>
  </si>
  <si>
    <t>83427/00007/02/2024</t>
  </si>
  <si>
    <t>299486</t>
  </si>
  <si>
    <t>1199496</t>
  </si>
  <si>
    <t>27-Feb-2029</t>
  </si>
  <si>
    <t>OLFSD300099390</t>
  </si>
  <si>
    <t>10939/02/2024/ITFM</t>
  </si>
  <si>
    <t>26-FEB-2024</t>
  </si>
  <si>
    <t>9976AP2220740020</t>
  </si>
  <si>
    <t>SYED ASAD AHSAN</t>
  </si>
  <si>
    <t>35201-6782935-3</t>
  </si>
  <si>
    <t>03214668221</t>
  </si>
  <si>
    <t xml:space="preserve">APPARTMENT NO 5-D BUILDING NO 29 SE CTOR B ASKARI 11 LAHORE PK </t>
  </si>
  <si>
    <t>59294/00047/03/2022</t>
  </si>
  <si>
    <t>Q061305</t>
  </si>
  <si>
    <t>6039631</t>
  </si>
  <si>
    <t>ANC-322</t>
  </si>
  <si>
    <t>OLULHR300085402</t>
  </si>
  <si>
    <t>DIB0033771</t>
  </si>
  <si>
    <t>9976AP1210580072</t>
  </si>
  <si>
    <t>RANA MAKHMOOR</t>
  </si>
  <si>
    <t>35202-2417891-1</t>
  </si>
  <si>
    <t>03214698737</t>
  </si>
  <si>
    <t xml:space="preserve">ROOM NO 30 2ND FLOOR WAPDA HOUSE MA LL ROAD LAHORE </t>
  </si>
  <si>
    <t>53740/00111/2/2021</t>
  </si>
  <si>
    <t>156705</t>
  </si>
  <si>
    <t>1056722</t>
  </si>
  <si>
    <t>ALTO VXL AGS EURO-II</t>
  </si>
  <si>
    <t>OLDLHR300066271</t>
  </si>
  <si>
    <t>DIB0029694</t>
  </si>
  <si>
    <t>9976AP1230590001</t>
  </si>
  <si>
    <t>SHAHID IQBAL</t>
  </si>
  <si>
    <t>33100-7252548-9</t>
  </si>
  <si>
    <t>041-8754578</t>
  </si>
  <si>
    <t>0300-7901012</t>
  </si>
  <si>
    <t>041-8816995</t>
  </si>
  <si>
    <t xml:space="preserve">H NO P-11540 STREET NO 9 MAIN BAZAR NISHAT ABAD SAUDIA BAKRY FAISALABAD </t>
  </si>
  <si>
    <t>67335/00016/02/2023</t>
  </si>
  <si>
    <t>Z493507</t>
  </si>
  <si>
    <t>4119298</t>
  </si>
  <si>
    <t>FD-17-844</t>
  </si>
  <si>
    <t>OLUFSD300092370</t>
  </si>
  <si>
    <t>10089/02/2023/ITFM</t>
  </si>
  <si>
    <t>27-FEB-2023</t>
  </si>
  <si>
    <t>9976AP2230590007</t>
  </si>
  <si>
    <t>AMJID MEHMOOD</t>
  </si>
  <si>
    <t>Haripur</t>
  </si>
  <si>
    <t>13302-5692189-5</t>
  </si>
  <si>
    <t>03315131590</t>
  </si>
  <si>
    <t xml:space="preserve">MOH TEHKIDARAN WALA TALOKAR NEAR JA MA MASJID HARIPUR PK </t>
  </si>
  <si>
    <t>12/P/T111/0006877/0223/01</t>
  </si>
  <si>
    <t>533882</t>
  </si>
  <si>
    <t>4159467</t>
  </si>
  <si>
    <t>AKD-994</t>
  </si>
  <si>
    <t>OLUHRP300092393</t>
  </si>
  <si>
    <t>DIB0034935</t>
  </si>
  <si>
    <t>9976AP2230590016</t>
  </si>
  <si>
    <t>MUHAMMAD ABDUL AZEEM</t>
  </si>
  <si>
    <t>33102-5797045-9</t>
  </si>
  <si>
    <t>03101599999</t>
  </si>
  <si>
    <t>03101599999, 03101599999</t>
  </si>
  <si>
    <t xml:space="preserve">H NO P-164 KHAYABAN GARDEN SARGODHA N ROAD FAISALABAD PK </t>
  </si>
  <si>
    <t>67335/00015/02/2023</t>
  </si>
  <si>
    <t>1028093</t>
  </si>
  <si>
    <t>01144600</t>
  </si>
  <si>
    <t>OLDFSD300092254</t>
  </si>
  <si>
    <t>10082/02/2023/ITFM</t>
  </si>
  <si>
    <t>9976AP1210580088</t>
  </si>
  <si>
    <t>SHAHROZ KHAN</t>
  </si>
  <si>
    <t>35201-3505678-9</t>
  </si>
  <si>
    <t>03018625529</t>
  </si>
  <si>
    <t xml:space="preserve">HOUSE NO 430 J 2 WAPDA TOWN LAHORE PK </t>
  </si>
  <si>
    <t>COMP/P/53740/02/2021</t>
  </si>
  <si>
    <t>2A19414</t>
  </si>
  <si>
    <t>9507882</t>
  </si>
  <si>
    <t>TOYOTA YARIS ATIV</t>
  </si>
  <si>
    <t>27-Feb-2028</t>
  </si>
  <si>
    <t>OLDLHR300066352</t>
  </si>
  <si>
    <t>DIB0029691</t>
  </si>
  <si>
    <t>9976AP1230730005</t>
  </si>
  <si>
    <t>MALIK ALTAF HUSSAIN</t>
  </si>
  <si>
    <t>42101-1923558-7</t>
  </si>
  <si>
    <t>03343828423</t>
  </si>
  <si>
    <t xml:space="preserve">H NO P-640 BLOCK T NUSRAT BUTTO COLONY N NAZIMABAD NR CAFE KASHMIR KARACHI </t>
  </si>
  <si>
    <t>68593/00004/03/2023</t>
  </si>
  <si>
    <t>R-269738</t>
  </si>
  <si>
    <t>1169734</t>
  </si>
  <si>
    <t>SUZUKI ALTO VXR EURO-II</t>
  </si>
  <si>
    <t>OLDKHI300092586</t>
  </si>
  <si>
    <t>10154/03/2023/ITFM</t>
  </si>
  <si>
    <t>13-MAR-2023</t>
  </si>
  <si>
    <t>9976AP2210580025</t>
  </si>
  <si>
    <t>SYEDA AMMARA REHAN</t>
  </si>
  <si>
    <t>35201-3077412-6</t>
  </si>
  <si>
    <t>03003636364 03014442723</t>
  </si>
  <si>
    <t xml:space="preserve">T 136 DHA PHASE II LAHORE </t>
  </si>
  <si>
    <t>53740/00109/02/2021</t>
  </si>
  <si>
    <t>13049605</t>
  </si>
  <si>
    <t>10049564</t>
  </si>
  <si>
    <t>SWIFT DLX 1.3L M/T</t>
  </si>
  <si>
    <t>OLDLHR30006365</t>
  </si>
  <si>
    <t>DIB0029696</t>
  </si>
  <si>
    <t>9976AP2210580013</t>
  </si>
  <si>
    <t>33100-3406279-3</t>
  </si>
  <si>
    <t>03224615555</t>
  </si>
  <si>
    <t xml:space="preserve">HOUSE NO 13-KHYBER BLOCK ALLAMA IQBAL TOWN LAHORE </t>
  </si>
  <si>
    <t>53740/00106/02/2021</t>
  </si>
  <si>
    <t>6R105608</t>
  </si>
  <si>
    <t>NF1AET306H1005564</t>
  </si>
  <si>
    <t>LEH-19-7567</t>
  </si>
  <si>
    <t>27-Feb-2027</t>
  </si>
  <si>
    <t>OLULHR300066366</t>
  </si>
  <si>
    <t>ITMM</t>
  </si>
  <si>
    <t>4400/02/2021/ITMM</t>
  </si>
  <si>
    <t>9976AP1210580084</t>
  </si>
  <si>
    <t>ZEESHAN MASOOD</t>
  </si>
  <si>
    <t>35201-7738979-5</t>
  </si>
  <si>
    <t>03233332762</t>
  </si>
  <si>
    <t xml:space="preserve">OFFICE NO 1 2ND FLOOR HABIB PLAZA I ZMIR TOWN LAHORE </t>
  </si>
  <si>
    <t>53740/00119/02/2021</t>
  </si>
  <si>
    <t>6R109180</t>
  </si>
  <si>
    <t>NF1AET306H1009109</t>
  </si>
  <si>
    <t>LE-19A-1562</t>
  </si>
  <si>
    <t>ALTO VXL AGS EURO II</t>
  </si>
  <si>
    <t>OLULHR300066435</t>
  </si>
  <si>
    <t>4423/02/2021/ITMM</t>
  </si>
  <si>
    <t>9976AP2210580010</t>
  </si>
  <si>
    <t>KAMRAN ANWAR CHAUDHARY</t>
  </si>
  <si>
    <t>35202-2305457-5</t>
  </si>
  <si>
    <t>03088822666</t>
  </si>
  <si>
    <t xml:space="preserve">OFFICE 50 FEET ROAD BILAL TOWN NEAR LDA AVENUE 1 RAIWIND ROAD LAHORE </t>
  </si>
  <si>
    <t>53740/00107/02/2021</t>
  </si>
  <si>
    <t>157302</t>
  </si>
  <si>
    <t>1057202</t>
  </si>
  <si>
    <t>OLDLHR300066363</t>
  </si>
  <si>
    <t>DIB0029692</t>
  </si>
  <si>
    <t>9976AP1220760055</t>
  </si>
  <si>
    <t>IKHTIAR HUSSAIN</t>
  </si>
  <si>
    <t>42201-6779792-5</t>
  </si>
  <si>
    <t>03092896771</t>
  </si>
  <si>
    <t>03092996771</t>
  </si>
  <si>
    <t xml:space="preserve">PLOT NO A- 320 CHUTTA GOTH SCHEM 33 KARAMAT KHAN MUHALLA GADAP SHAH IS KARACHI PK </t>
  </si>
  <si>
    <t>59294/00062/03/2022</t>
  </si>
  <si>
    <t>1020812</t>
  </si>
  <si>
    <t>01137330</t>
  </si>
  <si>
    <t>OLDKHI300085212</t>
  </si>
  <si>
    <t>DIB0033798</t>
  </si>
  <si>
    <t>9976AD2211810016</t>
  </si>
  <si>
    <t>Kasur</t>
  </si>
  <si>
    <t>35102-6133262-9</t>
  </si>
  <si>
    <t>03204664242</t>
  </si>
  <si>
    <t xml:space="preserve">RASOOL PUR DAKKHANA KASUR KASUR PK </t>
  </si>
  <si>
    <t>59294/00063/03/2022</t>
  </si>
  <si>
    <t>507924</t>
  </si>
  <si>
    <t>1012370</t>
  </si>
  <si>
    <t>KARVAAN</t>
  </si>
  <si>
    <t>30-JUN-2021</t>
  </si>
  <si>
    <t>OLAKSR300070001</t>
  </si>
  <si>
    <t>DIB0033806</t>
  </si>
  <si>
    <t>9976AD1212950004</t>
  </si>
  <si>
    <t>AWAIS YOUSAF</t>
  </si>
  <si>
    <t>35202-4346549-7</t>
  </si>
  <si>
    <t>03218444938</t>
  </si>
  <si>
    <t xml:space="preserve">ARFA SOFTWARE TECHNOLOGY PARK FEROZ PUR ROAD FLOOR NO 8TH ROOM NO 21 LAHORE </t>
  </si>
  <si>
    <t>59294/00068/03/2022</t>
  </si>
  <si>
    <t>195618</t>
  </si>
  <si>
    <t>1095587</t>
  </si>
  <si>
    <t>22-OCT-2021</t>
  </si>
  <si>
    <t>OLALHR300075202</t>
  </si>
  <si>
    <t>DIB0033817</t>
  </si>
  <si>
    <t>9976AP2220590018</t>
  </si>
  <si>
    <t>MUHAMMAD IJAZ ADEEL</t>
  </si>
  <si>
    <t>33104-9778867-7</t>
  </si>
  <si>
    <t>03006539965</t>
  </si>
  <si>
    <t>03006539965, 03006539965</t>
  </si>
  <si>
    <t xml:space="preserve">CHAK NO 65 GB MUKHANPUR FSD NEAR AR AVIAN SCHOOL SYSTEM FAISALABAD PK </t>
  </si>
  <si>
    <t>58470/00261/02/2022</t>
  </si>
  <si>
    <t>2A07517</t>
  </si>
  <si>
    <t>7004219</t>
  </si>
  <si>
    <t>ABM-168</t>
  </si>
  <si>
    <t>TOYOTA YARIS GLI MT 1.3</t>
  </si>
  <si>
    <t>OLUFSD300084752</t>
  </si>
  <si>
    <t>6465/02/2022</t>
  </si>
  <si>
    <t>9976AD1212730138</t>
  </si>
  <si>
    <t>AYESHA</t>
  </si>
  <si>
    <t>35202-0783391-8</t>
  </si>
  <si>
    <t>03224849051</t>
  </si>
  <si>
    <t xml:space="preserve">HOUSE NO 155/3 CHUGHTAI STREET HABI B ULLAH ROAD OPPOSITE GARHI SHAHU N EAR TOP SCISSOR HAIR SALOON and POLIC LAHORE </t>
  </si>
  <si>
    <t>59294/00067/03/2022</t>
  </si>
  <si>
    <t>218150</t>
  </si>
  <si>
    <t>1117800</t>
  </si>
  <si>
    <t>OLALHR300074459</t>
  </si>
  <si>
    <t>DIB0033816</t>
  </si>
  <si>
    <t>9976AP1220700017</t>
  </si>
  <si>
    <t>MUHAMMAD AWAIS DURRANI</t>
  </si>
  <si>
    <t>45504-9272925-1</t>
  </si>
  <si>
    <t>03322931898</t>
  </si>
  <si>
    <t xml:space="preserve">HOUSE # 27 MIR SHAHZAD TOWN LATIFAB AD UNIT # 9 KARACHI PK </t>
  </si>
  <si>
    <t>59294/00061/03/2022</t>
  </si>
  <si>
    <t>Z281839</t>
  </si>
  <si>
    <t>4037875</t>
  </si>
  <si>
    <t>BDU-930</t>
  </si>
  <si>
    <t>OLUHYD300085498</t>
  </si>
  <si>
    <t>UBL-TW</t>
  </si>
  <si>
    <t>9976AD1212730046</t>
  </si>
  <si>
    <t>MUHAMMAD ZAFAR IQBAL</t>
  </si>
  <si>
    <t>35202-6608723-5</t>
  </si>
  <si>
    <t>04237598439</t>
  </si>
  <si>
    <t>03004302313</t>
  </si>
  <si>
    <t>35758301</t>
  </si>
  <si>
    <t xml:space="preserve">HOUSE NO.31-S-36-B, FAZAL STREET, SHAH FAISAL ROAD, PAKKI THATHI, SAMANABAD, LAHORE. </t>
  </si>
  <si>
    <t>59294/00065/03/2022</t>
  </si>
  <si>
    <t>230810</t>
  </si>
  <si>
    <t>10130798</t>
  </si>
  <si>
    <t>OLALHR300074205</t>
  </si>
  <si>
    <t>DIB0033812</t>
  </si>
  <si>
    <t>997AAD2203050030</t>
  </si>
  <si>
    <t>ATIR FAZAL</t>
  </si>
  <si>
    <t>35202-3929195-5</t>
  </si>
  <si>
    <t>04237425073</t>
  </si>
  <si>
    <t>03225000326</t>
  </si>
  <si>
    <t>04235234432</t>
  </si>
  <si>
    <t xml:space="preserve">DOHLER MIDDLE EAST LTD, 4TH FLOOR, 85-D, COMMERCIAL AREA, DHA EME, OPP SPORTS COMPLEX, MULTAN ROAD LHR </t>
  </si>
  <si>
    <t>KHI/HO/D/MO/PC COMP/P/53740/02/2021</t>
  </si>
  <si>
    <t>123852</t>
  </si>
  <si>
    <t>704534</t>
  </si>
  <si>
    <t>POALHR300059603</t>
  </si>
  <si>
    <t>DIB0029676</t>
  </si>
  <si>
    <t>26-FEB-2021</t>
  </si>
  <si>
    <t>9976AP2220700013</t>
  </si>
  <si>
    <t>RIZWAN YOUSUF CHOTANI</t>
  </si>
  <si>
    <t>42201-0530984-9</t>
  </si>
  <si>
    <t>0300-2132001</t>
  </si>
  <si>
    <t>035297871</t>
  </si>
  <si>
    <t xml:space="preserve">H # 51/A-2 SYED IMAM ALI SHAH ROAD STREET # 09 MUSLIMABAD KASHMIR ROAD NEAR KMC SPORTS COMPLEX KARACHI </t>
  </si>
  <si>
    <t>59294/00071/03/2022</t>
  </si>
  <si>
    <t>2A12091</t>
  </si>
  <si>
    <t>R-9505141</t>
  </si>
  <si>
    <t>BTX-378</t>
  </si>
  <si>
    <t>OLUKHI300085558</t>
  </si>
  <si>
    <t>DIB0033815</t>
  </si>
  <si>
    <t>9976AP1220740035</t>
  </si>
  <si>
    <t>MIRZA FAHAD BAIG</t>
  </si>
  <si>
    <t>42101-1901478-3</t>
  </si>
  <si>
    <t>03052605854</t>
  </si>
  <si>
    <t xml:space="preserve">HOUSE # D-1664 BHANGORIA TOWN AZIZA BAD FB AREA BLOCK 8 KARACHI PK </t>
  </si>
  <si>
    <t>59294/00070/03/2022</t>
  </si>
  <si>
    <t>6R140470</t>
  </si>
  <si>
    <t>1040462</t>
  </si>
  <si>
    <t>BSF-402</t>
  </si>
  <si>
    <t>OLUKHI300085560</t>
  </si>
  <si>
    <t>DIB0033819</t>
  </si>
  <si>
    <t>9976AP1220590003</t>
  </si>
  <si>
    <t>MUHAMMAD ATIF ARSHAD</t>
  </si>
  <si>
    <t>35403-6884397-7</t>
  </si>
  <si>
    <t>03446555577</t>
  </si>
  <si>
    <t>03446555577, 03446555577</t>
  </si>
  <si>
    <t xml:space="preserve">P-30 RACHNA TOWN NO 2 GULISTAN E RE HMAN COLONY SATYANA ROAD FSD NEAR FAISALABAD PK </t>
  </si>
  <si>
    <t>58470/00272/02/2022</t>
  </si>
  <si>
    <t>G3LAKP132859</t>
  </si>
  <si>
    <t>NNATA52AZKP700189</t>
  </si>
  <si>
    <t>APX-959</t>
  </si>
  <si>
    <t>OLUFSD300084699</t>
  </si>
  <si>
    <t>6471/02/2022</t>
  </si>
  <si>
    <t>9976AP1220590016</t>
  </si>
  <si>
    <t>RAHUL</t>
  </si>
  <si>
    <t>44303-2468004-5</t>
  </si>
  <si>
    <t>03113961222</t>
  </si>
  <si>
    <t xml:space="preserve">D-150 2ND FLOOR SECTOR D BHATAI COL ONY KORANGI KARACHI PK </t>
  </si>
  <si>
    <t>58470/00271/02/2022</t>
  </si>
  <si>
    <t>628404</t>
  </si>
  <si>
    <t>535277</t>
  </si>
  <si>
    <t>BGQ-411</t>
  </si>
  <si>
    <t>OLUKHI300084793</t>
  </si>
  <si>
    <t>DIB0033638</t>
  </si>
  <si>
    <t>9976AP1220590008</t>
  </si>
  <si>
    <t>SHAIKH OSMAN AHMED</t>
  </si>
  <si>
    <t>42201-7016829-9</t>
  </si>
  <si>
    <t>34986446</t>
  </si>
  <si>
    <t>03333348253 03002478310</t>
  </si>
  <si>
    <t>34020953</t>
  </si>
  <si>
    <t xml:space="preserve">MISHA DEVELOPERS A/1 166 BLOCK 13 D 2 GULSHAN E IQBAL KARACHI </t>
  </si>
  <si>
    <t>58470/00274/02/2022</t>
  </si>
  <si>
    <t>Q055821</t>
  </si>
  <si>
    <t>6033349</t>
  </si>
  <si>
    <t>BRN-132</t>
  </si>
  <si>
    <t>OLUKHI300084775</t>
  </si>
  <si>
    <t>TDIDIB0030094</t>
  </si>
  <si>
    <t>9976AD1213000012</t>
  </si>
  <si>
    <t>MUHAMMAD FAROOQ</t>
  </si>
  <si>
    <t>35201-0769880-1</t>
  </si>
  <si>
    <t>03004244149</t>
  </si>
  <si>
    <t xml:space="preserve">HOUSE NO 239 SECTOR G-4 WAPDA TOWN LAHORE </t>
  </si>
  <si>
    <t>58470/00262/02/2022</t>
  </si>
  <si>
    <t>14808429</t>
  </si>
  <si>
    <t>025117</t>
  </si>
  <si>
    <t>OLALHR300076403</t>
  </si>
  <si>
    <t>DIB0033630</t>
  </si>
  <si>
    <t>9976AP1210580014</t>
  </si>
  <si>
    <t>MUHAMMAD ARSLAN SHAHID</t>
  </si>
  <si>
    <t>33100-1416327-5</t>
  </si>
  <si>
    <t>03219666745</t>
  </si>
  <si>
    <t>03219666745, 03219666745</t>
  </si>
  <si>
    <t xml:space="preserve">H NO 104 SITARA SAPNA CITY DAEWOO R OAD FAISALABAD PK </t>
  </si>
  <si>
    <t>53740/00103/02/2021</t>
  </si>
  <si>
    <t>Q069772</t>
  </si>
  <si>
    <t>6047297</t>
  </si>
  <si>
    <t>COROLLA ALTIS A/T</t>
  </si>
  <si>
    <t>OLDFSD300066306</t>
  </si>
  <si>
    <t>DIB0029689</t>
  </si>
  <si>
    <t>9976AP1220610094</t>
  </si>
  <si>
    <t>SEHRISH INAM</t>
  </si>
  <si>
    <t>33100-9659724-6</t>
  </si>
  <si>
    <t>0618735329</t>
  </si>
  <si>
    <t>03365145178</t>
  </si>
  <si>
    <t xml:space="preserve">FIRST STEP, EAST CANAL ROAD, OFF.KASHMIR BRIDGE, FAISALABAD. </t>
  </si>
  <si>
    <t>58470/00260/02/2022</t>
  </si>
  <si>
    <t>79794112</t>
  </si>
  <si>
    <t>242209</t>
  </si>
  <si>
    <t>LEC-19-3443</t>
  </si>
  <si>
    <t>HONDA CITY ASPORE A/T</t>
  </si>
  <si>
    <t>OLUFSD300084754</t>
  </si>
  <si>
    <t>6467/02/2022</t>
  </si>
  <si>
    <t>9976AP1220590027</t>
  </si>
  <si>
    <t>ANEELA</t>
  </si>
  <si>
    <t>42501-3679585-0</t>
  </si>
  <si>
    <t>0331-1070761</t>
  </si>
  <si>
    <t xml:space="preserve">HOUSE NO. B-19 ROW E BLOCK 4, GULSHAN-E-KANEEZ FATIMA SOCIETY SCHEME 33 KARACHI </t>
  </si>
  <si>
    <t>58470/00268/02/2022</t>
  </si>
  <si>
    <t>142174</t>
  </si>
  <si>
    <t>10041896</t>
  </si>
  <si>
    <t>BPU-435</t>
  </si>
  <si>
    <t>OLUKHI300084773</t>
  </si>
  <si>
    <t>DIB0033632</t>
  </si>
  <si>
    <t>9976AD2203430001</t>
  </si>
  <si>
    <t>HAMZA JAVED YASEEN</t>
  </si>
  <si>
    <t>35202-9876834-9</t>
  </si>
  <si>
    <t>03207599999</t>
  </si>
  <si>
    <t>37481226</t>
  </si>
  <si>
    <t xml:space="preserve">H # 4 GULZAIB COLONY REHMAT ALI ROAD SAMNABAD NEAR CITY CABLE OFFICE BEHIND BHATIYUN KI MASJID LAHORE </t>
  </si>
  <si>
    <t>53968/00022/03/2021</t>
  </si>
  <si>
    <t>G4NALU072865</t>
  </si>
  <si>
    <t>PMHJ2813SMN202352</t>
  </si>
  <si>
    <t>TUCSON AWD</t>
  </si>
  <si>
    <t>08-DEC-2020</t>
  </si>
  <si>
    <t>POALHR300063451</t>
  </si>
  <si>
    <t>DIB0029819</t>
  </si>
  <si>
    <t>10-MAR-2021</t>
  </si>
  <si>
    <t>9976AD1203350023</t>
  </si>
  <si>
    <t>HASSAN IQBAL CHAUDHRY</t>
  </si>
  <si>
    <t>42301-4502404-9</t>
  </si>
  <si>
    <t>03444452423</t>
  </si>
  <si>
    <t>04235988269</t>
  </si>
  <si>
    <t xml:space="preserve">304-B UPPER MALL LAHORE </t>
  </si>
  <si>
    <t>53968/00025/03/2021</t>
  </si>
  <si>
    <t>G4NALH345463</t>
  </si>
  <si>
    <t>NNAQL51AZKP305519</t>
  </si>
  <si>
    <t>SPORTAGE FWD</t>
  </si>
  <si>
    <t>30-NOV-2020</t>
  </si>
  <si>
    <t>POALHR300062682</t>
  </si>
  <si>
    <t>9976AP1230720001</t>
  </si>
  <si>
    <t>NAVEED HUSSAIN</t>
  </si>
  <si>
    <t>42301-2727400-9</t>
  </si>
  <si>
    <t>03353017420</t>
  </si>
  <si>
    <t xml:space="preserve">L-132 SEC # 5A-3 NORTH KARACHI KARACHI PK </t>
  </si>
  <si>
    <t>68593/00006/03/2023</t>
  </si>
  <si>
    <t>637155</t>
  </si>
  <si>
    <t>544011</t>
  </si>
  <si>
    <t>BJJ-785</t>
  </si>
  <si>
    <t>OLUKHI300092604</t>
  </si>
  <si>
    <t>10145/03/2023/ITFM</t>
  </si>
  <si>
    <t>30-JUN-2022</t>
  </si>
  <si>
    <t>9976AP1220590012</t>
  </si>
  <si>
    <t>TALHA ZAFAR GABRU</t>
  </si>
  <si>
    <t>42201-1633283-1</t>
  </si>
  <si>
    <t>03453254028</t>
  </si>
  <si>
    <t xml:space="preserve">HOUSE # D-144 SHAMSI SOCIETY MALIR HALT KARACHI PK </t>
  </si>
  <si>
    <t>58470/0270/02/2022</t>
  </si>
  <si>
    <t>154942</t>
  </si>
  <si>
    <t>10054945</t>
  </si>
  <si>
    <t>BRG-665</t>
  </si>
  <si>
    <t>OLUKHI300084787</t>
  </si>
  <si>
    <t>DIB0033636</t>
  </si>
  <si>
    <t>9976AP2220590011</t>
  </si>
  <si>
    <t>MUHAMMAD ANWER SALIM</t>
  </si>
  <si>
    <t>42201-0774727-3</t>
  </si>
  <si>
    <t>03006325909</t>
  </si>
  <si>
    <t xml:space="preserve">FLAT NO 108-A KAREEM RESIDENCIA BLOCK 13 D/3 GULSHAN-E-IQBAL KARACHI </t>
  </si>
  <si>
    <t>58470/00267/02/2022</t>
  </si>
  <si>
    <t>6R117304</t>
  </si>
  <si>
    <t>NFIART306H1017135</t>
  </si>
  <si>
    <t>BQY-987</t>
  </si>
  <si>
    <t>OLUKHI300084665</t>
  </si>
  <si>
    <t>DIB0033633</t>
  </si>
  <si>
    <t>9976AP2220590017</t>
  </si>
  <si>
    <t>NIAZ ALI</t>
  </si>
  <si>
    <t>35201-1587670-9</t>
  </si>
  <si>
    <t>03214247935</t>
  </si>
  <si>
    <t xml:space="preserve">MAIN RAJBAH ROAD HARBANSPURA NEAR T OTAL PUMP LAHORE </t>
  </si>
  <si>
    <t>58470/00264/02/2022</t>
  </si>
  <si>
    <t>228756</t>
  </si>
  <si>
    <t>10128754</t>
  </si>
  <si>
    <t>OLDLHR300084765</t>
  </si>
  <si>
    <t>DIB0033631</t>
  </si>
  <si>
    <t>997AAD2203030023</t>
  </si>
  <si>
    <t xml:space="preserve">PLOT NO B/22/B SITE AERA JAMAL ROYAL </t>
  </si>
  <si>
    <t>53968/00027/03/2021</t>
  </si>
  <si>
    <t>083036</t>
  </si>
  <si>
    <t>704807</t>
  </si>
  <si>
    <t>PICANTO 1.0 L A/T</t>
  </si>
  <si>
    <t>29-OCT-2020</t>
  </si>
  <si>
    <t>POAKHI300059501</t>
  </si>
  <si>
    <t>DIB0029766</t>
  </si>
  <si>
    <t>9976AP2220740022</t>
  </si>
  <si>
    <t>MALIK AKHTER HUSSAIN</t>
  </si>
  <si>
    <t>35202-8728933-7</t>
  </si>
  <si>
    <t>03234287992</t>
  </si>
  <si>
    <t xml:space="preserve">MAIN OUT FALL WASA OFFICE OUT FAL R OAD NEAR RESCUE 1122 LAHORE </t>
  </si>
  <si>
    <t>59294/00073/03/2022</t>
  </si>
  <si>
    <t>638536</t>
  </si>
  <si>
    <t>545408</t>
  </si>
  <si>
    <t>LED-17-6097</t>
  </si>
  <si>
    <t>OLULHR300085563</t>
  </si>
  <si>
    <t>DIB0033824</t>
  </si>
  <si>
    <t>9976AP1220590024</t>
  </si>
  <si>
    <t>HAFIZ MUHAMMAD ZUBAIR</t>
  </si>
  <si>
    <t>33100-3111752-7</t>
  </si>
  <si>
    <t>03006575514</t>
  </si>
  <si>
    <t>03006575514, 03006575514</t>
  </si>
  <si>
    <t xml:space="preserve">P-256/29 ST NO 01 MASOOD ABAD FSD N EAR JAMIA MASJID FAISALABAD PK </t>
  </si>
  <si>
    <t>58470/00263/02/2022</t>
  </si>
  <si>
    <t>129029</t>
  </si>
  <si>
    <t>10028997</t>
  </si>
  <si>
    <t>LEC-17-4754</t>
  </si>
  <si>
    <t>OLUFSD300084755</t>
  </si>
  <si>
    <t>6464/02/2022</t>
  </si>
  <si>
    <t>9976AP1210580012</t>
  </si>
  <si>
    <t>ATEEQ UR REHMAN</t>
  </si>
  <si>
    <t>35202-6118285-3</t>
  </si>
  <si>
    <t>03204465501</t>
  </si>
  <si>
    <t xml:space="preserve">PLOT NO 10 STREET NO 1 HAMEED-UD-DI N PARK NEAR SAGGIAN RAVI BRIDGE LAHORE </t>
  </si>
  <si>
    <t>210580</t>
  </si>
  <si>
    <t>10110574</t>
  </si>
  <si>
    <t>DIB0029677</t>
  </si>
  <si>
    <t>16-FEB-2021</t>
  </si>
  <si>
    <t>9976AP2190590005</t>
  </si>
  <si>
    <t>ABDUL AZIZ KHAN</t>
  </si>
  <si>
    <t>42201-3966062-1</t>
  </si>
  <si>
    <t>03003335845</t>
  </si>
  <si>
    <t>35123731</t>
  </si>
  <si>
    <t xml:space="preserve">HOUSE # 119-A MUHALLA 36-B ZAMANABA D LANDHI # 4 NEAR GOVERMENT MEDICAL KARACHI PK </t>
  </si>
  <si>
    <t>50369/00050/02/2019</t>
  </si>
  <si>
    <t>J275531</t>
  </si>
  <si>
    <t>LA310S-1069131</t>
  </si>
  <si>
    <t>BPQ-978</t>
  </si>
  <si>
    <t>MIRA</t>
  </si>
  <si>
    <t>03-MAR-2019</t>
  </si>
  <si>
    <t>POUKHI300043532</t>
  </si>
  <si>
    <t>DIB0027095</t>
  </si>
  <si>
    <t>27-FEB-2019</t>
  </si>
  <si>
    <t>9976AP2220570017</t>
  </si>
  <si>
    <t>SHAHZAIB ASHRAF</t>
  </si>
  <si>
    <t>33104-5754440-5</t>
  </si>
  <si>
    <t>03065506362</t>
  </si>
  <si>
    <t>03065506362, 03065506362</t>
  </si>
  <si>
    <t xml:space="preserve">3KM KHURRIANWALA CHOWK TO JARANWALA ROAD CHAK NO 77 RB LOKHAY MAIN BAZ AR STREET KHURRIANWALA FSD NEAR HOU FAISALABAD </t>
  </si>
  <si>
    <t>58470/00239/02/2022</t>
  </si>
  <si>
    <t>L05604950W</t>
  </si>
  <si>
    <t>RAILPPM20900608</t>
  </si>
  <si>
    <t>AAA-943</t>
  </si>
  <si>
    <t>OLUFSD300084711</t>
  </si>
  <si>
    <t>6458/02/2022</t>
  </si>
  <si>
    <t>9976AP2220590006</t>
  </si>
  <si>
    <t>MUHAMMAD ESSA</t>
  </si>
  <si>
    <t>LARKANA</t>
  </si>
  <si>
    <t>53403-1413310-3</t>
  </si>
  <si>
    <t>03337540848</t>
  </si>
  <si>
    <t xml:space="preserve">AHSAN II COLONY NEAR AISHA MASJID N EAR SCHAL COLONY NEAR AISHA MASJID LARKANA PK </t>
  </si>
  <si>
    <t>58470/00245/02/2022</t>
  </si>
  <si>
    <t>612057</t>
  </si>
  <si>
    <t>518935</t>
  </si>
  <si>
    <t>BEG-480</t>
  </si>
  <si>
    <t>OLULRK300084480</t>
  </si>
  <si>
    <t>DIB0033618</t>
  </si>
  <si>
    <t>9976AP1220610088</t>
  </si>
  <si>
    <t>MUFASSER IQBAL</t>
  </si>
  <si>
    <t>34101-3521053-3</t>
  </si>
  <si>
    <t>03336401765</t>
  </si>
  <si>
    <t xml:space="preserve">H NO 32 ST NO 11 BLOCK D PHASE 2 CI TY HOUSING GUJRANWALA </t>
  </si>
  <si>
    <t>58470/00256/02/2022</t>
  </si>
  <si>
    <t>Z1-7427464</t>
  </si>
  <si>
    <t>R165253</t>
  </si>
  <si>
    <t>EC-917</t>
  </si>
  <si>
    <t>OLUGWL300084707</t>
  </si>
  <si>
    <t>DIB0033661</t>
  </si>
  <si>
    <t>9976AD1230260001</t>
  </si>
  <si>
    <t>TAHIR MEHMOOD QURESHI</t>
  </si>
  <si>
    <t>61101-2821099-5</t>
  </si>
  <si>
    <t>03218506615</t>
  </si>
  <si>
    <t>2821384</t>
  </si>
  <si>
    <t xml:space="preserve">H # 757 ST # 45 SCTOR E-11/3 ISLAMABAD PK </t>
  </si>
  <si>
    <t>67335/00013/02/2023</t>
  </si>
  <si>
    <t>357906</t>
  </si>
  <si>
    <t>1002716</t>
  </si>
  <si>
    <t>CHANGAN OSHAN X7 FUTURE SENSE</t>
  </si>
  <si>
    <t>OLAISD300091773</t>
  </si>
  <si>
    <t>10077/02/2023/ITFM</t>
  </si>
  <si>
    <t>25-FEB-2023</t>
  </si>
  <si>
    <t>9976AD2203650008</t>
  </si>
  <si>
    <t>FAISAL MEHMOOD</t>
  </si>
  <si>
    <t>42101-5236429-7</t>
  </si>
  <si>
    <t>02134302140-41</t>
  </si>
  <si>
    <t>03002008879</t>
  </si>
  <si>
    <t>34302140-41</t>
  </si>
  <si>
    <t xml:space="preserve">PRINT SOLUTIONS PLOT NO.126-O MIAN KHALID BIN WALEED RD PECHS BLOCK 2 KHI </t>
  </si>
  <si>
    <t>53968/00028/03/2021</t>
  </si>
  <si>
    <t>72524</t>
  </si>
  <si>
    <t>703806</t>
  </si>
  <si>
    <t>30-DEC-2020</t>
  </si>
  <si>
    <t>OLAKHI300064451</t>
  </si>
  <si>
    <t>DIB0029774</t>
  </si>
  <si>
    <t>16-MAR-2021</t>
  </si>
  <si>
    <t>9976AP1230580023</t>
  </si>
  <si>
    <t>MUHAMMAD MUSHTAQ</t>
  </si>
  <si>
    <t>33100-6745041-3</t>
  </si>
  <si>
    <t>03129667321</t>
  </si>
  <si>
    <t>03129667321, 03129667321</t>
  </si>
  <si>
    <t xml:space="preserve">P-114-A ST NO 3 SATELITE TOWN SAMUN DRI ROAD FSD NEAR MASHALLAH GENERAL FAISALABAD PK </t>
  </si>
  <si>
    <t>67335/00014/02/2023</t>
  </si>
  <si>
    <t>Q084937</t>
  </si>
  <si>
    <t>R6062424</t>
  </si>
  <si>
    <t>ANJ-603</t>
  </si>
  <si>
    <t>TOYOTA COROLLA ALTIS</t>
  </si>
  <si>
    <t>OLUFSD300092323</t>
  </si>
  <si>
    <t>10083/02/2023/ITFM</t>
  </si>
  <si>
    <t>9976AP2220750026</t>
  </si>
  <si>
    <t>SUFYAN SARWAR</t>
  </si>
  <si>
    <t>34101-7011950-7</t>
  </si>
  <si>
    <t>03252600034</t>
  </si>
  <si>
    <t xml:space="preserve">H NO 290 BOLAN BLOCK DC COLONY GUJRANWALA </t>
  </si>
  <si>
    <t>12/P/T111/0004774/0322/01</t>
  </si>
  <si>
    <t>218865</t>
  </si>
  <si>
    <t>1118781</t>
  </si>
  <si>
    <t>OLDGWL300085152</t>
  </si>
  <si>
    <t>DIB0033840</t>
  </si>
  <si>
    <t>9976AP1210570023</t>
  </si>
  <si>
    <t>SYED HASNAIN ALI</t>
  </si>
  <si>
    <t>35202-2818063-9</t>
  </si>
  <si>
    <t>03218477930</t>
  </si>
  <si>
    <t>04235775459</t>
  </si>
  <si>
    <t xml:space="preserve">H Y ENTERPRISES PVT.LTD., 7-B/2, AZIZ AVENUE, CANAL BANK ROAD, GULBERG-V, LAHORE. </t>
  </si>
  <si>
    <t>53740/00091/02/2021</t>
  </si>
  <si>
    <t>341673</t>
  </si>
  <si>
    <t>508515</t>
  </si>
  <si>
    <t>KIA SPORTAGE AWD</t>
  </si>
  <si>
    <t>OLDLHR300066201</t>
  </si>
  <si>
    <t>9976AP1220750046</t>
  </si>
  <si>
    <t>ARSALAN HUSSAIN QURESHI</t>
  </si>
  <si>
    <t xml:space="preserve">HOUSE: 94B, 16TH CENTRAL STREET, PHASE 02, DHA KARACHI KARACHI </t>
  </si>
  <si>
    <t>59294/00082/03/2022</t>
  </si>
  <si>
    <t>115342</t>
  </si>
  <si>
    <t>1015332</t>
  </si>
  <si>
    <t>OLUKHI3000855589</t>
  </si>
  <si>
    <t>DIB0033839</t>
  </si>
  <si>
    <t>9976AP2220590021</t>
  </si>
  <si>
    <t>MUHAMMAD AMMAR YASIR</t>
  </si>
  <si>
    <t>38403-7019649-5</t>
  </si>
  <si>
    <t>03018650070</t>
  </si>
  <si>
    <t xml:space="preserve">HOUSE NO 46 BLOCK C ARCHITECT AND E NGINEERING HOUSING SOCIETY NEAR SHO LAHORE PK </t>
  </si>
  <si>
    <t>58470/00242/02/2022</t>
  </si>
  <si>
    <t>Q310128</t>
  </si>
  <si>
    <t>7038280</t>
  </si>
  <si>
    <t>ANK-667</t>
  </si>
  <si>
    <t>OLULHR300084659</t>
  </si>
  <si>
    <t>DIB0033612</t>
  </si>
  <si>
    <t>9976AP2220590004</t>
  </si>
  <si>
    <t>SAUD HASSAN KHAN</t>
  </si>
  <si>
    <t>42101-1751059-3</t>
  </si>
  <si>
    <t>03009226658</t>
  </si>
  <si>
    <t xml:space="preserve">H # C-17 BLOCK B KDA OFFICERS SOCIE TY NEAR NATIONAL STADIUM KARACHI PK </t>
  </si>
  <si>
    <t>58470/00259/02/2022</t>
  </si>
  <si>
    <t>Z506894</t>
  </si>
  <si>
    <t>4133122</t>
  </si>
  <si>
    <t>BLL-378</t>
  </si>
  <si>
    <t>OLUKHI300084642</t>
  </si>
  <si>
    <t>6466/02/2022</t>
  </si>
  <si>
    <t>9976AP1220570045</t>
  </si>
  <si>
    <t>SUMERA RASHID</t>
  </si>
  <si>
    <t>42101-4548428-0</t>
  </si>
  <si>
    <t>03452220731</t>
  </si>
  <si>
    <t xml:space="preserve">FLAT NO.105, SEKOON ARCADE PHASE-II GULSHAN E IQBAL, BLOCK 13-D-II, KARACHI </t>
  </si>
  <si>
    <t>58470/00252/02/2022</t>
  </si>
  <si>
    <t>Q063683</t>
  </si>
  <si>
    <t>R-6041203</t>
  </si>
  <si>
    <t>BRH-034</t>
  </si>
  <si>
    <t>OLUKHI300084750</t>
  </si>
  <si>
    <t>DIB0033625</t>
  </si>
  <si>
    <t>9976AP2220700010</t>
  </si>
  <si>
    <t>SYED MUHAMMAD TAHA ALI-ASAAN A/C</t>
  </si>
  <si>
    <t>42101-6277558-7</t>
  </si>
  <si>
    <t>03321319361</t>
  </si>
  <si>
    <t xml:space="preserve">HOUSE NO B-43 BLOCK N ALLAMA IQBAL TOWN NORTH NAZIMABAD KARACHI </t>
  </si>
  <si>
    <t>59294/00074/03/2022</t>
  </si>
  <si>
    <t>Q028743</t>
  </si>
  <si>
    <t>6006216</t>
  </si>
  <si>
    <t>BEX-017</t>
  </si>
  <si>
    <t>OLUKHI300085504</t>
  </si>
  <si>
    <t>DIB0033795</t>
  </si>
  <si>
    <t>9976AD1203660023</t>
  </si>
  <si>
    <t>SEHRISH ALI</t>
  </si>
  <si>
    <t>45104-7592325-6</t>
  </si>
  <si>
    <t>03363629244</t>
  </si>
  <si>
    <t>099215759</t>
  </si>
  <si>
    <t xml:space="preserve">CIVIL HOSPITALKARACHI PEADS UNIT # 2 NEAR UBL BANK NEAR UBL BANK KARACHI </t>
  </si>
  <si>
    <t>14804039</t>
  </si>
  <si>
    <t>020715</t>
  </si>
  <si>
    <t>HONDA BR-V IVTEC S</t>
  </si>
  <si>
    <t>OLAKHI300064580</t>
  </si>
  <si>
    <t>DIB0029660</t>
  </si>
  <si>
    <t>25-FEB-2021</t>
  </si>
  <si>
    <t>9976AD1212500005</t>
  </si>
  <si>
    <t>ABDUL REHMAN</t>
  </si>
  <si>
    <t>35202-2909013-5</t>
  </si>
  <si>
    <t>03334319391</t>
  </si>
  <si>
    <t>04235112277</t>
  </si>
  <si>
    <t xml:space="preserve">HOUSE NO 62,63 NISHTAR BLOCK ALLAMA IQBAL TOWN LAHORE PK </t>
  </si>
  <si>
    <t>58470/00246/02/2022</t>
  </si>
  <si>
    <t>PK10K193349</t>
  </si>
  <si>
    <t>NF1AVK31H10093364</t>
  </si>
  <si>
    <t>OLALHR300073204</t>
  </si>
  <si>
    <t>DIB0033617</t>
  </si>
  <si>
    <t>9976AP1220570044</t>
  </si>
  <si>
    <t>YOUSRA SHAFIQ</t>
  </si>
  <si>
    <t>42101-1497713-6</t>
  </si>
  <si>
    <t>03352715340</t>
  </si>
  <si>
    <t xml:space="preserve">A- 224 3RD FLOOR BLOCK 3 GULSHAN KD A MARKET KARACHI PK </t>
  </si>
  <si>
    <t>58470/00241/02/2022</t>
  </si>
  <si>
    <t>G3LALPO59174</t>
  </si>
  <si>
    <t>NNATA52AZKP703194</t>
  </si>
  <si>
    <t>BSV-011</t>
  </si>
  <si>
    <t>OLUKHI300084736</t>
  </si>
  <si>
    <t>DIB033609</t>
  </si>
  <si>
    <t>9976AD1213030027</t>
  </si>
  <si>
    <t>BAHADUR ALI</t>
  </si>
  <si>
    <t>81101-6119180-7</t>
  </si>
  <si>
    <t>03009657813</t>
  </si>
  <si>
    <t xml:space="preserve">BAHADUR OIL TRADERS OUTSIDE KARKHANA BAZAR CIRCULAR ROAD FAISALABAD 0300-9657813 </t>
  </si>
  <si>
    <t>59294/00076/03/2022</t>
  </si>
  <si>
    <t>47584</t>
  </si>
  <si>
    <t>9517741</t>
  </si>
  <si>
    <t>OLAFSD300077643</t>
  </si>
  <si>
    <t>DIB0033826</t>
  </si>
  <si>
    <t>9976AD1212770010</t>
  </si>
  <si>
    <t>FOZIA WASEEM KHAN</t>
  </si>
  <si>
    <t>35202-3589164-8</t>
  </si>
  <si>
    <t>03004096974</t>
  </si>
  <si>
    <t xml:space="preserve">55 MAIN GULBERG NEAR MCDONALDS LAHORE </t>
  </si>
  <si>
    <t>58470/00247/02/2022</t>
  </si>
  <si>
    <t>G3LAMP193553</t>
  </si>
  <si>
    <t>NNATA524XKP503285</t>
  </si>
  <si>
    <t>OLALHR300074064</t>
  </si>
  <si>
    <t>DIB0033616</t>
  </si>
  <si>
    <t>9976AP1220610089</t>
  </si>
  <si>
    <t>HAFIZ MOHSIN AHMAD</t>
  </si>
  <si>
    <t>35200-1507720-3</t>
  </si>
  <si>
    <t>03214505866</t>
  </si>
  <si>
    <t>04235716062</t>
  </si>
  <si>
    <t xml:space="preserve">HOUSE NO 729 MUSTUFA ABAD STREET NO 18 LAHORE </t>
  </si>
  <si>
    <t>58470/00254/02/2022</t>
  </si>
  <si>
    <t>2132076</t>
  </si>
  <si>
    <t>1113016</t>
  </si>
  <si>
    <t>OLULHR300084716</t>
  </si>
  <si>
    <t>DIB0033622</t>
  </si>
  <si>
    <t>9976AP2220740021</t>
  </si>
  <si>
    <t>ABDUL AZIZ</t>
  </si>
  <si>
    <t>35201-5286158-7</t>
  </si>
  <si>
    <t>03439087487</t>
  </si>
  <si>
    <t>030049000867</t>
  </si>
  <si>
    <t xml:space="preserve">SOWA ASAL 5-KM JHALAR BHATTIAN RAIW IND ROAD LAHORE </t>
  </si>
  <si>
    <t>59294/00075/03/2022</t>
  </si>
  <si>
    <t>329578</t>
  </si>
  <si>
    <t>309515</t>
  </si>
  <si>
    <t>KIA SPORTAGE FWD</t>
  </si>
  <si>
    <t>OLDLHR300085564</t>
  </si>
  <si>
    <t>6552/03/2022</t>
  </si>
  <si>
    <t>9976AP2210740019</t>
  </si>
  <si>
    <t>MUHAMMAD ZAHID MAJEED</t>
  </si>
  <si>
    <t>33100-4582994-7</t>
  </si>
  <si>
    <t>03007204920</t>
  </si>
  <si>
    <t>03007204920, 03007204920</t>
  </si>
  <si>
    <t xml:space="preserve">H NO P-797/2-A HILAL ROAD ST NO 10 MOHALLA YASIN ABAD FAISALABAD PK </t>
  </si>
  <si>
    <t>53968/00035/03/2021</t>
  </si>
  <si>
    <t>HE300170</t>
  </si>
  <si>
    <t>6E5B29811</t>
  </si>
  <si>
    <t>LEC-15-293</t>
  </si>
  <si>
    <t>FAW V2</t>
  </si>
  <si>
    <t>15-MAR-2021</t>
  </si>
  <si>
    <t>OLUFSD300066668</t>
  </si>
  <si>
    <t>4476/03/2021/ITFM</t>
  </si>
  <si>
    <t>9976AD1212420039</t>
  </si>
  <si>
    <t>SAMMAD KHAN</t>
  </si>
  <si>
    <t>QUETTA</t>
  </si>
  <si>
    <t>54401-5046957-9</t>
  </si>
  <si>
    <t>03133822721</t>
  </si>
  <si>
    <t xml:space="preserve">NEW MAKKAH STATE AGENCY AND CONSTRUCTION NAWA KILLI HANA BYPASS NEAR NIAZ MOTOR SHOWROOM QUETTA </t>
  </si>
  <si>
    <t>58470/00255/02/2022</t>
  </si>
  <si>
    <t>208249</t>
  </si>
  <si>
    <t>1108266</t>
  </si>
  <si>
    <t>OLAQUT300072328</t>
  </si>
  <si>
    <t>DIB0033449</t>
  </si>
  <si>
    <t>14-FEB-2022</t>
  </si>
  <si>
    <t>9976AP2220740016</t>
  </si>
  <si>
    <t>61101-2935232-3</t>
  </si>
  <si>
    <t>03215300093</t>
  </si>
  <si>
    <t>0519217726</t>
  </si>
  <si>
    <t xml:space="preserve">H # 882 SERVICE ROAD SECTOR I-10/4 NEAR KATRIA PULL ISLAMABAD PK </t>
  </si>
  <si>
    <t>59294/00081/03/2022</t>
  </si>
  <si>
    <t>655821</t>
  </si>
  <si>
    <t>01194342</t>
  </si>
  <si>
    <t>SUZUKI MEHRAN BXR EURO-II</t>
  </si>
  <si>
    <t>OLUISD300085472</t>
  </si>
  <si>
    <t>6555/03/2022</t>
  </si>
  <si>
    <t>12-MAR-2022</t>
  </si>
  <si>
    <t>9976AP2220610034</t>
  </si>
  <si>
    <t>CHOUDHARY MOAZZAM ALI</t>
  </si>
  <si>
    <t>34101-2636266-1</t>
  </si>
  <si>
    <t>03218424426</t>
  </si>
  <si>
    <t xml:space="preserve">OFFICE NO F-4 FAZAL CENTER OLD MUSL IM TOWN SAFE STAY GIRLS HOSTEL WAHD AT ROAD LAHORE </t>
  </si>
  <si>
    <t>58470/00237/02/2022</t>
  </si>
  <si>
    <t>207113</t>
  </si>
  <si>
    <t>1107077</t>
  </si>
  <si>
    <t>OLDLHR300084663</t>
  </si>
  <si>
    <t>DIB0033604</t>
  </si>
  <si>
    <t>9976AP1240710006</t>
  </si>
  <si>
    <t>HAMZA MUDASSAR</t>
  </si>
  <si>
    <t>33100-2156872-7</t>
  </si>
  <si>
    <t>03084996615</t>
  </si>
  <si>
    <t>03084996615, 03084996615</t>
  </si>
  <si>
    <t xml:space="preserve">P-40-C BLOCK SAMANABAD FSD NEAR DHA KAN PARK FAISALABAD PK </t>
  </si>
  <si>
    <t>84828/00004/03/2024</t>
  </si>
  <si>
    <t>17438307</t>
  </si>
  <si>
    <t>R178136</t>
  </si>
  <si>
    <t>LEA-16-1553</t>
  </si>
  <si>
    <t>OLUFSD300099478</t>
  </si>
  <si>
    <t>11002/03/2024/ITFM</t>
  </si>
  <si>
    <t>9976AP2240780002</t>
  </si>
  <si>
    <t>MUHAMMAD ISMAIL</t>
  </si>
  <si>
    <t>33100-0226550-5</t>
  </si>
  <si>
    <t>03008659642</t>
  </si>
  <si>
    <t xml:space="preserve">SHAHER INTERNATIONAL 40,41 9TH FLOOR ARKAY SQUARE NEW CHALLI SHAHRAH E LIAQAT KARACHI 0321-6618642 </t>
  </si>
  <si>
    <t>54828/00007/03/2024</t>
  </si>
  <si>
    <t>300664</t>
  </si>
  <si>
    <t>1200645</t>
  </si>
  <si>
    <t>21-MAR-2024</t>
  </si>
  <si>
    <t>OLDFSD300099504</t>
  </si>
  <si>
    <t>11016/03/2024/ITFM</t>
  </si>
  <si>
    <t>9976AP1210570027</t>
  </si>
  <si>
    <t>MEHREEN KHAN</t>
  </si>
  <si>
    <t>35202-9089646-6</t>
  </si>
  <si>
    <t>03345688748</t>
  </si>
  <si>
    <t xml:space="preserve">5-6 BLOCK D-1 PHASE 1 JOHAR TOWN LAHORE </t>
  </si>
  <si>
    <t>53740/00092/02/2021</t>
  </si>
  <si>
    <t>6R114188</t>
  </si>
  <si>
    <t>NF1AET306H1014147</t>
  </si>
  <si>
    <t>LE-20-2219</t>
  </si>
  <si>
    <t>ALTO VXR EURO-II</t>
  </si>
  <si>
    <t>OLULHR300066198</t>
  </si>
  <si>
    <t>4380/02/2021/ITFM</t>
  </si>
  <si>
    <t>9976AP1220560030</t>
  </si>
  <si>
    <t>MATI UR REHMAN</t>
  </si>
  <si>
    <t>41304-5967545-3</t>
  </si>
  <si>
    <t>03113027852</t>
  </si>
  <si>
    <t xml:space="preserve">H NO 208 BLOCK C UNIT # 10 LATIFABA D HYDERABAD PK </t>
  </si>
  <si>
    <t>58470/00227/02/2022</t>
  </si>
  <si>
    <t>163087</t>
  </si>
  <si>
    <t>1063106</t>
  </si>
  <si>
    <t>BTY-286</t>
  </si>
  <si>
    <t>OLUHYD300084578</t>
  </si>
  <si>
    <t>DIB0033583</t>
  </si>
  <si>
    <t>9976AP2210570011</t>
  </si>
  <si>
    <t>MUHAMMAD AHSAN AKHTAR</t>
  </si>
  <si>
    <t>33102-1788832-1</t>
  </si>
  <si>
    <t>03008660265</t>
  </si>
  <si>
    <t>03008660265, 03008660265</t>
  </si>
  <si>
    <t>0412633200</t>
  </si>
  <si>
    <t xml:space="preserve">217 DAEWOO ROAD UPPER FLOOR SITARA SAPNA CITY FAISALABAD </t>
  </si>
  <si>
    <t>COMP/P/53894/02/2021</t>
  </si>
  <si>
    <t>2TR-1840961</t>
  </si>
  <si>
    <t>TRJ150-0070702</t>
  </si>
  <si>
    <t>LAND RUISER PRADO TXL</t>
  </si>
  <si>
    <t>OLUFSD300066112</t>
  </si>
  <si>
    <t>DIB0029643</t>
  </si>
  <si>
    <t>24-FEB-2021</t>
  </si>
  <si>
    <t>9976AP1220560022</t>
  </si>
  <si>
    <t>FAHAD ALI BHATTI</t>
  </si>
  <si>
    <t>35202-2906071-9</t>
  </si>
  <si>
    <t>35223238</t>
  </si>
  <si>
    <t>36297556</t>
  </si>
  <si>
    <t xml:space="preserve">H NO 483 B BLOCK JOHAR TOWN LAHORE </t>
  </si>
  <si>
    <t>58470/00219/02/2022</t>
  </si>
  <si>
    <t>326373</t>
  </si>
  <si>
    <t>506289</t>
  </si>
  <si>
    <t>ASU-719</t>
  </si>
  <si>
    <t>OLULHR300084652</t>
  </si>
  <si>
    <t>6454/02/2022</t>
  </si>
  <si>
    <t>9976AP1220560029</t>
  </si>
  <si>
    <t>MUHAMMAD KHIZAR MUJEEB KHAN</t>
  </si>
  <si>
    <t>42501-5061557-7</t>
  </si>
  <si>
    <t>03162121011</t>
  </si>
  <si>
    <t xml:space="preserve">HOUSE # CS-18 RAFI GARDEN JAMA MILI A MALIR KARACHI PK </t>
  </si>
  <si>
    <t>58470/00232/02/2022</t>
  </si>
  <si>
    <t>14806343</t>
  </si>
  <si>
    <t>23029</t>
  </si>
  <si>
    <t>BJ-5857</t>
  </si>
  <si>
    <t>HONDA BRV-IVTECS</t>
  </si>
  <si>
    <t>OLUKHI300084695</t>
  </si>
  <si>
    <t>DIB0033599</t>
  </si>
  <si>
    <t>9976AP1220560027</t>
  </si>
  <si>
    <t>SYED ZAFAR ALI</t>
  </si>
  <si>
    <t>42201-5937436-7</t>
  </si>
  <si>
    <t>03332207967</t>
  </si>
  <si>
    <t xml:space="preserve">HOUSE # A-94 BLOCK #4 GULISTAN E JOHAR NEAR DARUL SEHAT KARACHI PK </t>
  </si>
  <si>
    <t>58470/00231/02/2022</t>
  </si>
  <si>
    <t>504835</t>
  </si>
  <si>
    <t>1001046</t>
  </si>
  <si>
    <t>BUA-870</t>
  </si>
  <si>
    <t>CHANGAN ALSVIN 1.5L</t>
  </si>
  <si>
    <t>OLUKHI300084646</t>
  </si>
  <si>
    <t>DIB0033594</t>
  </si>
  <si>
    <t>9976AP1220560028</t>
  </si>
  <si>
    <t>MUHAMMAD KAMAL KHAN</t>
  </si>
  <si>
    <t>42101-1941826-5</t>
  </si>
  <si>
    <t>03212429312</t>
  </si>
  <si>
    <t xml:space="preserve">R-1436 BLOCK 15 DASTAGIR SOCIETY FB AREA KARACHI PK </t>
  </si>
  <si>
    <t>58470/00230/02/2022</t>
  </si>
  <si>
    <t>3504720</t>
  </si>
  <si>
    <t>004721</t>
  </si>
  <si>
    <t>HONDA BRV-IVTEC S</t>
  </si>
  <si>
    <t>OLUKHI300084645</t>
  </si>
  <si>
    <t>DIB0033598</t>
  </si>
  <si>
    <t>9976AP1220590032</t>
  </si>
  <si>
    <t>MUHAMMAD ASIF</t>
  </si>
  <si>
    <t>41302-6615676-9</t>
  </si>
  <si>
    <t>03152281053</t>
  </si>
  <si>
    <t xml:space="preserve">HOUSE # 70 GULSHAN E HAMID ALI SOCI ETY TANDO YOUSUF NEAR JAMA MASJID H HYDERABAD PK </t>
  </si>
  <si>
    <t>58470/00217/02/2022</t>
  </si>
  <si>
    <t>512608</t>
  </si>
  <si>
    <t>4138838</t>
  </si>
  <si>
    <t>BLS-294</t>
  </si>
  <si>
    <t>OLUHYD300084537</t>
  </si>
  <si>
    <t>DIB0033580</t>
  </si>
  <si>
    <t>9976AP1220550010</t>
  </si>
  <si>
    <t>UZMA AMIR</t>
  </si>
  <si>
    <t>35200-1497305-8</t>
  </si>
  <si>
    <t>03009416234</t>
  </si>
  <si>
    <t xml:space="preserve">DIVISIONAL PUBLIC SCHOOL and INTERMED IATE COLLEGE TOWNSHIP BRANCH LAHORE </t>
  </si>
  <si>
    <t>58470/00220/02/2022</t>
  </si>
  <si>
    <t>16914256</t>
  </si>
  <si>
    <t>066057</t>
  </si>
  <si>
    <t>AUJ-510</t>
  </si>
  <si>
    <t>HONDA CIVIC IVTEC P/T</t>
  </si>
  <si>
    <t>OLULHR300084601</t>
  </si>
  <si>
    <t>6449/02/2022</t>
  </si>
  <si>
    <t>23-FEB-2022</t>
  </si>
  <si>
    <t>9976AP1220590001</t>
  </si>
  <si>
    <t>AHMAD KAMAL</t>
  </si>
  <si>
    <t>38403-8775910-1</t>
  </si>
  <si>
    <t>03074070896</t>
  </si>
  <si>
    <t xml:space="preserve">IPC ENGINEERING CO 235-A LALAZAR COMMERCIAL RAIWIND ROAD LAHORE 0307-4070896 </t>
  </si>
  <si>
    <t>58470/00233/02/2022</t>
  </si>
  <si>
    <t>PK10K115998</t>
  </si>
  <si>
    <t>NF1AVK31H10015962</t>
  </si>
  <si>
    <t>LEC-18-724</t>
  </si>
  <si>
    <t>OLULHR300084684</t>
  </si>
  <si>
    <t>DIB0033603</t>
  </si>
  <si>
    <t>9976AD1212500011</t>
  </si>
  <si>
    <t>MOHAMMAD YASEEN</t>
  </si>
  <si>
    <t>42201-0244733-5</t>
  </si>
  <si>
    <t>03003727080 03353028794</t>
  </si>
  <si>
    <t xml:space="preserve">Y.I. COMMODITIES FLAT NO B-13 4TH FLOOR PRIME CENTRE BLOCK 7 F.B AREA KARACHI </t>
  </si>
  <si>
    <t>58470/00229/02/2022</t>
  </si>
  <si>
    <t>6R214470</t>
  </si>
  <si>
    <t>1114471</t>
  </si>
  <si>
    <t>OLAKHI300073150</t>
  </si>
  <si>
    <t>DIB0033556</t>
  </si>
  <si>
    <t>9976AP1220560024</t>
  </si>
  <si>
    <t>MUHAMMAD UMER FAROOQUE KHAN</t>
  </si>
  <si>
    <t>Tando alla Yar</t>
  </si>
  <si>
    <t>41307-4543687-1</t>
  </si>
  <si>
    <t>03098043510</t>
  </si>
  <si>
    <t xml:space="preserve">HOUSE # 10 MOHALLA QAIMABAD TANDO A LLAHYAR NEAR QAIMABAD COLONY TANDO TANDO ALLAHYAR PK </t>
  </si>
  <si>
    <t>58470/00221/02/2022</t>
  </si>
  <si>
    <t>6R106034</t>
  </si>
  <si>
    <t>306H1005985</t>
  </si>
  <si>
    <t>BRA-149</t>
  </si>
  <si>
    <t>OLUTNA300084592</t>
  </si>
  <si>
    <t>DIB0033581</t>
  </si>
  <si>
    <t>9976AP1220590005</t>
  </si>
  <si>
    <t>HASEEB YOUNAS</t>
  </si>
  <si>
    <t>35202-4480091-3</t>
  </si>
  <si>
    <t>03219445093</t>
  </si>
  <si>
    <t xml:space="preserve">H # 3 ST # 4 MEHAR NAZIR PARK BUND ROAD SANDA NEAR DOGAR MKT LAHORE PK </t>
  </si>
  <si>
    <t>58470/00222/02/2022</t>
  </si>
  <si>
    <t>PK10B150532</t>
  </si>
  <si>
    <t>A1J310PK10050503</t>
  </si>
  <si>
    <t>LEA-18-6255</t>
  </si>
  <si>
    <t>OLULHR300064668</t>
  </si>
  <si>
    <t>DIB0033592</t>
  </si>
  <si>
    <t>9976AD1233320005</t>
  </si>
  <si>
    <t>MOHAMMAD AFZAL</t>
  </si>
  <si>
    <t>33102-1795968-3</t>
  </si>
  <si>
    <t>03009650293</t>
  </si>
  <si>
    <t>041-2690100</t>
  </si>
  <si>
    <t xml:space="preserve">H # P-179 ST # 12 RAJA COLONY NEAR NOORANI MASJID FAISALABAD </t>
  </si>
  <si>
    <t>83427/00006/02/2024</t>
  </si>
  <si>
    <t>299796</t>
  </si>
  <si>
    <t>1199808</t>
  </si>
  <si>
    <t>OLAFSD300098190</t>
  </si>
  <si>
    <t>DIB0035566</t>
  </si>
  <si>
    <t>23-FEB-2024</t>
  </si>
  <si>
    <t>997AAD1200600022</t>
  </si>
  <si>
    <t>ADEEL ANWAR</t>
  </si>
  <si>
    <t>42301-4863134-5</t>
  </si>
  <si>
    <t>03332278198</t>
  </si>
  <si>
    <t>32202044</t>
  </si>
  <si>
    <t xml:space="preserve">15/1 GREEK LANE PHASE 7 DHA KARACHI PK </t>
  </si>
  <si>
    <t>51999/00026/03/2020</t>
  </si>
  <si>
    <t>Q064893</t>
  </si>
  <si>
    <t>ZRE171R-6042372</t>
  </si>
  <si>
    <t>BRQ-933</t>
  </si>
  <si>
    <t>21-MAR-2020</t>
  </si>
  <si>
    <t>POAKHI300053494</t>
  </si>
  <si>
    <t>2528/03/2020/ITFM</t>
  </si>
  <si>
    <t>12-MAR-2020</t>
  </si>
  <si>
    <t>9976AD1212090012</t>
  </si>
  <si>
    <t>MALIK KHALID JAVED</t>
  </si>
  <si>
    <t>35202-7915586-9</t>
  </si>
  <si>
    <t>04235916826</t>
  </si>
  <si>
    <t>03008485679</t>
  </si>
  <si>
    <t>35115961-62 35118436</t>
  </si>
  <si>
    <t xml:space="preserve">H NO 48-K BLOCK MODEL TOWN LAHORE </t>
  </si>
  <si>
    <t>59040/001/02/2022</t>
  </si>
  <si>
    <t>264915-30-45797</t>
  </si>
  <si>
    <t>W1K-213076-2B-013136</t>
  </si>
  <si>
    <t>MERCEDES BENZ E 180</t>
  </si>
  <si>
    <t>OLALHR300070959</t>
  </si>
  <si>
    <t>9976AD1213220010</t>
  </si>
  <si>
    <t>WAQAR HUSSAIN</t>
  </si>
  <si>
    <t>36103-1033263-7</t>
  </si>
  <si>
    <t>00460734805614</t>
  </si>
  <si>
    <t xml:space="preserve">GULSPORREGATAN 2A STOCKHOLM 72228 SWEDEN </t>
  </si>
  <si>
    <t>58470/00208/02/2022</t>
  </si>
  <si>
    <t>Q090505</t>
  </si>
  <si>
    <t>6068014</t>
  </si>
  <si>
    <t>OLALHR300079124</t>
  </si>
  <si>
    <t>6443/02/2022</t>
  </si>
  <si>
    <t>9976AP1220570053</t>
  </si>
  <si>
    <t>ASIF MERAJ</t>
  </si>
  <si>
    <t>35201-3975075-3</t>
  </si>
  <si>
    <t>03214976428</t>
  </si>
  <si>
    <t xml:space="preserve">376-A GT ROAD DAROGHAWALA OPPOSITE MCB BANK LAHORE </t>
  </si>
  <si>
    <t>58470/00205/02/2022</t>
  </si>
  <si>
    <t>PK10K184513</t>
  </si>
  <si>
    <t>NF1AVK31H10084497</t>
  </si>
  <si>
    <t>AFA-728</t>
  </si>
  <si>
    <t>OLULHR300084600</t>
  </si>
  <si>
    <t>6450/02/2022</t>
  </si>
  <si>
    <t>9976AD1223650011</t>
  </si>
  <si>
    <t>JAFFAR HUSSAIN</t>
  </si>
  <si>
    <t>33100-1424085-9</t>
  </si>
  <si>
    <t>03007613345</t>
  </si>
  <si>
    <t>03007613345, 03007613345</t>
  </si>
  <si>
    <t xml:space="preserve">10 FIRST FLOOR ST NO 3 MAIN BAZAR MILLAT ROAD CHAK NO 121 JB GOKHOWAL FAISALABAD PK </t>
  </si>
  <si>
    <t>68593/00007/03/2023</t>
  </si>
  <si>
    <t>7789</t>
  </si>
  <si>
    <t>001986</t>
  </si>
  <si>
    <t>PROTON SAGA A/T ACE</t>
  </si>
  <si>
    <t>31-DEC-2022</t>
  </si>
  <si>
    <t>OLAFSD300091500</t>
  </si>
  <si>
    <t>10152/03/2023</t>
  </si>
  <si>
    <t>9976AP1220560020</t>
  </si>
  <si>
    <t>TAIMOOR IQBAL MIRZA</t>
  </si>
  <si>
    <t>37401-6794348-7</t>
  </si>
  <si>
    <t>03219883140</t>
  </si>
  <si>
    <t>0514853771</t>
  </si>
  <si>
    <t xml:space="preserve">TECHSOUL F-08, FIRST FLOOR, MALIKABAD SHOPING MALL, MAIN MURREE ROAD RAWALPINDI </t>
  </si>
  <si>
    <t>58470/00214/02/2022</t>
  </si>
  <si>
    <t>17462511</t>
  </si>
  <si>
    <t>205696</t>
  </si>
  <si>
    <t>AEB-961</t>
  </si>
  <si>
    <t>HONDA CITY I-VTEC M/T</t>
  </si>
  <si>
    <t>OLUISD300084611</t>
  </si>
  <si>
    <t>DIB0033573</t>
  </si>
  <si>
    <t>9976AP1220550006</t>
  </si>
  <si>
    <t>TARIQ</t>
  </si>
  <si>
    <t>42301-1115582-1</t>
  </si>
  <si>
    <t>03148062920</t>
  </si>
  <si>
    <t>922134385115</t>
  </si>
  <si>
    <t xml:space="preserve">B-166 BLOCK N NORTH NAZIMABAD NEAR KAKA GROUND KARACHI </t>
  </si>
  <si>
    <t>58470/00209/02/2022</t>
  </si>
  <si>
    <t>LISA79754447</t>
  </si>
  <si>
    <t>2665GR186354</t>
  </si>
  <si>
    <t>BFU-127</t>
  </si>
  <si>
    <t>OLUKHI300084581</t>
  </si>
  <si>
    <t>DIB0033567</t>
  </si>
  <si>
    <t>9976AP1220590002</t>
  </si>
  <si>
    <t>ALI HASSAN</t>
  </si>
  <si>
    <t>35200-6911644-5</t>
  </si>
  <si>
    <t>03244183036 03374836413</t>
  </si>
  <si>
    <t xml:space="preserve">HOUSE NO:178, BLOCK-P JOHAR TOWN, LAHORE. </t>
  </si>
  <si>
    <t>58470/00206/02/2022</t>
  </si>
  <si>
    <t>229593</t>
  </si>
  <si>
    <t>10129587</t>
  </si>
  <si>
    <t>OLDLHR300084591</t>
  </si>
  <si>
    <t>6451/02/2022</t>
  </si>
  <si>
    <t>9976AD1212440024</t>
  </si>
  <si>
    <t>SYED ALI HASSAN KAZMI</t>
  </si>
  <si>
    <t>35202-0919966-7</t>
  </si>
  <si>
    <t>03234438655</t>
  </si>
  <si>
    <t xml:space="preserve">91-92 A-BLOCK NAZ TOWN NEAR VALANCI A TOWN LAHORE </t>
  </si>
  <si>
    <t>58470/00207/02/2022</t>
  </si>
  <si>
    <t>6R212860</t>
  </si>
  <si>
    <t>306H1112911</t>
  </si>
  <si>
    <t>SUZUKI ALTO VXR AGS EURO II</t>
  </si>
  <si>
    <t>OLALHR300072707</t>
  </si>
  <si>
    <t>DIB0033564</t>
  </si>
  <si>
    <t>9976AP1220550012</t>
  </si>
  <si>
    <t>AMIR MAHMOOD</t>
  </si>
  <si>
    <t>35200-4061542-1</t>
  </si>
  <si>
    <t>03215816441</t>
  </si>
  <si>
    <t>0514938213</t>
  </si>
  <si>
    <t xml:space="preserve">H # 732 ST # 71 SECTOR I-8/3 NEAR S ANGUM MARKET ISLAMABAD PK </t>
  </si>
  <si>
    <t>58470/00203/02/2022</t>
  </si>
  <si>
    <t>111749</t>
  </si>
  <si>
    <t>1011721</t>
  </si>
  <si>
    <t>ARU-722</t>
  </si>
  <si>
    <t>OLUISD300084567</t>
  </si>
  <si>
    <t>DIB0033560</t>
  </si>
  <si>
    <t>9976AP2220570014</t>
  </si>
  <si>
    <t>MUHAMMAD NADIR ALMAS</t>
  </si>
  <si>
    <t>33105-3730660-9</t>
  </si>
  <si>
    <t>0413416028</t>
  </si>
  <si>
    <t>03007246228, 03007246228</t>
  </si>
  <si>
    <t>03007246228</t>
  </si>
  <si>
    <t xml:space="preserve">CHAK NO 228 GB ST NO 01 NARA DADA N EAR GIRLS PRIMARY SCHOOL SAMUNDRI FAISALABAD PK </t>
  </si>
  <si>
    <t>58470/000210/02/2022</t>
  </si>
  <si>
    <t>229847</t>
  </si>
  <si>
    <t>10129836</t>
  </si>
  <si>
    <t>OLDFSD300084572</t>
  </si>
  <si>
    <t>DIB0033558</t>
  </si>
  <si>
    <t>9976AD1203660026</t>
  </si>
  <si>
    <t>NASIR IQBAL</t>
  </si>
  <si>
    <t>82101-5340671-1</t>
  </si>
  <si>
    <t>03335692925</t>
  </si>
  <si>
    <t>0514939238</t>
  </si>
  <si>
    <t xml:space="preserve">ST # 05 UNION COUNCIL ROAD KORAL TO WN RAWALPINDI PK </t>
  </si>
  <si>
    <t>53740/00087/02/2021</t>
  </si>
  <si>
    <t>156991</t>
  </si>
  <si>
    <t>1056989</t>
  </si>
  <si>
    <t>OLARWP300064576</t>
  </si>
  <si>
    <t>4350/02/2021/ITFM</t>
  </si>
  <si>
    <t>23-FEB-2021</t>
  </si>
  <si>
    <t>9976AD2212700003</t>
  </si>
  <si>
    <t>SUMAIRA JABEEN</t>
  </si>
  <si>
    <t>33202-5511157-6</t>
  </si>
  <si>
    <t>03314111487</t>
  </si>
  <si>
    <t>04237481234</t>
  </si>
  <si>
    <t xml:space="preserve">HOSUE NO 22 N BLOCK UPPER PORTION A L REHMAN GARDEN PHASE 2 LAHORE PK </t>
  </si>
  <si>
    <t>58470/00204/02/2022</t>
  </si>
  <si>
    <t>R207346</t>
  </si>
  <si>
    <t>NF1AET306H1107263</t>
  </si>
  <si>
    <t>OLALHR300073899</t>
  </si>
  <si>
    <t>DIB0033561</t>
  </si>
  <si>
    <t>9976AP1220560019</t>
  </si>
  <si>
    <t>MUHAMMAD ALEEM ARAIN</t>
  </si>
  <si>
    <t>41203-4246863-7</t>
  </si>
  <si>
    <t>03458988756</t>
  </si>
  <si>
    <t xml:space="preserve">FLAT # 9 2ND FLOOR SALEEM RESIDENCY BLOCK E UNIT # 6 HYDERABAD PK </t>
  </si>
  <si>
    <t>58470/00212/02/2022</t>
  </si>
  <si>
    <t>593377</t>
  </si>
  <si>
    <t>500260</t>
  </si>
  <si>
    <t>BBS-664</t>
  </si>
  <si>
    <t>OLUHYD300084575</t>
  </si>
  <si>
    <t>DIB0033568</t>
  </si>
  <si>
    <t>9976AP1240540025</t>
  </si>
  <si>
    <t>AJAB GUL</t>
  </si>
  <si>
    <t>42401-6478846-1</t>
  </si>
  <si>
    <t>03428133118</t>
  </si>
  <si>
    <t>35140683</t>
  </si>
  <si>
    <t xml:space="preserve">HOUSE # C-41 BLOCK-1 NEAR CLIFTON MEDICAL CENTER CLIFTON KARACHI PK </t>
  </si>
  <si>
    <t>83427/0005/02/2024</t>
  </si>
  <si>
    <t>299445</t>
  </si>
  <si>
    <t>1199420</t>
  </si>
  <si>
    <t>SUZUKI ALTO VXL EURO II</t>
  </si>
  <si>
    <t>OLDKHI300099352</t>
  </si>
  <si>
    <t>10925/02/2024/ITFM</t>
  </si>
  <si>
    <t>22-FEB-2024</t>
  </si>
  <si>
    <t>9976AP1220600063</t>
  </si>
  <si>
    <t>RANA MUHAMMAD ZAHID</t>
  </si>
  <si>
    <t>OKARA</t>
  </si>
  <si>
    <t>35302-7358006-3</t>
  </si>
  <si>
    <t>0442510103</t>
  </si>
  <si>
    <t>03226954935</t>
  </si>
  <si>
    <t xml:space="preserve">HOUSE NUMBER 151-152 FAISAL COLONY NUMBER 2 OKARA </t>
  </si>
  <si>
    <t>58470/00199/02/2022</t>
  </si>
  <si>
    <t>PK10B203790</t>
  </si>
  <si>
    <t>A1J310PK10103778</t>
  </si>
  <si>
    <t>LEA-20-7027</t>
  </si>
  <si>
    <t>OLUOKR300084589</t>
  </si>
  <si>
    <t>DIB0033553</t>
  </si>
  <si>
    <t>9976AP2220530016</t>
  </si>
  <si>
    <t>SYED MEHER ALI GILLANI</t>
  </si>
  <si>
    <t>Muzaffarabad</t>
  </si>
  <si>
    <t>82203-4121470-7</t>
  </si>
  <si>
    <t>03338883330</t>
  </si>
  <si>
    <t xml:space="preserve">POST OFFICE MUZAFFRABAD DHANI SYEDAN TEH AND DISTT MUZAFFARABAD 03338883330 </t>
  </si>
  <si>
    <t>58470/00187/02/2022</t>
  </si>
  <si>
    <t>346575</t>
  </si>
  <si>
    <t>7045722</t>
  </si>
  <si>
    <t>ASH-021</t>
  </si>
  <si>
    <t>TOYOTA COROLLA ALTIS GRANDE</t>
  </si>
  <si>
    <t>OLUMFD300084427</t>
  </si>
  <si>
    <t>6403/02/2022</t>
  </si>
  <si>
    <t>19-FEB-2022</t>
  </si>
  <si>
    <t>9976AP1220800002</t>
  </si>
  <si>
    <t>MAJID JAVED</t>
  </si>
  <si>
    <t>34603-9265793-7</t>
  </si>
  <si>
    <t>03045346008</t>
  </si>
  <si>
    <t>03042306008</t>
  </si>
  <si>
    <t xml:space="preserve">HOUSE NO 198 IMAM HUSSAIN STREET KH OKHAR TOWN SIALKOT PK </t>
  </si>
  <si>
    <t>12/P/T111/0004776/0322/01</t>
  </si>
  <si>
    <t>531455</t>
  </si>
  <si>
    <t>1006230</t>
  </si>
  <si>
    <t>OLDSKT300085595</t>
  </si>
  <si>
    <t>DIB0033845</t>
  </si>
  <si>
    <t>9976AD2213470007</t>
  </si>
  <si>
    <t>BASALAT YOUSAF DAR</t>
  </si>
  <si>
    <t>42301-4034032-3</t>
  </si>
  <si>
    <t>35838538</t>
  </si>
  <si>
    <t>03212060344</t>
  </si>
  <si>
    <t>35864497 8</t>
  </si>
  <si>
    <t xml:space="preserve">B-12 SEABREEZE SUPER STAR BLOCK 7 BOAT BASIN CLIFTON KARACHI </t>
  </si>
  <si>
    <t>58470/00189/02/2022</t>
  </si>
  <si>
    <t>16931049</t>
  </si>
  <si>
    <t>084079</t>
  </si>
  <si>
    <t>HONDA CIVIC IVTEC</t>
  </si>
  <si>
    <t>OLAKHI300081882</t>
  </si>
  <si>
    <t>DIB0033497</t>
  </si>
  <si>
    <t>9976AP2220740018</t>
  </si>
  <si>
    <t>MUHAMMAD ATTIQUE</t>
  </si>
  <si>
    <t>37406-0511010-5</t>
  </si>
  <si>
    <t>03145811169</t>
  </si>
  <si>
    <t xml:space="preserve">HOUSE# CB-79, ST# 02, JAMEELABAD, TAXILA DISTRICT RAWALPINDI </t>
  </si>
  <si>
    <t>59294/00089/03/2022</t>
  </si>
  <si>
    <t>501104</t>
  </si>
  <si>
    <t>4127106</t>
  </si>
  <si>
    <t>AEE-990</t>
  </si>
  <si>
    <t>OLUISD300085617</t>
  </si>
  <si>
    <t>6559/03/2022</t>
  </si>
  <si>
    <t>997AAD2202890003</t>
  </si>
  <si>
    <t>IMRAN FASIHI</t>
  </si>
  <si>
    <t>42101-1643346-1</t>
  </si>
  <si>
    <t>02136641023</t>
  </si>
  <si>
    <t>03328220320</t>
  </si>
  <si>
    <t xml:space="preserve">HOUSE NO F-69 BLOCK-F N NAZ KHI </t>
  </si>
  <si>
    <t>53740/00078/02/2021</t>
  </si>
  <si>
    <t>Q071976</t>
  </si>
  <si>
    <t>6049373</t>
  </si>
  <si>
    <t>POAKHI300058580</t>
  </si>
  <si>
    <t>DIB0029612</t>
  </si>
  <si>
    <t>17-FEB-2021</t>
  </si>
  <si>
    <t>9976AD2203420002</t>
  </si>
  <si>
    <t>MUHAMMAD SHAHAN</t>
  </si>
  <si>
    <t>42101-8653914-1</t>
  </si>
  <si>
    <t>03122780808</t>
  </si>
  <si>
    <t>03122780808, 03222780808</t>
  </si>
  <si>
    <t xml:space="preserve">HOUSE 4/366 LIAQUAT ABAD 4 BEHIND C AFE BEW ABDULLAH 1ST FLOOR JAMA-E- KARACHI PK </t>
  </si>
  <si>
    <t>53740/00079/02/2021</t>
  </si>
  <si>
    <t>Q072094</t>
  </si>
  <si>
    <t>6049492</t>
  </si>
  <si>
    <t>POAKHI300063342</t>
  </si>
  <si>
    <t>4292/02/2021/ITFM</t>
  </si>
  <si>
    <t>15-FEB-2021</t>
  </si>
  <si>
    <t>9976AD1220490018</t>
  </si>
  <si>
    <t>SYED ALI RAZA</t>
  </si>
  <si>
    <t>35202-9648390-5</t>
  </si>
  <si>
    <t>0300-9405888</t>
  </si>
  <si>
    <t>35882157-9</t>
  </si>
  <si>
    <t xml:space="preserve">SYED ALI RAZA OFFICE 3RD FLOOR LAHORE TOWER NEW GARDEN TOWN LAHORE </t>
  </si>
  <si>
    <t>58470/00202/02/2022</t>
  </si>
  <si>
    <t>81004966</t>
  </si>
  <si>
    <t>R013128</t>
  </si>
  <si>
    <t>OLALHR300084341</t>
  </si>
  <si>
    <t>6440/02/2022</t>
  </si>
  <si>
    <t>9976AP1230740009</t>
  </si>
  <si>
    <t>RAB DEENO</t>
  </si>
  <si>
    <t>42501-1611073-9</t>
  </si>
  <si>
    <t>03142792019</t>
  </si>
  <si>
    <t xml:space="preserve">KE 517 1ST FLOOR ZIA UL HAQ COLONY BLOCK 1 GULSHAN E IQBAL KHI KARACHI PK </t>
  </si>
  <si>
    <t>68593/00008/03/2023</t>
  </si>
  <si>
    <t>1028231</t>
  </si>
  <si>
    <t>1144749</t>
  </si>
  <si>
    <t>SUZUKI BOLAN VX EURO-II</t>
  </si>
  <si>
    <t>15-MAR-2023</t>
  </si>
  <si>
    <t>OLDKHI300092653</t>
  </si>
  <si>
    <t>10160/03/2023/ITFM</t>
  </si>
  <si>
    <t>9976AP1220530058</t>
  </si>
  <si>
    <t>ERUM ASHFAQ</t>
  </si>
  <si>
    <t>42101-3901653-8</t>
  </si>
  <si>
    <t>03332315565</t>
  </si>
  <si>
    <t xml:space="preserve">703 7 TH FLOOR BLOCK C-1 AL KHALEEJ TOWER YESSENABAD BLOCK 8 SHOHDA QA KARACHI PK </t>
  </si>
  <si>
    <t>58470/00185/02/2022</t>
  </si>
  <si>
    <t>LP123864</t>
  </si>
  <si>
    <t>KP705018</t>
  </si>
  <si>
    <t>BTQ-821</t>
  </si>
  <si>
    <t>OLUKHI300084544</t>
  </si>
  <si>
    <t>DIB0033538</t>
  </si>
  <si>
    <t>997AAD2202960007</t>
  </si>
  <si>
    <t>FARHAN SHARIF</t>
  </si>
  <si>
    <t>36302-8129226-5</t>
  </si>
  <si>
    <t>03223406304</t>
  </si>
  <si>
    <t xml:space="preserve">SHOP # S-46 AKBER PARADISE OPP ALAD IN PARK RASHID MINHAS ROAD BLOCK 10 -A GULSHNA-E-IQBAL NEAR BLUE RIBBON KARACHI </t>
  </si>
  <si>
    <t>Q071929</t>
  </si>
  <si>
    <t>6049397</t>
  </si>
  <si>
    <t>POAKHI300058955</t>
  </si>
  <si>
    <t>DIB0029579</t>
  </si>
  <si>
    <t>9976AP1220540065</t>
  </si>
  <si>
    <t>SOHAIL ALI SYED</t>
  </si>
  <si>
    <t>35201-5374377-9</t>
  </si>
  <si>
    <t>03458455352</t>
  </si>
  <si>
    <t xml:space="preserve">G-1 KHURSHID PLAZA MAIN BOULEVARD D HA NEAR RASHEED HOSPITAL LAHORE </t>
  </si>
  <si>
    <t>58470/00186/02/2022</t>
  </si>
  <si>
    <t>1006075</t>
  </si>
  <si>
    <t>009366</t>
  </si>
  <si>
    <t>HONDA CITY I-VTEC 1.2L CVT</t>
  </si>
  <si>
    <t>OLDLHR300084496</t>
  </si>
  <si>
    <t>6410/02/2022</t>
  </si>
  <si>
    <t>21-FEB-2022</t>
  </si>
  <si>
    <t>9976AP1220570031</t>
  </si>
  <si>
    <t>NAVEED IQBAL</t>
  </si>
  <si>
    <t>35201-1260970-9</t>
  </si>
  <si>
    <t>0321-9419063</t>
  </si>
  <si>
    <t xml:space="preserve">HOUSE# 742, ASKARI-9, LAHORE </t>
  </si>
  <si>
    <t>58470/00192/02/2022</t>
  </si>
  <si>
    <t>3500855</t>
  </si>
  <si>
    <t>000824</t>
  </si>
  <si>
    <t>LEF-17-3310</t>
  </si>
  <si>
    <t>HONDA BRV IVTEC-S</t>
  </si>
  <si>
    <t>OLULHR300084551</t>
  </si>
  <si>
    <t>6437/02/2022</t>
  </si>
  <si>
    <t>9976AD1212650018</t>
  </si>
  <si>
    <t>MUHAMMAD ILYAS ISHAQ</t>
  </si>
  <si>
    <t>36402-0694458-9</t>
  </si>
  <si>
    <t>03068748511</t>
  </si>
  <si>
    <t xml:space="preserve">45-1 C-1 LAJNA CHOWK COLLEGE ROAD LAHORE </t>
  </si>
  <si>
    <t>58470/00201/02/2022</t>
  </si>
  <si>
    <t>PK10K192816</t>
  </si>
  <si>
    <t>H10092805</t>
  </si>
  <si>
    <t>OLALHR300073832</t>
  </si>
  <si>
    <t>DIB0033550</t>
  </si>
  <si>
    <t>9976AD2203350022</t>
  </si>
  <si>
    <t>ASIF HUSSAIN SHAH</t>
  </si>
  <si>
    <t>42501-1821537-9</t>
  </si>
  <si>
    <t>03222592537</t>
  </si>
  <si>
    <t>02134322332</t>
  </si>
  <si>
    <t xml:space="preserve">HOUSE # 9/10SECTOR-F2 LABOUR COLONY STREET-1 LANDHI KARACHI PK </t>
  </si>
  <si>
    <t>53740/00084/02/2021</t>
  </si>
  <si>
    <t>13049855</t>
  </si>
  <si>
    <t>10049858</t>
  </si>
  <si>
    <t>SUZUKI SWIFT DLX ABS WITH EBD A/T</t>
  </si>
  <si>
    <t>POAKHI300063039</t>
  </si>
  <si>
    <t>DIB0029524</t>
  </si>
  <si>
    <t>19-FEB-2021</t>
  </si>
  <si>
    <t>9976AD2220310017</t>
  </si>
  <si>
    <t>MUHAMMAD ABBAS</t>
  </si>
  <si>
    <t>35202-6787928-5</t>
  </si>
  <si>
    <t>03214140083</t>
  </si>
  <si>
    <t>04237582658</t>
  </si>
  <si>
    <t xml:space="preserve">GROUND FLOOR ISHAQ MARKET ASHIQABAD ICHRA LAHORE </t>
  </si>
  <si>
    <t>58470/00198/02/2022</t>
  </si>
  <si>
    <t>507506</t>
  </si>
  <si>
    <t>1012179</t>
  </si>
  <si>
    <t>CHANGAN KARVAAN PLUS</t>
  </si>
  <si>
    <t>OLALHR300083482</t>
  </si>
  <si>
    <t>DIB0033557</t>
  </si>
  <si>
    <t>9976AD2212670013</t>
  </si>
  <si>
    <t>MUHAMMAD AZEEM</t>
  </si>
  <si>
    <t>42101-5396394-1</t>
  </si>
  <si>
    <t>03314075637</t>
  </si>
  <si>
    <t>03177711171</t>
  </si>
  <si>
    <t xml:space="preserve">OFF NO 605 COMMERCIAL BUILDING BLOC K H-3 JOHAR TOWN LAHORE </t>
  </si>
  <si>
    <t>58470/00200/02/2022</t>
  </si>
  <si>
    <t>PK10K193202</t>
  </si>
  <si>
    <t>NF1AVK31H10093222</t>
  </si>
  <si>
    <t>OLALHR300073893</t>
  </si>
  <si>
    <t>DIB0033554</t>
  </si>
  <si>
    <t>9976AP1220540069</t>
  </si>
  <si>
    <t>SAAD BASHIR</t>
  </si>
  <si>
    <t>42101-6651798-3</t>
  </si>
  <si>
    <t>03333033711</t>
  </si>
  <si>
    <t xml:space="preserve">HOUSE C- 32 SHADMAN HOME SECTER 7-D ANDA MORE NORTH KHI ANDA MORE KARACHI PK </t>
  </si>
  <si>
    <t>58470/00184/02/2022</t>
  </si>
  <si>
    <t>162889</t>
  </si>
  <si>
    <t>10062868</t>
  </si>
  <si>
    <t>BNA-352</t>
  </si>
  <si>
    <t>OLUKHI300084534</t>
  </si>
  <si>
    <t>DIB0033536</t>
  </si>
  <si>
    <t>9976AD2212420002</t>
  </si>
  <si>
    <t>SONIYA SIDDIQ</t>
  </si>
  <si>
    <t>42201-5139693-6</t>
  </si>
  <si>
    <t>03492169094</t>
  </si>
  <si>
    <t>0111111634</t>
  </si>
  <si>
    <t xml:space="preserve">NICE TARDE ORBIT BUILDING PLOT 44-B A and B BLOCK 6 PECHS SHAHRAH-E- FAI SAL FORTUNE CENTER KARACHI </t>
  </si>
  <si>
    <t>59294/00098/03/2022</t>
  </si>
  <si>
    <t>214979</t>
  </si>
  <si>
    <t>1115001</t>
  </si>
  <si>
    <t>30-AUG-2021</t>
  </si>
  <si>
    <t>OLAKHI300072495</t>
  </si>
  <si>
    <t>DIB0033706</t>
  </si>
  <si>
    <t>997AAD1203010037</t>
  </si>
  <si>
    <t>ADIL MAHMUD</t>
  </si>
  <si>
    <t>35202-4706103-9</t>
  </si>
  <si>
    <t>04236522986</t>
  </si>
  <si>
    <t>03008016754</t>
  </si>
  <si>
    <t>03227219907</t>
  </si>
  <si>
    <t xml:space="preserve">HOUSE NO 41-B, ST NO.3, BLOCK-A, AL-REHMAN GARDEN PHASE III, MANAWAN POLICE TRAINING CENTER LAHORE </t>
  </si>
  <si>
    <t>53740/00085/02/2021</t>
  </si>
  <si>
    <t>168696</t>
  </si>
  <si>
    <t>10068691</t>
  </si>
  <si>
    <t>CULTUS VXL EURO-II</t>
  </si>
  <si>
    <t>POALHR300059100</t>
  </si>
  <si>
    <t>DIB0029648</t>
  </si>
  <si>
    <t>9976AP1220760051</t>
  </si>
  <si>
    <t>MIRZA JAMSHED AKHTER</t>
  </si>
  <si>
    <t>42201-1049551-3</t>
  </si>
  <si>
    <t>03008293098</t>
  </si>
  <si>
    <t xml:space="preserve">HOUSE # A-75 AL FALAH SOCIETY SHAH FAISAL COLONY KARACHI PK </t>
  </si>
  <si>
    <t>59294/00103/03/2022</t>
  </si>
  <si>
    <t>111581</t>
  </si>
  <si>
    <t>10011570</t>
  </si>
  <si>
    <t>BEY-622</t>
  </si>
  <si>
    <t>OLUKHI300085682</t>
  </si>
  <si>
    <t>DIB0033872</t>
  </si>
  <si>
    <t>9976AP2210540004</t>
  </si>
  <si>
    <t>SARA KHALID</t>
  </si>
  <si>
    <t>34101-3095816-6</t>
  </si>
  <si>
    <t>03340493151</t>
  </si>
  <si>
    <t xml:space="preserve">HOUSE NO 1 BLOCK - D PUNJAB CORPORATIVE HOUSING SOCIETY GHAZI ROAD CANTT LAHORE PAKISTAN. </t>
  </si>
  <si>
    <t>53740/00076/02/2021</t>
  </si>
  <si>
    <t>13049641</t>
  </si>
  <si>
    <t>10049720</t>
  </si>
  <si>
    <t>SWIFT DLX ABS WITH EBD A/T</t>
  </si>
  <si>
    <t>OLDLHR300066036</t>
  </si>
  <si>
    <t>4340/02/2021</t>
  </si>
  <si>
    <t>9976AD1212440023</t>
  </si>
  <si>
    <t>MASOOD ANWAR</t>
  </si>
  <si>
    <t>35200-1516331-1</t>
  </si>
  <si>
    <t>03334250871</t>
  </si>
  <si>
    <t xml:space="preserve">H# 9086 -4214 -9087 AHMED PARK MOHN I ROAD LAHORE PK </t>
  </si>
  <si>
    <t>59294/00095/03/2022</t>
  </si>
  <si>
    <t>191913</t>
  </si>
  <si>
    <t>10091883</t>
  </si>
  <si>
    <t>01-SEP-2021</t>
  </si>
  <si>
    <t>OLALHR300072837</t>
  </si>
  <si>
    <t>DIB0033863</t>
  </si>
  <si>
    <t>9976AP2220770040</t>
  </si>
  <si>
    <t>FAISAL NAZEER</t>
  </si>
  <si>
    <t>37101-1748515-9</t>
  </si>
  <si>
    <t>03325069550</t>
  </si>
  <si>
    <t>0518443500</t>
  </si>
  <si>
    <t xml:space="preserve">H # 887 ST # 28 USMAN BLOCK BAHRIA TOWN PHASE 8 RAWALPINDI PK </t>
  </si>
  <si>
    <t>59294/00099/03/2022</t>
  </si>
  <si>
    <t>115640</t>
  </si>
  <si>
    <t>10015572</t>
  </si>
  <si>
    <t>AHG-608</t>
  </si>
  <si>
    <t>18-MAR-2022</t>
  </si>
  <si>
    <t>OLUISD300085675</t>
  </si>
  <si>
    <t>6566/03/2022</t>
  </si>
  <si>
    <t>9976AP1210540011</t>
  </si>
  <si>
    <t>AGHA USMAN AHMAD</t>
  </si>
  <si>
    <t>35202-7946898-7</t>
  </si>
  <si>
    <t>03333222324</t>
  </si>
  <si>
    <t>04235771376</t>
  </si>
  <si>
    <t xml:space="preserve">67-D1 AL HAFEEZ VIEW SUIT NO 24 3RD FLOOR GULBERG LAHORE </t>
  </si>
  <si>
    <t>53740/00083/02/2021</t>
  </si>
  <si>
    <t>PKS13035505</t>
  </si>
  <si>
    <t>RS413PK10035503</t>
  </si>
  <si>
    <t>LED-17-5068</t>
  </si>
  <si>
    <t>SWIFT DLX ABS WITH EBD</t>
  </si>
  <si>
    <t>OLULHR300066001</t>
  </si>
  <si>
    <t>4348/02/2021</t>
  </si>
  <si>
    <t>9976AD2220280010</t>
  </si>
  <si>
    <t>SHAZIA KANWAL</t>
  </si>
  <si>
    <t>37405-0161640-2</t>
  </si>
  <si>
    <t>0515732172</t>
  </si>
  <si>
    <t>03064466111</t>
  </si>
  <si>
    <t xml:space="preserve">HOUSE NO 535 STREET 22/28 PHASE V BAHRIA TOWN RWP. </t>
  </si>
  <si>
    <t>67335/00011/02/2023</t>
  </si>
  <si>
    <t>7916184</t>
  </si>
  <si>
    <t>006187</t>
  </si>
  <si>
    <t>OLARWP300083473</t>
  </si>
  <si>
    <t>10034/02/2023</t>
  </si>
  <si>
    <t>21-FEB-2023</t>
  </si>
  <si>
    <t>9976AP1220750039</t>
  </si>
  <si>
    <t>MUHAMMAD ILYAS</t>
  </si>
  <si>
    <t>33100-9693991-7</t>
  </si>
  <si>
    <t>03007900792</t>
  </si>
  <si>
    <t>03007900792, 03007900792</t>
  </si>
  <si>
    <t>0412424001</t>
  </si>
  <si>
    <t xml:space="preserve">P-65 SKP ROAD QAMAR GARDEN SHEIKHUP URA ROAD Faisalabad PK </t>
  </si>
  <si>
    <t>59294/00097/03/2022</t>
  </si>
  <si>
    <t>17518266</t>
  </si>
  <si>
    <t>233469</t>
  </si>
  <si>
    <t>ALW-995</t>
  </si>
  <si>
    <t>OLUFSD300085659</t>
  </si>
  <si>
    <t>6563/03/2022</t>
  </si>
  <si>
    <t>9976AP2220760031</t>
  </si>
  <si>
    <t>SHAHZAIB ATIQUE</t>
  </si>
  <si>
    <t>42201-2839632-7</t>
  </si>
  <si>
    <t>03158001899</t>
  </si>
  <si>
    <t xml:space="preserve">PLOT # A-10 BALOCH HOUSE GULSHAN-E -IQBAL; BLOCK 13-B 3 NEAR CHRIST MA KARACHI PK </t>
  </si>
  <si>
    <t>59294/00108/03/2022</t>
  </si>
  <si>
    <t>G3LALP130352</t>
  </si>
  <si>
    <t>NNATAS2AZKP-705490</t>
  </si>
  <si>
    <t>BTR-531</t>
  </si>
  <si>
    <t>OLUKHI300085742</t>
  </si>
  <si>
    <t>DIB0033879</t>
  </si>
  <si>
    <t>9976AP2220550002</t>
  </si>
  <si>
    <t>RAZA AHMED KHAN</t>
  </si>
  <si>
    <t>35201-5422545-5</t>
  </si>
  <si>
    <t>03214860818</t>
  </si>
  <si>
    <t xml:space="preserve">HOUSE NO 49 STREET NO 6 NEW CANAL P OINT HOUSING SCHEME HARBANSPURA LAH LAHORE PK </t>
  </si>
  <si>
    <t>58470/00172/02/2022</t>
  </si>
  <si>
    <t>R18Z12935008</t>
  </si>
  <si>
    <t>NFBFC666XJR038441</t>
  </si>
  <si>
    <t>AJJ-566</t>
  </si>
  <si>
    <t>HONDA CIVIC IV TECH P/T</t>
  </si>
  <si>
    <t>OLULHR300084507</t>
  </si>
  <si>
    <t>6412/02/2022</t>
  </si>
  <si>
    <t>9976AP1220530056</t>
  </si>
  <si>
    <t>MUHAMMAD TARIQ</t>
  </si>
  <si>
    <t>Burewala</t>
  </si>
  <si>
    <t>36601-1550375-3</t>
  </si>
  <si>
    <t>03216990805</t>
  </si>
  <si>
    <t xml:space="preserve">S/O MUHAMMAD RAFIQ BISMILLAH TOWN BAHOO OIL MILL, CHAK505/EB P.O BUREWALA TEH BUREWALA DISTT VEHARI </t>
  </si>
  <si>
    <t>58470/00169/02/2022</t>
  </si>
  <si>
    <t>2A24312</t>
  </si>
  <si>
    <t>7026571</t>
  </si>
  <si>
    <t>ABH-895</t>
  </si>
  <si>
    <t>TOYOTA YARIS GLI CVT 1.3</t>
  </si>
  <si>
    <t>OLUBRW300084404</t>
  </si>
  <si>
    <t>DIB0033493</t>
  </si>
  <si>
    <t>17-FEB-2022</t>
  </si>
  <si>
    <t>9976AP1220520042</t>
  </si>
  <si>
    <t>UMAIR GHAFFAR</t>
  </si>
  <si>
    <t>33102-1327973-5</t>
  </si>
  <si>
    <t>03007683060</t>
  </si>
  <si>
    <t xml:space="preserve">P-109 MEHAR SADIQ MARKET RAILWAY ROAD FAISALABAD 0300-7683060 </t>
  </si>
  <si>
    <t>58470/00166/02/2022</t>
  </si>
  <si>
    <t>14041824</t>
  </si>
  <si>
    <t>125592</t>
  </si>
  <si>
    <t>EG-15-385</t>
  </si>
  <si>
    <t>OLUFSD300084511</t>
  </si>
  <si>
    <t>DIB0033517</t>
  </si>
  <si>
    <t>9976AP1220570033</t>
  </si>
  <si>
    <t>MUHAMMAD ALI</t>
  </si>
  <si>
    <t>35202-0897163-9</t>
  </si>
  <si>
    <t>03211412624</t>
  </si>
  <si>
    <t xml:space="preserve">43 TAJ PURA OPPOSITE ASKARI BANK IS LAMIC MAIN SHADBAGH ROAD LAHORE </t>
  </si>
  <si>
    <t>58470/00173/02/2022</t>
  </si>
  <si>
    <t>79792078</t>
  </si>
  <si>
    <t>234037</t>
  </si>
  <si>
    <t>LEA-18A-6969</t>
  </si>
  <si>
    <t>OLULHR300084515</t>
  </si>
  <si>
    <t>6433/02/2022</t>
  </si>
  <si>
    <t>9976AP1220760058</t>
  </si>
  <si>
    <t>MUHAMMAD KHALIL KHAN</t>
  </si>
  <si>
    <t>82303-0996691-5</t>
  </si>
  <si>
    <t>03458592805</t>
  </si>
  <si>
    <t xml:space="preserve">M/S MUHAMMAD KHALIL AND BROTHERS 2ND FLOOR PARAS ARCADE MAIN BAHRIA EXPRESS WAY BAHRIA TOWN PHASE 7 RWP </t>
  </si>
  <si>
    <t>29294/00102/03/2022</t>
  </si>
  <si>
    <t>2103052</t>
  </si>
  <si>
    <t>296877</t>
  </si>
  <si>
    <t>AGG-889</t>
  </si>
  <si>
    <t>SUZUKI VITARA GL</t>
  </si>
  <si>
    <t>OLURWP300085769</t>
  </si>
  <si>
    <t>6571/03/2022</t>
  </si>
  <si>
    <t>9976AP1220530061</t>
  </si>
  <si>
    <t>SAEED AHMAD</t>
  </si>
  <si>
    <t>17301-1271715-9</t>
  </si>
  <si>
    <t>03000540809</t>
  </si>
  <si>
    <t>0512600860</t>
  </si>
  <si>
    <t xml:space="preserve">H# 171 ST# 3 SECTOR G-8/2 ISLAMABAD PK </t>
  </si>
  <si>
    <t>58470/00170/02/2022</t>
  </si>
  <si>
    <t>116490</t>
  </si>
  <si>
    <t>10016488</t>
  </si>
  <si>
    <t>AHJ-674</t>
  </si>
  <si>
    <t>OLUISD300084530</t>
  </si>
  <si>
    <t>DIB0033522</t>
  </si>
  <si>
    <t>9976AD1212450028</t>
  </si>
  <si>
    <t>FARYAL ELIZBETH</t>
  </si>
  <si>
    <t>33102-7336437-4</t>
  </si>
  <si>
    <t xml:space="preserve">FARYAL BEAUTY SALOON CHRIST CHURCH ROAD NEAR KHOKHAR MARKET YOUHANAABAD FEROZPUR ROAD LAHORE 03174301769 </t>
  </si>
  <si>
    <t>58470/00181/02/2022</t>
  </si>
  <si>
    <t>214161</t>
  </si>
  <si>
    <t>1114187</t>
  </si>
  <si>
    <t>OLALHR300072899</t>
  </si>
  <si>
    <t>DIB0033533</t>
  </si>
  <si>
    <t>9976AP1220750045</t>
  </si>
  <si>
    <t>MIRZA AZHAR IQBAL</t>
  </si>
  <si>
    <t>Gujrat</t>
  </si>
  <si>
    <t>34201-0388344-1</t>
  </si>
  <si>
    <t>03338448165/3535330</t>
  </si>
  <si>
    <t>03338448165 03328448165</t>
  </si>
  <si>
    <t>3020122 0333-8448165</t>
  </si>
  <si>
    <t xml:space="preserve">HOUSE NO 150, MOHALLAH AZIZABAD, SARGODHA ROAD, GUJRAT </t>
  </si>
  <si>
    <t>59294/00101/03/2022</t>
  </si>
  <si>
    <t>343003</t>
  </si>
  <si>
    <t>509933</t>
  </si>
  <si>
    <t>ATK-271</t>
  </si>
  <si>
    <t>OLUGJR300085632</t>
  </si>
  <si>
    <t>6569/03/2022</t>
  </si>
  <si>
    <t>9976AD1213010022</t>
  </si>
  <si>
    <t>MUHAMMAD HASSAN TANWEER</t>
  </si>
  <si>
    <t>35200-7865095-7</t>
  </si>
  <si>
    <t>03330947877</t>
  </si>
  <si>
    <t xml:space="preserve">HOUSE NO 30 LANE 1 LALAZAR TULSA ROAD RAWALPINDI </t>
  </si>
  <si>
    <t>58470/00194/02/2022</t>
  </si>
  <si>
    <t>2A47217</t>
  </si>
  <si>
    <t>R-9517602</t>
  </si>
  <si>
    <t>AXS-675</t>
  </si>
  <si>
    <t>YARIS ATIV X CVT 1.5</t>
  </si>
  <si>
    <t>OLARWP300077132</t>
  </si>
  <si>
    <t>DIB0033545</t>
  </si>
  <si>
    <t>9976AD1212950005</t>
  </si>
  <si>
    <t>AISHA UROOJ</t>
  </si>
  <si>
    <t>41304-6031825-2</t>
  </si>
  <si>
    <t>03452619156</t>
  </si>
  <si>
    <t xml:space="preserve">15 FLOOR MARKETING ARFA KAREEM TOWE R LAHORE </t>
  </si>
  <si>
    <t>58470/00182/02/2022</t>
  </si>
  <si>
    <t>6R211572</t>
  </si>
  <si>
    <t>1111547</t>
  </si>
  <si>
    <t>SUZUKI ALTO</t>
  </si>
  <si>
    <t>OLALHR300075573</t>
  </si>
  <si>
    <t>DIB0033531</t>
  </si>
  <si>
    <t>9976AP2230550004</t>
  </si>
  <si>
    <t>MUHAMMAD IRFAN ALI PASHA</t>
  </si>
  <si>
    <t>36302-0353487-3</t>
  </si>
  <si>
    <t>03028651651</t>
  </si>
  <si>
    <t>03028651651, 03028651651</t>
  </si>
  <si>
    <t xml:space="preserve">P-83 ST NO 3 KHAYBAN COLONY NO 01 FSD NEAR PIZZA KITCHEN FAISALABAD PK </t>
  </si>
  <si>
    <t>67335/00010/02/2023</t>
  </si>
  <si>
    <t>17529111</t>
  </si>
  <si>
    <t>247153</t>
  </si>
  <si>
    <t>LED-19-1455</t>
  </si>
  <si>
    <t>OLUFSD300092165</t>
  </si>
  <si>
    <t>10029/02/2023/ITFM</t>
  </si>
  <si>
    <t>9976AP2230750009</t>
  </si>
  <si>
    <t>SAMI UL HAQUE</t>
  </si>
  <si>
    <t>42101-3120782-3</t>
  </si>
  <si>
    <t>03002216171</t>
  </si>
  <si>
    <t xml:space="preserve">R-460 BLOCK 9 YASEENABAD 2 GULSHAN E FAIZAN BEHIND JAVED NIHARI HOUSE F.B. AREA KARACHI PK </t>
  </si>
  <si>
    <t>68593/00009/03/2023</t>
  </si>
  <si>
    <t>178758</t>
  </si>
  <si>
    <t>1078741</t>
  </si>
  <si>
    <t>BXK-421</t>
  </si>
  <si>
    <t>16-MAR-2023</t>
  </si>
  <si>
    <t>OLUKHI300092673</t>
  </si>
  <si>
    <t>10165/03/2023/ITFM</t>
  </si>
  <si>
    <t>9976AP1230520015</t>
  </si>
  <si>
    <t>MUHAMMAD ALEEM SAJID</t>
  </si>
  <si>
    <t>33100-9927366-5</t>
  </si>
  <si>
    <t>03127830720</t>
  </si>
  <si>
    <t>03127830720, 03127830720</t>
  </si>
  <si>
    <t xml:space="preserve">P-216 ST NO 25 JAMEEL TOWN NEAR GM ABAD FSD NEAR CHATRI WALA CHOWK FAISALABAD PK </t>
  </si>
  <si>
    <t>67335/00008/02/2023</t>
  </si>
  <si>
    <t>155853</t>
  </si>
  <si>
    <t>10055846</t>
  </si>
  <si>
    <t>21-Feb-2027</t>
  </si>
  <si>
    <t>OLUFSD300092134</t>
  </si>
  <si>
    <t>10026/02/2023/ITFM</t>
  </si>
  <si>
    <t>20-FEB-2023</t>
  </si>
  <si>
    <t>9976AP2230520012</t>
  </si>
  <si>
    <t>HAMMAD</t>
  </si>
  <si>
    <t>33100-9283402-5</t>
  </si>
  <si>
    <t>03009468576</t>
  </si>
  <si>
    <t>03009468576, 03009468576</t>
  </si>
  <si>
    <t xml:space="preserve">P-1853 MUHAMMADI CHOWK D TYPE COLON Y FAISALABAD PK </t>
  </si>
  <si>
    <t>67335/00009/02/2023</t>
  </si>
  <si>
    <t>179854</t>
  </si>
  <si>
    <t>10079867</t>
  </si>
  <si>
    <t>AEM-187</t>
  </si>
  <si>
    <t>21-Feb-2028</t>
  </si>
  <si>
    <t>OLUFSD300092146</t>
  </si>
  <si>
    <t>10025/02/2023/ITFM</t>
  </si>
  <si>
    <t>9976AD1203450012</t>
  </si>
  <si>
    <t>MUHAMMAD AAMIR NABI KHAN</t>
  </si>
  <si>
    <t>42301-6311117-9</t>
  </si>
  <si>
    <t>03314546224</t>
  </si>
  <si>
    <t xml:space="preserve">HOUSE NO D-257 NAVY HOUSING SOCIETY ZAMZAMA LINK ROAD KHI </t>
  </si>
  <si>
    <t>53740/00074/02/2021</t>
  </si>
  <si>
    <t>167777</t>
  </si>
  <si>
    <t>10067789</t>
  </si>
  <si>
    <t>POAKHI300063719</t>
  </si>
  <si>
    <t>DIB0029617</t>
  </si>
  <si>
    <t>9976AP1210540019</t>
  </si>
  <si>
    <t>BILAL HASSAN</t>
  </si>
  <si>
    <t>35201-2417394-1</t>
  </si>
  <si>
    <t>04235954799</t>
  </si>
  <si>
    <t>03334422974</t>
  </si>
  <si>
    <t xml:space="preserve">BILAL ANWAR AND CO OFFICE NO 422 4TH FLOOR SADIQ PLAZA MALL ROAD </t>
  </si>
  <si>
    <t>COMP/P/53887/02/2021</t>
  </si>
  <si>
    <t>1UR0600309</t>
  </si>
  <si>
    <t>URJ202-4121238</t>
  </si>
  <si>
    <t>LAND CRUISER V8 ZX</t>
  </si>
  <si>
    <t>OLULHR300066017</t>
  </si>
  <si>
    <t>4323/02/2021</t>
  </si>
  <si>
    <t>9976AP2210530003</t>
  </si>
  <si>
    <t>HARIS ANJUM</t>
  </si>
  <si>
    <t>35201-5700093-5</t>
  </si>
  <si>
    <t>0300-4513227</t>
  </si>
  <si>
    <t xml:space="preserve">HOUSE NO C-15 PUNJAB SOCIETY LAHORE </t>
  </si>
  <si>
    <t>53740/00068/02/2021</t>
  </si>
  <si>
    <t>1NZ808268</t>
  </si>
  <si>
    <t>NHP10-6549668</t>
  </si>
  <si>
    <t>AQUA HYBRID</t>
  </si>
  <si>
    <t>OLULHR300066049</t>
  </si>
  <si>
    <t>4330/02/2021</t>
  </si>
  <si>
    <t>20-FEB-2021</t>
  </si>
  <si>
    <t>9976AP1220770059</t>
  </si>
  <si>
    <t>FAISAL BASHIR MUGHAL</t>
  </si>
  <si>
    <t>35202-7034374-3</t>
  </si>
  <si>
    <t>03324655771</t>
  </si>
  <si>
    <t>04232177808</t>
  </si>
  <si>
    <t xml:space="preserve">OFFICE NO 902-B 9TH FLOOR HALY TOWE R PHASE II NEAR LALIKJAN CHOWK LAHORE </t>
  </si>
  <si>
    <t>59294/00091/03/2022</t>
  </si>
  <si>
    <t>714025</t>
  </si>
  <si>
    <t>1252552</t>
  </si>
  <si>
    <t>LED-18-7463</t>
  </si>
  <si>
    <t>SUZUKI MEHRAN VXR EURO-II</t>
  </si>
  <si>
    <t>OLULHR300085585</t>
  </si>
  <si>
    <t>6560/03/2022</t>
  </si>
  <si>
    <t>9976AP1210530005</t>
  </si>
  <si>
    <t>ALI ASHFAQ</t>
  </si>
  <si>
    <t>33102-9314685-1</t>
  </si>
  <si>
    <t>03222804000</t>
  </si>
  <si>
    <t xml:space="preserve">HOUSE NO 227 GULSHAN BLOCK ALLAMA I QBAL TOWN LAHORE PK </t>
  </si>
  <si>
    <t>53740/00067/02/2021</t>
  </si>
  <si>
    <t>L13Z17456817</t>
  </si>
  <si>
    <t>NFBGM1549HR199278</t>
  </si>
  <si>
    <t>LEA-17-1468</t>
  </si>
  <si>
    <t>OLULHR300065938</t>
  </si>
  <si>
    <t>DIB0029622</t>
  </si>
  <si>
    <t>9976AP1240810024</t>
  </si>
  <si>
    <t>SALMAN NAFEES</t>
  </si>
  <si>
    <t>42201-2321697-3</t>
  </si>
  <si>
    <t>03128860692</t>
  </si>
  <si>
    <t xml:space="preserve">TRADESHIP LOGISTIC OFFICE NO 513 5TH FLOOR UNI PLAZA I.I CHUDRIGAR </t>
  </si>
  <si>
    <t>84828/00013/03/2024</t>
  </si>
  <si>
    <t>81015436</t>
  </si>
  <si>
    <t>038469</t>
  </si>
  <si>
    <t>HONDA CITY 1.5</t>
  </si>
  <si>
    <t>OLDKHI300099559</t>
  </si>
  <si>
    <t>11064/03/2024/ITFM</t>
  </si>
  <si>
    <t>19-MAR-2024</t>
  </si>
  <si>
    <t>9976AP1210540007</t>
  </si>
  <si>
    <t>AQEEL MEHDI</t>
  </si>
  <si>
    <t>35202-9328922-7</t>
  </si>
  <si>
    <t>03333009333</t>
  </si>
  <si>
    <t>03222115333</t>
  </si>
  <si>
    <t xml:space="preserve">H # 393-B FAISAL TOWN LAHORE </t>
  </si>
  <si>
    <t>53740/00071/02/2021</t>
  </si>
  <si>
    <t>082297</t>
  </si>
  <si>
    <t>500969</t>
  </si>
  <si>
    <t>PICANTO 1.0L MT</t>
  </si>
  <si>
    <t>OLDLHR300065968</t>
  </si>
  <si>
    <t>4335/02/2021</t>
  </si>
  <si>
    <t>9976AP2240790008</t>
  </si>
  <si>
    <t>MUHAMMAD ZAIN SHAHID</t>
  </si>
  <si>
    <t>37405-5063826-3</t>
  </si>
  <si>
    <t>03117564912</t>
  </si>
  <si>
    <t>03117564912, 03117564912</t>
  </si>
  <si>
    <t xml:space="preserve">H NO P-31 AMER HAMZA BLOCK GULSHAN E MADINA PHASE 1 SARGODHA ROAD FSD FAISALABAD PK </t>
  </si>
  <si>
    <t>84828/00011/03/2024</t>
  </si>
  <si>
    <t>16910290</t>
  </si>
  <si>
    <t>R061856</t>
  </si>
  <si>
    <t>AQT-515</t>
  </si>
  <si>
    <t>OLUFSD300099588</t>
  </si>
  <si>
    <t>11041/03/2024/ITFM</t>
  </si>
  <si>
    <t>15-MAR-2024</t>
  </si>
  <si>
    <t>9976AP2240780007</t>
  </si>
  <si>
    <t>HASNAIN ABBAS</t>
  </si>
  <si>
    <t>32304-6042146-3</t>
  </si>
  <si>
    <t>03068652468</t>
  </si>
  <si>
    <t xml:space="preserve">HOUSE # P-185, BLOCK N, NORTH NAZIMABAD, NEAR BATHA TOWN KARACHI PK </t>
  </si>
  <si>
    <t>84828/00010/03/2024</t>
  </si>
  <si>
    <t>Q083214</t>
  </si>
  <si>
    <t>6060681</t>
  </si>
  <si>
    <t>BVL-876</t>
  </si>
  <si>
    <t>OLUKHI300099582</t>
  </si>
  <si>
    <t>11042/03/2024/ITFM</t>
  </si>
  <si>
    <t>9976AP1220530052</t>
  </si>
  <si>
    <t>TANVEER ABBAS</t>
  </si>
  <si>
    <t>33100-8551978-7</t>
  </si>
  <si>
    <t>03007205618</t>
  </si>
  <si>
    <t>03007205618, 03007205618</t>
  </si>
  <si>
    <t>0412409953</t>
  </si>
  <si>
    <t xml:space="preserve">P-9 ST NO 9 BAGDADI CHOWK RABANI CO LONY FSD FAISALABAD PK </t>
  </si>
  <si>
    <t>58470/00152/02/2022</t>
  </si>
  <si>
    <t>111162</t>
  </si>
  <si>
    <t>10011135</t>
  </si>
  <si>
    <t>LE-18-6044</t>
  </si>
  <si>
    <t>OLUFSD300084451</t>
  </si>
  <si>
    <t>DIB0033505</t>
  </si>
  <si>
    <t>18-FEB-2022</t>
  </si>
  <si>
    <t>9976AP2240780003</t>
  </si>
  <si>
    <t>SAIMA HAROON</t>
  </si>
  <si>
    <t>33100-9220082-2</t>
  </si>
  <si>
    <t>03216667070</t>
  </si>
  <si>
    <t>03216667070, 03216667070</t>
  </si>
  <si>
    <t xml:space="preserve">P-222 STREET ZAFAR SAEED COLONY FSD NEAR ABU BAKAR ROAD FAISALABAD PK </t>
  </si>
  <si>
    <t>84828/00008/03/2024</t>
  </si>
  <si>
    <t>2A44156</t>
  </si>
  <si>
    <t>9516327</t>
  </si>
  <si>
    <t>AWS-844</t>
  </si>
  <si>
    <t>OLUFSD300099580</t>
  </si>
  <si>
    <t>11035/03/2024/ITFM</t>
  </si>
  <si>
    <t>14-MAR-2024</t>
  </si>
  <si>
    <t>9976AD2233640002</t>
  </si>
  <si>
    <t>RUQAIYA ANSAR</t>
  </si>
  <si>
    <t>42201-0235255-0</t>
  </si>
  <si>
    <t>03362214191</t>
  </si>
  <si>
    <t xml:space="preserve">H NO 109 STREET NO 119 K AREA KORANGI KARACHI </t>
  </si>
  <si>
    <t>84828/00009/03/2024</t>
  </si>
  <si>
    <t>299892</t>
  </si>
  <si>
    <t>1199884</t>
  </si>
  <si>
    <t>OLAKHI300098934</t>
  </si>
  <si>
    <t>11009/03/2024/ITFM</t>
  </si>
  <si>
    <t>07-MAR-2024</t>
  </si>
  <si>
    <t>9976AP1220530055</t>
  </si>
  <si>
    <t>SHAIKH TALHA SAEED</t>
  </si>
  <si>
    <t>42201-4531523-7</t>
  </si>
  <si>
    <t>03469099000</t>
  </si>
  <si>
    <t xml:space="preserve">SHOP NO 3 AND 7 MOON ELECTRONICE MARKET, HING COURT ABDULLAH HAROON RD KHI </t>
  </si>
  <si>
    <t>58470/00162/02/2022</t>
  </si>
  <si>
    <t>R18Z14044910</t>
  </si>
  <si>
    <t>1FR128676</t>
  </si>
  <si>
    <t>BEQ-990</t>
  </si>
  <si>
    <t>OLUKHI300084493</t>
  </si>
  <si>
    <t>6421/02/2022</t>
  </si>
  <si>
    <t>9976AP1220520047</t>
  </si>
  <si>
    <t>OSAMA RASHID</t>
  </si>
  <si>
    <t>37405-1221807-9</t>
  </si>
  <si>
    <t>03228521141</t>
  </si>
  <si>
    <t xml:space="preserve">H #876/2-B ST # 2 AZIZABAD ABID MA JEED ROAD RAWALPINDI PK </t>
  </si>
  <si>
    <t>58470/00151/02/2022</t>
  </si>
  <si>
    <t>507854</t>
  </si>
  <si>
    <t>4134102</t>
  </si>
  <si>
    <t>AFU-421</t>
  </si>
  <si>
    <t>OLURWP300084474</t>
  </si>
  <si>
    <t>6396/02/2022</t>
  </si>
  <si>
    <t>9976AP1220530050</t>
  </si>
  <si>
    <t>IMRAN YOUSAF</t>
  </si>
  <si>
    <t>35201-3947683-3</t>
  </si>
  <si>
    <t>03334050352</t>
  </si>
  <si>
    <t xml:space="preserve">FAIZ TRADERS CRUSH BONE BAND ROAD C ROL GHATTI NEAR KHYBER KANTA LAHORE </t>
  </si>
  <si>
    <t>58470/00156/02/2022</t>
  </si>
  <si>
    <t>567280</t>
  </si>
  <si>
    <t>4193418</t>
  </si>
  <si>
    <t>LE-19A-1381</t>
  </si>
  <si>
    <t>OLULHR300084438</t>
  </si>
  <si>
    <t>6404/02/2022</t>
  </si>
  <si>
    <t>9976AP2220540021</t>
  </si>
  <si>
    <t>AJMAL AZIM</t>
  </si>
  <si>
    <t>42101-1900139-1</t>
  </si>
  <si>
    <t>03212136927</t>
  </si>
  <si>
    <t xml:space="preserve">R-44 and R-45 STAR HOMES BLOCK 16-A G ULISTAN-E-JOHAR NEAR HARRON KARACHI PK </t>
  </si>
  <si>
    <t>58470/00160/02/2022</t>
  </si>
  <si>
    <t>7451517</t>
  </si>
  <si>
    <t>4081623</t>
  </si>
  <si>
    <t>BFZ-582</t>
  </si>
  <si>
    <t>OLUKHI300084459</t>
  </si>
  <si>
    <t>6425/02/2022</t>
  </si>
  <si>
    <t>9976AP1220530059</t>
  </si>
  <si>
    <t>ALI AKBAR</t>
  </si>
  <si>
    <t>35202-8887611-1</t>
  </si>
  <si>
    <t>03434439775</t>
  </si>
  <si>
    <t xml:space="preserve">HOUSE NO 193 B-1 JOHAR TOWN LAHORE PK </t>
  </si>
  <si>
    <t>58470/00164/02/2022</t>
  </si>
  <si>
    <t>1750717</t>
  </si>
  <si>
    <t>R219341</t>
  </si>
  <si>
    <t>LEB-18-8418</t>
  </si>
  <si>
    <t>OLULHR300084505</t>
  </si>
  <si>
    <t>6416/02/2022</t>
  </si>
  <si>
    <t>9976AP1220530054</t>
  </si>
  <si>
    <t>AIJAZ AHMAD</t>
  </si>
  <si>
    <t>42401-3181184-7</t>
  </si>
  <si>
    <t>03002373009</t>
  </si>
  <si>
    <t xml:space="preserve">A-426 G-2 BLOCK D NORTH NAZIMABAD KARACHI </t>
  </si>
  <si>
    <t>58470/00165/02/2022</t>
  </si>
  <si>
    <t>G4LCMS812300</t>
  </si>
  <si>
    <t>NNAYB54BZMP700275</t>
  </si>
  <si>
    <t>BJ-9004</t>
  </si>
  <si>
    <t>KIA STONIC EX +</t>
  </si>
  <si>
    <t>OLUKHI300084481</t>
  </si>
  <si>
    <t>6401/02/2022</t>
  </si>
  <si>
    <t>9976AP2210490005</t>
  </si>
  <si>
    <t>ALI ZUBAIR</t>
  </si>
  <si>
    <t>35202-2662881-9</t>
  </si>
  <si>
    <t>03214612014</t>
  </si>
  <si>
    <t>04299203427</t>
  </si>
  <si>
    <t xml:space="preserve">JAIL ROAD LAHORE </t>
  </si>
  <si>
    <t>53740/00062/02/2021</t>
  </si>
  <si>
    <t>Q347050</t>
  </si>
  <si>
    <t>7046209</t>
  </si>
  <si>
    <t>COROLLA ALTIS M/T</t>
  </si>
  <si>
    <t>OLDLHR300065963</t>
  </si>
  <si>
    <t>DIB0029613</t>
  </si>
  <si>
    <t>9976AP1220760052</t>
  </si>
  <si>
    <t>MUHAMMAD UL ISLAM</t>
  </si>
  <si>
    <t>33100-4031628-1</t>
  </si>
  <si>
    <t>03226202292</t>
  </si>
  <si>
    <t xml:space="preserve">ST #09, YOUSAFABAD, BHATTA STOP BHAI WALA, SHEIKHUPURA ROAD, FAISALABAD.0322-6202292 </t>
  </si>
  <si>
    <t>59294/00113/03/2022</t>
  </si>
  <si>
    <t>123297</t>
  </si>
  <si>
    <t>10023332</t>
  </si>
  <si>
    <t>LE-17-8828</t>
  </si>
  <si>
    <t>OLUFSD300085768</t>
  </si>
  <si>
    <t>6581/03/2022</t>
  </si>
  <si>
    <t>9976AP1220490026</t>
  </si>
  <si>
    <t>IMRAN AHMED</t>
  </si>
  <si>
    <t>42201-5865834-9</t>
  </si>
  <si>
    <t>03002111062</t>
  </si>
  <si>
    <t xml:space="preserve">HOUSE NO 487/1, KHUDADAD COLONY, KARACHI </t>
  </si>
  <si>
    <t>58470/00141/02/2022</t>
  </si>
  <si>
    <t>5823900</t>
  </si>
  <si>
    <t>700596</t>
  </si>
  <si>
    <t>KIA STONIC EX</t>
  </si>
  <si>
    <t>OLDKHI300084278</t>
  </si>
  <si>
    <t>6384/02/2022</t>
  </si>
  <si>
    <t>9976AP2220800003</t>
  </si>
  <si>
    <t>AWAIS TAMOOR KHAN</t>
  </si>
  <si>
    <t>35202-5068269-1</t>
  </si>
  <si>
    <t>03454581284</t>
  </si>
  <si>
    <t xml:space="preserve">HOUSE NO 322-S STREET NO 01 NEAR MUHAMMAD ALI SHADI HALL JAMEEL PARK KOT KHAWAJA SAEED CHAINA SCHEME LAHORE </t>
  </si>
  <si>
    <t>59294/00115/03/2022</t>
  </si>
  <si>
    <t>107989</t>
  </si>
  <si>
    <t>707674</t>
  </si>
  <si>
    <t>AFK-135</t>
  </si>
  <si>
    <t>OLULHR300085800</t>
  </si>
  <si>
    <t>DIB0033899</t>
  </si>
  <si>
    <t>9976AP1220530051</t>
  </si>
  <si>
    <t>SAFFAN BIN FARHAN</t>
  </si>
  <si>
    <t>42101-2712860-7</t>
  </si>
  <si>
    <t>03022661301</t>
  </si>
  <si>
    <t>03035538080</t>
  </si>
  <si>
    <t xml:space="preserve">GLAMOUR ARCADE FLAT NO C 105 BLOCK 1 GULISTAN E JOHAR KARACHI </t>
  </si>
  <si>
    <t>58470/00144/02/2022</t>
  </si>
  <si>
    <t>555786</t>
  </si>
  <si>
    <t>4181853</t>
  </si>
  <si>
    <t>BPW-553</t>
  </si>
  <si>
    <t>OLUKHI300084398</t>
  </si>
  <si>
    <t>6417/02/2022</t>
  </si>
  <si>
    <t>9976AP1220490034</t>
  </si>
  <si>
    <t>YASIR</t>
  </si>
  <si>
    <t>42101-4804191-1</t>
  </si>
  <si>
    <t>03002658210</t>
  </si>
  <si>
    <t xml:space="preserve">HOUSE NO 314 JAHANGIRABAD ROAD KARACHI NEAR JAVED HOSPITAL </t>
  </si>
  <si>
    <t>58470/00150/02/2022</t>
  </si>
  <si>
    <t>229561</t>
  </si>
  <si>
    <t>10129483</t>
  </si>
  <si>
    <t>OLDKHI300084434</t>
  </si>
  <si>
    <t>6394/02/2022</t>
  </si>
  <si>
    <t>9976AP2220570019</t>
  </si>
  <si>
    <t>35201-2842748-5</t>
  </si>
  <si>
    <t>03008002805</t>
  </si>
  <si>
    <t xml:space="preserve">GOVERNMENT HIGH SCHOOL LIDHER BEDIA N ROAD LAHORE </t>
  </si>
  <si>
    <t>58470/00147/02/2022</t>
  </si>
  <si>
    <t>R213160</t>
  </si>
  <si>
    <t>1113205</t>
  </si>
  <si>
    <t>OLDLHR300084392</t>
  </si>
  <si>
    <t>6393/02/2022</t>
  </si>
  <si>
    <t>9976AP1220770063</t>
  </si>
  <si>
    <t>YASMEEN HUSSAIN</t>
  </si>
  <si>
    <t>42201-9252941-4</t>
  </si>
  <si>
    <t>03362382062</t>
  </si>
  <si>
    <t xml:space="preserve">1018 STREET 13 CHANDI CHOK AZAM BAS TI BIRYANI CENTER KARACHI PK </t>
  </si>
  <si>
    <t>59294/00116/03/2022</t>
  </si>
  <si>
    <t>13504781</t>
  </si>
  <si>
    <t>R004797</t>
  </si>
  <si>
    <t>BG-7054</t>
  </si>
  <si>
    <t>HONDA BRV-IV TEC</t>
  </si>
  <si>
    <t>OLUKHI300085788</t>
  </si>
  <si>
    <t>DIB0033900</t>
  </si>
  <si>
    <t>9976AP1220760053</t>
  </si>
  <si>
    <t>GHAZANFAR ALI</t>
  </si>
  <si>
    <t>35201-1299392-9</t>
  </si>
  <si>
    <t>03008499292</t>
  </si>
  <si>
    <t>04235961307</t>
  </si>
  <si>
    <t xml:space="preserve">223-226 RIZWAN BLOCK AWAN TOWN MULT AN ROAD LAHORE </t>
  </si>
  <si>
    <t>12925262</t>
  </si>
  <si>
    <t>028615</t>
  </si>
  <si>
    <t>LEA-18-746</t>
  </si>
  <si>
    <t>OLULHR300085778</t>
  </si>
  <si>
    <t>DIB0033890</t>
  </si>
  <si>
    <t>9976AP2220520009</t>
  </si>
  <si>
    <t>NADEEM ANJUM</t>
  </si>
  <si>
    <t>34501-2093497-1</t>
  </si>
  <si>
    <t>03004578744</t>
  </si>
  <si>
    <t xml:space="preserve">SHOP NO 1-A JAHANZAIB BLOCK SCHEME MORE CHOWK MULTAN ROAD BABOO MARKET LAHORE </t>
  </si>
  <si>
    <t>58470/00146/02/2022</t>
  </si>
  <si>
    <t>101056</t>
  </si>
  <si>
    <t>10001034</t>
  </si>
  <si>
    <t>LEB-18-3967</t>
  </si>
  <si>
    <t>OLULHR300084416</t>
  </si>
  <si>
    <t>6391/02/2022</t>
  </si>
  <si>
    <t>9976AP1230760014</t>
  </si>
  <si>
    <t>NADEEM SALEEM</t>
  </si>
  <si>
    <t>35202-7695041-7</t>
  </si>
  <si>
    <t>03218751585</t>
  </si>
  <si>
    <t>0321-8751585</t>
  </si>
  <si>
    <t>32771879</t>
  </si>
  <si>
    <t xml:space="preserve">HOUSE # 91/ 1 / 2, MAIN KHAYABAN -E- ITTEHAD D H A PHASE - 6 NR INTERWOOD FURNITURE KARACHI </t>
  </si>
  <si>
    <t>68593/00010/03/2023</t>
  </si>
  <si>
    <t>13506293</t>
  </si>
  <si>
    <t>006296</t>
  </si>
  <si>
    <t>BG-6486</t>
  </si>
  <si>
    <t>17-MAR-2023</t>
  </si>
  <si>
    <t>OLUKHI300092705</t>
  </si>
  <si>
    <t>10167/03/2023/ITFM</t>
  </si>
  <si>
    <t>9976AP1220540067</t>
  </si>
  <si>
    <t>HAFIZ MUHAMMAD WAQAS</t>
  </si>
  <si>
    <t>35202-6893621-1</t>
  </si>
  <si>
    <t>03044398876</t>
  </si>
  <si>
    <t xml:space="preserve">SHOP NO 52 KHOKHAR BUILDING MADINA STEEL STEEL MARKET MAIN BAZAR LANDA LAHORE </t>
  </si>
  <si>
    <t>58470/00134/02/2022</t>
  </si>
  <si>
    <t>230054</t>
  </si>
  <si>
    <t>10129987</t>
  </si>
  <si>
    <t>OLDLHR300084336</t>
  </si>
  <si>
    <t>6388/02/2022</t>
  </si>
  <si>
    <t>9976AP1240510006</t>
  </si>
  <si>
    <t>33100-9499476-3</t>
  </si>
  <si>
    <t>03237504444</t>
  </si>
  <si>
    <t xml:space="preserve">UNIQUE MOBILES SHOP NO 66 GHAZIABAD SITARA MARKET FAISLABAD </t>
  </si>
  <si>
    <t>83427/00004/02/2024</t>
  </si>
  <si>
    <t>401086</t>
  </si>
  <si>
    <t>1004273</t>
  </si>
  <si>
    <t>CHANGAN OSHAN X7 FUTURE</t>
  </si>
  <si>
    <t>21-FEB-2024</t>
  </si>
  <si>
    <t>OLDFSD300099315</t>
  </si>
  <si>
    <t>10899/02/2024/ITFM</t>
  </si>
  <si>
    <t>16-FEB-2024</t>
  </si>
  <si>
    <t>9976AP1230510009</t>
  </si>
  <si>
    <t>WASIM AKRAM</t>
  </si>
  <si>
    <t>33100-7772155-9</t>
  </si>
  <si>
    <t>03236001335</t>
  </si>
  <si>
    <t>03236001335, 03016001335</t>
  </si>
  <si>
    <t>0418779792</t>
  </si>
  <si>
    <t xml:space="preserve">H NO P-145/ 6 ST NO 13 MOHALLA CHIB BAN FAISALABAD PK </t>
  </si>
  <si>
    <t>67335/00007/02/2023</t>
  </si>
  <si>
    <t>183958</t>
  </si>
  <si>
    <t>10083955</t>
  </si>
  <si>
    <t>LEA-19-5039</t>
  </si>
  <si>
    <t>OLUFSD300092104</t>
  </si>
  <si>
    <t>10010/02/2023/ITFM</t>
  </si>
  <si>
    <t>16-FEB-2023</t>
  </si>
  <si>
    <t>9976AP1220480014</t>
  </si>
  <si>
    <t>MUHAMMAD ZAHID QURESHI</t>
  </si>
  <si>
    <t>42401-7980591-5</t>
  </si>
  <si>
    <t>03152841400</t>
  </si>
  <si>
    <t xml:space="preserve">E-341 SEC-10 ORANGI TOWN NEAR ISLAM KARIANA STORE KARACHI PK </t>
  </si>
  <si>
    <t>58470/00129/02/2022</t>
  </si>
  <si>
    <t>G3LAK210883</t>
  </si>
  <si>
    <t>NNATA52AZKP701496</t>
  </si>
  <si>
    <t>BRS-959</t>
  </si>
  <si>
    <t>KIA PICANTO 1.0 A/T</t>
  </si>
  <si>
    <t>OLUKHI300084318</t>
  </si>
  <si>
    <t>6370/02/2022</t>
  </si>
  <si>
    <t>9976AP1220480017</t>
  </si>
  <si>
    <t>FAZAL REHMAN</t>
  </si>
  <si>
    <t>42301-1048972-1</t>
  </si>
  <si>
    <t>03212013293</t>
  </si>
  <si>
    <t xml:space="preserve">HOUSE # S-90 KHAY-E-MUHAMMAD HUSSAI N SHAHEED ROAD PHASE 7 EXT DHA KARACHI PK </t>
  </si>
  <si>
    <t>58470/00130/02/2022</t>
  </si>
  <si>
    <t>Z13500866</t>
  </si>
  <si>
    <t>000864</t>
  </si>
  <si>
    <t>BG-2648</t>
  </si>
  <si>
    <t>OLUKHI300084375</t>
  </si>
  <si>
    <t>6375/02/2022</t>
  </si>
  <si>
    <t>9976AP1220520045</t>
  </si>
  <si>
    <t>SYED FAISAL HUSSAIN</t>
  </si>
  <si>
    <t>33102-7446423-1</t>
  </si>
  <si>
    <t>03007280117</t>
  </si>
  <si>
    <t>03007280117, 03007280117</t>
  </si>
  <si>
    <t xml:space="preserve">P-13 ST NO 11 Y BLOCK MADINA TOWN F SD FAISALABAD PK </t>
  </si>
  <si>
    <t>58470/00135/02/2022</t>
  </si>
  <si>
    <t>205532</t>
  </si>
  <si>
    <t>10105542</t>
  </si>
  <si>
    <t>ARC-677</t>
  </si>
  <si>
    <t>OLUFSD300084403</t>
  </si>
  <si>
    <t>DIB0033491</t>
  </si>
  <si>
    <t>9976AP1220490033</t>
  </si>
  <si>
    <t>AFTAB TAJAMAL</t>
  </si>
  <si>
    <t>33100-3108075-3</t>
  </si>
  <si>
    <t>0307-7774005</t>
  </si>
  <si>
    <t>0345-7774005</t>
  </si>
  <si>
    <t xml:space="preserve">H#P-126 ST#10 ELAHI ABAD SATIANA ROAD NEAR BAJWA CHOK FAISALABAD </t>
  </si>
  <si>
    <t>58470/00137/02/2022</t>
  </si>
  <si>
    <t>17503439</t>
  </si>
  <si>
    <t>R214389</t>
  </si>
  <si>
    <t>FD-18-361</t>
  </si>
  <si>
    <t>OLUFSD300084415</t>
  </si>
  <si>
    <t>DIB0033494</t>
  </si>
  <si>
    <t>9976AD2212720019</t>
  </si>
  <si>
    <t>MUHAMMAD TAHIR NADEEM QADRI</t>
  </si>
  <si>
    <t>35202-2538318-5</t>
  </si>
  <si>
    <t>04235115411</t>
  </si>
  <si>
    <t>0016169200786 03004449626</t>
  </si>
  <si>
    <t xml:space="preserve">BRITISH LYCEUM 253-G MODEL TOWN LAHORE </t>
  </si>
  <si>
    <t>58470/00126/02/2022</t>
  </si>
  <si>
    <t>197165</t>
  </si>
  <si>
    <t>1097158</t>
  </si>
  <si>
    <t>OLALHR300074241</t>
  </si>
  <si>
    <t>DIB0033482</t>
  </si>
  <si>
    <t>9976AP2210500008</t>
  </si>
  <si>
    <t>MUHAMMAD WAQAS AFZAL</t>
  </si>
  <si>
    <t>34601-9264770-7</t>
  </si>
  <si>
    <t>03338635158</t>
  </si>
  <si>
    <t xml:space="preserve">1/2 KM DEFENCE ROAD OFF BHUGTIAN CH OWK RAIWIND ROAD PAKISTAN NEAR LAHO RE UNIVERSITY LAHORE </t>
  </si>
  <si>
    <t>53740/00056/02/2021</t>
  </si>
  <si>
    <t>513033325</t>
  </si>
  <si>
    <t>10033334</t>
  </si>
  <si>
    <t>ABX-175</t>
  </si>
  <si>
    <t>SUZUKI SWIFT DLX</t>
  </si>
  <si>
    <t>OLUKHI300065937</t>
  </si>
  <si>
    <t>DIB0029609</t>
  </si>
  <si>
    <t>9976AP1210480015</t>
  </si>
  <si>
    <t>KHAWAJA NADEEM ZAHEER BUTT</t>
  </si>
  <si>
    <t>35202-2827244-5</t>
  </si>
  <si>
    <t>03154452265</t>
  </si>
  <si>
    <t xml:space="preserve">OFFICE NO 521 5TH FLOOR LAND MARK P LAZA JAIL ROAD LAHORE </t>
  </si>
  <si>
    <t>53740/00046/02/2021</t>
  </si>
  <si>
    <t>210366</t>
  </si>
  <si>
    <t>10110369</t>
  </si>
  <si>
    <t>OLDLHR300065738</t>
  </si>
  <si>
    <t>DIB0029592</t>
  </si>
  <si>
    <t>9976AP1240470004</t>
  </si>
  <si>
    <t>ZAFAR AHMAD CHOHAN</t>
  </si>
  <si>
    <t>35202-4660902-7</t>
  </si>
  <si>
    <t>35341784</t>
  </si>
  <si>
    <t>0019012793895 03216777599</t>
  </si>
  <si>
    <t xml:space="preserve">5910 MOUNT MORIAH RD STE 111 MEMPHIS TN 38115 UNITED STATES </t>
  </si>
  <si>
    <t>83427/00003/02/2024</t>
  </si>
  <si>
    <t>290663</t>
  </si>
  <si>
    <t>1190850</t>
  </si>
  <si>
    <t>SUZUKI ALTO VXR AGS</t>
  </si>
  <si>
    <t>OLDLHR300099301</t>
  </si>
  <si>
    <t>10896/02/2024/ITFM</t>
  </si>
  <si>
    <t>9976AD1223470001</t>
  </si>
  <si>
    <t>MUHAMMAD NADEEM</t>
  </si>
  <si>
    <t>33100-2675982-9</t>
  </si>
  <si>
    <t>03216624677</t>
  </si>
  <si>
    <t>03216624677, 03216624677</t>
  </si>
  <si>
    <t>0412604677</t>
  </si>
  <si>
    <t xml:space="preserve">P-223 NARWALA ROAD HEAVEN VILLAS FS D NEAR JAWAD CLUB FAISALABAD PK </t>
  </si>
  <si>
    <t>67335/00006/02/2023</t>
  </si>
  <si>
    <t>2A60039</t>
  </si>
  <si>
    <t>7038299</t>
  </si>
  <si>
    <t>OLAFSD300091199</t>
  </si>
  <si>
    <t>9998/02/2023/ITFM</t>
  </si>
  <si>
    <t>15-FEB-2023</t>
  </si>
  <si>
    <t>9976AP1230470002</t>
  </si>
  <si>
    <t>HABIB UR REHMAN</t>
  </si>
  <si>
    <t>33102-6052123-5</t>
  </si>
  <si>
    <t>03338389259</t>
  </si>
  <si>
    <t>03338389259, 03338389259</t>
  </si>
  <si>
    <t>0515960498</t>
  </si>
  <si>
    <t xml:space="preserve">P-236 ST NO 7 BAZAR NO 3 RAZA ABAD FSD NEAR DR ASLAM CLINIC FAISALABAD PK </t>
  </si>
  <si>
    <t>67335/00005/02/2023</t>
  </si>
  <si>
    <t>103426</t>
  </si>
  <si>
    <t>10003430</t>
  </si>
  <si>
    <t>LED-18-6692</t>
  </si>
  <si>
    <t>OLUFSD300092036</t>
  </si>
  <si>
    <t>DIB0034918</t>
  </si>
  <si>
    <t>9976AD2203650010</t>
  </si>
  <si>
    <t>AVINASH</t>
  </si>
  <si>
    <t>45101-3653631-5</t>
  </si>
  <si>
    <t>03333777877</t>
  </si>
  <si>
    <t>02135384765</t>
  </si>
  <si>
    <t xml:space="preserve">FLAT NO B-39, PEARL HEAVEN APPARTMENT, CLIFTON, BLOCK 5, KARACHI. </t>
  </si>
  <si>
    <t>53740/00059/02/2021</t>
  </si>
  <si>
    <t>R18Z16917929</t>
  </si>
  <si>
    <t>NFBFC6662MR070126</t>
  </si>
  <si>
    <t>CIVIC VTI ORIEL P/T</t>
  </si>
  <si>
    <t>OLAKHI300064394</t>
  </si>
  <si>
    <t>DIB0029603</t>
  </si>
  <si>
    <t>9976AD1203380002</t>
  </si>
  <si>
    <t>BENAZIR</t>
  </si>
  <si>
    <t>45102-9688451-0</t>
  </si>
  <si>
    <t>03323964434</t>
  </si>
  <si>
    <t xml:space="preserve">RURAL HEALTH CARE HOSPITAL REHRI GO TH LANDHI UC-2 BIN QASIM TOWN NEAR EXPORT PROCESSING KARACHI </t>
  </si>
  <si>
    <t>53740/00050/02/2021</t>
  </si>
  <si>
    <t>2A18537</t>
  </si>
  <si>
    <t>NSP150R-7010960</t>
  </si>
  <si>
    <t>TOYOTA YARIS GLI M/T 1.3</t>
  </si>
  <si>
    <t>POAKHI300063044</t>
  </si>
  <si>
    <t>DIB0029573</t>
  </si>
  <si>
    <t>9976AP2230790002</t>
  </si>
  <si>
    <t>RAO TALHA KHAN</t>
  </si>
  <si>
    <t>42201-7507267-7</t>
  </si>
  <si>
    <t>03114515431</t>
  </si>
  <si>
    <t xml:space="preserve">HOUSE NO 302 STRRET NO 20 GROUND FLOOR SECTOR 37-C LANDHI NO 3, KARACHI </t>
  </si>
  <si>
    <t>68593/00012/03/2023</t>
  </si>
  <si>
    <t>232327</t>
  </si>
  <si>
    <t>1132378</t>
  </si>
  <si>
    <t>BWU-517</t>
  </si>
  <si>
    <t>20-MAR-2023</t>
  </si>
  <si>
    <t>OLUKHI300092724</t>
  </si>
  <si>
    <t>10175/03/2023/ITFM</t>
  </si>
  <si>
    <t>9976AP1230800006</t>
  </si>
  <si>
    <t>SAJID ALI</t>
  </si>
  <si>
    <t>33102-3184444-7</t>
  </si>
  <si>
    <t>03007614047</t>
  </si>
  <si>
    <t>03007614047, 03007614047</t>
  </si>
  <si>
    <t xml:space="preserve">ST NO 02 BAZAR NO 0 JAMIL PARK KOK IANWALA ROAD FAISALABAD PK </t>
  </si>
  <si>
    <t>68593/00013/03/2023</t>
  </si>
  <si>
    <t>204962</t>
  </si>
  <si>
    <t>10104991</t>
  </si>
  <si>
    <t>OLDFSD300092744</t>
  </si>
  <si>
    <t>DIB0034942</t>
  </si>
  <si>
    <t>9976AP2210480013</t>
  </si>
  <si>
    <t>IKRAMULLAH SHAH</t>
  </si>
  <si>
    <t>42101-1227929-3</t>
  </si>
  <si>
    <t>03181010955</t>
  </si>
  <si>
    <t>111222081</t>
  </si>
  <si>
    <t xml:space="preserve">A-217 BLOCK H NORTH NAZIMABAD NEAR OP TARIQ BOOK STALL STREET KARACHI PK </t>
  </si>
  <si>
    <t>53740/00053/02/2021</t>
  </si>
  <si>
    <t>R18Z1-3749090</t>
  </si>
  <si>
    <t>NFBFB2668FR123135</t>
  </si>
  <si>
    <t>BDB-175</t>
  </si>
  <si>
    <t>OLUKHI300065917</t>
  </si>
  <si>
    <t>DIB0029604</t>
  </si>
  <si>
    <t>9976AP1220800014</t>
  </si>
  <si>
    <t>HUMAYOUN MUSSAWAR</t>
  </si>
  <si>
    <t>82303-7956207-7</t>
  </si>
  <si>
    <t>03319976106</t>
  </si>
  <si>
    <t>0518746377</t>
  </si>
  <si>
    <t xml:space="preserve">H # 6 ST# 6 QUAID E AZAM COLONY CHA KRI ROAD RAWALPINDI PK </t>
  </si>
  <si>
    <t>59294/00127/03/2022</t>
  </si>
  <si>
    <t>220318</t>
  </si>
  <si>
    <t>1120334</t>
  </si>
  <si>
    <t>OLDRWP300085783</t>
  </si>
  <si>
    <t>6585/03/2022</t>
  </si>
  <si>
    <t>9976AP2210480011</t>
  </si>
  <si>
    <t>SABA SAEED</t>
  </si>
  <si>
    <t>35202-7651299-0</t>
  </si>
  <si>
    <t>0300-4289427</t>
  </si>
  <si>
    <t>042-37323095</t>
  </si>
  <si>
    <t xml:space="preserve">H NO 183 GULSHAN BLOCK IQBAL TOWN LAHORE </t>
  </si>
  <si>
    <t>53740/00051/02/2021</t>
  </si>
  <si>
    <t>14803950</t>
  </si>
  <si>
    <t>MR020584</t>
  </si>
  <si>
    <t>BRV-IVTEC-S</t>
  </si>
  <si>
    <t>OLDLHR300065718</t>
  </si>
  <si>
    <t>DIB0029600</t>
  </si>
  <si>
    <t>9976AP2220800001</t>
  </si>
  <si>
    <t>SALMA MOHSIN</t>
  </si>
  <si>
    <t>42301-4057526-8</t>
  </si>
  <si>
    <t>0516102298</t>
  </si>
  <si>
    <t xml:space="preserve">H # 7 BASEMENT ST # 5 SECTOR D DHA 2 ISLAMABAD PK </t>
  </si>
  <si>
    <t>59294/00134/03/2022</t>
  </si>
  <si>
    <t>477111</t>
  </si>
  <si>
    <t>4102805</t>
  </si>
  <si>
    <t>ACJ-567</t>
  </si>
  <si>
    <t>TOYOTA COROLLA XLI</t>
  </si>
  <si>
    <t>OLUISD300085843</t>
  </si>
  <si>
    <t>DIB0033929</t>
  </si>
  <si>
    <t>9976AP1220470007</t>
  </si>
  <si>
    <t>USAMA SALEEM</t>
  </si>
  <si>
    <t>42101-3591558-3</t>
  </si>
  <si>
    <t>03132576061</t>
  </si>
  <si>
    <t xml:space="preserve">FLAT#B-12 BLOCK G REHMAN CENTRE NORTH NAZIMABAD KARACHI </t>
  </si>
  <si>
    <t>58470/00117/02/2022</t>
  </si>
  <si>
    <t>G3LAMP114573</t>
  </si>
  <si>
    <t>NNATA52AZKP707302</t>
  </si>
  <si>
    <t>BUL-306</t>
  </si>
  <si>
    <t>OLUKHI300084312</t>
  </si>
  <si>
    <t>6367/02/2022</t>
  </si>
  <si>
    <t>997AAD1203050069</t>
  </si>
  <si>
    <t>SAMEE OZAIR</t>
  </si>
  <si>
    <t>35202-7676482-5</t>
  </si>
  <si>
    <t>03224501964</t>
  </si>
  <si>
    <t>99231161</t>
  </si>
  <si>
    <t xml:space="preserve">UNIVERSITY OF THE PUNJAB NEW CAMPUS LAHORE </t>
  </si>
  <si>
    <t>53740/00048/02/2021</t>
  </si>
  <si>
    <t>G3LALP082438</t>
  </si>
  <si>
    <t>NNATA52AZKP704663</t>
  </si>
  <si>
    <t>POALHR300059812</t>
  </si>
  <si>
    <t>DIB0029594</t>
  </si>
  <si>
    <t>9976AP1220800009</t>
  </si>
  <si>
    <t>MUHAMMAD RASHID SAEED</t>
  </si>
  <si>
    <t>35201-0647062-1</t>
  </si>
  <si>
    <t>03230475838</t>
  </si>
  <si>
    <t>03080475838</t>
  </si>
  <si>
    <t xml:space="preserve">HOUSE NO 5 STREET NO 19-A FAISAL PA RK KOTLI PEER ABDUL REHMAN LAHORE PK </t>
  </si>
  <si>
    <t>59294/00133/03/2022</t>
  </si>
  <si>
    <t>H025574</t>
  </si>
  <si>
    <t>500444</t>
  </si>
  <si>
    <t>APC-90</t>
  </si>
  <si>
    <t>OLULHR300085851</t>
  </si>
  <si>
    <t>6592/03/2022</t>
  </si>
  <si>
    <t>19-MAR-2022</t>
  </si>
  <si>
    <t>9976AP2220470002</t>
  </si>
  <si>
    <t>USAMA AWAN</t>
  </si>
  <si>
    <t>32302-2783702-5</t>
  </si>
  <si>
    <t>041877728</t>
  </si>
  <si>
    <t>03498004859, 03498004859</t>
  </si>
  <si>
    <t>03498004859</t>
  </si>
  <si>
    <t xml:space="preserve">H NO 198 H BLOCK PHASE NO 3 TECH TO WN SATYANA ROAD FSD NEAR H BLOCK MA FAISALABAD PK </t>
  </si>
  <si>
    <t>58470/00123/02/2022</t>
  </si>
  <si>
    <t>13746746</t>
  </si>
  <si>
    <t>120790</t>
  </si>
  <si>
    <t>FDA-14-4</t>
  </si>
  <si>
    <t>OLUFSD300084372</t>
  </si>
  <si>
    <t>DIB0033477</t>
  </si>
  <si>
    <t>997AAD1203230005</t>
  </si>
  <si>
    <t>IKRAM ULLAH</t>
  </si>
  <si>
    <t>35401-1845344-3</t>
  </si>
  <si>
    <t>03215266485</t>
  </si>
  <si>
    <t xml:space="preserve">315 D-1 SECTOR 4 GREEN TOWN NEAR DA RBAR E GHOSIA LAHORE </t>
  </si>
  <si>
    <t>53740/00049/02/2021</t>
  </si>
  <si>
    <t>G3LALP083126</t>
  </si>
  <si>
    <t>NNATA52AZKP704750</t>
  </si>
  <si>
    <t>POALHR300061181</t>
  </si>
  <si>
    <t>DIB0029597</t>
  </si>
  <si>
    <t>997AAD1203660006</t>
  </si>
  <si>
    <t>SYEDA MEHREEN KANWAL</t>
  </si>
  <si>
    <t>42201-4925663-4</t>
  </si>
  <si>
    <t>03442635513</t>
  </si>
  <si>
    <t xml:space="preserve">HOUSE # 873, BLOCK 4 SHAH FAISAL TOWN KARACHI </t>
  </si>
  <si>
    <t>53740/00047/02/2021</t>
  </si>
  <si>
    <t>154194</t>
  </si>
  <si>
    <t>1054186</t>
  </si>
  <si>
    <t>OLAKHI300064629</t>
  </si>
  <si>
    <t>DIB0029577</t>
  </si>
  <si>
    <t>12-FEB-2021</t>
  </si>
  <si>
    <t>9976AD1240310004</t>
  </si>
  <si>
    <t>MUHAMMAD KHALID SHEIKH</t>
  </si>
  <si>
    <t>37405-0358990-5</t>
  </si>
  <si>
    <t>0333-5557413</t>
  </si>
  <si>
    <t>051-5774134</t>
  </si>
  <si>
    <t xml:space="preserve">HNO # 9, STREET # 3, IQBAL TOWN KURRI ROAD, RWP RAWALPINDI PK </t>
  </si>
  <si>
    <t>83427/00002/02/2024</t>
  </si>
  <si>
    <t>Q106449</t>
  </si>
  <si>
    <t>6083951</t>
  </si>
  <si>
    <t>OLARWP300099216</t>
  </si>
  <si>
    <t>10890/02/2024/ITFM</t>
  </si>
  <si>
    <t>15-FEB-2024</t>
  </si>
  <si>
    <t>997APD1200790007</t>
  </si>
  <si>
    <t>GHULAM MUSTAFA</t>
  </si>
  <si>
    <t>35202-6587898-1</t>
  </si>
  <si>
    <t>03097499990</t>
  </si>
  <si>
    <t>03097499990, 03364120118</t>
  </si>
  <si>
    <t xml:space="preserve">MUHALLA ABADI MEERA BAKHSH GHARI SH AHU NEAR MARZAI BARGAH LAHORE </t>
  </si>
  <si>
    <t>51999/00042/03/2020</t>
  </si>
  <si>
    <t>126960</t>
  </si>
  <si>
    <t>1026948</t>
  </si>
  <si>
    <t>19-MAR-2020</t>
  </si>
  <si>
    <t>PODLHR300053722</t>
  </si>
  <si>
    <t>DIB0028283</t>
  </si>
  <si>
    <t>9976AP2220470003</t>
  </si>
  <si>
    <t>MALIK RIZWAN ZAHOOR</t>
  </si>
  <si>
    <t>13503-0621008-5</t>
  </si>
  <si>
    <t>03229918248</t>
  </si>
  <si>
    <t>0512361818</t>
  </si>
  <si>
    <t xml:space="preserve">H # 174 ST # 160 SECTOR G-11/1 NEAR CHILDREN PARK ISLAMABAD PK </t>
  </si>
  <si>
    <t>58470/00110/02/2022</t>
  </si>
  <si>
    <t>16910389</t>
  </si>
  <si>
    <t>061953</t>
  </si>
  <si>
    <t>AQV-316</t>
  </si>
  <si>
    <t>OLUISD300084256</t>
  </si>
  <si>
    <t>6369/02/2022</t>
  </si>
  <si>
    <t>9976AP2220460019</t>
  </si>
  <si>
    <t>MUHAMMAD OWAIS</t>
  </si>
  <si>
    <t>42201-0555865-9</t>
  </si>
  <si>
    <t>03323058905</t>
  </si>
  <si>
    <t>02135121220</t>
  </si>
  <si>
    <t xml:space="preserve">PLOT # 5/2 SECTOR 15 KORANGI INDUST RIAL AREA NEAR BROOKS CHOWRANGI KARACHI </t>
  </si>
  <si>
    <t>58470/00113/02/2022</t>
  </si>
  <si>
    <t>2A02735</t>
  </si>
  <si>
    <t>9501606</t>
  </si>
  <si>
    <t>BRW-586</t>
  </si>
  <si>
    <t>TOYOTA YARIS AT/V X CVT 1.5</t>
  </si>
  <si>
    <t>OLUKHI300084332</t>
  </si>
  <si>
    <t>6363/02/2022</t>
  </si>
  <si>
    <t>9976AP2220460021</t>
  </si>
  <si>
    <t>MUDASSIR SALEEM</t>
  </si>
  <si>
    <t>42101-0724439-3</t>
  </si>
  <si>
    <t>03101242477</t>
  </si>
  <si>
    <t xml:space="preserve">L- 877 SECTER 4 NORTH KHI W9 BUS ST OPE KARACHI PK </t>
  </si>
  <si>
    <t>58470/00100/02/2022</t>
  </si>
  <si>
    <t>533155</t>
  </si>
  <si>
    <t>1006774</t>
  </si>
  <si>
    <t>CHANGAN ALSVIN 1.5L LUMIERE</t>
  </si>
  <si>
    <t>OLDKHI300084275</t>
  </si>
  <si>
    <t>6353/02/2022</t>
  </si>
  <si>
    <t>9976AP1220540066</t>
  </si>
  <si>
    <t>ALI AHMAD</t>
  </si>
  <si>
    <t>35202-6461413-5</t>
  </si>
  <si>
    <t>03213224487</t>
  </si>
  <si>
    <t>03244518660</t>
  </si>
  <si>
    <t xml:space="preserve">H NO ST NO 1 MIAN GHULAM HASSAIN COLONY BUND ROAD SHERA KOTT LAHORE </t>
  </si>
  <si>
    <t>58470/00105/02/2022</t>
  </si>
  <si>
    <t>532427</t>
  </si>
  <si>
    <t>1006421</t>
  </si>
  <si>
    <t>OLDLHR300084276</t>
  </si>
  <si>
    <t>6343/02/2022</t>
  </si>
  <si>
    <t>9976AP2220460013</t>
  </si>
  <si>
    <t>MUHAMMAD JIBRAN AZEEM</t>
  </si>
  <si>
    <t>42201-8699334-7</t>
  </si>
  <si>
    <t>03212367762</t>
  </si>
  <si>
    <t xml:space="preserve">H $ E- 100 PECHS BLOCK 6 EMARKET AR EA AMBALA SWEET KARACHI PK </t>
  </si>
  <si>
    <t>58470/00101/02/2022</t>
  </si>
  <si>
    <t>12955583</t>
  </si>
  <si>
    <t>059419</t>
  </si>
  <si>
    <t>BRN-464</t>
  </si>
  <si>
    <t>OLUKHI300084294</t>
  </si>
  <si>
    <t>6350/02/2022</t>
  </si>
  <si>
    <t>9976AP1240810023</t>
  </si>
  <si>
    <t>MUHAMMAD ASHRAF QADRI</t>
  </si>
  <si>
    <t>42301-8963349-9</t>
  </si>
  <si>
    <t>03008293203</t>
  </si>
  <si>
    <t xml:space="preserve">706 7TH FLOOR SAMI TOWER BLOCK -A N ORTH NAZIMABAD QADRI MARKET KARACHI PK </t>
  </si>
  <si>
    <t>84828/00016/03/2024</t>
  </si>
  <si>
    <t>13035722</t>
  </si>
  <si>
    <t>10035684</t>
  </si>
  <si>
    <t>BHY-124</t>
  </si>
  <si>
    <t>OLUKHI300099644</t>
  </si>
  <si>
    <t>11053/03/2024/ITFM</t>
  </si>
  <si>
    <t>9976AP1240810022</t>
  </si>
  <si>
    <t>BILAL</t>
  </si>
  <si>
    <t>42401-6940541-1</t>
  </si>
  <si>
    <t>03353969712</t>
  </si>
  <si>
    <t xml:space="preserve">HOUSE NO A-93 MANGHOPIR GARAM CHASH MA NEAR JAMA MASJID ASHRAF KDA SURV KARACHI PK </t>
  </si>
  <si>
    <t>84828/00015/03/2024</t>
  </si>
  <si>
    <t>Q333745</t>
  </si>
  <si>
    <t>7032884</t>
  </si>
  <si>
    <t>BNF-350</t>
  </si>
  <si>
    <t>OLUKHI300099621</t>
  </si>
  <si>
    <t>11057/03/2024/ITFM</t>
  </si>
  <si>
    <t>9976AP1220470012</t>
  </si>
  <si>
    <t>CHAUDHARY REHAN GHAUS</t>
  </si>
  <si>
    <t>35201-1678080-9</t>
  </si>
  <si>
    <t>03008411114</t>
  </si>
  <si>
    <t>04235893701</t>
  </si>
  <si>
    <t xml:space="preserve">PROMOC LABORATORIES 117-G, 1ST FLOOR, COMMERCIAL AREA, DHA LAHORE CANTT LHR </t>
  </si>
  <si>
    <t>58470/00103/02/2022</t>
  </si>
  <si>
    <t>126295</t>
  </si>
  <si>
    <t>10026276</t>
  </si>
  <si>
    <t>LEC-18A-4246</t>
  </si>
  <si>
    <t>OLULHR300084267</t>
  </si>
  <si>
    <t>6354/02/2022</t>
  </si>
  <si>
    <t>9976AP1240800016</t>
  </si>
  <si>
    <t>42101-9169087-3</t>
  </si>
  <si>
    <t>03455555215</t>
  </si>
  <si>
    <t>34971777</t>
  </si>
  <si>
    <t xml:space="preserve">SHOP NO 2 AND 3 SB 4 ROYAL TERRACE BLOCK 2 GULSHAN E IQBAL KHI </t>
  </si>
  <si>
    <t>84828/00014/03/2024</t>
  </si>
  <si>
    <t>106003</t>
  </si>
  <si>
    <t>1005968</t>
  </si>
  <si>
    <t>BQT-372</t>
  </si>
  <si>
    <t>OLUKHI300099618</t>
  </si>
  <si>
    <t>11054/03/2024/ITFM</t>
  </si>
  <si>
    <t>9976AP1240800015</t>
  </si>
  <si>
    <t>84828/00017/03/2024</t>
  </si>
  <si>
    <t>185290</t>
  </si>
  <si>
    <t>1085289</t>
  </si>
  <si>
    <t>BWC-698</t>
  </si>
  <si>
    <t>OLUKHI300099630</t>
  </si>
  <si>
    <t>11056/03/2024/ITFM</t>
  </si>
  <si>
    <t>9976AP2190460002</t>
  </si>
  <si>
    <t>NAVID JAMIL MALIK</t>
  </si>
  <si>
    <t>37405-7122457-5</t>
  </si>
  <si>
    <t>03337485442</t>
  </si>
  <si>
    <t>0519258042</t>
  </si>
  <si>
    <t xml:space="preserve">H # 956 BAHRIA AVENUE PHASE 7 BAHRI A TOWN RAWALPINDI PK </t>
  </si>
  <si>
    <t>50369/00016/02/2019</t>
  </si>
  <si>
    <t>Z549499</t>
  </si>
  <si>
    <t>4175208</t>
  </si>
  <si>
    <t>AMG-452</t>
  </si>
  <si>
    <t>COROLLA GLI A/T</t>
  </si>
  <si>
    <t>21-FEB-2019</t>
  </si>
  <si>
    <t>PODRWP300043204</t>
  </si>
  <si>
    <t>0306/02/2019</t>
  </si>
  <si>
    <t>14-FEB-2019</t>
  </si>
  <si>
    <t>9976AP1190810006</t>
  </si>
  <si>
    <t>SHAHREEN MUNAWAR</t>
  </si>
  <si>
    <t>33100-3511542-8</t>
  </si>
  <si>
    <t>0412668603</t>
  </si>
  <si>
    <t>03316466664, 03316466664</t>
  </si>
  <si>
    <t>03350700005</t>
  </si>
  <si>
    <t xml:space="preserve">P-132 C BLOCK SAMANABAD FSD FAISALABAD PK </t>
  </si>
  <si>
    <t>50454/00032/03/2019</t>
  </si>
  <si>
    <t>758793</t>
  </si>
  <si>
    <t>01297497</t>
  </si>
  <si>
    <t>AMX-132</t>
  </si>
  <si>
    <t>SUZUKI MEHRAN VX</t>
  </si>
  <si>
    <t>22-MAR-2019</t>
  </si>
  <si>
    <t>21-MAR-2019</t>
  </si>
  <si>
    <t>PODFSD300044231</t>
  </si>
  <si>
    <t>TDIDIB0027022</t>
  </si>
  <si>
    <t>20-MAR-2019</t>
  </si>
  <si>
    <t>9976AP2220460016</t>
  </si>
  <si>
    <t>RAJA HAMZA TARIQ</t>
  </si>
  <si>
    <t>37303-9024734-5</t>
  </si>
  <si>
    <t>03129998969</t>
  </si>
  <si>
    <t xml:space="preserve">H# DD-51 ST # 5 NEAR MASJID ABU HUR AIRA GULSHAN DADAN KHAN SHAMSABAD M RAWALPINDI PK </t>
  </si>
  <si>
    <t>58470/00107/02/2022</t>
  </si>
  <si>
    <t>117914</t>
  </si>
  <si>
    <t>1017918</t>
  </si>
  <si>
    <t>AQW-513</t>
  </si>
  <si>
    <t>OLURWP300084315</t>
  </si>
  <si>
    <t>6347/02/2022</t>
  </si>
  <si>
    <t>9976AP1230800011</t>
  </si>
  <si>
    <t>BILQUIS REHMAN</t>
  </si>
  <si>
    <t>42101-1478578-2</t>
  </si>
  <si>
    <t>03333207648</t>
  </si>
  <si>
    <t xml:space="preserve">FLAT NO R 4 AHMED ROYAL RESIDENCY (GROUP FLOOR) BLOCK 11 NEAR NEPA KARACHI </t>
  </si>
  <si>
    <t>68593/00014/03/2023</t>
  </si>
  <si>
    <t>229328</t>
  </si>
  <si>
    <t>1129315</t>
  </si>
  <si>
    <t>BXE-935</t>
  </si>
  <si>
    <t>OLUKHI300092773</t>
  </si>
  <si>
    <t>DIB0034945</t>
  </si>
  <si>
    <t>9976AD1213030044</t>
  </si>
  <si>
    <t>MUHAMMAD MUJAHID</t>
  </si>
  <si>
    <t>33100-0990346-7</t>
  </si>
  <si>
    <t>03216611082</t>
  </si>
  <si>
    <t>03216611082, 03216611082</t>
  </si>
  <si>
    <t>0418767828</t>
  </si>
  <si>
    <t xml:space="preserve">P-920/44 BHAI WALA JHUMRA ROAD FSD NEAR IRFAN MED STORE FAISALABAD PK </t>
  </si>
  <si>
    <t>58470/00094/02/2022</t>
  </si>
  <si>
    <t>192690</t>
  </si>
  <si>
    <t>10092692</t>
  </si>
  <si>
    <t>OLAFSD300077623</t>
  </si>
  <si>
    <t>TDIDIB0030061</t>
  </si>
  <si>
    <t>9976AD2212740070</t>
  </si>
  <si>
    <t>HARRIS MEHMOOD</t>
  </si>
  <si>
    <t>33100-2933559-1</t>
  </si>
  <si>
    <t>03007201088</t>
  </si>
  <si>
    <t>03007201088, 03007201088</t>
  </si>
  <si>
    <t xml:space="preserve">P-154 RACHNA TOWN NO 1 SATYANA ROAD FSD NEAR HASSAN KERYANA STORE FAISALABAD PK </t>
  </si>
  <si>
    <t>58470/00095/02/2022</t>
  </si>
  <si>
    <t>192630</t>
  </si>
  <si>
    <t>10092627</t>
  </si>
  <si>
    <t>OLAFSD300074552</t>
  </si>
  <si>
    <t>TDIDIB0030062</t>
  </si>
  <si>
    <t>9976AP1240810020</t>
  </si>
  <si>
    <t>SHAHZAD</t>
  </si>
  <si>
    <t>33100-7251249-7</t>
  </si>
  <si>
    <t>03006659223</t>
  </si>
  <si>
    <t xml:space="preserve">HOUSE NO 601, MAIN ROAD JINNAH COLONY, NEAR GHQ FAISALABAD 0300 6659223 </t>
  </si>
  <si>
    <t>84828/00021/03/2024</t>
  </si>
  <si>
    <t>51020393</t>
  </si>
  <si>
    <t>R035251</t>
  </si>
  <si>
    <t>OLDFSD300099650</t>
  </si>
  <si>
    <t>11060/03/2024/ITFM</t>
  </si>
  <si>
    <t>20-MAR-2024</t>
  </si>
  <si>
    <t>9976AP1240810019</t>
  </si>
  <si>
    <t>MOHAMMAD JAHANZEB</t>
  </si>
  <si>
    <t>33100-9376753-5</t>
  </si>
  <si>
    <t>03226665422</t>
  </si>
  <si>
    <t xml:space="preserve">HOUSE NO P-312 JHANG ROAD NEAR AIR REVENEU FAISALABAD 03226665422 </t>
  </si>
  <si>
    <t>84828/00020/03/2024</t>
  </si>
  <si>
    <t>854881</t>
  </si>
  <si>
    <t>301177</t>
  </si>
  <si>
    <t>AUS-536</t>
  </si>
  <si>
    <t>HYUNDAI ELANTRA</t>
  </si>
  <si>
    <t>OLUFSD30099649</t>
  </si>
  <si>
    <t>11062/03/2024/ITFM</t>
  </si>
  <si>
    <t>9976AP2240810011</t>
  </si>
  <si>
    <t>ATIF IQBAL</t>
  </si>
  <si>
    <t>33100-4354483-1</t>
  </si>
  <si>
    <t>0300-4448972/03077772476</t>
  </si>
  <si>
    <t>03004448972</t>
  </si>
  <si>
    <t>0414689470</t>
  </si>
  <si>
    <t xml:space="preserve">P-116 B BLOCK OFFICER COLONY NO 2 MADINA TOWN FAISALABAD PK </t>
  </si>
  <si>
    <t>84828/00019/03/2024</t>
  </si>
  <si>
    <t>302745</t>
  </si>
  <si>
    <t>1202787</t>
  </si>
  <si>
    <t>OLDLHR300099598</t>
  </si>
  <si>
    <t>11055/03/2024/ITFM</t>
  </si>
  <si>
    <t>9976AP1220470008</t>
  </si>
  <si>
    <t>SHAHZAD TARIQ</t>
  </si>
  <si>
    <t>33100-5647872-9</t>
  </si>
  <si>
    <t>03028787683</t>
  </si>
  <si>
    <t>03028787683, 03028787683</t>
  </si>
  <si>
    <t xml:space="preserve">P-224 ST NO 02 FAWARA CHOWK NISAR C OLONY FSD NEAR GOVT HIGH SCHOOL FAISALABAD PK </t>
  </si>
  <si>
    <t>58470/00093/02/2022</t>
  </si>
  <si>
    <t>690500974</t>
  </si>
  <si>
    <t>1005856</t>
  </si>
  <si>
    <t>ADG-802</t>
  </si>
  <si>
    <t>OLUFSD300084286</t>
  </si>
  <si>
    <t>6340/02/2022</t>
  </si>
  <si>
    <t>9976AP1240810017</t>
  </si>
  <si>
    <t>MUHAMMAD KASHIF GULRAIZ</t>
  </si>
  <si>
    <t>35202-0980962-7</t>
  </si>
  <si>
    <t>03224484413</t>
  </si>
  <si>
    <t>03224484413, 03224484413</t>
  </si>
  <si>
    <t xml:space="preserve">H NO 126-A BLOCK B ARCHITECT SOCIET Y NEAR WAPDA TOWN LAHORE PK </t>
  </si>
  <si>
    <t>84828/00018/03/2024</t>
  </si>
  <si>
    <t>6R300830</t>
  </si>
  <si>
    <t>1200814</t>
  </si>
  <si>
    <t>OLDLHR300099585</t>
  </si>
  <si>
    <t>11039/03/2024/ITFM</t>
  </si>
  <si>
    <t>9976AP2220520010</t>
  </si>
  <si>
    <t>KASHIF RAHEEM BUTT</t>
  </si>
  <si>
    <t>35202-9709580-1</t>
  </si>
  <si>
    <t>7642564</t>
  </si>
  <si>
    <t>03214444665</t>
  </si>
  <si>
    <t>6299331</t>
  </si>
  <si>
    <t xml:space="preserve">HOUSE NO. F-687 KOCHA CHABAK SAWALAU RANG MAHAL LAHORE </t>
  </si>
  <si>
    <t>58470/00112/02/2022</t>
  </si>
  <si>
    <t>R212681</t>
  </si>
  <si>
    <t>H1112697</t>
  </si>
  <si>
    <t>OLDLHR300084277</t>
  </si>
  <si>
    <t>6362/02/2022</t>
  </si>
  <si>
    <t>9976AD1212980006</t>
  </si>
  <si>
    <t>SAIF UR REHMAN</t>
  </si>
  <si>
    <t>33102-9924890-9</t>
  </si>
  <si>
    <t>03216377410</t>
  </si>
  <si>
    <t>03216377410, 03216377410</t>
  </si>
  <si>
    <t xml:space="preserve">P-2650 BLOCK 41-A SAMANABAD FSD FAISALABAD PK </t>
  </si>
  <si>
    <t>58470/00096/02/2022</t>
  </si>
  <si>
    <t>6R211754</t>
  </si>
  <si>
    <t>1111764</t>
  </si>
  <si>
    <t>OLAFSD300076003</t>
  </si>
  <si>
    <t>TDIDIB0030063</t>
  </si>
  <si>
    <t>9976AP1220800004</t>
  </si>
  <si>
    <t>HAFIZ MUHAMMAD SHAHBAZ MANSHA</t>
  </si>
  <si>
    <t>36601-3928659-1</t>
  </si>
  <si>
    <t>03008807835</t>
  </si>
  <si>
    <t>067-33555835</t>
  </si>
  <si>
    <t xml:space="preserve">FIY HARMAIN TRAVELS AND TOURS HAJWARY MALL O BLOCK LINK LAHORE ROAD BUREWALA </t>
  </si>
  <si>
    <t>59294/00137/03/2022</t>
  </si>
  <si>
    <t>6R150257</t>
  </si>
  <si>
    <t>1050263</t>
  </si>
  <si>
    <t>AGQ-868</t>
  </si>
  <si>
    <t>OLUBRW300085813</t>
  </si>
  <si>
    <t>6586/03/2022</t>
  </si>
  <si>
    <t>9976AP1240440005</t>
  </si>
  <si>
    <t>42401-5867062-5</t>
  </si>
  <si>
    <t>03461987621</t>
  </si>
  <si>
    <t>03461987621, 03461987621</t>
  </si>
  <si>
    <t xml:space="preserve">PLOT # D-592 RABANI MOHALLA FRONTIE R COLONY NO. 3 NEAR AMEEN STAND MET KARACHI PK </t>
  </si>
  <si>
    <t>83427/00001/02/2024</t>
  </si>
  <si>
    <t>6R251247</t>
  </si>
  <si>
    <t>1151256</t>
  </si>
  <si>
    <t>BXS-854</t>
  </si>
  <si>
    <t>21-Feb-2029</t>
  </si>
  <si>
    <t>OLUKHI300099254</t>
  </si>
  <si>
    <t>10879/02/2024/ITFM</t>
  </si>
  <si>
    <t>12-FEB-2024</t>
  </si>
  <si>
    <t>997AAD1203310006</t>
  </si>
  <si>
    <t>NAHEED AFZAL</t>
  </si>
  <si>
    <t>37405-8281768-4</t>
  </si>
  <si>
    <t>03315491172</t>
  </si>
  <si>
    <t xml:space="preserve">H # 438/29 DR JAHANGIR STREET CANTT TENCH BHATTA RAWALPINDI PK </t>
  </si>
  <si>
    <t>53740/00036/02/2021</t>
  </si>
  <si>
    <t>343175</t>
  </si>
  <si>
    <t>509338</t>
  </si>
  <si>
    <t>POARWP300062254</t>
  </si>
  <si>
    <t>9976AP2220560008</t>
  </si>
  <si>
    <t>BILAL AKBAR GOHAR</t>
  </si>
  <si>
    <t>34103-2267491-9</t>
  </si>
  <si>
    <t>03339985111</t>
  </si>
  <si>
    <t xml:space="preserve">GOHAR POULTRY FARM CHAK SNATTA TEHSIL MAREEDKAY DISTT SHEIKHUPURA </t>
  </si>
  <si>
    <t>58470/00081/02/2022</t>
  </si>
  <si>
    <t>962176</t>
  </si>
  <si>
    <t>302570</t>
  </si>
  <si>
    <t>OLDLHR300084222</t>
  </si>
  <si>
    <t>6344/02/2022</t>
  </si>
  <si>
    <t>11-FEB-2022</t>
  </si>
  <si>
    <t>9976AP2220460015</t>
  </si>
  <si>
    <t>MUHAMMAD NADEEM SAJID</t>
  </si>
  <si>
    <t>37201-1718823-3</t>
  </si>
  <si>
    <t>03336277860</t>
  </si>
  <si>
    <t>0518315609</t>
  </si>
  <si>
    <t xml:space="preserve">H # 133 MAIN STREET GREEN VILLAS MO HALLAH SANOBAR CITY ADYALA ROAD RAWALPINDI PK </t>
  </si>
  <si>
    <t>58470/00085/02/2022</t>
  </si>
  <si>
    <t>551066</t>
  </si>
  <si>
    <t>4176345</t>
  </si>
  <si>
    <t>BQZ-789</t>
  </si>
  <si>
    <t>OLURWP300084257</t>
  </si>
  <si>
    <t>6326/02/2022</t>
  </si>
  <si>
    <t>9976AP1220550003</t>
  </si>
  <si>
    <t>MUHAMMAD UMAIR</t>
  </si>
  <si>
    <t>35202-0594612-3</t>
  </si>
  <si>
    <t>03218811311</t>
  </si>
  <si>
    <t>04235443366</t>
  </si>
  <si>
    <t xml:space="preserve">OFFICE NO 6-B ALFALAH BANK 1ST FLOO R BRIDAL CENTER NEAR ZAINAB TOWER M ODEL TOWN LAHORE </t>
  </si>
  <si>
    <t>58470/00090/02/2022</t>
  </si>
  <si>
    <t>228996</t>
  </si>
  <si>
    <t>1012898</t>
  </si>
  <si>
    <t>OLDLHR300084224</t>
  </si>
  <si>
    <t>6334/02/2022</t>
  </si>
  <si>
    <t>12-FEB-2022</t>
  </si>
  <si>
    <t>9976AP1220450009</t>
  </si>
  <si>
    <t>KASHIF UR REHMAN QURESHI</t>
  </si>
  <si>
    <t>42401-1869469-1</t>
  </si>
  <si>
    <t>03332256398</t>
  </si>
  <si>
    <t>02136922099</t>
  </si>
  <si>
    <t xml:space="preserve">KASHIF ENTERPRISES PLOT NO: RS-12, ST-13, SECTOR 5A/2 NORTH KARACHI, </t>
  </si>
  <si>
    <t>58470/00072/02/2022</t>
  </si>
  <si>
    <t>119944</t>
  </si>
  <si>
    <t>10019914</t>
  </si>
  <si>
    <t>BMK-871</t>
  </si>
  <si>
    <t>OLUKHI300084197</t>
  </si>
  <si>
    <t>DIB0033448</t>
  </si>
  <si>
    <t>9976AP1210470008</t>
  </si>
  <si>
    <t>FATIMA KHAN</t>
  </si>
  <si>
    <t>35202-7902116-8</t>
  </si>
  <si>
    <t>03214501938</t>
  </si>
  <si>
    <t xml:space="preserve">WWF PAKISTAN INSIDE ALI INSTITUTE F EROZPUR ROAD NEAR GULAB DEVI LAHORE </t>
  </si>
  <si>
    <t>53740/00038/02/2021</t>
  </si>
  <si>
    <t>155214</t>
  </si>
  <si>
    <t>1055188</t>
  </si>
  <si>
    <t>OLALHR300065739</t>
  </si>
  <si>
    <t>DIB0029582</t>
  </si>
  <si>
    <t>9976AP1220450016</t>
  </si>
  <si>
    <t>HAMID MEHMOOD</t>
  </si>
  <si>
    <t>33100-9911420-3</t>
  </si>
  <si>
    <t>03006667239</t>
  </si>
  <si>
    <t>03006667239, 03006667239</t>
  </si>
  <si>
    <t xml:space="preserve">H NO P-15 TOHEED BLOCK NEW LASANI T OWN SARGODHA ROAD FSD FAISALABAD PK </t>
  </si>
  <si>
    <t>58470/00082/02/2022</t>
  </si>
  <si>
    <t>172431</t>
  </si>
  <si>
    <t>10072425</t>
  </si>
  <si>
    <t>ALE-837</t>
  </si>
  <si>
    <t>OLUFSD300084235</t>
  </si>
  <si>
    <t>6325/02/2022</t>
  </si>
  <si>
    <t>9976AD1212670034</t>
  </si>
  <si>
    <t>IQBAL AHMED</t>
  </si>
  <si>
    <t>33100-0696837-7</t>
  </si>
  <si>
    <t>03004362715</t>
  </si>
  <si>
    <t>03004362715, 03004362715</t>
  </si>
  <si>
    <t xml:space="preserve">P-116 ST NO 19 LIAQATABAD NO 1 FSD FAISALABAD PK </t>
  </si>
  <si>
    <t>58470/00067/02/2022</t>
  </si>
  <si>
    <t>210640</t>
  </si>
  <si>
    <t>1110670</t>
  </si>
  <si>
    <t>OLAFSD300073849</t>
  </si>
  <si>
    <t>DIB0033430</t>
  </si>
  <si>
    <t>10-FEB-2022</t>
  </si>
  <si>
    <t>9976AP1220450010</t>
  </si>
  <si>
    <t>AMENA ABBAS</t>
  </si>
  <si>
    <t>42000-6425103-2</t>
  </si>
  <si>
    <t>03455115467</t>
  </si>
  <si>
    <t>03455115467, 03455115467</t>
  </si>
  <si>
    <t xml:space="preserve">P-533-F F BLOCK EDEN VALLEY FSD NEA R F BLOCK PARK FAISALABAD PK </t>
  </si>
  <si>
    <t>58470/00084/02/2022</t>
  </si>
  <si>
    <t>132199</t>
  </si>
  <si>
    <t>700152</t>
  </si>
  <si>
    <t>APS-219</t>
  </si>
  <si>
    <t>OLUFSD300084242</t>
  </si>
  <si>
    <t>6327/02/2022</t>
  </si>
  <si>
    <t>9976AP1220470004</t>
  </si>
  <si>
    <t>MUHAMMAD ARSHAD</t>
  </si>
  <si>
    <t>35302-7150932-9</t>
  </si>
  <si>
    <t>03006976725</t>
  </si>
  <si>
    <t xml:space="preserve">h# 408 /1 BILAL TOWN RAJABA ABAD J AMIL STREET NEAR ALI VIEW GARDEN B LAHORE PK </t>
  </si>
  <si>
    <t>58470/00074/02/2022</t>
  </si>
  <si>
    <t>1020224</t>
  </si>
  <si>
    <t>1136752</t>
  </si>
  <si>
    <t>OLDLHR300084177</t>
  </si>
  <si>
    <t>6323/02/2022</t>
  </si>
  <si>
    <t>9976AP2210490002</t>
  </si>
  <si>
    <t>MAIN JAHANZEB HAFEEZ</t>
  </si>
  <si>
    <t>35202-9802989-5</t>
  </si>
  <si>
    <t>03018477757</t>
  </si>
  <si>
    <t>37421919</t>
  </si>
  <si>
    <t xml:space="preserve">H NO 212 PHASE 2 BLOCK S DHA CANTT LAHORE </t>
  </si>
  <si>
    <t>53740/00037/02/2021</t>
  </si>
  <si>
    <t>1604236</t>
  </si>
  <si>
    <t>0247888</t>
  </si>
  <si>
    <t>TOYOTA PASSO</t>
  </si>
  <si>
    <t>OLULHR300065850</t>
  </si>
  <si>
    <t>4268/02/2021/ITFM</t>
  </si>
  <si>
    <t>9976AP2210460010</t>
  </si>
  <si>
    <t>MUHAMMAD USMAN HAMEED</t>
  </si>
  <si>
    <t>35401-8114547-7</t>
  </si>
  <si>
    <t>03349407000</t>
  </si>
  <si>
    <t xml:space="preserve">2ND FLOOR 3CCA PHASE V DHA LAHORE </t>
  </si>
  <si>
    <t>53740/00034/02/2021</t>
  </si>
  <si>
    <t>155198</t>
  </si>
  <si>
    <t>1055192</t>
  </si>
  <si>
    <t>OLDLHR300065838</t>
  </si>
  <si>
    <t>4265/02/2021/ITFM</t>
  </si>
  <si>
    <t>9976AP2220470004</t>
  </si>
  <si>
    <t>MUHAMMAD HASHAM FAROOQ</t>
  </si>
  <si>
    <t>35202-1855439-5</t>
  </si>
  <si>
    <t>03104720110</t>
  </si>
  <si>
    <t xml:space="preserve">ASSENSO SUIETS PLAZA MODEL TOWN M-B LOCK OFFICE NO 8 1STR FLOOR LAHORE </t>
  </si>
  <si>
    <t>58470/00083/02/2022</t>
  </si>
  <si>
    <t>HH300914</t>
  </si>
  <si>
    <t>LFPAHFMM18000694</t>
  </si>
  <si>
    <t>LEA-18-9196</t>
  </si>
  <si>
    <t>FAW V-2</t>
  </si>
  <si>
    <t>OLUKHR300084194</t>
  </si>
  <si>
    <t>6356/02/2022</t>
  </si>
  <si>
    <t>9976AD1220250021</t>
  </si>
  <si>
    <t>MIAN KHALID JAVEED SANDHU</t>
  </si>
  <si>
    <t>34101-2649710-5</t>
  </si>
  <si>
    <t>03236259999</t>
  </si>
  <si>
    <t xml:space="preserve">HOUSE NO B-305 SATELLITE TOWN GUJRANWALA PK </t>
  </si>
  <si>
    <t>58470/00003/02/2022</t>
  </si>
  <si>
    <t>228999</t>
  </si>
  <si>
    <t>10129004</t>
  </si>
  <si>
    <t>11-Feb-2027</t>
  </si>
  <si>
    <t>OLAGWL300083453</t>
  </si>
  <si>
    <t>6271/02/2022</t>
  </si>
  <si>
    <t>02-FEB-2022</t>
  </si>
  <si>
    <t>9976AP1220420001</t>
  </si>
  <si>
    <t>ABDUL WALI</t>
  </si>
  <si>
    <t>53202-5959818-3</t>
  </si>
  <si>
    <t>03337835174</t>
  </si>
  <si>
    <t xml:space="preserve">PARADISE LABORATORY EQUIPMENTS CO APPARTMENTS NO 36 3RD FLOOR FARAZ CENTER 2 QASIMABAD HYD </t>
  </si>
  <si>
    <t>58470/00053/02/2022</t>
  </si>
  <si>
    <t>6R162342</t>
  </si>
  <si>
    <t>1062317</t>
  </si>
  <si>
    <t>BTJ-655</t>
  </si>
  <si>
    <t>OLUHYD300083873</t>
  </si>
  <si>
    <t>DIB0033424</t>
  </si>
  <si>
    <t>9976AD1212420004</t>
  </si>
  <si>
    <t>MUHAMMAD NAEEM IQBAL QURESHI</t>
  </si>
  <si>
    <t>42101-6414093-9</t>
  </si>
  <si>
    <t>03332371552</t>
  </si>
  <si>
    <t xml:space="preserve">HOUSE NO B-139 BLOCK NO 3-A GULISTAN -E- JAUHAR NEAR , KAMRAN CHOWRANGI KARACHI, CELL NO : 0333-2371552 </t>
  </si>
  <si>
    <t>58470/00004/02/2022</t>
  </si>
  <si>
    <t>321598</t>
  </si>
  <si>
    <t>308917</t>
  </si>
  <si>
    <t>11-Feb-2026</t>
  </si>
  <si>
    <t>OLAKHI00072583</t>
  </si>
  <si>
    <t>9976AP2220420005</t>
  </si>
  <si>
    <t>QAMAR SAJJAD</t>
  </si>
  <si>
    <t>37406-1582004-5</t>
  </si>
  <si>
    <t>03345183549</t>
  </si>
  <si>
    <t>0519271852</t>
  </si>
  <si>
    <t xml:space="preserve">H # 35 SULTAN STREET FAIZABAD HOUSING SOCIETY SECTOR I-8/4 ISLAMABAD PK </t>
  </si>
  <si>
    <t>58470/00055/02/2022</t>
  </si>
  <si>
    <t>137752</t>
  </si>
  <si>
    <t>10037658</t>
  </si>
  <si>
    <t>AEV-159</t>
  </si>
  <si>
    <t>OLUISD300084204</t>
  </si>
  <si>
    <t>6314/02/2022</t>
  </si>
  <si>
    <t>10/FEB/2022</t>
  </si>
  <si>
    <t>9976AP1220470001</t>
  </si>
  <si>
    <t>42201-1783124-9</t>
  </si>
  <si>
    <t>03119329524</t>
  </si>
  <si>
    <t xml:space="preserve">PLOT # 31/1-B BLOCK 06 P.E.C.H.S MAIN SHAHRAH E FAISAL S.H.F KARACHI.0311-9329524 </t>
  </si>
  <si>
    <t>58470/00065/02/2022</t>
  </si>
  <si>
    <t>Q334259</t>
  </si>
  <si>
    <t>7033324</t>
  </si>
  <si>
    <t>BPR-121</t>
  </si>
  <si>
    <t>OLUKHI300084183</t>
  </si>
  <si>
    <t>DIB0033479</t>
  </si>
  <si>
    <t>9976AD1212940024</t>
  </si>
  <si>
    <t>SHAHROZ MALIK</t>
  </si>
  <si>
    <t>33100-8335042-5</t>
  </si>
  <si>
    <t>03045349495</t>
  </si>
  <si>
    <t>03045349495, 03045349495</t>
  </si>
  <si>
    <t xml:space="preserve">H NO 40-H TECH TOWN SATYANA ROAD FI SH FOEM FSD FAISALABAD PK </t>
  </si>
  <si>
    <t>58470/00062/02/2022</t>
  </si>
  <si>
    <t>2A45640</t>
  </si>
  <si>
    <t>9517001</t>
  </si>
  <si>
    <t>OLAFSD300075762</t>
  </si>
  <si>
    <t>DIB0033427</t>
  </si>
  <si>
    <t>9976AD1213010011</t>
  </si>
  <si>
    <t>SHEIKH NABEEL ALI</t>
  </si>
  <si>
    <t>37405-0607358-9</t>
  </si>
  <si>
    <t>03335489622</t>
  </si>
  <si>
    <t>0515575088</t>
  </si>
  <si>
    <t xml:space="preserve">H # 94 GULSHAN E SAEED COLONY DHAMY AL CAMP CHAKRI ROAD NEAR ZAFAR PLAZ RAWALPINDI PK </t>
  </si>
  <si>
    <t>58470/00063/02/2022</t>
  </si>
  <si>
    <t>2A46593</t>
  </si>
  <si>
    <t>9517319</t>
  </si>
  <si>
    <t>OLARWP300076942</t>
  </si>
  <si>
    <t>DIB0033429</t>
  </si>
  <si>
    <t>9976AP1220450018</t>
  </si>
  <si>
    <t>KARMAT HUSSAIN</t>
  </si>
  <si>
    <t>35202-6717607-5</t>
  </si>
  <si>
    <t>03014278341</t>
  </si>
  <si>
    <t xml:space="preserve">AL-FAREED INDUSTRIES SUNDAR ADDA,31-KM MULTAN ROAD LAHORE 0301-4278341 </t>
  </si>
  <si>
    <t>58470/00056/02/2022</t>
  </si>
  <si>
    <t>R18Z12920627</t>
  </si>
  <si>
    <t>NFBF06664HR023962</t>
  </si>
  <si>
    <t>AFG-203</t>
  </si>
  <si>
    <t>OLULHR300084152</t>
  </si>
  <si>
    <t>6320/02/2022</t>
  </si>
  <si>
    <t>9976AP1220450008</t>
  </si>
  <si>
    <t>SYED KASHAF HUSSAIN</t>
  </si>
  <si>
    <t>42101-3314638-7</t>
  </si>
  <si>
    <t>03342091588</t>
  </si>
  <si>
    <t xml:space="preserve">BANGLOW B-3 KDA OVERSEAS NEAR GATE NO1 GULISTAN-E- JOUHAR BLOCK 16/A A KARACHI PK </t>
  </si>
  <si>
    <t>58470/00058/02/2022</t>
  </si>
  <si>
    <t>2A25620</t>
  </si>
  <si>
    <t>9510258</t>
  </si>
  <si>
    <t>BTN-081</t>
  </si>
  <si>
    <t>TOYOTA YARIS</t>
  </si>
  <si>
    <t>OLUKHI300084213</t>
  </si>
  <si>
    <t>DIB0033425</t>
  </si>
  <si>
    <t>9976AP1210430004</t>
  </si>
  <si>
    <t>AZHAR ALI</t>
  </si>
  <si>
    <t>33100-0776658-5</t>
  </si>
  <si>
    <t>03484857466</t>
  </si>
  <si>
    <t xml:space="preserve">HOUSE NO 102-B, SALAK STREET, SHUJA ROAD CLIFTON COLONY,LAHORE </t>
  </si>
  <si>
    <t>53740/00033/02/2021</t>
  </si>
  <si>
    <t>1KR1775833</t>
  </si>
  <si>
    <t>KSP130-2199630</t>
  </si>
  <si>
    <t>VITZ</t>
  </si>
  <si>
    <t>OLULHR300065795</t>
  </si>
  <si>
    <t>DIB0029576</t>
  </si>
  <si>
    <t>9976AP1220550013</t>
  </si>
  <si>
    <t>SOBAAN HUSSAIN</t>
  </si>
  <si>
    <t>35201-0984985-7</t>
  </si>
  <si>
    <t>03234271484</t>
  </si>
  <si>
    <t>04235751990</t>
  </si>
  <si>
    <t xml:space="preserve">HOUSE NO 315 STREET NO 15 BLOCK C B ISMILLAH HOUSING SOCIETY PHASE 1 GT LAHORE PK </t>
  </si>
  <si>
    <t>58470/00060/02/2022</t>
  </si>
  <si>
    <t>211656</t>
  </si>
  <si>
    <t>1111636</t>
  </si>
  <si>
    <t>OLDLHR300084185</t>
  </si>
  <si>
    <t>6319/02/2022</t>
  </si>
  <si>
    <t>9976AP1220450006</t>
  </si>
  <si>
    <t>NADEEM DAVID</t>
  </si>
  <si>
    <t>36601-3334119-9</t>
  </si>
  <si>
    <t>03422729527</t>
  </si>
  <si>
    <t xml:space="preserve">PLOT 417 /A 3RD FLOOR STREET 6 AZAM BAST MEHMOODABAD KHI STREET 6 LALA KARACHI PK </t>
  </si>
  <si>
    <t>58470/00059/02/2022</t>
  </si>
  <si>
    <t>503594</t>
  </si>
  <si>
    <t>1010198</t>
  </si>
  <si>
    <t>OLUKHI300084136</t>
  </si>
  <si>
    <t>DIB0033426</t>
  </si>
  <si>
    <t>997AAD1203350028</t>
  </si>
  <si>
    <t>SYED FARHAN NASIM</t>
  </si>
  <si>
    <t>35202-7466433-5</t>
  </si>
  <si>
    <t>03018433454</t>
  </si>
  <si>
    <t xml:space="preserve">H NO 98 BLOCK A UET HOUSING SOCIETY LAHORE </t>
  </si>
  <si>
    <t>53740/00031/02/2021</t>
  </si>
  <si>
    <t>154467</t>
  </si>
  <si>
    <t>1054446</t>
  </si>
  <si>
    <t>SUZUKI ALTO VXR EURO II AGS</t>
  </si>
  <si>
    <t>POALHR300061313</t>
  </si>
  <si>
    <t>DIB0029571</t>
  </si>
  <si>
    <t>10-FEB-2021</t>
  </si>
  <si>
    <t>9976AP1220470010</t>
  </si>
  <si>
    <t>AFNAN JAVED</t>
  </si>
  <si>
    <t>34101-5664677-9</t>
  </si>
  <si>
    <t>03007470526</t>
  </si>
  <si>
    <t>0553251010</t>
  </si>
  <si>
    <t xml:space="preserve">CANAL ROAD OPP MASTER CITY GATE PEO PLES COLONY GUJRANWALA </t>
  </si>
  <si>
    <t>58470/00051/02/2022</t>
  </si>
  <si>
    <t>171335</t>
  </si>
  <si>
    <t>10071327</t>
  </si>
  <si>
    <t>LEB-18A-7691</t>
  </si>
  <si>
    <t>OLUGWL300084132</t>
  </si>
  <si>
    <t>6313/02/2022</t>
  </si>
  <si>
    <t>997AAD1203530001</t>
  </si>
  <si>
    <t>ZAFAR IQBAL SAQI</t>
  </si>
  <si>
    <t>36601-8772139-7</t>
  </si>
  <si>
    <t>03217515741</t>
  </si>
  <si>
    <t xml:space="preserve">48-A DHA PHASE VI 3RD FLOOR LAHORE </t>
  </si>
  <si>
    <t>53740/00007/02/2021</t>
  </si>
  <si>
    <t>7543570</t>
  </si>
  <si>
    <t>MR267404</t>
  </si>
  <si>
    <t>CITY I-VTEC P/T</t>
  </si>
  <si>
    <t>OLALHR300064081</t>
  </si>
  <si>
    <t>4227/02/2021/ITFM</t>
  </si>
  <si>
    <t>9976AD1212530029</t>
  </si>
  <si>
    <t>MUHAMMAD SOHAIB AKRAM</t>
  </si>
  <si>
    <t>35102-1878916-1</t>
  </si>
  <si>
    <t>03004001994</t>
  </si>
  <si>
    <t>04299250005</t>
  </si>
  <si>
    <t xml:space="preserve">04 WHEATMAN ROAD G.T.T.I MUGHALPURA LAHORE </t>
  </si>
  <si>
    <t>58470/00054/02/2022</t>
  </si>
  <si>
    <t>6R207989</t>
  </si>
  <si>
    <t>1107938</t>
  </si>
  <si>
    <t>OLALHR300073317</t>
  </si>
  <si>
    <t>DIB0033421</t>
  </si>
  <si>
    <t>9976AD1220100002</t>
  </si>
  <si>
    <t>MUNAWAR HASAN</t>
  </si>
  <si>
    <t>42201-7973157-7</t>
  </si>
  <si>
    <t>34017460</t>
  </si>
  <si>
    <t>03009233273</t>
  </si>
  <si>
    <t>34187188</t>
  </si>
  <si>
    <t xml:space="preserve">H # B-97, ABLAGH-E-AAMA SOCIETY BLO CK 8 GULISTAN E JOHAR NEAR MASSI CH KARACHI PK </t>
  </si>
  <si>
    <t>58470/00010/02/2022</t>
  </si>
  <si>
    <t>21769790</t>
  </si>
  <si>
    <t>22B3255</t>
  </si>
  <si>
    <t>PRINCE PRINCE GLORY 580 SUV</t>
  </si>
  <si>
    <t>OLAKHI300082996</t>
  </si>
  <si>
    <t>DIB0033374</t>
  </si>
  <si>
    <t>9976AP1220380001</t>
  </si>
  <si>
    <t>SALAH UDDIN BEZENJO</t>
  </si>
  <si>
    <t>51402-5821856-5</t>
  </si>
  <si>
    <t>03337757127</t>
  </si>
  <si>
    <t xml:space="preserve">H # A/1 CITY VILLAS SCHEME 33 GULZA R E HIJRI KARACHI PK </t>
  </si>
  <si>
    <t>58470/00008/02/2022</t>
  </si>
  <si>
    <t>350340</t>
  </si>
  <si>
    <t>7049503</t>
  </si>
  <si>
    <t>BTY-079</t>
  </si>
  <si>
    <t>OLUKHI300084002</t>
  </si>
  <si>
    <t>DIB0033376</t>
  </si>
  <si>
    <t>04-FEB-2022</t>
  </si>
  <si>
    <t>9976AP2220380002</t>
  </si>
  <si>
    <t>ZAIN HABIB</t>
  </si>
  <si>
    <t>36104-1340288-3</t>
  </si>
  <si>
    <t>03327492498</t>
  </si>
  <si>
    <t xml:space="preserve">OFFICE NO 125 BASEMENT CHUBURJI CEN TER NEAR TOTAL PETROL PUMP MAIN MUL TAN ROAD LAHORE </t>
  </si>
  <si>
    <t>58470/00006/02/2022</t>
  </si>
  <si>
    <t>R18Z16922103</t>
  </si>
  <si>
    <t>074455</t>
  </si>
  <si>
    <t>AUD-143</t>
  </si>
  <si>
    <t>OLULHR300084003</t>
  </si>
  <si>
    <t>6272/02/2022</t>
  </si>
  <si>
    <t>9976AP1220350001</t>
  </si>
  <si>
    <t>ABID MAHMOOD</t>
  </si>
  <si>
    <t>35202-8905261-1</t>
  </si>
  <si>
    <t>03224444283</t>
  </si>
  <si>
    <t xml:space="preserve">153 JINNAH COLONY SAMNABAD LAHORE </t>
  </si>
  <si>
    <t>58470/000007/02/2022</t>
  </si>
  <si>
    <t>16922796</t>
  </si>
  <si>
    <t>MR075141</t>
  </si>
  <si>
    <t>AEH-442</t>
  </si>
  <si>
    <t>HONDA CIVIC VTI ORIEL</t>
  </si>
  <si>
    <t>OLULHR300083992</t>
  </si>
  <si>
    <t>6273/02/2022</t>
  </si>
  <si>
    <t>997AAD1203050111</t>
  </si>
  <si>
    <t>ABDUL RASOOL</t>
  </si>
  <si>
    <t>45203-8722707-7</t>
  </si>
  <si>
    <t>03342611937</t>
  </si>
  <si>
    <t xml:space="preserve">HOUSE NO A 33 GHULAM SHAH KALHORO COLONY NEAR EYE HOSPITAL HYD </t>
  </si>
  <si>
    <t>53740/00019/02/2021</t>
  </si>
  <si>
    <t>341880</t>
  </si>
  <si>
    <t>508493</t>
  </si>
  <si>
    <t>POAHYD300059948</t>
  </si>
  <si>
    <t>9976AP2220460018</t>
  </si>
  <si>
    <t>HABIB ULLAH SANDHU</t>
  </si>
  <si>
    <t>35202-6596616-7</t>
  </si>
  <si>
    <t>03004880892</t>
  </si>
  <si>
    <t xml:space="preserve">DERA VILLAGE NEAR BAHRIA ORCHARD RA IWIND ROAD LAHORE </t>
  </si>
  <si>
    <t>58470/00044/02/2022</t>
  </si>
  <si>
    <t>1008206</t>
  </si>
  <si>
    <t>R013006</t>
  </si>
  <si>
    <t>OLDLHR300084106</t>
  </si>
  <si>
    <t>6305/02/2022</t>
  </si>
  <si>
    <t>09-FEB-2022</t>
  </si>
  <si>
    <t>997AAD2203050043</t>
  </si>
  <si>
    <t>SYED TAHIR RAZA</t>
  </si>
  <si>
    <t>35202-2931231-5</t>
  </si>
  <si>
    <t>37810653</t>
  </si>
  <si>
    <t>0322-4459005</t>
  </si>
  <si>
    <t>99210199</t>
  </si>
  <si>
    <t xml:space="preserve">H# 73-A WAHDAT COLONY NEW NAQSHA STOP NEAR BUKHARI MARKET LAHORE </t>
  </si>
  <si>
    <t>53740/00023/02/2021</t>
  </si>
  <si>
    <t>Q071790</t>
  </si>
  <si>
    <t>6049281</t>
  </si>
  <si>
    <t>11-Feb-2028</t>
  </si>
  <si>
    <t>POALHR300059869</t>
  </si>
  <si>
    <t>DIB0029562</t>
  </si>
  <si>
    <t>09-FEB-2021</t>
  </si>
  <si>
    <t>9976AP1220420003</t>
  </si>
  <si>
    <t>MUHAMMAD SABIR CHOHAN</t>
  </si>
  <si>
    <t>42401-2956944-7</t>
  </si>
  <si>
    <t>03002297396</t>
  </si>
  <si>
    <t xml:space="preserve">HOUSE # 403 SEC 9E ORANGI TOWN NEAR MAJIS ARFAT KARACHI PK </t>
  </si>
  <si>
    <t>58470/00050/02/2022</t>
  </si>
  <si>
    <t>114734</t>
  </si>
  <si>
    <t>1014723</t>
  </si>
  <si>
    <t>BRP-396</t>
  </si>
  <si>
    <t>OLUKHI300084137</t>
  </si>
  <si>
    <t>DIB0033419</t>
  </si>
  <si>
    <t>9976AP1210420015</t>
  </si>
  <si>
    <t>ADEELA AZHAR</t>
  </si>
  <si>
    <t>33100-0617866-0</t>
  </si>
  <si>
    <t>03214691791</t>
  </si>
  <si>
    <t>04235230508</t>
  </si>
  <si>
    <t xml:space="preserve">550-C OPF HOUSING SCHEME KHAYABAN-E -JINNAH LAHORE </t>
  </si>
  <si>
    <t>53740/00024/02/2021</t>
  </si>
  <si>
    <t>2A16958</t>
  </si>
  <si>
    <t>9506885</t>
  </si>
  <si>
    <t>OLDLHR300065787</t>
  </si>
  <si>
    <t>DIB0029561</t>
  </si>
  <si>
    <t>9976AD1223650006</t>
  </si>
  <si>
    <t>SALMAN FIAZ</t>
  </si>
  <si>
    <t>33100-0981316-7</t>
  </si>
  <si>
    <t>03217651000</t>
  </si>
  <si>
    <t>03217651000, 03217651000</t>
  </si>
  <si>
    <t xml:space="preserve">H NO 52 ST NO 03 RAZA GARDENS CANAL ROAD FSD NEAR AL FALAH BANK FAISALABAD PK </t>
  </si>
  <si>
    <t>66406/00046/01/2023</t>
  </si>
  <si>
    <t>127243</t>
  </si>
  <si>
    <t>1002509</t>
  </si>
  <si>
    <t>11-FEB-2023</t>
  </si>
  <si>
    <t>OLAFSD300091423</t>
  </si>
  <si>
    <t>9858/01/2023</t>
  </si>
  <si>
    <t>03-FEB-2023</t>
  </si>
  <si>
    <t>9976AD1223610001</t>
  </si>
  <si>
    <t>33100-3208760-5</t>
  </si>
  <si>
    <t>041-8713954</t>
  </si>
  <si>
    <t>0321-5564598</t>
  </si>
  <si>
    <t>041-2408855-6</t>
  </si>
  <si>
    <t xml:space="preserve">P-11 STREET NO 35 ABDULLAH PURA FAISALABAD </t>
  </si>
  <si>
    <t>67335/00002/02/2023</t>
  </si>
  <si>
    <t>22458513934</t>
  </si>
  <si>
    <t>2000905</t>
  </si>
  <si>
    <t>SAZGAR HAVAL (H6) 1.5</t>
  </si>
  <si>
    <t>OLAFSD300091360</t>
  </si>
  <si>
    <t>109066/02/2023</t>
  </si>
  <si>
    <t>9976AP1220480022</t>
  </si>
  <si>
    <t>RAO SAAD SHAHID</t>
  </si>
  <si>
    <t>42501-1921274-1</t>
  </si>
  <si>
    <t>03322719999</t>
  </si>
  <si>
    <t xml:space="preserve">HOUSE# 124 B SMALL PUNJAB INDUSTRIAL HOUSING SOCIETY LAHORE 0332-2719999 </t>
  </si>
  <si>
    <t>58470/00046/02/2022</t>
  </si>
  <si>
    <t>79751310</t>
  </si>
  <si>
    <t>164748</t>
  </si>
  <si>
    <t>LEC-15-4493</t>
  </si>
  <si>
    <t>OLULHR300084143</t>
  </si>
  <si>
    <t>6307/02/2022</t>
  </si>
  <si>
    <t>9976AD1203650013</t>
  </si>
  <si>
    <t>MAMOONA ZEB</t>
  </si>
  <si>
    <t>61101-8011242-8</t>
  </si>
  <si>
    <t>03157331452</t>
  </si>
  <si>
    <t>0512871511</t>
  </si>
  <si>
    <t xml:space="preserve">HOUSE NO 411 ST NO 38A I-9/4 ISLAMABAD </t>
  </si>
  <si>
    <t>53740/00025/02/2021</t>
  </si>
  <si>
    <t>154526</t>
  </si>
  <si>
    <t>1054512</t>
  </si>
  <si>
    <t>POAISD300064311</t>
  </si>
  <si>
    <t>4246/02/2021/ITFM</t>
  </si>
  <si>
    <t>9976AP1210490001</t>
  </si>
  <si>
    <t>MOHAMMAD AHMAD</t>
  </si>
  <si>
    <t>35201-6520657-1</t>
  </si>
  <si>
    <t>03008858269</t>
  </si>
  <si>
    <t xml:space="preserve">16-S 1ST FLOOR IMPERIAL COMMERCIAL BLOCK PARAGON CITY BARKI ROAD LAHORE </t>
  </si>
  <si>
    <t>53740/00026/02/2021</t>
  </si>
  <si>
    <t>155040</t>
  </si>
  <si>
    <t>1055009</t>
  </si>
  <si>
    <t>OLDLHR300065786</t>
  </si>
  <si>
    <t>DIB0029564</t>
  </si>
  <si>
    <t>9976AP2220420006</t>
  </si>
  <si>
    <t>MUHAMMAD ASJAD AFZAL</t>
  </si>
  <si>
    <t>35202-9432282-1</t>
  </si>
  <si>
    <t>03008443301</t>
  </si>
  <si>
    <t>042111253111</t>
  </si>
  <si>
    <t xml:space="preserve">HOUSE NO E-470/N6 RIAZ HOMES RIFLE RANGE ROAD NEW IQBAL PARK MAIN BOUL LAHORE PK </t>
  </si>
  <si>
    <t>58470/00048/02/2022</t>
  </si>
  <si>
    <t>617985</t>
  </si>
  <si>
    <t>PK524800</t>
  </si>
  <si>
    <t>LEA-16-3968</t>
  </si>
  <si>
    <t>OLULHR300084176</t>
  </si>
  <si>
    <t>6316/02/2022</t>
  </si>
  <si>
    <t>9976AP1220410021</t>
  </si>
  <si>
    <t>FATEH MAHMOOD UL HASSAN</t>
  </si>
  <si>
    <t>Mirpur</t>
  </si>
  <si>
    <t>81202-0579311-9</t>
  </si>
  <si>
    <t>03456006069</t>
  </si>
  <si>
    <t xml:space="preserve">KIA MOTORS CHINAR, PLOT NO 15-B BLOCK 3-A, SECTOR D-4 MIRPUR AZAD KASHMIR 0345-6006069 </t>
  </si>
  <si>
    <t>58470/00037/02/2022</t>
  </si>
  <si>
    <t>168836</t>
  </si>
  <si>
    <t>700598</t>
  </si>
  <si>
    <t>ANA-303</t>
  </si>
  <si>
    <t>OLUMPR300084053</t>
  </si>
  <si>
    <t>6301/02/2022</t>
  </si>
  <si>
    <t>08-FEB-2022</t>
  </si>
  <si>
    <t>9976AD1213640053</t>
  </si>
  <si>
    <t>AMBREEN ADIL</t>
  </si>
  <si>
    <t>42301-9654780-2</t>
  </si>
  <si>
    <t>03218223631</t>
  </si>
  <si>
    <t xml:space="preserve">PLOT G- 26 C BREEZ TOWN HOUSE H # 8 CLIFTON BLOCK 8 ICAP KARACHI PK </t>
  </si>
  <si>
    <t>5847/00036/02/2022</t>
  </si>
  <si>
    <t>814230</t>
  </si>
  <si>
    <t>0300102</t>
  </si>
  <si>
    <t>OLAKHI300082617</t>
  </si>
  <si>
    <t>61720/01/2022</t>
  </si>
  <si>
    <t>9976AP1220410016</t>
  </si>
  <si>
    <t>SYED MASHOOD ALI</t>
  </si>
  <si>
    <t>42201-1834700-7</t>
  </si>
  <si>
    <t>03112846713</t>
  </si>
  <si>
    <t xml:space="preserve">HOUSE R- 107 BLOCK A PTV SOCIETY SC HEEM 33 GULSHAN-E- MAYMAR KARACHI PK </t>
  </si>
  <si>
    <t>58470/00033/02/2022</t>
  </si>
  <si>
    <t>Q041487</t>
  </si>
  <si>
    <t>ZRE171R-6018963</t>
  </si>
  <si>
    <t>BLV-991</t>
  </si>
  <si>
    <t>OLUKHI300084104</t>
  </si>
  <si>
    <t>DIB0033401</t>
  </si>
  <si>
    <t>9976AD1213650083</t>
  </si>
  <si>
    <t>MUNIR AHMAD</t>
  </si>
  <si>
    <t>61101-7981619-1</t>
  </si>
  <si>
    <t>03135888268</t>
  </si>
  <si>
    <t xml:space="preserve">H # 18 ST # 1 SHAHEEN TOWN PHASE 2 NEAR PUNJAB COLLEGE RAWALPINDI PK </t>
  </si>
  <si>
    <t>58470/00016/02/2022</t>
  </si>
  <si>
    <t>228692</t>
  </si>
  <si>
    <t>10128695</t>
  </si>
  <si>
    <t>sUZUKI WAGONR VXL</t>
  </si>
  <si>
    <t>OLARWP300082676</t>
  </si>
  <si>
    <t>DIB0033391</t>
  </si>
  <si>
    <t>07-FEB-2022</t>
  </si>
  <si>
    <t>9976AP2220450009</t>
  </si>
  <si>
    <t>MUHAMMAD ANAS</t>
  </si>
  <si>
    <t>42301-7441880-9</t>
  </si>
  <si>
    <t>03333876105</t>
  </si>
  <si>
    <t xml:space="preserve">FLAT NO 28 5TH FLOOR BUILDING HANFIA BHAI MOSA LANE SHAH WALI ULLAH ROAD LYARI KARACHI MOBILE NO 03333876105 </t>
  </si>
  <si>
    <t>58470/00014/02/2022</t>
  </si>
  <si>
    <t>169093</t>
  </si>
  <si>
    <t>500434</t>
  </si>
  <si>
    <t>BSF-837</t>
  </si>
  <si>
    <t>OLUKHI300084246</t>
  </si>
  <si>
    <t>6282/02/2022</t>
  </si>
  <si>
    <t>9976AD1212880039</t>
  </si>
  <si>
    <t>NAVEED AAMER</t>
  </si>
  <si>
    <t>33100-1073368-9</t>
  </si>
  <si>
    <t>03008660118</t>
  </si>
  <si>
    <t>03008660118, 03008660118</t>
  </si>
  <si>
    <t>0418781411</t>
  </si>
  <si>
    <t xml:space="preserve">P-5 ALI BLOCK SARGODHA ROAD FSD NEA R HASAN CHOWK FAISALABAD PK </t>
  </si>
  <si>
    <t>58470/00043/02/2022</t>
  </si>
  <si>
    <t>2A45199</t>
  </si>
  <si>
    <t>7028309</t>
  </si>
  <si>
    <t>OLAFSD300075172</t>
  </si>
  <si>
    <t>DIB0033433</t>
  </si>
  <si>
    <t>997AAD2203220001</t>
  </si>
  <si>
    <t>FAROOQ SATTAR</t>
  </si>
  <si>
    <t>35201-1569313-5</t>
  </si>
  <si>
    <t>03334225704</t>
  </si>
  <si>
    <t>03334225204</t>
  </si>
  <si>
    <t>99204832</t>
  </si>
  <si>
    <t xml:space="preserve">H NO 45/2 HABIB ROAD CANTT RAHAT BA KERY LAHORE PK </t>
  </si>
  <si>
    <t>53740/00012/02/2021</t>
  </si>
  <si>
    <t>L15A79800600</t>
  </si>
  <si>
    <t>NFBGM2669MR267319</t>
  </si>
  <si>
    <t>CITY ASPIRE A/T</t>
  </si>
  <si>
    <t>POALHR300061201</t>
  </si>
  <si>
    <t>DIB0029549</t>
  </si>
  <si>
    <t>08-FEB-2021</t>
  </si>
  <si>
    <t>9976AP1220490027</t>
  </si>
  <si>
    <t>SYED SAMI HAIDER ZAIDI</t>
  </si>
  <si>
    <t>42201-4856725-3</t>
  </si>
  <si>
    <t>03333486887</t>
  </si>
  <si>
    <t>02134331335</t>
  </si>
  <si>
    <t xml:space="preserve">FLAT # 2/7 TOWER 3 PHASE # 4 NAVEL HOUSING SOCIETY KARSAZ SHAHRA-E-FAS KARACHI PK </t>
  </si>
  <si>
    <t>58470/00040/02/2022</t>
  </si>
  <si>
    <t>6R129991</t>
  </si>
  <si>
    <t>1030002</t>
  </si>
  <si>
    <t>BSX-163</t>
  </si>
  <si>
    <t>OLUKHI300084112</t>
  </si>
  <si>
    <t>DIB0033496</t>
  </si>
  <si>
    <t>9976AD1212650014</t>
  </si>
  <si>
    <t>SHAHZAIB ALI WARRAICH</t>
  </si>
  <si>
    <t>35202-2921081-1</t>
  </si>
  <si>
    <t>03215985889</t>
  </si>
  <si>
    <t>04235935384042359348</t>
  </si>
  <si>
    <t xml:space="preserve">H NO 171-A MAHALAH CENTRAL PARK 31-KM FEROZPAR ROAD LHR </t>
  </si>
  <si>
    <t>58470/00042/02/2022</t>
  </si>
  <si>
    <t>210245</t>
  </si>
  <si>
    <t>1110212</t>
  </si>
  <si>
    <t>OLALHR300073663</t>
  </si>
  <si>
    <t>DIB0033414</t>
  </si>
  <si>
    <t>9976AD2203660027</t>
  </si>
  <si>
    <t>SHAHBAZ SHAFIQ</t>
  </si>
  <si>
    <t>82203-1753431-7</t>
  </si>
  <si>
    <t>03449511674</t>
  </si>
  <si>
    <t xml:space="preserve">HOUSE NO. 94-K, STREET NO. 40, I-8/2 ISLAMABAD PK </t>
  </si>
  <si>
    <t>53740/00017/02/2021</t>
  </si>
  <si>
    <t>6R53765</t>
  </si>
  <si>
    <t>H1053767</t>
  </si>
  <si>
    <t>OLAISD300064618</t>
  </si>
  <si>
    <t>DIB0029555</t>
  </si>
  <si>
    <t>9976AD2223010003</t>
  </si>
  <si>
    <t>DANYAL BASHARAT</t>
  </si>
  <si>
    <t>37405-8699161-3</t>
  </si>
  <si>
    <t>03455134848</t>
  </si>
  <si>
    <t>0016822839385</t>
  </si>
  <si>
    <t xml:space="preserve">1S209 STRATFORD LN 60181 UNITED STATES </t>
  </si>
  <si>
    <t>67335/0003/02/2023</t>
  </si>
  <si>
    <t>991957</t>
  </si>
  <si>
    <t>0445380</t>
  </si>
  <si>
    <t>TOYOTA FORTUNER 4*4 A/T</t>
  </si>
  <si>
    <t>OLAISD300090485</t>
  </si>
  <si>
    <t>07-FEB-2023</t>
  </si>
  <si>
    <t>06-FEB-2024</t>
  </si>
  <si>
    <t>9976AD1213300029</t>
  </si>
  <si>
    <t>MOHSIN ALI UMRANI</t>
  </si>
  <si>
    <t>45301-0938193-1</t>
  </si>
  <si>
    <t>03343075534</t>
  </si>
  <si>
    <t xml:space="preserve">FLAT # 612 SHAH CHALETS TANDI SARAK HYDERABAD PK </t>
  </si>
  <si>
    <t>58470/00028/02/2022</t>
  </si>
  <si>
    <t>51007125</t>
  </si>
  <si>
    <t>011040</t>
  </si>
  <si>
    <t>HONDA CITY -I-V TEC 1.2 L CVT</t>
  </si>
  <si>
    <t>OLAKHI300080432</t>
  </si>
  <si>
    <t>108727/01/2022</t>
  </si>
  <si>
    <t>9976AP1220390008</t>
  </si>
  <si>
    <t>MUHAMMAD ANS</t>
  </si>
  <si>
    <t>37406-5056137-1</t>
  </si>
  <si>
    <t>03245002020</t>
  </si>
  <si>
    <t xml:space="preserve">HOUSE NO-1116-B STREET NO-27 BLOCK C-1 MULTI GARDEN B-17 ISLAMABAD </t>
  </si>
  <si>
    <t>58470/00027/02/2022</t>
  </si>
  <si>
    <t>167800</t>
  </si>
  <si>
    <t>10067780</t>
  </si>
  <si>
    <t>ARC-037</t>
  </si>
  <si>
    <t>OLUISD300084093</t>
  </si>
  <si>
    <t>6289/02/2022</t>
  </si>
  <si>
    <t>9976AD1212420037</t>
  </si>
  <si>
    <t>MUHAMMAD MEHBOOB</t>
  </si>
  <si>
    <t>41303-6774729-1</t>
  </si>
  <si>
    <t>03332755466</t>
  </si>
  <si>
    <t xml:space="preserve">FLAT NO 6 3RD-FLOOR MOHALLA MARYAM CENTER SADDAR CANT OPP WAPDA OFFICE HYDERABAD </t>
  </si>
  <si>
    <t>58470/00029/02/2022</t>
  </si>
  <si>
    <t>6R210731</t>
  </si>
  <si>
    <t>1110292</t>
  </si>
  <si>
    <t>OLAHYD300072570</t>
  </si>
  <si>
    <t>6285/02/2022</t>
  </si>
  <si>
    <t>9976AP1220390005</t>
  </si>
  <si>
    <t>ALI NAWAZ KHAN</t>
  </si>
  <si>
    <t>33102-9746676-7</t>
  </si>
  <si>
    <t>03219651441</t>
  </si>
  <si>
    <t>03219651441, 03219651441</t>
  </si>
  <si>
    <t xml:space="preserve">P-20-A SARGODHA ROAD LASANI TOWN SARGODHA RIAD FAISALABAD </t>
  </si>
  <si>
    <t>58470/00022/02/2022</t>
  </si>
  <si>
    <t>108129736</t>
  </si>
  <si>
    <t>10029736</t>
  </si>
  <si>
    <t>LED-17-6572</t>
  </si>
  <si>
    <t>OLUFSD300084083</t>
  </si>
  <si>
    <t>6287/02/2022</t>
  </si>
  <si>
    <t>9976AP1220380002</t>
  </si>
  <si>
    <t>TAHIRA BANO</t>
  </si>
  <si>
    <t>42201-4864149-8</t>
  </si>
  <si>
    <t>03002233066</t>
  </si>
  <si>
    <t>03002233066, 03002233066</t>
  </si>
  <si>
    <t xml:space="preserve">HOUSE # D-340 STREET # 21 KHY-E-KHY BER PHASE 8 DHA NEAR CREEK VISTA AP KARACHI PK </t>
  </si>
  <si>
    <t>58470/00020/02/2022</t>
  </si>
  <si>
    <t>345135</t>
  </si>
  <si>
    <t>7044294</t>
  </si>
  <si>
    <t>BSG-575</t>
  </si>
  <si>
    <t>OLUKHI300084063</t>
  </si>
  <si>
    <t>DIB0033387</t>
  </si>
  <si>
    <t>9976AP1220400010</t>
  </si>
  <si>
    <t>SHAROONA IRSHAD</t>
  </si>
  <si>
    <t>35202-5915605-6</t>
  </si>
  <si>
    <t>03004298810</t>
  </si>
  <si>
    <t xml:space="preserve">HOUSE NO 3 REHAN STREET DILKUSHA COLONY KOT LAKHPAT LAHORE </t>
  </si>
  <si>
    <t>58470/00023/02/2022</t>
  </si>
  <si>
    <t>6R101223</t>
  </si>
  <si>
    <t>1001191</t>
  </si>
  <si>
    <t>LEH-19-7512</t>
  </si>
  <si>
    <t>OLULHR300084064</t>
  </si>
  <si>
    <t>6286/02/2022</t>
  </si>
  <si>
    <t>9976AP2220390004</t>
  </si>
  <si>
    <t>NAZAQAT ALI</t>
  </si>
  <si>
    <t>37102-3231025-7</t>
  </si>
  <si>
    <t>03328513620</t>
  </si>
  <si>
    <t xml:space="preserve">H NO ZA-431-F,BURF KHANA STREET KHA YBAN E SIR SYED SECTOR 3 RAWALPINDI PK </t>
  </si>
  <si>
    <t>58470/00032/02/2022</t>
  </si>
  <si>
    <t>739798</t>
  </si>
  <si>
    <t>1278320</t>
  </si>
  <si>
    <t>AKV-513</t>
  </si>
  <si>
    <t>SUZUKI MEHRAN VXR EUROII</t>
  </si>
  <si>
    <t>OLURWP300084094</t>
  </si>
  <si>
    <t>6290/02/2022</t>
  </si>
  <si>
    <t>9976AP2190430002</t>
  </si>
  <si>
    <t>JAMSHED ILYAS</t>
  </si>
  <si>
    <t>42000-2573019-9</t>
  </si>
  <si>
    <t>021-6363445</t>
  </si>
  <si>
    <t>0300-8232207</t>
  </si>
  <si>
    <t xml:space="preserve">B-34 BLOCK 19 ROSHAN BAGH SOCIETY FB AREA Karachi </t>
  </si>
  <si>
    <t>50369/00002/02/2019</t>
  </si>
  <si>
    <t>L15Z13514081</t>
  </si>
  <si>
    <t>14078</t>
  </si>
  <si>
    <t>BH-2540</t>
  </si>
  <si>
    <t>BR-V IVTEC-S</t>
  </si>
  <si>
    <t>11-FEB-2019</t>
  </si>
  <si>
    <t>PODKHI300042982</t>
  </si>
  <si>
    <t>DIB0026948</t>
  </si>
  <si>
    <t>08-FEB-2019</t>
  </si>
  <si>
    <t>9976AP1220410023</t>
  </si>
  <si>
    <t>Shikarpur</t>
  </si>
  <si>
    <t>35404-9577281-1</t>
  </si>
  <si>
    <t>03044376043</t>
  </si>
  <si>
    <t xml:space="preserve">OPP GILANI HOSPITAL MUGHAL STREET M OH DATTA NAGRI NAI ABADI HANNU PURA JOIANWALA MORE SHEIKHUPURA </t>
  </si>
  <si>
    <t>58470/00017/02/2022</t>
  </si>
  <si>
    <t>L13Z17440101</t>
  </si>
  <si>
    <t>NFBGM154XGR180107</t>
  </si>
  <si>
    <t>LE-16-3226</t>
  </si>
  <si>
    <t>OLUSHK300084068</t>
  </si>
  <si>
    <t>6283/02/2022</t>
  </si>
  <si>
    <t>9976AP1220400013</t>
  </si>
  <si>
    <t>HAFIZ ABDUL QADEEM</t>
  </si>
  <si>
    <t>35302-2725919-7</t>
  </si>
  <si>
    <t>03000113186</t>
  </si>
  <si>
    <t>03000113186, 03000113186</t>
  </si>
  <si>
    <t xml:space="preserve">NEAR JAMIA ASHRAFIA STREET NO 03 MO HALLAH REHMAN COLONY OKARA PK </t>
  </si>
  <si>
    <t>58470/00015/02/2022</t>
  </si>
  <si>
    <t>PK10B187463</t>
  </si>
  <si>
    <t>10087470</t>
  </si>
  <si>
    <t>ANC-986</t>
  </si>
  <si>
    <t>OLUOKR300084074</t>
  </si>
  <si>
    <t>TDIDIB0030040</t>
  </si>
  <si>
    <t>Policy #</t>
  </si>
  <si>
    <t>Tms Prem</t>
  </si>
  <si>
    <t>Difference</t>
  </si>
  <si>
    <t>KHI/HO/D/MO/PC COMP/C/108044/189/03/2025</t>
  </si>
  <si>
    <t>KHI/HO/D/MO/PC COMP/C/108044/5/03/2025</t>
  </si>
  <si>
    <t>KHI/HO/D/MO/PC COMP/C/108044/227/03/2025</t>
  </si>
  <si>
    <t>KHI/HO/D/MO/PC COMP/C/108044/238/03/2025</t>
  </si>
  <si>
    <t>KHI/HO/D/MO/PC COMP/C/108044/202/03/2025</t>
  </si>
  <si>
    <t>KHI/HO/D/MO/PC COMP/C/108044/198/03/2025</t>
  </si>
  <si>
    <t>KHI/HO/D/MO/PC COMP/C/108044/197/03/2025</t>
  </si>
  <si>
    <t>KHI/HO/D/MO/PC COMP/C/108044/188/03/2025</t>
  </si>
  <si>
    <t>KHI/HO/D/MO/PC COMP/C/108044/6/03/2025</t>
  </si>
  <si>
    <t>KHI/HO/D/MO/PC COMP/C/108044/20/03/2025</t>
  </si>
  <si>
    <t>KHI/HO/D/MO/PC COMP/C/108044/22/03/2025</t>
  </si>
  <si>
    <t>KHI/HO/D/MO/PC COMP/C/108044/30/03/2025</t>
  </si>
  <si>
    <t>KHI/HO/D/MO/PC COMP/C/106590/214/01/2025</t>
  </si>
  <si>
    <t>KHI/HO/D/MO/PC COMP/C/108044/32/03/2025</t>
  </si>
  <si>
    <t>KHI/HO/D/MO/PC COMP/C/106590/7/01/2025</t>
  </si>
  <si>
    <t>KHI/HO/D/MO/PC COMP/C/106590/197/01/2025</t>
  </si>
  <si>
    <t>KHI/HO/D/MO/PC COMP/C/106590/200/01/2025</t>
  </si>
  <si>
    <t>KHI/HO/D/MO/PC COMP/C/106590/268/01/2025</t>
  </si>
  <si>
    <t>KHI/HO/D/MO/PC COMP/C/108044/39/03/2025</t>
  </si>
  <si>
    <t>KHI/HO/D/MO/PC COMP/C/106590/281/01/2025</t>
  </si>
  <si>
    <t>KHI/HO/D/MO/PC COMP/C/106590/3/01/2025</t>
  </si>
  <si>
    <t>KHI/HO/D/MO/PC COMP/C/108044/42/03/2025</t>
  </si>
  <si>
    <t>KHI/HO/D/MO/PC COMP/C/106590/5/01/2025</t>
  </si>
  <si>
    <t>KHI/HO/D/MO/PC COMP/C/106590/6/01/2025</t>
  </si>
  <si>
    <t>KHI/HO/D/MO/PC COMP/C/106590/56/01/2025</t>
  </si>
  <si>
    <t>KHI/HO/D/MO/PC COMP/C/106590/58/01/2025</t>
  </si>
  <si>
    <t>KHI/HO/D/MO/PC COMP/C/108044/49/03/2025</t>
  </si>
  <si>
    <t>KHI/HO/D/MO/PC COMP/C/106590/68/01/2025</t>
  </si>
  <si>
    <t>KHI/HO/D/MO/PC COMP/C/106590/93/01/2025</t>
  </si>
  <si>
    <t>KHI/HO/D/MO/PC COMP/C/106590/96/01/2025</t>
  </si>
  <si>
    <t>KHI/HO/D/MO/PC COMP/C/108044/55/03/2025</t>
  </si>
  <si>
    <t>KHI/HO/D/MO/PC COMP/C/106590/99/01/2025</t>
  </si>
  <si>
    <t>KHI/HO/D/MO/PC COMP/C/106590/102/01/2025</t>
  </si>
  <si>
    <t>KHI/HO/D/MO/PC COMP/C/108044/59/03/2025</t>
  </si>
  <si>
    <t>KHI/HO/D/MO/PC COMP/C/108044/60/03/2025</t>
  </si>
  <si>
    <t>KHI/HO/D/MO/PC COMP/C/106590/116/01/2025</t>
  </si>
  <si>
    <t>KHI/HO/D/MO/PC COMP/C/106590/130/01/2025</t>
  </si>
  <si>
    <t>KHI/HO/D/MO/PC COMP/C/106590/140/01/2025</t>
  </si>
  <si>
    <t>KHI/HO/D/MO/PC COMP/C/106590/141/01/2025</t>
  </si>
  <si>
    <t>KHI/HO/D/MO/PC COMP/C/106590/151/01/2025</t>
  </si>
  <si>
    <t>KHI/HO/D/MO/PC COMP/C/108044/66/03/2025</t>
  </si>
  <si>
    <t>KHI/HO/D/MO/PC COMP/C/106590/156/01/2025</t>
  </si>
  <si>
    <t>KHI/HO/D/MO/PC COMP/C/108044/68/03/2025</t>
  </si>
  <si>
    <t>KHI/HO/D/MO/PC COMP/C/106590/162/01/2025</t>
  </si>
  <si>
    <t>KHI/HO/D/MO/PC COMP/C/106590/165/01/2025</t>
  </si>
  <si>
    <t>KHI/HO/D/MO/PC COMP/C/108044/71/03/2025</t>
  </si>
  <si>
    <t>KHI/HO/D/MO/PC COMP/C/106590/168/01/2025</t>
  </si>
  <si>
    <t>KHI/HO/D/MO/PC COMP/C/108044/73/03/2025</t>
  </si>
  <si>
    <t>KHI/HO/D/MO/PC COMP/C/106590/187/01/2025</t>
  </si>
  <si>
    <t>KHI/HO/D/MO/PC COMP/C/108044/79/03/2025</t>
  </si>
  <si>
    <t>KHI/HO/D/MO/PC COMP/C/106590/189/01/2025</t>
  </si>
  <si>
    <t>KHI/HO/D/MO/PC COMP/C/106590/198/01/2025</t>
  </si>
  <si>
    <t>KHI/HO/D/MO/PC COMP/C/106590/219/01/2025</t>
  </si>
  <si>
    <t>KHI/HO/D/MO/PC COMP/C/106590/235/01/2025</t>
  </si>
  <si>
    <t>KHI/HO/D/MO/PC COMP/C/106590/242/01/2025</t>
  </si>
  <si>
    <t>KHI/HO/D/MO/PC COMP/C/106590/248/01/2025</t>
  </si>
  <si>
    <t>KHI/HO/D/MO/PC COMP/C/106590/251/01/2025</t>
  </si>
  <si>
    <t>KHI/HO/D/MO/PC COMP/C/106590/252/01/2025</t>
  </si>
  <si>
    <t>KHI/HO/D/MO/PC COMP/C/106590/285/01/2025</t>
  </si>
  <si>
    <t>KHI/HO/D/MO/PC COMP/C/106590/293/01/2025</t>
  </si>
  <si>
    <t>KHI/HO/D/MO/PC COMP/C/106590/269/01/2025</t>
  </si>
  <si>
    <t>KHI/HO/D/MO/PC COMP/C/106590/191/01/2025</t>
  </si>
  <si>
    <t>KHI/HO/D/MO/PC COMP/C/108044/90/03/2025</t>
  </si>
  <si>
    <t>KHI/HO/D/MO/PC COMP/C/106590/175/01/2025</t>
  </si>
  <si>
    <t>KHI/HO/D/MO/PC COMP/C/106590/69/01/2025</t>
  </si>
  <si>
    <t>KHI/HO/D/MO/PC COMP/C/107623/1/02/2025</t>
  </si>
  <si>
    <t>KHI/HO/D/MO/PC COMP/C/107623/2/02/2025</t>
  </si>
  <si>
    <t>KHI/HO/D/MO/PC COMP/C/107623/3/02/2025</t>
  </si>
  <si>
    <t>KHI/HO/D/MO/PC COMP/C/107623/5/02/2025</t>
  </si>
  <si>
    <t>KHI/HO/D/MO/PC COMP/C/107623/7/02/2025</t>
  </si>
  <si>
    <t>KHI/HO/D/MO/PC COMP/C/107623/8/02/2025</t>
  </si>
  <si>
    <t>KHI/HO/D/MO/PC COMP/C/107623/9/02/2025</t>
  </si>
  <si>
    <t>KHI/HO/D/MO/PC COMP/C/107623/10/02/2025</t>
  </si>
  <si>
    <t>KHI/HO/D/MO/PC COMP/C/107623/12/02/2025</t>
  </si>
  <si>
    <t>KHI/HO/D/MO/PC COMP/C/107623/17/02/2025</t>
  </si>
  <si>
    <t>KHI/HO/D/MO/PC COMP/C/108044/105/03/2025</t>
  </si>
  <si>
    <t>KHI/HO/D/MO/PC COMP/C/107623/18/02/2025</t>
  </si>
  <si>
    <t>KHI/HO/D/MO/PC COMP/C/108044/108/03/2025</t>
  </si>
  <si>
    <t>KHI/HO/D/MO/PC COMP/C/108044/109/03/2025</t>
  </si>
  <si>
    <t>KHI/HO/D/MO/PC COMP/C/107623/19/02/2025</t>
  </si>
  <si>
    <t>KHI/HO/D/MO/PC COMP/C/108044/111/03/2025</t>
  </si>
  <si>
    <t>KHI/HO/D/MO/PC COMP/C/108044/112/03/2025</t>
  </si>
  <si>
    <t>KHI/HO/D/MO/PC COMP/C/108044/113/03/2025</t>
  </si>
  <si>
    <t>KHI/HO/D/MO/PC COMP/C/107623/20/02/2025</t>
  </si>
  <si>
    <t>KHI/HO/D/MO/PC COMP/C/107623/21/02/2025</t>
  </si>
  <si>
    <t>KHI/HO/D/MO/PC COMP/C/108044/116/03/2025</t>
  </si>
  <si>
    <t>KHI/HO/D/MO/PC COMP/C/108044/117/03/2025</t>
  </si>
  <si>
    <t>KHI/HO/D/MO/PC COMP/C/108044/118/03/2025</t>
  </si>
  <si>
    <t>KHI/HO/D/MO/PC COMP/C/107623/24/02/2025</t>
  </si>
  <si>
    <t>KHI/HO/D/MO/PC COMP/C/107623/25/02/2025</t>
  </si>
  <si>
    <t>KHI/HO/D/MO/PC COMP/C/107623/26/02/2025</t>
  </si>
  <si>
    <t>KHI/HO/D/MO/PC COMP/C/107623/27/02/2025</t>
  </si>
  <si>
    <t>KHI/HO/D/MO/PC COMP/C/107623/28/02/2025</t>
  </si>
  <si>
    <t>KHI/HO/D/MO/PC COMP/C/107623/30/02/2025</t>
  </si>
  <si>
    <t>KHI/HO/D/MO/PC COMP/C/107623/31/02/2025</t>
  </si>
  <si>
    <t>KHI/HO/D/MO/PC COMP/C/107623/32/02/2025</t>
  </si>
  <si>
    <t>KHI/HO/D/MO/PC COMP/C/107623/33/02/2025</t>
  </si>
  <si>
    <t>KHI/HO/D/MO/PC COMP/C/107623/34/02/2025</t>
  </si>
  <si>
    <t>KHI/HO/D/MO/PC COMP/C/107623/35/02/2025</t>
  </si>
  <si>
    <t>KHI/HO/D/MO/PC COMP/C/107623/36/02/2025</t>
  </si>
  <si>
    <t>KHI/HO/D/MO/PC COMP/C/108044/132/03/2025</t>
  </si>
  <si>
    <t>KHI/HO/D/MO/PC COMP/C/107623/37/02/2025</t>
  </si>
  <si>
    <t>KHI/HO/D/MO/PC COMP/C/108044/133/03/2025</t>
  </si>
  <si>
    <t>KHI/HO/D/MO/PC COMP/C/108044/134/03/2025</t>
  </si>
  <si>
    <t>KHI/HO/D/MO/PC COMP/C/107623/38/02/2025</t>
  </si>
  <si>
    <t>KHI/HO/D/MO/PC COMP/C/107623/39/02/2025</t>
  </si>
  <si>
    <t>KHI/HO/D/MO/PC COMP/C/107623/41/02/2025</t>
  </si>
  <si>
    <t>KHI/HO/D/MO/PC COMP/C/107623/42/02/2025</t>
  </si>
  <si>
    <t>KHI/HO/D/MO/PC COMP/C/107623/44/02/2025</t>
  </si>
  <si>
    <t>KHI/HO/D/MO/PC COMP/C/107623/46/02/2025</t>
  </si>
  <si>
    <t>KHI/HO/D/MO/PC COMP/C/107623/47/02/2025</t>
  </si>
  <si>
    <t>KHI/HO/D/MO/PC COMP/C/107623/49/02/2025</t>
  </si>
  <si>
    <t>KHI/HO/D/MO/PC COMP/C/108044/143/03/2025</t>
  </si>
  <si>
    <t>KHI/HO/D/MO/PC COMP/C/108044/144/03/2025</t>
  </si>
  <si>
    <t>KHI/HO/D/MO/PC COMP/C/107623/50/02/2025</t>
  </si>
  <si>
    <t>KHI/HO/D/MO/PC COMP/C/108044/146/03/2025</t>
  </si>
  <si>
    <t>KHI/HO/D/MO/PC COMP/C/108044/147/03/2025</t>
  </si>
  <si>
    <t>KHI/HO/D/MO/PC COMP/C/108044/148/03/2025</t>
  </si>
  <si>
    <t>KHI/HO/D/MO/PC COMP/C/108044/150/03/2025</t>
  </si>
  <si>
    <t>KHI/HO/D/MO/PC COMP/C/107623/51/02/2025</t>
  </si>
  <si>
    <t>KHI/HO/D/MO/PC COMP/C/108044/151/03/2025</t>
  </si>
  <si>
    <t>KHI/HO/D/MO/PC COMP/C/107623/52/02/2025</t>
  </si>
  <si>
    <t>KHI/HO/D/MO/PC COMP/C/108044/153/03/2025</t>
  </si>
  <si>
    <t>KHI/HO/D/MO/PC COMP/C/107623/53/02/2025</t>
  </si>
  <si>
    <t>KHI/HO/D/MO/PC COMP/C/107623/54/02/2025</t>
  </si>
  <si>
    <t>KHI/HO/D/MO/PC COMP/C/107623/56/02/2025</t>
  </si>
  <si>
    <t>KHI/HO/D/MO/PC COMP/C/107623/61/02/2025</t>
  </si>
  <si>
    <t>KHI/HO/D/MO/PC COMP/C/108044/160/03/2025</t>
  </si>
  <si>
    <t>KHI/HO/D/MO/PC COMP/C/107623/63/02/2025</t>
  </si>
  <si>
    <t>KHI/HO/D/MO/PC COMP/C/108044/161/03/2025</t>
  </si>
  <si>
    <t>KHI/HO/D/MO/PC COMP/C/107623/64/02/2025</t>
  </si>
  <si>
    <t>KHI/HO/D/MO/PC COMP/C/108044/163/03/2025</t>
  </si>
  <si>
    <t>KHI/HO/D/MO/PC COMP/C/107623/65/02/2025</t>
  </si>
  <si>
    <t>KHI/HO/D/MO/PC COMP/C/107623/66/02/2025</t>
  </si>
  <si>
    <t>KHI/HO/D/MO/PC COMP/C/107623/67/02/2025</t>
  </si>
  <si>
    <t>KHI/HO/D/MO/PC COMP/C/107623/68/02/2025</t>
  </si>
  <si>
    <t>KHI/HO/D/MO/PC COMP/C/108044/169/03/2025</t>
  </si>
  <si>
    <t>KHI/HO/D/MO/PC COMP/C/107623/69/02/2025</t>
  </si>
  <si>
    <t>KHI/HO/D/MO/PC COMP/C/107623/70/02/2025</t>
  </si>
  <si>
    <t>KHI/HO/D/MO/PC COMP/C/107623/71/02/2025</t>
  </si>
  <si>
    <t>KHI/HO/D/MO/PC COMP/C/107623/73/02/2025</t>
  </si>
  <si>
    <t>KHI/HO/D/MO/PC COMP/C/108044/173/03/2025</t>
  </si>
  <si>
    <t>KHI/HO/D/MO/PC COMP/C/108044/174/03/2025</t>
  </si>
  <si>
    <t>KHI/HO/D/MO/PC COMP/C/108044/175/03/2025</t>
  </si>
  <si>
    <t>KHI/HO/D/MO/PC COMP/C/107623/74/02/2025</t>
  </si>
  <si>
    <t>KHI/HO/D/MO/PC COMP/C/108044/178/03/2025</t>
  </si>
  <si>
    <t>KHI/HO/D/MO/PC COMP/C/108044/180/03/2025</t>
  </si>
  <si>
    <t>KHI/HO/D/MO/PC COMP/C/107623/75/02/2025</t>
  </si>
  <si>
    <t>KHI/HO/D/MO/PC COMP/C/108044/181/03/2025</t>
  </si>
  <si>
    <t>KHI/HO/D/MO/PC COMP/C/108044/182/03/2025</t>
  </si>
  <si>
    <t>KHI/HO/D/MO/PC COMP/C/107623/76/02/2025</t>
  </si>
  <si>
    <t>KHI/HO/D/MO/PC COMP/C/107623/77/02/2025</t>
  </si>
  <si>
    <t>KHI/HO/D/MO/PC COMP/C/107623/78/02/2025</t>
  </si>
  <si>
    <t>KHI/HO/D/MO/PC COMP/C/107623/79/02/2025</t>
  </si>
  <si>
    <t>KHI/HO/D/MO/PC COMP/C/107623/80/02/2025</t>
  </si>
  <si>
    <t>KHI/HO/D/MO/PC COMP/C/107623/81/02/2025</t>
  </si>
  <si>
    <t>KHI/HO/D/MO/PC COMP/C/107623/82/02/2025</t>
  </si>
  <si>
    <t>KHI/HO/D/MO/PC COMP/C/108044/191/03/2025</t>
  </si>
  <si>
    <t>KHI/HO/D/MO/PC COMP/C/108044/192/03/2025</t>
  </si>
  <si>
    <t>KHI/HO/D/MO/PC COMP/C/108044/193/03/2025</t>
  </si>
  <si>
    <t>KHI/HO/D/MO/PC COMP/C/107623/83/02/2025</t>
  </si>
  <si>
    <t>KHI/HO/D/MO/PC COMP/C/107623/84/02/2025</t>
  </si>
  <si>
    <t>KHI/HO/D/MO/PC COMP/C/107623/85/02/2025</t>
  </si>
  <si>
    <t>KHI/HO/D/MO/PC COMP/C/108044/200/03/2025</t>
  </si>
  <si>
    <t>KHI/HO/D/MO/PC COMP/C/108044/201/03/2025</t>
  </si>
  <si>
    <t>KHI/HO/D/MO/PC COMP/C/107623/87/02/2025</t>
  </si>
  <si>
    <t>KHI/HO/D/MO/PC COMP/C/107623/88/02/2025</t>
  </si>
  <si>
    <t>KHI/HO/D/MO/PC COMP/C/107623/90/02/2025</t>
  </si>
  <si>
    <t>KHI/HO/D/MO/PC COMP/C/107623/91/02/2025</t>
  </si>
  <si>
    <t>KHI/HO/D/MO/PC COMP/C/107623/94/02/2025</t>
  </si>
  <si>
    <t>KHI/HO/D/MO/PC COMP/C/107623/96/02/2025</t>
  </si>
  <si>
    <t>KHI/HO/D/MO/PC COMP/C/107623/99/02/2025</t>
  </si>
  <si>
    <t>KHI/HO/D/MO/PC COMP/C/108044/205/03/2025</t>
  </si>
  <si>
    <t>KHI/HO/D/MO/PC COMP/C/107623/100/02/2025</t>
  </si>
  <si>
    <t>KHI/HO/D/MO/PC COMP/C/107623/101/02/2025</t>
  </si>
  <si>
    <t>KHI/HO/D/MO/PC COMP/C/108044/209/03/2025</t>
  </si>
  <si>
    <t>KHI/HO/D/MO/PC COMP/C/107623/102/02/2025</t>
  </si>
  <si>
    <t>KHI/HO/D/MO/PC COMP/C/107623/103/02/2025</t>
  </si>
  <si>
    <t>KHI/HO/D/MO/PC COMP/C/107623/104/02/2025</t>
  </si>
  <si>
    <t>KHI/HO/D/MO/PC COMP/C/108044/213/03/2025</t>
  </si>
  <si>
    <t>KHI/HO/D/MO/PC COMP/C/107623/106/02/2025</t>
  </si>
  <si>
    <t>KHI/HO/D/MO/PC COMP/C/107623/107/02/2025</t>
  </si>
  <si>
    <t>KHI/HO/D/MO/PC COMP/C/107623/109/02/2025</t>
  </si>
  <si>
    <t>KHI/HO/D/MO/PC COMP/C/108044/217/03/2025</t>
  </si>
  <si>
    <t>KHI/HO/D/MO/PC COMP/C/107623/112/02/2025</t>
  </si>
  <si>
    <t>KHI/HO/D/MO/PC COMP/C/107623/114/02/2025</t>
  </si>
  <si>
    <t>KHI/HO/D/MO/PC COMP/C/108044/220/03/2025</t>
  </si>
  <si>
    <t>KHI/HO/D/MO/PC COMP/C/108044/221/03/2025</t>
  </si>
  <si>
    <t>KHI/HO/D/MO/PC COMP/C/107623/116/02/2025</t>
  </si>
  <si>
    <t>KHI/HO/D/MO/PC COMP/C/108044/223/03/2025</t>
  </si>
  <si>
    <t>KHI/HO/D/MO/PC COMP/C/107623/118/02/2025</t>
  </si>
  <si>
    <t>KHI/HO/D/MO/PC COMP/C/108044/228/03/2025</t>
  </si>
  <si>
    <t>KHI/HO/D/MO/PC COMP/C/107623/119/02/2025</t>
  </si>
  <si>
    <t>KHI/HO/D/MO/PC COMP/C/107623/120/02/2025</t>
  </si>
  <si>
    <t>KHI/HO/D/MO/PC COMP/C/107623/123/02/2025</t>
  </si>
  <si>
    <t>KHI/HO/D/MO/PC COMP/C/107623/124/02/2025</t>
  </si>
  <si>
    <t>KHI/HO/D/MO/PC COMP/C/107623/125/02/2025</t>
  </si>
  <si>
    <t>KHI/HO/D/MO/PC COMP/C/107623/127/02/2025</t>
  </si>
  <si>
    <t>KHI/HO/D/MO/PC COMP/C/107623/128/02/2025</t>
  </si>
  <si>
    <t>KHI/HO/D/MO/PC COMP/C/107623/129/02/2025</t>
  </si>
  <si>
    <t>KHI/HO/D/MO/PC COMP/C/107623/130/02/2025</t>
  </si>
  <si>
    <t>KHI/HO/D/MO/PC COMP/C/107623/131/02/2025</t>
  </si>
  <si>
    <t>KHI/HO/D/MO/PC COMP/C/107623/132/02/2025</t>
  </si>
  <si>
    <t>KHI/HO/D/MO/PC COMP/C/107623/133/02/2025</t>
  </si>
  <si>
    <t>KHI/HO/D/MO/PC COMP/C/107623/134/02/2025</t>
  </si>
  <si>
    <t>KHI/HO/D/MO/PC COMP/C/107623/136/02/2025</t>
  </si>
  <si>
    <t>KHI/HO/D/MO/PC COMP/C/108044/246/03/2025</t>
  </si>
  <si>
    <t>KHI/HO/D/MO/PC COMP/C/107623/139/02/2025</t>
  </si>
  <si>
    <t>KHI/HO/D/MO/PC COMP/C/107623/141/02/2025</t>
  </si>
  <si>
    <t>KHI/HO/D/MO/PC COMP/C/107623/143/02/2025</t>
  </si>
  <si>
    <t>KHI/HO/D/MO/PC COMP/C/108044/250/03/2025</t>
  </si>
  <si>
    <t>KHI/HO/D/MO/PC COMP/C/107623/145/02/2025</t>
  </si>
  <si>
    <t>KHI/HO/D/MO/PC COMP/C/107623/151/02/2025</t>
  </si>
  <si>
    <t>KHI/HO/D/MO/PC COMP/C/107623/152/02/2025</t>
  </si>
  <si>
    <t>KHI/HO/D/MO/PC COMP/C/107623/153/02/2025</t>
  </si>
  <si>
    <t>KHI/HO/D/MO/PC COMP/C/107623/154/02/2025</t>
  </si>
  <si>
    <t>KHI/HO/D/MO/PC COMP/C/107623/156/02/2025</t>
  </si>
  <si>
    <t>KHI/HO/D/MO/PC COMP/C/107623/158/02/2025</t>
  </si>
  <si>
    <t>KHI/HO/D/MO/PC COMP/C/107623/160/02/2025</t>
  </si>
  <si>
    <t>KHI/HO/D/MO/PC COMP/C/107623/163/02/2025</t>
  </si>
  <si>
    <t>KHI/HO/D/MO/PC COMP/C/107623/164/02/2025</t>
  </si>
  <si>
    <t>KHI/HO/D/MO/PC COMP/C/107623/165/02/2025</t>
  </si>
  <si>
    <t>KHI/HO/D/MO/PC COMP/C/107623/166/02/2025</t>
  </si>
  <si>
    <t>KHI/HO/D/MO/PC COMP/C/107623/173/02/2025</t>
  </si>
  <si>
    <t>KHI/HO/D/MO/PC COMP/C/108044/254/03/2025</t>
  </si>
  <si>
    <t>KHI/HO/D/MO/PC COMP/C/107623/174/02/2025</t>
  </si>
  <si>
    <t>KHI/HO/D/MO/PC COMP/C/107623/176/02/2025</t>
  </si>
  <si>
    <t>KHI/HO/D/MO/PC COMP/C/107623/177/02/2025</t>
  </si>
  <si>
    <t>KHI/HO/D/MO/PC COMP/C/108044/253/03/2025</t>
  </si>
  <si>
    <t>KHI/HO/D/MO/PC COMP/C/107623/178/02/2025</t>
  </si>
  <si>
    <t>KHI/HO/D/MO/PC COMP/C/107623/179/02/2025</t>
  </si>
  <si>
    <t>KHI/HO/D/MO/PC COMP/C/107623/182/02/2025</t>
  </si>
  <si>
    <t>KHI/HO/D/MO/PC COMP/C/107623/183/02/2025</t>
  </si>
  <si>
    <t>KHI/HO/D/MO/PC COMP/C/107623/184/02/2025</t>
  </si>
  <si>
    <t>KHI/HO/D/MO/PC COMP/C/107623/185/02/2025</t>
  </si>
  <si>
    <t>KHI/HO/D/MO/PC COMP/C/107623/186/02/2025</t>
  </si>
  <si>
    <t>KHI/HO/D/MO/PC COMP/C/107623/187/02/2025</t>
  </si>
  <si>
    <t>KHI/HO/D/MO/PC COMP/C/107623/188/02/2025</t>
  </si>
  <si>
    <t>KHI/HO/D/MO/PC COMP/C/108044/252/03/2025</t>
  </si>
  <si>
    <t>KHI/HO/D/MO/PC COMP/C/107623/189/02/2025</t>
  </si>
  <si>
    <t>KHI/HO/D/MO/PC COMP/C/108044/251/03/2025</t>
  </si>
  <si>
    <t>KHI/HO/D/MO/PC COMP/C/107623/190/02/2025</t>
  </si>
  <si>
    <t>KHI/HO/D/MO/PC COMP/C/108044/249/03/2025</t>
  </si>
  <si>
    <t>KHI/HO/D/MO/PC COMP/C/108044/248/03/2025</t>
  </si>
  <si>
    <t>KHI/HO/D/MO/PC COMP/C/107623/191/02/2025</t>
  </si>
  <si>
    <t>KHI/HO/D/MO/PC COMP/C/107623/192/02/2025</t>
  </si>
  <si>
    <t>KHI/HO/D/MO/PC COMP/C/108044/247/03/2025</t>
  </si>
  <si>
    <t>KHI/HO/D/MO/PC COMP/C/108044/245/03/2025</t>
  </si>
  <si>
    <t>KHI/HO/D/MO/PC COMP/C/107623/193/02/2025</t>
  </si>
  <si>
    <t>KHI/HO/D/MO/PC COMP/C/107623/194/02/2025</t>
  </si>
  <si>
    <t>KHI/HO/D/MO/PC COMP/C/107623/196/02/2025</t>
  </si>
  <si>
    <t>KHI/HO/D/MO/PC COMP/C/107623/197/02/2025</t>
  </si>
  <si>
    <t>KHI/HO/D/MO/PC COMP/C/108044/244/03/2025</t>
  </si>
  <si>
    <t>KHI/HO/D/MO/PC COMP/C/107623/198/02/2025</t>
  </si>
  <si>
    <t>KHI/HO/D/MO/PC COMP/C/107623/199/02/2025</t>
  </si>
  <si>
    <t>KHI/HO/D/MO/PC COMP/C/108044/243/03/2025</t>
  </si>
  <si>
    <t>KHI/HO/D/MO/PC COMP/C/107623/201/02/2025</t>
  </si>
  <si>
    <t>KHI/HO/D/MO/PC COMP/C/107623/202/02/2025</t>
  </si>
  <si>
    <t>KHI/HO/D/MO/PC COMP/C/107623/203/02/2025</t>
  </si>
  <si>
    <t>KHI/HO/D/MO/PC COMP/C/108044/242/03/2025</t>
  </si>
  <si>
    <t>KHI/HO/D/MO/PC COMP/C/107623/204/02/2025</t>
  </si>
  <si>
    <t>KHI/HO/D/MO/PC COMP/C/107623/205/02/2025</t>
  </si>
  <si>
    <t>KHI/HO/D/MO/PC COMP/C/107623/206/02/2025</t>
  </si>
  <si>
    <t>KHI/HO/D/MO/PC COMP/C/107623/207/02/2025</t>
  </si>
  <si>
    <t>KHI/HO/D/MO/PC COMP/C/108044/241/03/2025</t>
  </si>
  <si>
    <t>KHI/HO/D/MO/PC COMP/C/107623/208/02/2025</t>
  </si>
  <si>
    <t>KHI/HO/D/MO/PC COMP/C/108044/240/03/2025</t>
  </si>
  <si>
    <t>KHI/HO/D/MO/PC COMP/C/107623/209/02/2025</t>
  </si>
  <si>
    <t>KHI/HO/D/MO/PC COMP/C/108044/237/03/2025</t>
  </si>
  <si>
    <t>KHI/HO/D/MO/PC COMP/C/107623/210/02/2025</t>
  </si>
  <si>
    <t>KHI/HO/D/MO/PC COMP/C/108044/236/03/2025</t>
  </si>
  <si>
    <t>KHI/HO/D/MO/PC COMP/C/108044/235/03/2025</t>
  </si>
  <si>
    <t>KHI/HO/D/MO/PC COMP/C/107623/211/02/2025</t>
  </si>
  <si>
    <t>KHI/HO/D/MO/PC COMP/C/107623/212/02/2025</t>
  </si>
  <si>
    <t>KHI/HO/D/MO/PC COMP/C/107623/213/02/2025</t>
  </si>
  <si>
    <t>KHI/HO/D/MO/PC COMP/C/107623/214/02/2025</t>
  </si>
  <si>
    <t>KHI/HO/D/MO/PC COMP/C/107623/215/02/2025</t>
  </si>
  <si>
    <t>KHI/HO/D/MO/PC COMP/C/107623/216/02/2025</t>
  </si>
  <si>
    <t>KHI/HO/D/MO/PC COMP/C/107623/217/02/2025</t>
  </si>
  <si>
    <t>KHI/HO/D/MO/PC COMP/C/108044/234/03/2025</t>
  </si>
  <si>
    <t>KHI/HO/D/MO/PC COMP/C/107623/218/02/2025</t>
  </si>
  <si>
    <t>KHI/HO/D/MO/PC COMP/C/108044/233/03/2025</t>
  </si>
  <si>
    <t>KHI/HO/D/MO/PC COMP/C/107623/219/02/2025</t>
  </si>
  <si>
    <t>KHI/HO/D/MO/PC COMP/C/107623/221/02/2025</t>
  </si>
  <si>
    <t>KHI/HO/D/MO/PC COMP/C/107623/222/02/2025</t>
  </si>
  <si>
    <t>KHI/HO/D/MO/PC COMP/C/108044/232/03/2025</t>
  </si>
  <si>
    <t>KHI/HO/D/MO/PC COMP/C/108044/231/03/2025</t>
  </si>
  <si>
    <t>KHI/HO/D/MO/PC COMP/C/107623/228/02/2025</t>
  </si>
  <si>
    <t>KHI/HO/D/MO/PC COMP/C/108044/230/03/2025</t>
  </si>
  <si>
    <t>KHI/HO/D/MO/PC COMP/C/107623/231/02/2025</t>
  </si>
  <si>
    <t>KHI/HO/D/MO/PC COMP/C/107623/233/02/2025</t>
  </si>
  <si>
    <t>KHI/HO/D/MO/PC COMP/C/107623/235/02/2025</t>
  </si>
  <si>
    <t>KHI/HO/D/MO/PC COMP/C/107623/237/02/2025</t>
  </si>
  <si>
    <t>KHI/HO/D/MO/PC COMP/C/107623/239/02/2025</t>
  </si>
  <si>
    <t>KHI/HO/D/MO/PC COMP/C/107623/240/02/2025</t>
  </si>
  <si>
    <t>KHI/HO/D/MO/PC COMP/C/107623/242/02/2025</t>
  </si>
  <si>
    <t>KHI/HO/D/MO/PC COMP/C/107623/243/02/2025</t>
  </si>
  <si>
    <t>KHI/HO/D/MO/PC COMP/C/107623/244/02/2025</t>
  </si>
  <si>
    <t>KHI/HO/D/MO/PC COMP/C/107623/245/02/2025</t>
  </si>
  <si>
    <t>KHI/HO/D/MO/PC COMP/C/107623/246/02/2025</t>
  </si>
  <si>
    <t>KHI/HO/D/MO/PC COMP/C/107623/247/02/2025</t>
  </si>
  <si>
    <t>KHI/HO/D/MO/PC COMP/C/107623/248/02/2025</t>
  </si>
  <si>
    <t>KHI/HO/D/MO/PC COMP/C/107623/250/02/2025</t>
  </si>
  <si>
    <t>KHI/HO/D/MO/PC COMP/C/107623/251/02/2025</t>
  </si>
  <si>
    <t>KHI/HO/D/MO/PC COMP/C/108044/224/03/2025</t>
  </si>
  <si>
    <t>KHI/HO/D/MO/PC COMP/C/108044/222/03/2025</t>
  </si>
  <si>
    <t>KHI/HO/D/MO/PC COMP/C/107623/252/02/2025</t>
  </si>
  <si>
    <t>KHI/HO/D/MO/PC COMP/C/108044/219/03/2025</t>
  </si>
  <si>
    <t>KHI/HO/D/MO/PC COMP/C/107623/253/02/2025</t>
  </si>
  <si>
    <t>KHI/HO/D/MO/PC COMP/C/108044/212/03/2025</t>
  </si>
  <si>
    <t>KHI/HO/D/MO/PC COMP/C/107623/254/02/2025</t>
  </si>
  <si>
    <t>KHI/HO/D/MO/PC COMP/C/107623/255/02/2025</t>
  </si>
  <si>
    <t>KHI/HO/D/MO/PC COMP/C/108044/207/03/2025</t>
  </si>
  <si>
    <t>KHI/HO/D/MO/PC COMP/C/107623/256/02/2025</t>
  </si>
  <si>
    <t>KHI/HO/D/MO/PC COMP/C/107623/257/02/2025</t>
  </si>
  <si>
    <t>KHI/HO/D/MO/PC COMP/C/107623/258/02/2025</t>
  </si>
  <si>
    <t>KHI/HO/D/MO/PC COMP/C/107623/249/02/2025</t>
  </si>
  <si>
    <t>KHI/HO/D/MO/PC COMP/C/108044/203/03/2025</t>
  </si>
  <si>
    <t>KHI/HO/D/MO/PC COMP/C/107623/241/02/2025</t>
  </si>
  <si>
    <t>KHI/HO/D/MO/PC COMP/C/107623/238/02/2025</t>
  </si>
  <si>
    <t>KHI/HO/D/MO/PC COMP/C/107623/236/02/2025</t>
  </si>
  <si>
    <t>KHI/HO/D/MO/PC COMP/C/107623/234/02/2025</t>
  </si>
  <si>
    <t>KHI/HO/D/MO/PC COMP/C/107623/232/02/2025</t>
  </si>
  <si>
    <t>KHI/HO/D/MO/PC COMP/C/108044/199/03/2025</t>
  </si>
  <si>
    <t>KHI/HO/D/MO/PC COMP/C/107623/230/02/2025</t>
  </si>
  <si>
    <t>KHI/HO/D/MO/PC COMP/C/107623/229/02/2025</t>
  </si>
  <si>
    <t>KHI/HO/D/MO/PC COMP/C/108044/196/03/2025</t>
  </si>
  <si>
    <t>KHI/HO/D/MO/PC COMP/C/107623/227/02/2025</t>
  </si>
  <si>
    <t>KHI/HO/D/MO/PC COMP/C/108044/190/03/2025</t>
  </si>
  <si>
    <t>KHI/HO/D/MO/PC COMP/C/107623/226/02/2025</t>
  </si>
  <si>
    <t>KHI/HO/D/MO/PC COMP/C/107623/225/02/2025</t>
  </si>
  <si>
    <t>KHI/HO/D/MO/PC COMP/C/108044/187/03/2025</t>
  </si>
  <si>
    <t>KHI/HO/D/MO/PC COMP/C/107623/224/02/2025</t>
  </si>
  <si>
    <t>KHI/HO/D/MO/PC COMP/C/108044/186/03/2025</t>
  </si>
  <si>
    <t>KHI/HO/D/MO/PC COMP/C/107623/223/02/2025</t>
  </si>
  <si>
    <t>KHI/HO/D/MO/PC COMP/C/107623/220/02/2025</t>
  </si>
  <si>
    <t>KHI/HO/D/MO/PC COMP/C/108044/177/03/2025</t>
  </si>
  <si>
    <t>KHI/HO/D/MO/PC COMP/C/107623/200/02/2025</t>
  </si>
  <si>
    <t>KHI/HO/D/MO/PC COMP/C/107623/181/02/2025</t>
  </si>
  <si>
    <t>KHI/HO/D/MO/PC COMP/C/107623/180/02/2025</t>
  </si>
  <si>
    <t>KHI/HO/D/MO/PC COMP/C/107623/175/02/2025</t>
  </si>
  <si>
    <t>KHI/HO/D/MO/PC COMP/C/107623/172/02/2025</t>
  </si>
  <si>
    <t>KHI/HO/D/MO/PC COMP/C/107623/171/02/2025</t>
  </si>
  <si>
    <t>KHI/HO/D/MO/PC COMP/C/107623/170/02/2025</t>
  </si>
  <si>
    <t>KHI/HO/D/MO/PC COMP/C/107623/169/02/2025</t>
  </si>
  <si>
    <t>KHI/HO/D/MO/PC COMP/C/107623/168/02/2025</t>
  </si>
  <si>
    <t>KHI/HO/D/MO/PC COMP/C/107623/167/02/2025</t>
  </si>
  <si>
    <t>KHI/HO/D/MO/PC COMP/C/107623/162/02/2025</t>
  </si>
  <si>
    <t>KHI/HO/D/MO/PC COMP/C/107351/2/02/2025</t>
  </si>
  <si>
    <t>KHI/HO/D/MO/PC COMP/C/107623/161/02/2025</t>
  </si>
  <si>
    <t>KHI/HO/D/MO/PC COMP/C/107623/159/02/2025</t>
  </si>
  <si>
    <t>KHI/HO/D/MO/PC COMP/C/107623/4/02/2025</t>
  </si>
  <si>
    <t>KHI/HO/D/MO/PC COMP/C/107623/157/02/2025</t>
  </si>
  <si>
    <t>KHI/HO/D/MO/PC COMP/C/107623/6/02/2025</t>
  </si>
  <si>
    <t>KHI/HO/D/MO/PC COMP/C/107623/155/02/2025</t>
  </si>
  <si>
    <t>KHI/HO/D/MO/PC COMP/C/107623/150/02/2025</t>
  </si>
  <si>
    <t>KHI/HO/D/MO/PC COMP/C/107623/149/02/2025</t>
  </si>
  <si>
    <t>KHI/HO/D/MO/PC COMP/C/107623/148/02/2025</t>
  </si>
  <si>
    <t>KHI/HO/D/MO/PC COMP/C/107623/147/02/2025</t>
  </si>
  <si>
    <t>KHI/HO/D/MO/PC COMP/C/107623/146/02/2025</t>
  </si>
  <si>
    <t>KHI/HO/D/MO/PC COMP/C/107623/144/02/2025</t>
  </si>
  <si>
    <t>KHI/HO/D/MO/PC COMP/C/107623/142/02/2025</t>
  </si>
  <si>
    <t>KHI/HO/D/MO/PC COMP/C/107623/140/02/2025</t>
  </si>
  <si>
    <t>KHI/HO/D/MO/PC COMP/C/107623/138/02/2025</t>
  </si>
  <si>
    <t>KHI/HO/D/MO/PC COMP/C/107623/137/02/2025</t>
  </si>
  <si>
    <t>KHI/HO/D/MO/PC COMP/C/107623/11/02/2025</t>
  </si>
  <si>
    <t>KHI/HO/D/MO/PC COMP/C/107623/135/02/2025</t>
  </si>
  <si>
    <t>KHI/HO/D/MO/PC COMP/C/107623/13/02/2025</t>
  </si>
  <si>
    <t>KHI/HO/D/MO/PC COMP/C/107623/14/02/2025</t>
  </si>
  <si>
    <t>KHI/HO/D/MO/PC COMP/C/107623/15/02/2025</t>
  </si>
  <si>
    <t>KHI/HO/D/MO/PC COMP/C/107623/16/02/2025</t>
  </si>
  <si>
    <t>KHI/HO/D/MO/PC COMP/C/107623/126/02/2025</t>
  </si>
  <si>
    <t>KHI/HO/D/MO/PC COMP/C/107623/122/02/2025</t>
  </si>
  <si>
    <t>KHI/HO/D/MO/PC COMP/C/107623/121/02/2025</t>
  </si>
  <si>
    <t>KHI/HO/D/MO/PC COMP/C/107623/117/02/2025</t>
  </si>
  <si>
    <t>KHI/HO/D/MO/PC COMP/C/107623/115/02/2025</t>
  </si>
  <si>
    <t>KHI/HO/D/MO/PC COMP/C/107623/22/02/2025</t>
  </si>
  <si>
    <t>KHI/HO/D/MO/PC COMP/C/107623/23/02/2025</t>
  </si>
  <si>
    <t>KHI/HO/D/MO/PC COMP/C/107623/113/02/2025</t>
  </si>
  <si>
    <t>KHI/HO/D/MO/PC COMP/C/107623/111/02/2025</t>
  </si>
  <si>
    <t>KHI/HO/D/MO/PC COMP/C/107623/110/02/2025</t>
  </si>
  <si>
    <t>KHI/HO/D/MO/PC COMP/C/107623/108/02/2025</t>
  </si>
  <si>
    <t>KHI/HO/D/MO/PC COMP/C/107623/105/02/2025</t>
  </si>
  <si>
    <t>KHI/HO/D/MO/PC COMP/C/107623/98/02/2025</t>
  </si>
  <si>
    <t>KHI/HO/D/MO/PC COMP/C/107623/97/02/2025</t>
  </si>
  <si>
    <t>KHI/HO/D/MO/PC COMP/C/107623/29/02/2025</t>
  </si>
  <si>
    <t>KHI/HO/D/MO/PC COMP/C/107351/1/02/2025</t>
  </si>
  <si>
    <t>KHI/HO/D/MO/PC COMP/C/107623/95/02/2025</t>
  </si>
  <si>
    <t>KHI/HO/D/MO/PC COMP/C/107623/93/02/2025</t>
  </si>
  <si>
    <t>KHI/HO/D/MO/PC COMP/C/107623/92/02/2025</t>
  </si>
  <si>
    <t>KHI/HO/D/MO/PC COMP/C/107623/89/02/2025</t>
  </si>
  <si>
    <t>KHI/HO/D/MO/PC COMP/C/107623/86/02/2025</t>
  </si>
  <si>
    <t>KHI/HO/D/MO/PC COMP/C/107623/72/02/2025</t>
  </si>
  <si>
    <t>KHI/HO/D/MO/PC COMP/C/107623/62/02/2025</t>
  </si>
  <si>
    <t>KHI/HO/D/MO/PC COMP/C/107623/60/02/2025</t>
  </si>
  <si>
    <t>KHI/HO/D/MO/PC COMP/C/107623/59/02/2025</t>
  </si>
  <si>
    <t>KHI/HO/D/MO/PC COMP/C/107623/58/02/2025</t>
  </si>
  <si>
    <t>KHI/HO/D/MO/PC COMP/C/107623/40/02/2025</t>
  </si>
  <si>
    <t>KHI/HO/D/MO/PC COMP/C/107623/57/02/2025</t>
  </si>
  <si>
    <t>KHI/HO/D/MO/PC COMP/C/107623/55/02/2025</t>
  </si>
  <si>
    <t>KHI/HO/D/MO/PC COMP/C/107623/48/02/2025</t>
  </si>
  <si>
    <t>KHI/HO/D/MO/PC COMP/C/107623/43/02/2025</t>
  </si>
  <si>
    <t>KHI/HO/D/MO/PC COMP/C/107623/45/02/2025</t>
  </si>
  <si>
    <t>KHI/HO/D/MO/PC COMP/C/106590/37/01/2025</t>
  </si>
  <si>
    <t>Issue Date</t>
  </si>
  <si>
    <t>End. #</t>
  </si>
  <si>
    <t>KHI/HO/D/MO/PC COMP/E/52918/00197/03/2025</t>
  </si>
  <si>
    <t>KHI/HO/D/MO/PC COMP/E/52918/00200/03/2025</t>
  </si>
  <si>
    <t>KHI/HO/D/MO/PC COMP/E/52918/00281/03/2025</t>
  </si>
  <si>
    <t>KHI/HO/D/MO/PC COMP/E/52918/00056/03/2025</t>
  </si>
  <si>
    <t>KHI/HO/D/MO/PC COMP/E/52918/00058/03/2025</t>
  </si>
  <si>
    <t>KHI/HO/D/MO/PC COMP/E/52918/00068/03/2025</t>
  </si>
  <si>
    <t>KHI/HO/D/MO/PC COMP/E/52918/00093/03/2025</t>
  </si>
  <si>
    <t>KHI/HO/D/MO/PC COMP/E/52918/00096/03/2025</t>
  </si>
  <si>
    <t>KHI/HO/D/MO/PC COMP/E/52918/00102/03/2025</t>
  </si>
  <si>
    <t>KHI/HO/D/MO/PC COMP/E/52918/00116/03/2025</t>
  </si>
  <si>
    <t>KHI/HO/D/MO/PC COMP/E/52918/00130/03/2025</t>
  </si>
  <si>
    <t>KHI/HO/D/MO/PC COMP/E/52918/00140/03/2025</t>
  </si>
  <si>
    <t>KHI/HO/D/MO/PC COMP/E/52918/00141/03/2025</t>
  </si>
  <si>
    <t>KHI/HO/D/MO/PC COMP/E/52918/00151/03/2025</t>
  </si>
  <si>
    <t>KHI/HO/D/MO/PC COMP/E/52918/00156/03/2025</t>
  </si>
  <si>
    <t>KHI/HO/D/MO/PC COMP/E/52918/00162/03/2025</t>
  </si>
  <si>
    <t>KHI/HO/D/MO/PC COMP/E/52918/00165/03/2025</t>
  </si>
  <si>
    <t>KHI/HO/D/MO/PC COMP/E/52918/00168/03/2025</t>
  </si>
  <si>
    <t>KHI/HO/D/MO/PC COMP/E/52918/00187/03/2025</t>
  </si>
  <si>
    <t>KHI/HO/D/MO/PC COMP/E/52918/00189/03/2025</t>
  </si>
  <si>
    <t>KHI/HO/D/MO/PC COMP/E/52918/00198/03/2025</t>
  </si>
  <si>
    <t>KHI/HO/D/MO/PC COMP/E/52918/00219/03/2025</t>
  </si>
  <si>
    <t>KHI/HO/D/MO/PC COMP/E/52918/00235/03/2025</t>
  </si>
  <si>
    <t>KHI/HO/D/MO/PC COMP/E/52918/00242/03/2025</t>
  </si>
  <si>
    <t>KHI/HO/D/MO/PC COMP/E/52918/00248/03/2025</t>
  </si>
  <si>
    <t>KHI/HO/D/MO/PC COMP/E/52918/00285/03/2025</t>
  </si>
  <si>
    <t>KHI/HO/D/MO/PC COMP/E/52918/00293/03/2025</t>
  </si>
  <si>
    <t>KHI/HO/D/MO/PC COMP/E/52918/00269/03/2025</t>
  </si>
  <si>
    <t>KHI/HO/D/MO/PC COMP/E/52918/00191/03/2025</t>
  </si>
  <si>
    <t>KHI/HO/D/MO/PC COMP/E/52918/00175/03/2025</t>
  </si>
  <si>
    <t>KHI/HO/D/MO/PC COMP/E/52918/00037/03/2025</t>
  </si>
  <si>
    <t>KHI/HO/D/MO/PC COMP/E/52952/00001/03/2025</t>
  </si>
  <si>
    <t>KHI/HO/D/MO/PC COMP/E/52952/00009/03/2025</t>
  </si>
  <si>
    <t>KHI/HO/D/MO/PC COMP/E/52952/00024/03/2025</t>
  </si>
  <si>
    <t>KHI/HO/D/MO/PC COMP/E/52952/00026/03/2025</t>
  </si>
  <si>
    <t>KHI/HO/D/MO/PC COMP/E/52952/00030/03/2025</t>
  </si>
  <si>
    <t>KHI/HO/D/MO/PC COMP/E/52952/00031/03/2025</t>
  </si>
  <si>
    <t>KHI/HO/D/MO/PC COMP/E/52952/00032/03/2025</t>
  </si>
  <si>
    <t>KHI/HO/D/MO/PC COMP/E/52952/00033/03/2025</t>
  </si>
  <si>
    <t>KHI/HO/D/MO/PC COMP/E/52952/00034/03/2025</t>
  </si>
  <si>
    <t>KHI/HO/D/MO/PC COMP/E/52952/00035/03/2025</t>
  </si>
  <si>
    <t>KHI/HO/D/MO/PC COMP/E/52952/00036/03/2025</t>
  </si>
  <si>
    <t>KHI/HO/D/MO/PC COMP/E/52952/00037/03/2025</t>
  </si>
  <si>
    <t>KHI/HO/D/MO/PC COMP/E/52952/00038/03/2025</t>
  </si>
  <si>
    <t>KHI/HO/D/MO/PC COMP/E/52952/00039/03/2025</t>
  </si>
  <si>
    <t>KHI/HO/D/MO/PC COMP/E/52952/00041/03/2025</t>
  </si>
  <si>
    <t>KHI/HO/D/MO/PC COMP/E/52952/00042/03/2025</t>
  </si>
  <si>
    <t>KHI/HO/D/MO/PC COMP/E/52952/00044/03/2025</t>
  </si>
  <si>
    <t>KHI/HO/D/MO/PC COMP/E/52952/00046/03/2025</t>
  </si>
  <si>
    <t>KHI/HO/D/MO/PC COMP/E/52952/00047/03/2025</t>
  </si>
  <si>
    <t>KHI/HO/D/MO/PC COMP/E/52952/00049/03/2025</t>
  </si>
  <si>
    <t>KHI/HO/D/MO/PC COMP/E/52952/00050/03/2025</t>
  </si>
  <si>
    <t>KHI/HO/D/MO/PC COMP/E/52952/00052/03/2025</t>
  </si>
  <si>
    <t>KHI/HO/D/MO/PC COMP/E/52952/00053/03/2025</t>
  </si>
  <si>
    <t>KHI/HO/D/MO/PC COMP/E/52952/00054/03/2025</t>
  </si>
  <si>
    <t>KHI/HO/D/MO/PC COMP/E/52952/00074/03/2025</t>
  </si>
  <si>
    <t>KHI/HO/D/MO/PC COMP/E/52952/00077/03/2025</t>
  </si>
  <si>
    <t>KHI/HO/D/MO/PC COMP/E/52952/00078/03/2025</t>
  </si>
  <si>
    <t>KHI/HO/D/MO/PC COMP/E/52952/00081/03/2025</t>
  </si>
  <si>
    <t>KHI/HO/D/MO/PC COMP/E/52952/00082/03/2025</t>
  </si>
  <si>
    <t>KHI/HO/D/MO/PC COMP/E/52952/00084/03/2025</t>
  </si>
  <si>
    <t>KHI/HO/D/MO/PC COMP/E/52952/00085/03/2025</t>
  </si>
  <si>
    <t>KHI/HO/D/MO/PC COMP/E/52952/00087/03/2025</t>
  </si>
  <si>
    <t>KHI/HO/D/MO/PC COMP/E/52952/00091/03/2025</t>
  </si>
  <si>
    <t>KHI/HO/D/MO/PC COMP/E/52952/00094/03/2025</t>
  </si>
  <si>
    <t>KHI/HO/D/MO/PC COMP/E/52952/00102/03/2025</t>
  </si>
  <si>
    <t>KHI/HO/D/MO/PC COMP/E/52952/00103/03/2025</t>
  </si>
  <si>
    <t>KHI/HO/D/MO/PC COMP/E/52952/00104/03/2025</t>
  </si>
  <si>
    <t>KHI/HO/D/MO/PC COMP/E/52952/00114/03/2025</t>
  </si>
  <si>
    <t>KHI/HO/D/MO/PC COMP/E/52952/00116/03/2025</t>
  </si>
  <si>
    <t>KHI/HO/D/MO/PC COMP/E/52952/00118/03/2025</t>
  </si>
  <si>
    <t>KHI/HO/D/MO/PC COMP/E/52952/00120/03/2025</t>
  </si>
  <si>
    <t>KHI/HO/D/MO/PC COMP/E/52952/00124/03/2025</t>
  </si>
  <si>
    <t>KHI/HO/D/MO/PC COMP/E/52952/00125/03/2025</t>
  </si>
  <si>
    <t>KHI/HO/D/MO/PC COMP/E/52952/00127/03/2025</t>
  </si>
  <si>
    <t>KHI/HO/D/MO/PC COMP/E/52952/00128/03/2025</t>
  </si>
  <si>
    <t>KHI/HO/D/MO/PC COMP/E/52952/00129/03/2025</t>
  </si>
  <si>
    <t>KHI/HO/D/MO/PC COMP/E/52952/00131/03/2025</t>
  </si>
  <si>
    <t>KHI/HO/D/MO/PC COMP/E/52952/00133/03/2025</t>
  </si>
  <si>
    <t>KHI/HO/D/MO/PC COMP/E/52952/00134/03/2025</t>
  </si>
  <si>
    <t>KHI/HO/D/MO/PC COMP/E/52952/00139/03/2025</t>
  </si>
  <si>
    <t>KHI/HO/D/MO/PC COMP/E/52952/00141/03/2025</t>
  </si>
  <si>
    <t>KHI/HO/D/MO/PC COMP/E/52952/00143/03/2025</t>
  </si>
  <si>
    <t>KHI/HO/D/MO/PC COMP/E/52952/00145/03/2025</t>
  </si>
  <si>
    <t>KHI/HO/D/MO/PC COMP/E/52952/00151/03/2025</t>
  </si>
  <si>
    <t>KHI/HO/D/MO/PC COMP/E/52952/00153/03/2025</t>
  </si>
  <si>
    <t>KHI/HO/D/MO/PC COMP/E/52952/00154/03/2025</t>
  </si>
  <si>
    <t>KHI/HO/D/MO/PC COMP/E/52952/00165/03/2025</t>
  </si>
  <si>
    <t>KHI/HO/D/MO/PC COMP/E/52952/00166/03/2025</t>
  </si>
  <si>
    <t>KHI/HO/D/MO/PC COMP/E/52952/00173/03/2025</t>
  </si>
  <si>
    <t>KHI/HO/D/MO/PC COMP/E/52952/00177/03/2025</t>
  </si>
  <si>
    <t>KHI/HO/D/MO/PC COMP/E/52952/00182/03/2025</t>
  </si>
  <si>
    <t>KHI/HO/D/MO/PC COMP/E/52952/00183/03/2025</t>
  </si>
  <si>
    <t>KHI/HO/D/MO/PC COMP/E/52952/00186/03/2025</t>
  </si>
  <si>
    <t>KHI/HO/D/MO/PC COMP/E/52952/00187/03/2025</t>
  </si>
  <si>
    <t>KHI/HO/D/MO/PC COMP/E/52952/00188/03/2025</t>
  </si>
  <si>
    <t>KHI/HO/D/MO/PC COMP/E/52952/00193/03/2025</t>
  </si>
  <si>
    <t>KHI/HO/D/MO/PC COMP/E/52952/00194/03/2025</t>
  </si>
  <si>
    <t>KHI/HO/D/MO/PC COMP/E/52952/00199/03/2025</t>
  </si>
  <si>
    <t>KHI/HO/D/MO/PC COMP/E/52952/00201/03/2025</t>
  </si>
  <si>
    <t>KHI/HO/D/MO/PC COMP/E/52952/00210/03/2025</t>
  </si>
  <si>
    <t>KHI/HO/D/MO/PC COMP/E/52952/00211/03/2025</t>
  </si>
  <si>
    <t>KHI/HO/D/MO/PC COMP/E/52952/00212/03/2025</t>
  </si>
  <si>
    <t>KHI/HO/D/MO/PC COMP/E/52952/00213/03/2025</t>
  </si>
  <si>
    <t>KHI/HO/D/MO/PC COMP/E/52952/00214/03/2025</t>
  </si>
  <si>
    <t>KHI/HO/D/MO/PC COMP/E/52952/00215/03/2025</t>
  </si>
  <si>
    <t>KHI/HO/D/MO/PC COMP/E/52952/00216/03/2025</t>
  </si>
  <si>
    <t>KHI/HO/D/MO/PC COMP/E/52952/00218/03/2025</t>
  </si>
  <si>
    <t>KHI/HO/D/MO/PC COMP/E/52952/00219/03/2025</t>
  </si>
  <si>
    <t>KHI/HO/D/MO/PC COMP/E/52952/00221/03/2025</t>
  </si>
  <si>
    <t>KHI/HO/D/MO/PC COMP/E/52952/00222/03/2025</t>
  </si>
  <si>
    <t>KHI/HO/D/MO/PC COMP/E/52952/00228/03/2025</t>
  </si>
  <si>
    <t>KHI/HO/D/MO/PC COMP/E/52952/00231/03/2025</t>
  </si>
  <si>
    <t>KHI/HO/D/MO/PC COMP/E/52952/00237/03/2025</t>
  </si>
  <si>
    <t>KHI/HO/D/MO/PC COMP/E/52952/00239/03/2025</t>
  </si>
  <si>
    <t>KHI/HO/D/MO/PC COMP/E/52952/00242/03/2025</t>
  </si>
  <si>
    <t>KHI/HO/D/MO/PC COMP/E/52952/00243/03/2025</t>
  </si>
  <si>
    <t>KHI/HO/D/MO/PC COMP/E/52952/00254/03/2025</t>
  </si>
  <si>
    <t>KHI/HO/D/MO/PC COMP/E/52952/00241/03/2025</t>
  </si>
  <si>
    <t>KHI/HO/D/MO/PC COMP/E/52952/00234/03/2025</t>
  </si>
  <si>
    <t>KHI/HO/D/MO/PC COMP/E/52952/00232/03/2025</t>
  </si>
  <si>
    <t>KHI/HO/D/MO/PC COMP/E/52952/00230/03/2025</t>
  </si>
  <si>
    <t>KHI/HO/D/MO/PC COMP/E/52952/00227/03/2025</t>
  </si>
  <si>
    <t>KHI/HO/D/MO/PC COMP/E/52952/00226/03/2025</t>
  </si>
  <si>
    <t>KHI/HO/D/MO/PC COMP/E/52952/00224/03/2025</t>
  </si>
  <si>
    <t>KHI/HO/D/MO/PC COMP/E/52952/00220/03/2025</t>
  </si>
  <si>
    <t>KHI/HO/D/MO/PC COMP/E/52952/00180/03/2025</t>
  </si>
  <si>
    <t>KHI/HO/D/MO/PC COMP/E/52952/00175/03/2025</t>
  </si>
  <si>
    <t>KHI/HO/D/MO/PC COMP/E/52952/00172/03/2025</t>
  </si>
  <si>
    <t>KHI/HO/D/MO/PC COMP/E/52952/00171/03/2025</t>
  </si>
  <si>
    <t>KHI/HO/D/MO/PC COMP/E/52952/00169/03/2025</t>
  </si>
  <si>
    <t>KHI/HO/D/MO/PC COMP/E/52952/00162/03/2025</t>
  </si>
  <si>
    <t>KHI/HO/D/MO/PC COMP/E/52952/00159/03/2025</t>
  </si>
  <si>
    <t>KHI/HO/D/MO/PC COMP/E/52952/00004/03/2025</t>
  </si>
  <si>
    <t>KHI/HO/D/MO/PC COMP/E/52952/00157/03/2025</t>
  </si>
  <si>
    <t>KHI/HO/D/MO/PC COMP/E/52952/00155/03/2025</t>
  </si>
  <si>
    <t>KHI/HO/D/MO/PC COMP/E/52952/00150/03/2025</t>
  </si>
  <si>
    <t>KHI/HO/D/MO/PC COMP/E/52952/00149/03/2025</t>
  </si>
  <si>
    <t>KHI/HO/D/MO/PC COMP/E/52952/00148/03/2025</t>
  </si>
  <si>
    <t>KHI/HO/D/MO/PC COMP/E/52952/00147/03/2025</t>
  </si>
  <si>
    <t>KHI/HO/D/MO/PC COMP/E/52952/00146/03/2025</t>
  </si>
  <si>
    <t>KHI/HO/D/MO/PC COMP/E/52952/00142/03/2025</t>
  </si>
  <si>
    <t>KHI/HO/D/MO/PC COMP/E/52952/00140/03/2025</t>
  </si>
  <si>
    <t>KHI/HO/D/MO/PC COMP/E/52952/00137/03/2025</t>
  </si>
  <si>
    <t>KHI/HO/D/MO/PC COMP/E/52952/00135/03/2025</t>
  </si>
  <si>
    <t>KHI/HO/D/MO/PC COMP/E/52952/00013/03/2025</t>
  </si>
  <si>
    <t>KHI/HO/D/MO/PC COMP/E/52952/00014/03/2025</t>
  </si>
  <si>
    <t>KHI/HO/D/MO/PC COMP/E/52952/00015/03/2025</t>
  </si>
  <si>
    <t>KHI/HO/D/MO/PC COMP/E/52952/00016/03/2025</t>
  </si>
  <si>
    <t>KHI/HO/D/MO/PC COMP/E/52952/00122/03/2025</t>
  </si>
  <si>
    <t>KHI/HO/D/MO/PC COMP/E/52952/00117/03/2025</t>
  </si>
  <si>
    <t>KHI/HO/D/MO/PC COMP/E/52952/00113/03/2025</t>
  </si>
  <si>
    <t>KHI/HO/D/MO/PC COMP/E/52952/00108/03/2025</t>
  </si>
  <si>
    <t>KHI/HO/D/MO/PC COMP/E/52952/00105/03/2025</t>
  </si>
  <si>
    <t>KHI/HO/D/MO/PC COMP/E/52952/00097/03/2025</t>
  </si>
  <si>
    <t>KHI/HO/D/MO/PC COMP/E/52952/00029/03/2025</t>
  </si>
  <si>
    <t>KHI/HO/D/MO/PC COMP/E/52952/00095/03/2025</t>
  </si>
  <si>
    <t>KHI/HO/D/MO/PC COMP/E/52952/00060/03/2025</t>
  </si>
  <si>
    <t>KHI/HO/D/MO/PC COMP/E/52952/00059/03/2025</t>
  </si>
  <si>
    <t>KHI/HO/D/MO/PC COMP/E/52952/00058/03/2025</t>
  </si>
  <si>
    <t>KHI/HO/D/MO/PC COMP/E/52952/00040/03/2025</t>
  </si>
  <si>
    <t>KHI/HO/D/MO/PC COMP/E/52952/00057/03/2025</t>
  </si>
  <si>
    <t>KHI/HO/D/MO/PC COMP/E/52952/00055/03/2025</t>
  </si>
  <si>
    <t>KHI/HO/D/MO/PC COMP/E/52952/00043/03/2025</t>
  </si>
  <si>
    <t>KHI/HO/D/MO/PC COMP/E/52952/00045/03/2025</t>
  </si>
  <si>
    <t>KHI/HO/D/MO/PC COMP/P/108413/1/03/2025</t>
  </si>
  <si>
    <t>KHI/HO/D/MO/PC COMP/P/108413/2/03/2025</t>
  </si>
  <si>
    <t>KHI/HO/D/MO/PC COMP/P/108413/3/03/2025</t>
  </si>
  <si>
    <t>KHI/HO/D/MO/PC COMP/P/108413/4/03/2025</t>
  </si>
  <si>
    <t>KHI/HO/D/MO/PC COMP/P/108413/5/03/2025</t>
  </si>
  <si>
    <t>KHI/HO/D/MO/PC COMP/P/108413/6/03/2025</t>
  </si>
  <si>
    <t>KHI/HO/D/MO/PC COMP/P/108413/7/03/2025</t>
  </si>
  <si>
    <t>KHI/HO/D/MO/PC COMP/P/108413/8/03/2025</t>
  </si>
  <si>
    <t>KHI/HO/D/MO/PC COMP/P/108413/9/03/2025</t>
  </si>
  <si>
    <t>KHI/HO/D/MO/PC COMP/P/108413/10/03/2025</t>
  </si>
  <si>
    <t>KHI/HO/D/MO/PC COMP/P/108413/11/03/2025</t>
  </si>
  <si>
    <t xml:space="preserve">KHI/HO/D/MO/PC COMP/P/108422/03/2025 </t>
  </si>
  <si>
    <t>KHI/HO/D/MO/PC COMP/E/52952/00096/03/2025</t>
  </si>
  <si>
    <t>KHI/HO/D/MO/PC COMP/E/59005/00001/03/2025</t>
  </si>
  <si>
    <t>KHI/HO/D/MO/PC COMP/E/59013/00223/03/2025</t>
  </si>
  <si>
    <t>-03-2025</t>
  </si>
  <si>
    <t>-01-2025</t>
  </si>
  <si>
    <t>-02-2025</t>
  </si>
  <si>
    <t>00005</t>
  </si>
  <si>
    <t>00006</t>
  </si>
  <si>
    <t>00020</t>
  </si>
  <si>
    <t>00022</t>
  </si>
  <si>
    <t>00030</t>
  </si>
  <si>
    <t>00214</t>
  </si>
  <si>
    <t>00032</t>
  </si>
  <si>
    <t>00001</t>
  </si>
  <si>
    <t>00007</t>
  </si>
  <si>
    <t>00197</t>
  </si>
  <si>
    <t>00200</t>
  </si>
  <si>
    <t>00268</t>
  </si>
  <si>
    <t>00039</t>
  </si>
  <si>
    <t>00281</t>
  </si>
  <si>
    <t>00003</t>
  </si>
  <si>
    <t>00042</t>
  </si>
  <si>
    <t>00002</t>
  </si>
  <si>
    <t>00004</t>
  </si>
  <si>
    <t>00056</t>
  </si>
  <si>
    <t>00058</t>
  </si>
  <si>
    <t>00049</t>
  </si>
  <si>
    <t>00068</t>
  </si>
  <si>
    <t>00093</t>
  </si>
  <si>
    <t>00096</t>
  </si>
  <si>
    <t>00055</t>
  </si>
  <si>
    <t>00099</t>
  </si>
  <si>
    <t>00102</t>
  </si>
  <si>
    <t>00059</t>
  </si>
  <si>
    <t>00060</t>
  </si>
  <si>
    <t>00116</t>
  </si>
  <si>
    <t>00130</t>
  </si>
  <si>
    <t>00140</t>
  </si>
  <si>
    <t>00141</t>
  </si>
  <si>
    <t>00151</t>
  </si>
  <si>
    <t>00066</t>
  </si>
  <si>
    <t>00156</t>
  </si>
  <si>
    <t>00162</t>
  </si>
  <si>
    <t>00165</t>
  </si>
  <si>
    <t>00071</t>
  </si>
  <si>
    <t>00168</t>
  </si>
  <si>
    <t>00073</t>
  </si>
  <si>
    <t>00187</t>
  </si>
  <si>
    <t>00079</t>
  </si>
  <si>
    <t>00189</t>
  </si>
  <si>
    <t>00198</t>
  </si>
  <si>
    <t>00219</t>
  </si>
  <si>
    <t>00235</t>
  </si>
  <si>
    <t>00242</t>
  </si>
  <si>
    <t>00248</t>
  </si>
  <si>
    <t>00251</t>
  </si>
  <si>
    <t>00252</t>
  </si>
  <si>
    <t>00285</t>
  </si>
  <si>
    <t>00293</t>
  </si>
  <si>
    <t>00269</t>
  </si>
  <si>
    <t>00191</t>
  </si>
  <si>
    <t>00090</t>
  </si>
  <si>
    <t>00175</t>
  </si>
  <si>
    <t>00069</t>
  </si>
  <si>
    <t>00037</t>
  </si>
  <si>
    <t>00008</t>
  </si>
  <si>
    <t>00009</t>
  </si>
  <si>
    <t>00010</t>
  </si>
  <si>
    <t>00012</t>
  </si>
  <si>
    <t>00017</t>
  </si>
  <si>
    <t>00105</t>
  </si>
  <si>
    <t>00018</t>
  </si>
  <si>
    <t>00108</t>
  </si>
  <si>
    <t>00109</t>
  </si>
  <si>
    <t>00019</t>
  </si>
  <si>
    <t>00111</t>
  </si>
  <si>
    <t>00112</t>
  </si>
  <si>
    <t>00113</t>
  </si>
  <si>
    <t>00021</t>
  </si>
  <si>
    <t>00117</t>
  </si>
  <si>
    <t>00118</t>
  </si>
  <si>
    <t>00024</t>
  </si>
  <si>
    <t>00025</t>
  </si>
  <si>
    <t>00026</t>
  </si>
  <si>
    <t>00027</t>
  </si>
  <si>
    <t>00028</t>
  </si>
  <si>
    <t>00031</t>
  </si>
  <si>
    <t>00033</t>
  </si>
  <si>
    <t>00034</t>
  </si>
  <si>
    <t>00035</t>
  </si>
  <si>
    <t>00036</t>
  </si>
  <si>
    <t>00132</t>
  </si>
  <si>
    <t>00133</t>
  </si>
  <si>
    <t>00134</t>
  </si>
  <si>
    <t>00038</t>
  </si>
  <si>
    <t>00041</t>
  </si>
  <si>
    <t>00044</t>
  </si>
  <si>
    <t>00046</t>
  </si>
  <si>
    <t>00047</t>
  </si>
  <si>
    <t>00143</t>
  </si>
  <si>
    <t>00144</t>
  </si>
  <si>
    <t>00050</t>
  </si>
  <si>
    <t>00146</t>
  </si>
  <si>
    <t>00147</t>
  </si>
  <si>
    <t>00148</t>
  </si>
  <si>
    <t>00150</t>
  </si>
  <si>
    <t>00051</t>
  </si>
  <si>
    <t>00052</t>
  </si>
  <si>
    <t>00153</t>
  </si>
  <si>
    <t>00053</t>
  </si>
  <si>
    <t>00054</t>
  </si>
  <si>
    <t>00061</t>
  </si>
  <si>
    <t>00160</t>
  </si>
  <si>
    <t>00063</t>
  </si>
  <si>
    <t>00161</t>
  </si>
  <si>
    <t>00064</t>
  </si>
  <si>
    <t>00163</t>
  </si>
  <si>
    <t>00065</t>
  </si>
  <si>
    <t>00067</t>
  </si>
  <si>
    <t>00169</t>
  </si>
  <si>
    <t>00070</t>
  </si>
  <si>
    <t>00173</t>
  </si>
  <si>
    <t>00174</t>
  </si>
  <si>
    <t>00074</t>
  </si>
  <si>
    <t>00178</t>
  </si>
  <si>
    <t>00180</t>
  </si>
  <si>
    <t>00075</t>
  </si>
  <si>
    <t>00181</t>
  </si>
  <si>
    <t>00182</t>
  </si>
  <si>
    <t>00076</t>
  </si>
  <si>
    <t>00077</t>
  </si>
  <si>
    <t>00078</t>
  </si>
  <si>
    <t>00080</t>
  </si>
  <si>
    <t>00081</t>
  </si>
  <si>
    <t>00082</t>
  </si>
  <si>
    <t>00192</t>
  </si>
  <si>
    <t>00193</t>
  </si>
  <si>
    <t>00083</t>
  </si>
  <si>
    <t>00084</t>
  </si>
  <si>
    <t>00085</t>
  </si>
  <si>
    <t>00201</t>
  </si>
  <si>
    <t>00087</t>
  </si>
  <si>
    <t>00088</t>
  </si>
  <si>
    <t>00091</t>
  </si>
  <si>
    <t>00094</t>
  </si>
  <si>
    <t>00205</t>
  </si>
  <si>
    <t>00100</t>
  </si>
  <si>
    <t>00101</t>
  </si>
  <si>
    <t>00209</t>
  </si>
  <si>
    <t>00103</t>
  </si>
  <si>
    <t>00104</t>
  </si>
  <si>
    <t>00213</t>
  </si>
  <si>
    <t>00106</t>
  </si>
  <si>
    <t>00107</t>
  </si>
  <si>
    <t>00217</t>
  </si>
  <si>
    <t>00114</t>
  </si>
  <si>
    <t>00220</t>
  </si>
  <si>
    <t>00221</t>
  </si>
  <si>
    <t>00223</t>
  </si>
  <si>
    <t>00227</t>
  </si>
  <si>
    <t>00228</t>
  </si>
  <si>
    <t>00119</t>
  </si>
  <si>
    <t>00120</t>
  </si>
  <si>
    <t>00123</t>
  </si>
  <si>
    <t>00124</t>
  </si>
  <si>
    <t>00125</t>
  </si>
  <si>
    <t>00127</t>
  </si>
  <si>
    <t>00128</t>
  </si>
  <si>
    <t>00129</t>
  </si>
  <si>
    <t>00131</t>
  </si>
  <si>
    <t>00136</t>
  </si>
  <si>
    <t>00246</t>
  </si>
  <si>
    <t>00139</t>
  </si>
  <si>
    <t>00250</t>
  </si>
  <si>
    <t>00145</t>
  </si>
  <si>
    <t>00152</t>
  </si>
  <si>
    <t>00154</t>
  </si>
  <si>
    <t>00158</t>
  </si>
  <si>
    <t>00164</t>
  </si>
  <si>
    <t>00166</t>
  </si>
  <si>
    <t>00011</t>
  </si>
  <si>
    <t>00254</t>
  </si>
  <si>
    <t>00176</t>
  </si>
  <si>
    <t>00177</t>
  </si>
  <si>
    <t>00253</t>
  </si>
  <si>
    <t>00179</t>
  </si>
  <si>
    <t>00183</t>
  </si>
  <si>
    <t>00184</t>
  </si>
  <si>
    <t>00185</t>
  </si>
  <si>
    <t>00186</t>
  </si>
  <si>
    <t>00188</t>
  </si>
  <si>
    <t>00190</t>
  </si>
  <si>
    <t>00249</t>
  </si>
  <si>
    <t>00247</t>
  </si>
  <si>
    <t>00245</t>
  </si>
  <si>
    <t>00194</t>
  </si>
  <si>
    <t>00196</t>
  </si>
  <si>
    <t>00244</t>
  </si>
  <si>
    <t>00199</t>
  </si>
  <si>
    <t>00243</t>
  </si>
  <si>
    <t>00202</t>
  </si>
  <si>
    <t>00203</t>
  </si>
  <si>
    <t>00204</t>
  </si>
  <si>
    <t>00206</t>
  </si>
  <si>
    <t>00207</t>
  </si>
  <si>
    <t>00241</t>
  </si>
  <si>
    <t>00208</t>
  </si>
  <si>
    <t>00240</t>
  </si>
  <si>
    <t>00238</t>
  </si>
  <si>
    <t>00237</t>
  </si>
  <si>
    <t>00210</t>
  </si>
  <si>
    <t>00236</t>
  </si>
  <si>
    <t>00211</t>
  </si>
  <si>
    <t>00212</t>
  </si>
  <si>
    <t>00215</t>
  </si>
  <si>
    <t>00216</t>
  </si>
  <si>
    <t>00234</t>
  </si>
  <si>
    <t>00218</t>
  </si>
  <si>
    <t>00233</t>
  </si>
  <si>
    <t>00222</t>
  </si>
  <si>
    <t>00232</t>
  </si>
  <si>
    <t>00231</t>
  </si>
  <si>
    <t>00230</t>
  </si>
  <si>
    <t>00239</t>
  </si>
  <si>
    <t>00224</t>
  </si>
  <si>
    <t>00255</t>
  </si>
  <si>
    <t>00256</t>
  </si>
  <si>
    <t>00257</t>
  </si>
  <si>
    <t>00258</t>
  </si>
  <si>
    <t>00229</t>
  </si>
  <si>
    <t>00226</t>
  </si>
  <si>
    <t>00225</t>
  </si>
  <si>
    <t>00172</t>
  </si>
  <si>
    <t>00171</t>
  </si>
  <si>
    <t>00170</t>
  </si>
  <si>
    <t>00167</t>
  </si>
  <si>
    <t>00159</t>
  </si>
  <si>
    <t>00157</t>
  </si>
  <si>
    <t>00155</t>
  </si>
  <si>
    <t>00149</t>
  </si>
  <si>
    <t>00142</t>
  </si>
  <si>
    <t>00138</t>
  </si>
  <si>
    <t>00137</t>
  </si>
  <si>
    <t>00135</t>
  </si>
  <si>
    <t>00013</t>
  </si>
  <si>
    <t>00014</t>
  </si>
  <si>
    <t>00015</t>
  </si>
  <si>
    <t>00016</t>
  </si>
  <si>
    <t>00126</t>
  </si>
  <si>
    <t>00122</t>
  </si>
  <si>
    <t>00121</t>
  </si>
  <si>
    <t>00115</t>
  </si>
  <si>
    <t>00023</t>
  </si>
  <si>
    <t>00110</t>
  </si>
  <si>
    <t>00098</t>
  </si>
  <si>
    <t>00097</t>
  </si>
  <si>
    <t>00029</t>
  </si>
  <si>
    <t>00095</t>
  </si>
  <si>
    <t>00092</t>
  </si>
  <si>
    <t>00089</t>
  </si>
  <si>
    <t>00086</t>
  </si>
  <si>
    <t>00072</t>
  </si>
  <si>
    <t>00062</t>
  </si>
  <si>
    <t>00040</t>
  </si>
  <si>
    <t>00057</t>
  </si>
  <si>
    <t>00048</t>
  </si>
  <si>
    <t>00043</t>
  </si>
  <si>
    <t>00045</t>
  </si>
  <si>
    <t>POLICY NO.</t>
  </si>
  <si>
    <t>Assorted_code</t>
  </si>
  <si>
    <t xml:space="preserve">   </t>
  </si>
  <si>
    <t>FUNC_ASSORTED_STRING(IA.ASSORTED_CODE)</t>
  </si>
  <si>
    <t>ASSORTED_CODE</t>
  </si>
  <si>
    <t>070000178695</t>
  </si>
  <si>
    <t>070000178696</t>
  </si>
  <si>
    <t>070000178712</t>
  </si>
  <si>
    <t>070000178720</t>
  </si>
  <si>
    <t>070000178722</t>
  </si>
  <si>
    <t>070000178729</t>
  </si>
  <si>
    <t>070000178732</t>
  </si>
  <si>
    <t>070000178739</t>
  </si>
  <si>
    <t>070000178745</t>
  </si>
  <si>
    <t>070000178749</t>
  </si>
  <si>
    <t>070000178750</t>
  </si>
  <si>
    <t>070000178756</t>
  </si>
  <si>
    <t>070000178758</t>
  </si>
  <si>
    <t>070000178763</t>
  </si>
  <si>
    <t>070000178769</t>
  </si>
  <si>
    <t>070000178780</t>
  </si>
  <si>
    <t>070000176752</t>
  </si>
  <si>
    <t>070000178798</t>
  </si>
  <si>
    <t>070000178799</t>
  </si>
  <si>
    <t>070000178710</t>
  </si>
  <si>
    <t>070000178761</t>
  </si>
  <si>
    <t>070000178795</t>
  </si>
  <si>
    <t>070000177406</t>
  </si>
  <si>
    <t>070000177409</t>
  </si>
  <si>
    <t>070000177413</t>
  </si>
  <si>
    <t>070000177426</t>
  </si>
  <si>
    <t>070000177434</t>
  </si>
  <si>
    <t>070000177437</t>
  </si>
  <si>
    <t>070000177441</t>
  </si>
  <si>
    <t>070000177454</t>
  </si>
  <si>
    <t>070000177490</t>
  </si>
  <si>
    <t>070000177493</t>
  </si>
  <si>
    <t>070000177497</t>
  </si>
  <si>
    <t>070000177500</t>
  </si>
  <si>
    <t>070000177503</t>
  </si>
  <si>
    <t>070000177507</t>
  </si>
  <si>
    <t>070000177510</t>
  </si>
  <si>
    <t>070000177519</t>
  </si>
  <si>
    <t>070000177522</t>
  </si>
  <si>
    <t>070000177525</t>
  </si>
  <si>
    <t>070000177529</t>
  </si>
  <si>
    <t>070000177533</t>
  </si>
  <si>
    <t>070000177536</t>
  </si>
  <si>
    <t>070000177566</t>
  </si>
  <si>
    <t>070000177574</t>
  </si>
  <si>
    <t>070000177577</t>
  </si>
  <si>
    <t>070000177581</t>
  </si>
  <si>
    <t>070000177584</t>
  </si>
  <si>
    <t>070000177587</t>
  </si>
  <si>
    <t>070000177591</t>
  </si>
  <si>
    <t>070000177369</t>
  </si>
  <si>
    <t>070000177370</t>
  </si>
  <si>
    <t>070000177371</t>
  </si>
  <si>
    <t>070000177372</t>
  </si>
  <si>
    <t>070000177373</t>
  </si>
  <si>
    <t>070000177374</t>
  </si>
  <si>
    <t>070000177375</t>
  </si>
  <si>
    <t>070000177376</t>
  </si>
  <si>
    <t>070000177377</t>
  </si>
  <si>
    <t>070000177379</t>
  </si>
  <si>
    <t>070000177380</t>
  </si>
  <si>
    <t>070000177382</t>
  </si>
  <si>
    <t>070000177383</t>
  </si>
  <si>
    <t>070000177384</t>
  </si>
  <si>
    <t>070000177546</t>
  </si>
  <si>
    <t>070000177549</t>
  </si>
  <si>
    <t>070000177553</t>
  </si>
  <si>
    <t>070000177556</t>
  </si>
  <si>
    <t>070000177559</t>
  </si>
  <si>
    <t>070000177563</t>
  </si>
  <si>
    <t>070000177385</t>
  </si>
  <si>
    <t>070000177386</t>
  </si>
  <si>
    <t>070000177387</t>
  </si>
  <si>
    <t>070000177388</t>
  </si>
  <si>
    <t>070000177389</t>
  </si>
  <si>
    <t>070000177390</t>
  </si>
  <si>
    <t>070000177391</t>
  </si>
  <si>
    <t>070000177392</t>
  </si>
  <si>
    <t>070000177394</t>
  </si>
  <si>
    <t>070000177395</t>
  </si>
  <si>
    <t>070000177397</t>
  </si>
  <si>
    <t>070000177472</t>
  </si>
  <si>
    <t>070000177475</t>
  </si>
  <si>
    <t>070000177479</t>
  </si>
  <si>
    <t>070000177482</t>
  </si>
  <si>
    <t>070000177594</t>
  </si>
  <si>
    <t>070000177602</t>
  </si>
  <si>
    <t>070000177605</t>
  </si>
  <si>
    <t>070000177609</t>
  </si>
  <si>
    <t>070000177612</t>
  </si>
  <si>
    <t>070000177615</t>
  </si>
  <si>
    <t>070000177619</t>
  </si>
  <si>
    <t>070000177399</t>
  </si>
  <si>
    <t>070000177400</t>
  </si>
  <si>
    <t>070000177401</t>
  </si>
  <si>
    <t>070000177402</t>
  </si>
  <si>
    <t>070000177403</t>
  </si>
  <si>
    <t>070000177404</t>
  </si>
  <si>
    <t>070000177405</t>
  </si>
  <si>
    <t>070000177407</t>
  </si>
  <si>
    <t>070000177408</t>
  </si>
  <si>
    <t>070000177410</t>
  </si>
  <si>
    <t>070000177411</t>
  </si>
  <si>
    <t>070000177412</t>
  </si>
  <si>
    <t>070000177414</t>
  </si>
  <si>
    <t>070000177415</t>
  </si>
  <si>
    <t>070000177417</t>
  </si>
  <si>
    <t>070000177418</t>
  </si>
  <si>
    <t>070000177420</t>
  </si>
  <si>
    <t>070000177421</t>
  </si>
  <si>
    <t>070000177422</t>
  </si>
  <si>
    <t>070000177424</t>
  </si>
  <si>
    <t>070000177425</t>
  </si>
  <si>
    <t>070000177622</t>
  </si>
  <si>
    <t>070000177427</t>
  </si>
  <si>
    <t>070000177428</t>
  </si>
  <si>
    <t>070000177429</t>
  </si>
  <si>
    <t>070000177430</t>
  </si>
  <si>
    <t>070000177431</t>
  </si>
  <si>
    <t>070000177432</t>
  </si>
  <si>
    <t>070000177433</t>
  </si>
  <si>
    <t>070000177435</t>
  </si>
  <si>
    <t>070000177436</t>
  </si>
  <si>
    <t>070000177438</t>
  </si>
  <si>
    <t>070000177439</t>
  </si>
  <si>
    <t>070000177440</t>
  </si>
  <si>
    <t>070000177442</t>
  </si>
  <si>
    <t>070000177443</t>
  </si>
  <si>
    <t>070000177445</t>
  </si>
  <si>
    <t>070000177446</t>
  </si>
  <si>
    <t>070000177448</t>
  </si>
  <si>
    <t>070000177449</t>
  </si>
  <si>
    <t>070000177450</t>
  </si>
  <si>
    <t>070000177452</t>
  </si>
  <si>
    <t>070000177453</t>
  </si>
  <si>
    <t>070000177455</t>
  </si>
  <si>
    <t>070000177456</t>
  </si>
  <si>
    <t>070000177457</t>
  </si>
  <si>
    <t>070000177458</t>
  </si>
  <si>
    <t>070000177459</t>
  </si>
  <si>
    <t>070000177460</t>
  </si>
  <si>
    <t>070000177461</t>
  </si>
  <si>
    <t>070000177463</t>
  </si>
  <si>
    <t>070000177464</t>
  </si>
  <si>
    <t>070000177466</t>
  </si>
  <si>
    <t>070000177467</t>
  </si>
  <si>
    <t>070000177468</t>
  </si>
  <si>
    <t>070000177470</t>
  </si>
  <si>
    <t>070000177471</t>
  </si>
  <si>
    <t>070000177473</t>
  </si>
  <si>
    <t>070000177474</t>
  </si>
  <si>
    <t>070000177476</t>
  </si>
  <si>
    <t>070000177477</t>
  </si>
  <si>
    <t>070000177478</t>
  </si>
  <si>
    <t>070000177480</t>
  </si>
  <si>
    <t>070000177481</t>
  </si>
  <si>
    <t>070000177378</t>
  </si>
  <si>
    <t>070000177381</t>
  </si>
  <si>
    <t>070000177483</t>
  </si>
  <si>
    <t>070000177484</t>
  </si>
  <si>
    <t>070000177485</t>
  </si>
  <si>
    <t>070000177486</t>
  </si>
  <si>
    <t>070000177487</t>
  </si>
  <si>
    <t>070000177488</t>
  </si>
  <si>
    <t>070000177489</t>
  </si>
  <si>
    <t>070000177491</t>
  </si>
  <si>
    <t>070000177492</t>
  </si>
  <si>
    <t>070000177494</t>
  </si>
  <si>
    <t>070000177495</t>
  </si>
  <si>
    <t>070000177496</t>
  </si>
  <si>
    <t>070000177498</t>
  </si>
  <si>
    <t>070000177499</t>
  </si>
  <si>
    <t>070000177501</t>
  </si>
  <si>
    <t>070000177502</t>
  </si>
  <si>
    <t>070000177504</t>
  </si>
  <si>
    <t>070000177505</t>
  </si>
  <si>
    <t>070000177506</t>
  </si>
  <si>
    <t>070000177508</t>
  </si>
  <si>
    <t>070000177509</t>
  </si>
  <si>
    <t>070000177511</t>
  </si>
  <si>
    <t>070000177512</t>
  </si>
  <si>
    <t>070000177513</t>
  </si>
  <si>
    <t>070000177514</t>
  </si>
  <si>
    <t>070000177515</t>
  </si>
  <si>
    <t>070000177516</t>
  </si>
  <si>
    <t>070000177517</t>
  </si>
  <si>
    <t>070000177518</t>
  </si>
  <si>
    <t>070000177520</t>
  </si>
  <si>
    <t>070000177521</t>
  </si>
  <si>
    <t>070000177523</t>
  </si>
  <si>
    <t>070000177524</t>
  </si>
  <si>
    <t>070000177526</t>
  </si>
  <si>
    <t>070000177527</t>
  </si>
  <si>
    <t>070000177528</t>
  </si>
  <si>
    <t>070000177530</t>
  </si>
  <si>
    <t>070000177532</t>
  </si>
  <si>
    <t>070000177534</t>
  </si>
  <si>
    <t>070000177535</t>
  </si>
  <si>
    <t>070000177537</t>
  </si>
  <si>
    <t>070000177538</t>
  </si>
  <si>
    <t>070000177393</t>
  </si>
  <si>
    <t>070000177396</t>
  </si>
  <si>
    <t>070000177416</t>
  </si>
  <si>
    <t>070000177419</t>
  </si>
  <si>
    <t>070000177423</t>
  </si>
  <si>
    <t>070000177444</t>
  </si>
  <si>
    <t>070000177447</t>
  </si>
  <si>
    <t>070000177451</t>
  </si>
  <si>
    <t>070000177462</t>
  </si>
  <si>
    <t>070000177465</t>
  </si>
  <si>
    <t>070000177469</t>
  </si>
  <si>
    <t>070000177539</t>
  </si>
  <si>
    <t>070000177540</t>
  </si>
  <si>
    <t>070000177541</t>
  </si>
  <si>
    <t>070000177542</t>
  </si>
  <si>
    <t>070000177543</t>
  </si>
  <si>
    <t>070000177544</t>
  </si>
  <si>
    <t>070000177545</t>
  </si>
  <si>
    <t>070000177547</t>
  </si>
  <si>
    <t>070000177548</t>
  </si>
  <si>
    <t>070000177550</t>
  </si>
  <si>
    <t>070000177551</t>
  </si>
  <si>
    <t>070000177552</t>
  </si>
  <si>
    <t>070000177554</t>
  </si>
  <si>
    <t>070000177555</t>
  </si>
  <si>
    <t>070000177557</t>
  </si>
  <si>
    <t>070000177558</t>
  </si>
  <si>
    <t>070000177560</t>
  </si>
  <si>
    <t>070000177561</t>
  </si>
  <si>
    <t>070000177562</t>
  </si>
  <si>
    <t>070000177564</t>
  </si>
  <si>
    <t>070000177567</t>
  </si>
  <si>
    <t>070000177568</t>
  </si>
  <si>
    <t>070000177569</t>
  </si>
  <si>
    <t>070000177570</t>
  </si>
  <si>
    <t>070000177571</t>
  </si>
  <si>
    <t>070000177572</t>
  </si>
  <si>
    <t>070000177573</t>
  </si>
  <si>
    <t>070000177575</t>
  </si>
  <si>
    <t>070000177576</t>
  </si>
  <si>
    <t>070000177578</t>
  </si>
  <si>
    <t>070000177579</t>
  </si>
  <si>
    <t>070000177580</t>
  </si>
  <si>
    <t>070000177582</t>
  </si>
  <si>
    <t>070000177583</t>
  </si>
  <si>
    <t>070000177585</t>
  </si>
  <si>
    <t>070000177586</t>
  </si>
  <si>
    <t>070000177588</t>
  </si>
  <si>
    <t>070000177589</t>
  </si>
  <si>
    <t>070000177590</t>
  </si>
  <si>
    <t>070000177592</t>
  </si>
  <si>
    <t>070000177593</t>
  </si>
  <si>
    <t>070000177595</t>
  </si>
  <si>
    <t>070000177596</t>
  </si>
  <si>
    <t>070000177597</t>
  </si>
  <si>
    <t>070000177598</t>
  </si>
  <si>
    <t>070000177599</t>
  </si>
  <si>
    <t>070000177600</t>
  </si>
  <si>
    <t>070000177601</t>
  </si>
  <si>
    <t>070000177603</t>
  </si>
  <si>
    <t>070000177604</t>
  </si>
  <si>
    <t>070000177606</t>
  </si>
  <si>
    <t>070000177607</t>
  </si>
  <si>
    <t>070000177608</t>
  </si>
  <si>
    <t>070000177610</t>
  </si>
  <si>
    <t>070000177611</t>
  </si>
  <si>
    <t>070000177613</t>
  </si>
  <si>
    <t>070000177614</t>
  </si>
  <si>
    <t>070000177616</t>
  </si>
  <si>
    <t>070000177617</t>
  </si>
  <si>
    <t>070000177618</t>
  </si>
  <si>
    <t>070000177620</t>
  </si>
  <si>
    <t>070000177621</t>
  </si>
  <si>
    <t>070000177623</t>
  </si>
  <si>
    <t>070000177624</t>
  </si>
  <si>
    <t>070000177625</t>
  </si>
  <si>
    <t>070000177626</t>
  </si>
  <si>
    <t>070000177627</t>
  </si>
  <si>
    <t>070000177628</t>
  </si>
  <si>
    <t>070000177223</t>
  </si>
  <si>
    <t>070000174562</t>
  </si>
  <si>
    <t>070000174564</t>
  </si>
  <si>
    <t>070000174725</t>
  </si>
  <si>
    <t>070000174741</t>
  </si>
  <si>
    <t>070000174748</t>
  </si>
  <si>
    <t>070000174706</t>
  </si>
  <si>
    <t>070000174720</t>
  </si>
  <si>
    <t>070000174574</t>
  </si>
  <si>
    <t>070000174575</t>
  </si>
  <si>
    <t>070000174754</t>
  </si>
  <si>
    <t>070000174757</t>
  </si>
  <si>
    <t>070000174758</t>
  </si>
  <si>
    <t>070000174774</t>
  </si>
  <si>
    <t>070000174599</t>
  </si>
  <si>
    <t>070000174602</t>
  </si>
  <si>
    <t>070000174608</t>
  </si>
  <si>
    <t>070000174622</t>
  </si>
  <si>
    <t>070000174775</t>
  </si>
  <si>
    <t>070000174787</t>
  </si>
  <si>
    <t>070000174791</t>
  </si>
  <si>
    <t>070000174799</t>
  </si>
  <si>
    <t>070000174636</t>
  </si>
  <si>
    <t>070000174646</t>
  </si>
  <si>
    <t>070000174647</t>
  </si>
  <si>
    <t>070000174657</t>
  </si>
  <si>
    <t>070000174668</t>
  </si>
  <si>
    <t>070000174671</t>
  </si>
  <si>
    <t>070000174662</t>
  </si>
  <si>
    <t>070000174674</t>
  </si>
  <si>
    <t>070000174681</t>
  </si>
  <si>
    <t>070000174693</t>
  </si>
  <si>
    <t>070000174695</t>
  </si>
  <si>
    <t>070000174697</t>
  </si>
  <si>
    <t>070000174703</t>
  </si>
  <si>
    <t>070000174704</t>
  </si>
  <si>
    <t>070000174543</t>
  </si>
  <si>
    <t>070000174605</t>
  </si>
  <si>
    <t>070000174509</t>
  </si>
  <si>
    <t>070000174511</t>
  </si>
  <si>
    <t>070000174512</t>
  </si>
  <si>
    <t>070000174513</t>
  </si>
  <si>
    <t>KHI/HO/D/MO/PC COMP/C/108413/1/03/2025</t>
  </si>
  <si>
    <t>070000179328</t>
  </si>
  <si>
    <t>KHI/HO/D/MO/PC COMP/C/108413/2/03/2025</t>
  </si>
  <si>
    <t>070000179332</t>
  </si>
  <si>
    <t>KHI/HO/D/MO/PC COMP/C/108413/3/03/2025</t>
  </si>
  <si>
    <t>070000179337</t>
  </si>
  <si>
    <t>070000178939</t>
  </si>
  <si>
    <t>070000178815</t>
  </si>
  <si>
    <t>070000178831</t>
  </si>
  <si>
    <t>070000178879</t>
  </si>
  <si>
    <t>070000178902</t>
  </si>
  <si>
    <t>070000178909</t>
  </si>
  <si>
    <t>070000178886</t>
  </si>
  <si>
    <t>070000178889</t>
  </si>
  <si>
    <t>070000178893</t>
  </si>
  <si>
    <t>070000178919</t>
  </si>
  <si>
    <t>070000178929</t>
  </si>
  <si>
    <t>070000178932</t>
  </si>
  <si>
    <t>070000178935</t>
  </si>
  <si>
    <t>070000178942</t>
  </si>
  <si>
    <t>070000178946</t>
  </si>
  <si>
    <t>070000178808</t>
  </si>
  <si>
    <t>070000178809</t>
  </si>
  <si>
    <t>070000178810</t>
  </si>
  <si>
    <t>070000178813</t>
  </si>
  <si>
    <t>070000178814</t>
  </si>
  <si>
    <t>070000178829</t>
  </si>
  <si>
    <t>070000178830</t>
  </si>
  <si>
    <t>070000178840</t>
  </si>
  <si>
    <t>070000178841</t>
  </si>
  <si>
    <t>070000178843</t>
  </si>
  <si>
    <t>070000178920</t>
  </si>
  <si>
    <t>070000178844</t>
  </si>
  <si>
    <t>070000178845</t>
  </si>
  <si>
    <t>070000178847</t>
  </si>
  <si>
    <t>070000178848</t>
  </si>
  <si>
    <t>070000178850</t>
  </si>
  <si>
    <t>070000178857</t>
  </si>
  <si>
    <t>070000178858</t>
  </si>
  <si>
    <t>070000178860</t>
  </si>
  <si>
    <t>070000178866</t>
  </si>
  <si>
    <t>070000178921</t>
  </si>
  <si>
    <t>070000178924</t>
  </si>
  <si>
    <t>070000178925</t>
  </si>
  <si>
    <t>070000178927</t>
  </si>
  <si>
    <t>070000178928</t>
  </si>
  <si>
    <t>070000178930</t>
  </si>
  <si>
    <t>070000178931</t>
  </si>
  <si>
    <t>070000178933</t>
  </si>
  <si>
    <t>070000178934</t>
  </si>
  <si>
    <t>070000178937</t>
  </si>
  <si>
    <t>070000178938</t>
  </si>
  <si>
    <t>070000178940</t>
  </si>
  <si>
    <t>070000178941</t>
  </si>
  <si>
    <t>070000178943</t>
  </si>
  <si>
    <t>070000178944</t>
  </si>
  <si>
    <t>070000178945</t>
  </si>
  <si>
    <t>070000178947</t>
  </si>
  <si>
    <t>070000178870</t>
  </si>
  <si>
    <t>070000178871</t>
  </si>
  <si>
    <t>070000178872</t>
  </si>
  <si>
    <t>070000178874</t>
  </si>
  <si>
    <t>070000178875</t>
  </si>
  <si>
    <t>070000178877</t>
  </si>
  <si>
    <t>070000178878</t>
  </si>
  <si>
    <t>070000178883</t>
  </si>
  <si>
    <t>070000178884</t>
  </si>
  <si>
    <t>070000178885</t>
  </si>
  <si>
    <t>070000178887</t>
  </si>
  <si>
    <t>070000178888</t>
  </si>
  <si>
    <t>070000178890</t>
  </si>
  <si>
    <t>070000178894</t>
  </si>
  <si>
    <t>070000178948</t>
  </si>
  <si>
    <t>070000178949</t>
  </si>
  <si>
    <t>070000178950</t>
  </si>
  <si>
    <t>070000178951</t>
  </si>
  <si>
    <t>070000178895</t>
  </si>
  <si>
    <t>070000178896</t>
  </si>
  <si>
    <t>070000178897</t>
  </si>
  <si>
    <t>070000178898</t>
  </si>
  <si>
    <t>070000178899</t>
  </si>
  <si>
    <t>070000178900</t>
  </si>
  <si>
    <t>070000178904</t>
  </si>
  <si>
    <t>070000178906</t>
  </si>
  <si>
    <t>070000178910</t>
  </si>
  <si>
    <t>070000178914</t>
  </si>
  <si>
    <t>070000178916</t>
  </si>
  <si>
    <t>070000178917</t>
  </si>
  <si>
    <t>070000178918</t>
  </si>
  <si>
    <t>KHI/HO/D/MO/PC COMP/C/108413/4/03/2025</t>
  </si>
  <si>
    <t>070000179339</t>
  </si>
  <si>
    <t>KHI/HO/D/MO/PC COMP/C/108413/5/03/2025</t>
  </si>
  <si>
    <t>070000179347</t>
  </si>
  <si>
    <t>KHI/HO/D/MO/PC COMP/C/108413/6/03/2025</t>
  </si>
  <si>
    <t>070000179349</t>
  </si>
  <si>
    <t>KHI/HO/D/MO/PC COMP/C/108413/7/03/2025</t>
  </si>
  <si>
    <t>070000179352</t>
  </si>
  <si>
    <t>KHI/HO/D/MO/PC COMP/C/108413/8/03/2025</t>
  </si>
  <si>
    <t>070000179353</t>
  </si>
  <si>
    <t>KHI/HO/D/MO/PC COMP/C/108413/9/03/2025</t>
  </si>
  <si>
    <t>070000179355</t>
  </si>
  <si>
    <t>KHI/HO/D/MO/PC COMP/C/108413/10/03/2025</t>
  </si>
  <si>
    <t>070000179363</t>
  </si>
  <si>
    <t>KHI/HO/D/MO/PC COMP/C/108413/11/03/2025</t>
  </si>
  <si>
    <t>070000179364</t>
  </si>
  <si>
    <t>KHI/HO/D/MO/PC COMP/P/108422/03/2025</t>
  </si>
  <si>
    <t>040000197473</t>
  </si>
  <si>
    <t>27Mar250028</t>
  </si>
  <si>
    <t xml:space="preserve"> </t>
  </si>
  <si>
    <t>050000861885</t>
  </si>
  <si>
    <t>050000861894</t>
  </si>
  <si>
    <t>050000861895</t>
  </si>
  <si>
    <t>050000861896</t>
  </si>
  <si>
    <t>050000861897</t>
  </si>
  <si>
    <t>050000861898</t>
  </si>
  <si>
    <t>050000861899</t>
  </si>
  <si>
    <t>050000861902</t>
  </si>
  <si>
    <t>050000861903</t>
  </si>
  <si>
    <t>050000861904</t>
  </si>
  <si>
    <t>050000861905</t>
  </si>
  <si>
    <t>050000861906</t>
  </si>
  <si>
    <t>050000861908</t>
  </si>
  <si>
    <t>050000861910</t>
  </si>
  <si>
    <t>050000861912</t>
  </si>
  <si>
    <t>050000861914</t>
  </si>
  <si>
    <t>050000861915</t>
  </si>
  <si>
    <t>050000861918</t>
  </si>
  <si>
    <t>050000861921</t>
  </si>
  <si>
    <t>050000861925</t>
  </si>
  <si>
    <t>050000861926</t>
  </si>
  <si>
    <t>050000861719</t>
  </si>
  <si>
    <t>050000861723</t>
  </si>
  <si>
    <t>050000861726</t>
  </si>
  <si>
    <t>050000861739</t>
  </si>
  <si>
    <t>050000861743</t>
  </si>
  <si>
    <t>050000861792</t>
  </si>
  <si>
    <t>050000861812</t>
  </si>
  <si>
    <t>050000861818</t>
  </si>
  <si>
    <t>050000861823</t>
  </si>
  <si>
    <t>050000861833</t>
  </si>
  <si>
    <t>050000861838</t>
  </si>
  <si>
    <t>050000861843</t>
  </si>
  <si>
    <t>050000861877</t>
  </si>
  <si>
    <t>050000861900</t>
  </si>
  <si>
    <t>050000861911</t>
  </si>
  <si>
    <t>050000861916</t>
  </si>
  <si>
    <t>050000861923</t>
  </si>
  <si>
    <t>050000861685</t>
  </si>
  <si>
    <t>050000861688</t>
  </si>
  <si>
    <t>050000861693</t>
  </si>
  <si>
    <t>050000861697</t>
  </si>
  <si>
    <t>050000861698</t>
  </si>
  <si>
    <t>050000861699</t>
  </si>
  <si>
    <t>050000861700</t>
  </si>
  <si>
    <t>050000861708</t>
  </si>
  <si>
    <t>050000861710</t>
  </si>
  <si>
    <t>050000861713</t>
  </si>
  <si>
    <t>050000861714</t>
  </si>
  <si>
    <t>050000861715</t>
  </si>
  <si>
    <t>050000861716</t>
  </si>
  <si>
    <t>050000861717</t>
  </si>
  <si>
    <t>050000861718</t>
  </si>
  <si>
    <t>050000861720</t>
  </si>
  <si>
    <t>050000861721</t>
  </si>
  <si>
    <t>050000861722</t>
  </si>
  <si>
    <t>050000861724</t>
  </si>
  <si>
    <t>050000861725</t>
  </si>
  <si>
    <t>050000861727</t>
  </si>
  <si>
    <t>050000861728</t>
  </si>
  <si>
    <t>050000861729</t>
  </si>
  <si>
    <t>050000861730</t>
  </si>
  <si>
    <t>050000861731</t>
  </si>
  <si>
    <t>050000861733</t>
  </si>
  <si>
    <t>050000861734</t>
  </si>
  <si>
    <t>050000861736</t>
  </si>
  <si>
    <t>050000861737</t>
  </si>
  <si>
    <t>050000861738</t>
  </si>
  <si>
    <t>050000861741</t>
  </si>
  <si>
    <t>050000861742</t>
  </si>
  <si>
    <t>050000861744</t>
  </si>
  <si>
    <t>050000861758</t>
  </si>
  <si>
    <t>050000861761</t>
  </si>
  <si>
    <t>050000861762</t>
  </si>
  <si>
    <t>050000861765</t>
  </si>
  <si>
    <t>050000861766</t>
  </si>
  <si>
    <t>050000861768</t>
  </si>
  <si>
    <t>050000861769</t>
  </si>
  <si>
    <t>050000861771</t>
  </si>
  <si>
    <t>050000861775</t>
  </si>
  <si>
    <t>050000861778</t>
  </si>
  <si>
    <t>050000861779</t>
  </si>
  <si>
    <t>050000861780</t>
  </si>
  <si>
    <t>050000861781</t>
  </si>
  <si>
    <t>050000861786</t>
  </si>
  <si>
    <t>050000861787</t>
  </si>
  <si>
    <t>050000861788</t>
  </si>
  <si>
    <t>050000861789</t>
  </si>
  <si>
    <t>050000861797</t>
  </si>
  <si>
    <t>050000861798</t>
  </si>
  <si>
    <t>050000861927</t>
  </si>
  <si>
    <t>050000861800</t>
  </si>
  <si>
    <t>050000861801</t>
  </si>
  <si>
    <t>050000861802</t>
  </si>
  <si>
    <t>050000861804</t>
  </si>
  <si>
    <t>050000861806</t>
  </si>
  <si>
    <t>050000861808</t>
  </si>
  <si>
    <t>050000861809</t>
  </si>
  <si>
    <t>050000861811</t>
  </si>
  <si>
    <t>050000861813</t>
  </si>
  <si>
    <t>050000861815</t>
  </si>
  <si>
    <t>050000861817</t>
  </si>
  <si>
    <t>050000861819</t>
  </si>
  <si>
    <t>050000861821</t>
  </si>
  <si>
    <t>050000861824</t>
  </si>
  <si>
    <t>050000861938</t>
  </si>
  <si>
    <t>050000861825</t>
  </si>
  <si>
    <t>050000861826</t>
  </si>
  <si>
    <t>050000861827</t>
  </si>
  <si>
    <t>050000861829</t>
  </si>
  <si>
    <t>050000861830</t>
  </si>
  <si>
    <t>050000861831</t>
  </si>
  <si>
    <t>050000861832</t>
  </si>
  <si>
    <t>050000861834</t>
  </si>
  <si>
    <t>050000861835</t>
  </si>
  <si>
    <t>050000861837</t>
  </si>
  <si>
    <t>050000861839</t>
  </si>
  <si>
    <t>050000861841</t>
  </si>
  <si>
    <t>050000861846</t>
  </si>
  <si>
    <t>050000861849</t>
  </si>
  <si>
    <t>050000861850</t>
  </si>
  <si>
    <t>050000861853</t>
  </si>
  <si>
    <t>050000861855</t>
  </si>
  <si>
    <t>050000861856</t>
  </si>
  <si>
    <t>050000861857</t>
  </si>
  <si>
    <t>050000861859</t>
  </si>
  <si>
    <t>050000861861</t>
  </si>
  <si>
    <t>050000861864</t>
  </si>
  <si>
    <t>050000861866</t>
  </si>
  <si>
    <t>050000861867</t>
  </si>
  <si>
    <t>050000861870</t>
  </si>
  <si>
    <t>050000861871</t>
  </si>
  <si>
    <t>050000861872</t>
  </si>
  <si>
    <t>050000861878</t>
  </si>
  <si>
    <t>050000861883</t>
  </si>
  <si>
    <t>050000861482</t>
  </si>
  <si>
    <t>050000861484</t>
  </si>
  <si>
    <t>050000861490</t>
  </si>
  <si>
    <t>050000861491</t>
  </si>
  <si>
    <t>050000861493</t>
  </si>
  <si>
    <t>050000861546</t>
  </si>
  <si>
    <t>050000861266</t>
  </si>
  <si>
    <t>050000861268</t>
  </si>
  <si>
    <t>050000861276</t>
  </si>
  <si>
    <t>050000861292</t>
  </si>
  <si>
    <t>050000861299</t>
  </si>
  <si>
    <t>050000861303</t>
  </si>
  <si>
    <t>050000861332</t>
  </si>
  <si>
    <t>050000861354</t>
  </si>
  <si>
    <t>050000861357</t>
  </si>
  <si>
    <t>050000861363</t>
  </si>
  <si>
    <t>050000861377</t>
  </si>
  <si>
    <t>050000861379</t>
  </si>
  <si>
    <t>050000861391</t>
  </si>
  <si>
    <t>050000861395</t>
  </si>
  <si>
    <t>050000861403</t>
  </si>
  <si>
    <t>050000861417</t>
  </si>
  <si>
    <t>050000861427</t>
  </si>
  <si>
    <t>050000861428</t>
  </si>
  <si>
    <t>050000861444</t>
  </si>
  <si>
    <t>050000861449</t>
  </si>
  <si>
    <t>050000861455</t>
  </si>
  <si>
    <t>050000861458</t>
  </si>
  <si>
    <t>050000861461</t>
  </si>
  <si>
    <t>050000861468</t>
  </si>
  <si>
    <t>050000861480</t>
  </si>
  <si>
    <t>050000872291</t>
  </si>
  <si>
    <t>050000872534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</si>
</sst>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3" fillId="4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64" fontId="0" fillId="0" borderId="1" xfId="0" applyNumberFormat="1" applyBorder="1"/>
    <xf numFmtId="14" fontId="0" fillId="0" borderId="1" xfId="0" applyNumberFormat="1" applyBorder="1"/>
    <xf numFmtId="0" fontId="0" fillId="4" borderId="1" xfId="0" applyFill="1" applyBorder="1"/>
    <xf numFmtId="17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0" xfId="0" applyAlignment="1">
      <alignment vertical="top"/>
    </xf>
    <xf numFmtId="165" fontId="4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5" fillId="0" borderId="0" xfId="0" applyFont="1"/>
    <xf numFmtId="0" fontId="6" fillId="0" borderId="0" xfId="0" applyFont="1"/>
    <xf numFmtId="164" fontId="0" fillId="0" borderId="0" xfId="0" applyNumberFormat="1"/>
    <xf numFmtId="164" fontId="0" fillId="0" borderId="0" xfId="0" applyNumberFormat="1" applyFill="1" applyBorder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419"/>
  <sheetViews>
    <sheetView topLeftCell="AK382" workbookViewId="0">
      <selection activeCell="AO11" sqref="AO11:AO417"/>
    </sheetView>
  </sheetViews>
  <sheetFormatPr defaultRowHeight="15" x14ac:dyDescent="0.25"/>
  <cols>
    <col min="1" max="31" width="0" hidden="1" customWidth="1"/>
    <col min="32" max="32" width="12.7109375" hidden="1" customWidth="1"/>
    <col min="33" max="33" width="13.85546875" hidden="1" customWidth="1"/>
    <col min="34" max="36" width="0" hidden="1" customWidth="1"/>
    <col min="37" max="37" width="42.28515625" bestFit="1" customWidth="1"/>
    <col min="38" max="38" width="13.85546875" bestFit="1" customWidth="1"/>
    <col min="39" max="39" width="10.5703125" bestFit="1" customWidth="1"/>
    <col min="40" max="40" width="43.140625" bestFit="1" customWidth="1"/>
    <col min="41" max="41" width="9.7109375" bestFit="1" customWidth="1"/>
  </cols>
  <sheetData>
    <row r="1" spans="1:4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5036</v>
      </c>
      <c r="AL1" s="4" t="s">
        <v>5037</v>
      </c>
      <c r="AM1" s="4" t="s">
        <v>5443</v>
      </c>
      <c r="AN1" s="4" t="s">
        <v>5444</v>
      </c>
      <c r="AO1" s="4" t="s">
        <v>5038</v>
      </c>
    </row>
    <row r="2" spans="1:41" hidden="1" x14ac:dyDescent="0.25">
      <c r="A2" s="5">
        <v>5</v>
      </c>
      <c r="B2" s="5" t="s">
        <v>61</v>
      </c>
      <c r="C2" s="5" t="s">
        <v>62</v>
      </c>
      <c r="D2" s="5" t="s">
        <v>36</v>
      </c>
      <c r="E2" s="5" t="s">
        <v>37</v>
      </c>
      <c r="F2" s="5" t="s">
        <v>63</v>
      </c>
      <c r="G2" s="5" t="s">
        <v>64</v>
      </c>
      <c r="H2" s="5" t="s">
        <v>65</v>
      </c>
      <c r="I2" s="5" t="s">
        <v>66</v>
      </c>
      <c r="J2" s="5" t="s">
        <v>55</v>
      </c>
      <c r="K2" s="5" t="s">
        <v>67</v>
      </c>
      <c r="L2" s="5" t="s">
        <v>68</v>
      </c>
      <c r="M2" s="5">
        <v>1807500</v>
      </c>
      <c r="N2" s="5">
        <v>3615000</v>
      </c>
      <c r="O2" s="5" t="s">
        <v>69</v>
      </c>
      <c r="P2" s="6">
        <v>45717</v>
      </c>
      <c r="Q2" s="5" t="s">
        <v>70</v>
      </c>
      <c r="R2" s="5" t="s">
        <v>71</v>
      </c>
      <c r="S2" s="5" t="s">
        <v>55</v>
      </c>
      <c r="T2" s="5" t="s">
        <v>55</v>
      </c>
      <c r="U2" s="5" t="s">
        <v>72</v>
      </c>
      <c r="V2" s="5" t="s">
        <v>57</v>
      </c>
      <c r="W2" s="5" t="s">
        <v>73</v>
      </c>
      <c r="X2" s="5" t="s">
        <v>45</v>
      </c>
      <c r="Y2" s="5" t="s">
        <v>74</v>
      </c>
      <c r="Z2" s="5" t="s">
        <v>75</v>
      </c>
      <c r="AA2" s="5">
        <v>5</v>
      </c>
      <c r="AB2" s="5" t="s">
        <v>76</v>
      </c>
      <c r="AC2" s="5" t="s">
        <v>77</v>
      </c>
      <c r="AD2" s="5" t="s">
        <v>58</v>
      </c>
      <c r="AE2" s="5" t="s">
        <v>78</v>
      </c>
      <c r="AF2" s="5">
        <v>2892000</v>
      </c>
      <c r="AG2" s="5">
        <v>57840</v>
      </c>
      <c r="AH2" s="5"/>
      <c r="AI2" s="5"/>
      <c r="AJ2" s="5" t="s">
        <v>37</v>
      </c>
      <c r="AK2" s="2" t="s">
        <v>5040</v>
      </c>
      <c r="AL2" s="3">
        <v>57840</v>
      </c>
      <c r="AM2" s="8">
        <v>45733</v>
      </c>
      <c r="AN2" s="2"/>
      <c r="AO2" s="7">
        <f t="shared" ref="AO2:AO65" si="0">AG2-AL2</f>
        <v>0</v>
      </c>
    </row>
    <row r="3" spans="1:41" hidden="1" x14ac:dyDescent="0.25">
      <c r="A3" s="2">
        <v>8</v>
      </c>
      <c r="B3" s="2" t="s">
        <v>61</v>
      </c>
      <c r="C3" s="2" t="s">
        <v>80</v>
      </c>
      <c r="D3" s="2" t="s">
        <v>36</v>
      </c>
      <c r="E3" s="2" t="s">
        <v>37</v>
      </c>
      <c r="F3" s="2" t="s">
        <v>81</v>
      </c>
      <c r="G3" s="2" t="s">
        <v>82</v>
      </c>
      <c r="H3" s="2" t="s">
        <v>83</v>
      </c>
      <c r="I3" s="2" t="s">
        <v>55</v>
      </c>
      <c r="J3" s="2" t="s">
        <v>84</v>
      </c>
      <c r="K3" s="2" t="s">
        <v>85</v>
      </c>
      <c r="L3" s="2" t="s">
        <v>86</v>
      </c>
      <c r="M3" s="2">
        <v>2472600</v>
      </c>
      <c r="N3" s="2">
        <v>4121000</v>
      </c>
      <c r="O3" s="2" t="s">
        <v>87</v>
      </c>
      <c r="P3" s="8">
        <v>45717</v>
      </c>
      <c r="Q3" s="2" t="s">
        <v>88</v>
      </c>
      <c r="R3" s="2" t="s">
        <v>89</v>
      </c>
      <c r="S3" s="2" t="s">
        <v>55</v>
      </c>
      <c r="T3" s="2" t="s">
        <v>55</v>
      </c>
      <c r="U3" s="2" t="s">
        <v>90</v>
      </c>
      <c r="V3" s="2" t="s">
        <v>91</v>
      </c>
      <c r="W3" s="2" t="s">
        <v>92</v>
      </c>
      <c r="X3" s="2" t="s">
        <v>93</v>
      </c>
      <c r="Y3" s="2" t="s">
        <v>94</v>
      </c>
      <c r="Z3" s="2" t="s">
        <v>95</v>
      </c>
      <c r="AA3" s="2">
        <v>5</v>
      </c>
      <c r="AB3" s="2" t="s">
        <v>44</v>
      </c>
      <c r="AC3" s="2" t="s">
        <v>96</v>
      </c>
      <c r="AD3" s="2" t="s">
        <v>97</v>
      </c>
      <c r="AE3" s="2" t="s">
        <v>78</v>
      </c>
      <c r="AF3" s="2">
        <v>3296800</v>
      </c>
      <c r="AG3" s="2">
        <v>65936</v>
      </c>
      <c r="AH3" s="2"/>
      <c r="AI3" s="2"/>
      <c r="AJ3" s="2" t="s">
        <v>37</v>
      </c>
      <c r="AK3" s="2" t="s">
        <v>5047</v>
      </c>
      <c r="AL3" s="3">
        <v>65936</v>
      </c>
      <c r="AM3" s="8">
        <v>45733</v>
      </c>
      <c r="AN3" s="2"/>
      <c r="AO3" s="7">
        <f t="shared" si="0"/>
        <v>0</v>
      </c>
    </row>
    <row r="4" spans="1:41" hidden="1" x14ac:dyDescent="0.25">
      <c r="A4" s="5">
        <v>22</v>
      </c>
      <c r="B4" s="5" t="s">
        <v>61</v>
      </c>
      <c r="C4" s="5" t="s">
        <v>126</v>
      </c>
      <c r="D4" s="5" t="s">
        <v>36</v>
      </c>
      <c r="E4" s="5" t="s">
        <v>37</v>
      </c>
      <c r="F4" s="5" t="s">
        <v>127</v>
      </c>
      <c r="G4" s="5" t="s">
        <v>53</v>
      </c>
      <c r="H4" s="5" t="s">
        <v>128</v>
      </c>
      <c r="I4" s="5" t="s">
        <v>129</v>
      </c>
      <c r="J4" s="5" t="s">
        <v>130</v>
      </c>
      <c r="K4" s="5" t="s">
        <v>131</v>
      </c>
      <c r="L4" s="5" t="s">
        <v>132</v>
      </c>
      <c r="M4" s="5">
        <v>885500</v>
      </c>
      <c r="N4" s="5">
        <v>1610000</v>
      </c>
      <c r="O4" s="5" t="s">
        <v>133</v>
      </c>
      <c r="P4" s="6">
        <v>45718</v>
      </c>
      <c r="Q4" s="5" t="s">
        <v>134</v>
      </c>
      <c r="R4" s="5" t="s">
        <v>135</v>
      </c>
      <c r="S4" s="5" t="s">
        <v>55</v>
      </c>
      <c r="T4" s="5" t="s">
        <v>55</v>
      </c>
      <c r="U4" s="5" t="s">
        <v>56</v>
      </c>
      <c r="V4" s="5" t="s">
        <v>91</v>
      </c>
      <c r="W4" s="5" t="s">
        <v>136</v>
      </c>
      <c r="X4" s="5" t="s">
        <v>45</v>
      </c>
      <c r="Y4" s="5" t="s">
        <v>137</v>
      </c>
      <c r="Z4" s="5" t="s">
        <v>138</v>
      </c>
      <c r="AA4" s="5">
        <v>4</v>
      </c>
      <c r="AB4" s="5" t="s">
        <v>44</v>
      </c>
      <c r="AC4" s="5" t="s">
        <v>139</v>
      </c>
      <c r="AD4" s="5" t="s">
        <v>58</v>
      </c>
      <c r="AE4" s="5" t="s">
        <v>78</v>
      </c>
      <c r="AF4" s="5">
        <v>1288000</v>
      </c>
      <c r="AG4" s="5">
        <v>25760</v>
      </c>
      <c r="AH4" s="5"/>
      <c r="AI4" s="5"/>
      <c r="AJ4" s="5" t="s">
        <v>37</v>
      </c>
      <c r="AK4" s="2" t="s">
        <v>5048</v>
      </c>
      <c r="AL4" s="3">
        <v>25760</v>
      </c>
      <c r="AM4" s="8">
        <v>45733</v>
      </c>
      <c r="AN4" s="2"/>
      <c r="AO4" s="7">
        <f t="shared" si="0"/>
        <v>0</v>
      </c>
    </row>
    <row r="5" spans="1:41" hidden="1" x14ac:dyDescent="0.25">
      <c r="A5" s="2">
        <v>25</v>
      </c>
      <c r="B5" s="2" t="s">
        <v>61</v>
      </c>
      <c r="C5" s="2" t="s">
        <v>142</v>
      </c>
      <c r="D5" s="2" t="s">
        <v>36</v>
      </c>
      <c r="E5" s="2" t="s">
        <v>37</v>
      </c>
      <c r="F5" s="2" t="s">
        <v>143</v>
      </c>
      <c r="G5" s="2" t="s">
        <v>144</v>
      </c>
      <c r="H5" s="2" t="s">
        <v>145</v>
      </c>
      <c r="I5" s="2" t="s">
        <v>146</v>
      </c>
      <c r="J5" s="2" t="s">
        <v>146</v>
      </c>
      <c r="K5" s="2" t="s">
        <v>146</v>
      </c>
      <c r="L5" s="2" t="s">
        <v>147</v>
      </c>
      <c r="M5" s="2">
        <v>1100000</v>
      </c>
      <c r="N5" s="2">
        <v>2000000</v>
      </c>
      <c r="O5" s="2" t="s">
        <v>148</v>
      </c>
      <c r="P5" s="8">
        <v>45718</v>
      </c>
      <c r="Q5" s="2" t="s">
        <v>149</v>
      </c>
      <c r="R5" s="2" t="s">
        <v>150</v>
      </c>
      <c r="S5" s="2" t="s">
        <v>151</v>
      </c>
      <c r="T5" s="2" t="s">
        <v>151</v>
      </c>
      <c r="U5" s="2" t="s">
        <v>152</v>
      </c>
      <c r="V5" s="2" t="s">
        <v>49</v>
      </c>
      <c r="W5" s="2" t="s">
        <v>153</v>
      </c>
      <c r="X5" s="2" t="s">
        <v>45</v>
      </c>
      <c r="Y5" s="2" t="s">
        <v>74</v>
      </c>
      <c r="Z5" s="2" t="s">
        <v>154</v>
      </c>
      <c r="AA5" s="2">
        <v>5</v>
      </c>
      <c r="AB5" s="2" t="s">
        <v>44</v>
      </c>
      <c r="AC5" s="2" t="s">
        <v>155</v>
      </c>
      <c r="AD5" s="2" t="s">
        <v>156</v>
      </c>
      <c r="AE5" s="2" t="s">
        <v>46</v>
      </c>
      <c r="AF5" s="2">
        <v>1600000</v>
      </c>
      <c r="AG5" s="2">
        <v>24000</v>
      </c>
      <c r="AH5" s="2"/>
      <c r="AI5" s="2"/>
      <c r="AJ5" s="2" t="s">
        <v>37</v>
      </c>
      <c r="AK5" s="2" t="s">
        <v>5049</v>
      </c>
      <c r="AL5" s="3">
        <v>24000</v>
      </c>
      <c r="AM5" s="8">
        <v>45733</v>
      </c>
      <c r="AN5" s="2"/>
      <c r="AO5" s="7">
        <f t="shared" si="0"/>
        <v>0</v>
      </c>
    </row>
    <row r="6" spans="1:41" hidden="1" x14ac:dyDescent="0.25">
      <c r="A6" s="5">
        <v>29</v>
      </c>
      <c r="B6" s="5" t="s">
        <v>61</v>
      </c>
      <c r="C6" s="5" t="s">
        <v>164</v>
      </c>
      <c r="D6" s="5" t="s">
        <v>36</v>
      </c>
      <c r="E6" s="5" t="s">
        <v>37</v>
      </c>
      <c r="F6" s="5" t="s">
        <v>165</v>
      </c>
      <c r="G6" s="5" t="s">
        <v>47</v>
      </c>
      <c r="H6" s="5" t="s">
        <v>166</v>
      </c>
      <c r="I6" s="5" t="s">
        <v>167</v>
      </c>
      <c r="J6" s="5" t="s">
        <v>167</v>
      </c>
      <c r="K6" s="5" t="s">
        <v>67</v>
      </c>
      <c r="L6" s="5" t="s">
        <v>168</v>
      </c>
      <c r="M6" s="5">
        <v>2173500</v>
      </c>
      <c r="N6" s="5">
        <v>3105000</v>
      </c>
      <c r="O6" s="5" t="s">
        <v>169</v>
      </c>
      <c r="P6" s="6">
        <v>45718</v>
      </c>
      <c r="Q6" s="5" t="s">
        <v>170</v>
      </c>
      <c r="R6" s="5" t="s">
        <v>171</v>
      </c>
      <c r="S6" s="5" t="s">
        <v>55</v>
      </c>
      <c r="T6" s="5" t="s">
        <v>55</v>
      </c>
      <c r="U6" s="5" t="s">
        <v>172</v>
      </c>
      <c r="V6" s="5" t="s">
        <v>57</v>
      </c>
      <c r="W6" s="5" t="s">
        <v>173</v>
      </c>
      <c r="X6" s="5" t="s">
        <v>45</v>
      </c>
      <c r="Y6" s="5" t="s">
        <v>74</v>
      </c>
      <c r="Z6" s="5" t="s">
        <v>174</v>
      </c>
      <c r="AA6" s="5">
        <v>5</v>
      </c>
      <c r="AB6" s="5" t="s">
        <v>175</v>
      </c>
      <c r="AC6" s="5" t="s">
        <v>176</v>
      </c>
      <c r="AD6" s="5" t="s">
        <v>100</v>
      </c>
      <c r="AE6" s="5" t="s">
        <v>78</v>
      </c>
      <c r="AF6" s="5">
        <v>2484000</v>
      </c>
      <c r="AG6" s="5">
        <v>49680</v>
      </c>
      <c r="AH6" s="5"/>
      <c r="AI6" s="5"/>
      <c r="AJ6" s="5" t="s">
        <v>37</v>
      </c>
      <c r="AK6" s="2" t="s">
        <v>5050</v>
      </c>
      <c r="AL6" s="3">
        <v>49680</v>
      </c>
      <c r="AM6" s="8">
        <v>45733</v>
      </c>
      <c r="AN6" s="2"/>
      <c r="AO6" s="7">
        <f t="shared" si="0"/>
        <v>0</v>
      </c>
    </row>
    <row r="7" spans="1:41" hidden="1" x14ac:dyDescent="0.25">
      <c r="A7" s="2">
        <v>31</v>
      </c>
      <c r="B7" s="2" t="s">
        <v>61</v>
      </c>
      <c r="C7" s="2" t="s">
        <v>179</v>
      </c>
      <c r="D7" s="2" t="s">
        <v>36</v>
      </c>
      <c r="E7" s="2" t="s">
        <v>37</v>
      </c>
      <c r="F7" s="2" t="s">
        <v>180</v>
      </c>
      <c r="G7" s="2" t="s">
        <v>111</v>
      </c>
      <c r="H7" s="2" t="s">
        <v>181</v>
      </c>
      <c r="I7" s="2">
        <v>3361908430</v>
      </c>
      <c r="J7" s="2">
        <v>3361908430</v>
      </c>
      <c r="K7" s="2">
        <v>4235111188</v>
      </c>
      <c r="L7" s="2" t="s">
        <v>182</v>
      </c>
      <c r="M7" s="2">
        <v>2072250</v>
      </c>
      <c r="N7" s="2">
        <v>2763000</v>
      </c>
      <c r="O7" s="2" t="s">
        <v>183</v>
      </c>
      <c r="P7" s="8">
        <v>45669</v>
      </c>
      <c r="Q7" s="2" t="s">
        <v>184</v>
      </c>
      <c r="R7" s="2">
        <v>7005411</v>
      </c>
      <c r="S7" s="2" t="s">
        <v>54</v>
      </c>
      <c r="T7" s="2"/>
      <c r="U7" s="2" t="s">
        <v>185</v>
      </c>
      <c r="V7" s="2">
        <v>2021</v>
      </c>
      <c r="W7" s="8">
        <v>44210</v>
      </c>
      <c r="X7" s="2" t="s">
        <v>186</v>
      </c>
      <c r="Y7" s="8">
        <v>46043</v>
      </c>
      <c r="Z7" s="2" t="s">
        <v>187</v>
      </c>
      <c r="AA7" s="2">
        <v>5</v>
      </c>
      <c r="AB7" s="2" t="s">
        <v>44</v>
      </c>
      <c r="AC7" s="2" t="s">
        <v>188</v>
      </c>
      <c r="AD7" s="2">
        <v>44209</v>
      </c>
      <c r="AE7" s="2" t="s">
        <v>78</v>
      </c>
      <c r="AF7" s="2">
        <v>2072250</v>
      </c>
      <c r="AG7" s="2">
        <v>41445</v>
      </c>
      <c r="AH7" s="2"/>
      <c r="AI7" s="2"/>
      <c r="AJ7" s="2" t="s">
        <v>189</v>
      </c>
      <c r="AK7" s="2" t="s">
        <v>5051</v>
      </c>
      <c r="AL7" s="3">
        <v>41445</v>
      </c>
      <c r="AM7" s="8">
        <v>45681</v>
      </c>
      <c r="AN7" s="2"/>
      <c r="AO7" s="7">
        <f t="shared" si="0"/>
        <v>0</v>
      </c>
    </row>
    <row r="8" spans="1:41" hidden="1" x14ac:dyDescent="0.25">
      <c r="A8" s="5">
        <v>32</v>
      </c>
      <c r="B8" s="5" t="s">
        <v>61</v>
      </c>
      <c r="C8" s="5" t="s">
        <v>190</v>
      </c>
      <c r="D8" s="5" t="s">
        <v>36</v>
      </c>
      <c r="E8" s="5" t="s">
        <v>37</v>
      </c>
      <c r="F8" s="5" t="s">
        <v>191</v>
      </c>
      <c r="G8" s="5" t="s">
        <v>111</v>
      </c>
      <c r="H8" s="5" t="s">
        <v>192</v>
      </c>
      <c r="I8" s="5" t="s">
        <v>193</v>
      </c>
      <c r="J8" s="5" t="s">
        <v>194</v>
      </c>
      <c r="K8" s="5" t="s">
        <v>195</v>
      </c>
      <c r="L8" s="5" t="s">
        <v>196</v>
      </c>
      <c r="M8" s="5">
        <v>2884700</v>
      </c>
      <c r="N8" s="5">
        <v>4121000</v>
      </c>
      <c r="O8" s="5" t="s">
        <v>197</v>
      </c>
      <c r="P8" s="6">
        <v>45718</v>
      </c>
      <c r="Q8" s="5" t="s">
        <v>198</v>
      </c>
      <c r="R8" s="5" t="s">
        <v>199</v>
      </c>
      <c r="S8" s="5" t="s">
        <v>55</v>
      </c>
      <c r="T8" s="5" t="s">
        <v>55</v>
      </c>
      <c r="U8" s="5" t="s">
        <v>200</v>
      </c>
      <c r="V8" s="5" t="s">
        <v>91</v>
      </c>
      <c r="W8" s="5" t="s">
        <v>92</v>
      </c>
      <c r="X8" s="5" t="s">
        <v>93</v>
      </c>
      <c r="Y8" s="5" t="s">
        <v>94</v>
      </c>
      <c r="Z8" s="5" t="s">
        <v>201</v>
      </c>
      <c r="AA8" s="5">
        <v>5</v>
      </c>
      <c r="AB8" s="5" t="s">
        <v>44</v>
      </c>
      <c r="AC8" s="5" t="s">
        <v>202</v>
      </c>
      <c r="AD8" s="5" t="s">
        <v>97</v>
      </c>
      <c r="AE8" s="5" t="s">
        <v>78</v>
      </c>
      <c r="AF8" s="5">
        <v>3090750</v>
      </c>
      <c r="AG8" s="5">
        <v>61815</v>
      </c>
      <c r="AH8" s="5"/>
      <c r="AI8" s="5"/>
      <c r="AJ8" s="5" t="s">
        <v>37</v>
      </c>
      <c r="AK8" s="2" t="s">
        <v>5052</v>
      </c>
      <c r="AL8" s="3">
        <v>61815</v>
      </c>
      <c r="AM8" s="8">
        <v>45733</v>
      </c>
      <c r="AN8" s="2"/>
      <c r="AO8" s="7">
        <f t="shared" si="0"/>
        <v>0</v>
      </c>
    </row>
    <row r="9" spans="1:41" hidden="1" x14ac:dyDescent="0.25">
      <c r="A9" s="2">
        <v>33</v>
      </c>
      <c r="B9" s="2" t="s">
        <v>203</v>
      </c>
      <c r="C9" s="2" t="s">
        <v>204</v>
      </c>
      <c r="D9" s="2" t="s">
        <v>36</v>
      </c>
      <c r="E9" s="2" t="s">
        <v>37</v>
      </c>
      <c r="F9" s="2" t="s">
        <v>205</v>
      </c>
      <c r="G9" s="2" t="s">
        <v>206</v>
      </c>
      <c r="H9" s="2" t="s">
        <v>207</v>
      </c>
      <c r="I9" s="2" t="s">
        <v>208</v>
      </c>
      <c r="J9" s="2" t="s">
        <v>208</v>
      </c>
      <c r="K9" s="2" t="s">
        <v>208</v>
      </c>
      <c r="L9" s="2" t="s">
        <v>209</v>
      </c>
      <c r="M9" s="2">
        <v>1500000</v>
      </c>
      <c r="N9" s="2">
        <v>2000000</v>
      </c>
      <c r="O9" s="2" t="s">
        <v>210</v>
      </c>
      <c r="P9" s="8">
        <v>45687</v>
      </c>
      <c r="Q9" s="2" t="s">
        <v>211</v>
      </c>
      <c r="R9" s="2" t="s">
        <v>212</v>
      </c>
      <c r="S9" s="2" t="s">
        <v>48</v>
      </c>
      <c r="T9" s="2" t="s">
        <v>213</v>
      </c>
      <c r="U9" s="2" t="s">
        <v>214</v>
      </c>
      <c r="V9" s="2" t="s">
        <v>158</v>
      </c>
      <c r="W9" s="8">
        <v>44593</v>
      </c>
      <c r="X9" s="2" t="s">
        <v>215</v>
      </c>
      <c r="Y9" s="8">
        <v>47152</v>
      </c>
      <c r="Z9" s="2" t="s">
        <v>216</v>
      </c>
      <c r="AA9" s="2">
        <v>7</v>
      </c>
      <c r="AB9" s="2" t="s">
        <v>44</v>
      </c>
      <c r="AC9" s="2" t="s">
        <v>217</v>
      </c>
      <c r="AD9" s="2" t="s">
        <v>218</v>
      </c>
      <c r="AE9" s="2" t="s">
        <v>46</v>
      </c>
      <c r="AF9" s="2">
        <v>1600000</v>
      </c>
      <c r="AG9" s="2">
        <v>24000</v>
      </c>
      <c r="AH9" s="2"/>
      <c r="AI9" s="2"/>
      <c r="AJ9" s="2" t="s">
        <v>219</v>
      </c>
      <c r="AK9" s="9" t="s">
        <v>5610</v>
      </c>
      <c r="AL9" s="3">
        <v>24000</v>
      </c>
      <c r="AM9" s="8">
        <v>45743</v>
      </c>
      <c r="AN9" s="2"/>
      <c r="AO9" s="7">
        <f t="shared" si="0"/>
        <v>0</v>
      </c>
    </row>
    <row r="10" spans="1:41" hidden="1" x14ac:dyDescent="0.25">
      <c r="A10" s="5">
        <v>34</v>
      </c>
      <c r="B10" s="5" t="s">
        <v>61</v>
      </c>
      <c r="C10" s="5" t="s">
        <v>220</v>
      </c>
      <c r="D10" s="5" t="s">
        <v>36</v>
      </c>
      <c r="E10" s="5" t="s">
        <v>37</v>
      </c>
      <c r="F10" s="5" t="s">
        <v>221</v>
      </c>
      <c r="G10" s="5" t="s">
        <v>111</v>
      </c>
      <c r="H10" s="5" t="s">
        <v>222</v>
      </c>
      <c r="I10" s="5" t="s">
        <v>223</v>
      </c>
      <c r="J10" s="5" t="s">
        <v>223</v>
      </c>
      <c r="K10" s="5" t="s">
        <v>223</v>
      </c>
      <c r="L10" s="5" t="s">
        <v>224</v>
      </c>
      <c r="M10" s="5">
        <v>976575</v>
      </c>
      <c r="N10" s="5">
        <v>1274000</v>
      </c>
      <c r="O10" s="5" t="s">
        <v>225</v>
      </c>
      <c r="P10" s="6">
        <v>45680</v>
      </c>
      <c r="Q10" s="5" t="s">
        <v>226</v>
      </c>
      <c r="R10" s="5" t="s">
        <v>227</v>
      </c>
      <c r="S10" s="5" t="s">
        <v>54</v>
      </c>
      <c r="T10" s="5" t="s">
        <v>228</v>
      </c>
      <c r="U10" s="5" t="s">
        <v>229</v>
      </c>
      <c r="V10" s="5" t="s">
        <v>230</v>
      </c>
      <c r="W10" s="6">
        <v>44009</v>
      </c>
      <c r="X10" s="5" t="s">
        <v>231</v>
      </c>
      <c r="Y10" s="6">
        <v>46230</v>
      </c>
      <c r="Z10" s="5" t="s">
        <v>232</v>
      </c>
      <c r="AA10" s="5">
        <v>7</v>
      </c>
      <c r="AB10" s="5" t="s">
        <v>44</v>
      </c>
      <c r="AC10" s="5" t="s">
        <v>233</v>
      </c>
      <c r="AD10" s="5" t="s">
        <v>234</v>
      </c>
      <c r="AE10" s="5" t="s">
        <v>235</v>
      </c>
      <c r="AF10" s="5">
        <v>764400</v>
      </c>
      <c r="AG10" s="5">
        <v>23696</v>
      </c>
      <c r="AH10" s="5" t="s">
        <v>236</v>
      </c>
      <c r="AI10" s="5" t="s">
        <v>237</v>
      </c>
      <c r="AJ10" s="5" t="s">
        <v>37</v>
      </c>
      <c r="AK10" s="2" t="s">
        <v>5053</v>
      </c>
      <c r="AL10" s="3">
        <v>23696</v>
      </c>
      <c r="AM10" s="8">
        <v>45681</v>
      </c>
      <c r="AN10" s="2"/>
      <c r="AO10" s="7">
        <f t="shared" si="0"/>
        <v>0</v>
      </c>
    </row>
    <row r="11" spans="1:41" x14ac:dyDescent="0.25">
      <c r="A11" s="2">
        <v>35</v>
      </c>
      <c r="B11" s="2" t="s">
        <v>61</v>
      </c>
      <c r="C11" s="2" t="s">
        <v>238</v>
      </c>
      <c r="D11" s="2" t="s">
        <v>36</v>
      </c>
      <c r="E11" s="2" t="s">
        <v>37</v>
      </c>
      <c r="F11" s="2" t="s">
        <v>239</v>
      </c>
      <c r="G11" s="2" t="s">
        <v>53</v>
      </c>
      <c r="H11" s="2" t="s">
        <v>240</v>
      </c>
      <c r="I11" s="2" t="s">
        <v>241</v>
      </c>
      <c r="J11" s="2" t="s">
        <v>242</v>
      </c>
      <c r="K11" s="2" t="s">
        <v>241</v>
      </c>
      <c r="L11" s="2" t="s">
        <v>243</v>
      </c>
      <c r="M11" s="2">
        <v>2846800</v>
      </c>
      <c r="N11" s="2">
        <v>5176000</v>
      </c>
      <c r="O11" s="2" t="s">
        <v>244</v>
      </c>
      <c r="P11" s="8">
        <v>45680</v>
      </c>
      <c r="Q11" s="2" t="s">
        <v>245</v>
      </c>
      <c r="R11" s="2" t="s">
        <v>246</v>
      </c>
      <c r="S11" s="2" t="s">
        <v>54</v>
      </c>
      <c r="T11" s="2" t="s">
        <v>55</v>
      </c>
      <c r="U11" s="2" t="s">
        <v>247</v>
      </c>
      <c r="V11" s="2" t="s">
        <v>248</v>
      </c>
      <c r="W11" s="8">
        <v>45278</v>
      </c>
      <c r="X11" s="2" t="s">
        <v>249</v>
      </c>
      <c r="Y11" s="8">
        <v>46421</v>
      </c>
      <c r="Z11" s="2" t="s">
        <v>250</v>
      </c>
      <c r="AA11" s="2">
        <v>3</v>
      </c>
      <c r="AB11" s="2" t="s">
        <v>44</v>
      </c>
      <c r="AC11" s="2" t="s">
        <v>251</v>
      </c>
      <c r="AD11" s="2" t="s">
        <v>252</v>
      </c>
      <c r="AE11" s="2" t="s">
        <v>253</v>
      </c>
      <c r="AF11" s="2">
        <v>4658400</v>
      </c>
      <c r="AG11" s="2">
        <v>81522</v>
      </c>
      <c r="AH11" s="2"/>
      <c r="AI11" s="2"/>
      <c r="AJ11" s="2" t="s">
        <v>37</v>
      </c>
      <c r="AK11" s="2" t="s">
        <v>5054</v>
      </c>
      <c r="AL11" s="3">
        <v>76993</v>
      </c>
      <c r="AM11" s="8">
        <v>45681</v>
      </c>
      <c r="AN11" s="2" t="s">
        <v>5445</v>
      </c>
      <c r="AO11" s="7">
        <f t="shared" si="0"/>
        <v>4529</v>
      </c>
    </row>
    <row r="12" spans="1:41" x14ac:dyDescent="0.25">
      <c r="A12" s="5">
        <v>36</v>
      </c>
      <c r="B12" s="5" t="s">
        <v>61</v>
      </c>
      <c r="C12" s="5" t="s">
        <v>254</v>
      </c>
      <c r="D12" s="5" t="s">
        <v>36</v>
      </c>
      <c r="E12" s="5" t="s">
        <v>37</v>
      </c>
      <c r="F12" s="5" t="s">
        <v>255</v>
      </c>
      <c r="G12" s="5" t="s">
        <v>82</v>
      </c>
      <c r="H12" s="5" t="s">
        <v>256</v>
      </c>
      <c r="I12" s="5" t="s">
        <v>257</v>
      </c>
      <c r="J12" s="5" t="s">
        <v>55</v>
      </c>
      <c r="K12" s="5" t="s">
        <v>67</v>
      </c>
      <c r="L12" s="5" t="s">
        <v>258</v>
      </c>
      <c r="M12" s="5">
        <v>1746400</v>
      </c>
      <c r="N12" s="5">
        <v>2183000</v>
      </c>
      <c r="O12" s="5" t="s">
        <v>259</v>
      </c>
      <c r="P12" s="6">
        <v>45680</v>
      </c>
      <c r="Q12" s="5" t="s">
        <v>260</v>
      </c>
      <c r="R12" s="5" t="s">
        <v>261</v>
      </c>
      <c r="S12" s="5" t="s">
        <v>54</v>
      </c>
      <c r="T12" s="5" t="s">
        <v>55</v>
      </c>
      <c r="U12" s="5" t="s">
        <v>262</v>
      </c>
      <c r="V12" s="5" t="s">
        <v>248</v>
      </c>
      <c r="W12" s="6">
        <v>44529</v>
      </c>
      <c r="X12" s="5" t="s">
        <v>263</v>
      </c>
      <c r="Y12" s="6">
        <v>46779</v>
      </c>
      <c r="Z12" s="5" t="s">
        <v>264</v>
      </c>
      <c r="AA12" s="5">
        <v>5</v>
      </c>
      <c r="AB12" s="5" t="s">
        <v>76</v>
      </c>
      <c r="AC12" s="5" t="s">
        <v>265</v>
      </c>
      <c r="AD12" s="5" t="s">
        <v>266</v>
      </c>
      <c r="AE12" s="5" t="s">
        <v>78</v>
      </c>
      <c r="AF12" s="5">
        <v>1855550</v>
      </c>
      <c r="AG12" s="5">
        <v>37111</v>
      </c>
      <c r="AH12" s="5"/>
      <c r="AI12" s="5"/>
      <c r="AJ12" s="5" t="s">
        <v>37</v>
      </c>
      <c r="AK12" s="2" t="s">
        <v>5055</v>
      </c>
      <c r="AL12" s="3">
        <v>32745</v>
      </c>
      <c r="AM12" s="8">
        <v>45681</v>
      </c>
      <c r="AN12" s="2" t="s">
        <v>5446</v>
      </c>
      <c r="AO12" s="7">
        <f t="shared" si="0"/>
        <v>4366</v>
      </c>
    </row>
    <row r="13" spans="1:41" hidden="1" x14ac:dyDescent="0.25">
      <c r="A13" s="2">
        <v>37</v>
      </c>
      <c r="B13" s="2" t="s">
        <v>61</v>
      </c>
      <c r="C13" s="2" t="s">
        <v>267</v>
      </c>
      <c r="D13" s="2" t="s">
        <v>36</v>
      </c>
      <c r="E13" s="2" t="s">
        <v>37</v>
      </c>
      <c r="F13" s="2" t="s">
        <v>268</v>
      </c>
      <c r="G13" s="2" t="s">
        <v>47</v>
      </c>
      <c r="H13" s="2" t="s">
        <v>269</v>
      </c>
      <c r="I13" s="2" t="s">
        <v>55</v>
      </c>
      <c r="J13" s="2" t="s">
        <v>270</v>
      </c>
      <c r="K13" s="2" t="s">
        <v>55</v>
      </c>
      <c r="L13" s="2" t="s">
        <v>271</v>
      </c>
      <c r="M13" s="2">
        <v>3970200</v>
      </c>
      <c r="N13" s="2">
        <v>6108000</v>
      </c>
      <c r="O13" s="2" t="s">
        <v>272</v>
      </c>
      <c r="P13" s="8">
        <v>45674</v>
      </c>
      <c r="Q13" s="2" t="s">
        <v>273</v>
      </c>
      <c r="R13" s="2" t="s">
        <v>274</v>
      </c>
      <c r="S13" s="2" t="s">
        <v>275</v>
      </c>
      <c r="T13" s="2" t="s">
        <v>55</v>
      </c>
      <c r="U13" s="2" t="s">
        <v>276</v>
      </c>
      <c r="V13" s="2" t="s">
        <v>248</v>
      </c>
      <c r="W13" s="8">
        <v>44916</v>
      </c>
      <c r="X13" s="2" t="s">
        <v>277</v>
      </c>
      <c r="Y13" s="8">
        <v>46408</v>
      </c>
      <c r="Z13" s="2" t="s">
        <v>278</v>
      </c>
      <c r="AA13" s="2">
        <v>4</v>
      </c>
      <c r="AB13" s="2" t="s">
        <v>279</v>
      </c>
      <c r="AC13" s="2" t="s">
        <v>280</v>
      </c>
      <c r="AD13" s="2" t="s">
        <v>281</v>
      </c>
      <c r="AE13" s="2" t="s">
        <v>282</v>
      </c>
      <c r="AF13" s="2">
        <v>4886400</v>
      </c>
      <c r="AG13" s="2">
        <v>68410</v>
      </c>
      <c r="AH13" s="2"/>
      <c r="AI13" s="2"/>
      <c r="AJ13" s="2" t="s">
        <v>37</v>
      </c>
      <c r="AK13" s="2" t="s">
        <v>5056</v>
      </c>
      <c r="AL13" s="3">
        <v>68410</v>
      </c>
      <c r="AM13" s="8">
        <v>45681</v>
      </c>
      <c r="AN13" s="2"/>
      <c r="AO13" s="7">
        <f t="shared" si="0"/>
        <v>0</v>
      </c>
    </row>
    <row r="14" spans="1:41" hidden="1" x14ac:dyDescent="0.25">
      <c r="A14" s="5">
        <v>38</v>
      </c>
      <c r="B14" s="5" t="s">
        <v>61</v>
      </c>
      <c r="C14" s="5" t="s">
        <v>283</v>
      </c>
      <c r="D14" s="5" t="s">
        <v>36</v>
      </c>
      <c r="E14" s="5" t="s">
        <v>37</v>
      </c>
      <c r="F14" s="5" t="s">
        <v>284</v>
      </c>
      <c r="G14" s="5" t="s">
        <v>53</v>
      </c>
      <c r="H14" s="5" t="s">
        <v>285</v>
      </c>
      <c r="I14" s="5" t="s">
        <v>286</v>
      </c>
      <c r="J14" s="5" t="s">
        <v>287</v>
      </c>
      <c r="K14" s="5" t="s">
        <v>286</v>
      </c>
      <c r="L14" s="5" t="s">
        <v>288</v>
      </c>
      <c r="M14" s="5">
        <v>2145000</v>
      </c>
      <c r="N14" s="5">
        <v>3300000</v>
      </c>
      <c r="O14" s="5" t="s">
        <v>289</v>
      </c>
      <c r="P14" s="6">
        <v>45718</v>
      </c>
      <c r="Q14" s="5" t="s">
        <v>290</v>
      </c>
      <c r="R14" s="5" t="s">
        <v>291</v>
      </c>
      <c r="S14" s="5" t="s">
        <v>292</v>
      </c>
      <c r="T14" s="5" t="s">
        <v>292</v>
      </c>
      <c r="U14" s="5" t="s">
        <v>293</v>
      </c>
      <c r="V14" s="5" t="s">
        <v>49</v>
      </c>
      <c r="W14" s="5" t="s">
        <v>163</v>
      </c>
      <c r="X14" s="5" t="s">
        <v>45</v>
      </c>
      <c r="Y14" s="5" t="s">
        <v>74</v>
      </c>
      <c r="Z14" s="5" t="s">
        <v>294</v>
      </c>
      <c r="AA14" s="5">
        <v>5</v>
      </c>
      <c r="AB14" s="5" t="s">
        <v>44</v>
      </c>
      <c r="AC14" s="5" t="s">
        <v>295</v>
      </c>
      <c r="AD14" s="5" t="s">
        <v>163</v>
      </c>
      <c r="AE14" s="5" t="s">
        <v>46</v>
      </c>
      <c r="AF14" s="5">
        <v>2640000</v>
      </c>
      <c r="AG14" s="5">
        <v>39600</v>
      </c>
      <c r="AH14" s="5"/>
      <c r="AI14" s="5"/>
      <c r="AJ14" s="5" t="s">
        <v>37</v>
      </c>
      <c r="AK14" s="2" t="s">
        <v>5057</v>
      </c>
      <c r="AL14" s="3">
        <v>39600</v>
      </c>
      <c r="AM14" s="8">
        <v>45733</v>
      </c>
      <c r="AN14" s="2"/>
      <c r="AO14" s="7">
        <f t="shared" si="0"/>
        <v>0</v>
      </c>
    </row>
    <row r="15" spans="1:41" x14ac:dyDescent="0.25">
      <c r="A15" s="2">
        <v>39</v>
      </c>
      <c r="B15" s="2" t="s">
        <v>61</v>
      </c>
      <c r="C15" s="2" t="s">
        <v>296</v>
      </c>
      <c r="D15" s="2" t="s">
        <v>36</v>
      </c>
      <c r="E15" s="2" t="s">
        <v>37</v>
      </c>
      <c r="F15" s="2" t="s">
        <v>297</v>
      </c>
      <c r="G15" s="2" t="s">
        <v>111</v>
      </c>
      <c r="H15" s="2" t="s">
        <v>298</v>
      </c>
      <c r="I15" s="2" t="s">
        <v>299</v>
      </c>
      <c r="J15" s="2" t="s">
        <v>299</v>
      </c>
      <c r="K15" s="2" t="s">
        <v>300</v>
      </c>
      <c r="L15" s="2" t="s">
        <v>301</v>
      </c>
      <c r="M15" s="2">
        <v>993000</v>
      </c>
      <c r="N15" s="2">
        <v>1655000</v>
      </c>
      <c r="O15" s="2" t="s">
        <v>302</v>
      </c>
      <c r="P15" s="8">
        <v>45674</v>
      </c>
      <c r="Q15" s="2" t="s">
        <v>303</v>
      </c>
      <c r="R15" s="2" t="s">
        <v>304</v>
      </c>
      <c r="S15" s="2" t="s">
        <v>54</v>
      </c>
      <c r="T15" s="2" t="s">
        <v>55</v>
      </c>
      <c r="U15" s="2" t="s">
        <v>305</v>
      </c>
      <c r="V15" s="2" t="s">
        <v>91</v>
      </c>
      <c r="W15" s="8">
        <v>44438</v>
      </c>
      <c r="X15" s="2" t="s">
        <v>306</v>
      </c>
      <c r="Y15" s="8">
        <v>46779</v>
      </c>
      <c r="Z15" s="2" t="s">
        <v>307</v>
      </c>
      <c r="AA15" s="2">
        <v>6</v>
      </c>
      <c r="AB15" s="2" t="s">
        <v>44</v>
      </c>
      <c r="AC15" s="2" t="s">
        <v>308</v>
      </c>
      <c r="AD15" s="2" t="s">
        <v>309</v>
      </c>
      <c r="AE15" s="2" t="s">
        <v>78</v>
      </c>
      <c r="AF15" s="2">
        <v>1324000</v>
      </c>
      <c r="AG15" s="2">
        <v>26480</v>
      </c>
      <c r="AH15" s="2"/>
      <c r="AI15" s="2"/>
      <c r="AJ15" s="2" t="s">
        <v>37</v>
      </c>
      <c r="AK15" s="2" t="s">
        <v>5058</v>
      </c>
      <c r="AL15" s="3">
        <v>24825</v>
      </c>
      <c r="AM15" s="8">
        <v>45681</v>
      </c>
      <c r="AN15" s="2" t="s">
        <v>5447</v>
      </c>
      <c r="AO15" s="7">
        <f t="shared" si="0"/>
        <v>1655</v>
      </c>
    </row>
    <row r="16" spans="1:41" hidden="1" x14ac:dyDescent="0.25">
      <c r="A16" s="5">
        <v>40</v>
      </c>
      <c r="B16" s="5" t="s">
        <v>61</v>
      </c>
      <c r="C16" s="5" t="s">
        <v>310</v>
      </c>
      <c r="D16" s="5" t="s">
        <v>36</v>
      </c>
      <c r="E16" s="5" t="s">
        <v>37</v>
      </c>
      <c r="F16" s="5" t="s">
        <v>311</v>
      </c>
      <c r="G16" s="5" t="s">
        <v>111</v>
      </c>
      <c r="H16" s="5" t="s">
        <v>312</v>
      </c>
      <c r="I16" s="5" t="s">
        <v>313</v>
      </c>
      <c r="J16" s="5" t="s">
        <v>314</v>
      </c>
      <c r="K16" s="5" t="s">
        <v>315</v>
      </c>
      <c r="L16" s="5" t="s">
        <v>316</v>
      </c>
      <c r="M16" s="5">
        <v>1179969</v>
      </c>
      <c r="N16" s="5">
        <v>1855000</v>
      </c>
      <c r="O16" s="5" t="s">
        <v>317</v>
      </c>
      <c r="P16" s="6">
        <v>45687</v>
      </c>
      <c r="Q16" s="5" t="s">
        <v>318</v>
      </c>
      <c r="R16" s="5" t="s">
        <v>319</v>
      </c>
      <c r="S16" s="5" t="s">
        <v>54</v>
      </c>
      <c r="T16" s="5" t="s">
        <v>320</v>
      </c>
      <c r="U16" s="5" t="s">
        <v>214</v>
      </c>
      <c r="V16" s="5" t="s">
        <v>60</v>
      </c>
      <c r="W16" s="6">
        <v>44009</v>
      </c>
      <c r="X16" s="5" t="s">
        <v>231</v>
      </c>
      <c r="Y16" s="6">
        <v>45865</v>
      </c>
      <c r="Z16" s="5" t="s">
        <v>321</v>
      </c>
      <c r="AA16" s="5">
        <v>5</v>
      </c>
      <c r="AB16" s="5" t="s">
        <v>44</v>
      </c>
      <c r="AC16" s="5" t="s">
        <v>322</v>
      </c>
      <c r="AD16" s="5" t="s">
        <v>323</v>
      </c>
      <c r="AE16" s="5" t="s">
        <v>324</v>
      </c>
      <c r="AF16" s="5">
        <v>1391250</v>
      </c>
      <c r="AG16" s="5">
        <v>34781</v>
      </c>
      <c r="AH16" s="5" t="s">
        <v>325</v>
      </c>
      <c r="AI16" s="5" t="s">
        <v>237</v>
      </c>
      <c r="AJ16" s="5" t="s">
        <v>37</v>
      </c>
      <c r="AK16" s="2" t="s">
        <v>5059</v>
      </c>
      <c r="AL16" s="3">
        <v>34781</v>
      </c>
      <c r="AM16" s="8">
        <v>45681</v>
      </c>
      <c r="AN16" s="2"/>
      <c r="AO16" s="7">
        <f t="shared" si="0"/>
        <v>0</v>
      </c>
    </row>
    <row r="17" spans="1:41" hidden="1" x14ac:dyDescent="0.25">
      <c r="A17" s="2">
        <v>41</v>
      </c>
      <c r="B17" s="2" t="s">
        <v>203</v>
      </c>
      <c r="C17" s="2" t="s">
        <v>326</v>
      </c>
      <c r="D17" s="2" t="s">
        <v>36</v>
      </c>
      <c r="E17" s="2" t="s">
        <v>37</v>
      </c>
      <c r="F17" s="2" t="s">
        <v>327</v>
      </c>
      <c r="G17" s="2" t="s">
        <v>47</v>
      </c>
      <c r="H17" s="2" t="s">
        <v>328</v>
      </c>
      <c r="I17" s="2" t="s">
        <v>329</v>
      </c>
      <c r="J17" s="2" t="s">
        <v>329</v>
      </c>
      <c r="K17" s="2" t="s">
        <v>329</v>
      </c>
      <c r="L17" s="2" t="s">
        <v>330</v>
      </c>
      <c r="M17" s="2">
        <v>1001250</v>
      </c>
      <c r="N17" s="2">
        <v>1335000</v>
      </c>
      <c r="O17" s="2" t="s">
        <v>331</v>
      </c>
      <c r="P17" s="8">
        <v>45718</v>
      </c>
      <c r="Q17" s="2" t="s">
        <v>332</v>
      </c>
      <c r="R17" s="2" t="s">
        <v>333</v>
      </c>
      <c r="S17" s="2" t="s">
        <v>55</v>
      </c>
      <c r="T17" s="2" t="s">
        <v>55</v>
      </c>
      <c r="U17" s="2" t="s">
        <v>334</v>
      </c>
      <c r="V17" s="2" t="s">
        <v>57</v>
      </c>
      <c r="W17" s="2" t="s">
        <v>335</v>
      </c>
      <c r="X17" s="2" t="s">
        <v>45</v>
      </c>
      <c r="Y17" s="2" t="s">
        <v>336</v>
      </c>
      <c r="Z17" s="2" t="s">
        <v>337</v>
      </c>
      <c r="AA17" s="2">
        <v>7</v>
      </c>
      <c r="AB17" s="2" t="s">
        <v>44</v>
      </c>
      <c r="AC17" s="2" t="s">
        <v>338</v>
      </c>
      <c r="AD17" s="2" t="s">
        <v>100</v>
      </c>
      <c r="AE17" s="2" t="s">
        <v>78</v>
      </c>
      <c r="AF17" s="2">
        <v>1068000</v>
      </c>
      <c r="AG17" s="2">
        <v>21360</v>
      </c>
      <c r="AH17" s="2"/>
      <c r="AI17" s="2"/>
      <c r="AJ17" s="2" t="s">
        <v>37</v>
      </c>
      <c r="AK17" s="2" t="s">
        <v>5060</v>
      </c>
      <c r="AL17" s="3">
        <v>21360</v>
      </c>
      <c r="AM17" s="8">
        <v>45733</v>
      </c>
      <c r="AN17" s="2"/>
      <c r="AO17" s="7">
        <f t="shared" si="0"/>
        <v>0</v>
      </c>
    </row>
    <row r="18" spans="1:41" hidden="1" x14ac:dyDescent="0.25">
      <c r="A18" s="5">
        <v>42</v>
      </c>
      <c r="B18" s="5" t="s">
        <v>61</v>
      </c>
      <c r="C18" s="5" t="s">
        <v>339</v>
      </c>
      <c r="D18" s="5" t="s">
        <v>36</v>
      </c>
      <c r="E18" s="5" t="s">
        <v>37</v>
      </c>
      <c r="F18" s="5" t="s">
        <v>340</v>
      </c>
      <c r="G18" s="5" t="s">
        <v>111</v>
      </c>
      <c r="H18" s="5" t="s">
        <v>341</v>
      </c>
      <c r="I18" s="5" t="s">
        <v>55</v>
      </c>
      <c r="J18" s="5" t="s">
        <v>342</v>
      </c>
      <c r="K18" s="5" t="s">
        <v>55</v>
      </c>
      <c r="L18" s="5" t="s">
        <v>343</v>
      </c>
      <c r="M18" s="5">
        <v>1243716</v>
      </c>
      <c r="N18" s="5">
        <v>1695000</v>
      </c>
      <c r="O18" s="5" t="s">
        <v>344</v>
      </c>
      <c r="P18" s="6">
        <v>45686</v>
      </c>
      <c r="Q18" s="5" t="s">
        <v>345</v>
      </c>
      <c r="R18" s="5" t="s">
        <v>346</v>
      </c>
      <c r="S18" s="5" t="s">
        <v>54</v>
      </c>
      <c r="T18" s="5" t="s">
        <v>347</v>
      </c>
      <c r="U18" s="5" t="s">
        <v>124</v>
      </c>
      <c r="V18" s="5" t="s">
        <v>60</v>
      </c>
      <c r="W18" s="6">
        <v>44009</v>
      </c>
      <c r="X18" s="5" t="s">
        <v>231</v>
      </c>
      <c r="Y18" s="6">
        <v>45865</v>
      </c>
      <c r="Z18" s="5" t="s">
        <v>348</v>
      </c>
      <c r="AA18" s="5">
        <v>5</v>
      </c>
      <c r="AB18" s="5" t="s">
        <v>44</v>
      </c>
      <c r="AC18" s="5" t="s">
        <v>349</v>
      </c>
      <c r="AD18" s="5" t="s">
        <v>350</v>
      </c>
      <c r="AE18" s="5" t="s">
        <v>78</v>
      </c>
      <c r="AF18" s="5">
        <v>1017000</v>
      </c>
      <c r="AG18" s="5">
        <v>18647</v>
      </c>
      <c r="AH18" s="5" t="s">
        <v>351</v>
      </c>
      <c r="AI18" s="5" t="s">
        <v>237</v>
      </c>
      <c r="AJ18" s="5" t="s">
        <v>37</v>
      </c>
      <c r="AK18" s="2" t="s">
        <v>5061</v>
      </c>
      <c r="AL18" s="3">
        <v>18647</v>
      </c>
      <c r="AM18" s="8">
        <v>45681</v>
      </c>
      <c r="AN18" s="2"/>
      <c r="AO18" s="7">
        <f t="shared" si="0"/>
        <v>0</v>
      </c>
    </row>
    <row r="19" spans="1:41" hidden="1" x14ac:dyDescent="0.25">
      <c r="A19" s="2">
        <v>43</v>
      </c>
      <c r="B19" s="2" t="s">
        <v>203</v>
      </c>
      <c r="C19" s="2" t="s">
        <v>352</v>
      </c>
      <c r="D19" s="2" t="s">
        <v>36</v>
      </c>
      <c r="E19" s="2" t="s">
        <v>37</v>
      </c>
      <c r="F19" s="2" t="s">
        <v>353</v>
      </c>
      <c r="G19" s="2" t="s">
        <v>47</v>
      </c>
      <c r="H19" s="2" t="s">
        <v>354</v>
      </c>
      <c r="I19" s="2" t="s">
        <v>355</v>
      </c>
      <c r="J19" s="2" t="s">
        <v>356</v>
      </c>
      <c r="K19" s="2" t="s">
        <v>357</v>
      </c>
      <c r="L19" s="2" t="s">
        <v>358</v>
      </c>
      <c r="M19" s="2">
        <v>1512095</v>
      </c>
      <c r="N19" s="2">
        <v>2554500</v>
      </c>
      <c r="O19" s="2" t="s">
        <v>359</v>
      </c>
      <c r="P19" s="8">
        <v>45660</v>
      </c>
      <c r="Q19" s="2" t="s">
        <v>360</v>
      </c>
      <c r="R19" s="2" t="s">
        <v>361</v>
      </c>
      <c r="S19" s="2" t="s">
        <v>54</v>
      </c>
      <c r="T19" s="2" t="s">
        <v>362</v>
      </c>
      <c r="U19" s="2" t="s">
        <v>157</v>
      </c>
      <c r="V19" s="2" t="s">
        <v>40</v>
      </c>
      <c r="W19" s="8">
        <v>44011</v>
      </c>
      <c r="X19" s="2" t="s">
        <v>363</v>
      </c>
      <c r="Y19" s="8">
        <v>45841</v>
      </c>
      <c r="Z19" s="2" t="s">
        <v>364</v>
      </c>
      <c r="AA19" s="2">
        <v>7</v>
      </c>
      <c r="AB19" s="2" t="s">
        <v>175</v>
      </c>
      <c r="AC19" s="2" t="s">
        <v>365</v>
      </c>
      <c r="AD19" s="2" t="s">
        <v>366</v>
      </c>
      <c r="AE19" s="2" t="s">
        <v>367</v>
      </c>
      <c r="AF19" s="2">
        <v>1532700</v>
      </c>
      <c r="AG19" s="2">
        <v>39852</v>
      </c>
      <c r="AH19" s="2" t="s">
        <v>368</v>
      </c>
      <c r="AI19" s="2" t="s">
        <v>237</v>
      </c>
      <c r="AJ19" s="2" t="s">
        <v>369</v>
      </c>
      <c r="AK19" s="2" t="s">
        <v>5062</v>
      </c>
      <c r="AL19" s="3">
        <v>39852</v>
      </c>
      <c r="AM19" s="8">
        <v>45681</v>
      </c>
      <c r="AN19" s="2"/>
      <c r="AO19" s="7">
        <f t="shared" si="0"/>
        <v>0</v>
      </c>
    </row>
    <row r="20" spans="1:41" hidden="1" x14ac:dyDescent="0.25">
      <c r="A20" s="5">
        <v>44</v>
      </c>
      <c r="B20" s="5" t="s">
        <v>203</v>
      </c>
      <c r="C20" s="5" t="s">
        <v>370</v>
      </c>
      <c r="D20" s="5" t="s">
        <v>36</v>
      </c>
      <c r="E20" s="5" t="s">
        <v>37</v>
      </c>
      <c r="F20" s="5" t="s">
        <v>371</v>
      </c>
      <c r="G20" s="5" t="s">
        <v>47</v>
      </c>
      <c r="H20" s="5" t="s">
        <v>372</v>
      </c>
      <c r="I20" s="5" t="s">
        <v>373</v>
      </c>
      <c r="J20" s="5" t="s">
        <v>55</v>
      </c>
      <c r="K20" s="5" t="s">
        <v>374</v>
      </c>
      <c r="L20" s="5" t="s">
        <v>375</v>
      </c>
      <c r="M20" s="5">
        <v>1024000</v>
      </c>
      <c r="N20" s="5">
        <v>1280000</v>
      </c>
      <c r="O20" s="5" t="s">
        <v>376</v>
      </c>
      <c r="P20" s="6">
        <v>45687</v>
      </c>
      <c r="Q20" s="5" t="s">
        <v>377</v>
      </c>
      <c r="R20" s="5" t="s">
        <v>378</v>
      </c>
      <c r="S20" s="5" t="s">
        <v>48</v>
      </c>
      <c r="T20" s="5" t="s">
        <v>379</v>
      </c>
      <c r="U20" s="5" t="s">
        <v>380</v>
      </c>
      <c r="V20" s="5" t="s">
        <v>114</v>
      </c>
      <c r="W20" s="6">
        <v>44592</v>
      </c>
      <c r="X20" s="5" t="s">
        <v>215</v>
      </c>
      <c r="Y20" s="6">
        <v>46056</v>
      </c>
      <c r="Z20" s="5" t="s">
        <v>381</v>
      </c>
      <c r="AA20" s="5">
        <v>4</v>
      </c>
      <c r="AB20" s="5" t="s">
        <v>44</v>
      </c>
      <c r="AC20" s="5" t="s">
        <v>382</v>
      </c>
      <c r="AD20" s="5" t="s">
        <v>218</v>
      </c>
      <c r="AE20" s="5" t="s">
        <v>46</v>
      </c>
      <c r="AF20" s="5">
        <v>1024000</v>
      </c>
      <c r="AG20" s="5">
        <v>15360</v>
      </c>
      <c r="AH20" s="5"/>
      <c r="AI20" s="5"/>
      <c r="AJ20" s="5" t="s">
        <v>369</v>
      </c>
      <c r="AK20" s="9" t="s">
        <v>5611</v>
      </c>
      <c r="AL20" s="3">
        <v>15360</v>
      </c>
      <c r="AM20" s="8">
        <v>45743</v>
      </c>
      <c r="AN20" s="2"/>
      <c r="AO20" s="7">
        <f t="shared" si="0"/>
        <v>0</v>
      </c>
    </row>
    <row r="21" spans="1:41" hidden="1" x14ac:dyDescent="0.25">
      <c r="A21" s="2">
        <v>45</v>
      </c>
      <c r="B21" s="2" t="s">
        <v>61</v>
      </c>
      <c r="C21" s="2" t="s">
        <v>383</v>
      </c>
      <c r="D21" s="2" t="s">
        <v>36</v>
      </c>
      <c r="E21" s="2" t="s">
        <v>37</v>
      </c>
      <c r="F21" s="2" t="s">
        <v>384</v>
      </c>
      <c r="G21" s="2" t="s">
        <v>47</v>
      </c>
      <c r="H21" s="2" t="s">
        <v>385</v>
      </c>
      <c r="I21" s="2" t="s">
        <v>386</v>
      </c>
      <c r="J21" s="2" t="s">
        <v>387</v>
      </c>
      <c r="K21" s="2" t="s">
        <v>388</v>
      </c>
      <c r="L21" s="2" t="s">
        <v>389</v>
      </c>
      <c r="M21" s="2">
        <v>1190000</v>
      </c>
      <c r="N21" s="2">
        <v>1700000</v>
      </c>
      <c r="O21" s="2" t="s">
        <v>390</v>
      </c>
      <c r="P21" s="8">
        <v>45687</v>
      </c>
      <c r="Q21" s="2" t="s">
        <v>391</v>
      </c>
      <c r="R21" s="2" t="s">
        <v>392</v>
      </c>
      <c r="S21" s="2" t="s">
        <v>48</v>
      </c>
      <c r="T21" s="2" t="s">
        <v>393</v>
      </c>
      <c r="U21" s="2" t="s">
        <v>394</v>
      </c>
      <c r="V21" s="2" t="s">
        <v>110</v>
      </c>
      <c r="W21" s="8">
        <v>44592</v>
      </c>
      <c r="X21" s="2" t="s">
        <v>215</v>
      </c>
      <c r="Y21" s="8">
        <v>46056</v>
      </c>
      <c r="Z21" s="2" t="s">
        <v>395</v>
      </c>
      <c r="AA21" s="2">
        <v>4</v>
      </c>
      <c r="AB21" s="2" t="s">
        <v>44</v>
      </c>
      <c r="AC21" s="2" t="s">
        <v>396</v>
      </c>
      <c r="AD21" s="2" t="s">
        <v>218</v>
      </c>
      <c r="AE21" s="2" t="s">
        <v>46</v>
      </c>
      <c r="AF21" s="2">
        <v>1360000</v>
      </c>
      <c r="AG21" s="2">
        <v>20400</v>
      </c>
      <c r="AH21" s="2"/>
      <c r="AI21" s="2"/>
      <c r="AJ21" s="2" t="s">
        <v>369</v>
      </c>
      <c r="AK21" s="9" t="s">
        <v>5612</v>
      </c>
      <c r="AL21" s="3">
        <v>20400</v>
      </c>
      <c r="AM21" s="8">
        <v>45743</v>
      </c>
      <c r="AN21" s="2"/>
      <c r="AO21" s="7">
        <f t="shared" si="0"/>
        <v>0</v>
      </c>
    </row>
    <row r="22" spans="1:41" hidden="1" x14ac:dyDescent="0.25">
      <c r="A22" s="5">
        <v>46</v>
      </c>
      <c r="B22" s="5" t="s">
        <v>61</v>
      </c>
      <c r="C22" s="5" t="s">
        <v>397</v>
      </c>
      <c r="D22" s="5" t="s">
        <v>36</v>
      </c>
      <c r="E22" s="5" t="s">
        <v>37</v>
      </c>
      <c r="F22" s="5" t="s">
        <v>398</v>
      </c>
      <c r="G22" s="5" t="s">
        <v>206</v>
      </c>
      <c r="H22" s="5" t="s">
        <v>399</v>
      </c>
      <c r="I22" s="5" t="s">
        <v>400</v>
      </c>
      <c r="J22" s="5" t="s">
        <v>401</v>
      </c>
      <c r="K22" s="5" t="s">
        <v>402</v>
      </c>
      <c r="L22" s="5" t="s">
        <v>403</v>
      </c>
      <c r="M22" s="5">
        <v>2730000</v>
      </c>
      <c r="N22" s="5">
        <v>3900000</v>
      </c>
      <c r="O22" s="5" t="s">
        <v>404</v>
      </c>
      <c r="P22" s="6">
        <v>45687</v>
      </c>
      <c r="Q22" s="5" t="s">
        <v>405</v>
      </c>
      <c r="R22" s="5" t="s">
        <v>406</v>
      </c>
      <c r="S22" s="5" t="s">
        <v>54</v>
      </c>
      <c r="T22" s="5" t="s">
        <v>55</v>
      </c>
      <c r="U22" s="5" t="s">
        <v>157</v>
      </c>
      <c r="V22" s="5" t="s">
        <v>57</v>
      </c>
      <c r="W22" s="6">
        <v>44592</v>
      </c>
      <c r="X22" s="5" t="s">
        <v>215</v>
      </c>
      <c r="Y22" s="6">
        <v>46056</v>
      </c>
      <c r="Z22" s="5" t="s">
        <v>407</v>
      </c>
      <c r="AA22" s="5">
        <v>4</v>
      </c>
      <c r="AB22" s="5" t="s">
        <v>44</v>
      </c>
      <c r="AC22" s="5" t="s">
        <v>408</v>
      </c>
      <c r="AD22" s="5" t="s">
        <v>218</v>
      </c>
      <c r="AE22" s="5" t="s">
        <v>46</v>
      </c>
      <c r="AF22" s="5">
        <v>3120000</v>
      </c>
      <c r="AG22" s="5">
        <v>46800</v>
      </c>
      <c r="AH22" s="5"/>
      <c r="AI22" s="5"/>
      <c r="AJ22" s="5" t="s">
        <v>369</v>
      </c>
      <c r="AK22" s="9" t="s">
        <v>5613</v>
      </c>
      <c r="AL22" s="3">
        <v>46800</v>
      </c>
      <c r="AM22" s="8">
        <v>45743</v>
      </c>
      <c r="AN22" s="2"/>
      <c r="AO22" s="7">
        <f t="shared" si="0"/>
        <v>0</v>
      </c>
    </row>
    <row r="23" spans="1:41" hidden="1" x14ac:dyDescent="0.25">
      <c r="A23" s="2">
        <v>47</v>
      </c>
      <c r="B23" s="2" t="s">
        <v>61</v>
      </c>
      <c r="C23" s="2" t="s">
        <v>409</v>
      </c>
      <c r="D23" s="2" t="s">
        <v>36</v>
      </c>
      <c r="E23" s="2" t="s">
        <v>37</v>
      </c>
      <c r="F23" s="2" t="s">
        <v>410</v>
      </c>
      <c r="G23" s="2" t="s">
        <v>47</v>
      </c>
      <c r="H23" s="2" t="s">
        <v>411</v>
      </c>
      <c r="I23" s="2" t="s">
        <v>412</v>
      </c>
      <c r="J23" s="2" t="s">
        <v>413</v>
      </c>
      <c r="K23" s="2" t="s">
        <v>414</v>
      </c>
      <c r="L23" s="2" t="s">
        <v>415</v>
      </c>
      <c r="M23" s="2">
        <v>2256800</v>
      </c>
      <c r="N23" s="2">
        <v>3472000</v>
      </c>
      <c r="O23" s="2" t="s">
        <v>416</v>
      </c>
      <c r="P23" s="8">
        <v>45687</v>
      </c>
      <c r="Q23" s="2" t="s">
        <v>417</v>
      </c>
      <c r="R23" s="2" t="s">
        <v>418</v>
      </c>
      <c r="S23" s="2" t="s">
        <v>54</v>
      </c>
      <c r="T23" s="2" t="s">
        <v>55</v>
      </c>
      <c r="U23" s="2" t="s">
        <v>108</v>
      </c>
      <c r="V23" s="2" t="s">
        <v>57</v>
      </c>
      <c r="W23" s="8">
        <v>44592</v>
      </c>
      <c r="X23" s="2" t="s">
        <v>215</v>
      </c>
      <c r="Y23" s="8">
        <v>46056</v>
      </c>
      <c r="Z23" s="2" t="s">
        <v>419</v>
      </c>
      <c r="AA23" s="2">
        <v>4</v>
      </c>
      <c r="AB23" s="2" t="s">
        <v>44</v>
      </c>
      <c r="AC23" s="2" t="s">
        <v>420</v>
      </c>
      <c r="AD23" s="2" t="s">
        <v>218</v>
      </c>
      <c r="AE23" s="2" t="s">
        <v>78</v>
      </c>
      <c r="AF23" s="2">
        <v>2777600</v>
      </c>
      <c r="AG23" s="2">
        <v>55552</v>
      </c>
      <c r="AH23" s="2"/>
      <c r="AI23" s="2"/>
      <c r="AJ23" s="2" t="s">
        <v>369</v>
      </c>
      <c r="AK23" s="9" t="s">
        <v>5614</v>
      </c>
      <c r="AL23" s="3">
        <v>55552</v>
      </c>
      <c r="AM23" s="8">
        <v>45743</v>
      </c>
      <c r="AN23" s="2"/>
      <c r="AO23" s="7">
        <f t="shared" si="0"/>
        <v>0</v>
      </c>
    </row>
    <row r="24" spans="1:41" x14ac:dyDescent="0.25">
      <c r="A24" s="5">
        <v>48</v>
      </c>
      <c r="B24" s="5" t="s">
        <v>61</v>
      </c>
      <c r="C24" s="5" t="s">
        <v>421</v>
      </c>
      <c r="D24" s="5" t="s">
        <v>36</v>
      </c>
      <c r="E24" s="5" t="s">
        <v>37</v>
      </c>
      <c r="F24" s="5" t="s">
        <v>422</v>
      </c>
      <c r="G24" s="5" t="s">
        <v>47</v>
      </c>
      <c r="H24" s="5" t="s">
        <v>423</v>
      </c>
      <c r="I24" s="5" t="s">
        <v>424</v>
      </c>
      <c r="J24" s="5" t="s">
        <v>424</v>
      </c>
      <c r="K24" s="5" t="s">
        <v>67</v>
      </c>
      <c r="L24" s="5" t="s">
        <v>425</v>
      </c>
      <c r="M24" s="5">
        <v>1179500</v>
      </c>
      <c r="N24" s="5">
        <v>1685000</v>
      </c>
      <c r="O24" s="5" t="s">
        <v>426</v>
      </c>
      <c r="P24" s="6">
        <v>45687</v>
      </c>
      <c r="Q24" s="5" t="s">
        <v>427</v>
      </c>
      <c r="R24" s="5" t="s">
        <v>428</v>
      </c>
      <c r="S24" s="5" t="s">
        <v>48</v>
      </c>
      <c r="T24" s="5" t="s">
        <v>429</v>
      </c>
      <c r="U24" s="5" t="s">
        <v>430</v>
      </c>
      <c r="V24" s="5" t="s">
        <v>91</v>
      </c>
      <c r="W24" s="6">
        <v>44593</v>
      </c>
      <c r="X24" s="5" t="s">
        <v>215</v>
      </c>
      <c r="Y24" s="6">
        <v>46786</v>
      </c>
      <c r="Z24" s="5" t="s">
        <v>431</v>
      </c>
      <c r="AA24" s="5">
        <v>6</v>
      </c>
      <c r="AB24" s="5" t="s">
        <v>44</v>
      </c>
      <c r="AC24" s="5" t="s">
        <v>432</v>
      </c>
      <c r="AD24" s="5" t="s">
        <v>218</v>
      </c>
      <c r="AE24" s="5" t="s">
        <v>46</v>
      </c>
      <c r="AF24" s="5">
        <v>1348000</v>
      </c>
      <c r="AG24" s="5">
        <v>20220</v>
      </c>
      <c r="AH24" s="5"/>
      <c r="AI24" s="5"/>
      <c r="AJ24" s="5" t="s">
        <v>37</v>
      </c>
      <c r="AK24" s="2" t="s">
        <v>5063</v>
      </c>
      <c r="AL24" s="3">
        <v>21484</v>
      </c>
      <c r="AM24" s="8">
        <v>45681</v>
      </c>
      <c r="AN24" s="2" t="s">
        <v>5448</v>
      </c>
      <c r="AO24" s="7">
        <f t="shared" si="0"/>
        <v>-1264</v>
      </c>
    </row>
    <row r="25" spans="1:41" x14ac:dyDescent="0.25">
      <c r="A25" s="2">
        <v>49</v>
      </c>
      <c r="B25" s="2" t="s">
        <v>61</v>
      </c>
      <c r="C25" s="2" t="s">
        <v>433</v>
      </c>
      <c r="D25" s="2" t="s">
        <v>36</v>
      </c>
      <c r="E25" s="2" t="s">
        <v>37</v>
      </c>
      <c r="F25" s="2" t="s">
        <v>434</v>
      </c>
      <c r="G25" s="2" t="s">
        <v>206</v>
      </c>
      <c r="H25" s="2" t="s">
        <v>435</v>
      </c>
      <c r="I25" s="2" t="s">
        <v>436</v>
      </c>
      <c r="J25" s="2" t="s">
        <v>436</v>
      </c>
      <c r="K25" s="2" t="s">
        <v>436</v>
      </c>
      <c r="L25" s="2" t="s">
        <v>437</v>
      </c>
      <c r="M25" s="2">
        <v>1098000</v>
      </c>
      <c r="N25" s="2">
        <v>1830000</v>
      </c>
      <c r="O25" s="2" t="s">
        <v>438</v>
      </c>
      <c r="P25" s="8">
        <v>45687</v>
      </c>
      <c r="Q25" s="2" t="s">
        <v>439</v>
      </c>
      <c r="R25" s="2" t="s">
        <v>440</v>
      </c>
      <c r="S25" s="2" t="s">
        <v>48</v>
      </c>
      <c r="T25" s="2" t="s">
        <v>441</v>
      </c>
      <c r="U25" s="2" t="s">
        <v>214</v>
      </c>
      <c r="V25" s="2" t="s">
        <v>91</v>
      </c>
      <c r="W25" s="8">
        <v>44593</v>
      </c>
      <c r="X25" s="2" t="s">
        <v>215</v>
      </c>
      <c r="Y25" s="8">
        <v>46056</v>
      </c>
      <c r="Z25" s="2" t="s">
        <v>442</v>
      </c>
      <c r="AA25" s="2">
        <v>4</v>
      </c>
      <c r="AB25" s="2" t="s">
        <v>44</v>
      </c>
      <c r="AC25" s="2" t="s">
        <v>443</v>
      </c>
      <c r="AD25" s="2" t="s">
        <v>444</v>
      </c>
      <c r="AE25" s="2" t="s">
        <v>46</v>
      </c>
      <c r="AF25" s="2">
        <v>1464000</v>
      </c>
      <c r="AG25" s="2">
        <v>21960</v>
      </c>
      <c r="AH25" s="2"/>
      <c r="AI25" s="2"/>
      <c r="AJ25" s="2" t="s">
        <v>37</v>
      </c>
      <c r="AK25" s="2" t="s">
        <v>5064</v>
      </c>
      <c r="AL25" s="3">
        <v>23333</v>
      </c>
      <c r="AM25" s="8">
        <v>45681</v>
      </c>
      <c r="AN25" s="2" t="s">
        <v>5449</v>
      </c>
      <c r="AO25" s="7">
        <f t="shared" si="0"/>
        <v>-1373</v>
      </c>
    </row>
    <row r="26" spans="1:41" hidden="1" x14ac:dyDescent="0.25">
      <c r="A26" s="5">
        <v>50</v>
      </c>
      <c r="B26" s="5" t="s">
        <v>61</v>
      </c>
      <c r="C26" s="5" t="s">
        <v>445</v>
      </c>
      <c r="D26" s="5" t="s">
        <v>36</v>
      </c>
      <c r="E26" s="5" t="s">
        <v>37</v>
      </c>
      <c r="F26" s="5" t="s">
        <v>446</v>
      </c>
      <c r="G26" s="5" t="s">
        <v>111</v>
      </c>
      <c r="H26" s="5" t="s">
        <v>447</v>
      </c>
      <c r="I26" s="5" t="s">
        <v>448</v>
      </c>
      <c r="J26" s="5" t="s">
        <v>448</v>
      </c>
      <c r="K26" s="5" t="s">
        <v>448</v>
      </c>
      <c r="L26" s="5" t="s">
        <v>449</v>
      </c>
      <c r="M26" s="5">
        <v>934500</v>
      </c>
      <c r="N26" s="5">
        <v>1335000</v>
      </c>
      <c r="O26" s="5" t="s">
        <v>161</v>
      </c>
      <c r="P26" s="6">
        <v>45719</v>
      </c>
      <c r="Q26" s="5" t="s">
        <v>450</v>
      </c>
      <c r="R26" s="5" t="s">
        <v>451</v>
      </c>
      <c r="S26" s="5" t="s">
        <v>55</v>
      </c>
      <c r="T26" s="5" t="s">
        <v>55</v>
      </c>
      <c r="U26" s="5" t="s">
        <v>334</v>
      </c>
      <c r="V26" s="5" t="s">
        <v>57</v>
      </c>
      <c r="W26" s="5" t="s">
        <v>452</v>
      </c>
      <c r="X26" s="5" t="s">
        <v>45</v>
      </c>
      <c r="Y26" s="5" t="s">
        <v>74</v>
      </c>
      <c r="Z26" s="5" t="s">
        <v>453</v>
      </c>
      <c r="AA26" s="5">
        <v>5</v>
      </c>
      <c r="AB26" s="5" t="s">
        <v>44</v>
      </c>
      <c r="AC26" s="5" t="s">
        <v>454</v>
      </c>
      <c r="AD26" s="5" t="s">
        <v>153</v>
      </c>
      <c r="AE26" s="5" t="s">
        <v>78</v>
      </c>
      <c r="AF26" s="5">
        <v>1068000</v>
      </c>
      <c r="AG26" s="5">
        <v>21360</v>
      </c>
      <c r="AH26" s="5"/>
      <c r="AI26" s="5"/>
      <c r="AJ26" s="5" t="s">
        <v>37</v>
      </c>
      <c r="AK26" s="2" t="s">
        <v>5065</v>
      </c>
      <c r="AL26" s="3">
        <v>21360</v>
      </c>
      <c r="AM26" s="8">
        <v>45733</v>
      </c>
      <c r="AN26" s="2"/>
      <c r="AO26" s="7">
        <f t="shared" si="0"/>
        <v>0</v>
      </c>
    </row>
    <row r="27" spans="1:41" x14ac:dyDescent="0.25">
      <c r="A27" s="2">
        <v>51</v>
      </c>
      <c r="B27" s="2" t="s">
        <v>61</v>
      </c>
      <c r="C27" s="2" t="s">
        <v>455</v>
      </c>
      <c r="D27" s="2" t="s">
        <v>36</v>
      </c>
      <c r="E27" s="2" t="s">
        <v>37</v>
      </c>
      <c r="F27" s="2" t="s">
        <v>456</v>
      </c>
      <c r="G27" s="2" t="s">
        <v>53</v>
      </c>
      <c r="H27" s="2" t="s">
        <v>457</v>
      </c>
      <c r="I27" s="2" t="s">
        <v>458</v>
      </c>
      <c r="J27" s="2" t="s">
        <v>459</v>
      </c>
      <c r="K27" s="2" t="s">
        <v>458</v>
      </c>
      <c r="L27" s="2" t="s">
        <v>460</v>
      </c>
      <c r="M27" s="2">
        <v>675000</v>
      </c>
      <c r="N27" s="2">
        <v>900000</v>
      </c>
      <c r="O27" s="2" t="s">
        <v>461</v>
      </c>
      <c r="P27" s="8">
        <v>45687</v>
      </c>
      <c r="Q27" s="2" t="s">
        <v>462</v>
      </c>
      <c r="R27" s="2" t="s">
        <v>463</v>
      </c>
      <c r="S27" s="2" t="s">
        <v>48</v>
      </c>
      <c r="T27" s="2" t="s">
        <v>464</v>
      </c>
      <c r="U27" s="2" t="s">
        <v>465</v>
      </c>
      <c r="V27" s="2" t="s">
        <v>49</v>
      </c>
      <c r="W27" s="8">
        <v>44592</v>
      </c>
      <c r="X27" s="2" t="s">
        <v>215</v>
      </c>
      <c r="Y27" s="8">
        <v>46056</v>
      </c>
      <c r="Z27" s="2" t="s">
        <v>466</v>
      </c>
      <c r="AA27" s="2">
        <v>4</v>
      </c>
      <c r="AB27" s="2" t="s">
        <v>76</v>
      </c>
      <c r="AC27" s="2" t="s">
        <v>467</v>
      </c>
      <c r="AD27" s="2" t="s">
        <v>218</v>
      </c>
      <c r="AE27" s="2" t="s">
        <v>46</v>
      </c>
      <c r="AF27" s="2">
        <v>720000</v>
      </c>
      <c r="AG27" s="2">
        <v>10800</v>
      </c>
      <c r="AH27" s="2"/>
      <c r="AI27" s="2"/>
      <c r="AJ27" s="2" t="s">
        <v>37</v>
      </c>
      <c r="AK27" s="2" t="s">
        <v>5066</v>
      </c>
      <c r="AL27" s="3">
        <v>11475</v>
      </c>
      <c r="AM27" s="8">
        <v>45681</v>
      </c>
      <c r="AN27" s="2" t="s">
        <v>5450</v>
      </c>
      <c r="AO27" s="7">
        <f t="shared" si="0"/>
        <v>-675</v>
      </c>
    </row>
    <row r="28" spans="1:41" x14ac:dyDescent="0.25">
      <c r="A28" s="5">
        <v>52</v>
      </c>
      <c r="B28" s="5" t="s">
        <v>61</v>
      </c>
      <c r="C28" s="5" t="s">
        <v>468</v>
      </c>
      <c r="D28" s="5" t="s">
        <v>36</v>
      </c>
      <c r="E28" s="5" t="s">
        <v>37</v>
      </c>
      <c r="F28" s="5" t="s">
        <v>469</v>
      </c>
      <c r="G28" s="5" t="s">
        <v>111</v>
      </c>
      <c r="H28" s="5" t="s">
        <v>470</v>
      </c>
      <c r="I28" s="5">
        <v>3214776571</v>
      </c>
      <c r="J28" s="5">
        <v>3214776571</v>
      </c>
      <c r="K28" s="5" t="s">
        <v>471</v>
      </c>
      <c r="L28" s="5" t="s">
        <v>472</v>
      </c>
      <c r="M28" s="5">
        <v>4072500</v>
      </c>
      <c r="N28" s="5">
        <v>5430000</v>
      </c>
      <c r="O28" s="5" t="s">
        <v>473</v>
      </c>
      <c r="P28" s="6">
        <v>45685</v>
      </c>
      <c r="Q28" s="5" t="s">
        <v>474</v>
      </c>
      <c r="R28" s="5" t="s">
        <v>475</v>
      </c>
      <c r="S28" s="5" t="s">
        <v>54</v>
      </c>
      <c r="T28" s="5"/>
      <c r="U28" s="5" t="s">
        <v>476</v>
      </c>
      <c r="V28" s="5">
        <v>2021</v>
      </c>
      <c r="W28" s="6">
        <v>44151</v>
      </c>
      <c r="X28" s="5" t="s">
        <v>477</v>
      </c>
      <c r="Y28" s="6">
        <v>46786</v>
      </c>
      <c r="Z28" s="5" t="s">
        <v>478</v>
      </c>
      <c r="AA28" s="5">
        <v>7</v>
      </c>
      <c r="AB28" s="5" t="s">
        <v>479</v>
      </c>
      <c r="AC28" s="5"/>
      <c r="AD28" s="5"/>
      <c r="AE28" s="5" t="s">
        <v>46</v>
      </c>
      <c r="AF28" s="5">
        <v>4344000</v>
      </c>
      <c r="AG28" s="5">
        <v>61088</v>
      </c>
      <c r="AH28" s="5"/>
      <c r="AI28" s="5"/>
      <c r="AJ28" s="5" t="s">
        <v>37</v>
      </c>
      <c r="AK28" s="2" t="s">
        <v>5067</v>
      </c>
      <c r="AL28" s="3">
        <v>65160</v>
      </c>
      <c r="AM28" s="8">
        <v>45681</v>
      </c>
      <c r="AN28" s="2" t="s">
        <v>5451</v>
      </c>
      <c r="AO28" s="7">
        <f t="shared" si="0"/>
        <v>-4072</v>
      </c>
    </row>
    <row r="29" spans="1:41" x14ac:dyDescent="0.25">
      <c r="A29" s="2">
        <v>53</v>
      </c>
      <c r="B29" s="2" t="s">
        <v>61</v>
      </c>
      <c r="C29" s="2" t="s">
        <v>480</v>
      </c>
      <c r="D29" s="2" t="s">
        <v>36</v>
      </c>
      <c r="E29" s="2" t="s">
        <v>37</v>
      </c>
      <c r="F29" s="2" t="s">
        <v>481</v>
      </c>
      <c r="G29" s="2" t="s">
        <v>47</v>
      </c>
      <c r="H29" s="2" t="s">
        <v>482</v>
      </c>
      <c r="I29" s="2" t="s">
        <v>55</v>
      </c>
      <c r="J29" s="2" t="s">
        <v>483</v>
      </c>
      <c r="K29" s="2" t="s">
        <v>483</v>
      </c>
      <c r="L29" s="2" t="s">
        <v>484</v>
      </c>
      <c r="M29" s="2">
        <v>2729300</v>
      </c>
      <c r="N29" s="2">
        <v>3899000</v>
      </c>
      <c r="O29" s="2" t="s">
        <v>485</v>
      </c>
      <c r="P29" s="8">
        <v>45685</v>
      </c>
      <c r="Q29" s="2" t="s">
        <v>486</v>
      </c>
      <c r="R29" s="2" t="s">
        <v>487</v>
      </c>
      <c r="S29" s="2" t="s">
        <v>54</v>
      </c>
      <c r="T29" s="2" t="s">
        <v>55</v>
      </c>
      <c r="U29" s="2" t="s">
        <v>488</v>
      </c>
      <c r="V29" s="2" t="s">
        <v>57</v>
      </c>
      <c r="W29" s="8">
        <v>44592</v>
      </c>
      <c r="X29" s="2" t="s">
        <v>215</v>
      </c>
      <c r="Y29" s="8">
        <v>46056</v>
      </c>
      <c r="Z29" s="2" t="s">
        <v>489</v>
      </c>
      <c r="AA29" s="2">
        <v>4</v>
      </c>
      <c r="AB29" s="2" t="s">
        <v>44</v>
      </c>
      <c r="AC29" s="2" t="s">
        <v>490</v>
      </c>
      <c r="AD29" s="2" t="s">
        <v>218</v>
      </c>
      <c r="AE29" s="2" t="s">
        <v>46</v>
      </c>
      <c r="AF29" s="2">
        <v>3119200</v>
      </c>
      <c r="AG29" s="2">
        <v>46788</v>
      </c>
      <c r="AH29" s="2"/>
      <c r="AI29" s="2"/>
      <c r="AJ29" s="2" t="s">
        <v>37</v>
      </c>
      <c r="AK29" s="2" t="s">
        <v>5068</v>
      </c>
      <c r="AL29" s="3">
        <v>49712</v>
      </c>
      <c r="AM29" s="8">
        <v>45681</v>
      </c>
      <c r="AN29" s="2" t="s">
        <v>5452</v>
      </c>
      <c r="AO29" s="7">
        <f t="shared" si="0"/>
        <v>-2924</v>
      </c>
    </row>
    <row r="30" spans="1:41" hidden="1" x14ac:dyDescent="0.25">
      <c r="A30" s="5">
        <v>54</v>
      </c>
      <c r="B30" s="5" t="s">
        <v>61</v>
      </c>
      <c r="C30" s="5" t="s">
        <v>491</v>
      </c>
      <c r="D30" s="5" t="s">
        <v>36</v>
      </c>
      <c r="E30" s="5" t="s">
        <v>37</v>
      </c>
      <c r="F30" s="5" t="s">
        <v>492</v>
      </c>
      <c r="G30" s="5" t="s">
        <v>64</v>
      </c>
      <c r="H30" s="5" t="s">
        <v>493</v>
      </c>
      <c r="I30" s="5" t="s">
        <v>55</v>
      </c>
      <c r="J30" s="5" t="s">
        <v>494</v>
      </c>
      <c r="K30" s="5" t="s">
        <v>495</v>
      </c>
      <c r="L30" s="5" t="s">
        <v>496</v>
      </c>
      <c r="M30" s="5">
        <v>1068000</v>
      </c>
      <c r="N30" s="5">
        <v>1335000</v>
      </c>
      <c r="O30" s="5" t="s">
        <v>497</v>
      </c>
      <c r="P30" s="6">
        <v>45719</v>
      </c>
      <c r="Q30" s="5" t="s">
        <v>498</v>
      </c>
      <c r="R30" s="5" t="s">
        <v>499</v>
      </c>
      <c r="S30" s="5" t="s">
        <v>55</v>
      </c>
      <c r="T30" s="5" t="s">
        <v>55</v>
      </c>
      <c r="U30" s="5" t="s">
        <v>334</v>
      </c>
      <c r="V30" s="5" t="s">
        <v>57</v>
      </c>
      <c r="W30" s="5" t="s">
        <v>500</v>
      </c>
      <c r="X30" s="5" t="s">
        <v>45</v>
      </c>
      <c r="Y30" s="5" t="s">
        <v>74</v>
      </c>
      <c r="Z30" s="5" t="s">
        <v>501</v>
      </c>
      <c r="AA30" s="5">
        <v>5</v>
      </c>
      <c r="AB30" s="5" t="s">
        <v>44</v>
      </c>
      <c r="AC30" s="5" t="s">
        <v>502</v>
      </c>
      <c r="AD30" s="5" t="s">
        <v>153</v>
      </c>
      <c r="AE30" s="5" t="s">
        <v>78</v>
      </c>
      <c r="AF30" s="5">
        <v>1068000</v>
      </c>
      <c r="AG30" s="5">
        <v>21360</v>
      </c>
      <c r="AH30" s="5"/>
      <c r="AI30" s="5"/>
      <c r="AJ30" s="5" t="s">
        <v>37</v>
      </c>
      <c r="AK30" s="2" t="s">
        <v>5069</v>
      </c>
      <c r="AL30" s="3">
        <v>21360</v>
      </c>
      <c r="AM30" s="8">
        <v>45733</v>
      </c>
      <c r="AN30" s="2"/>
      <c r="AO30" s="7">
        <f t="shared" si="0"/>
        <v>0</v>
      </c>
    </row>
    <row r="31" spans="1:41" hidden="1" x14ac:dyDescent="0.25">
      <c r="A31" s="2">
        <v>55</v>
      </c>
      <c r="B31" s="2" t="s">
        <v>61</v>
      </c>
      <c r="C31" s="2" t="s">
        <v>503</v>
      </c>
      <c r="D31" s="2" t="s">
        <v>36</v>
      </c>
      <c r="E31" s="2" t="s">
        <v>37</v>
      </c>
      <c r="F31" s="2" t="s">
        <v>504</v>
      </c>
      <c r="G31" s="2" t="s">
        <v>111</v>
      </c>
      <c r="H31" s="2" t="s">
        <v>505</v>
      </c>
      <c r="I31" s="2" t="s">
        <v>506</v>
      </c>
      <c r="J31" s="2" t="s">
        <v>506</v>
      </c>
      <c r="K31" s="2" t="s">
        <v>506</v>
      </c>
      <c r="L31" s="2" t="s">
        <v>507</v>
      </c>
      <c r="M31" s="2">
        <v>2240000</v>
      </c>
      <c r="N31" s="2">
        <v>3200000</v>
      </c>
      <c r="O31" s="2" t="s">
        <v>508</v>
      </c>
      <c r="P31" s="8">
        <v>45685</v>
      </c>
      <c r="Q31" s="2" t="s">
        <v>509</v>
      </c>
      <c r="R31" s="2" t="s">
        <v>510</v>
      </c>
      <c r="S31" s="2" t="s">
        <v>48</v>
      </c>
      <c r="T31" s="2" t="s">
        <v>511</v>
      </c>
      <c r="U31" s="2" t="s">
        <v>90</v>
      </c>
      <c r="V31" s="2" t="s">
        <v>49</v>
      </c>
      <c r="W31" s="8">
        <v>44593</v>
      </c>
      <c r="X31" s="2" t="s">
        <v>215</v>
      </c>
      <c r="Y31" s="8">
        <v>46421</v>
      </c>
      <c r="Z31" s="2" t="s">
        <v>512</v>
      </c>
      <c r="AA31" s="2">
        <v>5</v>
      </c>
      <c r="AB31" s="2" t="s">
        <v>76</v>
      </c>
      <c r="AC31" s="2" t="s">
        <v>513</v>
      </c>
      <c r="AD31" s="2" t="s">
        <v>514</v>
      </c>
      <c r="AE31" s="2" t="s">
        <v>46</v>
      </c>
      <c r="AF31" s="2">
        <v>2560000</v>
      </c>
      <c r="AG31" s="2">
        <v>38400</v>
      </c>
      <c r="AH31" s="2"/>
      <c r="AI31" s="2"/>
      <c r="AJ31" s="2" t="s">
        <v>37</v>
      </c>
      <c r="AK31" s="2" t="s">
        <v>5070</v>
      </c>
      <c r="AL31" s="3">
        <v>38400</v>
      </c>
      <c r="AM31" s="8">
        <v>45681</v>
      </c>
      <c r="AN31" s="2"/>
      <c r="AO31" s="7">
        <f t="shared" si="0"/>
        <v>0</v>
      </c>
    </row>
    <row r="32" spans="1:41" x14ac:dyDescent="0.25">
      <c r="A32" s="5">
        <v>56</v>
      </c>
      <c r="B32" s="5" t="s">
        <v>61</v>
      </c>
      <c r="C32" s="5" t="s">
        <v>515</v>
      </c>
      <c r="D32" s="5" t="s">
        <v>36</v>
      </c>
      <c r="E32" s="5" t="s">
        <v>37</v>
      </c>
      <c r="F32" s="5" t="s">
        <v>516</v>
      </c>
      <c r="G32" s="5" t="s">
        <v>111</v>
      </c>
      <c r="H32" s="5" t="s">
        <v>517</v>
      </c>
      <c r="I32" s="5">
        <v>3217510045</v>
      </c>
      <c r="J32" s="5">
        <v>3217510045</v>
      </c>
      <c r="K32" s="5">
        <v>4235750205</v>
      </c>
      <c r="L32" s="5" t="s">
        <v>518</v>
      </c>
      <c r="M32" s="5">
        <v>1687500</v>
      </c>
      <c r="N32" s="5">
        <v>2250000</v>
      </c>
      <c r="O32" s="5" t="s">
        <v>519</v>
      </c>
      <c r="P32" s="6">
        <v>45685</v>
      </c>
      <c r="Q32" s="5" t="s">
        <v>520</v>
      </c>
      <c r="R32" s="5">
        <v>4063646</v>
      </c>
      <c r="S32" s="5" t="s">
        <v>48</v>
      </c>
      <c r="T32" s="5" t="s">
        <v>521</v>
      </c>
      <c r="U32" s="5" t="s">
        <v>522</v>
      </c>
      <c r="V32" s="5">
        <v>2016</v>
      </c>
      <c r="W32" s="6">
        <v>44226</v>
      </c>
      <c r="X32" s="5" t="s">
        <v>477</v>
      </c>
      <c r="Y32" s="6">
        <v>46421</v>
      </c>
      <c r="Z32" s="5" t="s">
        <v>523</v>
      </c>
      <c r="AA32" s="5">
        <v>6</v>
      </c>
      <c r="AB32" s="5" t="s">
        <v>51</v>
      </c>
      <c r="AC32" s="5" t="s">
        <v>524</v>
      </c>
      <c r="AD32" s="5">
        <v>44224</v>
      </c>
      <c r="AE32" s="5" t="s">
        <v>78</v>
      </c>
      <c r="AF32" s="5">
        <v>1687500</v>
      </c>
      <c r="AG32" s="5">
        <v>33750</v>
      </c>
      <c r="AH32" s="5"/>
      <c r="AI32" s="5"/>
      <c r="AJ32" s="5" t="s">
        <v>37</v>
      </c>
      <c r="AK32" s="2" t="s">
        <v>5071</v>
      </c>
      <c r="AL32" s="3">
        <v>36000</v>
      </c>
      <c r="AM32" s="8">
        <v>45681</v>
      </c>
      <c r="AN32" s="2" t="s">
        <v>5453</v>
      </c>
      <c r="AO32" s="7">
        <f t="shared" si="0"/>
        <v>-2250</v>
      </c>
    </row>
    <row r="33" spans="1:41" hidden="1" x14ac:dyDescent="0.25">
      <c r="A33" s="2">
        <v>57</v>
      </c>
      <c r="B33" s="2" t="s">
        <v>61</v>
      </c>
      <c r="C33" s="2" t="s">
        <v>525</v>
      </c>
      <c r="D33" s="2" t="s">
        <v>36</v>
      </c>
      <c r="E33" s="2" t="s">
        <v>37</v>
      </c>
      <c r="F33" s="2" t="s">
        <v>526</v>
      </c>
      <c r="G33" s="2" t="s">
        <v>64</v>
      </c>
      <c r="H33" s="2" t="s">
        <v>527</v>
      </c>
      <c r="I33" s="2" t="s">
        <v>528</v>
      </c>
      <c r="J33" s="2" t="s">
        <v>55</v>
      </c>
      <c r="K33" s="2" t="s">
        <v>529</v>
      </c>
      <c r="L33" s="2" t="s">
        <v>530</v>
      </c>
      <c r="M33" s="2">
        <v>1134750</v>
      </c>
      <c r="N33" s="2">
        <v>1335000</v>
      </c>
      <c r="O33" s="2" t="s">
        <v>531</v>
      </c>
      <c r="P33" s="8">
        <v>45719</v>
      </c>
      <c r="Q33" s="2" t="s">
        <v>532</v>
      </c>
      <c r="R33" s="2" t="s">
        <v>533</v>
      </c>
      <c r="S33" s="2" t="s">
        <v>55</v>
      </c>
      <c r="T33" s="2" t="s">
        <v>55</v>
      </c>
      <c r="U33" s="2" t="s">
        <v>334</v>
      </c>
      <c r="V33" s="2" t="s">
        <v>57</v>
      </c>
      <c r="W33" s="2" t="s">
        <v>500</v>
      </c>
      <c r="X33" s="2" t="s">
        <v>45</v>
      </c>
      <c r="Y33" s="2" t="s">
        <v>74</v>
      </c>
      <c r="Z33" s="2" t="s">
        <v>534</v>
      </c>
      <c r="AA33" s="2">
        <v>5</v>
      </c>
      <c r="AB33" s="2" t="s">
        <v>44</v>
      </c>
      <c r="AC33" s="2" t="s">
        <v>535</v>
      </c>
      <c r="AD33" s="2" t="s">
        <v>153</v>
      </c>
      <c r="AE33" s="2" t="s">
        <v>78</v>
      </c>
      <c r="AF33" s="2">
        <v>1068000</v>
      </c>
      <c r="AG33" s="2">
        <v>21360</v>
      </c>
      <c r="AH33" s="2"/>
      <c r="AI33" s="2"/>
      <c r="AJ33" s="2" t="s">
        <v>37</v>
      </c>
      <c r="AK33" s="2" t="s">
        <v>5072</v>
      </c>
      <c r="AL33" s="3">
        <v>21360</v>
      </c>
      <c r="AM33" s="8">
        <v>45733</v>
      </c>
      <c r="AN33" s="2"/>
      <c r="AO33" s="7">
        <f t="shared" si="0"/>
        <v>0</v>
      </c>
    </row>
    <row r="34" spans="1:41" hidden="1" x14ac:dyDescent="0.25">
      <c r="A34" s="5">
        <v>58</v>
      </c>
      <c r="B34" s="5" t="s">
        <v>61</v>
      </c>
      <c r="C34" s="5" t="s">
        <v>536</v>
      </c>
      <c r="D34" s="5" t="s">
        <v>36</v>
      </c>
      <c r="E34" s="5" t="s">
        <v>37</v>
      </c>
      <c r="F34" s="5" t="s">
        <v>537</v>
      </c>
      <c r="G34" s="5" t="s">
        <v>144</v>
      </c>
      <c r="H34" s="5" t="s">
        <v>538</v>
      </c>
      <c r="I34" s="5" t="s">
        <v>539</v>
      </c>
      <c r="J34" s="5" t="s">
        <v>539</v>
      </c>
      <c r="K34" s="5" t="s">
        <v>539</v>
      </c>
      <c r="L34" s="5" t="s">
        <v>540</v>
      </c>
      <c r="M34" s="5">
        <v>1155000</v>
      </c>
      <c r="N34" s="5">
        <v>1650000</v>
      </c>
      <c r="O34" s="5" t="s">
        <v>541</v>
      </c>
      <c r="P34" s="6">
        <v>45719</v>
      </c>
      <c r="Q34" s="5" t="s">
        <v>542</v>
      </c>
      <c r="R34" s="5" t="s">
        <v>543</v>
      </c>
      <c r="S34" s="5" t="s">
        <v>544</v>
      </c>
      <c r="T34" s="5" t="s">
        <v>544</v>
      </c>
      <c r="U34" s="5" t="s">
        <v>545</v>
      </c>
      <c r="V34" s="5" t="s">
        <v>40</v>
      </c>
      <c r="W34" s="5" t="s">
        <v>163</v>
      </c>
      <c r="X34" s="5" t="s">
        <v>45</v>
      </c>
      <c r="Y34" s="5" t="s">
        <v>74</v>
      </c>
      <c r="Z34" s="5" t="s">
        <v>546</v>
      </c>
      <c r="AA34" s="5">
        <v>5</v>
      </c>
      <c r="AB34" s="5" t="s">
        <v>44</v>
      </c>
      <c r="AC34" s="5" t="s">
        <v>547</v>
      </c>
      <c r="AD34" s="5" t="s">
        <v>153</v>
      </c>
      <c r="AE34" s="5" t="s">
        <v>46</v>
      </c>
      <c r="AF34" s="5">
        <v>1320000</v>
      </c>
      <c r="AG34" s="5">
        <v>19800</v>
      </c>
      <c r="AH34" s="5"/>
      <c r="AI34" s="5"/>
      <c r="AJ34" s="5" t="s">
        <v>37</v>
      </c>
      <c r="AK34" s="2" t="s">
        <v>5073</v>
      </c>
      <c r="AL34" s="3">
        <v>19800</v>
      </c>
      <c r="AM34" s="8">
        <v>45733</v>
      </c>
      <c r="AN34" s="2"/>
      <c r="AO34" s="7">
        <f t="shared" si="0"/>
        <v>0</v>
      </c>
    </row>
    <row r="35" spans="1:41" x14ac:dyDescent="0.25">
      <c r="A35" s="2">
        <v>59</v>
      </c>
      <c r="B35" s="2" t="s">
        <v>61</v>
      </c>
      <c r="C35" s="2" t="s">
        <v>548</v>
      </c>
      <c r="D35" s="2" t="s">
        <v>36</v>
      </c>
      <c r="E35" s="2" t="s">
        <v>37</v>
      </c>
      <c r="F35" s="2" t="s">
        <v>549</v>
      </c>
      <c r="G35" s="2" t="s">
        <v>47</v>
      </c>
      <c r="H35" s="2" t="s">
        <v>550</v>
      </c>
      <c r="I35" s="2">
        <v>3453992990</v>
      </c>
      <c r="J35" s="2">
        <v>3453992990</v>
      </c>
      <c r="K35" s="2">
        <v>2135899641</v>
      </c>
      <c r="L35" s="2" t="s">
        <v>551</v>
      </c>
      <c r="M35" s="2">
        <v>1031250</v>
      </c>
      <c r="N35" s="2">
        <v>1375000</v>
      </c>
      <c r="O35" s="2" t="s">
        <v>552</v>
      </c>
      <c r="P35" s="8">
        <v>45684</v>
      </c>
      <c r="Q35" s="2" t="s">
        <v>553</v>
      </c>
      <c r="R35" s="2">
        <v>312097</v>
      </c>
      <c r="S35" s="2" t="s">
        <v>98</v>
      </c>
      <c r="T35" s="2" t="s">
        <v>554</v>
      </c>
      <c r="U35" s="2" t="s">
        <v>555</v>
      </c>
      <c r="V35" s="2">
        <v>2015</v>
      </c>
      <c r="W35" s="8">
        <v>44226</v>
      </c>
      <c r="X35" s="2" t="s">
        <v>477</v>
      </c>
      <c r="Y35" s="8">
        <v>46421</v>
      </c>
      <c r="Z35" s="2" t="s">
        <v>556</v>
      </c>
      <c r="AA35" s="2">
        <v>6</v>
      </c>
      <c r="AB35" s="2" t="s">
        <v>279</v>
      </c>
      <c r="AC35" s="2" t="s">
        <v>557</v>
      </c>
      <c r="AD35" s="2">
        <v>44224</v>
      </c>
      <c r="AE35" s="2" t="s">
        <v>78</v>
      </c>
      <c r="AF35" s="2">
        <v>1031250</v>
      </c>
      <c r="AG35" s="2">
        <v>20625</v>
      </c>
      <c r="AH35" s="2"/>
      <c r="AI35" s="2"/>
      <c r="AJ35" s="2" t="s">
        <v>37</v>
      </c>
      <c r="AK35" s="2" t="s">
        <v>5074</v>
      </c>
      <c r="AL35" s="3">
        <v>22000</v>
      </c>
      <c r="AM35" s="8">
        <v>45681</v>
      </c>
      <c r="AN35" s="2" t="s">
        <v>5454</v>
      </c>
      <c r="AO35" s="7">
        <f t="shared" si="0"/>
        <v>-1375</v>
      </c>
    </row>
    <row r="36" spans="1:41" x14ac:dyDescent="0.25">
      <c r="A36" s="5">
        <v>60</v>
      </c>
      <c r="B36" s="5" t="s">
        <v>61</v>
      </c>
      <c r="C36" s="5" t="s">
        <v>558</v>
      </c>
      <c r="D36" s="5" t="s">
        <v>36</v>
      </c>
      <c r="E36" s="5" t="s">
        <v>37</v>
      </c>
      <c r="F36" s="5" t="s">
        <v>559</v>
      </c>
      <c r="G36" s="5" t="s">
        <v>64</v>
      </c>
      <c r="H36" s="5" t="s">
        <v>560</v>
      </c>
      <c r="I36" s="5" t="s">
        <v>561</v>
      </c>
      <c r="J36" s="5" t="s">
        <v>55</v>
      </c>
      <c r="K36" s="5" t="s">
        <v>67</v>
      </c>
      <c r="L36" s="5" t="s">
        <v>562</v>
      </c>
      <c r="M36" s="5">
        <v>1088000</v>
      </c>
      <c r="N36" s="5">
        <v>1360000</v>
      </c>
      <c r="O36" s="5" t="s">
        <v>563</v>
      </c>
      <c r="P36" s="6">
        <v>45684</v>
      </c>
      <c r="Q36" s="5" t="s">
        <v>564</v>
      </c>
      <c r="R36" s="5" t="s">
        <v>565</v>
      </c>
      <c r="S36" s="5" t="s">
        <v>48</v>
      </c>
      <c r="T36" s="5" t="s">
        <v>566</v>
      </c>
      <c r="U36" s="5" t="s">
        <v>123</v>
      </c>
      <c r="V36" s="5" t="s">
        <v>49</v>
      </c>
      <c r="W36" s="6">
        <v>44592</v>
      </c>
      <c r="X36" s="5" t="s">
        <v>215</v>
      </c>
      <c r="Y36" s="6">
        <v>46786</v>
      </c>
      <c r="Z36" s="5" t="s">
        <v>567</v>
      </c>
      <c r="AA36" s="5">
        <v>6</v>
      </c>
      <c r="AB36" s="5" t="s">
        <v>76</v>
      </c>
      <c r="AC36" s="5" t="s">
        <v>568</v>
      </c>
      <c r="AD36" s="5" t="s">
        <v>569</v>
      </c>
      <c r="AE36" s="5" t="s">
        <v>46</v>
      </c>
      <c r="AF36" s="5">
        <v>1088000</v>
      </c>
      <c r="AG36" s="5">
        <v>16320</v>
      </c>
      <c r="AH36" s="5"/>
      <c r="AI36" s="5"/>
      <c r="AJ36" s="5" t="s">
        <v>37</v>
      </c>
      <c r="AK36" s="2" t="s">
        <v>5075</v>
      </c>
      <c r="AL36" s="3">
        <v>17340</v>
      </c>
      <c r="AM36" s="8">
        <v>45681</v>
      </c>
      <c r="AN36" s="2" t="s">
        <v>5455</v>
      </c>
      <c r="AO36" s="7">
        <f t="shared" si="0"/>
        <v>-1020</v>
      </c>
    </row>
    <row r="37" spans="1:41" x14ac:dyDescent="0.25">
      <c r="A37" s="2">
        <v>61</v>
      </c>
      <c r="B37" s="2" t="s">
        <v>61</v>
      </c>
      <c r="C37" s="2" t="s">
        <v>570</v>
      </c>
      <c r="D37" s="2" t="s">
        <v>36</v>
      </c>
      <c r="E37" s="2" t="s">
        <v>37</v>
      </c>
      <c r="F37" s="2" t="s">
        <v>571</v>
      </c>
      <c r="G37" s="2" t="s">
        <v>111</v>
      </c>
      <c r="H37" s="2" t="s">
        <v>572</v>
      </c>
      <c r="I37" s="2">
        <v>3028404050</v>
      </c>
      <c r="J37" s="2">
        <v>3028404050</v>
      </c>
      <c r="K37" s="2">
        <v>4235230508</v>
      </c>
      <c r="L37" s="2" t="s">
        <v>573</v>
      </c>
      <c r="M37" s="2">
        <v>4072500</v>
      </c>
      <c r="N37" s="2">
        <v>5430000</v>
      </c>
      <c r="O37" s="2" t="s">
        <v>574</v>
      </c>
      <c r="P37" s="8">
        <v>45683</v>
      </c>
      <c r="Q37" s="2" t="s">
        <v>575</v>
      </c>
      <c r="R37" s="2" t="s">
        <v>576</v>
      </c>
      <c r="S37" s="2" t="s">
        <v>54</v>
      </c>
      <c r="T37" s="2"/>
      <c r="U37" s="2" t="s">
        <v>476</v>
      </c>
      <c r="V37" s="2">
        <v>2021</v>
      </c>
      <c r="W37" s="8">
        <v>44151</v>
      </c>
      <c r="X37" s="2" t="s">
        <v>477</v>
      </c>
      <c r="Y37" s="8">
        <v>46786</v>
      </c>
      <c r="Z37" s="2" t="s">
        <v>577</v>
      </c>
      <c r="AA37" s="2">
        <v>7</v>
      </c>
      <c r="AB37" s="2" t="s">
        <v>479</v>
      </c>
      <c r="AC37" s="2"/>
      <c r="AD37" s="2"/>
      <c r="AE37" s="2" t="s">
        <v>46</v>
      </c>
      <c r="AF37" s="2">
        <v>4344000</v>
      </c>
      <c r="AG37" s="2">
        <v>61088</v>
      </c>
      <c r="AH37" s="2"/>
      <c r="AI37" s="2"/>
      <c r="AJ37" s="2" t="s">
        <v>37</v>
      </c>
      <c r="AK37" s="2" t="s">
        <v>5076</v>
      </c>
      <c r="AL37" s="3">
        <v>65160</v>
      </c>
      <c r="AM37" s="8">
        <v>45681</v>
      </c>
      <c r="AN37" s="2" t="s">
        <v>5456</v>
      </c>
      <c r="AO37" s="7">
        <f t="shared" si="0"/>
        <v>-4072</v>
      </c>
    </row>
    <row r="38" spans="1:41" x14ac:dyDescent="0.25">
      <c r="A38" s="5">
        <v>62</v>
      </c>
      <c r="B38" s="5" t="s">
        <v>61</v>
      </c>
      <c r="C38" s="5" t="s">
        <v>578</v>
      </c>
      <c r="D38" s="5" t="s">
        <v>36</v>
      </c>
      <c r="E38" s="5" t="s">
        <v>37</v>
      </c>
      <c r="F38" s="5" t="s">
        <v>579</v>
      </c>
      <c r="G38" s="5" t="s">
        <v>111</v>
      </c>
      <c r="H38" s="5" t="s">
        <v>580</v>
      </c>
      <c r="I38" s="5">
        <v>3334254938</v>
      </c>
      <c r="J38" s="5">
        <v>3334254938</v>
      </c>
      <c r="K38" s="5">
        <v>3334254938</v>
      </c>
      <c r="L38" s="5" t="s">
        <v>581</v>
      </c>
      <c r="M38" s="5">
        <v>3801000</v>
      </c>
      <c r="N38" s="5">
        <v>5430000</v>
      </c>
      <c r="O38" s="5" t="s">
        <v>582</v>
      </c>
      <c r="P38" s="6">
        <v>45683</v>
      </c>
      <c r="Q38" s="5" t="s">
        <v>583</v>
      </c>
      <c r="R38" s="5" t="s">
        <v>584</v>
      </c>
      <c r="S38" s="5" t="s">
        <v>54</v>
      </c>
      <c r="T38" s="5"/>
      <c r="U38" s="5" t="s">
        <v>476</v>
      </c>
      <c r="V38" s="5">
        <v>2021</v>
      </c>
      <c r="W38" s="6">
        <v>44113</v>
      </c>
      <c r="X38" s="5" t="s">
        <v>477</v>
      </c>
      <c r="Y38" s="6">
        <v>46786</v>
      </c>
      <c r="Z38" s="5" t="s">
        <v>585</v>
      </c>
      <c r="AA38" s="5">
        <v>7</v>
      </c>
      <c r="AB38" s="5" t="s">
        <v>479</v>
      </c>
      <c r="AC38" s="5"/>
      <c r="AD38" s="5"/>
      <c r="AE38" s="5" t="s">
        <v>46</v>
      </c>
      <c r="AF38" s="5">
        <v>4344000</v>
      </c>
      <c r="AG38" s="5">
        <v>61088</v>
      </c>
      <c r="AH38" s="5"/>
      <c r="AI38" s="5"/>
      <c r="AJ38" s="5" t="s">
        <v>37</v>
      </c>
      <c r="AK38" s="2" t="s">
        <v>5077</v>
      </c>
      <c r="AL38" s="3">
        <v>65160</v>
      </c>
      <c r="AM38" s="8">
        <v>45681</v>
      </c>
      <c r="AN38" s="2" t="s">
        <v>5457</v>
      </c>
      <c r="AO38" s="7">
        <f t="shared" si="0"/>
        <v>-4072</v>
      </c>
    </row>
    <row r="39" spans="1:41" x14ac:dyDescent="0.25">
      <c r="A39" s="2">
        <v>63</v>
      </c>
      <c r="B39" s="2" t="s">
        <v>61</v>
      </c>
      <c r="C39" s="2" t="s">
        <v>586</v>
      </c>
      <c r="D39" s="2" t="s">
        <v>36</v>
      </c>
      <c r="E39" s="2" t="s">
        <v>37</v>
      </c>
      <c r="F39" s="2" t="s">
        <v>587</v>
      </c>
      <c r="G39" s="2" t="s">
        <v>64</v>
      </c>
      <c r="H39" s="2" t="s">
        <v>588</v>
      </c>
      <c r="I39" s="2" t="s">
        <v>589</v>
      </c>
      <c r="J39" s="2" t="s">
        <v>55</v>
      </c>
      <c r="K39" s="2" t="s">
        <v>590</v>
      </c>
      <c r="L39" s="2" t="s">
        <v>591</v>
      </c>
      <c r="M39" s="2">
        <v>1175600</v>
      </c>
      <c r="N39" s="2">
        <v>2939000</v>
      </c>
      <c r="O39" s="2" t="s">
        <v>592</v>
      </c>
      <c r="P39" s="8">
        <v>45683</v>
      </c>
      <c r="Q39" s="2" t="s">
        <v>593</v>
      </c>
      <c r="R39" s="2" t="s">
        <v>594</v>
      </c>
      <c r="S39" s="2" t="s">
        <v>54</v>
      </c>
      <c r="T39" s="2" t="s">
        <v>55</v>
      </c>
      <c r="U39" s="2" t="s">
        <v>595</v>
      </c>
      <c r="V39" s="2" t="s">
        <v>57</v>
      </c>
      <c r="W39" s="8">
        <v>44589</v>
      </c>
      <c r="X39" s="2" t="s">
        <v>215</v>
      </c>
      <c r="Y39" s="8">
        <v>46056</v>
      </c>
      <c r="Z39" s="2" t="s">
        <v>596</v>
      </c>
      <c r="AA39" s="2">
        <v>4</v>
      </c>
      <c r="AB39" s="2" t="s">
        <v>76</v>
      </c>
      <c r="AC39" s="2" t="s">
        <v>597</v>
      </c>
      <c r="AD39" s="2" t="s">
        <v>306</v>
      </c>
      <c r="AE39" s="2" t="s">
        <v>78</v>
      </c>
      <c r="AF39" s="2">
        <v>2351200</v>
      </c>
      <c r="AG39" s="2">
        <v>47024</v>
      </c>
      <c r="AH39" s="2"/>
      <c r="AI39" s="2"/>
      <c r="AJ39" s="2" t="s">
        <v>37</v>
      </c>
      <c r="AK39" s="2" t="s">
        <v>5078</v>
      </c>
      <c r="AL39" s="3">
        <v>49963</v>
      </c>
      <c r="AM39" s="8">
        <v>45681</v>
      </c>
      <c r="AN39" s="2" t="s">
        <v>5458</v>
      </c>
      <c r="AO39" s="7">
        <f t="shared" si="0"/>
        <v>-2939</v>
      </c>
    </row>
    <row r="40" spans="1:41" hidden="1" x14ac:dyDescent="0.25">
      <c r="A40" s="5">
        <v>64</v>
      </c>
      <c r="B40" s="5" t="s">
        <v>61</v>
      </c>
      <c r="C40" s="5" t="s">
        <v>598</v>
      </c>
      <c r="D40" s="5" t="s">
        <v>36</v>
      </c>
      <c r="E40" s="5" t="s">
        <v>37</v>
      </c>
      <c r="F40" s="5" t="s">
        <v>599</v>
      </c>
      <c r="G40" s="5" t="s">
        <v>47</v>
      </c>
      <c r="H40" s="5" t="s">
        <v>600</v>
      </c>
      <c r="I40" s="5" t="s">
        <v>55</v>
      </c>
      <c r="J40" s="5" t="s">
        <v>601</v>
      </c>
      <c r="K40" s="5" t="s">
        <v>55</v>
      </c>
      <c r="L40" s="5" t="s">
        <v>602</v>
      </c>
      <c r="M40" s="5">
        <v>2040000</v>
      </c>
      <c r="N40" s="5">
        <v>3400000</v>
      </c>
      <c r="O40" s="5" t="s">
        <v>603</v>
      </c>
      <c r="P40" s="6">
        <v>45719</v>
      </c>
      <c r="Q40" s="5" t="s">
        <v>604</v>
      </c>
      <c r="R40" s="5" t="s">
        <v>605</v>
      </c>
      <c r="S40" s="5" t="s">
        <v>606</v>
      </c>
      <c r="T40" s="5" t="s">
        <v>606</v>
      </c>
      <c r="U40" s="5" t="s">
        <v>607</v>
      </c>
      <c r="V40" s="5" t="s">
        <v>230</v>
      </c>
      <c r="W40" s="5" t="s">
        <v>163</v>
      </c>
      <c r="X40" s="5" t="s">
        <v>45</v>
      </c>
      <c r="Y40" s="5" t="s">
        <v>74</v>
      </c>
      <c r="Z40" s="5" t="s">
        <v>608</v>
      </c>
      <c r="AA40" s="5">
        <v>5</v>
      </c>
      <c r="AB40" s="5" t="s">
        <v>44</v>
      </c>
      <c r="AC40" s="5" t="s">
        <v>609</v>
      </c>
      <c r="AD40" s="5" t="s">
        <v>153</v>
      </c>
      <c r="AE40" s="5" t="s">
        <v>46</v>
      </c>
      <c r="AF40" s="5">
        <v>2720000</v>
      </c>
      <c r="AG40" s="5">
        <v>40800</v>
      </c>
      <c r="AH40" s="5"/>
      <c r="AI40" s="5"/>
      <c r="AJ40" s="5" t="s">
        <v>37</v>
      </c>
      <c r="AK40" s="2" t="s">
        <v>5079</v>
      </c>
      <c r="AL40" s="3">
        <v>40800</v>
      </c>
      <c r="AM40" s="8">
        <v>45733</v>
      </c>
      <c r="AN40" s="2"/>
      <c r="AO40" s="7">
        <f t="shared" si="0"/>
        <v>0</v>
      </c>
    </row>
    <row r="41" spans="1:41" x14ac:dyDescent="0.25">
      <c r="A41" s="2">
        <v>65</v>
      </c>
      <c r="B41" s="2" t="s">
        <v>61</v>
      </c>
      <c r="C41" s="2" t="s">
        <v>610</v>
      </c>
      <c r="D41" s="2" t="s">
        <v>36</v>
      </c>
      <c r="E41" s="2" t="s">
        <v>37</v>
      </c>
      <c r="F41" s="2" t="s">
        <v>611</v>
      </c>
      <c r="G41" s="2" t="s">
        <v>47</v>
      </c>
      <c r="H41" s="2" t="s">
        <v>612</v>
      </c>
      <c r="I41" s="2">
        <v>3002645049</v>
      </c>
      <c r="J41" s="2">
        <v>3002645049</v>
      </c>
      <c r="K41" s="2">
        <v>0</v>
      </c>
      <c r="L41" s="2" t="s">
        <v>613</v>
      </c>
      <c r="M41" s="2">
        <v>1139000</v>
      </c>
      <c r="N41" s="2">
        <v>1700000</v>
      </c>
      <c r="O41" s="2" t="s">
        <v>614</v>
      </c>
      <c r="P41" s="8">
        <v>45683</v>
      </c>
      <c r="Q41" s="2" t="s">
        <v>615</v>
      </c>
      <c r="R41" s="2" t="s">
        <v>616</v>
      </c>
      <c r="S41" s="2" t="s">
        <v>48</v>
      </c>
      <c r="T41" s="2" t="s">
        <v>617</v>
      </c>
      <c r="U41" s="2" t="s">
        <v>618</v>
      </c>
      <c r="V41" s="2">
        <v>2016</v>
      </c>
      <c r="W41" s="8">
        <v>44226</v>
      </c>
      <c r="X41" s="2" t="s">
        <v>477</v>
      </c>
      <c r="Y41" s="8">
        <v>46421</v>
      </c>
      <c r="Z41" s="2" t="s">
        <v>619</v>
      </c>
      <c r="AA41" s="2">
        <v>6</v>
      </c>
      <c r="AB41" s="2" t="s">
        <v>51</v>
      </c>
      <c r="AC41" s="2" t="s">
        <v>620</v>
      </c>
      <c r="AD41" s="2">
        <v>44223</v>
      </c>
      <c r="AE41" s="2" t="s">
        <v>78</v>
      </c>
      <c r="AF41" s="2">
        <v>1275000</v>
      </c>
      <c r="AG41" s="2">
        <v>25500</v>
      </c>
      <c r="AH41" s="2"/>
      <c r="AI41" s="2"/>
      <c r="AJ41" s="2" t="s">
        <v>37</v>
      </c>
      <c r="AK41" s="2" t="s">
        <v>5080</v>
      </c>
      <c r="AL41" s="3">
        <v>27200</v>
      </c>
      <c r="AM41" s="8">
        <v>45681</v>
      </c>
      <c r="AN41" s="2" t="s">
        <v>5459</v>
      </c>
      <c r="AO41" s="7">
        <f t="shared" si="0"/>
        <v>-1700</v>
      </c>
    </row>
    <row r="42" spans="1:41" hidden="1" x14ac:dyDescent="0.25">
      <c r="A42" s="5">
        <v>66</v>
      </c>
      <c r="B42" s="5" t="s">
        <v>61</v>
      </c>
      <c r="C42" s="5" t="s">
        <v>621</v>
      </c>
      <c r="D42" s="5" t="s">
        <v>36</v>
      </c>
      <c r="E42" s="5" t="s">
        <v>37</v>
      </c>
      <c r="F42" s="5" t="s">
        <v>622</v>
      </c>
      <c r="G42" s="5" t="s">
        <v>82</v>
      </c>
      <c r="H42" s="5" t="s">
        <v>623</v>
      </c>
      <c r="I42" s="5" t="s">
        <v>624</v>
      </c>
      <c r="J42" s="5" t="s">
        <v>55</v>
      </c>
      <c r="K42" s="5" t="s">
        <v>67</v>
      </c>
      <c r="L42" s="5" t="s">
        <v>625</v>
      </c>
      <c r="M42" s="5">
        <v>2100000</v>
      </c>
      <c r="N42" s="5">
        <v>3000000</v>
      </c>
      <c r="O42" s="5" t="s">
        <v>626</v>
      </c>
      <c r="P42" s="6">
        <v>45719</v>
      </c>
      <c r="Q42" s="5" t="s">
        <v>627</v>
      </c>
      <c r="R42" s="5" t="s">
        <v>628</v>
      </c>
      <c r="S42" s="5" t="s">
        <v>629</v>
      </c>
      <c r="T42" s="5" t="s">
        <v>629</v>
      </c>
      <c r="U42" s="5" t="s">
        <v>90</v>
      </c>
      <c r="V42" s="5" t="s">
        <v>114</v>
      </c>
      <c r="W42" s="5" t="s">
        <v>163</v>
      </c>
      <c r="X42" s="5" t="s">
        <v>45</v>
      </c>
      <c r="Y42" s="5" t="s">
        <v>137</v>
      </c>
      <c r="Z42" s="5" t="s">
        <v>630</v>
      </c>
      <c r="AA42" s="5">
        <v>4</v>
      </c>
      <c r="AB42" s="5" t="s">
        <v>76</v>
      </c>
      <c r="AC42" s="5" t="s">
        <v>631</v>
      </c>
      <c r="AD42" s="5" t="s">
        <v>156</v>
      </c>
      <c r="AE42" s="5" t="s">
        <v>46</v>
      </c>
      <c r="AF42" s="5">
        <v>2400000</v>
      </c>
      <c r="AG42" s="5">
        <v>36000</v>
      </c>
      <c r="AH42" s="5"/>
      <c r="AI42" s="5"/>
      <c r="AJ42" s="5" t="s">
        <v>37</v>
      </c>
      <c r="AK42" s="2" t="s">
        <v>5081</v>
      </c>
      <c r="AL42" s="3">
        <v>36000</v>
      </c>
      <c r="AM42" s="8">
        <v>45733</v>
      </c>
      <c r="AN42" s="2"/>
      <c r="AO42" s="7">
        <f t="shared" si="0"/>
        <v>0</v>
      </c>
    </row>
    <row r="43" spans="1:41" x14ac:dyDescent="0.25">
      <c r="A43" s="2">
        <v>67</v>
      </c>
      <c r="B43" s="2" t="s">
        <v>61</v>
      </c>
      <c r="C43" s="2" t="s">
        <v>632</v>
      </c>
      <c r="D43" s="2" t="s">
        <v>36</v>
      </c>
      <c r="E43" s="2" t="s">
        <v>37</v>
      </c>
      <c r="F43" s="2" t="s">
        <v>633</v>
      </c>
      <c r="G43" s="2" t="s">
        <v>111</v>
      </c>
      <c r="H43" s="2" t="s">
        <v>634</v>
      </c>
      <c r="I43" s="2" t="s">
        <v>635</v>
      </c>
      <c r="J43" s="2" t="s">
        <v>636</v>
      </c>
      <c r="K43" s="2" t="s">
        <v>471</v>
      </c>
      <c r="L43" s="2" t="s">
        <v>637</v>
      </c>
      <c r="M43" s="2">
        <v>4072500</v>
      </c>
      <c r="N43" s="2">
        <v>5430000</v>
      </c>
      <c r="O43" s="2" t="s">
        <v>638</v>
      </c>
      <c r="P43" s="8">
        <v>45682</v>
      </c>
      <c r="Q43" s="2" t="s">
        <v>639</v>
      </c>
      <c r="R43" s="2" t="s">
        <v>640</v>
      </c>
      <c r="S43" s="2" t="s">
        <v>54</v>
      </c>
      <c r="T43" s="2"/>
      <c r="U43" s="2" t="s">
        <v>476</v>
      </c>
      <c r="V43" s="2">
        <v>2021</v>
      </c>
      <c r="W43" s="8">
        <v>44151</v>
      </c>
      <c r="X43" s="2" t="s">
        <v>477</v>
      </c>
      <c r="Y43" s="8">
        <v>46786</v>
      </c>
      <c r="Z43" s="2" t="s">
        <v>641</v>
      </c>
      <c r="AA43" s="2">
        <v>7</v>
      </c>
      <c r="AB43" s="2" t="s">
        <v>479</v>
      </c>
      <c r="AC43" s="2"/>
      <c r="AD43" s="2"/>
      <c r="AE43" s="2" t="s">
        <v>46</v>
      </c>
      <c r="AF43" s="2">
        <v>4344000</v>
      </c>
      <c r="AG43" s="2">
        <v>61088</v>
      </c>
      <c r="AH43" s="2"/>
      <c r="AI43" s="2"/>
      <c r="AJ43" s="2" t="s">
        <v>37</v>
      </c>
      <c r="AK43" s="2" t="s">
        <v>5082</v>
      </c>
      <c r="AL43" s="3">
        <v>65160</v>
      </c>
      <c r="AM43" s="8">
        <v>45681</v>
      </c>
      <c r="AN43" s="2" t="s">
        <v>5460</v>
      </c>
      <c r="AO43" s="7">
        <f t="shared" si="0"/>
        <v>-4072</v>
      </c>
    </row>
    <row r="44" spans="1:41" x14ac:dyDescent="0.25">
      <c r="A44" s="5">
        <v>68</v>
      </c>
      <c r="B44" s="5" t="s">
        <v>61</v>
      </c>
      <c r="C44" s="5" t="s">
        <v>642</v>
      </c>
      <c r="D44" s="5" t="s">
        <v>36</v>
      </c>
      <c r="E44" s="5" t="s">
        <v>37</v>
      </c>
      <c r="F44" s="5" t="s">
        <v>643</v>
      </c>
      <c r="G44" s="5" t="s">
        <v>111</v>
      </c>
      <c r="H44" s="5" t="s">
        <v>644</v>
      </c>
      <c r="I44" s="5" t="s">
        <v>645</v>
      </c>
      <c r="J44" s="5" t="s">
        <v>645</v>
      </c>
      <c r="K44" s="5" t="s">
        <v>645</v>
      </c>
      <c r="L44" s="5" t="s">
        <v>646</v>
      </c>
      <c r="M44" s="5">
        <v>1241250</v>
      </c>
      <c r="N44" s="5">
        <v>1655000</v>
      </c>
      <c r="O44" s="5" t="s">
        <v>647</v>
      </c>
      <c r="P44" s="6">
        <v>45682</v>
      </c>
      <c r="Q44" s="5" t="s">
        <v>648</v>
      </c>
      <c r="R44" s="5" t="s">
        <v>649</v>
      </c>
      <c r="S44" s="5" t="s">
        <v>48</v>
      </c>
      <c r="T44" s="5" t="s">
        <v>650</v>
      </c>
      <c r="U44" s="5" t="s">
        <v>651</v>
      </c>
      <c r="V44" s="5" t="s">
        <v>230</v>
      </c>
      <c r="W44" s="6">
        <v>44592</v>
      </c>
      <c r="X44" s="5" t="s">
        <v>215</v>
      </c>
      <c r="Y44" s="6">
        <v>46786</v>
      </c>
      <c r="Z44" s="5" t="s">
        <v>652</v>
      </c>
      <c r="AA44" s="5">
        <v>6</v>
      </c>
      <c r="AB44" s="5" t="s">
        <v>44</v>
      </c>
      <c r="AC44" s="5" t="s">
        <v>653</v>
      </c>
      <c r="AD44" s="5" t="s">
        <v>654</v>
      </c>
      <c r="AE44" s="5" t="s">
        <v>46</v>
      </c>
      <c r="AF44" s="5">
        <v>1324000</v>
      </c>
      <c r="AG44" s="5">
        <v>19860</v>
      </c>
      <c r="AH44" s="5"/>
      <c r="AI44" s="5"/>
      <c r="AJ44" s="5" t="s">
        <v>37</v>
      </c>
      <c r="AK44" s="2" t="s">
        <v>5083</v>
      </c>
      <c r="AL44" s="3">
        <v>21101</v>
      </c>
      <c r="AM44" s="8">
        <v>45681</v>
      </c>
      <c r="AN44" s="2" t="s">
        <v>5461</v>
      </c>
      <c r="AO44" s="7">
        <f t="shared" si="0"/>
        <v>-1241</v>
      </c>
    </row>
    <row r="45" spans="1:41" hidden="1" x14ac:dyDescent="0.25">
      <c r="A45" s="2">
        <v>69</v>
      </c>
      <c r="B45" s="2" t="s">
        <v>203</v>
      </c>
      <c r="C45" s="2" t="s">
        <v>655</v>
      </c>
      <c r="D45" s="2" t="s">
        <v>36</v>
      </c>
      <c r="E45" s="2" t="s">
        <v>37</v>
      </c>
      <c r="F45" s="2" t="s">
        <v>656</v>
      </c>
      <c r="G45" s="2" t="s">
        <v>47</v>
      </c>
      <c r="H45" s="2" t="s">
        <v>657</v>
      </c>
      <c r="I45" s="2" t="s">
        <v>55</v>
      </c>
      <c r="J45" s="2" t="s">
        <v>658</v>
      </c>
      <c r="K45" s="2" t="s">
        <v>55</v>
      </c>
      <c r="L45" s="2" t="s">
        <v>659</v>
      </c>
      <c r="M45" s="2">
        <v>2395000</v>
      </c>
      <c r="N45" s="2">
        <v>4790000</v>
      </c>
      <c r="O45" s="2" t="s">
        <v>660</v>
      </c>
      <c r="P45" s="8">
        <v>45719</v>
      </c>
      <c r="Q45" s="2" t="s">
        <v>661</v>
      </c>
      <c r="R45" s="2" t="s">
        <v>662</v>
      </c>
      <c r="S45" s="2" t="s">
        <v>663</v>
      </c>
      <c r="T45" s="2" t="s">
        <v>663</v>
      </c>
      <c r="U45" s="2" t="s">
        <v>664</v>
      </c>
      <c r="V45" s="2" t="s">
        <v>91</v>
      </c>
      <c r="W45" s="2" t="s">
        <v>163</v>
      </c>
      <c r="X45" s="2" t="s">
        <v>45</v>
      </c>
      <c r="Y45" s="2" t="s">
        <v>74</v>
      </c>
      <c r="Z45" s="2" t="s">
        <v>665</v>
      </c>
      <c r="AA45" s="2">
        <v>5</v>
      </c>
      <c r="AB45" s="2" t="s">
        <v>44</v>
      </c>
      <c r="AC45" s="2" t="s">
        <v>666</v>
      </c>
      <c r="AD45" s="2" t="s">
        <v>153</v>
      </c>
      <c r="AE45" s="2" t="s">
        <v>46</v>
      </c>
      <c r="AF45" s="2">
        <v>3832000</v>
      </c>
      <c r="AG45" s="2">
        <v>57480</v>
      </c>
      <c r="AH45" s="2"/>
      <c r="AI45" s="2"/>
      <c r="AJ45" s="2" t="s">
        <v>37</v>
      </c>
      <c r="AK45" s="2" t="s">
        <v>5084</v>
      </c>
      <c r="AL45" s="3">
        <v>57480</v>
      </c>
      <c r="AM45" s="8">
        <v>45733</v>
      </c>
      <c r="AN45" s="2"/>
      <c r="AO45" s="7">
        <f t="shared" si="0"/>
        <v>0</v>
      </c>
    </row>
    <row r="46" spans="1:41" x14ac:dyDescent="0.25">
      <c r="A46" s="5">
        <v>70</v>
      </c>
      <c r="B46" s="5" t="s">
        <v>61</v>
      </c>
      <c r="C46" s="5" t="s">
        <v>667</v>
      </c>
      <c r="D46" s="5" t="s">
        <v>36</v>
      </c>
      <c r="E46" s="5" t="s">
        <v>37</v>
      </c>
      <c r="F46" s="5" t="s">
        <v>668</v>
      </c>
      <c r="G46" s="5" t="s">
        <v>111</v>
      </c>
      <c r="H46" s="5" t="s">
        <v>669</v>
      </c>
      <c r="I46" s="5" t="s">
        <v>670</v>
      </c>
      <c r="J46" s="5" t="s">
        <v>670</v>
      </c>
      <c r="K46" s="5" t="s">
        <v>670</v>
      </c>
      <c r="L46" s="5" t="s">
        <v>671</v>
      </c>
      <c r="M46" s="5">
        <v>750000</v>
      </c>
      <c r="N46" s="5">
        <v>1000000</v>
      </c>
      <c r="O46" s="5" t="s">
        <v>672</v>
      </c>
      <c r="P46" s="6">
        <v>45682</v>
      </c>
      <c r="Q46" s="5" t="s">
        <v>673</v>
      </c>
      <c r="R46" s="5" t="s">
        <v>674</v>
      </c>
      <c r="S46" s="5" t="s">
        <v>48</v>
      </c>
      <c r="T46" s="5" t="s">
        <v>675</v>
      </c>
      <c r="U46" s="5" t="s">
        <v>676</v>
      </c>
      <c r="V46" s="5" t="s">
        <v>40</v>
      </c>
      <c r="W46" s="6">
        <v>44590</v>
      </c>
      <c r="X46" s="5" t="s">
        <v>215</v>
      </c>
      <c r="Y46" s="6">
        <v>46786</v>
      </c>
      <c r="Z46" s="5" t="s">
        <v>677</v>
      </c>
      <c r="AA46" s="5">
        <v>6</v>
      </c>
      <c r="AB46" s="5" t="s">
        <v>44</v>
      </c>
      <c r="AC46" s="5" t="s">
        <v>678</v>
      </c>
      <c r="AD46" s="5" t="s">
        <v>306</v>
      </c>
      <c r="AE46" s="5" t="s">
        <v>46</v>
      </c>
      <c r="AF46" s="5">
        <v>800000</v>
      </c>
      <c r="AG46" s="5">
        <v>12000</v>
      </c>
      <c r="AH46" s="5"/>
      <c r="AI46" s="5"/>
      <c r="AJ46" s="5" t="s">
        <v>37</v>
      </c>
      <c r="AK46" s="2" t="s">
        <v>5085</v>
      </c>
      <c r="AL46" s="3">
        <v>12750</v>
      </c>
      <c r="AM46" s="8">
        <v>45681</v>
      </c>
      <c r="AN46" s="2" t="s">
        <v>5462</v>
      </c>
      <c r="AO46" s="7">
        <f t="shared" si="0"/>
        <v>-750</v>
      </c>
    </row>
    <row r="47" spans="1:41" hidden="1" x14ac:dyDescent="0.25">
      <c r="A47" s="2">
        <v>71</v>
      </c>
      <c r="B47" s="2" t="s">
        <v>61</v>
      </c>
      <c r="C47" s="2" t="s">
        <v>679</v>
      </c>
      <c r="D47" s="2" t="s">
        <v>36</v>
      </c>
      <c r="E47" s="2" t="s">
        <v>37</v>
      </c>
      <c r="F47" s="2" t="s">
        <v>680</v>
      </c>
      <c r="G47" s="2" t="s">
        <v>53</v>
      </c>
      <c r="H47" s="2" t="s">
        <v>681</v>
      </c>
      <c r="I47" s="2" t="s">
        <v>682</v>
      </c>
      <c r="J47" s="2" t="s">
        <v>683</v>
      </c>
      <c r="K47" s="2" t="s">
        <v>684</v>
      </c>
      <c r="L47" s="2" t="s">
        <v>685</v>
      </c>
      <c r="M47" s="2">
        <v>2970000</v>
      </c>
      <c r="N47" s="2">
        <v>4500000</v>
      </c>
      <c r="O47" s="2" t="s">
        <v>686</v>
      </c>
      <c r="P47" s="8">
        <v>45719</v>
      </c>
      <c r="Q47" s="2" t="s">
        <v>687</v>
      </c>
      <c r="R47" s="2" t="s">
        <v>688</v>
      </c>
      <c r="S47" s="2" t="s">
        <v>689</v>
      </c>
      <c r="T47" s="2" t="s">
        <v>689</v>
      </c>
      <c r="U47" s="2" t="s">
        <v>690</v>
      </c>
      <c r="V47" s="2" t="s">
        <v>60</v>
      </c>
      <c r="W47" s="2">
        <v>45355</v>
      </c>
      <c r="X47" s="2" t="s">
        <v>691</v>
      </c>
      <c r="Y47" s="2" t="s">
        <v>74</v>
      </c>
      <c r="Z47" s="2" t="s">
        <v>692</v>
      </c>
      <c r="AA47" s="2">
        <v>3</v>
      </c>
      <c r="AB47" s="2" t="s">
        <v>279</v>
      </c>
      <c r="AC47" s="2" t="s">
        <v>693</v>
      </c>
      <c r="AD47" s="2" t="s">
        <v>694</v>
      </c>
      <c r="AE47" s="2" t="s">
        <v>253</v>
      </c>
      <c r="AF47" s="2">
        <v>4050000</v>
      </c>
      <c r="AG47" s="2">
        <v>70875</v>
      </c>
      <c r="AH47" s="2"/>
      <c r="AI47" s="2"/>
      <c r="AJ47" s="2" t="s">
        <v>37</v>
      </c>
      <c r="AK47" s="2" t="s">
        <v>5086</v>
      </c>
      <c r="AL47" s="3">
        <v>70875</v>
      </c>
      <c r="AM47" s="8">
        <v>45733</v>
      </c>
      <c r="AN47" s="2"/>
      <c r="AO47" s="7">
        <f t="shared" si="0"/>
        <v>0</v>
      </c>
    </row>
    <row r="48" spans="1:41" x14ac:dyDescent="0.25">
      <c r="A48" s="5">
        <v>72</v>
      </c>
      <c r="B48" s="5" t="s">
        <v>61</v>
      </c>
      <c r="C48" s="5" t="s">
        <v>695</v>
      </c>
      <c r="D48" s="5" t="s">
        <v>36</v>
      </c>
      <c r="E48" s="5" t="s">
        <v>37</v>
      </c>
      <c r="F48" s="5" t="s">
        <v>696</v>
      </c>
      <c r="G48" s="5" t="s">
        <v>111</v>
      </c>
      <c r="H48" s="5" t="s">
        <v>697</v>
      </c>
      <c r="I48" s="5" t="s">
        <v>698</v>
      </c>
      <c r="J48" s="5" t="s">
        <v>699</v>
      </c>
      <c r="K48" s="5" t="s">
        <v>700</v>
      </c>
      <c r="L48" s="5" t="s">
        <v>701</v>
      </c>
      <c r="M48" s="5">
        <v>1402500</v>
      </c>
      <c r="N48" s="5">
        <v>2550000</v>
      </c>
      <c r="O48" s="5" t="s">
        <v>702</v>
      </c>
      <c r="P48" s="6">
        <v>45681</v>
      </c>
      <c r="Q48" s="5" t="s">
        <v>703</v>
      </c>
      <c r="R48" s="5" t="s">
        <v>704</v>
      </c>
      <c r="S48" s="5" t="s">
        <v>48</v>
      </c>
      <c r="T48" s="5" t="s">
        <v>705</v>
      </c>
      <c r="U48" s="5" t="s">
        <v>90</v>
      </c>
      <c r="V48" s="5" t="s">
        <v>110</v>
      </c>
      <c r="W48" s="6">
        <v>44588</v>
      </c>
      <c r="X48" s="5" t="s">
        <v>306</v>
      </c>
      <c r="Y48" s="6">
        <v>46049</v>
      </c>
      <c r="Z48" s="5" t="s">
        <v>706</v>
      </c>
      <c r="AA48" s="5">
        <v>4</v>
      </c>
      <c r="AB48" s="5" t="s">
        <v>44</v>
      </c>
      <c r="AC48" s="5" t="s">
        <v>707</v>
      </c>
      <c r="AD48" s="5" t="s">
        <v>654</v>
      </c>
      <c r="AE48" s="5" t="s">
        <v>46</v>
      </c>
      <c r="AF48" s="5">
        <v>2040000</v>
      </c>
      <c r="AG48" s="5">
        <v>30600</v>
      </c>
      <c r="AH48" s="5"/>
      <c r="AI48" s="5"/>
      <c r="AJ48" s="5" t="s">
        <v>37</v>
      </c>
      <c r="AK48" s="2" t="s">
        <v>5087</v>
      </c>
      <c r="AL48" s="3">
        <v>32513</v>
      </c>
      <c r="AM48" s="8">
        <v>45681</v>
      </c>
      <c r="AN48" s="2" t="s">
        <v>5463</v>
      </c>
      <c r="AO48" s="7">
        <f t="shared" si="0"/>
        <v>-1913</v>
      </c>
    </row>
    <row r="49" spans="1:41" hidden="1" x14ac:dyDescent="0.25">
      <c r="A49" s="2">
        <v>73</v>
      </c>
      <c r="B49" s="2" t="s">
        <v>61</v>
      </c>
      <c r="C49" s="2" t="s">
        <v>708</v>
      </c>
      <c r="D49" s="2" t="s">
        <v>36</v>
      </c>
      <c r="E49" s="2" t="s">
        <v>37</v>
      </c>
      <c r="F49" s="2" t="s">
        <v>709</v>
      </c>
      <c r="G49" s="2" t="s">
        <v>47</v>
      </c>
      <c r="H49" s="2" t="s">
        <v>710</v>
      </c>
      <c r="I49" s="2" t="s">
        <v>711</v>
      </c>
      <c r="J49" s="2" t="s">
        <v>711</v>
      </c>
      <c r="K49" s="2" t="s">
        <v>67</v>
      </c>
      <c r="L49" s="2" t="s">
        <v>712</v>
      </c>
      <c r="M49" s="2">
        <v>1398750</v>
      </c>
      <c r="N49" s="2">
        <v>1865000</v>
      </c>
      <c r="O49" s="2" t="s">
        <v>713</v>
      </c>
      <c r="P49" s="8">
        <v>45720</v>
      </c>
      <c r="Q49" s="2" t="s">
        <v>714</v>
      </c>
      <c r="R49" s="2" t="s">
        <v>715</v>
      </c>
      <c r="S49" s="2" t="s">
        <v>716</v>
      </c>
      <c r="T49" s="2" t="s">
        <v>55</v>
      </c>
      <c r="U49" s="2" t="s">
        <v>214</v>
      </c>
      <c r="V49" s="2" t="s">
        <v>60</v>
      </c>
      <c r="W49" s="2" t="s">
        <v>159</v>
      </c>
      <c r="X49" s="2" t="s">
        <v>160</v>
      </c>
      <c r="Y49" s="2" t="s">
        <v>137</v>
      </c>
      <c r="Z49" s="2" t="s">
        <v>717</v>
      </c>
      <c r="AA49" s="2">
        <v>6</v>
      </c>
      <c r="AB49" s="2" t="s">
        <v>44</v>
      </c>
      <c r="AC49" s="2" t="s">
        <v>718</v>
      </c>
      <c r="AD49" s="2" t="s">
        <v>719</v>
      </c>
      <c r="AE49" s="2" t="s">
        <v>324</v>
      </c>
      <c r="AF49" s="2">
        <v>1305500</v>
      </c>
      <c r="AG49" s="2">
        <v>32638</v>
      </c>
      <c r="AH49" s="2"/>
      <c r="AI49" s="2"/>
      <c r="AJ49" s="2" t="s">
        <v>37</v>
      </c>
      <c r="AK49" s="2" t="s">
        <v>5088</v>
      </c>
      <c r="AL49" s="3">
        <v>32638</v>
      </c>
      <c r="AM49" s="8">
        <v>45733</v>
      </c>
      <c r="AN49" s="2"/>
      <c r="AO49" s="7">
        <f t="shared" si="0"/>
        <v>0</v>
      </c>
    </row>
    <row r="50" spans="1:41" x14ac:dyDescent="0.25">
      <c r="A50" s="5">
        <v>74</v>
      </c>
      <c r="B50" s="5" t="s">
        <v>61</v>
      </c>
      <c r="C50" s="5" t="s">
        <v>720</v>
      </c>
      <c r="D50" s="5" t="s">
        <v>36</v>
      </c>
      <c r="E50" s="5" t="s">
        <v>37</v>
      </c>
      <c r="F50" s="5" t="s">
        <v>721</v>
      </c>
      <c r="G50" s="5" t="s">
        <v>144</v>
      </c>
      <c r="H50" s="5" t="s">
        <v>722</v>
      </c>
      <c r="I50" s="5" t="s">
        <v>723</v>
      </c>
      <c r="J50" s="5" t="s">
        <v>723</v>
      </c>
      <c r="K50" s="5" t="s">
        <v>723</v>
      </c>
      <c r="L50" s="5" t="s">
        <v>724</v>
      </c>
      <c r="M50" s="5">
        <v>1283750</v>
      </c>
      <c r="N50" s="5">
        <v>1975000</v>
      </c>
      <c r="O50" s="5" t="s">
        <v>725</v>
      </c>
      <c r="P50" s="6">
        <v>45681</v>
      </c>
      <c r="Q50" s="5" t="s">
        <v>726</v>
      </c>
      <c r="R50" s="5" t="s">
        <v>727</v>
      </c>
      <c r="S50" s="5" t="s">
        <v>54</v>
      </c>
      <c r="T50" s="5" t="s">
        <v>55</v>
      </c>
      <c r="U50" s="5" t="s">
        <v>728</v>
      </c>
      <c r="V50" s="5" t="s">
        <v>57</v>
      </c>
      <c r="W50" s="6">
        <v>44587</v>
      </c>
      <c r="X50" s="5" t="s">
        <v>306</v>
      </c>
      <c r="Y50" s="6">
        <v>46049</v>
      </c>
      <c r="Z50" s="5" t="s">
        <v>729</v>
      </c>
      <c r="AA50" s="5">
        <v>4</v>
      </c>
      <c r="AB50" s="5" t="s">
        <v>44</v>
      </c>
      <c r="AC50" s="5" t="s">
        <v>730</v>
      </c>
      <c r="AD50" s="5" t="s">
        <v>731</v>
      </c>
      <c r="AE50" s="5" t="s">
        <v>78</v>
      </c>
      <c r="AF50" s="5">
        <v>1580000</v>
      </c>
      <c r="AG50" s="5">
        <v>31600</v>
      </c>
      <c r="AH50" s="5"/>
      <c r="AI50" s="5"/>
      <c r="AJ50" s="5" t="s">
        <v>37</v>
      </c>
      <c r="AK50" s="2" t="s">
        <v>5089</v>
      </c>
      <c r="AL50" s="3">
        <v>33575</v>
      </c>
      <c r="AM50" s="8">
        <v>45681</v>
      </c>
      <c r="AN50" s="2" t="s">
        <v>5464</v>
      </c>
      <c r="AO50" s="7">
        <f t="shared" si="0"/>
        <v>-1975</v>
      </c>
    </row>
    <row r="51" spans="1:41" hidden="1" x14ac:dyDescent="0.25">
      <c r="A51" s="2">
        <v>75</v>
      </c>
      <c r="B51" s="2" t="s">
        <v>61</v>
      </c>
      <c r="C51" s="2" t="s">
        <v>732</v>
      </c>
      <c r="D51" s="2" t="s">
        <v>36</v>
      </c>
      <c r="E51" s="2" t="s">
        <v>37</v>
      </c>
      <c r="F51" s="2" t="s">
        <v>733</v>
      </c>
      <c r="G51" s="2" t="s">
        <v>111</v>
      </c>
      <c r="H51" s="2" t="s">
        <v>734</v>
      </c>
      <c r="I51" s="2" t="s">
        <v>735</v>
      </c>
      <c r="J51" s="2" t="s">
        <v>735</v>
      </c>
      <c r="K51" s="2" t="s">
        <v>735</v>
      </c>
      <c r="L51" s="2" t="s">
        <v>736</v>
      </c>
      <c r="M51" s="2">
        <v>958520</v>
      </c>
      <c r="N51" s="2">
        <v>1546000</v>
      </c>
      <c r="O51" s="2" t="s">
        <v>737</v>
      </c>
      <c r="P51" s="8">
        <v>45681</v>
      </c>
      <c r="Q51" s="2" t="s">
        <v>738</v>
      </c>
      <c r="R51" s="2" t="s">
        <v>739</v>
      </c>
      <c r="S51" s="2" t="s">
        <v>54</v>
      </c>
      <c r="T51" s="2" t="s">
        <v>55</v>
      </c>
      <c r="U51" s="2" t="s">
        <v>334</v>
      </c>
      <c r="V51" s="2" t="s">
        <v>57</v>
      </c>
      <c r="W51" s="8">
        <v>44590</v>
      </c>
      <c r="X51" s="2" t="s">
        <v>215</v>
      </c>
      <c r="Y51" s="8">
        <v>46056</v>
      </c>
      <c r="Z51" s="2" t="s">
        <v>740</v>
      </c>
      <c r="AA51" s="2">
        <v>4</v>
      </c>
      <c r="AB51" s="2" t="s">
        <v>44</v>
      </c>
      <c r="AC51" s="2" t="s">
        <v>741</v>
      </c>
      <c r="AD51" s="2" t="s">
        <v>731</v>
      </c>
      <c r="AE51" s="2" t="s">
        <v>78</v>
      </c>
      <c r="AF51" s="2">
        <v>1236800</v>
      </c>
      <c r="AG51" s="2">
        <v>24736</v>
      </c>
      <c r="AH51" s="2"/>
      <c r="AI51" s="2"/>
      <c r="AJ51" s="2" t="s">
        <v>369</v>
      </c>
      <c r="AK51" s="9" t="s">
        <v>5615</v>
      </c>
      <c r="AL51" s="3">
        <v>24736</v>
      </c>
      <c r="AM51" s="8">
        <v>45743</v>
      </c>
      <c r="AN51" s="2"/>
      <c r="AO51" s="7">
        <f t="shared" si="0"/>
        <v>0</v>
      </c>
    </row>
    <row r="52" spans="1:41" x14ac:dyDescent="0.25">
      <c r="A52" s="5">
        <v>76</v>
      </c>
      <c r="B52" s="5" t="s">
        <v>61</v>
      </c>
      <c r="C52" s="5" t="s">
        <v>742</v>
      </c>
      <c r="D52" s="5" t="s">
        <v>36</v>
      </c>
      <c r="E52" s="5" t="s">
        <v>37</v>
      </c>
      <c r="F52" s="5" t="s">
        <v>743</v>
      </c>
      <c r="G52" s="5" t="s">
        <v>53</v>
      </c>
      <c r="H52" s="5" t="s">
        <v>744</v>
      </c>
      <c r="I52" s="5" t="s">
        <v>745</v>
      </c>
      <c r="J52" s="5" t="s">
        <v>746</v>
      </c>
      <c r="K52" s="5" t="s">
        <v>745</v>
      </c>
      <c r="L52" s="5" t="s">
        <v>747</v>
      </c>
      <c r="M52" s="5">
        <v>980000</v>
      </c>
      <c r="N52" s="5">
        <v>1400000</v>
      </c>
      <c r="O52" s="5" t="s">
        <v>748</v>
      </c>
      <c r="P52" s="6">
        <v>45680</v>
      </c>
      <c r="Q52" s="5" t="s">
        <v>749</v>
      </c>
      <c r="R52" s="5" t="s">
        <v>750</v>
      </c>
      <c r="S52" s="5" t="s">
        <v>48</v>
      </c>
      <c r="T52" s="5" t="s">
        <v>751</v>
      </c>
      <c r="U52" s="5" t="s">
        <v>728</v>
      </c>
      <c r="V52" s="5" t="s">
        <v>49</v>
      </c>
      <c r="W52" s="6">
        <v>44592</v>
      </c>
      <c r="X52" s="5" t="s">
        <v>215</v>
      </c>
      <c r="Y52" s="6">
        <v>46786</v>
      </c>
      <c r="Z52" s="5" t="s">
        <v>752</v>
      </c>
      <c r="AA52" s="5">
        <v>6</v>
      </c>
      <c r="AB52" s="5" t="s">
        <v>76</v>
      </c>
      <c r="AC52" s="5" t="s">
        <v>753</v>
      </c>
      <c r="AD52" s="5" t="s">
        <v>514</v>
      </c>
      <c r="AE52" s="5" t="s">
        <v>46</v>
      </c>
      <c r="AF52" s="5">
        <v>1120000</v>
      </c>
      <c r="AG52" s="5">
        <v>16800</v>
      </c>
      <c r="AH52" s="5"/>
      <c r="AI52" s="5"/>
      <c r="AJ52" s="5" t="s">
        <v>37</v>
      </c>
      <c r="AK52" s="2" t="s">
        <v>5090</v>
      </c>
      <c r="AL52" s="3">
        <v>17850</v>
      </c>
      <c r="AM52" s="8">
        <v>45681</v>
      </c>
      <c r="AN52" s="2" t="s">
        <v>5465</v>
      </c>
      <c r="AO52" s="7">
        <f t="shared" si="0"/>
        <v>-1050</v>
      </c>
    </row>
    <row r="53" spans="1:41" x14ac:dyDescent="0.25">
      <c r="A53" s="2">
        <v>77</v>
      </c>
      <c r="B53" s="2" t="s">
        <v>61</v>
      </c>
      <c r="C53" s="2" t="s">
        <v>754</v>
      </c>
      <c r="D53" s="2" t="s">
        <v>36</v>
      </c>
      <c r="E53" s="2" t="s">
        <v>37</v>
      </c>
      <c r="F53" s="2" t="s">
        <v>755</v>
      </c>
      <c r="G53" s="2" t="s">
        <v>47</v>
      </c>
      <c r="H53" s="2" t="s">
        <v>756</v>
      </c>
      <c r="I53" s="2">
        <v>3212441376</v>
      </c>
      <c r="J53" s="2">
        <v>3212441376</v>
      </c>
      <c r="K53" s="2">
        <v>0</v>
      </c>
      <c r="L53" s="2" t="s">
        <v>757</v>
      </c>
      <c r="M53" s="2">
        <v>2554250</v>
      </c>
      <c r="N53" s="2">
        <v>3005000</v>
      </c>
      <c r="O53" s="2" t="s">
        <v>758</v>
      </c>
      <c r="P53" s="8">
        <v>45678</v>
      </c>
      <c r="Q53" s="2" t="s">
        <v>759</v>
      </c>
      <c r="R53" s="2" t="s">
        <v>760</v>
      </c>
      <c r="S53" s="2" t="s">
        <v>54</v>
      </c>
      <c r="T53" s="2"/>
      <c r="U53" s="2" t="s">
        <v>112</v>
      </c>
      <c r="V53" s="2">
        <v>2021</v>
      </c>
      <c r="W53" s="8">
        <v>44182</v>
      </c>
      <c r="X53" s="2" t="s">
        <v>761</v>
      </c>
      <c r="Y53" s="8">
        <v>46779</v>
      </c>
      <c r="Z53" s="2" t="s">
        <v>762</v>
      </c>
      <c r="AA53" s="2">
        <v>7</v>
      </c>
      <c r="AB53" s="2" t="s">
        <v>51</v>
      </c>
      <c r="AC53" s="2" t="s">
        <v>763</v>
      </c>
      <c r="AD53" s="2">
        <v>44217</v>
      </c>
      <c r="AE53" s="2" t="s">
        <v>78</v>
      </c>
      <c r="AF53" s="2">
        <v>2253750</v>
      </c>
      <c r="AG53" s="2">
        <v>45075</v>
      </c>
      <c r="AH53" s="2"/>
      <c r="AI53" s="2"/>
      <c r="AJ53" s="2" t="s">
        <v>37</v>
      </c>
      <c r="AK53" s="2" t="s">
        <v>5091</v>
      </c>
      <c r="AL53" s="3">
        <v>48080</v>
      </c>
      <c r="AM53" s="8">
        <v>45681</v>
      </c>
      <c r="AN53" s="2" t="s">
        <v>5466</v>
      </c>
      <c r="AO53" s="7">
        <f t="shared" si="0"/>
        <v>-3005</v>
      </c>
    </row>
    <row r="54" spans="1:41" x14ac:dyDescent="0.25">
      <c r="A54" s="5">
        <v>78</v>
      </c>
      <c r="B54" s="5" t="s">
        <v>61</v>
      </c>
      <c r="C54" s="5" t="s">
        <v>764</v>
      </c>
      <c r="D54" s="5" t="s">
        <v>36</v>
      </c>
      <c r="E54" s="5" t="s">
        <v>37</v>
      </c>
      <c r="F54" s="5" t="s">
        <v>765</v>
      </c>
      <c r="G54" s="5" t="s">
        <v>111</v>
      </c>
      <c r="H54" s="5" t="s">
        <v>766</v>
      </c>
      <c r="I54" s="5" t="s">
        <v>767</v>
      </c>
      <c r="J54" s="5" t="s">
        <v>767</v>
      </c>
      <c r="K54" s="5" t="s">
        <v>767</v>
      </c>
      <c r="L54" s="5" t="s">
        <v>768</v>
      </c>
      <c r="M54" s="5">
        <v>1188300</v>
      </c>
      <c r="N54" s="5">
        <v>1398000</v>
      </c>
      <c r="O54" s="5" t="s">
        <v>769</v>
      </c>
      <c r="P54" s="6">
        <v>45677</v>
      </c>
      <c r="Q54" s="5" t="s">
        <v>770</v>
      </c>
      <c r="R54" s="5" t="s">
        <v>771</v>
      </c>
      <c r="S54" s="5" t="s">
        <v>54</v>
      </c>
      <c r="T54" s="5" t="s">
        <v>772</v>
      </c>
      <c r="U54" s="5" t="s">
        <v>773</v>
      </c>
      <c r="V54" s="5" t="s">
        <v>60</v>
      </c>
      <c r="W54" s="6">
        <v>43852</v>
      </c>
      <c r="X54" s="5" t="s">
        <v>774</v>
      </c>
      <c r="Y54" s="6">
        <v>46408</v>
      </c>
      <c r="Z54" s="5" t="s">
        <v>775</v>
      </c>
      <c r="AA54" s="5">
        <v>7</v>
      </c>
      <c r="AB54" s="5" t="s">
        <v>51</v>
      </c>
      <c r="AC54" s="5" t="s">
        <v>776</v>
      </c>
      <c r="AD54" s="5" t="s">
        <v>774</v>
      </c>
      <c r="AE54" s="5" t="s">
        <v>324</v>
      </c>
      <c r="AF54" s="5">
        <v>978599.99999999988</v>
      </c>
      <c r="AG54" s="5">
        <v>24465</v>
      </c>
      <c r="AH54" s="5"/>
      <c r="AI54" s="5"/>
      <c r="AJ54" s="5" t="s">
        <v>37</v>
      </c>
      <c r="AK54" s="2" t="s">
        <v>5092</v>
      </c>
      <c r="AL54" s="3">
        <v>26213</v>
      </c>
      <c r="AM54" s="8">
        <v>45681</v>
      </c>
      <c r="AN54" s="2" t="s">
        <v>5467</v>
      </c>
      <c r="AO54" s="7">
        <f t="shared" si="0"/>
        <v>-1748</v>
      </c>
    </row>
    <row r="55" spans="1:41" x14ac:dyDescent="0.25">
      <c r="A55" s="2">
        <v>79</v>
      </c>
      <c r="B55" s="2" t="s">
        <v>61</v>
      </c>
      <c r="C55" s="2" t="s">
        <v>777</v>
      </c>
      <c r="D55" s="2" t="s">
        <v>36</v>
      </c>
      <c r="E55" s="2" t="s">
        <v>37</v>
      </c>
      <c r="F55" s="2" t="s">
        <v>778</v>
      </c>
      <c r="G55" s="2" t="s">
        <v>47</v>
      </c>
      <c r="H55" s="2" t="s">
        <v>779</v>
      </c>
      <c r="I55" s="2" t="s">
        <v>780</v>
      </c>
      <c r="J55" s="2" t="s">
        <v>780</v>
      </c>
      <c r="K55" s="2" t="s">
        <v>67</v>
      </c>
      <c r="L55" s="2" t="s">
        <v>781</v>
      </c>
      <c r="M55" s="2">
        <v>1382500</v>
      </c>
      <c r="N55" s="2">
        <v>1975000</v>
      </c>
      <c r="O55" s="2" t="s">
        <v>782</v>
      </c>
      <c r="P55" s="8">
        <v>45676</v>
      </c>
      <c r="Q55" s="2" t="s">
        <v>783</v>
      </c>
      <c r="R55" s="2" t="s">
        <v>784</v>
      </c>
      <c r="S55" s="2" t="s">
        <v>48</v>
      </c>
      <c r="T55" s="2" t="s">
        <v>55</v>
      </c>
      <c r="U55" s="2" t="s">
        <v>214</v>
      </c>
      <c r="V55" s="2" t="s">
        <v>60</v>
      </c>
      <c r="W55" s="8">
        <v>44582</v>
      </c>
      <c r="X55" s="2" t="s">
        <v>785</v>
      </c>
      <c r="Y55" s="8">
        <v>46043</v>
      </c>
      <c r="Z55" s="2" t="s">
        <v>786</v>
      </c>
      <c r="AA55" s="2">
        <v>4</v>
      </c>
      <c r="AB55" s="2" t="s">
        <v>44</v>
      </c>
      <c r="AC55" s="2" t="s">
        <v>787</v>
      </c>
      <c r="AD55" s="2" t="s">
        <v>785</v>
      </c>
      <c r="AE55" s="2" t="s">
        <v>46</v>
      </c>
      <c r="AF55" s="2">
        <v>1580000</v>
      </c>
      <c r="AG55" s="2">
        <v>23700</v>
      </c>
      <c r="AH55" s="2"/>
      <c r="AI55" s="2"/>
      <c r="AJ55" s="2" t="s">
        <v>37</v>
      </c>
      <c r="AK55" s="2" t="s">
        <v>5093</v>
      </c>
      <c r="AL55" s="3">
        <v>25181</v>
      </c>
      <c r="AM55" s="8">
        <v>45681</v>
      </c>
      <c r="AN55" s="2" t="s">
        <v>5468</v>
      </c>
      <c r="AO55" s="7">
        <f t="shared" si="0"/>
        <v>-1481</v>
      </c>
    </row>
    <row r="56" spans="1:41" x14ac:dyDescent="0.25">
      <c r="A56" s="5">
        <v>80</v>
      </c>
      <c r="B56" s="5" t="s">
        <v>203</v>
      </c>
      <c r="C56" s="5" t="s">
        <v>788</v>
      </c>
      <c r="D56" s="5" t="s">
        <v>36</v>
      </c>
      <c r="E56" s="5" t="s">
        <v>37</v>
      </c>
      <c r="F56" s="5" t="s">
        <v>789</v>
      </c>
      <c r="G56" s="5" t="s">
        <v>64</v>
      </c>
      <c r="H56" s="5" t="s">
        <v>790</v>
      </c>
      <c r="I56" s="5" t="s">
        <v>791</v>
      </c>
      <c r="J56" s="5" t="s">
        <v>55</v>
      </c>
      <c r="K56" s="5" t="s">
        <v>792</v>
      </c>
      <c r="L56" s="5" t="s">
        <v>793</v>
      </c>
      <c r="M56" s="5">
        <v>1280000</v>
      </c>
      <c r="N56" s="5">
        <v>1600000</v>
      </c>
      <c r="O56" s="5" t="s">
        <v>794</v>
      </c>
      <c r="P56" s="6">
        <v>45675</v>
      </c>
      <c r="Q56" s="5" t="s">
        <v>795</v>
      </c>
      <c r="R56" s="5" t="s">
        <v>796</v>
      </c>
      <c r="S56" s="5" t="s">
        <v>48</v>
      </c>
      <c r="T56" s="5" t="s">
        <v>797</v>
      </c>
      <c r="U56" s="5" t="s">
        <v>798</v>
      </c>
      <c r="V56" s="5" t="s">
        <v>158</v>
      </c>
      <c r="W56" s="6">
        <v>44582</v>
      </c>
      <c r="X56" s="5" t="s">
        <v>785</v>
      </c>
      <c r="Y56" s="6">
        <v>46043</v>
      </c>
      <c r="Z56" s="5" t="s">
        <v>799</v>
      </c>
      <c r="AA56" s="5">
        <v>4</v>
      </c>
      <c r="AB56" s="5" t="s">
        <v>76</v>
      </c>
      <c r="AC56" s="5" t="s">
        <v>800</v>
      </c>
      <c r="AD56" s="5" t="s">
        <v>309</v>
      </c>
      <c r="AE56" s="5" t="s">
        <v>46</v>
      </c>
      <c r="AF56" s="5">
        <v>1280000</v>
      </c>
      <c r="AG56" s="5">
        <v>19200</v>
      </c>
      <c r="AH56" s="5"/>
      <c r="AI56" s="5"/>
      <c r="AJ56" s="5" t="s">
        <v>37</v>
      </c>
      <c r="AK56" s="2" t="s">
        <v>5094</v>
      </c>
      <c r="AL56" s="3">
        <v>20400</v>
      </c>
      <c r="AM56" s="8">
        <v>45681</v>
      </c>
      <c r="AN56" s="2" t="s">
        <v>5469</v>
      </c>
      <c r="AO56" s="7">
        <f t="shared" si="0"/>
        <v>-1200</v>
      </c>
    </row>
    <row r="57" spans="1:41" hidden="1" x14ac:dyDescent="0.25">
      <c r="A57" s="2">
        <v>81</v>
      </c>
      <c r="B57" s="2" t="s">
        <v>61</v>
      </c>
      <c r="C57" s="2" t="s">
        <v>801</v>
      </c>
      <c r="D57" s="2" t="s">
        <v>36</v>
      </c>
      <c r="E57" s="2" t="s">
        <v>37</v>
      </c>
      <c r="F57" s="2" t="s">
        <v>802</v>
      </c>
      <c r="G57" s="2" t="s">
        <v>64</v>
      </c>
      <c r="H57" s="2" t="s">
        <v>803</v>
      </c>
      <c r="I57" s="2" t="s">
        <v>55</v>
      </c>
      <c r="J57" s="2" t="s">
        <v>804</v>
      </c>
      <c r="K57" s="2" t="s">
        <v>805</v>
      </c>
      <c r="L57" s="2" t="s">
        <v>806</v>
      </c>
      <c r="M57" s="2">
        <v>2871050</v>
      </c>
      <c r="N57" s="2">
        <v>4417000</v>
      </c>
      <c r="O57" s="2" t="s">
        <v>807</v>
      </c>
      <c r="P57" s="8">
        <v>45675</v>
      </c>
      <c r="Q57" s="2" t="s">
        <v>808</v>
      </c>
      <c r="R57" s="2" t="s">
        <v>809</v>
      </c>
      <c r="S57" s="2" t="s">
        <v>54</v>
      </c>
      <c r="T57" s="2" t="s">
        <v>55</v>
      </c>
      <c r="U57" s="2" t="s">
        <v>90</v>
      </c>
      <c r="V57" s="2" t="s">
        <v>91</v>
      </c>
      <c r="W57" s="8">
        <v>44560</v>
      </c>
      <c r="X57" s="2" t="s">
        <v>42</v>
      </c>
      <c r="Y57" s="8">
        <v>46467</v>
      </c>
      <c r="Z57" s="2" t="s">
        <v>810</v>
      </c>
      <c r="AA57" s="2">
        <v>5</v>
      </c>
      <c r="AB57" s="2" t="s">
        <v>44</v>
      </c>
      <c r="AC57" s="2" t="s">
        <v>811</v>
      </c>
      <c r="AD57" s="2" t="s">
        <v>812</v>
      </c>
      <c r="AE57" s="2" t="s">
        <v>78</v>
      </c>
      <c r="AF57" s="2">
        <v>3533600</v>
      </c>
      <c r="AG57" s="2">
        <v>70672</v>
      </c>
      <c r="AH57" s="2"/>
      <c r="AI57" s="2"/>
      <c r="AJ57" s="2" t="s">
        <v>37</v>
      </c>
      <c r="AK57" s="2" t="s">
        <v>5095</v>
      </c>
      <c r="AL57" s="3">
        <v>70672</v>
      </c>
      <c r="AM57" s="8">
        <v>45681</v>
      </c>
      <c r="AN57" s="2"/>
      <c r="AO57" s="7">
        <f t="shared" si="0"/>
        <v>0</v>
      </c>
    </row>
    <row r="58" spans="1:41" hidden="1" x14ac:dyDescent="0.25">
      <c r="A58" s="5">
        <v>82</v>
      </c>
      <c r="B58" s="5" t="s">
        <v>61</v>
      </c>
      <c r="C58" s="5" t="s">
        <v>813</v>
      </c>
      <c r="D58" s="5" t="s">
        <v>36</v>
      </c>
      <c r="E58" s="5" t="s">
        <v>37</v>
      </c>
      <c r="F58" s="5" t="s">
        <v>814</v>
      </c>
      <c r="G58" s="5" t="s">
        <v>815</v>
      </c>
      <c r="H58" s="5" t="s">
        <v>816</v>
      </c>
      <c r="I58" s="5" t="s">
        <v>817</v>
      </c>
      <c r="J58" s="5" t="s">
        <v>55</v>
      </c>
      <c r="K58" s="5" t="s">
        <v>817</v>
      </c>
      <c r="L58" s="5" t="s">
        <v>818</v>
      </c>
      <c r="M58" s="5">
        <v>2203500</v>
      </c>
      <c r="N58" s="5">
        <v>3390000</v>
      </c>
      <c r="O58" s="5" t="s">
        <v>819</v>
      </c>
      <c r="P58" s="6">
        <v>45675</v>
      </c>
      <c r="Q58" s="5" t="s">
        <v>820</v>
      </c>
      <c r="R58" s="5" t="s">
        <v>821</v>
      </c>
      <c r="S58" s="5" t="s">
        <v>54</v>
      </c>
      <c r="T58" s="5" t="s">
        <v>55</v>
      </c>
      <c r="U58" s="5" t="s">
        <v>822</v>
      </c>
      <c r="V58" s="5" t="s">
        <v>57</v>
      </c>
      <c r="W58" s="6">
        <v>44497</v>
      </c>
      <c r="X58" s="5" t="s">
        <v>42</v>
      </c>
      <c r="Y58" s="6">
        <v>46102</v>
      </c>
      <c r="Z58" s="5" t="s">
        <v>823</v>
      </c>
      <c r="AA58" s="5">
        <v>4</v>
      </c>
      <c r="AB58" s="5" t="s">
        <v>44</v>
      </c>
      <c r="AC58" s="5" t="s">
        <v>824</v>
      </c>
      <c r="AD58" s="5" t="s">
        <v>812</v>
      </c>
      <c r="AE58" s="5" t="s">
        <v>78</v>
      </c>
      <c r="AF58" s="5">
        <v>2712000</v>
      </c>
      <c r="AG58" s="5">
        <v>54240</v>
      </c>
      <c r="AH58" s="5"/>
      <c r="AI58" s="5"/>
      <c r="AJ58" s="5" t="s">
        <v>37</v>
      </c>
      <c r="AK58" s="2" t="s">
        <v>5096</v>
      </c>
      <c r="AL58" s="3">
        <v>54240</v>
      </c>
      <c r="AM58" s="8">
        <v>45681</v>
      </c>
      <c r="AN58" s="2"/>
      <c r="AO58" s="7">
        <f t="shared" si="0"/>
        <v>0</v>
      </c>
    </row>
    <row r="59" spans="1:41" x14ac:dyDescent="0.25">
      <c r="A59" s="2">
        <v>83</v>
      </c>
      <c r="B59" s="2" t="s">
        <v>61</v>
      </c>
      <c r="C59" s="2" t="s">
        <v>825</v>
      </c>
      <c r="D59" s="2" t="s">
        <v>36</v>
      </c>
      <c r="E59" s="2" t="s">
        <v>37</v>
      </c>
      <c r="F59" s="2" t="s">
        <v>826</v>
      </c>
      <c r="G59" s="2" t="s">
        <v>206</v>
      </c>
      <c r="H59" s="2" t="s">
        <v>827</v>
      </c>
      <c r="I59" s="2" t="s">
        <v>55</v>
      </c>
      <c r="J59" s="2" t="s">
        <v>828</v>
      </c>
      <c r="K59" s="2" t="s">
        <v>55</v>
      </c>
      <c r="L59" s="2" t="s">
        <v>829</v>
      </c>
      <c r="M59" s="2">
        <v>975000</v>
      </c>
      <c r="N59" s="2">
        <v>1500000</v>
      </c>
      <c r="O59" s="2" t="s">
        <v>830</v>
      </c>
      <c r="P59" s="8">
        <v>45673</v>
      </c>
      <c r="Q59" s="2" t="s">
        <v>831</v>
      </c>
      <c r="R59" s="2" t="s">
        <v>832</v>
      </c>
      <c r="S59" s="2" t="s">
        <v>48</v>
      </c>
      <c r="T59" s="2" t="s">
        <v>833</v>
      </c>
      <c r="U59" s="2" t="s">
        <v>834</v>
      </c>
      <c r="V59" s="2" t="s">
        <v>60</v>
      </c>
      <c r="W59" s="8">
        <v>44590</v>
      </c>
      <c r="X59" s="2" t="s">
        <v>215</v>
      </c>
      <c r="Y59" s="8">
        <v>46786</v>
      </c>
      <c r="Z59" s="2" t="s">
        <v>835</v>
      </c>
      <c r="AA59" s="2">
        <v>6</v>
      </c>
      <c r="AB59" s="2" t="s">
        <v>76</v>
      </c>
      <c r="AC59" s="2" t="s">
        <v>836</v>
      </c>
      <c r="AD59" s="2" t="s">
        <v>837</v>
      </c>
      <c r="AE59" s="2" t="s">
        <v>46</v>
      </c>
      <c r="AF59" s="2">
        <v>1200000</v>
      </c>
      <c r="AG59" s="2">
        <v>18000</v>
      </c>
      <c r="AH59" s="2"/>
      <c r="AI59" s="2"/>
      <c r="AJ59" s="2" t="s">
        <v>37</v>
      </c>
      <c r="AK59" s="2" t="s">
        <v>5097</v>
      </c>
      <c r="AL59" s="3">
        <v>19125</v>
      </c>
      <c r="AM59" s="8">
        <v>45681</v>
      </c>
      <c r="AN59" s="2" t="s">
        <v>5470</v>
      </c>
      <c r="AO59" s="7">
        <f t="shared" si="0"/>
        <v>-1125</v>
      </c>
    </row>
    <row r="60" spans="1:41" x14ac:dyDescent="0.25">
      <c r="A60" s="5">
        <v>84</v>
      </c>
      <c r="B60" s="5" t="s">
        <v>61</v>
      </c>
      <c r="C60" s="5" t="s">
        <v>838</v>
      </c>
      <c r="D60" s="5" t="s">
        <v>36</v>
      </c>
      <c r="E60" s="5" t="s">
        <v>37</v>
      </c>
      <c r="F60" s="5" t="s">
        <v>839</v>
      </c>
      <c r="G60" s="5" t="s">
        <v>82</v>
      </c>
      <c r="H60" s="5" t="s">
        <v>840</v>
      </c>
      <c r="I60" s="5" t="s">
        <v>841</v>
      </c>
      <c r="J60" s="5" t="s">
        <v>55</v>
      </c>
      <c r="K60" s="5" t="s">
        <v>67</v>
      </c>
      <c r="L60" s="5" t="s">
        <v>842</v>
      </c>
      <c r="M60" s="5">
        <v>1360000</v>
      </c>
      <c r="N60" s="5">
        <v>1700000</v>
      </c>
      <c r="O60" s="5" t="s">
        <v>843</v>
      </c>
      <c r="P60" s="6">
        <v>45673</v>
      </c>
      <c r="Q60" s="5" t="s">
        <v>844</v>
      </c>
      <c r="R60" s="5" t="s">
        <v>845</v>
      </c>
      <c r="S60" s="5" t="s">
        <v>48</v>
      </c>
      <c r="T60" s="5" t="s">
        <v>846</v>
      </c>
      <c r="U60" s="5" t="s">
        <v>847</v>
      </c>
      <c r="V60" s="5" t="s">
        <v>91</v>
      </c>
      <c r="W60" s="6">
        <v>44580</v>
      </c>
      <c r="X60" s="5" t="s">
        <v>785</v>
      </c>
      <c r="Y60" s="6">
        <v>46773</v>
      </c>
      <c r="Z60" s="5" t="s">
        <v>848</v>
      </c>
      <c r="AA60" s="5">
        <v>6</v>
      </c>
      <c r="AB60" s="5" t="s">
        <v>76</v>
      </c>
      <c r="AC60" s="5" t="s">
        <v>849</v>
      </c>
      <c r="AD60" s="5" t="s">
        <v>850</v>
      </c>
      <c r="AE60" s="5" t="s">
        <v>46</v>
      </c>
      <c r="AF60" s="5">
        <v>1360000</v>
      </c>
      <c r="AG60" s="5">
        <v>20400</v>
      </c>
      <c r="AH60" s="5"/>
      <c r="AI60" s="5"/>
      <c r="AJ60" s="5" t="s">
        <v>37</v>
      </c>
      <c r="AK60" s="2" t="s">
        <v>5098</v>
      </c>
      <c r="AL60" s="3">
        <v>21675</v>
      </c>
      <c r="AM60" s="8">
        <v>45681</v>
      </c>
      <c r="AN60" s="2" t="s">
        <v>5471</v>
      </c>
      <c r="AO60" s="7">
        <f t="shared" si="0"/>
        <v>-1275</v>
      </c>
    </row>
    <row r="61" spans="1:41" x14ac:dyDescent="0.25">
      <c r="A61" s="2">
        <v>85</v>
      </c>
      <c r="B61" s="2" t="s">
        <v>61</v>
      </c>
      <c r="C61" s="2" t="s">
        <v>851</v>
      </c>
      <c r="D61" s="2" t="s">
        <v>36</v>
      </c>
      <c r="E61" s="2" t="s">
        <v>37</v>
      </c>
      <c r="F61" s="2" t="s">
        <v>852</v>
      </c>
      <c r="G61" s="2" t="s">
        <v>111</v>
      </c>
      <c r="H61" s="2" t="s">
        <v>853</v>
      </c>
      <c r="I61" s="2" t="s">
        <v>854</v>
      </c>
      <c r="J61" s="2" t="s">
        <v>854</v>
      </c>
      <c r="K61" s="2" t="s">
        <v>854</v>
      </c>
      <c r="L61" s="2" t="s">
        <v>855</v>
      </c>
      <c r="M61" s="2">
        <v>2945800</v>
      </c>
      <c r="N61" s="2">
        <v>5665000</v>
      </c>
      <c r="O61" s="2" t="s">
        <v>856</v>
      </c>
      <c r="P61" s="8">
        <v>45670</v>
      </c>
      <c r="Q61" s="2" t="s">
        <v>857</v>
      </c>
      <c r="R61" s="2" t="s">
        <v>858</v>
      </c>
      <c r="S61" s="2" t="s">
        <v>48</v>
      </c>
      <c r="T61" s="2" t="s">
        <v>859</v>
      </c>
      <c r="U61" s="2" t="s">
        <v>860</v>
      </c>
      <c r="V61" s="2" t="s">
        <v>91</v>
      </c>
      <c r="W61" s="8">
        <v>44578</v>
      </c>
      <c r="X61" s="2" t="s">
        <v>785</v>
      </c>
      <c r="Y61" s="8">
        <v>46043</v>
      </c>
      <c r="Z61" s="2" t="s">
        <v>861</v>
      </c>
      <c r="AA61" s="2">
        <v>4</v>
      </c>
      <c r="AB61" s="2" t="s">
        <v>76</v>
      </c>
      <c r="AC61" s="2" t="s">
        <v>862</v>
      </c>
      <c r="AD61" s="2" t="s">
        <v>863</v>
      </c>
      <c r="AE61" s="2" t="s">
        <v>46</v>
      </c>
      <c r="AF61" s="2">
        <v>4532000</v>
      </c>
      <c r="AG61" s="2">
        <v>67980</v>
      </c>
      <c r="AH61" s="2"/>
      <c r="AI61" s="2"/>
      <c r="AJ61" s="2" t="s">
        <v>37</v>
      </c>
      <c r="AK61" s="2" t="s">
        <v>5099</v>
      </c>
      <c r="AL61" s="3">
        <v>72229</v>
      </c>
      <c r="AM61" s="8">
        <v>45681</v>
      </c>
      <c r="AN61" s="2" t="s">
        <v>5472</v>
      </c>
      <c r="AO61" s="7">
        <f t="shared" si="0"/>
        <v>-4249</v>
      </c>
    </row>
    <row r="62" spans="1:41" x14ac:dyDescent="0.25">
      <c r="A62" s="5">
        <v>86</v>
      </c>
      <c r="B62" s="5" t="s">
        <v>61</v>
      </c>
      <c r="C62" s="5" t="s">
        <v>864</v>
      </c>
      <c r="D62" s="5" t="s">
        <v>36</v>
      </c>
      <c r="E62" s="5" t="s">
        <v>37</v>
      </c>
      <c r="F62" s="5" t="s">
        <v>865</v>
      </c>
      <c r="G62" s="5" t="s">
        <v>47</v>
      </c>
      <c r="H62" s="5" t="s">
        <v>866</v>
      </c>
      <c r="I62" s="5" t="s">
        <v>867</v>
      </c>
      <c r="J62" s="5" t="s">
        <v>867</v>
      </c>
      <c r="K62" s="5" t="s">
        <v>67</v>
      </c>
      <c r="L62" s="5" t="s">
        <v>868</v>
      </c>
      <c r="M62" s="5">
        <v>1080000</v>
      </c>
      <c r="N62" s="5">
        <v>1800000</v>
      </c>
      <c r="O62" s="5" t="s">
        <v>869</v>
      </c>
      <c r="P62" s="6">
        <v>45668</v>
      </c>
      <c r="Q62" s="5" t="s">
        <v>870</v>
      </c>
      <c r="R62" s="5" t="s">
        <v>871</v>
      </c>
      <c r="S62" s="5" t="s">
        <v>48</v>
      </c>
      <c r="T62" s="5" t="s">
        <v>872</v>
      </c>
      <c r="U62" s="5" t="s">
        <v>873</v>
      </c>
      <c r="V62" s="5" t="s">
        <v>158</v>
      </c>
      <c r="W62" s="6">
        <v>44574</v>
      </c>
      <c r="X62" s="5" t="s">
        <v>785</v>
      </c>
      <c r="Y62" s="6">
        <v>46773</v>
      </c>
      <c r="Z62" s="5" t="s">
        <v>874</v>
      </c>
      <c r="AA62" s="5">
        <v>6</v>
      </c>
      <c r="AB62" s="5" t="s">
        <v>44</v>
      </c>
      <c r="AC62" s="5" t="s">
        <v>875</v>
      </c>
      <c r="AD62" s="5" t="s">
        <v>876</v>
      </c>
      <c r="AE62" s="5" t="s">
        <v>46</v>
      </c>
      <c r="AF62" s="5">
        <v>1440000</v>
      </c>
      <c r="AG62" s="5">
        <v>21600</v>
      </c>
      <c r="AH62" s="5"/>
      <c r="AI62" s="5"/>
      <c r="AJ62" s="5" t="s">
        <v>37</v>
      </c>
      <c r="AK62" s="2" t="s">
        <v>5100</v>
      </c>
      <c r="AL62" s="3">
        <v>22950</v>
      </c>
      <c r="AM62" s="8">
        <v>45681</v>
      </c>
      <c r="AN62" s="2" t="s">
        <v>5473</v>
      </c>
      <c r="AO62" s="7">
        <f t="shared" si="0"/>
        <v>-1350</v>
      </c>
    </row>
    <row r="63" spans="1:41" hidden="1" x14ac:dyDescent="0.25">
      <c r="A63" s="2">
        <v>87</v>
      </c>
      <c r="B63" s="2" t="s">
        <v>61</v>
      </c>
      <c r="C63" s="2" t="s">
        <v>877</v>
      </c>
      <c r="D63" s="2" t="s">
        <v>36</v>
      </c>
      <c r="E63" s="2" t="s">
        <v>37</v>
      </c>
      <c r="F63" s="2" t="s">
        <v>878</v>
      </c>
      <c r="G63" s="2" t="s">
        <v>47</v>
      </c>
      <c r="H63" s="2" t="s">
        <v>879</v>
      </c>
      <c r="I63" s="2" t="s">
        <v>880</v>
      </c>
      <c r="J63" s="2" t="s">
        <v>881</v>
      </c>
      <c r="K63" s="2" t="s">
        <v>880</v>
      </c>
      <c r="L63" s="2" t="s">
        <v>882</v>
      </c>
      <c r="M63" s="2">
        <v>2469600</v>
      </c>
      <c r="N63" s="2">
        <v>5040000</v>
      </c>
      <c r="O63" s="2" t="s">
        <v>883</v>
      </c>
      <c r="P63" s="8">
        <v>45720</v>
      </c>
      <c r="Q63" s="2" t="s">
        <v>884</v>
      </c>
      <c r="R63" s="2" t="s">
        <v>885</v>
      </c>
      <c r="S63" s="2" t="s">
        <v>55</v>
      </c>
      <c r="T63" s="2" t="s">
        <v>55</v>
      </c>
      <c r="U63" s="2" t="s">
        <v>886</v>
      </c>
      <c r="V63" s="2" t="s">
        <v>887</v>
      </c>
      <c r="W63" s="2">
        <v>45308</v>
      </c>
      <c r="X63" s="2" t="s">
        <v>691</v>
      </c>
      <c r="Y63" s="2" t="s">
        <v>137</v>
      </c>
      <c r="Z63" s="2" t="s">
        <v>888</v>
      </c>
      <c r="AA63" s="2">
        <v>2</v>
      </c>
      <c r="AB63" s="2" t="s">
        <v>279</v>
      </c>
      <c r="AC63" s="2" t="s">
        <v>889</v>
      </c>
      <c r="AD63" s="2" t="s">
        <v>890</v>
      </c>
      <c r="AE63" s="2" t="s">
        <v>78</v>
      </c>
      <c r="AF63" s="2">
        <v>4536000</v>
      </c>
      <c r="AG63" s="2">
        <v>90720</v>
      </c>
      <c r="AH63" s="2"/>
      <c r="AI63" s="2"/>
      <c r="AJ63" s="2" t="s">
        <v>37</v>
      </c>
      <c r="AK63" s="2" t="s">
        <v>5101</v>
      </c>
      <c r="AL63" s="3">
        <v>90720</v>
      </c>
      <c r="AM63" s="8">
        <v>45733</v>
      </c>
      <c r="AN63" s="2"/>
      <c r="AO63" s="7">
        <f t="shared" si="0"/>
        <v>0</v>
      </c>
    </row>
    <row r="64" spans="1:41" x14ac:dyDescent="0.25">
      <c r="A64" s="5">
        <v>88</v>
      </c>
      <c r="B64" s="5" t="s">
        <v>61</v>
      </c>
      <c r="C64" s="5" t="s">
        <v>891</v>
      </c>
      <c r="D64" s="5" t="s">
        <v>36</v>
      </c>
      <c r="E64" s="5" t="s">
        <v>37</v>
      </c>
      <c r="F64" s="5" t="s">
        <v>892</v>
      </c>
      <c r="G64" s="5" t="s">
        <v>47</v>
      </c>
      <c r="H64" s="5" t="s">
        <v>893</v>
      </c>
      <c r="I64" s="5" t="s">
        <v>894</v>
      </c>
      <c r="J64" s="5" t="s">
        <v>894</v>
      </c>
      <c r="K64" s="5" t="s">
        <v>67</v>
      </c>
      <c r="L64" s="5" t="s">
        <v>895</v>
      </c>
      <c r="M64" s="5">
        <v>2240000</v>
      </c>
      <c r="N64" s="5">
        <v>3200000</v>
      </c>
      <c r="O64" s="5" t="s">
        <v>896</v>
      </c>
      <c r="P64" s="6">
        <v>45667</v>
      </c>
      <c r="Q64" s="5" t="s">
        <v>897</v>
      </c>
      <c r="R64" s="5" t="s">
        <v>898</v>
      </c>
      <c r="S64" s="5" t="s">
        <v>48</v>
      </c>
      <c r="T64" s="5" t="s">
        <v>899</v>
      </c>
      <c r="U64" s="5" t="s">
        <v>90</v>
      </c>
      <c r="V64" s="5" t="s">
        <v>40</v>
      </c>
      <c r="W64" s="6">
        <v>44581</v>
      </c>
      <c r="X64" s="5" t="s">
        <v>785</v>
      </c>
      <c r="Y64" s="6">
        <v>46043</v>
      </c>
      <c r="Z64" s="5" t="s">
        <v>900</v>
      </c>
      <c r="AA64" s="5">
        <v>4</v>
      </c>
      <c r="AB64" s="5" t="s">
        <v>44</v>
      </c>
      <c r="AC64" s="5" t="s">
        <v>901</v>
      </c>
      <c r="AD64" s="5" t="s">
        <v>309</v>
      </c>
      <c r="AE64" s="5" t="s">
        <v>46</v>
      </c>
      <c r="AF64" s="5">
        <v>2560000</v>
      </c>
      <c r="AG64" s="5">
        <v>38400</v>
      </c>
      <c r="AH64" s="5"/>
      <c r="AI64" s="5"/>
      <c r="AJ64" s="5" t="s">
        <v>37</v>
      </c>
      <c r="AK64" s="2" t="s">
        <v>5102</v>
      </c>
      <c r="AL64" s="3">
        <v>40800</v>
      </c>
      <c r="AM64" s="8">
        <v>45681</v>
      </c>
      <c r="AN64" s="2" t="s">
        <v>5474</v>
      </c>
      <c r="AO64" s="7">
        <f t="shared" si="0"/>
        <v>-2400</v>
      </c>
    </row>
    <row r="65" spans="1:41" hidden="1" x14ac:dyDescent="0.25">
      <c r="A65" s="2">
        <v>89</v>
      </c>
      <c r="B65" s="2" t="s">
        <v>61</v>
      </c>
      <c r="C65" s="2" t="s">
        <v>902</v>
      </c>
      <c r="D65" s="2" t="s">
        <v>36</v>
      </c>
      <c r="E65" s="2" t="s">
        <v>37</v>
      </c>
      <c r="F65" s="2" t="s">
        <v>903</v>
      </c>
      <c r="G65" s="2" t="s">
        <v>82</v>
      </c>
      <c r="H65" s="2" t="s">
        <v>904</v>
      </c>
      <c r="I65" s="2" t="s">
        <v>55</v>
      </c>
      <c r="J65" s="2" t="s">
        <v>905</v>
      </c>
      <c r="K65" s="2" t="s">
        <v>906</v>
      </c>
      <c r="L65" s="2" t="s">
        <v>907</v>
      </c>
      <c r="M65" s="2">
        <v>861750</v>
      </c>
      <c r="N65" s="2">
        <v>1149000</v>
      </c>
      <c r="O65" s="2" t="s">
        <v>908</v>
      </c>
      <c r="P65" s="8">
        <v>45662</v>
      </c>
      <c r="Q65" s="2" t="s">
        <v>909</v>
      </c>
      <c r="R65" s="2" t="s">
        <v>910</v>
      </c>
      <c r="S65" s="2" t="s">
        <v>54</v>
      </c>
      <c r="T65" s="2" t="s">
        <v>55</v>
      </c>
      <c r="U65" s="2" t="s">
        <v>911</v>
      </c>
      <c r="V65" s="2" t="s">
        <v>91</v>
      </c>
      <c r="W65" s="8">
        <v>44559</v>
      </c>
      <c r="X65" s="2" t="s">
        <v>42</v>
      </c>
      <c r="Y65" s="8">
        <v>46467</v>
      </c>
      <c r="Z65" s="2" t="s">
        <v>912</v>
      </c>
      <c r="AA65" s="2">
        <v>5</v>
      </c>
      <c r="AB65" s="2" t="s">
        <v>76</v>
      </c>
      <c r="AC65" s="2" t="s">
        <v>913</v>
      </c>
      <c r="AD65" s="8">
        <v>44567</v>
      </c>
      <c r="AE65" s="2" t="s">
        <v>78</v>
      </c>
      <c r="AF65" s="2">
        <v>919200</v>
      </c>
      <c r="AG65" s="2">
        <v>18384</v>
      </c>
      <c r="AH65" s="2"/>
      <c r="AI65" s="2"/>
      <c r="AJ65" s="2" t="s">
        <v>37</v>
      </c>
      <c r="AK65" s="2" t="s">
        <v>5103</v>
      </c>
      <c r="AL65" s="3">
        <v>18384</v>
      </c>
      <c r="AM65" s="8">
        <v>45681</v>
      </c>
      <c r="AN65" s="2"/>
      <c r="AO65" s="7">
        <f t="shared" si="0"/>
        <v>0</v>
      </c>
    </row>
    <row r="66" spans="1:41" x14ac:dyDescent="0.25">
      <c r="A66" s="5">
        <v>90</v>
      </c>
      <c r="B66" s="5" t="s">
        <v>61</v>
      </c>
      <c r="C66" s="5" t="s">
        <v>914</v>
      </c>
      <c r="D66" s="5" t="s">
        <v>36</v>
      </c>
      <c r="E66" s="5" t="s">
        <v>37</v>
      </c>
      <c r="F66" s="5" t="s">
        <v>915</v>
      </c>
      <c r="G66" s="5" t="s">
        <v>47</v>
      </c>
      <c r="H66" s="5" t="s">
        <v>916</v>
      </c>
      <c r="I66" s="5">
        <v>3043444777</v>
      </c>
      <c r="J66" s="5">
        <v>3043444777</v>
      </c>
      <c r="K66" s="5">
        <v>36990073</v>
      </c>
      <c r="L66" s="5" t="s">
        <v>917</v>
      </c>
      <c r="M66" s="5">
        <v>1388050</v>
      </c>
      <c r="N66" s="5">
        <v>1633000</v>
      </c>
      <c r="O66" s="5" t="s">
        <v>918</v>
      </c>
      <c r="P66" s="6">
        <v>45661</v>
      </c>
      <c r="Q66" s="5">
        <v>149170</v>
      </c>
      <c r="R66" s="5">
        <v>1049147</v>
      </c>
      <c r="S66" s="5" t="s">
        <v>54</v>
      </c>
      <c r="T66" s="5"/>
      <c r="U66" s="5" t="s">
        <v>798</v>
      </c>
      <c r="V66" s="5">
        <v>2021</v>
      </c>
      <c r="W66" s="6">
        <v>44174</v>
      </c>
      <c r="X66" s="5" t="s">
        <v>477</v>
      </c>
      <c r="Y66" s="6">
        <v>46786</v>
      </c>
      <c r="Z66" s="5" t="s">
        <v>919</v>
      </c>
      <c r="AA66" s="5">
        <v>7</v>
      </c>
      <c r="AB66" s="5" t="s">
        <v>51</v>
      </c>
      <c r="AC66" s="5" t="s">
        <v>920</v>
      </c>
      <c r="AD66" s="6">
        <v>44201</v>
      </c>
      <c r="AE66" s="5" t="s">
        <v>78</v>
      </c>
      <c r="AF66" s="5">
        <v>1224750</v>
      </c>
      <c r="AG66" s="5">
        <v>24495</v>
      </c>
      <c r="AH66" s="5"/>
      <c r="AI66" s="5"/>
      <c r="AJ66" s="5" t="s">
        <v>37</v>
      </c>
      <c r="AK66" s="2" t="s">
        <v>5442</v>
      </c>
      <c r="AL66" s="3">
        <v>26128</v>
      </c>
      <c r="AM66" s="8">
        <v>45681</v>
      </c>
      <c r="AN66" s="2" t="s">
        <v>5475</v>
      </c>
      <c r="AO66" s="7">
        <f t="shared" ref="AO66:AO129" si="1">AG66-AL66</f>
        <v>-1633</v>
      </c>
    </row>
    <row r="67" spans="1:41" x14ac:dyDescent="0.25">
      <c r="A67" s="2">
        <v>91</v>
      </c>
      <c r="B67" s="2" t="s">
        <v>61</v>
      </c>
      <c r="C67" s="2" t="s">
        <v>921</v>
      </c>
      <c r="D67" s="2" t="s">
        <v>36</v>
      </c>
      <c r="E67" s="2" t="s">
        <v>37</v>
      </c>
      <c r="F67" s="2" t="s">
        <v>922</v>
      </c>
      <c r="G67" s="2" t="s">
        <v>55</v>
      </c>
      <c r="H67" s="2" t="s">
        <v>923</v>
      </c>
      <c r="I67" s="2" t="s">
        <v>924</v>
      </c>
      <c r="J67" s="2" t="s">
        <v>925</v>
      </c>
      <c r="K67" s="2" t="s">
        <v>926</v>
      </c>
      <c r="L67" s="2" t="s">
        <v>927</v>
      </c>
      <c r="M67" s="2">
        <v>1264278</v>
      </c>
      <c r="N67" s="2">
        <v>3500000</v>
      </c>
      <c r="O67" s="2" t="s">
        <v>928</v>
      </c>
      <c r="P67" s="8">
        <v>45716</v>
      </c>
      <c r="Q67" s="2" t="s">
        <v>929</v>
      </c>
      <c r="R67" s="2" t="s">
        <v>930</v>
      </c>
      <c r="S67" s="2" t="s">
        <v>55</v>
      </c>
      <c r="T67" s="2" t="s">
        <v>931</v>
      </c>
      <c r="U67" s="2" t="s">
        <v>932</v>
      </c>
      <c r="V67" s="2" t="s">
        <v>230</v>
      </c>
      <c r="W67" s="8">
        <v>44071</v>
      </c>
      <c r="X67" s="2" t="s">
        <v>933</v>
      </c>
      <c r="Y67" s="2" t="s">
        <v>934</v>
      </c>
      <c r="Z67" s="2" t="s">
        <v>935</v>
      </c>
      <c r="AA67" s="2">
        <v>6</v>
      </c>
      <c r="AB67" s="2" t="s">
        <v>51</v>
      </c>
      <c r="AC67" s="2" t="s">
        <v>936</v>
      </c>
      <c r="AD67" s="2" t="s">
        <v>52</v>
      </c>
      <c r="AE67" s="2">
        <v>2.5</v>
      </c>
      <c r="AF67" s="2">
        <v>2450000</v>
      </c>
      <c r="AG67" s="2">
        <v>61250</v>
      </c>
      <c r="AH67" s="2" t="s">
        <v>937</v>
      </c>
      <c r="AI67" s="2" t="s">
        <v>237</v>
      </c>
      <c r="AJ67" s="2" t="s">
        <v>37</v>
      </c>
      <c r="AK67" s="2" t="s">
        <v>5104</v>
      </c>
      <c r="AL67" s="3">
        <v>65625</v>
      </c>
      <c r="AM67" s="8">
        <v>45713</v>
      </c>
      <c r="AN67" s="2" t="s">
        <v>5476</v>
      </c>
      <c r="AO67" s="7">
        <f t="shared" si="1"/>
        <v>-4375</v>
      </c>
    </row>
    <row r="68" spans="1:41" hidden="1" x14ac:dyDescent="0.25">
      <c r="A68" s="5">
        <v>92</v>
      </c>
      <c r="B68" s="5" t="s">
        <v>203</v>
      </c>
      <c r="C68" s="5" t="s">
        <v>938</v>
      </c>
      <c r="D68" s="5" t="s">
        <v>36</v>
      </c>
      <c r="E68" s="5" t="s">
        <v>37</v>
      </c>
      <c r="F68" s="5" t="s">
        <v>939</v>
      </c>
      <c r="G68" s="5" t="s">
        <v>47</v>
      </c>
      <c r="H68" s="5" t="s">
        <v>940</v>
      </c>
      <c r="I68" s="5" t="s">
        <v>55</v>
      </c>
      <c r="J68" s="5" t="s">
        <v>55</v>
      </c>
      <c r="K68" s="5" t="s">
        <v>55</v>
      </c>
      <c r="L68" s="5" t="s">
        <v>941</v>
      </c>
      <c r="M68" s="5">
        <v>281389</v>
      </c>
      <c r="N68" s="5">
        <v>835000</v>
      </c>
      <c r="O68" s="5" t="s">
        <v>942</v>
      </c>
      <c r="P68" s="6">
        <v>45716</v>
      </c>
      <c r="Q68" s="5" t="s">
        <v>943</v>
      </c>
      <c r="R68" s="5" t="s">
        <v>944</v>
      </c>
      <c r="S68" s="5" t="s">
        <v>48</v>
      </c>
      <c r="T68" s="5" t="s">
        <v>945</v>
      </c>
      <c r="U68" s="5" t="s">
        <v>946</v>
      </c>
      <c r="V68" s="5" t="s">
        <v>40</v>
      </c>
      <c r="W68" s="6">
        <v>43890</v>
      </c>
      <c r="X68" s="5" t="s">
        <v>50</v>
      </c>
      <c r="Y68" s="5" t="s">
        <v>947</v>
      </c>
      <c r="Z68" s="5" t="s">
        <v>948</v>
      </c>
      <c r="AA68" s="5">
        <v>7</v>
      </c>
      <c r="AB68" s="5" t="s">
        <v>76</v>
      </c>
      <c r="AC68" s="5" t="s">
        <v>949</v>
      </c>
      <c r="AD68" s="5" t="s">
        <v>52</v>
      </c>
      <c r="AE68" s="5">
        <v>2.5</v>
      </c>
      <c r="AF68" s="5">
        <v>584500</v>
      </c>
      <c r="AG68" s="5">
        <v>14613</v>
      </c>
      <c r="AH68" s="5"/>
      <c r="AI68" s="5"/>
      <c r="AJ68" s="5" t="s">
        <v>37</v>
      </c>
      <c r="AK68" s="2" t="s">
        <v>5105</v>
      </c>
      <c r="AL68" s="3">
        <v>14613</v>
      </c>
      <c r="AM68" s="8">
        <v>45713</v>
      </c>
      <c r="AN68" s="2"/>
      <c r="AO68" s="7">
        <f t="shared" si="1"/>
        <v>0</v>
      </c>
    </row>
    <row r="69" spans="1:41" hidden="1" x14ac:dyDescent="0.25">
      <c r="A69" s="2">
        <v>93</v>
      </c>
      <c r="B69" s="2" t="s">
        <v>203</v>
      </c>
      <c r="C69" s="2" t="s">
        <v>950</v>
      </c>
      <c r="D69" s="2" t="s">
        <v>36</v>
      </c>
      <c r="E69" s="2" t="s">
        <v>37</v>
      </c>
      <c r="F69" s="2" t="s">
        <v>951</v>
      </c>
      <c r="G69" s="2" t="s">
        <v>111</v>
      </c>
      <c r="H69" s="2" t="s">
        <v>952</v>
      </c>
      <c r="I69" s="2" t="s">
        <v>953</v>
      </c>
      <c r="J69" s="2" t="s">
        <v>953</v>
      </c>
      <c r="K69" s="2" t="s">
        <v>953</v>
      </c>
      <c r="L69" s="2" t="s">
        <v>954</v>
      </c>
      <c r="M69" s="2">
        <v>475927</v>
      </c>
      <c r="N69" s="2">
        <v>2170000</v>
      </c>
      <c r="O69" s="2" t="s">
        <v>55</v>
      </c>
      <c r="P69" s="8">
        <v>45716</v>
      </c>
      <c r="Q69" s="2" t="s">
        <v>955</v>
      </c>
      <c r="R69" s="2" t="s">
        <v>956</v>
      </c>
      <c r="S69" s="2" t="s">
        <v>48</v>
      </c>
      <c r="T69" s="2" t="s">
        <v>957</v>
      </c>
      <c r="U69" s="2" t="s">
        <v>958</v>
      </c>
      <c r="V69" s="2" t="s">
        <v>49</v>
      </c>
      <c r="W69" s="8">
        <v>44254</v>
      </c>
      <c r="X69" s="2" t="s">
        <v>933</v>
      </c>
      <c r="Y69" s="2" t="s">
        <v>959</v>
      </c>
      <c r="Z69" s="2" t="s">
        <v>960</v>
      </c>
      <c r="AA69" s="2">
        <v>5</v>
      </c>
      <c r="AB69" s="2" t="s">
        <v>44</v>
      </c>
      <c r="AC69" s="2" t="s">
        <v>961</v>
      </c>
      <c r="AD69" s="2" t="s">
        <v>933</v>
      </c>
      <c r="AE69" s="2">
        <v>2</v>
      </c>
      <c r="AF69" s="2">
        <v>1627500</v>
      </c>
      <c r="AG69" s="2">
        <v>32550</v>
      </c>
      <c r="AH69" s="2"/>
      <c r="AI69" s="2"/>
      <c r="AJ69" s="2" t="s">
        <v>37</v>
      </c>
      <c r="AK69" s="2" t="s">
        <v>5106</v>
      </c>
      <c r="AL69" s="3">
        <v>32550</v>
      </c>
      <c r="AM69" s="8">
        <v>45713</v>
      </c>
      <c r="AN69" s="2"/>
      <c r="AO69" s="7">
        <f t="shared" si="1"/>
        <v>0</v>
      </c>
    </row>
    <row r="70" spans="1:41" hidden="1" x14ac:dyDescent="0.25">
      <c r="A70" s="5">
        <v>94</v>
      </c>
      <c r="B70" s="5" t="s">
        <v>962</v>
      </c>
      <c r="C70" s="5" t="s">
        <v>963</v>
      </c>
      <c r="D70" s="5" t="s">
        <v>36</v>
      </c>
      <c r="E70" s="5" t="s">
        <v>37</v>
      </c>
      <c r="F70" s="5" t="s">
        <v>964</v>
      </c>
      <c r="G70" s="5" t="s">
        <v>111</v>
      </c>
      <c r="H70" s="5" t="s">
        <v>965</v>
      </c>
      <c r="I70" s="5" t="s">
        <v>55</v>
      </c>
      <c r="J70" s="5" t="s">
        <v>55</v>
      </c>
      <c r="K70" s="5" t="s">
        <v>55</v>
      </c>
      <c r="L70" s="5" t="s">
        <v>966</v>
      </c>
      <c r="M70" s="5">
        <v>1025143</v>
      </c>
      <c r="N70" s="5">
        <v>3790000</v>
      </c>
      <c r="O70" s="5" t="s">
        <v>55</v>
      </c>
      <c r="P70" s="6">
        <v>45716</v>
      </c>
      <c r="Q70" s="5" t="s">
        <v>967</v>
      </c>
      <c r="R70" s="5" t="s">
        <v>968</v>
      </c>
      <c r="S70" s="5" t="s">
        <v>48</v>
      </c>
      <c r="T70" s="5" t="s">
        <v>969</v>
      </c>
      <c r="U70" s="5" t="s">
        <v>970</v>
      </c>
      <c r="V70" s="5" t="s">
        <v>230</v>
      </c>
      <c r="W70" s="6">
        <v>44254</v>
      </c>
      <c r="X70" s="5" t="s">
        <v>933</v>
      </c>
      <c r="Y70" s="5" t="s">
        <v>959</v>
      </c>
      <c r="Z70" s="5" t="s">
        <v>971</v>
      </c>
      <c r="AA70" s="5">
        <v>5</v>
      </c>
      <c r="AB70" s="5" t="s">
        <v>44</v>
      </c>
      <c r="AC70" s="5" t="s">
        <v>972</v>
      </c>
      <c r="AD70" s="5" t="s">
        <v>933</v>
      </c>
      <c r="AE70" s="5">
        <v>2</v>
      </c>
      <c r="AF70" s="5">
        <v>2842500</v>
      </c>
      <c r="AG70" s="5">
        <v>56850</v>
      </c>
      <c r="AH70" s="5"/>
      <c r="AI70" s="5"/>
      <c r="AJ70" s="5" t="s">
        <v>37</v>
      </c>
      <c r="AK70" s="2" t="s">
        <v>5107</v>
      </c>
      <c r="AL70" s="3">
        <v>56850</v>
      </c>
      <c r="AM70" s="8">
        <v>45713</v>
      </c>
      <c r="AN70" s="2"/>
      <c r="AO70" s="7">
        <f t="shared" si="1"/>
        <v>0</v>
      </c>
    </row>
    <row r="71" spans="1:41" hidden="1" x14ac:dyDescent="0.25">
      <c r="A71" s="2">
        <v>95</v>
      </c>
      <c r="B71" s="2" t="s">
        <v>61</v>
      </c>
      <c r="C71" s="2" t="s">
        <v>973</v>
      </c>
      <c r="D71" s="2" t="s">
        <v>36</v>
      </c>
      <c r="E71" s="2" t="s">
        <v>37</v>
      </c>
      <c r="F71" s="2" t="s">
        <v>974</v>
      </c>
      <c r="G71" s="2" t="s">
        <v>53</v>
      </c>
      <c r="H71" s="2" t="s">
        <v>975</v>
      </c>
      <c r="I71" s="2" t="s">
        <v>976</v>
      </c>
      <c r="J71" s="2" t="s">
        <v>977</v>
      </c>
      <c r="K71" s="2" t="s">
        <v>978</v>
      </c>
      <c r="L71" s="2" t="s">
        <v>979</v>
      </c>
      <c r="M71" s="2">
        <v>792920</v>
      </c>
      <c r="N71" s="2">
        <v>1610000</v>
      </c>
      <c r="O71" s="2" t="s">
        <v>980</v>
      </c>
      <c r="P71" s="8">
        <v>45716</v>
      </c>
      <c r="Q71" s="2" t="s">
        <v>981</v>
      </c>
      <c r="R71" s="2" t="s">
        <v>982</v>
      </c>
      <c r="S71" s="2" t="s">
        <v>54</v>
      </c>
      <c r="T71" s="2" t="s">
        <v>55</v>
      </c>
      <c r="U71" s="2" t="s">
        <v>56</v>
      </c>
      <c r="V71" s="2" t="s">
        <v>57</v>
      </c>
      <c r="W71" s="8">
        <v>44470</v>
      </c>
      <c r="X71" s="2" t="s">
        <v>45</v>
      </c>
      <c r="Y71" s="2" t="s">
        <v>983</v>
      </c>
      <c r="Z71" s="2" t="s">
        <v>984</v>
      </c>
      <c r="AA71" s="2">
        <v>6</v>
      </c>
      <c r="AB71" s="2" t="s">
        <v>44</v>
      </c>
      <c r="AC71" s="2" t="s">
        <v>985</v>
      </c>
      <c r="AD71" s="2" t="s">
        <v>986</v>
      </c>
      <c r="AE71" s="2">
        <v>2</v>
      </c>
      <c r="AF71" s="2">
        <v>1288000</v>
      </c>
      <c r="AG71" s="2">
        <v>25760</v>
      </c>
      <c r="AH71" s="2"/>
      <c r="AI71" s="2"/>
      <c r="AJ71" s="2" t="s">
        <v>37</v>
      </c>
      <c r="AK71" s="2" t="s">
        <v>5108</v>
      </c>
      <c r="AL71" s="3">
        <v>25760</v>
      </c>
      <c r="AM71" s="8">
        <v>45713</v>
      </c>
      <c r="AN71" s="2"/>
      <c r="AO71" s="7">
        <f t="shared" si="1"/>
        <v>0</v>
      </c>
    </row>
    <row r="72" spans="1:41" hidden="1" x14ac:dyDescent="0.25">
      <c r="A72" s="5">
        <v>96</v>
      </c>
      <c r="B72" s="5" t="s">
        <v>61</v>
      </c>
      <c r="C72" s="5" t="s">
        <v>987</v>
      </c>
      <c r="D72" s="5" t="s">
        <v>36</v>
      </c>
      <c r="E72" s="5" t="s">
        <v>37</v>
      </c>
      <c r="F72" s="5" t="s">
        <v>988</v>
      </c>
      <c r="G72" s="5" t="s">
        <v>53</v>
      </c>
      <c r="H72" s="5" t="s">
        <v>989</v>
      </c>
      <c r="I72" s="5" t="s">
        <v>990</v>
      </c>
      <c r="J72" s="5" t="s">
        <v>991</v>
      </c>
      <c r="K72" s="5" t="s">
        <v>990</v>
      </c>
      <c r="L72" s="5" t="s">
        <v>992</v>
      </c>
      <c r="M72" s="5">
        <v>396599</v>
      </c>
      <c r="N72" s="5">
        <v>1433000</v>
      </c>
      <c r="O72" s="5" t="s">
        <v>55</v>
      </c>
      <c r="P72" s="6">
        <v>45716</v>
      </c>
      <c r="Q72" s="5" t="s">
        <v>993</v>
      </c>
      <c r="R72" s="5" t="s">
        <v>994</v>
      </c>
      <c r="S72" s="5" t="s">
        <v>54</v>
      </c>
      <c r="T72" s="5" t="s">
        <v>55</v>
      </c>
      <c r="U72" s="5" t="s">
        <v>430</v>
      </c>
      <c r="V72" s="5" t="s">
        <v>91</v>
      </c>
      <c r="W72" s="6">
        <v>44254</v>
      </c>
      <c r="X72" s="5" t="s">
        <v>933</v>
      </c>
      <c r="Y72" s="5" t="s">
        <v>959</v>
      </c>
      <c r="Z72" s="5" t="s">
        <v>995</v>
      </c>
      <c r="AA72" s="5">
        <v>5</v>
      </c>
      <c r="AB72" s="5" t="s">
        <v>44</v>
      </c>
      <c r="AC72" s="5" t="s">
        <v>996</v>
      </c>
      <c r="AD72" s="5" t="s">
        <v>933</v>
      </c>
      <c r="AE72" s="5">
        <v>2</v>
      </c>
      <c r="AF72" s="5">
        <v>1074750</v>
      </c>
      <c r="AG72" s="5">
        <v>21495</v>
      </c>
      <c r="AH72" s="5"/>
      <c r="AI72" s="5"/>
      <c r="AJ72" s="5" t="s">
        <v>37</v>
      </c>
      <c r="AK72" s="2" t="s">
        <v>5109</v>
      </c>
      <c r="AL72" s="3">
        <v>21495</v>
      </c>
      <c r="AM72" s="8">
        <v>45713</v>
      </c>
      <c r="AN72" s="2"/>
      <c r="AO72" s="7">
        <f t="shared" si="1"/>
        <v>0</v>
      </c>
    </row>
    <row r="73" spans="1:41" x14ac:dyDescent="0.25">
      <c r="A73" s="2">
        <v>97</v>
      </c>
      <c r="B73" s="2" t="s">
        <v>203</v>
      </c>
      <c r="C73" s="2" t="s">
        <v>997</v>
      </c>
      <c r="D73" s="2" t="s">
        <v>36</v>
      </c>
      <c r="E73" s="2" t="s">
        <v>37</v>
      </c>
      <c r="F73" s="2" t="s">
        <v>998</v>
      </c>
      <c r="G73" s="2" t="s">
        <v>47</v>
      </c>
      <c r="H73" s="2" t="s">
        <v>999</v>
      </c>
      <c r="I73" s="2" t="s">
        <v>55</v>
      </c>
      <c r="J73" s="2" t="s">
        <v>1000</v>
      </c>
      <c r="K73" s="2" t="s">
        <v>55</v>
      </c>
      <c r="L73" s="2" t="s">
        <v>1001</v>
      </c>
      <c r="M73" s="2">
        <v>1323964</v>
      </c>
      <c r="N73" s="2">
        <v>3050000</v>
      </c>
      <c r="O73" s="2" t="s">
        <v>1002</v>
      </c>
      <c r="P73" s="8">
        <v>45715</v>
      </c>
      <c r="Q73" s="2" t="s">
        <v>1003</v>
      </c>
      <c r="R73" s="2" t="s">
        <v>1004</v>
      </c>
      <c r="S73" s="2" t="s">
        <v>48</v>
      </c>
      <c r="T73" s="2" t="s">
        <v>1005</v>
      </c>
      <c r="U73" s="2" t="s">
        <v>522</v>
      </c>
      <c r="V73" s="2" t="s">
        <v>158</v>
      </c>
      <c r="W73" s="8">
        <v>44620</v>
      </c>
      <c r="X73" s="2" t="s">
        <v>100</v>
      </c>
      <c r="Y73" s="2" t="s">
        <v>947</v>
      </c>
      <c r="Z73" s="2" t="s">
        <v>1006</v>
      </c>
      <c r="AA73" s="2">
        <v>5</v>
      </c>
      <c r="AB73" s="2" t="s">
        <v>76</v>
      </c>
      <c r="AC73" s="2" t="s">
        <v>1007</v>
      </c>
      <c r="AD73" s="2" t="s">
        <v>101</v>
      </c>
      <c r="AE73" s="2">
        <v>1.5</v>
      </c>
      <c r="AF73" s="2">
        <v>2440000</v>
      </c>
      <c r="AG73" s="2">
        <v>36600</v>
      </c>
      <c r="AH73" s="2"/>
      <c r="AI73" s="2"/>
      <c r="AJ73" s="2" t="s">
        <v>37</v>
      </c>
      <c r="AK73" s="2" t="s">
        <v>5110</v>
      </c>
      <c r="AL73" s="3">
        <v>34313</v>
      </c>
      <c r="AM73" s="8">
        <v>45713</v>
      </c>
      <c r="AN73" s="2" t="s">
        <v>5477</v>
      </c>
      <c r="AO73" s="7">
        <f t="shared" si="1"/>
        <v>2287</v>
      </c>
    </row>
    <row r="74" spans="1:41" hidden="1" x14ac:dyDescent="0.25">
      <c r="A74" s="5">
        <v>98</v>
      </c>
      <c r="B74" s="5" t="s">
        <v>61</v>
      </c>
      <c r="C74" s="5" t="s">
        <v>1008</v>
      </c>
      <c r="D74" s="5" t="s">
        <v>36</v>
      </c>
      <c r="E74" s="5" t="s">
        <v>37</v>
      </c>
      <c r="F74" s="5" t="s">
        <v>1009</v>
      </c>
      <c r="G74" s="5" t="s">
        <v>53</v>
      </c>
      <c r="H74" s="5" t="s">
        <v>1010</v>
      </c>
      <c r="I74" s="5" t="s">
        <v>55</v>
      </c>
      <c r="J74" s="5" t="s">
        <v>1011</v>
      </c>
      <c r="K74" s="5" t="s">
        <v>55</v>
      </c>
      <c r="L74" s="5" t="s">
        <v>1012</v>
      </c>
      <c r="M74" s="5">
        <v>1230749</v>
      </c>
      <c r="N74" s="5">
        <v>2380000</v>
      </c>
      <c r="O74" s="5" t="s">
        <v>1013</v>
      </c>
      <c r="P74" s="6">
        <v>45715</v>
      </c>
      <c r="Q74" s="5" t="s">
        <v>1014</v>
      </c>
      <c r="R74" s="5" t="s">
        <v>1015</v>
      </c>
      <c r="S74" s="5" t="s">
        <v>48</v>
      </c>
      <c r="T74" s="5" t="s">
        <v>1016</v>
      </c>
      <c r="U74" s="5" t="s">
        <v>305</v>
      </c>
      <c r="V74" s="5" t="s">
        <v>230</v>
      </c>
      <c r="W74" s="6">
        <v>45351</v>
      </c>
      <c r="X74" s="5" t="s">
        <v>1017</v>
      </c>
      <c r="Y74" s="5" t="s">
        <v>1018</v>
      </c>
      <c r="Z74" s="5" t="s">
        <v>1019</v>
      </c>
      <c r="AA74" s="5">
        <v>4</v>
      </c>
      <c r="AB74" s="5" t="s">
        <v>279</v>
      </c>
      <c r="AC74" s="5" t="s">
        <v>1020</v>
      </c>
      <c r="AD74" s="5" t="s">
        <v>1021</v>
      </c>
      <c r="AE74" s="5">
        <v>1.75</v>
      </c>
      <c r="AF74" s="5">
        <v>2142000</v>
      </c>
      <c r="AG74" s="5">
        <v>37485</v>
      </c>
      <c r="AH74" s="5"/>
      <c r="AI74" s="5"/>
      <c r="AJ74" s="5" t="s">
        <v>37</v>
      </c>
      <c r="AK74" s="2" t="s">
        <v>5111</v>
      </c>
      <c r="AL74" s="3">
        <v>37485</v>
      </c>
      <c r="AM74" s="8">
        <v>45713</v>
      </c>
      <c r="AN74" s="2"/>
      <c r="AO74" s="7">
        <f t="shared" si="1"/>
        <v>0</v>
      </c>
    </row>
    <row r="75" spans="1:41" hidden="1" x14ac:dyDescent="0.25">
      <c r="A75" s="2">
        <v>99</v>
      </c>
      <c r="B75" s="2" t="s">
        <v>61</v>
      </c>
      <c r="C75" s="2" t="s">
        <v>1022</v>
      </c>
      <c r="D75" s="2" t="s">
        <v>36</v>
      </c>
      <c r="E75" s="2" t="s">
        <v>37</v>
      </c>
      <c r="F75" s="2" t="s">
        <v>1023</v>
      </c>
      <c r="G75" s="2" t="s">
        <v>53</v>
      </c>
      <c r="H75" s="2" t="s">
        <v>1024</v>
      </c>
      <c r="I75" s="2" t="s">
        <v>1025</v>
      </c>
      <c r="J75" s="2" t="s">
        <v>1026</v>
      </c>
      <c r="K75" s="2" t="s">
        <v>1027</v>
      </c>
      <c r="L75" s="2" t="s">
        <v>1028</v>
      </c>
      <c r="M75" s="2">
        <v>2017299</v>
      </c>
      <c r="N75" s="2">
        <v>5040000</v>
      </c>
      <c r="O75" s="2" t="s">
        <v>1029</v>
      </c>
      <c r="P75" s="8">
        <v>45715</v>
      </c>
      <c r="Q75" s="2" t="s">
        <v>1030</v>
      </c>
      <c r="R75" s="2" t="s">
        <v>1031</v>
      </c>
      <c r="S75" s="2" t="s">
        <v>54</v>
      </c>
      <c r="T75" s="2" t="s">
        <v>55</v>
      </c>
      <c r="U75" s="2" t="s">
        <v>886</v>
      </c>
      <c r="V75" s="2" t="s">
        <v>887</v>
      </c>
      <c r="W75" s="8">
        <v>45351</v>
      </c>
      <c r="X75" s="2" t="s">
        <v>1017</v>
      </c>
      <c r="Y75" s="2" t="s">
        <v>1032</v>
      </c>
      <c r="Z75" s="2" t="s">
        <v>1033</v>
      </c>
      <c r="AA75" s="2">
        <v>2</v>
      </c>
      <c r="AB75" s="2" t="s">
        <v>279</v>
      </c>
      <c r="AC75" s="2" t="s">
        <v>1034</v>
      </c>
      <c r="AD75" s="2" t="s">
        <v>1021</v>
      </c>
      <c r="AE75" s="2">
        <v>1.75</v>
      </c>
      <c r="AF75" s="2">
        <v>4536000</v>
      </c>
      <c r="AG75" s="2">
        <v>79380</v>
      </c>
      <c r="AH75" s="2"/>
      <c r="AI75" s="2"/>
      <c r="AJ75" s="2" t="s">
        <v>37</v>
      </c>
      <c r="AK75" s="2" t="s">
        <v>5112</v>
      </c>
      <c r="AL75" s="3">
        <v>79380</v>
      </c>
      <c r="AM75" s="8">
        <v>45713</v>
      </c>
      <c r="AN75" s="2"/>
      <c r="AO75" s="7">
        <f t="shared" si="1"/>
        <v>0</v>
      </c>
    </row>
    <row r="76" spans="1:41" hidden="1" x14ac:dyDescent="0.25">
      <c r="A76" s="5">
        <v>100</v>
      </c>
      <c r="B76" s="5" t="s">
        <v>61</v>
      </c>
      <c r="C76" s="5" t="s">
        <v>1035</v>
      </c>
      <c r="D76" s="5" t="s">
        <v>36</v>
      </c>
      <c r="E76" s="5" t="s">
        <v>37</v>
      </c>
      <c r="F76" s="5" t="s">
        <v>1036</v>
      </c>
      <c r="G76" s="5" t="s">
        <v>53</v>
      </c>
      <c r="H76" s="5" t="s">
        <v>1037</v>
      </c>
      <c r="I76" s="5" t="s">
        <v>1038</v>
      </c>
      <c r="J76" s="5" t="s">
        <v>1039</v>
      </c>
      <c r="K76" s="5" t="s">
        <v>1038</v>
      </c>
      <c r="L76" s="5" t="s">
        <v>1040</v>
      </c>
      <c r="M76" s="5">
        <v>1444833</v>
      </c>
      <c r="N76" s="5">
        <v>2251000</v>
      </c>
      <c r="O76" s="5" t="s">
        <v>1041</v>
      </c>
      <c r="P76" s="6">
        <v>45715</v>
      </c>
      <c r="Q76" s="5" t="s">
        <v>1042</v>
      </c>
      <c r="R76" s="5" t="s">
        <v>1043</v>
      </c>
      <c r="S76" s="5" t="s">
        <v>54</v>
      </c>
      <c r="T76" s="5" t="s">
        <v>55</v>
      </c>
      <c r="U76" s="5" t="s">
        <v>834</v>
      </c>
      <c r="V76" s="5" t="s">
        <v>887</v>
      </c>
      <c r="W76" s="6">
        <v>45351</v>
      </c>
      <c r="X76" s="5" t="s">
        <v>1017</v>
      </c>
      <c r="Y76" s="5" t="s">
        <v>1044</v>
      </c>
      <c r="Z76" s="5" t="s">
        <v>1045</v>
      </c>
      <c r="AA76" s="5">
        <v>5</v>
      </c>
      <c r="AB76" s="5" t="s">
        <v>279</v>
      </c>
      <c r="AC76" s="5" t="s">
        <v>1046</v>
      </c>
      <c r="AD76" s="5" t="s">
        <v>1047</v>
      </c>
      <c r="AE76" s="5">
        <v>1.75</v>
      </c>
      <c r="AF76" s="5">
        <v>2025900</v>
      </c>
      <c r="AG76" s="5">
        <v>35453</v>
      </c>
      <c r="AH76" s="5"/>
      <c r="AI76" s="5"/>
      <c r="AJ76" s="5" t="s">
        <v>37</v>
      </c>
      <c r="AK76" s="2" t="s">
        <v>5113</v>
      </c>
      <c r="AL76" s="3">
        <v>35453</v>
      </c>
      <c r="AM76" s="8">
        <v>45713</v>
      </c>
      <c r="AN76" s="2"/>
      <c r="AO76" s="7">
        <f t="shared" si="1"/>
        <v>0</v>
      </c>
    </row>
    <row r="77" spans="1:41" hidden="1" x14ac:dyDescent="0.25">
      <c r="A77" s="2">
        <v>101</v>
      </c>
      <c r="B77" s="2" t="s">
        <v>61</v>
      </c>
      <c r="C77" s="2" t="s">
        <v>1048</v>
      </c>
      <c r="D77" s="2" t="s">
        <v>36</v>
      </c>
      <c r="E77" s="2" t="s">
        <v>37</v>
      </c>
      <c r="F77" s="2" t="s">
        <v>1049</v>
      </c>
      <c r="G77" s="2" t="s">
        <v>53</v>
      </c>
      <c r="H77" s="2" t="s">
        <v>1050</v>
      </c>
      <c r="I77" s="2" t="s">
        <v>1051</v>
      </c>
      <c r="J77" s="2" t="s">
        <v>1052</v>
      </c>
      <c r="K77" s="2" t="s">
        <v>1051</v>
      </c>
      <c r="L77" s="2" t="s">
        <v>1053</v>
      </c>
      <c r="M77" s="2">
        <v>714450</v>
      </c>
      <c r="N77" s="2">
        <v>1299000</v>
      </c>
      <c r="O77" s="2" t="s">
        <v>1054</v>
      </c>
      <c r="P77" s="8">
        <v>45722</v>
      </c>
      <c r="Q77" s="2" t="s">
        <v>1055</v>
      </c>
      <c r="R77" s="2" t="s">
        <v>1056</v>
      </c>
      <c r="S77" s="2" t="s">
        <v>55</v>
      </c>
      <c r="T77" s="2" t="s">
        <v>55</v>
      </c>
      <c r="U77" s="2" t="s">
        <v>1057</v>
      </c>
      <c r="V77" s="2" t="s">
        <v>57</v>
      </c>
      <c r="W77" s="2" t="s">
        <v>1058</v>
      </c>
      <c r="X77" s="2" t="s">
        <v>42</v>
      </c>
      <c r="Y77" s="2" t="s">
        <v>43</v>
      </c>
      <c r="Z77" s="2" t="s">
        <v>1059</v>
      </c>
      <c r="AA77" s="2">
        <v>5</v>
      </c>
      <c r="AB77" s="2" t="s">
        <v>44</v>
      </c>
      <c r="AC77" s="2" t="s">
        <v>1060</v>
      </c>
      <c r="AD77" s="2" t="s">
        <v>163</v>
      </c>
      <c r="AE77" s="2" t="s">
        <v>78</v>
      </c>
      <c r="AF77" s="2">
        <v>1039200</v>
      </c>
      <c r="AG77" s="2">
        <v>20784</v>
      </c>
      <c r="AH77" s="2"/>
      <c r="AI77" s="2"/>
      <c r="AJ77" s="2" t="s">
        <v>37</v>
      </c>
      <c r="AK77" s="2" t="s">
        <v>5114</v>
      </c>
      <c r="AL77" s="3">
        <v>20784</v>
      </c>
      <c r="AM77" s="8">
        <v>45733</v>
      </c>
      <c r="AN77" s="2"/>
      <c r="AO77" s="7">
        <f t="shared" si="1"/>
        <v>0</v>
      </c>
    </row>
    <row r="78" spans="1:41" hidden="1" x14ac:dyDescent="0.25">
      <c r="A78" s="5">
        <v>102</v>
      </c>
      <c r="B78" s="5" t="s">
        <v>61</v>
      </c>
      <c r="C78" s="5" t="s">
        <v>1061</v>
      </c>
      <c r="D78" s="5" t="s">
        <v>36</v>
      </c>
      <c r="E78" s="5" t="s">
        <v>37</v>
      </c>
      <c r="F78" s="5" t="s">
        <v>1062</v>
      </c>
      <c r="G78" s="5" t="s">
        <v>53</v>
      </c>
      <c r="H78" s="5" t="s">
        <v>1063</v>
      </c>
      <c r="I78" s="5" t="s">
        <v>55</v>
      </c>
      <c r="J78" s="5" t="s">
        <v>1064</v>
      </c>
      <c r="K78" s="5" t="s">
        <v>55</v>
      </c>
      <c r="L78" s="5" t="s">
        <v>1065</v>
      </c>
      <c r="M78" s="5">
        <v>1180514</v>
      </c>
      <c r="N78" s="5">
        <v>2612000</v>
      </c>
      <c r="O78" s="5" t="s">
        <v>1066</v>
      </c>
      <c r="P78" s="6">
        <v>45715</v>
      </c>
      <c r="Q78" s="5" t="s">
        <v>1067</v>
      </c>
      <c r="R78" s="5" t="s">
        <v>1068</v>
      </c>
      <c r="S78" s="5" t="s">
        <v>54</v>
      </c>
      <c r="T78" s="5" t="s">
        <v>55</v>
      </c>
      <c r="U78" s="5" t="s">
        <v>430</v>
      </c>
      <c r="V78" s="5" t="s">
        <v>887</v>
      </c>
      <c r="W78" s="6">
        <v>45351</v>
      </c>
      <c r="X78" s="5" t="s">
        <v>1017</v>
      </c>
      <c r="Y78" s="5" t="s">
        <v>1044</v>
      </c>
      <c r="Z78" s="5" t="s">
        <v>1069</v>
      </c>
      <c r="AA78" s="5">
        <v>5</v>
      </c>
      <c r="AB78" s="5" t="s">
        <v>279</v>
      </c>
      <c r="AC78" s="5" t="s">
        <v>1070</v>
      </c>
      <c r="AD78" s="5" t="s">
        <v>1047</v>
      </c>
      <c r="AE78" s="5">
        <v>1.75</v>
      </c>
      <c r="AF78" s="5">
        <v>2350800</v>
      </c>
      <c r="AG78" s="5">
        <v>41139</v>
      </c>
      <c r="AH78" s="5"/>
      <c r="AI78" s="5"/>
      <c r="AJ78" s="5" t="s">
        <v>37</v>
      </c>
      <c r="AK78" s="2" t="s">
        <v>5115</v>
      </c>
      <c r="AL78" s="3">
        <v>41139</v>
      </c>
      <c r="AM78" s="8">
        <v>45713</v>
      </c>
      <c r="AN78" s="2"/>
      <c r="AO78" s="7">
        <f t="shared" si="1"/>
        <v>0</v>
      </c>
    </row>
    <row r="79" spans="1:41" hidden="1" x14ac:dyDescent="0.25">
      <c r="A79" s="2">
        <v>103</v>
      </c>
      <c r="B79" s="2" t="s">
        <v>61</v>
      </c>
      <c r="C79" s="2" t="s">
        <v>1071</v>
      </c>
      <c r="D79" s="2" t="s">
        <v>36</v>
      </c>
      <c r="E79" s="2" t="s">
        <v>37</v>
      </c>
      <c r="F79" s="2" t="s">
        <v>1072</v>
      </c>
      <c r="G79" s="2" t="s">
        <v>64</v>
      </c>
      <c r="H79" s="2" t="s">
        <v>1073</v>
      </c>
      <c r="I79" s="2" t="s">
        <v>1074</v>
      </c>
      <c r="J79" s="2" t="s">
        <v>55</v>
      </c>
      <c r="K79" s="2" t="s">
        <v>1075</v>
      </c>
      <c r="L79" s="2" t="s">
        <v>1076</v>
      </c>
      <c r="M79" s="2">
        <v>1001250</v>
      </c>
      <c r="N79" s="2">
        <v>1335000</v>
      </c>
      <c r="O79" s="2" t="s">
        <v>1077</v>
      </c>
      <c r="P79" s="8">
        <v>45722</v>
      </c>
      <c r="Q79" s="2" t="s">
        <v>1078</v>
      </c>
      <c r="R79" s="2" t="s">
        <v>1079</v>
      </c>
      <c r="S79" s="2" t="s">
        <v>55</v>
      </c>
      <c r="T79" s="2" t="s">
        <v>55</v>
      </c>
      <c r="U79" s="2" t="s">
        <v>334</v>
      </c>
      <c r="V79" s="2" t="s">
        <v>57</v>
      </c>
      <c r="W79" s="2" t="s">
        <v>500</v>
      </c>
      <c r="X79" s="2" t="s">
        <v>45</v>
      </c>
      <c r="Y79" s="2" t="s">
        <v>74</v>
      </c>
      <c r="Z79" s="2" t="s">
        <v>1080</v>
      </c>
      <c r="AA79" s="2">
        <v>5</v>
      </c>
      <c r="AB79" s="2" t="s">
        <v>44</v>
      </c>
      <c r="AC79" s="2" t="s">
        <v>1081</v>
      </c>
      <c r="AD79" s="2" t="s">
        <v>163</v>
      </c>
      <c r="AE79" s="2" t="s">
        <v>78</v>
      </c>
      <c r="AF79" s="2">
        <v>1068000</v>
      </c>
      <c r="AG79" s="2">
        <v>21360</v>
      </c>
      <c r="AH79" s="2"/>
      <c r="AI79" s="2"/>
      <c r="AJ79" s="2" t="s">
        <v>37</v>
      </c>
      <c r="AK79" s="2" t="s">
        <v>5116</v>
      </c>
      <c r="AL79" s="3">
        <v>21360</v>
      </c>
      <c r="AM79" s="8">
        <v>45733</v>
      </c>
      <c r="AN79" s="2"/>
      <c r="AO79" s="7">
        <f t="shared" si="1"/>
        <v>0</v>
      </c>
    </row>
    <row r="80" spans="1:41" hidden="1" x14ac:dyDescent="0.25">
      <c r="A80" s="5">
        <v>104</v>
      </c>
      <c r="B80" s="5" t="s">
        <v>61</v>
      </c>
      <c r="C80" s="5" t="s">
        <v>1082</v>
      </c>
      <c r="D80" s="5" t="s">
        <v>36</v>
      </c>
      <c r="E80" s="5" t="s">
        <v>37</v>
      </c>
      <c r="F80" s="5" t="s">
        <v>1083</v>
      </c>
      <c r="G80" s="5" t="s">
        <v>111</v>
      </c>
      <c r="H80" s="5" t="s">
        <v>1084</v>
      </c>
      <c r="I80" s="5" t="s">
        <v>1085</v>
      </c>
      <c r="J80" s="5" t="s">
        <v>1085</v>
      </c>
      <c r="K80" s="5" t="s">
        <v>1085</v>
      </c>
      <c r="L80" s="5" t="s">
        <v>1086</v>
      </c>
      <c r="M80" s="5">
        <v>1040000</v>
      </c>
      <c r="N80" s="5">
        <v>1600000</v>
      </c>
      <c r="O80" s="5" t="s">
        <v>1087</v>
      </c>
      <c r="P80" s="6">
        <v>45722</v>
      </c>
      <c r="Q80" s="5" t="s">
        <v>1088</v>
      </c>
      <c r="R80" s="5" t="s">
        <v>1089</v>
      </c>
      <c r="S80" s="5" t="s">
        <v>1090</v>
      </c>
      <c r="T80" s="5" t="s">
        <v>1090</v>
      </c>
      <c r="U80" s="5" t="s">
        <v>1091</v>
      </c>
      <c r="V80" s="5" t="s">
        <v>158</v>
      </c>
      <c r="W80" s="5" t="s">
        <v>1092</v>
      </c>
      <c r="X80" s="5" t="s">
        <v>42</v>
      </c>
      <c r="Y80" s="5" t="s">
        <v>43</v>
      </c>
      <c r="Z80" s="5" t="s">
        <v>1093</v>
      </c>
      <c r="AA80" s="5">
        <v>5</v>
      </c>
      <c r="AB80" s="5" t="s">
        <v>44</v>
      </c>
      <c r="AC80" s="5" t="s">
        <v>1094</v>
      </c>
      <c r="AD80" s="5" t="s">
        <v>163</v>
      </c>
      <c r="AE80" s="5" t="s">
        <v>46</v>
      </c>
      <c r="AF80" s="5">
        <v>1280000</v>
      </c>
      <c r="AG80" s="5">
        <v>19200</v>
      </c>
      <c r="AH80" s="5"/>
      <c r="AI80" s="5"/>
      <c r="AJ80" s="5" t="s">
        <v>37</v>
      </c>
      <c r="AK80" s="2" t="s">
        <v>5117</v>
      </c>
      <c r="AL80" s="3">
        <v>19200</v>
      </c>
      <c r="AM80" s="8">
        <v>45733</v>
      </c>
      <c r="AN80" s="2"/>
      <c r="AO80" s="7">
        <f t="shared" si="1"/>
        <v>0</v>
      </c>
    </row>
    <row r="81" spans="1:41" hidden="1" x14ac:dyDescent="0.25">
      <c r="A81" s="2">
        <v>105</v>
      </c>
      <c r="B81" s="2" t="s">
        <v>61</v>
      </c>
      <c r="C81" s="2" t="s">
        <v>1095</v>
      </c>
      <c r="D81" s="2" t="s">
        <v>36</v>
      </c>
      <c r="E81" s="2" t="s">
        <v>37</v>
      </c>
      <c r="F81" s="2" t="s">
        <v>1096</v>
      </c>
      <c r="G81" s="2" t="s">
        <v>53</v>
      </c>
      <c r="H81" s="2" t="s">
        <v>1097</v>
      </c>
      <c r="I81" s="2" t="s">
        <v>1098</v>
      </c>
      <c r="J81" s="2" t="s">
        <v>1099</v>
      </c>
      <c r="K81" s="2" t="s">
        <v>1100</v>
      </c>
      <c r="L81" s="2" t="s">
        <v>1101</v>
      </c>
      <c r="M81" s="2">
        <v>1143451</v>
      </c>
      <c r="N81" s="2">
        <v>2300000</v>
      </c>
      <c r="O81" s="2" t="s">
        <v>1102</v>
      </c>
      <c r="P81" s="8">
        <v>45715</v>
      </c>
      <c r="Q81" s="2" t="s">
        <v>1103</v>
      </c>
      <c r="R81" s="2" t="s">
        <v>1104</v>
      </c>
      <c r="S81" s="2" t="s">
        <v>48</v>
      </c>
      <c r="T81" s="2" t="s">
        <v>1105</v>
      </c>
      <c r="U81" s="2" t="s">
        <v>798</v>
      </c>
      <c r="V81" s="2" t="s">
        <v>91</v>
      </c>
      <c r="W81" s="8">
        <v>45351</v>
      </c>
      <c r="X81" s="2" t="s">
        <v>1017</v>
      </c>
      <c r="Y81" s="2" t="s">
        <v>1044</v>
      </c>
      <c r="Z81" s="2" t="s">
        <v>1106</v>
      </c>
      <c r="AA81" s="2">
        <v>5</v>
      </c>
      <c r="AB81" s="2" t="s">
        <v>279</v>
      </c>
      <c r="AC81" s="2" t="s">
        <v>1107</v>
      </c>
      <c r="AD81" s="2" t="s">
        <v>1047</v>
      </c>
      <c r="AE81" s="2">
        <v>1.75</v>
      </c>
      <c r="AF81" s="2">
        <v>2070000</v>
      </c>
      <c r="AG81" s="2">
        <v>36225</v>
      </c>
      <c r="AH81" s="2"/>
      <c r="AI81" s="2"/>
      <c r="AJ81" s="2" t="s">
        <v>37</v>
      </c>
      <c r="AK81" s="2" t="s">
        <v>5118</v>
      </c>
      <c r="AL81" s="3">
        <v>36225</v>
      </c>
      <c r="AM81" s="8">
        <v>45713</v>
      </c>
      <c r="AN81" s="2"/>
      <c r="AO81" s="7">
        <f t="shared" si="1"/>
        <v>0</v>
      </c>
    </row>
    <row r="82" spans="1:41" hidden="1" x14ac:dyDescent="0.25">
      <c r="A82" s="5">
        <v>106</v>
      </c>
      <c r="B82" s="5" t="s">
        <v>61</v>
      </c>
      <c r="C82" s="5" t="s">
        <v>1108</v>
      </c>
      <c r="D82" s="5" t="s">
        <v>36</v>
      </c>
      <c r="E82" s="5" t="s">
        <v>37</v>
      </c>
      <c r="F82" s="5" t="s">
        <v>1109</v>
      </c>
      <c r="G82" s="5" t="s">
        <v>111</v>
      </c>
      <c r="H82" s="5" t="s">
        <v>1110</v>
      </c>
      <c r="I82" s="5" t="s">
        <v>1111</v>
      </c>
      <c r="J82" s="5" t="s">
        <v>1111</v>
      </c>
      <c r="K82" s="5" t="s">
        <v>1111</v>
      </c>
      <c r="L82" s="5" t="s">
        <v>1112</v>
      </c>
      <c r="M82" s="5">
        <v>1134750</v>
      </c>
      <c r="N82" s="5">
        <v>1335000</v>
      </c>
      <c r="O82" s="5" t="s">
        <v>1113</v>
      </c>
      <c r="P82" s="6">
        <v>45722</v>
      </c>
      <c r="Q82" s="5" t="s">
        <v>1114</v>
      </c>
      <c r="R82" s="5" t="s">
        <v>1115</v>
      </c>
      <c r="S82" s="5" t="s">
        <v>55</v>
      </c>
      <c r="T82" s="5" t="s">
        <v>55</v>
      </c>
      <c r="U82" s="5" t="s">
        <v>334</v>
      </c>
      <c r="V82" s="5" t="s">
        <v>57</v>
      </c>
      <c r="W82" s="5" t="s">
        <v>1116</v>
      </c>
      <c r="X82" s="5" t="s">
        <v>45</v>
      </c>
      <c r="Y82" s="5" t="s">
        <v>336</v>
      </c>
      <c r="Z82" s="5" t="s">
        <v>1117</v>
      </c>
      <c r="AA82" s="5">
        <v>7</v>
      </c>
      <c r="AB82" s="5" t="s">
        <v>44</v>
      </c>
      <c r="AC82" s="5" t="s">
        <v>1118</v>
      </c>
      <c r="AD82" s="5" t="s">
        <v>153</v>
      </c>
      <c r="AE82" s="5" t="s">
        <v>78</v>
      </c>
      <c r="AF82" s="5">
        <v>1068000</v>
      </c>
      <c r="AG82" s="5">
        <v>21360</v>
      </c>
      <c r="AH82" s="5"/>
      <c r="AI82" s="5"/>
      <c r="AJ82" s="5" t="s">
        <v>37</v>
      </c>
      <c r="AK82" s="2" t="s">
        <v>5119</v>
      </c>
      <c r="AL82" s="3">
        <v>21360</v>
      </c>
      <c r="AM82" s="8">
        <v>45734</v>
      </c>
      <c r="AN82" s="2"/>
      <c r="AO82" s="7">
        <f t="shared" si="1"/>
        <v>0</v>
      </c>
    </row>
    <row r="83" spans="1:41" hidden="1" x14ac:dyDescent="0.25">
      <c r="A83" s="2">
        <v>107</v>
      </c>
      <c r="B83" s="2" t="s">
        <v>61</v>
      </c>
      <c r="C83" s="2" t="s">
        <v>1119</v>
      </c>
      <c r="D83" s="2" t="s">
        <v>36</v>
      </c>
      <c r="E83" s="2" t="s">
        <v>37</v>
      </c>
      <c r="F83" s="2" t="s">
        <v>1120</v>
      </c>
      <c r="G83" s="2" t="s">
        <v>206</v>
      </c>
      <c r="H83" s="2" t="s">
        <v>1121</v>
      </c>
      <c r="I83" s="2" t="s">
        <v>1122</v>
      </c>
      <c r="J83" s="2" t="s">
        <v>1123</v>
      </c>
      <c r="K83" s="2" t="s">
        <v>1122</v>
      </c>
      <c r="L83" s="2" t="s">
        <v>1124</v>
      </c>
      <c r="M83" s="2">
        <v>1256000</v>
      </c>
      <c r="N83" s="2">
        <v>1570000</v>
      </c>
      <c r="O83" s="2" t="s">
        <v>1125</v>
      </c>
      <c r="P83" s="8">
        <v>45722</v>
      </c>
      <c r="Q83" s="2" t="s">
        <v>1126</v>
      </c>
      <c r="R83" s="2" t="s">
        <v>1127</v>
      </c>
      <c r="S83" s="2" t="s">
        <v>55</v>
      </c>
      <c r="T83" s="2" t="s">
        <v>55</v>
      </c>
      <c r="U83" s="2" t="s">
        <v>334</v>
      </c>
      <c r="V83" s="2" t="s">
        <v>158</v>
      </c>
      <c r="W83" s="2" t="s">
        <v>1128</v>
      </c>
      <c r="X83" s="2" t="s">
        <v>45</v>
      </c>
      <c r="Y83" s="2" t="s">
        <v>74</v>
      </c>
      <c r="Z83" s="2" t="s">
        <v>1129</v>
      </c>
      <c r="AA83" s="2">
        <v>5</v>
      </c>
      <c r="AB83" s="2" t="s">
        <v>76</v>
      </c>
      <c r="AC83" s="2" t="s">
        <v>1130</v>
      </c>
      <c r="AD83" s="2" t="s">
        <v>153</v>
      </c>
      <c r="AE83" s="2" t="s">
        <v>46</v>
      </c>
      <c r="AF83" s="2">
        <v>1256000</v>
      </c>
      <c r="AG83" s="2">
        <v>18840</v>
      </c>
      <c r="AH83" s="2"/>
      <c r="AI83" s="2"/>
      <c r="AJ83" s="2" t="s">
        <v>37</v>
      </c>
      <c r="AK83" s="2" t="s">
        <v>5120</v>
      </c>
      <c r="AL83" s="3">
        <v>18840</v>
      </c>
      <c r="AM83" s="8">
        <v>45734</v>
      </c>
      <c r="AN83" s="2"/>
      <c r="AO83" s="7">
        <f t="shared" si="1"/>
        <v>0</v>
      </c>
    </row>
    <row r="84" spans="1:41" hidden="1" x14ac:dyDescent="0.25">
      <c r="A84" s="5">
        <v>108</v>
      </c>
      <c r="B84" s="5" t="s">
        <v>61</v>
      </c>
      <c r="C84" s="5" t="s">
        <v>1131</v>
      </c>
      <c r="D84" s="5" t="s">
        <v>36</v>
      </c>
      <c r="E84" s="5" t="s">
        <v>37</v>
      </c>
      <c r="F84" s="5" t="s">
        <v>1132</v>
      </c>
      <c r="G84" s="5" t="s">
        <v>47</v>
      </c>
      <c r="H84" s="5" t="s">
        <v>1133</v>
      </c>
      <c r="I84" s="5" t="s">
        <v>55</v>
      </c>
      <c r="J84" s="5" t="s">
        <v>1134</v>
      </c>
      <c r="K84" s="5" t="s">
        <v>55</v>
      </c>
      <c r="L84" s="5" t="s">
        <v>1135</v>
      </c>
      <c r="M84" s="5">
        <v>1512000</v>
      </c>
      <c r="N84" s="5">
        <v>2160000</v>
      </c>
      <c r="O84" s="5" t="s">
        <v>1136</v>
      </c>
      <c r="P84" s="6">
        <v>45722</v>
      </c>
      <c r="Q84" s="5" t="s">
        <v>1137</v>
      </c>
      <c r="R84" s="5" t="s">
        <v>1138</v>
      </c>
      <c r="S84" s="5" t="s">
        <v>1139</v>
      </c>
      <c r="T84" s="5" t="s">
        <v>1139</v>
      </c>
      <c r="U84" s="5" t="s">
        <v>1140</v>
      </c>
      <c r="V84" s="5" t="s">
        <v>158</v>
      </c>
      <c r="W84" s="5" t="s">
        <v>1128</v>
      </c>
      <c r="X84" s="5" t="s">
        <v>45</v>
      </c>
      <c r="Y84" s="5" t="s">
        <v>74</v>
      </c>
      <c r="Z84" s="5" t="s">
        <v>1141</v>
      </c>
      <c r="AA84" s="5">
        <v>5</v>
      </c>
      <c r="AB84" s="5" t="s">
        <v>44</v>
      </c>
      <c r="AC84" s="5" t="s">
        <v>1142</v>
      </c>
      <c r="AD84" s="5" t="s">
        <v>1143</v>
      </c>
      <c r="AE84" s="5" t="s">
        <v>46</v>
      </c>
      <c r="AF84" s="5">
        <v>1728000</v>
      </c>
      <c r="AG84" s="5">
        <v>25920</v>
      </c>
      <c r="AH84" s="5"/>
      <c r="AI84" s="5"/>
      <c r="AJ84" s="5" t="s">
        <v>37</v>
      </c>
      <c r="AK84" s="2" t="s">
        <v>5121</v>
      </c>
      <c r="AL84" s="3">
        <v>25920</v>
      </c>
      <c r="AM84" s="8">
        <v>45734</v>
      </c>
      <c r="AN84" s="2"/>
      <c r="AO84" s="7">
        <f t="shared" si="1"/>
        <v>0</v>
      </c>
    </row>
    <row r="85" spans="1:41" hidden="1" x14ac:dyDescent="0.25">
      <c r="A85" s="2">
        <v>109</v>
      </c>
      <c r="B85" s="2" t="s">
        <v>61</v>
      </c>
      <c r="C85" s="2" t="s">
        <v>1144</v>
      </c>
      <c r="D85" s="2" t="s">
        <v>36</v>
      </c>
      <c r="E85" s="2" t="s">
        <v>37</v>
      </c>
      <c r="F85" s="2" t="s">
        <v>1145</v>
      </c>
      <c r="G85" s="2" t="s">
        <v>53</v>
      </c>
      <c r="H85" s="2" t="s">
        <v>1146</v>
      </c>
      <c r="I85" s="2" t="s">
        <v>55</v>
      </c>
      <c r="J85" s="2" t="s">
        <v>1147</v>
      </c>
      <c r="K85" s="2" t="s">
        <v>55</v>
      </c>
      <c r="L85" s="2" t="s">
        <v>1148</v>
      </c>
      <c r="M85" s="2">
        <v>1326134</v>
      </c>
      <c r="N85" s="2">
        <v>2251000</v>
      </c>
      <c r="O85" s="2" t="s">
        <v>1149</v>
      </c>
      <c r="P85" s="8">
        <v>45715</v>
      </c>
      <c r="Q85" s="2" t="s">
        <v>1150</v>
      </c>
      <c r="R85" s="2" t="s">
        <v>1151</v>
      </c>
      <c r="S85" s="2" t="s">
        <v>54</v>
      </c>
      <c r="T85" s="2" t="s">
        <v>55</v>
      </c>
      <c r="U85" s="2" t="s">
        <v>1152</v>
      </c>
      <c r="V85" s="2" t="s">
        <v>887</v>
      </c>
      <c r="W85" s="8">
        <v>45351</v>
      </c>
      <c r="X85" s="2" t="s">
        <v>1017</v>
      </c>
      <c r="Y85" s="2" t="s">
        <v>1044</v>
      </c>
      <c r="Z85" s="2" t="s">
        <v>1153</v>
      </c>
      <c r="AA85" s="2">
        <v>5</v>
      </c>
      <c r="AB85" s="2" t="s">
        <v>279</v>
      </c>
      <c r="AC85" s="2" t="s">
        <v>1154</v>
      </c>
      <c r="AD85" s="2" t="s">
        <v>1047</v>
      </c>
      <c r="AE85" s="2">
        <v>1.75</v>
      </c>
      <c r="AF85" s="2">
        <v>2025900</v>
      </c>
      <c r="AG85" s="2">
        <v>35453</v>
      </c>
      <c r="AH85" s="2"/>
      <c r="AI85" s="2"/>
      <c r="AJ85" s="2" t="s">
        <v>37</v>
      </c>
      <c r="AK85" s="2" t="s">
        <v>5122</v>
      </c>
      <c r="AL85" s="3">
        <v>35453</v>
      </c>
      <c r="AM85" s="8">
        <v>45713</v>
      </c>
      <c r="AN85" s="2"/>
      <c r="AO85" s="7">
        <f t="shared" si="1"/>
        <v>0</v>
      </c>
    </row>
    <row r="86" spans="1:41" hidden="1" x14ac:dyDescent="0.25">
      <c r="A86" s="5">
        <v>110</v>
      </c>
      <c r="B86" s="5" t="s">
        <v>61</v>
      </c>
      <c r="C86" s="5" t="s">
        <v>1155</v>
      </c>
      <c r="D86" s="5" t="s">
        <v>36</v>
      </c>
      <c r="E86" s="5" t="s">
        <v>37</v>
      </c>
      <c r="F86" s="5" t="s">
        <v>1156</v>
      </c>
      <c r="G86" s="5" t="s">
        <v>47</v>
      </c>
      <c r="H86" s="5" t="s">
        <v>1157</v>
      </c>
      <c r="I86" s="5" t="s">
        <v>1158</v>
      </c>
      <c r="J86" s="5" t="s">
        <v>1159</v>
      </c>
      <c r="K86" s="5" t="s">
        <v>1158</v>
      </c>
      <c r="L86" s="5" t="s">
        <v>1160</v>
      </c>
      <c r="M86" s="5">
        <v>1039995</v>
      </c>
      <c r="N86" s="5">
        <v>2200000</v>
      </c>
      <c r="O86" s="5" t="s">
        <v>1161</v>
      </c>
      <c r="P86" s="6">
        <v>45715</v>
      </c>
      <c r="Q86" s="5" t="s">
        <v>1162</v>
      </c>
      <c r="R86" s="5" t="s">
        <v>1163</v>
      </c>
      <c r="S86" s="5" t="s">
        <v>48</v>
      </c>
      <c r="T86" s="5" t="s">
        <v>1164</v>
      </c>
      <c r="U86" s="5" t="s">
        <v>102</v>
      </c>
      <c r="V86" s="5" t="s">
        <v>91</v>
      </c>
      <c r="W86" s="6">
        <v>45351</v>
      </c>
      <c r="X86" s="5" t="s">
        <v>1017</v>
      </c>
      <c r="Y86" s="5" t="s">
        <v>947</v>
      </c>
      <c r="Z86" s="5" t="s">
        <v>1165</v>
      </c>
      <c r="AA86" s="5">
        <v>3</v>
      </c>
      <c r="AB86" s="5" t="s">
        <v>279</v>
      </c>
      <c r="AC86" s="5" t="s">
        <v>1166</v>
      </c>
      <c r="AD86" s="5" t="s">
        <v>1047</v>
      </c>
      <c r="AE86" s="5">
        <v>1.75</v>
      </c>
      <c r="AF86" s="5">
        <v>1980000</v>
      </c>
      <c r="AG86" s="5">
        <v>34650</v>
      </c>
      <c r="AH86" s="5"/>
      <c r="AI86" s="5"/>
      <c r="AJ86" s="5" t="s">
        <v>37</v>
      </c>
      <c r="AK86" s="2" t="s">
        <v>5123</v>
      </c>
      <c r="AL86" s="3">
        <v>34650</v>
      </c>
      <c r="AM86" s="8">
        <v>45713</v>
      </c>
      <c r="AN86" s="2"/>
      <c r="AO86" s="7">
        <f t="shared" si="1"/>
        <v>0</v>
      </c>
    </row>
    <row r="87" spans="1:41" hidden="1" x14ac:dyDescent="0.25">
      <c r="A87" s="2">
        <v>111</v>
      </c>
      <c r="B87" s="2" t="s">
        <v>61</v>
      </c>
      <c r="C87" s="2" t="s">
        <v>1167</v>
      </c>
      <c r="D87" s="2" t="s">
        <v>36</v>
      </c>
      <c r="E87" s="2" t="s">
        <v>37</v>
      </c>
      <c r="F87" s="2" t="s">
        <v>1168</v>
      </c>
      <c r="G87" s="2" t="s">
        <v>111</v>
      </c>
      <c r="H87" s="2" t="s">
        <v>1169</v>
      </c>
      <c r="I87" s="2" t="s">
        <v>1170</v>
      </c>
      <c r="J87" s="2" t="s">
        <v>1170</v>
      </c>
      <c r="K87" s="2" t="s">
        <v>1170</v>
      </c>
      <c r="L87" s="2" t="s">
        <v>1171</v>
      </c>
      <c r="M87" s="2">
        <v>1928000</v>
      </c>
      <c r="N87" s="2">
        <v>2410000</v>
      </c>
      <c r="O87" s="2" t="s">
        <v>1172</v>
      </c>
      <c r="P87" s="8">
        <v>45722</v>
      </c>
      <c r="Q87" s="2" t="s">
        <v>1173</v>
      </c>
      <c r="R87" s="2" t="s">
        <v>1174</v>
      </c>
      <c r="S87" s="2" t="s">
        <v>1175</v>
      </c>
      <c r="T87" s="2" t="s">
        <v>1175</v>
      </c>
      <c r="U87" s="2" t="s">
        <v>1176</v>
      </c>
      <c r="V87" s="2" t="s">
        <v>91</v>
      </c>
      <c r="W87" s="2" t="s">
        <v>45</v>
      </c>
      <c r="X87" s="2" t="s">
        <v>45</v>
      </c>
      <c r="Y87" s="2" t="s">
        <v>74</v>
      </c>
      <c r="Z87" s="2" t="s">
        <v>1177</v>
      </c>
      <c r="AA87" s="2">
        <v>5</v>
      </c>
      <c r="AB87" s="2" t="s">
        <v>44</v>
      </c>
      <c r="AC87" s="2" t="s">
        <v>1178</v>
      </c>
      <c r="AD87" s="2" t="s">
        <v>163</v>
      </c>
      <c r="AE87" s="2" t="s">
        <v>46</v>
      </c>
      <c r="AF87" s="2">
        <v>1928000</v>
      </c>
      <c r="AG87" s="2">
        <v>28920</v>
      </c>
      <c r="AH87" s="2"/>
      <c r="AI87" s="2"/>
      <c r="AJ87" s="2" t="s">
        <v>37</v>
      </c>
      <c r="AK87" s="2" t="s">
        <v>5124</v>
      </c>
      <c r="AL87" s="3">
        <v>28920</v>
      </c>
      <c r="AM87" s="8">
        <v>45734</v>
      </c>
      <c r="AN87" s="2"/>
      <c r="AO87" s="7">
        <f t="shared" si="1"/>
        <v>0</v>
      </c>
    </row>
    <row r="88" spans="1:41" hidden="1" x14ac:dyDescent="0.25">
      <c r="A88" s="5">
        <v>112</v>
      </c>
      <c r="B88" s="5" t="s">
        <v>61</v>
      </c>
      <c r="C88" s="5" t="s">
        <v>1179</v>
      </c>
      <c r="D88" s="5" t="s">
        <v>36</v>
      </c>
      <c r="E88" s="5" t="s">
        <v>37</v>
      </c>
      <c r="F88" s="5" t="s">
        <v>1180</v>
      </c>
      <c r="G88" s="5" t="s">
        <v>53</v>
      </c>
      <c r="H88" s="5" t="s">
        <v>1181</v>
      </c>
      <c r="I88" s="5" t="s">
        <v>1182</v>
      </c>
      <c r="J88" s="5" t="s">
        <v>1183</v>
      </c>
      <c r="K88" s="5" t="s">
        <v>1182</v>
      </c>
      <c r="L88" s="5" t="s">
        <v>1184</v>
      </c>
      <c r="M88" s="5">
        <v>1968050</v>
      </c>
      <c r="N88" s="5">
        <v>2811500</v>
      </c>
      <c r="O88" s="5" t="s">
        <v>1185</v>
      </c>
      <c r="P88" s="6">
        <v>45722</v>
      </c>
      <c r="Q88" s="5" t="s">
        <v>1186</v>
      </c>
      <c r="R88" s="5" t="s">
        <v>1187</v>
      </c>
      <c r="S88" s="5" t="s">
        <v>55</v>
      </c>
      <c r="T88" s="5" t="s">
        <v>55</v>
      </c>
      <c r="U88" s="5" t="s">
        <v>1188</v>
      </c>
      <c r="V88" s="5" t="s">
        <v>57</v>
      </c>
      <c r="W88" s="5" t="s">
        <v>136</v>
      </c>
      <c r="X88" s="5" t="s">
        <v>42</v>
      </c>
      <c r="Y88" s="5" t="s">
        <v>43</v>
      </c>
      <c r="Z88" s="5" t="s">
        <v>1189</v>
      </c>
      <c r="AA88" s="5">
        <v>5</v>
      </c>
      <c r="AB88" s="5" t="s">
        <v>44</v>
      </c>
      <c r="AC88" s="5" t="s">
        <v>1190</v>
      </c>
      <c r="AD88" s="5" t="s">
        <v>153</v>
      </c>
      <c r="AE88" s="5" t="s">
        <v>78</v>
      </c>
      <c r="AF88" s="5">
        <v>2249200</v>
      </c>
      <c r="AG88" s="5">
        <v>44984</v>
      </c>
      <c r="AH88" s="5"/>
      <c r="AI88" s="5"/>
      <c r="AJ88" s="5" t="s">
        <v>37</v>
      </c>
      <c r="AK88" s="2" t="s">
        <v>5125</v>
      </c>
      <c r="AL88" s="3">
        <v>44984</v>
      </c>
      <c r="AM88" s="8">
        <v>45734</v>
      </c>
      <c r="AN88" s="2"/>
      <c r="AO88" s="7">
        <f t="shared" si="1"/>
        <v>0</v>
      </c>
    </row>
    <row r="89" spans="1:41" hidden="1" x14ac:dyDescent="0.25">
      <c r="A89" s="2">
        <v>113</v>
      </c>
      <c r="B89" s="2" t="s">
        <v>61</v>
      </c>
      <c r="C89" s="2" t="s">
        <v>1191</v>
      </c>
      <c r="D89" s="2" t="s">
        <v>36</v>
      </c>
      <c r="E89" s="2" t="s">
        <v>37</v>
      </c>
      <c r="F89" s="2" t="s">
        <v>1192</v>
      </c>
      <c r="G89" s="2" t="s">
        <v>53</v>
      </c>
      <c r="H89" s="2" t="s">
        <v>1193</v>
      </c>
      <c r="I89" s="2" t="s">
        <v>1194</v>
      </c>
      <c r="J89" s="2" t="s">
        <v>1195</v>
      </c>
      <c r="K89" s="2" t="s">
        <v>1194</v>
      </c>
      <c r="L89" s="2" t="s">
        <v>1196</v>
      </c>
      <c r="M89" s="2">
        <v>1430000</v>
      </c>
      <c r="N89" s="2">
        <v>2200000</v>
      </c>
      <c r="O89" s="2" t="s">
        <v>1197</v>
      </c>
      <c r="P89" s="8">
        <v>45722</v>
      </c>
      <c r="Q89" s="2" t="s">
        <v>1198</v>
      </c>
      <c r="R89" s="2" t="s">
        <v>1199</v>
      </c>
      <c r="S89" s="2" t="s">
        <v>1200</v>
      </c>
      <c r="T89" s="2" t="s">
        <v>1200</v>
      </c>
      <c r="U89" s="2" t="s">
        <v>1201</v>
      </c>
      <c r="V89" s="2" t="s">
        <v>40</v>
      </c>
      <c r="W89" s="2" t="s">
        <v>1202</v>
      </c>
      <c r="X89" s="2" t="s">
        <v>1203</v>
      </c>
      <c r="Y89" s="2" t="s">
        <v>983</v>
      </c>
      <c r="Z89" s="2" t="s">
        <v>1204</v>
      </c>
      <c r="AA89" s="2">
        <v>5</v>
      </c>
      <c r="AB89" s="2" t="s">
        <v>51</v>
      </c>
      <c r="AC89" s="2" t="s">
        <v>1205</v>
      </c>
      <c r="AD89" s="2" t="s">
        <v>1202</v>
      </c>
      <c r="AE89" s="2" t="s">
        <v>253</v>
      </c>
      <c r="AF89" s="2">
        <v>1870000</v>
      </c>
      <c r="AG89" s="2">
        <v>32725</v>
      </c>
      <c r="AH89" s="2"/>
      <c r="AI89" s="2"/>
      <c r="AJ89" s="2" t="s">
        <v>37</v>
      </c>
      <c r="AK89" s="2" t="s">
        <v>5126</v>
      </c>
      <c r="AL89" s="3">
        <v>32725</v>
      </c>
      <c r="AM89" s="8">
        <v>45734</v>
      </c>
      <c r="AN89" s="2"/>
      <c r="AO89" s="7">
        <f t="shared" si="1"/>
        <v>0</v>
      </c>
    </row>
    <row r="90" spans="1:41" x14ac:dyDescent="0.25">
      <c r="A90" s="5">
        <v>114</v>
      </c>
      <c r="B90" s="5" t="s">
        <v>61</v>
      </c>
      <c r="C90" s="5" t="s">
        <v>1206</v>
      </c>
      <c r="D90" s="5" t="s">
        <v>36</v>
      </c>
      <c r="E90" s="5" t="s">
        <v>37</v>
      </c>
      <c r="F90" s="5" t="s">
        <v>1207</v>
      </c>
      <c r="G90" s="5" t="s">
        <v>53</v>
      </c>
      <c r="H90" s="5" t="s">
        <v>1208</v>
      </c>
      <c r="I90" s="5" t="s">
        <v>1209</v>
      </c>
      <c r="J90" s="5" t="s">
        <v>1210</v>
      </c>
      <c r="K90" s="5" t="s">
        <v>1209</v>
      </c>
      <c r="L90" s="5" t="s">
        <v>1211</v>
      </c>
      <c r="M90" s="5">
        <v>614476</v>
      </c>
      <c r="N90" s="5">
        <v>1450000</v>
      </c>
      <c r="O90" s="5" t="s">
        <v>1212</v>
      </c>
      <c r="P90" s="6">
        <v>45715</v>
      </c>
      <c r="Q90" s="5" t="s">
        <v>1213</v>
      </c>
      <c r="R90" s="5" t="s">
        <v>1214</v>
      </c>
      <c r="S90" s="5" t="s">
        <v>48</v>
      </c>
      <c r="T90" s="5" t="s">
        <v>1215</v>
      </c>
      <c r="U90" s="5" t="s">
        <v>728</v>
      </c>
      <c r="V90" s="5" t="s">
        <v>40</v>
      </c>
      <c r="W90" s="6">
        <v>44621</v>
      </c>
      <c r="X90" s="5" t="s">
        <v>100</v>
      </c>
      <c r="Y90" s="5" t="s">
        <v>947</v>
      </c>
      <c r="Z90" s="5" t="s">
        <v>1216</v>
      </c>
      <c r="AA90" s="5">
        <v>5</v>
      </c>
      <c r="AB90" s="5" t="s">
        <v>44</v>
      </c>
      <c r="AC90" s="5" t="s">
        <v>1217</v>
      </c>
      <c r="AD90" s="5" t="s">
        <v>101</v>
      </c>
      <c r="AE90" s="5">
        <v>1.5</v>
      </c>
      <c r="AF90" s="5">
        <v>1160000</v>
      </c>
      <c r="AG90" s="5">
        <v>17400</v>
      </c>
      <c r="AH90" s="5"/>
      <c r="AI90" s="5"/>
      <c r="AJ90" s="5" t="s">
        <v>37</v>
      </c>
      <c r="AK90" s="2" t="s">
        <v>5127</v>
      </c>
      <c r="AL90" s="3">
        <v>16313</v>
      </c>
      <c r="AM90" s="8">
        <v>45713</v>
      </c>
      <c r="AN90" s="2" t="s">
        <v>5478</v>
      </c>
      <c r="AO90" s="7">
        <f t="shared" si="1"/>
        <v>1087</v>
      </c>
    </row>
    <row r="91" spans="1:41" hidden="1" x14ac:dyDescent="0.25">
      <c r="A91" s="2">
        <v>115</v>
      </c>
      <c r="B91" s="2" t="s">
        <v>61</v>
      </c>
      <c r="C91" s="2" t="s">
        <v>1218</v>
      </c>
      <c r="D91" s="2" t="s">
        <v>36</v>
      </c>
      <c r="E91" s="2" t="s">
        <v>37</v>
      </c>
      <c r="F91" s="2" t="s">
        <v>1219</v>
      </c>
      <c r="G91" s="2" t="s">
        <v>111</v>
      </c>
      <c r="H91" s="2" t="s">
        <v>1220</v>
      </c>
      <c r="I91" s="2" t="s">
        <v>1221</v>
      </c>
      <c r="J91" s="2" t="s">
        <v>1221</v>
      </c>
      <c r="K91" s="2" t="s">
        <v>1221</v>
      </c>
      <c r="L91" s="2" t="s">
        <v>1222</v>
      </c>
      <c r="M91" s="2">
        <v>831414</v>
      </c>
      <c r="N91" s="2">
        <v>3050000</v>
      </c>
      <c r="O91" s="2" t="s">
        <v>1223</v>
      </c>
      <c r="P91" s="8">
        <v>45715</v>
      </c>
      <c r="Q91" s="2" t="s">
        <v>1224</v>
      </c>
      <c r="R91" s="2" t="s">
        <v>1225</v>
      </c>
      <c r="S91" s="2" t="s">
        <v>48</v>
      </c>
      <c r="T91" s="2" t="s">
        <v>1226</v>
      </c>
      <c r="U91" s="2" t="s">
        <v>522</v>
      </c>
      <c r="V91" s="2" t="s">
        <v>57</v>
      </c>
      <c r="W91" s="8">
        <v>44621</v>
      </c>
      <c r="X91" s="2" t="s">
        <v>100</v>
      </c>
      <c r="Y91" s="2" t="s">
        <v>1032</v>
      </c>
      <c r="Z91" s="2" t="s">
        <v>1227</v>
      </c>
      <c r="AA91" s="2">
        <v>4</v>
      </c>
      <c r="AB91" s="2" t="s">
        <v>76</v>
      </c>
      <c r="AC91" s="2" t="s">
        <v>1228</v>
      </c>
      <c r="AD91" s="2" t="s">
        <v>101</v>
      </c>
      <c r="AE91" s="2">
        <v>1.5</v>
      </c>
      <c r="AF91" s="2">
        <v>2440000</v>
      </c>
      <c r="AG91" s="2">
        <v>36600</v>
      </c>
      <c r="AH91" s="2"/>
      <c r="AI91" s="2"/>
      <c r="AJ91" s="2" t="s">
        <v>37</v>
      </c>
      <c r="AK91" s="2" t="s">
        <v>5128</v>
      </c>
      <c r="AL91" s="3">
        <v>36600</v>
      </c>
      <c r="AM91" s="8">
        <v>45713</v>
      </c>
      <c r="AN91" s="2"/>
      <c r="AO91" s="7">
        <f t="shared" si="1"/>
        <v>0</v>
      </c>
    </row>
    <row r="92" spans="1:41" x14ac:dyDescent="0.25">
      <c r="A92" s="5">
        <v>116</v>
      </c>
      <c r="B92" s="5" t="s">
        <v>61</v>
      </c>
      <c r="C92" s="5" t="s">
        <v>1229</v>
      </c>
      <c r="D92" s="5" t="s">
        <v>36</v>
      </c>
      <c r="E92" s="5" t="s">
        <v>37</v>
      </c>
      <c r="F92" s="5" t="s">
        <v>1230</v>
      </c>
      <c r="G92" s="5" t="s">
        <v>206</v>
      </c>
      <c r="H92" s="5" t="s">
        <v>1231</v>
      </c>
      <c r="I92" s="5" t="s">
        <v>1232</v>
      </c>
      <c r="J92" s="5" t="s">
        <v>1232</v>
      </c>
      <c r="K92" s="5" t="s">
        <v>1232</v>
      </c>
      <c r="L92" s="5" t="s">
        <v>1233</v>
      </c>
      <c r="M92" s="5">
        <v>1097713</v>
      </c>
      <c r="N92" s="5">
        <v>3500000</v>
      </c>
      <c r="O92" s="5" t="s">
        <v>1234</v>
      </c>
      <c r="P92" s="6">
        <v>45715</v>
      </c>
      <c r="Q92" s="5" t="s">
        <v>1235</v>
      </c>
      <c r="R92" s="5" t="s">
        <v>1236</v>
      </c>
      <c r="S92" s="5" t="s">
        <v>48</v>
      </c>
      <c r="T92" s="5" t="s">
        <v>1237</v>
      </c>
      <c r="U92" s="5" t="s">
        <v>1238</v>
      </c>
      <c r="V92" s="5" t="s">
        <v>49</v>
      </c>
      <c r="W92" s="6">
        <v>44621</v>
      </c>
      <c r="X92" s="5" t="s">
        <v>100</v>
      </c>
      <c r="Y92" s="5" t="s">
        <v>947</v>
      </c>
      <c r="Z92" s="5" t="s">
        <v>1239</v>
      </c>
      <c r="AA92" s="5">
        <v>5</v>
      </c>
      <c r="AB92" s="5" t="s">
        <v>76</v>
      </c>
      <c r="AC92" s="5" t="s">
        <v>1240</v>
      </c>
      <c r="AD92" s="5" t="s">
        <v>101</v>
      </c>
      <c r="AE92" s="5">
        <v>1.5</v>
      </c>
      <c r="AF92" s="5">
        <v>2800000</v>
      </c>
      <c r="AG92" s="5">
        <v>42000</v>
      </c>
      <c r="AH92" s="5"/>
      <c r="AI92" s="5"/>
      <c r="AJ92" s="5" t="s">
        <v>37</v>
      </c>
      <c r="AK92" s="2" t="s">
        <v>5129</v>
      </c>
      <c r="AL92" s="3">
        <v>39375</v>
      </c>
      <c r="AM92" s="8">
        <v>45713</v>
      </c>
      <c r="AN92" s="2" t="s">
        <v>5479</v>
      </c>
      <c r="AO92" s="7">
        <f t="shared" si="1"/>
        <v>2625</v>
      </c>
    </row>
    <row r="93" spans="1:41" hidden="1" x14ac:dyDescent="0.25">
      <c r="A93" s="2">
        <v>117</v>
      </c>
      <c r="B93" s="2" t="s">
        <v>61</v>
      </c>
      <c r="C93" s="2" t="s">
        <v>1241</v>
      </c>
      <c r="D93" s="2" t="s">
        <v>36</v>
      </c>
      <c r="E93" s="2" t="s">
        <v>37</v>
      </c>
      <c r="F93" s="2" t="s">
        <v>1242</v>
      </c>
      <c r="G93" s="2" t="s">
        <v>206</v>
      </c>
      <c r="H93" s="2" t="s">
        <v>1243</v>
      </c>
      <c r="I93" s="2" t="s">
        <v>1244</v>
      </c>
      <c r="J93" s="2" t="s">
        <v>1244</v>
      </c>
      <c r="K93" s="2" t="s">
        <v>1244</v>
      </c>
      <c r="L93" s="2" t="s">
        <v>1245</v>
      </c>
      <c r="M93" s="2">
        <v>769461</v>
      </c>
      <c r="N93" s="2">
        <v>1546000</v>
      </c>
      <c r="O93" s="2" t="s">
        <v>1246</v>
      </c>
      <c r="P93" s="8">
        <v>45715</v>
      </c>
      <c r="Q93" s="2" t="s">
        <v>1247</v>
      </c>
      <c r="R93" s="2" t="s">
        <v>1248</v>
      </c>
      <c r="S93" s="2" t="s">
        <v>48</v>
      </c>
      <c r="T93" s="2" t="s">
        <v>1249</v>
      </c>
      <c r="U93" s="2" t="s">
        <v>334</v>
      </c>
      <c r="V93" s="2" t="s">
        <v>60</v>
      </c>
      <c r="W93" s="8">
        <v>44620</v>
      </c>
      <c r="X93" s="2" t="s">
        <v>100</v>
      </c>
      <c r="Y93" s="2" t="s">
        <v>1044</v>
      </c>
      <c r="Z93" s="2" t="s">
        <v>1250</v>
      </c>
      <c r="AA93" s="2">
        <v>7</v>
      </c>
      <c r="AB93" s="2" t="s">
        <v>76</v>
      </c>
      <c r="AC93" s="2" t="s">
        <v>1251</v>
      </c>
      <c r="AD93" s="2" t="s">
        <v>101</v>
      </c>
      <c r="AE93" s="2">
        <v>1.5</v>
      </c>
      <c r="AF93" s="2">
        <v>1236800</v>
      </c>
      <c r="AG93" s="2">
        <v>18552</v>
      </c>
      <c r="AH93" s="2"/>
      <c r="AI93" s="2"/>
      <c r="AJ93" s="2" t="s">
        <v>37</v>
      </c>
      <c r="AK93" s="2" t="s">
        <v>5130</v>
      </c>
      <c r="AL93" s="3">
        <v>18552</v>
      </c>
      <c r="AM93" s="8">
        <v>45713</v>
      </c>
      <c r="AN93" s="2"/>
      <c r="AO93" s="7">
        <f t="shared" si="1"/>
        <v>0</v>
      </c>
    </row>
    <row r="94" spans="1:41" hidden="1" x14ac:dyDescent="0.25">
      <c r="A94" s="5">
        <v>118</v>
      </c>
      <c r="B94" s="5" t="s">
        <v>61</v>
      </c>
      <c r="C94" s="5" t="s">
        <v>1252</v>
      </c>
      <c r="D94" s="5" t="s">
        <v>36</v>
      </c>
      <c r="E94" s="5" t="s">
        <v>37</v>
      </c>
      <c r="F94" s="5" t="s">
        <v>1253</v>
      </c>
      <c r="G94" s="5" t="s">
        <v>111</v>
      </c>
      <c r="H94" s="5" t="s">
        <v>1254</v>
      </c>
      <c r="I94" s="5" t="s">
        <v>1255</v>
      </c>
      <c r="J94" s="5" t="s">
        <v>1255</v>
      </c>
      <c r="K94" s="5" t="s">
        <v>1256</v>
      </c>
      <c r="L94" s="5" t="s">
        <v>1257</v>
      </c>
      <c r="M94" s="5">
        <v>1164989</v>
      </c>
      <c r="N94" s="5">
        <v>2675000</v>
      </c>
      <c r="O94" s="5" t="s">
        <v>1258</v>
      </c>
      <c r="P94" s="6">
        <v>45715</v>
      </c>
      <c r="Q94" s="5" t="s">
        <v>1259</v>
      </c>
      <c r="R94" s="5" t="s">
        <v>1260</v>
      </c>
      <c r="S94" s="5" t="s">
        <v>48</v>
      </c>
      <c r="T94" s="5" t="s">
        <v>1261</v>
      </c>
      <c r="U94" s="5" t="s">
        <v>873</v>
      </c>
      <c r="V94" s="5" t="s">
        <v>91</v>
      </c>
      <c r="W94" s="6">
        <v>44985</v>
      </c>
      <c r="X94" s="5" t="s">
        <v>1262</v>
      </c>
      <c r="Y94" s="5" t="s">
        <v>1018</v>
      </c>
      <c r="Z94" s="5" t="s">
        <v>1263</v>
      </c>
      <c r="AA94" s="5">
        <v>5</v>
      </c>
      <c r="AB94" s="5" t="s">
        <v>279</v>
      </c>
      <c r="AC94" s="5" t="s">
        <v>1264</v>
      </c>
      <c r="AD94" s="5" t="s">
        <v>1265</v>
      </c>
      <c r="AE94" s="5">
        <v>1.5</v>
      </c>
      <c r="AF94" s="5">
        <v>2273750</v>
      </c>
      <c r="AG94" s="5">
        <v>34106</v>
      </c>
      <c r="AH94" s="5"/>
      <c r="AI94" s="5"/>
      <c r="AJ94" s="5" t="s">
        <v>37</v>
      </c>
      <c r="AK94" s="2" t="s">
        <v>5131</v>
      </c>
      <c r="AL94" s="3">
        <v>34106</v>
      </c>
      <c r="AM94" s="8">
        <v>45713</v>
      </c>
      <c r="AN94" s="2"/>
      <c r="AO94" s="7">
        <f t="shared" si="1"/>
        <v>0</v>
      </c>
    </row>
    <row r="95" spans="1:41" x14ac:dyDescent="0.25">
      <c r="A95" s="2">
        <v>119</v>
      </c>
      <c r="B95" s="2" t="s">
        <v>61</v>
      </c>
      <c r="C95" s="2" t="s">
        <v>1266</v>
      </c>
      <c r="D95" s="2" t="s">
        <v>36</v>
      </c>
      <c r="E95" s="2" t="s">
        <v>37</v>
      </c>
      <c r="F95" s="2" t="s">
        <v>1267</v>
      </c>
      <c r="G95" s="2" t="s">
        <v>82</v>
      </c>
      <c r="H95" s="2" t="s">
        <v>1268</v>
      </c>
      <c r="I95" s="2" t="s">
        <v>1269</v>
      </c>
      <c r="J95" s="2" t="s">
        <v>55</v>
      </c>
      <c r="K95" s="2" t="s">
        <v>1269</v>
      </c>
      <c r="L95" s="2" t="s">
        <v>1270</v>
      </c>
      <c r="M95" s="2">
        <v>1706168</v>
      </c>
      <c r="N95" s="2">
        <v>4400000</v>
      </c>
      <c r="O95" s="2" t="s">
        <v>1271</v>
      </c>
      <c r="P95" s="8">
        <v>45715</v>
      </c>
      <c r="Q95" s="2" t="s">
        <v>1272</v>
      </c>
      <c r="R95" s="2" t="s">
        <v>1273</v>
      </c>
      <c r="S95" s="2" t="s">
        <v>48</v>
      </c>
      <c r="T95" s="2" t="s">
        <v>1274</v>
      </c>
      <c r="U95" s="2" t="s">
        <v>90</v>
      </c>
      <c r="V95" s="2" t="s">
        <v>60</v>
      </c>
      <c r="W95" s="8">
        <v>44621</v>
      </c>
      <c r="X95" s="2" t="s">
        <v>100</v>
      </c>
      <c r="Y95" s="2" t="s">
        <v>947</v>
      </c>
      <c r="Z95" s="2" t="s">
        <v>1275</v>
      </c>
      <c r="AA95" s="2">
        <v>5</v>
      </c>
      <c r="AB95" s="2" t="s">
        <v>44</v>
      </c>
      <c r="AC95" s="2" t="s">
        <v>1276</v>
      </c>
      <c r="AD95" s="2" t="s">
        <v>101</v>
      </c>
      <c r="AE95" s="2">
        <v>1.5</v>
      </c>
      <c r="AF95" s="2">
        <v>3520000</v>
      </c>
      <c r="AG95" s="2">
        <v>52800</v>
      </c>
      <c r="AH95" s="2"/>
      <c r="AI95" s="2"/>
      <c r="AJ95" s="2" t="s">
        <v>37</v>
      </c>
      <c r="AK95" s="2" t="s">
        <v>5132</v>
      </c>
      <c r="AL95" s="3">
        <v>49500</v>
      </c>
      <c r="AM95" s="8">
        <v>45713</v>
      </c>
      <c r="AN95" s="2" t="s">
        <v>5480</v>
      </c>
      <c r="AO95" s="7">
        <f t="shared" si="1"/>
        <v>3300</v>
      </c>
    </row>
    <row r="96" spans="1:41" x14ac:dyDescent="0.25">
      <c r="A96" s="5">
        <v>120</v>
      </c>
      <c r="B96" s="5" t="s">
        <v>61</v>
      </c>
      <c r="C96" s="5" t="s">
        <v>1277</v>
      </c>
      <c r="D96" s="5" t="s">
        <v>36</v>
      </c>
      <c r="E96" s="5" t="s">
        <v>37</v>
      </c>
      <c r="F96" s="5" t="s">
        <v>1278</v>
      </c>
      <c r="G96" s="5" t="s">
        <v>47</v>
      </c>
      <c r="H96" s="5" t="s">
        <v>1279</v>
      </c>
      <c r="I96" s="5" t="s">
        <v>1280</v>
      </c>
      <c r="J96" s="5" t="s">
        <v>1280</v>
      </c>
      <c r="K96" s="5" t="s">
        <v>1281</v>
      </c>
      <c r="L96" s="5" t="s">
        <v>1282</v>
      </c>
      <c r="M96" s="5">
        <v>1588292</v>
      </c>
      <c r="N96" s="5">
        <v>4000000</v>
      </c>
      <c r="O96" s="5" t="s">
        <v>1283</v>
      </c>
      <c r="P96" s="6">
        <v>45715</v>
      </c>
      <c r="Q96" s="5" t="s">
        <v>1284</v>
      </c>
      <c r="R96" s="5" t="s">
        <v>1285</v>
      </c>
      <c r="S96" s="5" t="s">
        <v>48</v>
      </c>
      <c r="T96" s="5" t="s">
        <v>1286</v>
      </c>
      <c r="U96" s="5" t="s">
        <v>157</v>
      </c>
      <c r="V96" s="5" t="s">
        <v>60</v>
      </c>
      <c r="W96" s="6">
        <v>44621</v>
      </c>
      <c r="X96" s="5" t="s">
        <v>100</v>
      </c>
      <c r="Y96" s="5" t="s">
        <v>947</v>
      </c>
      <c r="Z96" s="5" t="s">
        <v>1287</v>
      </c>
      <c r="AA96" s="5">
        <v>5</v>
      </c>
      <c r="AB96" s="5" t="s">
        <v>76</v>
      </c>
      <c r="AC96" s="5" t="s">
        <v>1288</v>
      </c>
      <c r="AD96" s="5" t="s">
        <v>101</v>
      </c>
      <c r="AE96" s="5">
        <v>1.5</v>
      </c>
      <c r="AF96" s="5">
        <v>3200000</v>
      </c>
      <c r="AG96" s="5">
        <v>48000</v>
      </c>
      <c r="AH96" s="5"/>
      <c r="AI96" s="5"/>
      <c r="AJ96" s="5" t="s">
        <v>37</v>
      </c>
      <c r="AK96" s="2" t="s">
        <v>5133</v>
      </c>
      <c r="AL96" s="3">
        <v>45000</v>
      </c>
      <c r="AM96" s="8">
        <v>45713</v>
      </c>
      <c r="AN96" s="2" t="s">
        <v>5481</v>
      </c>
      <c r="AO96" s="7">
        <f t="shared" si="1"/>
        <v>3000</v>
      </c>
    </row>
    <row r="97" spans="1:41" x14ac:dyDescent="0.25">
      <c r="A97" s="2">
        <v>121</v>
      </c>
      <c r="B97" s="2" t="s">
        <v>61</v>
      </c>
      <c r="C97" s="2" t="s">
        <v>1289</v>
      </c>
      <c r="D97" s="2" t="s">
        <v>36</v>
      </c>
      <c r="E97" s="2" t="s">
        <v>37</v>
      </c>
      <c r="F97" s="2" t="s">
        <v>1290</v>
      </c>
      <c r="G97" s="2" t="s">
        <v>47</v>
      </c>
      <c r="H97" s="2" t="s">
        <v>1291</v>
      </c>
      <c r="I97" s="2" t="s">
        <v>55</v>
      </c>
      <c r="J97" s="2" t="s">
        <v>1292</v>
      </c>
      <c r="K97" s="2" t="s">
        <v>55</v>
      </c>
      <c r="L97" s="2" t="s">
        <v>1293</v>
      </c>
      <c r="M97" s="2">
        <v>1406038</v>
      </c>
      <c r="N97" s="2">
        <v>3541000</v>
      </c>
      <c r="O97" s="2" t="s">
        <v>1294</v>
      </c>
      <c r="P97" s="8">
        <v>45715</v>
      </c>
      <c r="Q97" s="2" t="s">
        <v>1295</v>
      </c>
      <c r="R97" s="2" t="s">
        <v>1296</v>
      </c>
      <c r="S97" s="2" t="s">
        <v>54</v>
      </c>
      <c r="T97" s="2" t="s">
        <v>55</v>
      </c>
      <c r="U97" s="2" t="s">
        <v>1297</v>
      </c>
      <c r="V97" s="2" t="s">
        <v>57</v>
      </c>
      <c r="W97" s="8">
        <v>44620</v>
      </c>
      <c r="X97" s="2" t="s">
        <v>100</v>
      </c>
      <c r="Y97" s="2" t="s">
        <v>947</v>
      </c>
      <c r="Z97" s="2" t="s">
        <v>1298</v>
      </c>
      <c r="AA97" s="2">
        <v>5</v>
      </c>
      <c r="AB97" s="2" t="s">
        <v>76</v>
      </c>
      <c r="AC97" s="2" t="s">
        <v>1299</v>
      </c>
      <c r="AD97" s="2" t="s">
        <v>101</v>
      </c>
      <c r="AE97" s="2">
        <v>2</v>
      </c>
      <c r="AF97" s="2">
        <v>2832800</v>
      </c>
      <c r="AG97" s="2">
        <v>56656</v>
      </c>
      <c r="AH97" s="2"/>
      <c r="AI97" s="2"/>
      <c r="AJ97" s="2" t="s">
        <v>37</v>
      </c>
      <c r="AK97" s="2" t="s">
        <v>5134</v>
      </c>
      <c r="AL97" s="3">
        <v>53115</v>
      </c>
      <c r="AM97" s="8">
        <v>45713</v>
      </c>
      <c r="AN97" s="2" t="s">
        <v>5482</v>
      </c>
      <c r="AO97" s="7">
        <f t="shared" si="1"/>
        <v>3541</v>
      </c>
    </row>
    <row r="98" spans="1:41" x14ac:dyDescent="0.25">
      <c r="A98" s="5">
        <v>122</v>
      </c>
      <c r="B98" s="5" t="s">
        <v>61</v>
      </c>
      <c r="C98" s="5" t="s">
        <v>1300</v>
      </c>
      <c r="D98" s="5" t="s">
        <v>36</v>
      </c>
      <c r="E98" s="5" t="s">
        <v>37</v>
      </c>
      <c r="F98" s="5" t="s">
        <v>1301</v>
      </c>
      <c r="G98" s="5" t="s">
        <v>47</v>
      </c>
      <c r="H98" s="5" t="s">
        <v>1302</v>
      </c>
      <c r="I98" s="5" t="s">
        <v>55</v>
      </c>
      <c r="J98" s="5" t="s">
        <v>1303</v>
      </c>
      <c r="K98" s="5" t="s">
        <v>1304</v>
      </c>
      <c r="L98" s="5" t="s">
        <v>1305</v>
      </c>
      <c r="M98" s="5">
        <v>1308344</v>
      </c>
      <c r="N98" s="5">
        <v>3200000</v>
      </c>
      <c r="O98" s="5" t="s">
        <v>1306</v>
      </c>
      <c r="P98" s="6">
        <v>45715</v>
      </c>
      <c r="Q98" s="5" t="s">
        <v>1307</v>
      </c>
      <c r="R98" s="5" t="s">
        <v>1308</v>
      </c>
      <c r="S98" s="5" t="s">
        <v>48</v>
      </c>
      <c r="T98" s="5" t="s">
        <v>1309</v>
      </c>
      <c r="U98" s="5" t="s">
        <v>157</v>
      </c>
      <c r="V98" s="5" t="s">
        <v>40</v>
      </c>
      <c r="W98" s="6">
        <v>44620</v>
      </c>
      <c r="X98" s="5" t="s">
        <v>100</v>
      </c>
      <c r="Y98" s="5" t="s">
        <v>947</v>
      </c>
      <c r="Z98" s="5" t="s">
        <v>1310</v>
      </c>
      <c r="AA98" s="5">
        <v>5</v>
      </c>
      <c r="AB98" s="5" t="s">
        <v>44</v>
      </c>
      <c r="AC98" s="5" t="s">
        <v>1311</v>
      </c>
      <c r="AD98" s="5" t="s">
        <v>101</v>
      </c>
      <c r="AE98" s="5">
        <v>1.5</v>
      </c>
      <c r="AF98" s="5">
        <v>2560000</v>
      </c>
      <c r="AG98" s="5">
        <v>38400</v>
      </c>
      <c r="AH98" s="5"/>
      <c r="AI98" s="5"/>
      <c r="AJ98" s="5" t="s">
        <v>37</v>
      </c>
      <c r="AK98" s="2" t="s">
        <v>5135</v>
      </c>
      <c r="AL98" s="3">
        <v>36000</v>
      </c>
      <c r="AM98" s="8">
        <v>45713</v>
      </c>
      <c r="AN98" s="2" t="s">
        <v>5483</v>
      </c>
      <c r="AO98" s="7">
        <f t="shared" si="1"/>
        <v>2400</v>
      </c>
    </row>
    <row r="99" spans="1:41" x14ac:dyDescent="0.25">
      <c r="A99" s="2">
        <v>123</v>
      </c>
      <c r="B99" s="2" t="s">
        <v>61</v>
      </c>
      <c r="C99" s="2" t="s">
        <v>1312</v>
      </c>
      <c r="D99" s="2" t="s">
        <v>36</v>
      </c>
      <c r="E99" s="2" t="s">
        <v>37</v>
      </c>
      <c r="F99" s="2" t="s">
        <v>1313</v>
      </c>
      <c r="G99" s="2" t="s">
        <v>47</v>
      </c>
      <c r="H99" s="2" t="s">
        <v>1314</v>
      </c>
      <c r="I99" s="2" t="s">
        <v>1315</v>
      </c>
      <c r="J99" s="2" t="s">
        <v>1315</v>
      </c>
      <c r="K99" s="2" t="s">
        <v>1315</v>
      </c>
      <c r="L99" s="2" t="s">
        <v>1316</v>
      </c>
      <c r="M99" s="2">
        <v>1207480</v>
      </c>
      <c r="N99" s="2">
        <v>3025000</v>
      </c>
      <c r="O99" s="2" t="s">
        <v>1317</v>
      </c>
      <c r="P99" s="8">
        <v>45715</v>
      </c>
      <c r="Q99" s="2" t="s">
        <v>1318</v>
      </c>
      <c r="R99" s="2" t="s">
        <v>1319</v>
      </c>
      <c r="S99" s="2" t="s">
        <v>48</v>
      </c>
      <c r="T99" s="2" t="s">
        <v>1320</v>
      </c>
      <c r="U99" s="2" t="s">
        <v>172</v>
      </c>
      <c r="V99" s="2" t="s">
        <v>60</v>
      </c>
      <c r="W99" s="8">
        <v>44621</v>
      </c>
      <c r="X99" s="2" t="s">
        <v>100</v>
      </c>
      <c r="Y99" s="2" t="s">
        <v>947</v>
      </c>
      <c r="Z99" s="2" t="s">
        <v>1321</v>
      </c>
      <c r="AA99" s="2">
        <v>5</v>
      </c>
      <c r="AB99" s="2" t="s">
        <v>76</v>
      </c>
      <c r="AC99" s="2" t="s">
        <v>1322</v>
      </c>
      <c r="AD99" s="2" t="s">
        <v>101</v>
      </c>
      <c r="AE99" s="2">
        <v>1.5</v>
      </c>
      <c r="AF99" s="2">
        <v>2420000</v>
      </c>
      <c r="AG99" s="2">
        <v>36300</v>
      </c>
      <c r="AH99" s="2"/>
      <c r="AI99" s="2"/>
      <c r="AJ99" s="2" t="s">
        <v>37</v>
      </c>
      <c r="AK99" s="2" t="s">
        <v>5136</v>
      </c>
      <c r="AL99" s="3">
        <v>34031</v>
      </c>
      <c r="AM99" s="8">
        <v>45713</v>
      </c>
      <c r="AN99" s="2" t="s">
        <v>5484</v>
      </c>
      <c r="AO99" s="7">
        <f t="shared" si="1"/>
        <v>2269</v>
      </c>
    </row>
    <row r="100" spans="1:41" x14ac:dyDescent="0.25">
      <c r="A100" s="5">
        <v>124</v>
      </c>
      <c r="B100" s="5" t="s">
        <v>61</v>
      </c>
      <c r="C100" s="5" t="s">
        <v>1323</v>
      </c>
      <c r="D100" s="5" t="s">
        <v>36</v>
      </c>
      <c r="E100" s="5" t="s">
        <v>37</v>
      </c>
      <c r="F100" s="5" t="s">
        <v>1324</v>
      </c>
      <c r="G100" s="5" t="s">
        <v>111</v>
      </c>
      <c r="H100" s="5" t="s">
        <v>1325</v>
      </c>
      <c r="I100" s="5" t="s">
        <v>55</v>
      </c>
      <c r="J100" s="5" t="s">
        <v>1326</v>
      </c>
      <c r="K100" s="5" t="s">
        <v>55</v>
      </c>
      <c r="L100" s="5" t="s">
        <v>1327</v>
      </c>
      <c r="M100" s="5">
        <v>1131933</v>
      </c>
      <c r="N100" s="5">
        <v>2835000</v>
      </c>
      <c r="O100" s="5" t="s">
        <v>1328</v>
      </c>
      <c r="P100" s="6">
        <v>45715</v>
      </c>
      <c r="Q100" s="5" t="s">
        <v>1329</v>
      </c>
      <c r="R100" s="5" t="s">
        <v>1330</v>
      </c>
      <c r="S100" s="5" t="s">
        <v>48</v>
      </c>
      <c r="T100" s="5" t="s">
        <v>1331</v>
      </c>
      <c r="U100" s="5" t="s">
        <v>1332</v>
      </c>
      <c r="V100" s="5" t="s">
        <v>158</v>
      </c>
      <c r="W100" s="6">
        <v>44621</v>
      </c>
      <c r="X100" s="5" t="s">
        <v>100</v>
      </c>
      <c r="Y100" s="5" t="s">
        <v>947</v>
      </c>
      <c r="Z100" s="5" t="s">
        <v>1333</v>
      </c>
      <c r="AA100" s="5">
        <v>5</v>
      </c>
      <c r="AB100" s="5" t="s">
        <v>76</v>
      </c>
      <c r="AC100" s="5" t="s">
        <v>1334</v>
      </c>
      <c r="AD100" s="5" t="s">
        <v>101</v>
      </c>
      <c r="AE100" s="5">
        <v>1.5</v>
      </c>
      <c r="AF100" s="5">
        <v>2268000</v>
      </c>
      <c r="AG100" s="5">
        <v>34020</v>
      </c>
      <c r="AH100" s="5"/>
      <c r="AI100" s="5"/>
      <c r="AJ100" s="5" t="s">
        <v>37</v>
      </c>
      <c r="AK100" s="2" t="s">
        <v>5137</v>
      </c>
      <c r="AL100" s="3">
        <v>31894</v>
      </c>
      <c r="AM100" s="8">
        <v>45713</v>
      </c>
      <c r="AN100" s="2" t="s">
        <v>5485</v>
      </c>
      <c r="AO100" s="7">
        <f t="shared" si="1"/>
        <v>2126</v>
      </c>
    </row>
    <row r="101" spans="1:41" x14ac:dyDescent="0.25">
      <c r="A101" s="2">
        <v>125</v>
      </c>
      <c r="B101" s="2" t="s">
        <v>61</v>
      </c>
      <c r="C101" s="2" t="s">
        <v>1335</v>
      </c>
      <c r="D101" s="2" t="s">
        <v>36</v>
      </c>
      <c r="E101" s="2" t="s">
        <v>37</v>
      </c>
      <c r="F101" s="2" t="s">
        <v>1145</v>
      </c>
      <c r="G101" s="2" t="s">
        <v>206</v>
      </c>
      <c r="H101" s="2" t="s">
        <v>1336</v>
      </c>
      <c r="I101" s="2" t="s">
        <v>1337</v>
      </c>
      <c r="J101" s="2" t="s">
        <v>1337</v>
      </c>
      <c r="K101" s="2" t="s">
        <v>1337</v>
      </c>
      <c r="L101" s="2" t="s">
        <v>1338</v>
      </c>
      <c r="M101" s="2">
        <v>1124461</v>
      </c>
      <c r="N101" s="2">
        <v>2817000</v>
      </c>
      <c r="O101" s="2" t="s">
        <v>1339</v>
      </c>
      <c r="P101" s="8">
        <v>45715</v>
      </c>
      <c r="Q101" s="2" t="s">
        <v>1340</v>
      </c>
      <c r="R101" s="2" t="s">
        <v>1341</v>
      </c>
      <c r="S101" s="2" t="s">
        <v>48</v>
      </c>
      <c r="T101" s="2" t="s">
        <v>1342</v>
      </c>
      <c r="U101" s="2" t="s">
        <v>1343</v>
      </c>
      <c r="V101" s="2" t="s">
        <v>91</v>
      </c>
      <c r="W101" s="8">
        <v>44621</v>
      </c>
      <c r="X101" s="2" t="s">
        <v>100</v>
      </c>
      <c r="Y101" s="2" t="s">
        <v>947</v>
      </c>
      <c r="Z101" s="2" t="s">
        <v>1344</v>
      </c>
      <c r="AA101" s="2">
        <v>5</v>
      </c>
      <c r="AB101" s="2" t="s">
        <v>44</v>
      </c>
      <c r="AC101" s="2" t="s">
        <v>1345</v>
      </c>
      <c r="AD101" s="2" t="s">
        <v>101</v>
      </c>
      <c r="AE101" s="2">
        <v>1.5</v>
      </c>
      <c r="AF101" s="2">
        <v>2253600</v>
      </c>
      <c r="AG101" s="2">
        <v>33804</v>
      </c>
      <c r="AH101" s="2"/>
      <c r="AI101" s="2"/>
      <c r="AJ101" s="2" t="s">
        <v>37</v>
      </c>
      <c r="AK101" s="2" t="s">
        <v>5138</v>
      </c>
      <c r="AL101" s="3">
        <v>31691</v>
      </c>
      <c r="AM101" s="8">
        <v>45713</v>
      </c>
      <c r="AN101" s="2" t="s">
        <v>5486</v>
      </c>
      <c r="AO101" s="7">
        <f t="shared" si="1"/>
        <v>2113</v>
      </c>
    </row>
    <row r="102" spans="1:41" hidden="1" x14ac:dyDescent="0.25">
      <c r="A102" s="5">
        <v>126</v>
      </c>
      <c r="B102" s="5" t="s">
        <v>61</v>
      </c>
      <c r="C102" s="5" t="s">
        <v>1346</v>
      </c>
      <c r="D102" s="5" t="s">
        <v>36</v>
      </c>
      <c r="E102" s="5" t="s">
        <v>37</v>
      </c>
      <c r="F102" s="5" t="s">
        <v>1347</v>
      </c>
      <c r="G102" s="5" t="s">
        <v>111</v>
      </c>
      <c r="H102" s="5" t="s">
        <v>1348</v>
      </c>
      <c r="I102" s="5" t="s">
        <v>55</v>
      </c>
      <c r="J102" s="5" t="s">
        <v>1349</v>
      </c>
      <c r="K102" s="5" t="s">
        <v>55</v>
      </c>
      <c r="L102" s="5" t="s">
        <v>1350</v>
      </c>
      <c r="M102" s="5">
        <v>1834300</v>
      </c>
      <c r="N102" s="5">
        <v>2158000</v>
      </c>
      <c r="O102" s="5" t="s">
        <v>1351</v>
      </c>
      <c r="P102" s="6">
        <v>45723</v>
      </c>
      <c r="Q102" s="5" t="s">
        <v>1352</v>
      </c>
      <c r="R102" s="5" t="s">
        <v>1353</v>
      </c>
      <c r="S102" s="5" t="s">
        <v>55</v>
      </c>
      <c r="T102" s="5" t="s">
        <v>55</v>
      </c>
      <c r="U102" s="5" t="s">
        <v>1354</v>
      </c>
      <c r="V102" s="5" t="s">
        <v>57</v>
      </c>
      <c r="W102" s="5" t="s">
        <v>1355</v>
      </c>
      <c r="X102" s="5" t="s">
        <v>42</v>
      </c>
      <c r="Y102" s="5" t="s">
        <v>43</v>
      </c>
      <c r="Z102" s="5" t="s">
        <v>1356</v>
      </c>
      <c r="AA102" s="5">
        <v>5</v>
      </c>
      <c r="AB102" s="5" t="s">
        <v>44</v>
      </c>
      <c r="AC102" s="5" t="s">
        <v>1357</v>
      </c>
      <c r="AD102" s="5" t="s">
        <v>163</v>
      </c>
      <c r="AE102" s="5" t="s">
        <v>78</v>
      </c>
      <c r="AF102" s="5">
        <v>1726400</v>
      </c>
      <c r="AG102" s="5">
        <v>34528</v>
      </c>
      <c r="AH102" s="5"/>
      <c r="AI102" s="5"/>
      <c r="AJ102" s="5" t="s">
        <v>37</v>
      </c>
      <c r="AK102" s="2" t="s">
        <v>5139</v>
      </c>
      <c r="AL102" s="3">
        <v>34528</v>
      </c>
      <c r="AM102" s="8">
        <v>45734</v>
      </c>
      <c r="AN102" s="2"/>
      <c r="AO102" s="7">
        <f t="shared" si="1"/>
        <v>0</v>
      </c>
    </row>
    <row r="103" spans="1:41" x14ac:dyDescent="0.25">
      <c r="A103" s="2">
        <v>127</v>
      </c>
      <c r="B103" s="2" t="s">
        <v>61</v>
      </c>
      <c r="C103" s="2" t="s">
        <v>1358</v>
      </c>
      <c r="D103" s="2" t="s">
        <v>36</v>
      </c>
      <c r="E103" s="2" t="s">
        <v>37</v>
      </c>
      <c r="F103" s="2" t="s">
        <v>1359</v>
      </c>
      <c r="G103" s="2" t="s">
        <v>47</v>
      </c>
      <c r="H103" s="2" t="s">
        <v>1360</v>
      </c>
      <c r="I103" s="2" t="s">
        <v>1361</v>
      </c>
      <c r="J103" s="2" t="s">
        <v>1361</v>
      </c>
      <c r="K103" s="2" t="s">
        <v>67</v>
      </c>
      <c r="L103" s="2" t="s">
        <v>1362</v>
      </c>
      <c r="M103" s="2">
        <v>1059330</v>
      </c>
      <c r="N103" s="2">
        <v>2490000</v>
      </c>
      <c r="O103" s="2" t="s">
        <v>1363</v>
      </c>
      <c r="P103" s="8">
        <v>45715</v>
      </c>
      <c r="Q103" s="2" t="s">
        <v>1364</v>
      </c>
      <c r="R103" s="2" t="s">
        <v>1365</v>
      </c>
      <c r="S103" s="2" t="s">
        <v>48</v>
      </c>
      <c r="T103" s="2" t="s">
        <v>1366</v>
      </c>
      <c r="U103" s="2" t="s">
        <v>1367</v>
      </c>
      <c r="V103" s="2" t="s">
        <v>60</v>
      </c>
      <c r="W103" s="8">
        <v>44621</v>
      </c>
      <c r="X103" s="2" t="s">
        <v>100</v>
      </c>
      <c r="Y103" s="2" t="s">
        <v>947</v>
      </c>
      <c r="Z103" s="2" t="s">
        <v>1368</v>
      </c>
      <c r="AA103" s="2">
        <v>5</v>
      </c>
      <c r="AB103" s="2" t="s">
        <v>76</v>
      </c>
      <c r="AC103" s="2" t="s">
        <v>1369</v>
      </c>
      <c r="AD103" s="2" t="s">
        <v>101</v>
      </c>
      <c r="AE103" s="2">
        <v>1.5</v>
      </c>
      <c r="AF103" s="2">
        <v>1992000</v>
      </c>
      <c r="AG103" s="2">
        <v>29880</v>
      </c>
      <c r="AH103" s="2"/>
      <c r="AI103" s="2"/>
      <c r="AJ103" s="2" t="s">
        <v>37</v>
      </c>
      <c r="AK103" s="2" t="s">
        <v>5140</v>
      </c>
      <c r="AL103" s="3">
        <v>28013</v>
      </c>
      <c r="AM103" s="8">
        <v>45713</v>
      </c>
      <c r="AN103" s="2" t="s">
        <v>5487</v>
      </c>
      <c r="AO103" s="7">
        <f t="shared" si="1"/>
        <v>1867</v>
      </c>
    </row>
    <row r="104" spans="1:41" hidden="1" x14ac:dyDescent="0.25">
      <c r="A104" s="5">
        <v>128</v>
      </c>
      <c r="B104" s="5" t="s">
        <v>61</v>
      </c>
      <c r="C104" s="5" t="s">
        <v>1370</v>
      </c>
      <c r="D104" s="5" t="s">
        <v>36</v>
      </c>
      <c r="E104" s="5" t="s">
        <v>37</v>
      </c>
      <c r="F104" s="5" t="s">
        <v>1371</v>
      </c>
      <c r="G104" s="5" t="s">
        <v>53</v>
      </c>
      <c r="H104" s="5" t="s">
        <v>1372</v>
      </c>
      <c r="I104" s="5" t="s">
        <v>55</v>
      </c>
      <c r="J104" s="5" t="s">
        <v>1373</v>
      </c>
      <c r="K104" s="5" t="s">
        <v>55</v>
      </c>
      <c r="L104" s="5" t="s">
        <v>1374</v>
      </c>
      <c r="M104" s="5">
        <v>1943500</v>
      </c>
      <c r="N104" s="5">
        <v>2990000</v>
      </c>
      <c r="O104" s="5" t="s">
        <v>1375</v>
      </c>
      <c r="P104" s="6">
        <v>45723</v>
      </c>
      <c r="Q104" s="5" t="s">
        <v>1376</v>
      </c>
      <c r="R104" s="5" t="s">
        <v>1377</v>
      </c>
      <c r="S104" s="5" t="s">
        <v>1378</v>
      </c>
      <c r="T104" s="5" t="s">
        <v>1378</v>
      </c>
      <c r="U104" s="5" t="s">
        <v>1379</v>
      </c>
      <c r="V104" s="5" t="s">
        <v>49</v>
      </c>
      <c r="W104" s="5" t="s">
        <v>1380</v>
      </c>
      <c r="X104" s="5" t="s">
        <v>1381</v>
      </c>
      <c r="Y104" s="5" t="s">
        <v>94</v>
      </c>
      <c r="Z104" s="5" t="s">
        <v>1382</v>
      </c>
      <c r="AA104" s="5">
        <v>3</v>
      </c>
      <c r="AB104" s="5" t="s">
        <v>44</v>
      </c>
      <c r="AC104" s="5" t="s">
        <v>1383</v>
      </c>
      <c r="AD104" s="5" t="s">
        <v>1384</v>
      </c>
      <c r="AE104" s="5" t="s">
        <v>253</v>
      </c>
      <c r="AF104" s="5">
        <v>2541500</v>
      </c>
      <c r="AG104" s="5">
        <v>44476</v>
      </c>
      <c r="AH104" s="5"/>
      <c r="AI104" s="5"/>
      <c r="AJ104" s="5" t="s">
        <v>37</v>
      </c>
      <c r="AK104" s="2" t="s">
        <v>5141</v>
      </c>
      <c r="AL104" s="3">
        <v>44476</v>
      </c>
      <c r="AM104" s="8">
        <v>45734</v>
      </c>
      <c r="AN104" s="2"/>
      <c r="AO104" s="7">
        <f t="shared" si="1"/>
        <v>0</v>
      </c>
    </row>
    <row r="105" spans="1:41" hidden="1" x14ac:dyDescent="0.25">
      <c r="A105" s="2">
        <v>129</v>
      </c>
      <c r="B105" s="2" t="s">
        <v>61</v>
      </c>
      <c r="C105" s="2" t="s">
        <v>1385</v>
      </c>
      <c r="D105" s="2" t="s">
        <v>36</v>
      </c>
      <c r="E105" s="2" t="s">
        <v>37</v>
      </c>
      <c r="F105" s="2" t="s">
        <v>1386</v>
      </c>
      <c r="G105" s="2" t="s">
        <v>47</v>
      </c>
      <c r="H105" s="2" t="s">
        <v>1387</v>
      </c>
      <c r="I105" s="2" t="s">
        <v>1388</v>
      </c>
      <c r="J105" s="2" t="s">
        <v>1389</v>
      </c>
      <c r="K105" s="2" t="s">
        <v>67</v>
      </c>
      <c r="L105" s="2" t="s">
        <v>1390</v>
      </c>
      <c r="M105" s="2">
        <v>1556250</v>
      </c>
      <c r="N105" s="2">
        <v>2075000</v>
      </c>
      <c r="O105" s="2" t="s">
        <v>1391</v>
      </c>
      <c r="P105" s="8">
        <v>45723</v>
      </c>
      <c r="Q105" s="2" t="s">
        <v>1392</v>
      </c>
      <c r="R105" s="2" t="s">
        <v>1393</v>
      </c>
      <c r="S105" s="2" t="s">
        <v>1394</v>
      </c>
      <c r="T105" s="2" t="s">
        <v>1394</v>
      </c>
      <c r="U105" s="2" t="s">
        <v>798</v>
      </c>
      <c r="V105" s="2" t="s">
        <v>91</v>
      </c>
      <c r="W105" s="2" t="s">
        <v>1128</v>
      </c>
      <c r="X105" s="2" t="s">
        <v>45</v>
      </c>
      <c r="Y105" s="2" t="s">
        <v>74</v>
      </c>
      <c r="Z105" s="2" t="s">
        <v>1395</v>
      </c>
      <c r="AA105" s="2">
        <v>5</v>
      </c>
      <c r="AB105" s="2" t="s">
        <v>44</v>
      </c>
      <c r="AC105" s="2" t="s">
        <v>1396</v>
      </c>
      <c r="AD105" s="2" t="s">
        <v>1143</v>
      </c>
      <c r="AE105" s="2" t="s">
        <v>46</v>
      </c>
      <c r="AF105" s="2">
        <v>1660000</v>
      </c>
      <c r="AG105" s="2">
        <v>24900</v>
      </c>
      <c r="AH105" s="2"/>
      <c r="AI105" s="2"/>
      <c r="AJ105" s="2" t="s">
        <v>37</v>
      </c>
      <c r="AK105" s="2" t="s">
        <v>5142</v>
      </c>
      <c r="AL105" s="3">
        <v>24900</v>
      </c>
      <c r="AM105" s="8">
        <v>45734</v>
      </c>
      <c r="AN105" s="2"/>
      <c r="AO105" s="7">
        <f t="shared" si="1"/>
        <v>0</v>
      </c>
    </row>
    <row r="106" spans="1:41" x14ac:dyDescent="0.25">
      <c r="A106" s="5">
        <v>130</v>
      </c>
      <c r="B106" s="5" t="s">
        <v>61</v>
      </c>
      <c r="C106" s="5" t="s">
        <v>1397</v>
      </c>
      <c r="D106" s="5" t="s">
        <v>36</v>
      </c>
      <c r="E106" s="5" t="s">
        <v>37</v>
      </c>
      <c r="F106" s="5" t="s">
        <v>1398</v>
      </c>
      <c r="G106" s="5" t="s">
        <v>111</v>
      </c>
      <c r="H106" s="5" t="s">
        <v>1399</v>
      </c>
      <c r="I106" s="5" t="s">
        <v>1400</v>
      </c>
      <c r="J106" s="5" t="s">
        <v>1400</v>
      </c>
      <c r="K106" s="5" t="s">
        <v>1400</v>
      </c>
      <c r="L106" s="5" t="s">
        <v>1401</v>
      </c>
      <c r="M106" s="5">
        <v>1043736</v>
      </c>
      <c r="N106" s="5">
        <v>2300000</v>
      </c>
      <c r="O106" s="5" t="s">
        <v>1402</v>
      </c>
      <c r="P106" s="6">
        <v>45715</v>
      </c>
      <c r="Q106" s="5" t="s">
        <v>1403</v>
      </c>
      <c r="R106" s="5" t="s">
        <v>1404</v>
      </c>
      <c r="S106" s="5" t="s">
        <v>48</v>
      </c>
      <c r="T106" s="5" t="s">
        <v>1405</v>
      </c>
      <c r="U106" s="5" t="s">
        <v>262</v>
      </c>
      <c r="V106" s="5" t="s">
        <v>60</v>
      </c>
      <c r="W106" s="6">
        <v>44620</v>
      </c>
      <c r="X106" s="5" t="s">
        <v>100</v>
      </c>
      <c r="Y106" s="5" t="s">
        <v>947</v>
      </c>
      <c r="Z106" s="5" t="s">
        <v>1406</v>
      </c>
      <c r="AA106" s="5">
        <v>5</v>
      </c>
      <c r="AB106" s="5" t="s">
        <v>44</v>
      </c>
      <c r="AC106" s="5" t="s">
        <v>1407</v>
      </c>
      <c r="AD106" s="5" t="s">
        <v>101</v>
      </c>
      <c r="AE106" s="5">
        <v>1.5</v>
      </c>
      <c r="AF106" s="5">
        <v>1840000</v>
      </c>
      <c r="AG106" s="5">
        <v>27600</v>
      </c>
      <c r="AH106" s="5"/>
      <c r="AI106" s="5"/>
      <c r="AJ106" s="5" t="s">
        <v>37</v>
      </c>
      <c r="AK106" s="2" t="s">
        <v>5143</v>
      </c>
      <c r="AL106" s="3">
        <v>25875</v>
      </c>
      <c r="AM106" s="8">
        <v>45713</v>
      </c>
      <c r="AN106" s="2" t="s">
        <v>5488</v>
      </c>
      <c r="AO106" s="7">
        <f t="shared" si="1"/>
        <v>1725</v>
      </c>
    </row>
    <row r="107" spans="1:41" x14ac:dyDescent="0.25">
      <c r="A107" s="2">
        <v>131</v>
      </c>
      <c r="B107" s="2" t="s">
        <v>61</v>
      </c>
      <c r="C107" s="2" t="s">
        <v>1408</v>
      </c>
      <c r="D107" s="2" t="s">
        <v>36</v>
      </c>
      <c r="E107" s="2" t="s">
        <v>37</v>
      </c>
      <c r="F107" s="2" t="s">
        <v>1409</v>
      </c>
      <c r="G107" s="2" t="s">
        <v>47</v>
      </c>
      <c r="H107" s="2" t="s">
        <v>1410</v>
      </c>
      <c r="I107" s="2" t="s">
        <v>1411</v>
      </c>
      <c r="J107" s="2" t="s">
        <v>1412</v>
      </c>
      <c r="K107" s="2" t="s">
        <v>1411</v>
      </c>
      <c r="L107" s="2" t="s">
        <v>1413</v>
      </c>
      <c r="M107" s="2">
        <v>1000778</v>
      </c>
      <c r="N107" s="2">
        <v>2700000</v>
      </c>
      <c r="O107" s="2" t="s">
        <v>1414</v>
      </c>
      <c r="P107" s="8">
        <v>45715</v>
      </c>
      <c r="Q107" s="2" t="s">
        <v>1415</v>
      </c>
      <c r="R107" s="2" t="s">
        <v>1416</v>
      </c>
      <c r="S107" s="2" t="s">
        <v>48</v>
      </c>
      <c r="T107" s="2" t="s">
        <v>1417</v>
      </c>
      <c r="U107" s="2" t="s">
        <v>1418</v>
      </c>
      <c r="V107" s="2" t="s">
        <v>158</v>
      </c>
      <c r="W107" s="8">
        <v>44621</v>
      </c>
      <c r="X107" s="2" t="s">
        <v>100</v>
      </c>
      <c r="Y107" s="2" t="s">
        <v>947</v>
      </c>
      <c r="Z107" s="2" t="s">
        <v>1419</v>
      </c>
      <c r="AA107" s="2">
        <v>5</v>
      </c>
      <c r="AB107" s="2" t="s">
        <v>44</v>
      </c>
      <c r="AC107" s="2" t="s">
        <v>1420</v>
      </c>
      <c r="AD107" s="2" t="s">
        <v>101</v>
      </c>
      <c r="AE107" s="2">
        <v>1.5</v>
      </c>
      <c r="AF107" s="2">
        <v>2160000</v>
      </c>
      <c r="AG107" s="2">
        <v>32400</v>
      </c>
      <c r="AH107" s="2"/>
      <c r="AI107" s="2"/>
      <c r="AJ107" s="2" t="s">
        <v>37</v>
      </c>
      <c r="AK107" s="2" t="s">
        <v>5144</v>
      </c>
      <c r="AL107" s="3">
        <v>30375</v>
      </c>
      <c r="AM107" s="8">
        <v>45713</v>
      </c>
      <c r="AN107" s="2" t="s">
        <v>5489</v>
      </c>
      <c r="AO107" s="7">
        <f t="shared" si="1"/>
        <v>2025</v>
      </c>
    </row>
    <row r="108" spans="1:41" x14ac:dyDescent="0.25">
      <c r="A108" s="5">
        <v>132</v>
      </c>
      <c r="B108" s="5" t="s">
        <v>61</v>
      </c>
      <c r="C108" s="5" t="s">
        <v>1421</v>
      </c>
      <c r="D108" s="5" t="s">
        <v>36</v>
      </c>
      <c r="E108" s="5" t="s">
        <v>37</v>
      </c>
      <c r="F108" s="5" t="s">
        <v>1422</v>
      </c>
      <c r="G108" s="5" t="s">
        <v>111</v>
      </c>
      <c r="H108" s="5" t="s">
        <v>1423</v>
      </c>
      <c r="I108" s="5" t="s">
        <v>1424</v>
      </c>
      <c r="J108" s="5" t="s">
        <v>1424</v>
      </c>
      <c r="K108" s="5" t="s">
        <v>1424</v>
      </c>
      <c r="L108" s="5" t="s">
        <v>1425</v>
      </c>
      <c r="M108" s="5">
        <v>1016303</v>
      </c>
      <c r="N108" s="5">
        <v>2320000</v>
      </c>
      <c r="O108" s="5" t="s">
        <v>1426</v>
      </c>
      <c r="P108" s="6">
        <v>45715</v>
      </c>
      <c r="Q108" s="5" t="s">
        <v>1427</v>
      </c>
      <c r="R108" s="5" t="s">
        <v>1428</v>
      </c>
      <c r="S108" s="5" t="s">
        <v>54</v>
      </c>
      <c r="T108" s="5" t="s">
        <v>55</v>
      </c>
      <c r="U108" s="5" t="s">
        <v>99</v>
      </c>
      <c r="V108" s="5" t="s">
        <v>57</v>
      </c>
      <c r="W108" s="6">
        <v>44622</v>
      </c>
      <c r="X108" s="5" t="s">
        <v>100</v>
      </c>
      <c r="Y108" s="5" t="s">
        <v>947</v>
      </c>
      <c r="Z108" s="5" t="s">
        <v>1429</v>
      </c>
      <c r="AA108" s="5">
        <v>5</v>
      </c>
      <c r="AB108" s="5" t="s">
        <v>44</v>
      </c>
      <c r="AC108" s="5" t="s">
        <v>1430</v>
      </c>
      <c r="AD108" s="5" t="s">
        <v>101</v>
      </c>
      <c r="AE108" s="5">
        <v>2</v>
      </c>
      <c r="AF108" s="5">
        <v>1856000</v>
      </c>
      <c r="AG108" s="5">
        <v>37120</v>
      </c>
      <c r="AH108" s="5"/>
      <c r="AI108" s="5"/>
      <c r="AJ108" s="5" t="s">
        <v>37</v>
      </c>
      <c r="AK108" s="2" t="s">
        <v>5145</v>
      </c>
      <c r="AL108" s="3">
        <v>34800</v>
      </c>
      <c r="AM108" s="8">
        <v>45713</v>
      </c>
      <c r="AN108" s="2" t="s">
        <v>5490</v>
      </c>
      <c r="AO108" s="7">
        <f t="shared" si="1"/>
        <v>2320</v>
      </c>
    </row>
    <row r="109" spans="1:41" x14ac:dyDescent="0.25">
      <c r="A109" s="2">
        <v>133</v>
      </c>
      <c r="B109" s="2" t="s">
        <v>61</v>
      </c>
      <c r="C109" s="2" t="s">
        <v>1431</v>
      </c>
      <c r="D109" s="2" t="s">
        <v>36</v>
      </c>
      <c r="E109" s="2" t="s">
        <v>37</v>
      </c>
      <c r="F109" s="2" t="s">
        <v>1432</v>
      </c>
      <c r="G109" s="2" t="s">
        <v>111</v>
      </c>
      <c r="H109" s="2" t="s">
        <v>1433</v>
      </c>
      <c r="I109" s="2" t="s">
        <v>1434</v>
      </c>
      <c r="J109" s="2" t="s">
        <v>1434</v>
      </c>
      <c r="K109" s="2" t="s">
        <v>1434</v>
      </c>
      <c r="L109" s="2" t="s">
        <v>1435</v>
      </c>
      <c r="M109" s="2">
        <v>987013</v>
      </c>
      <c r="N109" s="2">
        <v>2900000</v>
      </c>
      <c r="O109" s="2" t="s">
        <v>1436</v>
      </c>
      <c r="P109" s="8">
        <v>45715</v>
      </c>
      <c r="Q109" s="2" t="s">
        <v>1437</v>
      </c>
      <c r="R109" s="2" t="s">
        <v>1438</v>
      </c>
      <c r="S109" s="2" t="s">
        <v>48</v>
      </c>
      <c r="T109" s="2" t="s">
        <v>1439</v>
      </c>
      <c r="U109" s="2" t="s">
        <v>1440</v>
      </c>
      <c r="V109" s="2" t="s">
        <v>230</v>
      </c>
      <c r="W109" s="8">
        <v>44620</v>
      </c>
      <c r="X109" s="2" t="s">
        <v>100</v>
      </c>
      <c r="Y109" s="2" t="s">
        <v>947</v>
      </c>
      <c r="Z109" s="2" t="s">
        <v>1441</v>
      </c>
      <c r="AA109" s="2">
        <v>5</v>
      </c>
      <c r="AB109" s="2" t="s">
        <v>44</v>
      </c>
      <c r="AC109" s="2" t="s">
        <v>1442</v>
      </c>
      <c r="AD109" s="2" t="s">
        <v>101</v>
      </c>
      <c r="AE109" s="2">
        <v>1.5</v>
      </c>
      <c r="AF109" s="2">
        <v>2320000</v>
      </c>
      <c r="AG109" s="2">
        <v>34800</v>
      </c>
      <c r="AH109" s="2"/>
      <c r="AI109" s="2"/>
      <c r="AJ109" s="2" t="s">
        <v>37</v>
      </c>
      <c r="AK109" s="2" t="s">
        <v>5146</v>
      </c>
      <c r="AL109" s="3">
        <v>32625</v>
      </c>
      <c r="AM109" s="8">
        <v>45713</v>
      </c>
      <c r="AN109" s="2" t="s">
        <v>5491</v>
      </c>
      <c r="AO109" s="7">
        <f t="shared" si="1"/>
        <v>2175</v>
      </c>
    </row>
    <row r="110" spans="1:41" x14ac:dyDescent="0.25">
      <c r="A110" s="5">
        <v>134</v>
      </c>
      <c r="B110" s="5" t="s">
        <v>61</v>
      </c>
      <c r="C110" s="5" t="s">
        <v>1443</v>
      </c>
      <c r="D110" s="5" t="s">
        <v>36</v>
      </c>
      <c r="E110" s="5" t="s">
        <v>37</v>
      </c>
      <c r="F110" s="5" t="s">
        <v>1444</v>
      </c>
      <c r="G110" s="5" t="s">
        <v>111</v>
      </c>
      <c r="H110" s="5" t="s">
        <v>1445</v>
      </c>
      <c r="I110" s="5" t="s">
        <v>1446</v>
      </c>
      <c r="J110" s="5" t="s">
        <v>1446</v>
      </c>
      <c r="K110" s="5" t="s">
        <v>1446</v>
      </c>
      <c r="L110" s="5" t="s">
        <v>1447</v>
      </c>
      <c r="M110" s="5">
        <v>896250</v>
      </c>
      <c r="N110" s="5">
        <v>1975000</v>
      </c>
      <c r="O110" s="5" t="s">
        <v>1448</v>
      </c>
      <c r="P110" s="6">
        <v>45715</v>
      </c>
      <c r="Q110" s="5" t="s">
        <v>1449</v>
      </c>
      <c r="R110" s="5" t="s">
        <v>1450</v>
      </c>
      <c r="S110" s="5" t="s">
        <v>54</v>
      </c>
      <c r="T110" s="5" t="s">
        <v>55</v>
      </c>
      <c r="U110" s="5" t="s">
        <v>728</v>
      </c>
      <c r="V110" s="5" t="s">
        <v>57</v>
      </c>
      <c r="W110" s="6">
        <v>44621</v>
      </c>
      <c r="X110" s="5" t="s">
        <v>100</v>
      </c>
      <c r="Y110" s="5" t="s">
        <v>947</v>
      </c>
      <c r="Z110" s="5" t="s">
        <v>1451</v>
      </c>
      <c r="AA110" s="5">
        <v>5</v>
      </c>
      <c r="AB110" s="5" t="s">
        <v>44</v>
      </c>
      <c r="AC110" s="5" t="s">
        <v>1452</v>
      </c>
      <c r="AD110" s="5" t="s">
        <v>101</v>
      </c>
      <c r="AE110" s="5">
        <v>2</v>
      </c>
      <c r="AF110" s="5">
        <v>1580000</v>
      </c>
      <c r="AG110" s="5">
        <v>31600</v>
      </c>
      <c r="AH110" s="5"/>
      <c r="AI110" s="5"/>
      <c r="AJ110" s="5" t="s">
        <v>37</v>
      </c>
      <c r="AK110" s="2" t="s">
        <v>5147</v>
      </c>
      <c r="AL110" s="3">
        <v>29625</v>
      </c>
      <c r="AM110" s="8">
        <v>45713</v>
      </c>
      <c r="AN110" s="2" t="s">
        <v>5492</v>
      </c>
      <c r="AO110" s="7">
        <f t="shared" si="1"/>
        <v>1975</v>
      </c>
    </row>
    <row r="111" spans="1:41" x14ac:dyDescent="0.25">
      <c r="A111" s="2">
        <v>135</v>
      </c>
      <c r="B111" s="2" t="s">
        <v>61</v>
      </c>
      <c r="C111" s="2" t="s">
        <v>1453</v>
      </c>
      <c r="D111" s="2" t="s">
        <v>36</v>
      </c>
      <c r="E111" s="2" t="s">
        <v>37</v>
      </c>
      <c r="F111" s="2" t="s">
        <v>1454</v>
      </c>
      <c r="G111" s="2" t="s">
        <v>82</v>
      </c>
      <c r="H111" s="2" t="s">
        <v>1455</v>
      </c>
      <c r="I111" s="2" t="s">
        <v>1456</v>
      </c>
      <c r="J111" s="2" t="s">
        <v>55</v>
      </c>
      <c r="K111" s="2" t="s">
        <v>1457</v>
      </c>
      <c r="L111" s="2" t="s">
        <v>1458</v>
      </c>
      <c r="M111" s="2">
        <v>924613</v>
      </c>
      <c r="N111" s="2">
        <v>3150000</v>
      </c>
      <c r="O111" s="2" t="s">
        <v>1459</v>
      </c>
      <c r="P111" s="8">
        <v>45715</v>
      </c>
      <c r="Q111" s="2" t="s">
        <v>1460</v>
      </c>
      <c r="R111" s="2" t="s">
        <v>1461</v>
      </c>
      <c r="S111" s="2" t="s">
        <v>48</v>
      </c>
      <c r="T111" s="2" t="s">
        <v>1462</v>
      </c>
      <c r="U111" s="2" t="s">
        <v>1463</v>
      </c>
      <c r="V111" s="2" t="s">
        <v>230</v>
      </c>
      <c r="W111" s="8">
        <v>44621</v>
      </c>
      <c r="X111" s="2" t="s">
        <v>100</v>
      </c>
      <c r="Y111" s="2" t="s">
        <v>947</v>
      </c>
      <c r="Z111" s="2" t="s">
        <v>1464</v>
      </c>
      <c r="AA111" s="2">
        <v>5</v>
      </c>
      <c r="AB111" s="2" t="s">
        <v>44</v>
      </c>
      <c r="AC111" s="2" t="s">
        <v>1465</v>
      </c>
      <c r="AD111" s="2" t="s">
        <v>101</v>
      </c>
      <c r="AE111" s="2">
        <v>1.5</v>
      </c>
      <c r="AF111" s="2">
        <v>2520000</v>
      </c>
      <c r="AG111" s="2">
        <v>37800</v>
      </c>
      <c r="AH111" s="2"/>
      <c r="AI111" s="2"/>
      <c r="AJ111" s="2" t="s">
        <v>37</v>
      </c>
      <c r="AK111" s="2" t="s">
        <v>5148</v>
      </c>
      <c r="AL111" s="3">
        <v>35438</v>
      </c>
      <c r="AM111" s="8">
        <v>45713</v>
      </c>
      <c r="AN111" s="2" t="s">
        <v>5493</v>
      </c>
      <c r="AO111" s="7">
        <f t="shared" si="1"/>
        <v>2362</v>
      </c>
    </row>
    <row r="112" spans="1:41" x14ac:dyDescent="0.25">
      <c r="A112" s="5">
        <v>136</v>
      </c>
      <c r="B112" s="5" t="s">
        <v>61</v>
      </c>
      <c r="C112" s="5" t="s">
        <v>1466</v>
      </c>
      <c r="D112" s="5" t="s">
        <v>36</v>
      </c>
      <c r="E112" s="5" t="s">
        <v>37</v>
      </c>
      <c r="F112" s="5" t="s">
        <v>1467</v>
      </c>
      <c r="G112" s="5" t="s">
        <v>111</v>
      </c>
      <c r="H112" s="5" t="s">
        <v>1468</v>
      </c>
      <c r="I112" s="5" t="s">
        <v>1469</v>
      </c>
      <c r="J112" s="5" t="s">
        <v>1469</v>
      </c>
      <c r="K112" s="5" t="s">
        <v>1469</v>
      </c>
      <c r="L112" s="5" t="s">
        <v>1470</v>
      </c>
      <c r="M112" s="5">
        <v>876127</v>
      </c>
      <c r="N112" s="5">
        <v>2500000</v>
      </c>
      <c r="O112" s="5" t="s">
        <v>1471</v>
      </c>
      <c r="P112" s="6">
        <v>45715</v>
      </c>
      <c r="Q112" s="5" t="s">
        <v>1472</v>
      </c>
      <c r="R112" s="5" t="s">
        <v>1473</v>
      </c>
      <c r="S112" s="5" t="s">
        <v>48</v>
      </c>
      <c r="T112" s="5" t="s">
        <v>1474</v>
      </c>
      <c r="U112" s="5" t="s">
        <v>1475</v>
      </c>
      <c r="V112" s="5" t="s">
        <v>230</v>
      </c>
      <c r="W112" s="6">
        <v>44620</v>
      </c>
      <c r="X112" s="5" t="s">
        <v>100</v>
      </c>
      <c r="Y112" s="5" t="s">
        <v>947</v>
      </c>
      <c r="Z112" s="5" t="s">
        <v>1476</v>
      </c>
      <c r="AA112" s="5">
        <v>5</v>
      </c>
      <c r="AB112" s="5" t="s">
        <v>44</v>
      </c>
      <c r="AC112" s="5" t="s">
        <v>1477</v>
      </c>
      <c r="AD112" s="5" t="s">
        <v>101</v>
      </c>
      <c r="AE112" s="5">
        <v>1.5</v>
      </c>
      <c r="AF112" s="5">
        <v>2000000</v>
      </c>
      <c r="AG112" s="5">
        <v>30000</v>
      </c>
      <c r="AH112" s="5"/>
      <c r="AI112" s="5"/>
      <c r="AJ112" s="5" t="s">
        <v>37</v>
      </c>
      <c r="AK112" s="2" t="s">
        <v>5149</v>
      </c>
      <c r="AL112" s="3">
        <v>28125</v>
      </c>
      <c r="AM112" s="8">
        <v>45713</v>
      </c>
      <c r="AN112" s="2" t="s">
        <v>5494</v>
      </c>
      <c r="AO112" s="7">
        <f t="shared" si="1"/>
        <v>1875</v>
      </c>
    </row>
    <row r="113" spans="1:41" x14ac:dyDescent="0.25">
      <c r="A113" s="2">
        <v>137</v>
      </c>
      <c r="B113" s="2" t="s">
        <v>61</v>
      </c>
      <c r="C113" s="2" t="s">
        <v>1478</v>
      </c>
      <c r="D113" s="2" t="s">
        <v>36</v>
      </c>
      <c r="E113" s="2" t="s">
        <v>37</v>
      </c>
      <c r="F113" s="2" t="s">
        <v>1479</v>
      </c>
      <c r="G113" s="2" t="s">
        <v>206</v>
      </c>
      <c r="H113" s="2" t="s">
        <v>1480</v>
      </c>
      <c r="I113" s="2" t="s">
        <v>1481</v>
      </c>
      <c r="J113" s="2" t="s">
        <v>1482</v>
      </c>
      <c r="K113" s="2" t="s">
        <v>1481</v>
      </c>
      <c r="L113" s="2" t="s">
        <v>1483</v>
      </c>
      <c r="M113" s="2">
        <v>771838</v>
      </c>
      <c r="N113" s="2">
        <v>2500000</v>
      </c>
      <c r="O113" s="2" t="s">
        <v>1484</v>
      </c>
      <c r="P113" s="8">
        <v>45715</v>
      </c>
      <c r="Q113" s="2" t="s">
        <v>1485</v>
      </c>
      <c r="R113" s="2" t="s">
        <v>1486</v>
      </c>
      <c r="S113" s="2" t="s">
        <v>48</v>
      </c>
      <c r="T113" s="2" t="s">
        <v>1487</v>
      </c>
      <c r="U113" s="2" t="s">
        <v>1488</v>
      </c>
      <c r="V113" s="2" t="s">
        <v>230</v>
      </c>
      <c r="W113" s="8">
        <v>44620</v>
      </c>
      <c r="X113" s="2" t="s">
        <v>100</v>
      </c>
      <c r="Y113" s="2" t="s">
        <v>947</v>
      </c>
      <c r="Z113" s="2" t="s">
        <v>1489</v>
      </c>
      <c r="AA113" s="2">
        <v>5</v>
      </c>
      <c r="AB113" s="2" t="s">
        <v>44</v>
      </c>
      <c r="AC113" s="2" t="s">
        <v>1490</v>
      </c>
      <c r="AD113" s="2" t="s">
        <v>101</v>
      </c>
      <c r="AE113" s="2">
        <v>1.5</v>
      </c>
      <c r="AF113" s="2">
        <v>2000000</v>
      </c>
      <c r="AG113" s="2">
        <v>30000</v>
      </c>
      <c r="AH113" s="2"/>
      <c r="AI113" s="2"/>
      <c r="AJ113" s="2" t="s">
        <v>37</v>
      </c>
      <c r="AK113" s="2" t="s">
        <v>5150</v>
      </c>
      <c r="AL113" s="3">
        <v>28125</v>
      </c>
      <c r="AM113" s="8">
        <v>45713</v>
      </c>
      <c r="AN113" s="2" t="s">
        <v>5495</v>
      </c>
      <c r="AO113" s="7">
        <f t="shared" si="1"/>
        <v>1875</v>
      </c>
    </row>
    <row r="114" spans="1:41" hidden="1" x14ac:dyDescent="0.25">
      <c r="A114" s="5">
        <v>138</v>
      </c>
      <c r="B114" s="5" t="s">
        <v>61</v>
      </c>
      <c r="C114" s="5" t="s">
        <v>1491</v>
      </c>
      <c r="D114" s="5" t="s">
        <v>36</v>
      </c>
      <c r="E114" s="5" t="s">
        <v>37</v>
      </c>
      <c r="F114" s="5" t="s">
        <v>1492</v>
      </c>
      <c r="G114" s="5" t="s">
        <v>47</v>
      </c>
      <c r="H114" s="5" t="s">
        <v>1493</v>
      </c>
      <c r="I114" s="5" t="s">
        <v>1494</v>
      </c>
      <c r="J114" s="5" t="s">
        <v>1494</v>
      </c>
      <c r="K114" s="5" t="s">
        <v>1495</v>
      </c>
      <c r="L114" s="5" t="s">
        <v>1496</v>
      </c>
      <c r="M114" s="5">
        <v>1074500</v>
      </c>
      <c r="N114" s="5">
        <v>1535000</v>
      </c>
      <c r="O114" s="5" t="s">
        <v>1497</v>
      </c>
      <c r="P114" s="6">
        <v>45724</v>
      </c>
      <c r="Q114" s="5" t="s">
        <v>1498</v>
      </c>
      <c r="R114" s="5" t="s">
        <v>1499</v>
      </c>
      <c r="S114" s="5" t="s">
        <v>1500</v>
      </c>
      <c r="T114" s="5" t="s">
        <v>1500</v>
      </c>
      <c r="U114" s="5" t="s">
        <v>1501</v>
      </c>
      <c r="V114" s="5" t="s">
        <v>114</v>
      </c>
      <c r="W114" s="5" t="s">
        <v>160</v>
      </c>
      <c r="X114" s="5" t="s">
        <v>160</v>
      </c>
      <c r="Y114" s="5" t="s">
        <v>74</v>
      </c>
      <c r="Z114" s="5" t="s">
        <v>1502</v>
      </c>
      <c r="AA114" s="5">
        <v>7</v>
      </c>
      <c r="AB114" s="5" t="s">
        <v>44</v>
      </c>
      <c r="AC114" s="5" t="s">
        <v>1503</v>
      </c>
      <c r="AD114" s="5" t="s">
        <v>1504</v>
      </c>
      <c r="AE114" s="5" t="s">
        <v>324</v>
      </c>
      <c r="AF114" s="5">
        <v>1074500</v>
      </c>
      <c r="AG114" s="5">
        <v>26863</v>
      </c>
      <c r="AH114" s="5"/>
      <c r="AI114" s="5"/>
      <c r="AJ114" s="5" t="s">
        <v>37</v>
      </c>
      <c r="AK114" s="2" t="s">
        <v>5151</v>
      </c>
      <c r="AL114" s="3">
        <v>26863</v>
      </c>
      <c r="AM114" s="8">
        <v>45734</v>
      </c>
      <c r="AN114" s="2"/>
      <c r="AO114" s="7">
        <f t="shared" si="1"/>
        <v>0</v>
      </c>
    </row>
    <row r="115" spans="1:41" hidden="1" x14ac:dyDescent="0.25">
      <c r="A115" s="2">
        <v>139</v>
      </c>
      <c r="B115" s="2" t="s">
        <v>61</v>
      </c>
      <c r="C115" s="2" t="s">
        <v>1505</v>
      </c>
      <c r="D115" s="2" t="s">
        <v>36</v>
      </c>
      <c r="E115" s="2" t="s">
        <v>37</v>
      </c>
      <c r="F115" s="2" t="s">
        <v>1506</v>
      </c>
      <c r="G115" s="2" t="s">
        <v>53</v>
      </c>
      <c r="H115" s="2" t="s">
        <v>1507</v>
      </c>
      <c r="I115" s="2" t="s">
        <v>1508</v>
      </c>
      <c r="J115" s="2" t="s">
        <v>1509</v>
      </c>
      <c r="K115" s="2" t="s">
        <v>1510</v>
      </c>
      <c r="L115" s="2" t="s">
        <v>1511</v>
      </c>
      <c r="M115" s="2">
        <v>966000</v>
      </c>
      <c r="N115" s="2">
        <v>1610000</v>
      </c>
      <c r="O115" s="2" t="s">
        <v>1512</v>
      </c>
      <c r="P115" s="8">
        <v>45724</v>
      </c>
      <c r="Q115" s="2" t="s">
        <v>1513</v>
      </c>
      <c r="R115" s="2" t="s">
        <v>1514</v>
      </c>
      <c r="S115" s="2" t="s">
        <v>55</v>
      </c>
      <c r="T115" s="2" t="s">
        <v>55</v>
      </c>
      <c r="U115" s="2" t="s">
        <v>728</v>
      </c>
      <c r="V115" s="2" t="s">
        <v>91</v>
      </c>
      <c r="W115" s="2" t="s">
        <v>1515</v>
      </c>
      <c r="X115" s="2" t="s">
        <v>42</v>
      </c>
      <c r="Y115" s="2" t="s">
        <v>43</v>
      </c>
      <c r="Z115" s="2" t="s">
        <v>1516</v>
      </c>
      <c r="AA115" s="2">
        <v>5</v>
      </c>
      <c r="AB115" s="2" t="s">
        <v>44</v>
      </c>
      <c r="AC115" s="2" t="s">
        <v>1517</v>
      </c>
      <c r="AD115" s="2" t="s">
        <v>1143</v>
      </c>
      <c r="AE115" s="2" t="s">
        <v>78</v>
      </c>
      <c r="AF115" s="2">
        <v>1288000</v>
      </c>
      <c r="AG115" s="2">
        <v>25760</v>
      </c>
      <c r="AH115" s="2"/>
      <c r="AI115" s="2"/>
      <c r="AJ115" s="2" t="s">
        <v>37</v>
      </c>
      <c r="AK115" s="2" t="s">
        <v>5152</v>
      </c>
      <c r="AL115" s="3">
        <v>25760</v>
      </c>
      <c r="AM115" s="8">
        <v>45734</v>
      </c>
      <c r="AN115" s="2"/>
      <c r="AO115" s="7">
        <f t="shared" si="1"/>
        <v>0</v>
      </c>
    </row>
    <row r="116" spans="1:41" x14ac:dyDescent="0.25">
      <c r="A116" s="5">
        <v>140</v>
      </c>
      <c r="B116" s="5" t="s">
        <v>61</v>
      </c>
      <c r="C116" s="5" t="s">
        <v>1518</v>
      </c>
      <c r="D116" s="5" t="s">
        <v>36</v>
      </c>
      <c r="E116" s="5" t="s">
        <v>37</v>
      </c>
      <c r="F116" s="5" t="s">
        <v>1519</v>
      </c>
      <c r="G116" s="5" t="s">
        <v>53</v>
      </c>
      <c r="H116" s="5" t="s">
        <v>1520</v>
      </c>
      <c r="I116" s="5" t="s">
        <v>1521</v>
      </c>
      <c r="J116" s="5" t="s">
        <v>1522</v>
      </c>
      <c r="K116" s="5" t="s">
        <v>1521</v>
      </c>
      <c r="L116" s="5" t="s">
        <v>1523</v>
      </c>
      <c r="M116" s="5">
        <v>684293</v>
      </c>
      <c r="N116" s="5">
        <v>2400000</v>
      </c>
      <c r="O116" s="5" t="s">
        <v>1524</v>
      </c>
      <c r="P116" s="6">
        <v>45715</v>
      </c>
      <c r="Q116" s="5" t="s">
        <v>1525</v>
      </c>
      <c r="R116" s="5" t="s">
        <v>1526</v>
      </c>
      <c r="S116" s="5" t="s">
        <v>48</v>
      </c>
      <c r="T116" s="5" t="s">
        <v>55</v>
      </c>
      <c r="U116" s="5" t="s">
        <v>1527</v>
      </c>
      <c r="V116" s="5" t="s">
        <v>40</v>
      </c>
      <c r="W116" s="6">
        <v>44620</v>
      </c>
      <c r="X116" s="5" t="s">
        <v>100</v>
      </c>
      <c r="Y116" s="5" t="s">
        <v>947</v>
      </c>
      <c r="Z116" s="5" t="s">
        <v>1528</v>
      </c>
      <c r="AA116" s="5">
        <v>5</v>
      </c>
      <c r="AB116" s="5" t="s">
        <v>76</v>
      </c>
      <c r="AC116" s="5" t="s">
        <v>1529</v>
      </c>
      <c r="AD116" s="5" t="s">
        <v>101</v>
      </c>
      <c r="AE116" s="5">
        <v>1.5</v>
      </c>
      <c r="AF116" s="5">
        <v>1920000</v>
      </c>
      <c r="AG116" s="5">
        <v>28800</v>
      </c>
      <c r="AH116" s="5"/>
      <c r="AI116" s="5"/>
      <c r="AJ116" s="5" t="s">
        <v>37</v>
      </c>
      <c r="AK116" s="2" t="s">
        <v>5153</v>
      </c>
      <c r="AL116" s="3">
        <v>27000</v>
      </c>
      <c r="AM116" s="8">
        <v>45713</v>
      </c>
      <c r="AN116" s="2" t="s">
        <v>5496</v>
      </c>
      <c r="AO116" s="7">
        <f t="shared" si="1"/>
        <v>1800</v>
      </c>
    </row>
    <row r="117" spans="1:41" hidden="1" x14ac:dyDescent="0.25">
      <c r="A117" s="2">
        <v>141</v>
      </c>
      <c r="B117" s="2" t="s">
        <v>61</v>
      </c>
      <c r="C117" s="2" t="s">
        <v>1530</v>
      </c>
      <c r="D117" s="2" t="s">
        <v>36</v>
      </c>
      <c r="E117" s="2" t="s">
        <v>37</v>
      </c>
      <c r="F117" s="2" t="s">
        <v>1531</v>
      </c>
      <c r="G117" s="2" t="s">
        <v>53</v>
      </c>
      <c r="H117" s="2" t="s">
        <v>1532</v>
      </c>
      <c r="I117" s="2" t="s">
        <v>1533</v>
      </c>
      <c r="J117" s="2" t="s">
        <v>1534</v>
      </c>
      <c r="K117" s="2" t="s">
        <v>1535</v>
      </c>
      <c r="L117" s="2" t="s">
        <v>1536</v>
      </c>
      <c r="M117" s="2">
        <v>1001250</v>
      </c>
      <c r="N117" s="2">
        <v>1335000</v>
      </c>
      <c r="O117" s="2" t="s">
        <v>1537</v>
      </c>
      <c r="P117" s="8">
        <v>45724</v>
      </c>
      <c r="Q117" s="2" t="s">
        <v>1538</v>
      </c>
      <c r="R117" s="2" t="s">
        <v>1539</v>
      </c>
      <c r="S117" s="2" t="s">
        <v>55</v>
      </c>
      <c r="T117" s="2" t="s">
        <v>55</v>
      </c>
      <c r="U117" s="2" t="s">
        <v>334</v>
      </c>
      <c r="V117" s="2" t="s">
        <v>57</v>
      </c>
      <c r="W117" s="2" t="s">
        <v>1540</v>
      </c>
      <c r="X117" s="2" t="s">
        <v>42</v>
      </c>
      <c r="Y117" s="2" t="s">
        <v>1541</v>
      </c>
      <c r="Z117" s="2" t="s">
        <v>1542</v>
      </c>
      <c r="AA117" s="2">
        <v>7</v>
      </c>
      <c r="AB117" s="2" t="s">
        <v>44</v>
      </c>
      <c r="AC117" s="2" t="s">
        <v>1543</v>
      </c>
      <c r="AD117" s="2" t="s">
        <v>1143</v>
      </c>
      <c r="AE117" s="2" t="s">
        <v>78</v>
      </c>
      <c r="AF117" s="2">
        <v>1068000</v>
      </c>
      <c r="AG117" s="2">
        <v>21360</v>
      </c>
      <c r="AH117" s="2"/>
      <c r="AI117" s="2"/>
      <c r="AJ117" s="2" t="s">
        <v>37</v>
      </c>
      <c r="AK117" s="2" t="s">
        <v>5154</v>
      </c>
      <c r="AL117" s="3">
        <v>21360</v>
      </c>
      <c r="AM117" s="8">
        <v>45734</v>
      </c>
      <c r="AN117" s="2"/>
      <c r="AO117" s="7">
        <f t="shared" si="1"/>
        <v>0</v>
      </c>
    </row>
    <row r="118" spans="1:41" hidden="1" x14ac:dyDescent="0.25">
      <c r="A118" s="5">
        <v>142</v>
      </c>
      <c r="B118" s="5" t="s">
        <v>61</v>
      </c>
      <c r="C118" s="5" t="s">
        <v>1544</v>
      </c>
      <c r="D118" s="5" t="s">
        <v>36</v>
      </c>
      <c r="E118" s="5" t="s">
        <v>37</v>
      </c>
      <c r="F118" s="5" t="s">
        <v>1545</v>
      </c>
      <c r="G118" s="5" t="s">
        <v>1546</v>
      </c>
      <c r="H118" s="5" t="s">
        <v>1547</v>
      </c>
      <c r="I118" s="5" t="s">
        <v>55</v>
      </c>
      <c r="J118" s="5" t="s">
        <v>1548</v>
      </c>
      <c r="K118" s="5" t="s">
        <v>55</v>
      </c>
      <c r="L118" s="5" t="s">
        <v>1549</v>
      </c>
      <c r="M118" s="5">
        <v>1050000</v>
      </c>
      <c r="N118" s="5">
        <v>1400000</v>
      </c>
      <c r="O118" s="5" t="s">
        <v>1550</v>
      </c>
      <c r="P118" s="6">
        <v>45724</v>
      </c>
      <c r="Q118" s="5" t="s">
        <v>1551</v>
      </c>
      <c r="R118" s="5" t="s">
        <v>1552</v>
      </c>
      <c r="S118" s="5" t="s">
        <v>1553</v>
      </c>
      <c r="T118" s="5" t="s">
        <v>1553</v>
      </c>
      <c r="U118" s="5" t="s">
        <v>728</v>
      </c>
      <c r="V118" s="5" t="s">
        <v>49</v>
      </c>
      <c r="W118" s="5" t="s">
        <v>1554</v>
      </c>
      <c r="X118" s="5" t="s">
        <v>42</v>
      </c>
      <c r="Y118" s="5" t="s">
        <v>43</v>
      </c>
      <c r="Z118" s="5" t="s">
        <v>1555</v>
      </c>
      <c r="AA118" s="5">
        <v>5</v>
      </c>
      <c r="AB118" s="5" t="s">
        <v>44</v>
      </c>
      <c r="AC118" s="5" t="s">
        <v>1556</v>
      </c>
      <c r="AD118" s="5" t="s">
        <v>1143</v>
      </c>
      <c r="AE118" s="5" t="s">
        <v>46</v>
      </c>
      <c r="AF118" s="5">
        <v>1120000</v>
      </c>
      <c r="AG118" s="5">
        <v>16800</v>
      </c>
      <c r="AH118" s="5"/>
      <c r="AI118" s="5"/>
      <c r="AJ118" s="5" t="s">
        <v>37</v>
      </c>
      <c r="AK118" s="2" t="s">
        <v>5155</v>
      </c>
      <c r="AL118" s="3">
        <v>16800</v>
      </c>
      <c r="AM118" s="8">
        <v>45734</v>
      </c>
      <c r="AN118" s="2"/>
      <c r="AO118" s="7">
        <f t="shared" si="1"/>
        <v>0</v>
      </c>
    </row>
    <row r="119" spans="1:41" hidden="1" x14ac:dyDescent="0.25">
      <c r="A119" s="2">
        <v>143</v>
      </c>
      <c r="B119" s="2" t="s">
        <v>61</v>
      </c>
      <c r="C119" s="2" t="s">
        <v>1557</v>
      </c>
      <c r="D119" s="2" t="s">
        <v>36</v>
      </c>
      <c r="E119" s="2" t="s">
        <v>37</v>
      </c>
      <c r="F119" s="2" t="s">
        <v>1558</v>
      </c>
      <c r="G119" s="2" t="s">
        <v>53</v>
      </c>
      <c r="H119" s="2" t="s">
        <v>1559</v>
      </c>
      <c r="I119" s="2" t="s">
        <v>1560</v>
      </c>
      <c r="J119" s="2" t="s">
        <v>1561</v>
      </c>
      <c r="K119" s="2" t="s">
        <v>1560</v>
      </c>
      <c r="L119" s="2" t="s">
        <v>1562</v>
      </c>
      <c r="M119" s="2">
        <v>1127000</v>
      </c>
      <c r="N119" s="2">
        <v>1610000</v>
      </c>
      <c r="O119" s="2" t="s">
        <v>1563</v>
      </c>
      <c r="P119" s="8">
        <v>45724</v>
      </c>
      <c r="Q119" s="2" t="s">
        <v>1564</v>
      </c>
      <c r="R119" s="2" t="s">
        <v>1565</v>
      </c>
      <c r="S119" s="2" t="s">
        <v>55</v>
      </c>
      <c r="T119" s="2" t="s">
        <v>55</v>
      </c>
      <c r="U119" s="2" t="s">
        <v>1566</v>
      </c>
      <c r="V119" s="2" t="s">
        <v>91</v>
      </c>
      <c r="W119" s="2" t="s">
        <v>1567</v>
      </c>
      <c r="X119" s="2" t="s">
        <v>42</v>
      </c>
      <c r="Y119" s="2" t="s">
        <v>43</v>
      </c>
      <c r="Z119" s="2" t="s">
        <v>1568</v>
      </c>
      <c r="AA119" s="2">
        <v>5</v>
      </c>
      <c r="AB119" s="2" t="s">
        <v>44</v>
      </c>
      <c r="AC119" s="2" t="s">
        <v>1569</v>
      </c>
      <c r="AD119" s="2" t="s">
        <v>1128</v>
      </c>
      <c r="AE119" s="2" t="s">
        <v>78</v>
      </c>
      <c r="AF119" s="2">
        <v>1288000</v>
      </c>
      <c r="AG119" s="2">
        <v>25760</v>
      </c>
      <c r="AH119" s="2"/>
      <c r="AI119" s="2"/>
      <c r="AJ119" s="2" t="s">
        <v>37</v>
      </c>
      <c r="AK119" s="2" t="s">
        <v>5156</v>
      </c>
      <c r="AL119" s="3">
        <v>25760</v>
      </c>
      <c r="AM119" s="8">
        <v>45734</v>
      </c>
      <c r="AN119" s="2"/>
      <c r="AO119" s="7">
        <f t="shared" si="1"/>
        <v>0</v>
      </c>
    </row>
    <row r="120" spans="1:41" hidden="1" x14ac:dyDescent="0.25">
      <c r="A120" s="5">
        <v>144</v>
      </c>
      <c r="B120" s="5" t="s">
        <v>61</v>
      </c>
      <c r="C120" s="5" t="s">
        <v>1570</v>
      </c>
      <c r="D120" s="5" t="s">
        <v>36</v>
      </c>
      <c r="E120" s="5" t="s">
        <v>37</v>
      </c>
      <c r="F120" s="5" t="s">
        <v>1571</v>
      </c>
      <c r="G120" s="5" t="s">
        <v>144</v>
      </c>
      <c r="H120" s="5" t="s">
        <v>1572</v>
      </c>
      <c r="I120" s="5" t="s">
        <v>1573</v>
      </c>
      <c r="J120" s="5" t="s">
        <v>1573</v>
      </c>
      <c r="K120" s="5" t="s">
        <v>1573</v>
      </c>
      <c r="L120" s="5" t="s">
        <v>1574</v>
      </c>
      <c r="M120" s="5">
        <v>1185000</v>
      </c>
      <c r="N120" s="5">
        <v>1975000</v>
      </c>
      <c r="O120" s="5" t="s">
        <v>1575</v>
      </c>
      <c r="P120" s="6">
        <v>45724</v>
      </c>
      <c r="Q120" s="5" t="s">
        <v>1576</v>
      </c>
      <c r="R120" s="5" t="s">
        <v>1577</v>
      </c>
      <c r="S120" s="5" t="s">
        <v>55</v>
      </c>
      <c r="T120" s="5" t="s">
        <v>55</v>
      </c>
      <c r="U120" s="5" t="s">
        <v>728</v>
      </c>
      <c r="V120" s="5" t="s">
        <v>57</v>
      </c>
      <c r="W120" s="5" t="s">
        <v>1554</v>
      </c>
      <c r="X120" s="5" t="s">
        <v>42</v>
      </c>
      <c r="Y120" s="5" t="s">
        <v>94</v>
      </c>
      <c r="Z120" s="5" t="s">
        <v>1578</v>
      </c>
      <c r="AA120" s="5">
        <v>4</v>
      </c>
      <c r="AB120" s="5" t="s">
        <v>44</v>
      </c>
      <c r="AC120" s="5" t="s">
        <v>1579</v>
      </c>
      <c r="AD120" s="5" t="s">
        <v>1128</v>
      </c>
      <c r="AE120" s="5" t="s">
        <v>78</v>
      </c>
      <c r="AF120" s="5">
        <v>1580000</v>
      </c>
      <c r="AG120" s="5">
        <v>31600</v>
      </c>
      <c r="AH120" s="5"/>
      <c r="AI120" s="5"/>
      <c r="AJ120" s="5" t="s">
        <v>1580</v>
      </c>
      <c r="AK120" s="9" t="s">
        <v>5616</v>
      </c>
      <c r="AL120" s="3">
        <v>31600</v>
      </c>
      <c r="AM120" s="8">
        <v>45743</v>
      </c>
      <c r="AN120" s="2"/>
      <c r="AO120" s="7">
        <f t="shared" si="1"/>
        <v>0</v>
      </c>
    </row>
    <row r="121" spans="1:41" hidden="1" x14ac:dyDescent="0.25">
      <c r="A121" s="2">
        <v>145</v>
      </c>
      <c r="B121" s="2" t="s">
        <v>61</v>
      </c>
      <c r="C121" s="2" t="s">
        <v>1581</v>
      </c>
      <c r="D121" s="2" t="s">
        <v>36</v>
      </c>
      <c r="E121" s="2" t="s">
        <v>37</v>
      </c>
      <c r="F121" s="2" t="s">
        <v>1582</v>
      </c>
      <c r="G121" s="2" t="s">
        <v>82</v>
      </c>
      <c r="H121" s="2" t="s">
        <v>1583</v>
      </c>
      <c r="I121" s="2" t="s">
        <v>1584</v>
      </c>
      <c r="J121" s="2" t="s">
        <v>1585</v>
      </c>
      <c r="K121" s="2" t="s">
        <v>1586</v>
      </c>
      <c r="L121" s="2" t="s">
        <v>1587</v>
      </c>
      <c r="M121" s="2">
        <v>1192800</v>
      </c>
      <c r="N121" s="2">
        <v>1704000</v>
      </c>
      <c r="O121" s="2" t="s">
        <v>1588</v>
      </c>
      <c r="P121" s="8">
        <v>45724</v>
      </c>
      <c r="Q121" s="2" t="s">
        <v>1589</v>
      </c>
      <c r="R121" s="2" t="s">
        <v>1590</v>
      </c>
      <c r="S121" s="2" t="s">
        <v>55</v>
      </c>
      <c r="T121" s="2" t="s">
        <v>55</v>
      </c>
      <c r="U121" s="2" t="s">
        <v>873</v>
      </c>
      <c r="V121" s="2" t="s">
        <v>57</v>
      </c>
      <c r="W121" s="2" t="s">
        <v>1591</v>
      </c>
      <c r="X121" s="2" t="s">
        <v>42</v>
      </c>
      <c r="Y121" s="2" t="s">
        <v>1592</v>
      </c>
      <c r="Z121" s="2" t="s">
        <v>1593</v>
      </c>
      <c r="AA121" s="2">
        <v>6</v>
      </c>
      <c r="AB121" s="2" t="s">
        <v>76</v>
      </c>
      <c r="AC121" s="2" t="s">
        <v>1594</v>
      </c>
      <c r="AD121" s="2" t="s">
        <v>1143</v>
      </c>
      <c r="AE121" s="2" t="s">
        <v>78</v>
      </c>
      <c r="AF121" s="2">
        <v>1363200</v>
      </c>
      <c r="AG121" s="2">
        <v>27264</v>
      </c>
      <c r="AH121" s="2"/>
      <c r="AI121" s="2"/>
      <c r="AJ121" s="2" t="s">
        <v>37</v>
      </c>
      <c r="AK121" s="2" t="s">
        <v>5157</v>
      </c>
      <c r="AL121" s="3">
        <v>27264</v>
      </c>
      <c r="AM121" s="8">
        <v>45734</v>
      </c>
      <c r="AN121" s="2"/>
      <c r="AO121" s="7">
        <f t="shared" si="1"/>
        <v>0</v>
      </c>
    </row>
    <row r="122" spans="1:41" hidden="1" x14ac:dyDescent="0.25">
      <c r="A122" s="5">
        <v>146</v>
      </c>
      <c r="B122" s="5" t="s">
        <v>61</v>
      </c>
      <c r="C122" s="5" t="s">
        <v>1595</v>
      </c>
      <c r="D122" s="5" t="s">
        <v>36</v>
      </c>
      <c r="E122" s="5" t="s">
        <v>37</v>
      </c>
      <c r="F122" s="5" t="s">
        <v>1596</v>
      </c>
      <c r="G122" s="5" t="s">
        <v>53</v>
      </c>
      <c r="H122" s="5" t="s">
        <v>1597</v>
      </c>
      <c r="I122" s="5" t="s">
        <v>1598</v>
      </c>
      <c r="J122" s="5" t="s">
        <v>1599</v>
      </c>
      <c r="K122" s="5" t="s">
        <v>1598</v>
      </c>
      <c r="L122" s="5" t="s">
        <v>1600</v>
      </c>
      <c r="M122" s="5">
        <v>751654</v>
      </c>
      <c r="N122" s="5">
        <v>2000000</v>
      </c>
      <c r="O122" s="5" t="s">
        <v>1601</v>
      </c>
      <c r="P122" s="6">
        <v>45715</v>
      </c>
      <c r="Q122" s="5" t="s">
        <v>1602</v>
      </c>
      <c r="R122" s="5" t="s">
        <v>1603</v>
      </c>
      <c r="S122" s="5" t="s">
        <v>48</v>
      </c>
      <c r="T122" s="5" t="s">
        <v>1604</v>
      </c>
      <c r="U122" s="5" t="s">
        <v>214</v>
      </c>
      <c r="V122" s="5" t="s">
        <v>60</v>
      </c>
      <c r="W122" s="6">
        <v>44621</v>
      </c>
      <c r="X122" s="5" t="s">
        <v>100</v>
      </c>
      <c r="Y122" s="5" t="s">
        <v>1018</v>
      </c>
      <c r="Z122" s="5" t="s">
        <v>1605</v>
      </c>
      <c r="AA122" s="5">
        <v>6</v>
      </c>
      <c r="AB122" s="5" t="s">
        <v>44</v>
      </c>
      <c r="AC122" s="5" t="s">
        <v>1606</v>
      </c>
      <c r="AD122" s="5" t="s">
        <v>101</v>
      </c>
      <c r="AE122" s="5">
        <v>1.5</v>
      </c>
      <c r="AF122" s="5">
        <v>1600000</v>
      </c>
      <c r="AG122" s="5">
        <v>24000</v>
      </c>
      <c r="AH122" s="5"/>
      <c r="AI122" s="5"/>
      <c r="AJ122" s="5" t="s">
        <v>37</v>
      </c>
      <c r="AK122" s="2" t="s">
        <v>5158</v>
      </c>
      <c r="AL122" s="3">
        <v>24000</v>
      </c>
      <c r="AM122" s="8">
        <v>45713</v>
      </c>
      <c r="AN122" s="2"/>
      <c r="AO122" s="7">
        <f t="shared" si="1"/>
        <v>0</v>
      </c>
    </row>
    <row r="123" spans="1:41" hidden="1" x14ac:dyDescent="0.25">
      <c r="A123" s="2">
        <v>147</v>
      </c>
      <c r="B123" s="2" t="s">
        <v>61</v>
      </c>
      <c r="C123" s="2" t="s">
        <v>1607</v>
      </c>
      <c r="D123" s="2" t="s">
        <v>36</v>
      </c>
      <c r="E123" s="2" t="s">
        <v>37</v>
      </c>
      <c r="F123" s="2" t="s">
        <v>1608</v>
      </c>
      <c r="G123" s="2" t="s">
        <v>53</v>
      </c>
      <c r="H123" s="2" t="s">
        <v>1609</v>
      </c>
      <c r="I123" s="2" t="s">
        <v>1610</v>
      </c>
      <c r="J123" s="2" t="s">
        <v>1611</v>
      </c>
      <c r="K123" s="2" t="s">
        <v>1610</v>
      </c>
      <c r="L123" s="2" t="s">
        <v>1612</v>
      </c>
      <c r="M123" s="2">
        <v>1207500</v>
      </c>
      <c r="N123" s="2">
        <v>1610000</v>
      </c>
      <c r="O123" s="2" t="s">
        <v>1613</v>
      </c>
      <c r="P123" s="8">
        <v>45724</v>
      </c>
      <c r="Q123" s="2" t="s">
        <v>1614</v>
      </c>
      <c r="R123" s="2" t="s">
        <v>1615</v>
      </c>
      <c r="S123" s="2" t="s">
        <v>55</v>
      </c>
      <c r="T123" s="2" t="s">
        <v>55</v>
      </c>
      <c r="U123" s="2" t="s">
        <v>728</v>
      </c>
      <c r="V123" s="2" t="s">
        <v>57</v>
      </c>
      <c r="W123" s="2" t="s">
        <v>1567</v>
      </c>
      <c r="X123" s="2" t="s">
        <v>42</v>
      </c>
      <c r="Y123" s="2" t="s">
        <v>43</v>
      </c>
      <c r="Z123" s="2" t="s">
        <v>1616</v>
      </c>
      <c r="AA123" s="2">
        <v>5</v>
      </c>
      <c r="AB123" s="2" t="s">
        <v>44</v>
      </c>
      <c r="AC123" s="2" t="s">
        <v>1617</v>
      </c>
      <c r="AD123" s="2" t="s">
        <v>1143</v>
      </c>
      <c r="AE123" s="2" t="s">
        <v>78</v>
      </c>
      <c r="AF123" s="2">
        <v>1288000</v>
      </c>
      <c r="AG123" s="2">
        <v>25760</v>
      </c>
      <c r="AH123" s="2"/>
      <c r="AI123" s="2"/>
      <c r="AJ123" s="2" t="s">
        <v>37</v>
      </c>
      <c r="AK123" s="2" t="s">
        <v>5159</v>
      </c>
      <c r="AL123" s="3">
        <v>25760</v>
      </c>
      <c r="AM123" s="8">
        <v>45734</v>
      </c>
      <c r="AN123" s="2"/>
      <c r="AO123" s="7">
        <f t="shared" si="1"/>
        <v>0</v>
      </c>
    </row>
    <row r="124" spans="1:41" x14ac:dyDescent="0.25">
      <c r="A124" s="5">
        <v>148</v>
      </c>
      <c r="B124" s="5" t="s">
        <v>61</v>
      </c>
      <c r="C124" s="5" t="s">
        <v>1618</v>
      </c>
      <c r="D124" s="5" t="s">
        <v>36</v>
      </c>
      <c r="E124" s="5" t="s">
        <v>37</v>
      </c>
      <c r="F124" s="5" t="s">
        <v>1619</v>
      </c>
      <c r="G124" s="5" t="s">
        <v>47</v>
      </c>
      <c r="H124" s="5" t="s">
        <v>1620</v>
      </c>
      <c r="I124" s="5" t="s">
        <v>55</v>
      </c>
      <c r="J124" s="5" t="s">
        <v>1621</v>
      </c>
      <c r="K124" s="5" t="s">
        <v>55</v>
      </c>
      <c r="L124" s="5" t="s">
        <v>1622</v>
      </c>
      <c r="M124" s="5">
        <v>638428</v>
      </c>
      <c r="N124" s="5">
        <v>1450000</v>
      </c>
      <c r="O124" s="5" t="s">
        <v>1623</v>
      </c>
      <c r="P124" s="6">
        <v>45715</v>
      </c>
      <c r="Q124" s="5" t="s">
        <v>1624</v>
      </c>
      <c r="R124" s="5" t="s">
        <v>1625</v>
      </c>
      <c r="S124" s="5" t="s">
        <v>48</v>
      </c>
      <c r="T124" s="5" t="s">
        <v>1626</v>
      </c>
      <c r="U124" s="5" t="s">
        <v>1627</v>
      </c>
      <c r="V124" s="5" t="s">
        <v>49</v>
      </c>
      <c r="W124" s="6">
        <v>44621</v>
      </c>
      <c r="X124" s="5" t="s">
        <v>100</v>
      </c>
      <c r="Y124" s="5" t="s">
        <v>947</v>
      </c>
      <c r="Z124" s="5" t="s">
        <v>1628</v>
      </c>
      <c r="AA124" s="5">
        <v>5</v>
      </c>
      <c r="AB124" s="5" t="s">
        <v>76</v>
      </c>
      <c r="AC124" s="5" t="s">
        <v>1629</v>
      </c>
      <c r="AD124" s="5" t="s">
        <v>101</v>
      </c>
      <c r="AE124" s="5">
        <v>1.5</v>
      </c>
      <c r="AF124" s="5">
        <v>1160000</v>
      </c>
      <c r="AG124" s="5">
        <v>17400</v>
      </c>
      <c r="AH124" s="5"/>
      <c r="AI124" s="5"/>
      <c r="AJ124" s="5" t="s">
        <v>37</v>
      </c>
      <c r="AK124" s="2" t="s">
        <v>5160</v>
      </c>
      <c r="AL124" s="3">
        <v>16313</v>
      </c>
      <c r="AM124" s="8">
        <v>45713</v>
      </c>
      <c r="AN124" s="2" t="s">
        <v>5497</v>
      </c>
      <c r="AO124" s="7">
        <f t="shared" si="1"/>
        <v>1087</v>
      </c>
    </row>
    <row r="125" spans="1:41" hidden="1" x14ac:dyDescent="0.25">
      <c r="A125" s="2">
        <v>149</v>
      </c>
      <c r="B125" s="2" t="s">
        <v>61</v>
      </c>
      <c r="C125" s="2" t="s">
        <v>1630</v>
      </c>
      <c r="D125" s="2" t="s">
        <v>36</v>
      </c>
      <c r="E125" s="2" t="s">
        <v>37</v>
      </c>
      <c r="F125" s="2" t="s">
        <v>1631</v>
      </c>
      <c r="G125" s="2" t="s">
        <v>47</v>
      </c>
      <c r="H125" s="2" t="s">
        <v>1632</v>
      </c>
      <c r="I125" s="2" t="s">
        <v>55</v>
      </c>
      <c r="J125" s="2" t="s">
        <v>1633</v>
      </c>
      <c r="K125" s="2" t="s">
        <v>55</v>
      </c>
      <c r="L125" s="2" t="s">
        <v>1634</v>
      </c>
      <c r="M125" s="2">
        <v>1376800</v>
      </c>
      <c r="N125" s="2">
        <v>3442000</v>
      </c>
      <c r="O125" s="2" t="s">
        <v>1635</v>
      </c>
      <c r="P125" s="8">
        <v>45724</v>
      </c>
      <c r="Q125" s="2" t="s">
        <v>1636</v>
      </c>
      <c r="R125" s="2" t="s">
        <v>1637</v>
      </c>
      <c r="S125" s="2" t="s">
        <v>55</v>
      </c>
      <c r="T125" s="2" t="s">
        <v>55</v>
      </c>
      <c r="U125" s="2" t="s">
        <v>1638</v>
      </c>
      <c r="V125" s="2" t="s">
        <v>91</v>
      </c>
      <c r="W125" s="2" t="s">
        <v>1639</v>
      </c>
      <c r="X125" s="2" t="s">
        <v>1640</v>
      </c>
      <c r="Y125" s="2" t="s">
        <v>1641</v>
      </c>
      <c r="Z125" s="2" t="s">
        <v>1642</v>
      </c>
      <c r="AA125" s="2">
        <v>5</v>
      </c>
      <c r="AB125" s="2" t="s">
        <v>76</v>
      </c>
      <c r="AC125" s="2" t="s">
        <v>1643</v>
      </c>
      <c r="AD125" s="2" t="s">
        <v>1644</v>
      </c>
      <c r="AE125" s="2" t="s">
        <v>78</v>
      </c>
      <c r="AF125" s="2">
        <v>2581500</v>
      </c>
      <c r="AG125" s="2">
        <v>51630</v>
      </c>
      <c r="AH125" s="2"/>
      <c r="AI125" s="2"/>
      <c r="AJ125" s="2" t="s">
        <v>37</v>
      </c>
      <c r="AK125" s="2" t="s">
        <v>5161</v>
      </c>
      <c r="AL125" s="3">
        <v>51630</v>
      </c>
      <c r="AM125" s="8">
        <v>45734</v>
      </c>
      <c r="AN125" s="2"/>
      <c r="AO125" s="7">
        <f t="shared" si="1"/>
        <v>0</v>
      </c>
    </row>
    <row r="126" spans="1:41" x14ac:dyDescent="0.25">
      <c r="A126" s="5">
        <v>150</v>
      </c>
      <c r="B126" s="5" t="s">
        <v>61</v>
      </c>
      <c r="C126" s="5" t="s">
        <v>1645</v>
      </c>
      <c r="D126" s="5" t="s">
        <v>36</v>
      </c>
      <c r="E126" s="5" t="s">
        <v>37</v>
      </c>
      <c r="F126" s="5" t="s">
        <v>1646</v>
      </c>
      <c r="G126" s="5" t="s">
        <v>111</v>
      </c>
      <c r="H126" s="5" t="s">
        <v>1647</v>
      </c>
      <c r="I126" s="5" t="s">
        <v>1648</v>
      </c>
      <c r="J126" s="5" t="s">
        <v>1648</v>
      </c>
      <c r="K126" s="5" t="s">
        <v>1648</v>
      </c>
      <c r="L126" s="5" t="s">
        <v>1649</v>
      </c>
      <c r="M126" s="5">
        <v>608721</v>
      </c>
      <c r="N126" s="5">
        <v>1521000</v>
      </c>
      <c r="O126" s="5" t="s">
        <v>1650</v>
      </c>
      <c r="P126" s="6">
        <v>45715</v>
      </c>
      <c r="Q126" s="5" t="s">
        <v>1651</v>
      </c>
      <c r="R126" s="5" t="s">
        <v>1652</v>
      </c>
      <c r="S126" s="5" t="s">
        <v>54</v>
      </c>
      <c r="T126" s="5" t="s">
        <v>55</v>
      </c>
      <c r="U126" s="5" t="s">
        <v>798</v>
      </c>
      <c r="V126" s="5" t="s">
        <v>57</v>
      </c>
      <c r="W126" s="6">
        <v>44438</v>
      </c>
      <c r="X126" s="5" t="s">
        <v>100</v>
      </c>
      <c r="Y126" s="5" t="s">
        <v>947</v>
      </c>
      <c r="Z126" s="5" t="s">
        <v>1653</v>
      </c>
      <c r="AA126" s="5">
        <v>5</v>
      </c>
      <c r="AB126" s="5" t="s">
        <v>44</v>
      </c>
      <c r="AC126" s="5" t="s">
        <v>1654</v>
      </c>
      <c r="AD126" s="5" t="s">
        <v>101</v>
      </c>
      <c r="AE126" s="5">
        <v>2</v>
      </c>
      <c r="AF126" s="5">
        <v>1216800</v>
      </c>
      <c r="AG126" s="5">
        <v>24336</v>
      </c>
      <c r="AH126" s="5"/>
      <c r="AI126" s="5"/>
      <c r="AJ126" s="5" t="s">
        <v>37</v>
      </c>
      <c r="AK126" s="2" t="s">
        <v>5162</v>
      </c>
      <c r="AL126" s="3">
        <v>22815</v>
      </c>
      <c r="AM126" s="8">
        <v>45713</v>
      </c>
      <c r="AN126" s="2" t="s">
        <v>5498</v>
      </c>
      <c r="AO126" s="7">
        <f t="shared" si="1"/>
        <v>1521</v>
      </c>
    </row>
    <row r="127" spans="1:41" x14ac:dyDescent="0.25">
      <c r="A127" s="2">
        <v>151</v>
      </c>
      <c r="B127" s="2" t="s">
        <v>61</v>
      </c>
      <c r="C127" s="2" t="s">
        <v>1655</v>
      </c>
      <c r="D127" s="2" t="s">
        <v>36</v>
      </c>
      <c r="E127" s="2" t="s">
        <v>37</v>
      </c>
      <c r="F127" s="2" t="s">
        <v>1656</v>
      </c>
      <c r="G127" s="2" t="s">
        <v>111</v>
      </c>
      <c r="H127" s="2" t="s">
        <v>1657</v>
      </c>
      <c r="I127" s="2" t="s">
        <v>1658</v>
      </c>
      <c r="J127" s="2" t="s">
        <v>1658</v>
      </c>
      <c r="K127" s="2" t="s">
        <v>1658</v>
      </c>
      <c r="L127" s="2" t="s">
        <v>1659</v>
      </c>
      <c r="M127" s="2">
        <v>598313</v>
      </c>
      <c r="N127" s="2">
        <v>1610000</v>
      </c>
      <c r="O127" s="2" t="s">
        <v>1660</v>
      </c>
      <c r="P127" s="8">
        <v>45715</v>
      </c>
      <c r="Q127" s="2" t="s">
        <v>1661</v>
      </c>
      <c r="R127" s="2" t="s">
        <v>1662</v>
      </c>
      <c r="S127" s="2" t="s">
        <v>54</v>
      </c>
      <c r="T127" s="2" t="s">
        <v>55</v>
      </c>
      <c r="U127" s="2" t="s">
        <v>229</v>
      </c>
      <c r="V127" s="2" t="s">
        <v>57</v>
      </c>
      <c r="W127" s="8">
        <v>44473</v>
      </c>
      <c r="X127" s="2" t="s">
        <v>100</v>
      </c>
      <c r="Y127" s="2" t="s">
        <v>947</v>
      </c>
      <c r="Z127" s="2" t="s">
        <v>1663</v>
      </c>
      <c r="AA127" s="2">
        <v>5</v>
      </c>
      <c r="AB127" s="2" t="s">
        <v>44</v>
      </c>
      <c r="AC127" s="2" t="s">
        <v>1664</v>
      </c>
      <c r="AD127" s="2" t="s">
        <v>101</v>
      </c>
      <c r="AE127" s="2">
        <v>2</v>
      </c>
      <c r="AF127" s="2">
        <v>1288000</v>
      </c>
      <c r="AG127" s="2">
        <v>25760</v>
      </c>
      <c r="AH127" s="2"/>
      <c r="AI127" s="2"/>
      <c r="AJ127" s="2" t="s">
        <v>37</v>
      </c>
      <c r="AK127" s="2" t="s">
        <v>5163</v>
      </c>
      <c r="AL127" s="3">
        <v>24150</v>
      </c>
      <c r="AM127" s="8">
        <v>45713</v>
      </c>
      <c r="AN127" s="2" t="s">
        <v>5499</v>
      </c>
      <c r="AO127" s="7">
        <f t="shared" si="1"/>
        <v>1610</v>
      </c>
    </row>
    <row r="128" spans="1:41" hidden="1" x14ac:dyDescent="0.25">
      <c r="A128" s="5">
        <v>152</v>
      </c>
      <c r="B128" s="5" t="s">
        <v>61</v>
      </c>
      <c r="C128" s="5" t="s">
        <v>1665</v>
      </c>
      <c r="D128" s="5" t="s">
        <v>36</v>
      </c>
      <c r="E128" s="5" t="s">
        <v>37</v>
      </c>
      <c r="F128" s="5" t="s">
        <v>1666</v>
      </c>
      <c r="G128" s="5" t="s">
        <v>111</v>
      </c>
      <c r="H128" s="5" t="s">
        <v>1667</v>
      </c>
      <c r="I128" s="5" t="s">
        <v>1668</v>
      </c>
      <c r="J128" s="5" t="s">
        <v>1668</v>
      </c>
      <c r="K128" s="5" t="s">
        <v>1668</v>
      </c>
      <c r="L128" s="5" t="s">
        <v>1669</v>
      </c>
      <c r="M128" s="5">
        <v>784183</v>
      </c>
      <c r="N128" s="5">
        <v>1540000</v>
      </c>
      <c r="O128" s="5" t="s">
        <v>1670</v>
      </c>
      <c r="P128" s="6">
        <v>45715</v>
      </c>
      <c r="Q128" s="5" t="s">
        <v>1671</v>
      </c>
      <c r="R128" s="5" t="s">
        <v>1672</v>
      </c>
      <c r="S128" s="5" t="s">
        <v>48</v>
      </c>
      <c r="T128" s="5" t="s">
        <v>1673</v>
      </c>
      <c r="U128" s="5" t="s">
        <v>728</v>
      </c>
      <c r="V128" s="5" t="s">
        <v>230</v>
      </c>
      <c r="W128" s="6">
        <v>44621</v>
      </c>
      <c r="X128" s="5" t="s">
        <v>100</v>
      </c>
      <c r="Y128" s="5" t="s">
        <v>1044</v>
      </c>
      <c r="Z128" s="5" t="s">
        <v>1674</v>
      </c>
      <c r="AA128" s="5">
        <v>7</v>
      </c>
      <c r="AB128" s="5" t="s">
        <v>76</v>
      </c>
      <c r="AC128" s="5" t="s">
        <v>1675</v>
      </c>
      <c r="AD128" s="5" t="s">
        <v>101</v>
      </c>
      <c r="AE128" s="5">
        <v>1.5</v>
      </c>
      <c r="AF128" s="5">
        <v>1232000</v>
      </c>
      <c r="AG128" s="5">
        <v>18480</v>
      </c>
      <c r="AH128" s="5"/>
      <c r="AI128" s="5"/>
      <c r="AJ128" s="5" t="s">
        <v>37</v>
      </c>
      <c r="AK128" s="2" t="s">
        <v>5164</v>
      </c>
      <c r="AL128" s="3">
        <v>18480</v>
      </c>
      <c r="AM128" s="8">
        <v>45713</v>
      </c>
      <c r="AN128" s="2"/>
      <c r="AO128" s="7">
        <f t="shared" si="1"/>
        <v>0</v>
      </c>
    </row>
    <row r="129" spans="1:41" hidden="1" x14ac:dyDescent="0.25">
      <c r="A129" s="2">
        <v>153</v>
      </c>
      <c r="B129" s="2" t="s">
        <v>61</v>
      </c>
      <c r="C129" s="2" t="s">
        <v>1676</v>
      </c>
      <c r="D129" s="2" t="s">
        <v>36</v>
      </c>
      <c r="E129" s="2" t="s">
        <v>37</v>
      </c>
      <c r="F129" s="2" t="s">
        <v>1677</v>
      </c>
      <c r="G129" s="2" t="s">
        <v>53</v>
      </c>
      <c r="H129" s="2" t="s">
        <v>1678</v>
      </c>
      <c r="I129" s="2" t="s">
        <v>1679</v>
      </c>
      <c r="J129" s="2" t="s">
        <v>1680</v>
      </c>
      <c r="K129" s="2" t="s">
        <v>1679</v>
      </c>
      <c r="L129" s="2" t="s">
        <v>1681</v>
      </c>
      <c r="M129" s="2">
        <v>1484066</v>
      </c>
      <c r="N129" s="2">
        <v>2612000</v>
      </c>
      <c r="O129" s="2" t="s">
        <v>1682</v>
      </c>
      <c r="P129" s="8">
        <v>45714</v>
      </c>
      <c r="Q129" s="2" t="s">
        <v>1683</v>
      </c>
      <c r="R129" s="2" t="s">
        <v>1684</v>
      </c>
      <c r="S129" s="2" t="s">
        <v>54</v>
      </c>
      <c r="T129" s="2" t="s">
        <v>55</v>
      </c>
      <c r="U129" s="2" t="s">
        <v>334</v>
      </c>
      <c r="V129" s="2" t="s">
        <v>887</v>
      </c>
      <c r="W129" s="8">
        <v>45350</v>
      </c>
      <c r="X129" s="2" t="s">
        <v>1017</v>
      </c>
      <c r="Y129" s="2" t="s">
        <v>947</v>
      </c>
      <c r="Z129" s="2" t="s">
        <v>1685</v>
      </c>
      <c r="AA129" s="2">
        <v>3</v>
      </c>
      <c r="AB129" s="2" t="s">
        <v>279</v>
      </c>
      <c r="AC129" s="2" t="s">
        <v>1686</v>
      </c>
      <c r="AD129" s="2" t="s">
        <v>1687</v>
      </c>
      <c r="AE129" s="2">
        <v>1.75</v>
      </c>
      <c r="AF129" s="2">
        <v>2350800</v>
      </c>
      <c r="AG129" s="2">
        <v>41139</v>
      </c>
      <c r="AH129" s="2"/>
      <c r="AI129" s="2"/>
      <c r="AJ129" s="2" t="s">
        <v>37</v>
      </c>
      <c r="AK129" s="2" t="s">
        <v>5165</v>
      </c>
      <c r="AL129" s="3">
        <v>41139</v>
      </c>
      <c r="AM129" s="8">
        <v>45713</v>
      </c>
      <c r="AN129" s="2"/>
      <c r="AO129" s="7">
        <f t="shared" si="1"/>
        <v>0</v>
      </c>
    </row>
    <row r="130" spans="1:41" hidden="1" x14ac:dyDescent="0.25">
      <c r="A130" s="5">
        <v>154</v>
      </c>
      <c r="B130" s="5" t="s">
        <v>61</v>
      </c>
      <c r="C130" s="5" t="s">
        <v>1688</v>
      </c>
      <c r="D130" s="5" t="s">
        <v>36</v>
      </c>
      <c r="E130" s="5" t="s">
        <v>37</v>
      </c>
      <c r="F130" s="5" t="s">
        <v>1689</v>
      </c>
      <c r="G130" s="5" t="s">
        <v>47</v>
      </c>
      <c r="H130" s="5" t="s">
        <v>1690</v>
      </c>
      <c r="I130" s="5" t="s">
        <v>1691</v>
      </c>
      <c r="J130" s="5" t="s">
        <v>1692</v>
      </c>
      <c r="K130" s="5" t="s">
        <v>1693</v>
      </c>
      <c r="L130" s="5" t="s">
        <v>1694</v>
      </c>
      <c r="M130" s="5">
        <v>1820000</v>
      </c>
      <c r="N130" s="5">
        <v>2600000</v>
      </c>
      <c r="O130" s="5" t="s">
        <v>1695</v>
      </c>
      <c r="P130" s="6">
        <v>45724</v>
      </c>
      <c r="Q130" s="5" t="s">
        <v>1696</v>
      </c>
      <c r="R130" s="5" t="s">
        <v>1697</v>
      </c>
      <c r="S130" s="5" t="s">
        <v>1698</v>
      </c>
      <c r="T130" s="5" t="s">
        <v>1698</v>
      </c>
      <c r="U130" s="5" t="s">
        <v>162</v>
      </c>
      <c r="V130" s="5" t="s">
        <v>91</v>
      </c>
      <c r="W130" s="5" t="s">
        <v>1128</v>
      </c>
      <c r="X130" s="5" t="s">
        <v>45</v>
      </c>
      <c r="Y130" s="5" t="s">
        <v>74</v>
      </c>
      <c r="Z130" s="5" t="s">
        <v>1699</v>
      </c>
      <c r="AA130" s="5">
        <v>5</v>
      </c>
      <c r="AB130" s="5" t="s">
        <v>76</v>
      </c>
      <c r="AC130" s="5" t="s">
        <v>1700</v>
      </c>
      <c r="AD130" s="5" t="s">
        <v>1143</v>
      </c>
      <c r="AE130" s="5" t="s">
        <v>46</v>
      </c>
      <c r="AF130" s="5">
        <v>2080000</v>
      </c>
      <c r="AG130" s="5">
        <v>31200</v>
      </c>
      <c r="AH130" s="5"/>
      <c r="AI130" s="5"/>
      <c r="AJ130" s="5" t="s">
        <v>37</v>
      </c>
      <c r="AK130" s="2" t="s">
        <v>5166</v>
      </c>
      <c r="AL130" s="3">
        <v>31200</v>
      </c>
      <c r="AM130" s="8">
        <v>45734</v>
      </c>
      <c r="AN130" s="2"/>
      <c r="AO130" s="7">
        <f t="shared" ref="AO130:AO193" si="2">AG130-AL130</f>
        <v>0</v>
      </c>
    </row>
    <row r="131" spans="1:41" hidden="1" x14ac:dyDescent="0.25">
      <c r="A131" s="2">
        <v>155</v>
      </c>
      <c r="B131" s="2" t="s">
        <v>61</v>
      </c>
      <c r="C131" s="2" t="s">
        <v>1701</v>
      </c>
      <c r="D131" s="2" t="s">
        <v>36</v>
      </c>
      <c r="E131" s="2" t="s">
        <v>37</v>
      </c>
      <c r="F131" s="2" t="s">
        <v>1702</v>
      </c>
      <c r="G131" s="2" t="s">
        <v>38</v>
      </c>
      <c r="H131" s="2" t="s">
        <v>1703</v>
      </c>
      <c r="I131" s="2" t="s">
        <v>1704</v>
      </c>
      <c r="J131" s="2" t="s">
        <v>1705</v>
      </c>
      <c r="K131" s="2" t="s">
        <v>1704</v>
      </c>
      <c r="L131" s="2" t="s">
        <v>1706</v>
      </c>
      <c r="M131" s="2">
        <v>1591791</v>
      </c>
      <c r="N131" s="2">
        <v>2935000</v>
      </c>
      <c r="O131" s="2" t="s">
        <v>1707</v>
      </c>
      <c r="P131" s="8">
        <v>45714</v>
      </c>
      <c r="Q131" s="2" t="s">
        <v>1708</v>
      </c>
      <c r="R131" s="2" t="s">
        <v>1709</v>
      </c>
      <c r="S131" s="2" t="s">
        <v>54</v>
      </c>
      <c r="T131" s="2" t="s">
        <v>55</v>
      </c>
      <c r="U131" s="2" t="s">
        <v>1710</v>
      </c>
      <c r="V131" s="2" t="s">
        <v>887</v>
      </c>
      <c r="W131" s="8">
        <v>45351</v>
      </c>
      <c r="X131" s="2" t="s">
        <v>1017</v>
      </c>
      <c r="Y131" s="2" t="s">
        <v>1044</v>
      </c>
      <c r="Z131" s="2" t="s">
        <v>1711</v>
      </c>
      <c r="AA131" s="2">
        <v>5</v>
      </c>
      <c r="AB131" s="2" t="s">
        <v>44</v>
      </c>
      <c r="AC131" s="2" t="s">
        <v>1712</v>
      </c>
      <c r="AD131" s="2" t="s">
        <v>1687</v>
      </c>
      <c r="AE131" s="2">
        <v>1.75</v>
      </c>
      <c r="AF131" s="2">
        <v>2641500</v>
      </c>
      <c r="AG131" s="2">
        <v>46226</v>
      </c>
      <c r="AH131" s="2"/>
      <c r="AI131" s="2"/>
      <c r="AJ131" s="2" t="s">
        <v>37</v>
      </c>
      <c r="AK131" s="2" t="s">
        <v>5167</v>
      </c>
      <c r="AL131" s="3">
        <v>46226</v>
      </c>
      <c r="AM131" s="8">
        <v>45713</v>
      </c>
      <c r="AN131" s="2"/>
      <c r="AO131" s="7">
        <f t="shared" si="2"/>
        <v>0</v>
      </c>
    </row>
    <row r="132" spans="1:41" hidden="1" x14ac:dyDescent="0.25">
      <c r="A132" s="5">
        <v>156</v>
      </c>
      <c r="B132" s="5" t="s">
        <v>61</v>
      </c>
      <c r="C132" s="5" t="s">
        <v>1713</v>
      </c>
      <c r="D132" s="5" t="s">
        <v>36</v>
      </c>
      <c r="E132" s="5" t="s">
        <v>37</v>
      </c>
      <c r="F132" s="5" t="s">
        <v>1714</v>
      </c>
      <c r="G132" s="5" t="s">
        <v>111</v>
      </c>
      <c r="H132" s="5" t="s">
        <v>1715</v>
      </c>
      <c r="I132" s="5" t="s">
        <v>1716</v>
      </c>
      <c r="J132" s="5" t="s">
        <v>1716</v>
      </c>
      <c r="K132" s="5" t="s">
        <v>1716</v>
      </c>
      <c r="L132" s="5" t="s">
        <v>1717</v>
      </c>
      <c r="M132" s="5">
        <v>2550000</v>
      </c>
      <c r="N132" s="5">
        <v>3400000</v>
      </c>
      <c r="O132" s="5" t="s">
        <v>1718</v>
      </c>
      <c r="P132" s="6">
        <v>45724</v>
      </c>
      <c r="Q132" s="5" t="s">
        <v>1719</v>
      </c>
      <c r="R132" s="5" t="s">
        <v>1720</v>
      </c>
      <c r="S132" s="5" t="s">
        <v>1721</v>
      </c>
      <c r="T132" s="5" t="s">
        <v>1721</v>
      </c>
      <c r="U132" s="5" t="s">
        <v>932</v>
      </c>
      <c r="V132" s="5" t="s">
        <v>40</v>
      </c>
      <c r="W132" s="5" t="s">
        <v>178</v>
      </c>
      <c r="X132" s="5" t="s">
        <v>178</v>
      </c>
      <c r="Y132" s="5" t="s">
        <v>137</v>
      </c>
      <c r="Z132" s="5" t="s">
        <v>1722</v>
      </c>
      <c r="AA132" s="5">
        <v>5</v>
      </c>
      <c r="AB132" s="5" t="s">
        <v>44</v>
      </c>
      <c r="AC132" s="5" t="s">
        <v>1723</v>
      </c>
      <c r="AD132" s="5" t="s">
        <v>1724</v>
      </c>
      <c r="AE132" s="5" t="s">
        <v>78</v>
      </c>
      <c r="AF132" s="5">
        <v>2550000</v>
      </c>
      <c r="AG132" s="5">
        <v>51000</v>
      </c>
      <c r="AH132" s="5"/>
      <c r="AI132" s="5"/>
      <c r="AJ132" s="5" t="s">
        <v>37</v>
      </c>
      <c r="AK132" s="2" t="s">
        <v>5168</v>
      </c>
      <c r="AL132" s="3">
        <v>51000</v>
      </c>
      <c r="AM132" s="8">
        <v>45734</v>
      </c>
      <c r="AN132" s="2"/>
      <c r="AO132" s="7">
        <f t="shared" si="2"/>
        <v>0</v>
      </c>
    </row>
    <row r="133" spans="1:41" hidden="1" x14ac:dyDescent="0.25">
      <c r="A133" s="2">
        <v>157</v>
      </c>
      <c r="B133" s="2" t="s">
        <v>61</v>
      </c>
      <c r="C133" s="2" t="s">
        <v>1725</v>
      </c>
      <c r="D133" s="2" t="s">
        <v>36</v>
      </c>
      <c r="E133" s="2" t="s">
        <v>37</v>
      </c>
      <c r="F133" s="2" t="s">
        <v>1726</v>
      </c>
      <c r="G133" s="2" t="s">
        <v>53</v>
      </c>
      <c r="H133" s="2" t="s">
        <v>1727</v>
      </c>
      <c r="I133" s="2" t="s">
        <v>55</v>
      </c>
      <c r="J133" s="2" t="s">
        <v>1728</v>
      </c>
      <c r="K133" s="2" t="s">
        <v>55</v>
      </c>
      <c r="L133" s="2" t="s">
        <v>1729</v>
      </c>
      <c r="M133" s="2">
        <v>1856401</v>
      </c>
      <c r="N133" s="2">
        <v>2935000</v>
      </c>
      <c r="O133" s="2" t="s">
        <v>1730</v>
      </c>
      <c r="P133" s="8">
        <v>45714</v>
      </c>
      <c r="Q133" s="2" t="s">
        <v>1731</v>
      </c>
      <c r="R133" s="2" t="s">
        <v>1732</v>
      </c>
      <c r="S133" s="2" t="s">
        <v>54</v>
      </c>
      <c r="T133" s="2" t="s">
        <v>55</v>
      </c>
      <c r="U133" s="2" t="s">
        <v>798</v>
      </c>
      <c r="V133" s="2" t="s">
        <v>887</v>
      </c>
      <c r="W133" s="8">
        <v>45349</v>
      </c>
      <c r="X133" s="2" t="s">
        <v>1687</v>
      </c>
      <c r="Y133" s="2" t="s">
        <v>1733</v>
      </c>
      <c r="Z133" s="2" t="s">
        <v>1734</v>
      </c>
      <c r="AA133" s="2">
        <v>5</v>
      </c>
      <c r="AB133" s="2" t="s">
        <v>279</v>
      </c>
      <c r="AC133" s="2" t="s">
        <v>1735</v>
      </c>
      <c r="AD133" s="2" t="s">
        <v>1736</v>
      </c>
      <c r="AE133" s="2">
        <v>1.75</v>
      </c>
      <c r="AF133" s="2">
        <v>2641500</v>
      </c>
      <c r="AG133" s="2">
        <v>46226</v>
      </c>
      <c r="AH133" s="2"/>
      <c r="AI133" s="2"/>
      <c r="AJ133" s="2" t="s">
        <v>37</v>
      </c>
      <c r="AK133" s="2" t="s">
        <v>5169</v>
      </c>
      <c r="AL133" s="3">
        <v>46226</v>
      </c>
      <c r="AM133" s="8">
        <v>45713</v>
      </c>
      <c r="AN133" s="2"/>
      <c r="AO133" s="7">
        <f t="shared" si="2"/>
        <v>0</v>
      </c>
    </row>
    <row r="134" spans="1:41" hidden="1" x14ac:dyDescent="0.25">
      <c r="A134" s="5">
        <v>158</v>
      </c>
      <c r="B134" s="5" t="s">
        <v>61</v>
      </c>
      <c r="C134" s="5" t="s">
        <v>1737</v>
      </c>
      <c r="D134" s="5" t="s">
        <v>36</v>
      </c>
      <c r="E134" s="5" t="s">
        <v>37</v>
      </c>
      <c r="F134" s="5" t="s">
        <v>1738</v>
      </c>
      <c r="G134" s="5" t="s">
        <v>111</v>
      </c>
      <c r="H134" s="5" t="s">
        <v>1739</v>
      </c>
      <c r="I134" s="5" t="s">
        <v>1740</v>
      </c>
      <c r="J134" s="5" t="s">
        <v>1740</v>
      </c>
      <c r="K134" s="5" t="s">
        <v>1740</v>
      </c>
      <c r="L134" s="5" t="s">
        <v>1741</v>
      </c>
      <c r="M134" s="5">
        <v>2210000</v>
      </c>
      <c r="N134" s="5">
        <v>3400000</v>
      </c>
      <c r="O134" s="5" t="s">
        <v>1742</v>
      </c>
      <c r="P134" s="6">
        <v>45724</v>
      </c>
      <c r="Q134" s="5" t="s">
        <v>1743</v>
      </c>
      <c r="R134" s="5" t="s">
        <v>1744</v>
      </c>
      <c r="S134" s="5" t="s">
        <v>1745</v>
      </c>
      <c r="T134" s="5" t="s">
        <v>1745</v>
      </c>
      <c r="U134" s="5" t="s">
        <v>1297</v>
      </c>
      <c r="V134" s="5" t="s">
        <v>158</v>
      </c>
      <c r="W134" s="5" t="s">
        <v>1092</v>
      </c>
      <c r="X134" s="5" t="s">
        <v>42</v>
      </c>
      <c r="Y134" s="5" t="s">
        <v>43</v>
      </c>
      <c r="Z134" s="5" t="s">
        <v>1746</v>
      </c>
      <c r="AA134" s="5">
        <v>5</v>
      </c>
      <c r="AB134" s="5" t="s">
        <v>44</v>
      </c>
      <c r="AC134" s="5" t="s">
        <v>1747</v>
      </c>
      <c r="AD134" s="5" t="s">
        <v>1143</v>
      </c>
      <c r="AE134" s="5" t="s">
        <v>46</v>
      </c>
      <c r="AF134" s="5">
        <v>2720000</v>
      </c>
      <c r="AG134" s="5">
        <v>40800</v>
      </c>
      <c r="AH134" s="5"/>
      <c r="AI134" s="5"/>
      <c r="AJ134" s="5" t="s">
        <v>37</v>
      </c>
      <c r="AK134" s="2" t="s">
        <v>5170</v>
      </c>
      <c r="AL134" s="3">
        <v>40800</v>
      </c>
      <c r="AM134" s="8">
        <v>45734</v>
      </c>
      <c r="AN134" s="2"/>
      <c r="AO134" s="7">
        <f t="shared" si="2"/>
        <v>0</v>
      </c>
    </row>
    <row r="135" spans="1:41" hidden="1" x14ac:dyDescent="0.25">
      <c r="A135" s="2">
        <v>159</v>
      </c>
      <c r="B135" s="2" t="s">
        <v>61</v>
      </c>
      <c r="C135" s="2" t="s">
        <v>1748</v>
      </c>
      <c r="D135" s="2" t="s">
        <v>36</v>
      </c>
      <c r="E135" s="2" t="s">
        <v>37</v>
      </c>
      <c r="F135" s="2" t="s">
        <v>1749</v>
      </c>
      <c r="G135" s="2" t="s">
        <v>111</v>
      </c>
      <c r="H135" s="2" t="s">
        <v>1750</v>
      </c>
      <c r="I135" s="2" t="s">
        <v>1751</v>
      </c>
      <c r="J135" s="2" t="s">
        <v>1751</v>
      </c>
      <c r="K135" s="2" t="s">
        <v>1751</v>
      </c>
      <c r="L135" s="2" t="s">
        <v>1752</v>
      </c>
      <c r="M135" s="2">
        <v>451955</v>
      </c>
      <c r="N135" s="2">
        <v>1633000</v>
      </c>
      <c r="O135" s="2" t="s">
        <v>1753</v>
      </c>
      <c r="P135" s="8">
        <v>45714</v>
      </c>
      <c r="Q135" s="2" t="s">
        <v>1754</v>
      </c>
      <c r="R135" s="2" t="s">
        <v>1755</v>
      </c>
      <c r="S135" s="2" t="s">
        <v>54</v>
      </c>
      <c r="T135" s="2" t="s">
        <v>55</v>
      </c>
      <c r="U135" s="2" t="s">
        <v>1756</v>
      </c>
      <c r="V135" s="2" t="s">
        <v>91</v>
      </c>
      <c r="W135" s="8">
        <v>44254</v>
      </c>
      <c r="X135" s="2" t="s">
        <v>933</v>
      </c>
      <c r="Y135" s="2" t="s">
        <v>959</v>
      </c>
      <c r="Z135" s="2" t="s">
        <v>1757</v>
      </c>
      <c r="AA135" s="2">
        <v>5</v>
      </c>
      <c r="AB135" s="2" t="s">
        <v>44</v>
      </c>
      <c r="AC135" s="2" t="s">
        <v>1758</v>
      </c>
      <c r="AD135" s="2" t="s">
        <v>933</v>
      </c>
      <c r="AE135" s="2">
        <v>2</v>
      </c>
      <c r="AF135" s="2">
        <v>1224750</v>
      </c>
      <c r="AG135" s="2">
        <v>24495</v>
      </c>
      <c r="AH135" s="2"/>
      <c r="AI135" s="2"/>
      <c r="AJ135" s="2" t="s">
        <v>37</v>
      </c>
      <c r="AK135" s="2" t="s">
        <v>5171</v>
      </c>
      <c r="AL135" s="3">
        <v>24495</v>
      </c>
      <c r="AM135" s="8">
        <v>45713</v>
      </c>
      <c r="AN135" s="2"/>
      <c r="AO135" s="7">
        <f t="shared" si="2"/>
        <v>0</v>
      </c>
    </row>
    <row r="136" spans="1:41" hidden="1" x14ac:dyDescent="0.25">
      <c r="A136" s="5">
        <v>160</v>
      </c>
      <c r="B136" s="5" t="s">
        <v>61</v>
      </c>
      <c r="C136" s="5" t="s">
        <v>1759</v>
      </c>
      <c r="D136" s="5" t="s">
        <v>36</v>
      </c>
      <c r="E136" s="5" t="s">
        <v>37</v>
      </c>
      <c r="F136" s="5" t="s">
        <v>1760</v>
      </c>
      <c r="G136" s="5" t="s">
        <v>53</v>
      </c>
      <c r="H136" s="5" t="s">
        <v>1761</v>
      </c>
      <c r="I136" s="5" t="s">
        <v>1762</v>
      </c>
      <c r="J136" s="5" t="s">
        <v>1763</v>
      </c>
      <c r="K136" s="5" t="s">
        <v>1764</v>
      </c>
      <c r="L136" s="5" t="s">
        <v>1765</v>
      </c>
      <c r="M136" s="5">
        <v>913086</v>
      </c>
      <c r="N136" s="5">
        <v>3275000</v>
      </c>
      <c r="O136" s="5" t="s">
        <v>1766</v>
      </c>
      <c r="P136" s="6">
        <v>45714</v>
      </c>
      <c r="Q136" s="5" t="s">
        <v>1767</v>
      </c>
      <c r="R136" s="5" t="s">
        <v>1768</v>
      </c>
      <c r="S136" s="5" t="s">
        <v>48</v>
      </c>
      <c r="T136" s="5" t="s">
        <v>1769</v>
      </c>
      <c r="U136" s="5" t="s">
        <v>522</v>
      </c>
      <c r="V136" s="5" t="s">
        <v>40</v>
      </c>
      <c r="W136" s="6">
        <v>44985</v>
      </c>
      <c r="X136" s="5" t="s">
        <v>1262</v>
      </c>
      <c r="Y136" s="5" t="s">
        <v>1032</v>
      </c>
      <c r="Z136" s="5" t="s">
        <v>1770</v>
      </c>
      <c r="AA136" s="5">
        <v>3</v>
      </c>
      <c r="AB136" s="5" t="s">
        <v>51</v>
      </c>
      <c r="AC136" s="5" t="s">
        <v>1771</v>
      </c>
      <c r="AD136" s="5" t="s">
        <v>1772</v>
      </c>
      <c r="AE136" s="5">
        <v>1.75</v>
      </c>
      <c r="AF136" s="5">
        <v>2783750</v>
      </c>
      <c r="AG136" s="5">
        <v>48716</v>
      </c>
      <c r="AH136" s="5"/>
      <c r="AI136" s="5"/>
      <c r="AJ136" s="5" t="s">
        <v>37</v>
      </c>
      <c r="AK136" s="2" t="s">
        <v>5172</v>
      </c>
      <c r="AL136" s="3">
        <v>48716</v>
      </c>
      <c r="AM136" s="8">
        <v>45713</v>
      </c>
      <c r="AN136" s="2"/>
      <c r="AO136" s="7">
        <f t="shared" si="2"/>
        <v>0</v>
      </c>
    </row>
    <row r="137" spans="1:41" hidden="1" x14ac:dyDescent="0.25">
      <c r="A137" s="2">
        <v>161</v>
      </c>
      <c r="B137" s="2" t="s">
        <v>61</v>
      </c>
      <c r="C137" s="2" t="s">
        <v>1773</v>
      </c>
      <c r="D137" s="2" t="s">
        <v>36</v>
      </c>
      <c r="E137" s="2" t="s">
        <v>37</v>
      </c>
      <c r="F137" s="2" t="s">
        <v>1774</v>
      </c>
      <c r="G137" s="2" t="s">
        <v>1775</v>
      </c>
      <c r="H137" s="2" t="s">
        <v>1776</v>
      </c>
      <c r="I137" s="2" t="s">
        <v>1777</v>
      </c>
      <c r="J137" s="2" t="s">
        <v>55</v>
      </c>
      <c r="K137" s="2" t="s">
        <v>67</v>
      </c>
      <c r="L137" s="2" t="s">
        <v>1778</v>
      </c>
      <c r="M137" s="2">
        <v>1125331</v>
      </c>
      <c r="N137" s="2">
        <v>3600000</v>
      </c>
      <c r="O137" s="2" t="s">
        <v>1779</v>
      </c>
      <c r="P137" s="8">
        <v>45714</v>
      </c>
      <c r="Q137" s="2" t="s">
        <v>1780</v>
      </c>
      <c r="R137" s="2" t="s">
        <v>1781</v>
      </c>
      <c r="S137" s="2" t="s">
        <v>48</v>
      </c>
      <c r="T137" s="2" t="s">
        <v>1782</v>
      </c>
      <c r="U137" s="2" t="s">
        <v>1379</v>
      </c>
      <c r="V137" s="2" t="s">
        <v>230</v>
      </c>
      <c r="W137" s="8">
        <v>44985</v>
      </c>
      <c r="X137" s="2" t="s">
        <v>1262</v>
      </c>
      <c r="Y137" s="2" t="s">
        <v>1032</v>
      </c>
      <c r="Z137" s="2" t="s">
        <v>1783</v>
      </c>
      <c r="AA137" s="2">
        <v>3</v>
      </c>
      <c r="AB137" s="2" t="s">
        <v>44</v>
      </c>
      <c r="AC137" s="2" t="s">
        <v>1784</v>
      </c>
      <c r="AD137" s="2" t="s">
        <v>1265</v>
      </c>
      <c r="AE137" s="2">
        <v>1.75</v>
      </c>
      <c r="AF137" s="2">
        <v>3060000</v>
      </c>
      <c r="AG137" s="2">
        <v>53550</v>
      </c>
      <c r="AH137" s="2"/>
      <c r="AI137" s="2"/>
      <c r="AJ137" s="2" t="s">
        <v>1580</v>
      </c>
      <c r="AK137" s="9" t="s">
        <v>5617</v>
      </c>
      <c r="AL137" s="3">
        <v>53550</v>
      </c>
      <c r="AM137" s="8">
        <v>45743</v>
      </c>
      <c r="AN137" s="2"/>
      <c r="AO137" s="7">
        <f t="shared" si="2"/>
        <v>0</v>
      </c>
    </row>
    <row r="138" spans="1:41" hidden="1" x14ac:dyDescent="0.25">
      <c r="A138" s="5">
        <v>162</v>
      </c>
      <c r="B138" s="5" t="s">
        <v>61</v>
      </c>
      <c r="C138" s="5" t="s">
        <v>1785</v>
      </c>
      <c r="D138" s="5" t="s">
        <v>36</v>
      </c>
      <c r="E138" s="5" t="s">
        <v>37</v>
      </c>
      <c r="F138" s="5" t="s">
        <v>1786</v>
      </c>
      <c r="G138" s="5" t="s">
        <v>53</v>
      </c>
      <c r="H138" s="5" t="s">
        <v>1787</v>
      </c>
      <c r="I138" s="5" t="s">
        <v>1788</v>
      </c>
      <c r="J138" s="5" t="s">
        <v>1789</v>
      </c>
      <c r="K138" s="5" t="s">
        <v>1788</v>
      </c>
      <c r="L138" s="5" t="s">
        <v>1790</v>
      </c>
      <c r="M138" s="5">
        <v>1012881</v>
      </c>
      <c r="N138" s="5">
        <v>1848000</v>
      </c>
      <c r="O138" s="5" t="s">
        <v>1791</v>
      </c>
      <c r="P138" s="6">
        <v>45714</v>
      </c>
      <c r="Q138" s="5" t="s">
        <v>1792</v>
      </c>
      <c r="R138" s="5" t="s">
        <v>1793</v>
      </c>
      <c r="S138" s="5" t="s">
        <v>54</v>
      </c>
      <c r="T138" s="5" t="s">
        <v>55</v>
      </c>
      <c r="U138" s="5" t="s">
        <v>911</v>
      </c>
      <c r="V138" s="5" t="s">
        <v>248</v>
      </c>
      <c r="W138" s="6">
        <v>44985</v>
      </c>
      <c r="X138" s="5" t="s">
        <v>1262</v>
      </c>
      <c r="Y138" s="5" t="s">
        <v>1018</v>
      </c>
      <c r="Z138" s="5" t="s">
        <v>1794</v>
      </c>
      <c r="AA138" s="5">
        <v>5</v>
      </c>
      <c r="AB138" s="5" t="s">
        <v>51</v>
      </c>
      <c r="AC138" s="5" t="s">
        <v>1795</v>
      </c>
      <c r="AD138" s="5" t="s">
        <v>1772</v>
      </c>
      <c r="AE138" s="5">
        <v>1.75</v>
      </c>
      <c r="AF138" s="5">
        <v>1570800</v>
      </c>
      <c r="AG138" s="5">
        <v>27489</v>
      </c>
      <c r="AH138" s="5"/>
      <c r="AI138" s="5"/>
      <c r="AJ138" s="5" t="s">
        <v>37</v>
      </c>
      <c r="AK138" s="2" t="s">
        <v>5173</v>
      </c>
      <c r="AL138" s="3">
        <v>27489</v>
      </c>
      <c r="AM138" s="8">
        <v>45713</v>
      </c>
      <c r="AN138" s="2"/>
      <c r="AO138" s="7">
        <f t="shared" si="2"/>
        <v>0</v>
      </c>
    </row>
    <row r="139" spans="1:41" hidden="1" x14ac:dyDescent="0.25">
      <c r="A139" s="2">
        <v>163</v>
      </c>
      <c r="B139" s="2" t="s">
        <v>61</v>
      </c>
      <c r="C139" s="2" t="s">
        <v>1796</v>
      </c>
      <c r="D139" s="2" t="s">
        <v>36</v>
      </c>
      <c r="E139" s="2" t="s">
        <v>37</v>
      </c>
      <c r="F139" s="2" t="s">
        <v>1797</v>
      </c>
      <c r="G139" s="2" t="s">
        <v>111</v>
      </c>
      <c r="H139" s="2" t="s">
        <v>1798</v>
      </c>
      <c r="I139" s="2" t="s">
        <v>1799</v>
      </c>
      <c r="J139" s="2" t="s">
        <v>1799</v>
      </c>
      <c r="K139" s="2" t="s">
        <v>1799</v>
      </c>
      <c r="L139" s="2" t="s">
        <v>1800</v>
      </c>
      <c r="M139" s="2">
        <v>1474855</v>
      </c>
      <c r="N139" s="2">
        <v>2993000</v>
      </c>
      <c r="O139" s="2" t="s">
        <v>1801</v>
      </c>
      <c r="P139" s="8">
        <v>45714</v>
      </c>
      <c r="Q139" s="2" t="s">
        <v>1802</v>
      </c>
      <c r="R139" s="2" t="s">
        <v>1803</v>
      </c>
      <c r="S139" s="2" t="s">
        <v>54</v>
      </c>
      <c r="T139" s="2" t="s">
        <v>55</v>
      </c>
      <c r="U139" s="2" t="s">
        <v>1804</v>
      </c>
      <c r="V139" s="2" t="s">
        <v>91</v>
      </c>
      <c r="W139" s="8">
        <v>44254</v>
      </c>
      <c r="X139" s="2" t="s">
        <v>933</v>
      </c>
      <c r="Y139" s="2" t="s">
        <v>1805</v>
      </c>
      <c r="Z139" s="2" t="s">
        <v>1806</v>
      </c>
      <c r="AA139" s="2">
        <v>7</v>
      </c>
      <c r="AB139" s="2" t="s">
        <v>44</v>
      </c>
      <c r="AC139" s="2" t="s">
        <v>1807</v>
      </c>
      <c r="AD139" s="2" t="s">
        <v>933</v>
      </c>
      <c r="AE139" s="2">
        <v>2</v>
      </c>
      <c r="AF139" s="2">
        <v>2244750</v>
      </c>
      <c r="AG139" s="2">
        <v>44895</v>
      </c>
      <c r="AH139" s="2"/>
      <c r="AI139" s="2"/>
      <c r="AJ139" s="2" t="s">
        <v>37</v>
      </c>
      <c r="AK139" s="2" t="s">
        <v>5174</v>
      </c>
      <c r="AL139" s="3">
        <v>44895</v>
      </c>
      <c r="AM139" s="8">
        <v>45713</v>
      </c>
      <c r="AN139" s="2"/>
      <c r="AO139" s="7">
        <f t="shared" si="2"/>
        <v>0</v>
      </c>
    </row>
    <row r="140" spans="1:41" hidden="1" x14ac:dyDescent="0.25">
      <c r="A140" s="5">
        <v>164</v>
      </c>
      <c r="B140" s="5" t="s">
        <v>61</v>
      </c>
      <c r="C140" s="5" t="s">
        <v>1808</v>
      </c>
      <c r="D140" s="5" t="s">
        <v>36</v>
      </c>
      <c r="E140" s="5" t="s">
        <v>37</v>
      </c>
      <c r="F140" s="5" t="s">
        <v>1809</v>
      </c>
      <c r="G140" s="5" t="s">
        <v>47</v>
      </c>
      <c r="H140" s="5" t="s">
        <v>1810</v>
      </c>
      <c r="I140" s="5" t="s">
        <v>79</v>
      </c>
      <c r="J140" s="5" t="s">
        <v>1811</v>
      </c>
      <c r="K140" s="5" t="s">
        <v>79</v>
      </c>
      <c r="L140" s="5" t="s">
        <v>1812</v>
      </c>
      <c r="M140" s="5">
        <v>1740900</v>
      </c>
      <c r="N140" s="5">
        <v>2487000</v>
      </c>
      <c r="O140" s="5" t="s">
        <v>1813</v>
      </c>
      <c r="P140" s="6">
        <v>45724</v>
      </c>
      <c r="Q140" s="5" t="s">
        <v>1814</v>
      </c>
      <c r="R140" s="5" t="s">
        <v>1815</v>
      </c>
      <c r="S140" s="5" t="s">
        <v>55</v>
      </c>
      <c r="T140" s="5" t="s">
        <v>55</v>
      </c>
      <c r="U140" s="5" t="s">
        <v>1816</v>
      </c>
      <c r="V140" s="5" t="s">
        <v>248</v>
      </c>
      <c r="W140" s="5" t="s">
        <v>1380</v>
      </c>
      <c r="X140" s="5" t="s">
        <v>1381</v>
      </c>
      <c r="Y140" s="5" t="s">
        <v>1592</v>
      </c>
      <c r="Z140" s="5" t="s">
        <v>1817</v>
      </c>
      <c r="AA140" s="5">
        <v>5</v>
      </c>
      <c r="AB140" s="5" t="s">
        <v>279</v>
      </c>
      <c r="AC140" s="5" t="s">
        <v>1818</v>
      </c>
      <c r="AD140" s="5" t="s">
        <v>1819</v>
      </c>
      <c r="AE140" s="5" t="s">
        <v>253</v>
      </c>
      <c r="AF140" s="5">
        <v>2113950</v>
      </c>
      <c r="AG140" s="5">
        <v>36994</v>
      </c>
      <c r="AH140" s="5"/>
      <c r="AI140" s="5"/>
      <c r="AJ140" s="5" t="s">
        <v>37</v>
      </c>
      <c r="AK140" s="2" t="s">
        <v>5175</v>
      </c>
      <c r="AL140" s="3">
        <v>36994</v>
      </c>
      <c r="AM140" s="8">
        <v>45734</v>
      </c>
      <c r="AN140" s="2"/>
      <c r="AO140" s="7">
        <f t="shared" si="2"/>
        <v>0</v>
      </c>
    </row>
    <row r="141" spans="1:41" hidden="1" x14ac:dyDescent="0.25">
      <c r="A141" s="2">
        <v>165</v>
      </c>
      <c r="B141" s="2" t="s">
        <v>61</v>
      </c>
      <c r="C141" s="2" t="s">
        <v>1820</v>
      </c>
      <c r="D141" s="2" t="s">
        <v>36</v>
      </c>
      <c r="E141" s="2" t="s">
        <v>37</v>
      </c>
      <c r="F141" s="2" t="s">
        <v>1821</v>
      </c>
      <c r="G141" s="2" t="s">
        <v>111</v>
      </c>
      <c r="H141" s="2" t="s">
        <v>1822</v>
      </c>
      <c r="I141" s="2" t="s">
        <v>55</v>
      </c>
      <c r="J141" s="2" t="s">
        <v>1823</v>
      </c>
      <c r="K141" s="2" t="s">
        <v>55</v>
      </c>
      <c r="L141" s="2" t="s">
        <v>1824</v>
      </c>
      <c r="M141" s="2">
        <v>464410</v>
      </c>
      <c r="N141" s="2">
        <v>2030000</v>
      </c>
      <c r="O141" s="2" t="s">
        <v>1825</v>
      </c>
      <c r="P141" s="8">
        <v>45714</v>
      </c>
      <c r="Q141" s="2" t="s">
        <v>1826</v>
      </c>
      <c r="R141" s="2" t="s">
        <v>1827</v>
      </c>
      <c r="S141" s="2" t="s">
        <v>54</v>
      </c>
      <c r="T141" s="2" t="s">
        <v>55</v>
      </c>
      <c r="U141" s="2" t="s">
        <v>1828</v>
      </c>
      <c r="V141" s="2" t="s">
        <v>91</v>
      </c>
      <c r="W141" s="8">
        <v>44254</v>
      </c>
      <c r="X141" s="2" t="s">
        <v>933</v>
      </c>
      <c r="Y141" s="2" t="s">
        <v>959</v>
      </c>
      <c r="Z141" s="2" t="s">
        <v>1829</v>
      </c>
      <c r="AA141" s="2">
        <v>5</v>
      </c>
      <c r="AB141" s="2" t="s">
        <v>44</v>
      </c>
      <c r="AC141" s="2" t="s">
        <v>1830</v>
      </c>
      <c r="AD141" s="2" t="s">
        <v>933</v>
      </c>
      <c r="AE141" s="2">
        <v>2</v>
      </c>
      <c r="AF141" s="2">
        <v>1522500</v>
      </c>
      <c r="AG141" s="2">
        <v>30450</v>
      </c>
      <c r="AH141" s="2"/>
      <c r="AI141" s="2"/>
      <c r="AJ141" s="2" t="s">
        <v>37</v>
      </c>
      <c r="AK141" s="2" t="s">
        <v>5176</v>
      </c>
      <c r="AL141" s="3">
        <v>30450</v>
      </c>
      <c r="AM141" s="8">
        <v>45713</v>
      </c>
      <c r="AN141" s="2"/>
      <c r="AO141" s="7">
        <f t="shared" si="2"/>
        <v>0</v>
      </c>
    </row>
    <row r="142" spans="1:41" hidden="1" x14ac:dyDescent="0.25">
      <c r="A142" s="5">
        <v>166</v>
      </c>
      <c r="B142" s="5" t="s">
        <v>61</v>
      </c>
      <c r="C142" s="5" t="s">
        <v>1831</v>
      </c>
      <c r="D142" s="5" t="s">
        <v>36</v>
      </c>
      <c r="E142" s="5" t="s">
        <v>37</v>
      </c>
      <c r="F142" s="5" t="s">
        <v>122</v>
      </c>
      <c r="G142" s="5" t="s">
        <v>111</v>
      </c>
      <c r="H142" s="5" t="s">
        <v>1832</v>
      </c>
      <c r="I142" s="5" t="s">
        <v>55</v>
      </c>
      <c r="J142" s="5" t="s">
        <v>1833</v>
      </c>
      <c r="K142" s="5" t="s">
        <v>55</v>
      </c>
      <c r="L142" s="5" t="s">
        <v>1834</v>
      </c>
      <c r="M142" s="5">
        <v>559364</v>
      </c>
      <c r="N142" s="5">
        <v>1400000</v>
      </c>
      <c r="O142" s="5" t="s">
        <v>1835</v>
      </c>
      <c r="P142" s="6">
        <v>45714</v>
      </c>
      <c r="Q142" s="5" t="s">
        <v>1836</v>
      </c>
      <c r="R142" s="5" t="s">
        <v>1837</v>
      </c>
      <c r="S142" s="5" t="s">
        <v>48</v>
      </c>
      <c r="T142" s="5" t="s">
        <v>1838</v>
      </c>
      <c r="U142" s="5" t="s">
        <v>773</v>
      </c>
      <c r="V142" s="5" t="s">
        <v>158</v>
      </c>
      <c r="W142" s="6">
        <v>44254</v>
      </c>
      <c r="X142" s="5" t="s">
        <v>933</v>
      </c>
      <c r="Y142" s="5" t="s">
        <v>1839</v>
      </c>
      <c r="Z142" s="5" t="s">
        <v>1840</v>
      </c>
      <c r="AA142" s="5">
        <v>6</v>
      </c>
      <c r="AB142" s="5" t="s">
        <v>1841</v>
      </c>
      <c r="AC142" s="5" t="s">
        <v>1842</v>
      </c>
      <c r="AD142" s="5" t="s">
        <v>933</v>
      </c>
      <c r="AE142" s="5">
        <v>2</v>
      </c>
      <c r="AF142" s="5">
        <v>1050000</v>
      </c>
      <c r="AG142" s="5">
        <v>21000</v>
      </c>
      <c r="AH142" s="5"/>
      <c r="AI142" s="5"/>
      <c r="AJ142" s="5" t="s">
        <v>37</v>
      </c>
      <c r="AK142" s="2" t="s">
        <v>5177</v>
      </c>
      <c r="AL142" s="3">
        <v>21000</v>
      </c>
      <c r="AM142" s="8">
        <v>45713</v>
      </c>
      <c r="AN142" s="2"/>
      <c r="AO142" s="7">
        <f t="shared" si="2"/>
        <v>0</v>
      </c>
    </row>
    <row r="143" spans="1:41" hidden="1" x14ac:dyDescent="0.25">
      <c r="A143" s="2">
        <v>167</v>
      </c>
      <c r="B143" s="2" t="s">
        <v>61</v>
      </c>
      <c r="C143" s="2" t="s">
        <v>1843</v>
      </c>
      <c r="D143" s="2" t="s">
        <v>36</v>
      </c>
      <c r="E143" s="2" t="s">
        <v>37</v>
      </c>
      <c r="F143" s="2" t="s">
        <v>1844</v>
      </c>
      <c r="G143" s="2" t="s">
        <v>111</v>
      </c>
      <c r="H143" s="2" t="s">
        <v>1845</v>
      </c>
      <c r="I143" s="2" t="s">
        <v>1846</v>
      </c>
      <c r="J143" s="2" t="s">
        <v>1846</v>
      </c>
      <c r="K143" s="2" t="s">
        <v>1846</v>
      </c>
      <c r="L143" s="2" t="s">
        <v>1847</v>
      </c>
      <c r="M143" s="2">
        <v>360116</v>
      </c>
      <c r="N143" s="2">
        <v>1580000</v>
      </c>
      <c r="O143" s="2" t="s">
        <v>1848</v>
      </c>
      <c r="P143" s="8">
        <v>45714</v>
      </c>
      <c r="Q143" s="2" t="s">
        <v>1849</v>
      </c>
      <c r="R143" s="2" t="s">
        <v>1850</v>
      </c>
      <c r="S143" s="2" t="s">
        <v>48</v>
      </c>
      <c r="T143" s="2" t="s">
        <v>1851</v>
      </c>
      <c r="U143" s="2" t="s">
        <v>1852</v>
      </c>
      <c r="V143" s="2" t="s">
        <v>158</v>
      </c>
      <c r="W143" s="8">
        <v>44254</v>
      </c>
      <c r="X143" s="2" t="s">
        <v>933</v>
      </c>
      <c r="Y143" s="2" t="s">
        <v>959</v>
      </c>
      <c r="Z143" s="2" t="s">
        <v>1853</v>
      </c>
      <c r="AA143" s="2">
        <v>5</v>
      </c>
      <c r="AB143" s="2" t="s">
        <v>1841</v>
      </c>
      <c r="AC143" s="2" t="s">
        <v>1854</v>
      </c>
      <c r="AD143" s="2" t="s">
        <v>933</v>
      </c>
      <c r="AE143" s="2">
        <v>2</v>
      </c>
      <c r="AF143" s="2">
        <v>1185000</v>
      </c>
      <c r="AG143" s="2">
        <v>23700</v>
      </c>
      <c r="AH143" s="2"/>
      <c r="AI143" s="2"/>
      <c r="AJ143" s="2" t="s">
        <v>37</v>
      </c>
      <c r="AK143" s="2" t="s">
        <v>5178</v>
      </c>
      <c r="AL143" s="3">
        <v>23700</v>
      </c>
      <c r="AM143" s="8">
        <v>45713</v>
      </c>
      <c r="AN143" s="2"/>
      <c r="AO143" s="7">
        <f t="shared" si="2"/>
        <v>0</v>
      </c>
    </row>
    <row r="144" spans="1:41" hidden="1" x14ac:dyDescent="0.25">
      <c r="A144" s="5">
        <v>168</v>
      </c>
      <c r="B144" s="5" t="s">
        <v>61</v>
      </c>
      <c r="C144" s="5" t="s">
        <v>1855</v>
      </c>
      <c r="D144" s="5" t="s">
        <v>36</v>
      </c>
      <c r="E144" s="5" t="s">
        <v>37</v>
      </c>
      <c r="F144" s="5" t="s">
        <v>1856</v>
      </c>
      <c r="G144" s="5" t="s">
        <v>111</v>
      </c>
      <c r="H144" s="5" t="s">
        <v>1857</v>
      </c>
      <c r="I144" s="5" t="s">
        <v>1858</v>
      </c>
      <c r="J144" s="5" t="s">
        <v>1858</v>
      </c>
      <c r="K144" s="5" t="s">
        <v>1858</v>
      </c>
      <c r="L144" s="5" t="s">
        <v>1859</v>
      </c>
      <c r="M144" s="5">
        <v>320218</v>
      </c>
      <c r="N144" s="5">
        <v>1633000</v>
      </c>
      <c r="O144" s="5" t="s">
        <v>1860</v>
      </c>
      <c r="P144" s="6">
        <v>45714</v>
      </c>
      <c r="Q144" s="5" t="s">
        <v>1861</v>
      </c>
      <c r="R144" s="5" t="s">
        <v>1862</v>
      </c>
      <c r="S144" s="5" t="s">
        <v>54</v>
      </c>
      <c r="T144" s="5" t="s">
        <v>55</v>
      </c>
      <c r="U144" s="5" t="s">
        <v>1756</v>
      </c>
      <c r="V144" s="5" t="s">
        <v>91</v>
      </c>
      <c r="W144" s="6">
        <v>44254</v>
      </c>
      <c r="X144" s="5" t="s">
        <v>933</v>
      </c>
      <c r="Y144" s="5" t="s">
        <v>959</v>
      </c>
      <c r="Z144" s="5" t="s">
        <v>1863</v>
      </c>
      <c r="AA144" s="5">
        <v>5</v>
      </c>
      <c r="AB144" s="5" t="s">
        <v>44</v>
      </c>
      <c r="AC144" s="5" t="s">
        <v>1864</v>
      </c>
      <c r="AD144" s="5" t="s">
        <v>933</v>
      </c>
      <c r="AE144" s="5">
        <v>2</v>
      </c>
      <c r="AF144" s="5">
        <v>1224750</v>
      </c>
      <c r="AG144" s="5">
        <v>24495</v>
      </c>
      <c r="AH144" s="5"/>
      <c r="AI144" s="5"/>
      <c r="AJ144" s="5" t="s">
        <v>37</v>
      </c>
      <c r="AK144" s="2" t="s">
        <v>5179</v>
      </c>
      <c r="AL144" s="3">
        <v>24495</v>
      </c>
      <c r="AM144" s="8">
        <v>45713</v>
      </c>
      <c r="AN144" s="2"/>
      <c r="AO144" s="7">
        <f t="shared" si="2"/>
        <v>0</v>
      </c>
    </row>
    <row r="145" spans="1:41" hidden="1" x14ac:dyDescent="0.25">
      <c r="A145" s="2">
        <v>169</v>
      </c>
      <c r="B145" s="2" t="s">
        <v>61</v>
      </c>
      <c r="C145" s="2" t="s">
        <v>1865</v>
      </c>
      <c r="D145" s="2" t="s">
        <v>36</v>
      </c>
      <c r="E145" s="2" t="s">
        <v>37</v>
      </c>
      <c r="F145" s="2" t="s">
        <v>1866</v>
      </c>
      <c r="G145" s="2" t="s">
        <v>47</v>
      </c>
      <c r="H145" s="2" t="s">
        <v>1867</v>
      </c>
      <c r="I145" s="2" t="s">
        <v>1868</v>
      </c>
      <c r="J145" s="2" t="s">
        <v>1869</v>
      </c>
      <c r="K145" s="2" t="s">
        <v>67</v>
      </c>
      <c r="L145" s="2" t="s">
        <v>1870</v>
      </c>
      <c r="M145" s="2">
        <v>883500</v>
      </c>
      <c r="N145" s="2">
        <v>1178000</v>
      </c>
      <c r="O145" s="2" t="s">
        <v>1871</v>
      </c>
      <c r="P145" s="8">
        <v>45725</v>
      </c>
      <c r="Q145" s="2" t="s">
        <v>1872</v>
      </c>
      <c r="R145" s="2" t="s">
        <v>1873</v>
      </c>
      <c r="S145" s="2" t="s">
        <v>55</v>
      </c>
      <c r="T145" s="2" t="s">
        <v>55</v>
      </c>
      <c r="U145" s="2" t="s">
        <v>911</v>
      </c>
      <c r="V145" s="2" t="s">
        <v>91</v>
      </c>
      <c r="W145" s="2" t="s">
        <v>41</v>
      </c>
      <c r="X145" s="2" t="s">
        <v>42</v>
      </c>
      <c r="Y145" s="2" t="s">
        <v>43</v>
      </c>
      <c r="Z145" s="2" t="s">
        <v>1874</v>
      </c>
      <c r="AA145" s="2">
        <v>5</v>
      </c>
      <c r="AB145" s="2" t="s">
        <v>44</v>
      </c>
      <c r="AC145" s="2" t="s">
        <v>1875</v>
      </c>
      <c r="AD145" s="2" t="s">
        <v>45</v>
      </c>
      <c r="AE145" s="2" t="s">
        <v>78</v>
      </c>
      <c r="AF145" s="2">
        <v>942400</v>
      </c>
      <c r="AG145" s="2">
        <v>18848</v>
      </c>
      <c r="AH145" s="2"/>
      <c r="AI145" s="2"/>
      <c r="AJ145" s="2" t="s">
        <v>37</v>
      </c>
      <c r="AK145" s="2" t="s">
        <v>5180</v>
      </c>
      <c r="AL145" s="3">
        <v>18848</v>
      </c>
      <c r="AM145" s="8">
        <v>45734</v>
      </c>
      <c r="AN145" s="2"/>
      <c r="AO145" s="7">
        <f t="shared" si="2"/>
        <v>0</v>
      </c>
    </row>
    <row r="146" spans="1:41" hidden="1" x14ac:dyDescent="0.25">
      <c r="A146" s="5">
        <v>170</v>
      </c>
      <c r="B146" s="5" t="s">
        <v>61</v>
      </c>
      <c r="C146" s="5" t="s">
        <v>1876</v>
      </c>
      <c r="D146" s="5" t="s">
        <v>36</v>
      </c>
      <c r="E146" s="5" t="s">
        <v>37</v>
      </c>
      <c r="F146" s="5" t="s">
        <v>1689</v>
      </c>
      <c r="G146" s="5" t="s">
        <v>1877</v>
      </c>
      <c r="H146" s="5" t="s">
        <v>1878</v>
      </c>
      <c r="I146" s="5" t="s">
        <v>1879</v>
      </c>
      <c r="J146" s="5" t="s">
        <v>1879</v>
      </c>
      <c r="K146" s="5" t="s">
        <v>1879</v>
      </c>
      <c r="L146" s="5" t="s">
        <v>1880</v>
      </c>
      <c r="M146" s="5">
        <v>984000</v>
      </c>
      <c r="N146" s="5">
        <v>1640000</v>
      </c>
      <c r="O146" s="5" t="s">
        <v>1881</v>
      </c>
      <c r="P146" s="6">
        <v>45725</v>
      </c>
      <c r="Q146" s="5" t="s">
        <v>1882</v>
      </c>
      <c r="R146" s="5" t="s">
        <v>1883</v>
      </c>
      <c r="S146" s="5" t="s">
        <v>55</v>
      </c>
      <c r="T146" s="5" t="s">
        <v>55</v>
      </c>
      <c r="U146" s="5" t="s">
        <v>1884</v>
      </c>
      <c r="V146" s="5" t="s">
        <v>57</v>
      </c>
      <c r="W146" s="5" t="s">
        <v>1885</v>
      </c>
      <c r="X146" s="5" t="s">
        <v>42</v>
      </c>
      <c r="Y146" s="5" t="s">
        <v>43</v>
      </c>
      <c r="Z146" s="5" t="s">
        <v>1886</v>
      </c>
      <c r="AA146" s="5">
        <v>5</v>
      </c>
      <c r="AB146" s="5" t="s">
        <v>44</v>
      </c>
      <c r="AC146" s="5" t="s">
        <v>1887</v>
      </c>
      <c r="AD146" s="5" t="s">
        <v>45</v>
      </c>
      <c r="AE146" s="5" t="s">
        <v>78</v>
      </c>
      <c r="AF146" s="5">
        <v>1312000</v>
      </c>
      <c r="AG146" s="5">
        <v>26240</v>
      </c>
      <c r="AH146" s="5"/>
      <c r="AI146" s="5"/>
      <c r="AJ146" s="5" t="s">
        <v>37</v>
      </c>
      <c r="AK146" s="2" t="s">
        <v>5181</v>
      </c>
      <c r="AL146" s="3">
        <v>26240</v>
      </c>
      <c r="AM146" s="8">
        <v>45734</v>
      </c>
      <c r="AN146" s="2"/>
      <c r="AO146" s="7">
        <f t="shared" si="2"/>
        <v>0</v>
      </c>
    </row>
    <row r="147" spans="1:41" hidden="1" x14ac:dyDescent="0.25">
      <c r="A147" s="2">
        <v>171</v>
      </c>
      <c r="B147" s="2" t="s">
        <v>61</v>
      </c>
      <c r="C147" s="2" t="s">
        <v>1888</v>
      </c>
      <c r="D147" s="2" t="s">
        <v>36</v>
      </c>
      <c r="E147" s="2" t="s">
        <v>37</v>
      </c>
      <c r="F147" s="2" t="s">
        <v>1889</v>
      </c>
      <c r="G147" s="2" t="s">
        <v>111</v>
      </c>
      <c r="H147" s="2" t="s">
        <v>1890</v>
      </c>
      <c r="I147" s="2" t="s">
        <v>1891</v>
      </c>
      <c r="J147" s="2" t="s">
        <v>1891</v>
      </c>
      <c r="K147" s="2" t="s">
        <v>1891</v>
      </c>
      <c r="L147" s="2" t="s">
        <v>1892</v>
      </c>
      <c r="M147" s="2">
        <v>1001250</v>
      </c>
      <c r="N147" s="2">
        <v>1335000</v>
      </c>
      <c r="O147" s="2" t="s">
        <v>1893</v>
      </c>
      <c r="P147" s="8">
        <v>45725</v>
      </c>
      <c r="Q147" s="2" t="s">
        <v>1894</v>
      </c>
      <c r="R147" s="2" t="s">
        <v>1895</v>
      </c>
      <c r="S147" s="2" t="s">
        <v>55</v>
      </c>
      <c r="T147" s="2" t="s">
        <v>55</v>
      </c>
      <c r="U147" s="2" t="s">
        <v>334</v>
      </c>
      <c r="V147" s="2" t="s">
        <v>57</v>
      </c>
      <c r="W147" s="2" t="s">
        <v>1896</v>
      </c>
      <c r="X147" s="2" t="s">
        <v>42</v>
      </c>
      <c r="Y147" s="2" t="s">
        <v>43</v>
      </c>
      <c r="Z147" s="2" t="s">
        <v>1897</v>
      </c>
      <c r="AA147" s="2">
        <v>5</v>
      </c>
      <c r="AB147" s="2" t="s">
        <v>44</v>
      </c>
      <c r="AC147" s="2" t="s">
        <v>1898</v>
      </c>
      <c r="AD147" s="2" t="s">
        <v>45</v>
      </c>
      <c r="AE147" s="2" t="s">
        <v>78</v>
      </c>
      <c r="AF147" s="2">
        <v>1068000</v>
      </c>
      <c r="AG147" s="2">
        <v>21360</v>
      </c>
      <c r="AH147" s="2"/>
      <c r="AI147" s="2"/>
      <c r="AJ147" s="2" t="s">
        <v>37</v>
      </c>
      <c r="AK147" s="2" t="s">
        <v>5182</v>
      </c>
      <c r="AL147" s="3">
        <v>21360</v>
      </c>
      <c r="AM147" s="8">
        <v>45734</v>
      </c>
      <c r="AN147" s="2"/>
      <c r="AO147" s="7">
        <f t="shared" si="2"/>
        <v>0</v>
      </c>
    </row>
    <row r="148" spans="1:41" x14ac:dyDescent="0.25">
      <c r="A148" s="5">
        <v>172</v>
      </c>
      <c r="B148" s="5" t="s">
        <v>203</v>
      </c>
      <c r="C148" s="5" t="s">
        <v>1899</v>
      </c>
      <c r="D148" s="5" t="s">
        <v>36</v>
      </c>
      <c r="E148" s="5" t="s">
        <v>37</v>
      </c>
      <c r="F148" s="5" t="s">
        <v>1900</v>
      </c>
      <c r="G148" s="5" t="s">
        <v>53</v>
      </c>
      <c r="H148" s="5" t="s">
        <v>1901</v>
      </c>
      <c r="I148" s="5" t="s">
        <v>1902</v>
      </c>
      <c r="J148" s="5" t="s">
        <v>1903</v>
      </c>
      <c r="K148" s="5" t="s">
        <v>1902</v>
      </c>
      <c r="L148" s="5" t="s">
        <v>1904</v>
      </c>
      <c r="M148" s="5">
        <v>1062469</v>
      </c>
      <c r="N148" s="5">
        <v>2700000</v>
      </c>
      <c r="O148" s="5" t="s">
        <v>1905</v>
      </c>
      <c r="P148" s="6">
        <v>45713</v>
      </c>
      <c r="Q148" s="5" t="s">
        <v>1906</v>
      </c>
      <c r="R148" s="5" t="s">
        <v>1907</v>
      </c>
      <c r="S148" s="5" t="s">
        <v>48</v>
      </c>
      <c r="T148" s="5" t="s">
        <v>1908</v>
      </c>
      <c r="U148" s="5" t="s">
        <v>1909</v>
      </c>
      <c r="V148" s="5" t="s">
        <v>60</v>
      </c>
      <c r="W148" s="6">
        <v>44620</v>
      </c>
      <c r="X148" s="5" t="s">
        <v>100</v>
      </c>
      <c r="Y148" s="5" t="s">
        <v>947</v>
      </c>
      <c r="Z148" s="5" t="s">
        <v>1910</v>
      </c>
      <c r="AA148" s="5">
        <v>5</v>
      </c>
      <c r="AB148" s="5" t="s">
        <v>76</v>
      </c>
      <c r="AC148" s="5" t="s">
        <v>1911</v>
      </c>
      <c r="AD148" s="5" t="s">
        <v>109</v>
      </c>
      <c r="AE148" s="5">
        <v>1.5</v>
      </c>
      <c r="AF148" s="5">
        <v>2160000</v>
      </c>
      <c r="AG148" s="5">
        <v>32400</v>
      </c>
      <c r="AH148" s="5"/>
      <c r="AI148" s="5"/>
      <c r="AJ148" s="5" t="s">
        <v>37</v>
      </c>
      <c r="AK148" s="2" t="s">
        <v>5183</v>
      </c>
      <c r="AL148" s="3">
        <v>30375</v>
      </c>
      <c r="AM148" s="8">
        <v>45713</v>
      </c>
      <c r="AN148" s="2" t="s">
        <v>5500</v>
      </c>
      <c r="AO148" s="7">
        <f t="shared" si="2"/>
        <v>2025</v>
      </c>
    </row>
    <row r="149" spans="1:41" hidden="1" x14ac:dyDescent="0.25">
      <c r="A149" s="2">
        <v>173</v>
      </c>
      <c r="B149" s="2" t="s">
        <v>61</v>
      </c>
      <c r="C149" s="2" t="s">
        <v>1912</v>
      </c>
      <c r="D149" s="2" t="s">
        <v>36</v>
      </c>
      <c r="E149" s="2" t="s">
        <v>37</v>
      </c>
      <c r="F149" s="2" t="s">
        <v>1913</v>
      </c>
      <c r="G149" s="2" t="s">
        <v>111</v>
      </c>
      <c r="H149" s="2" t="s">
        <v>1914</v>
      </c>
      <c r="I149" s="2" t="s">
        <v>1915</v>
      </c>
      <c r="J149" s="2" t="s">
        <v>1915</v>
      </c>
      <c r="K149" s="2" t="s">
        <v>1915</v>
      </c>
      <c r="L149" s="2" t="s">
        <v>1916</v>
      </c>
      <c r="M149" s="2">
        <v>1068000</v>
      </c>
      <c r="N149" s="2">
        <v>1335000</v>
      </c>
      <c r="O149" s="2" t="s">
        <v>1917</v>
      </c>
      <c r="P149" s="8">
        <v>45725</v>
      </c>
      <c r="Q149" s="2" t="s">
        <v>1918</v>
      </c>
      <c r="R149" s="2" t="s">
        <v>1919</v>
      </c>
      <c r="S149" s="2" t="s">
        <v>55</v>
      </c>
      <c r="T149" s="2" t="s">
        <v>55</v>
      </c>
      <c r="U149" s="2" t="s">
        <v>334</v>
      </c>
      <c r="V149" s="2" t="s">
        <v>57</v>
      </c>
      <c r="W149" s="2" t="s">
        <v>136</v>
      </c>
      <c r="X149" s="2" t="s">
        <v>42</v>
      </c>
      <c r="Y149" s="2" t="s">
        <v>1541</v>
      </c>
      <c r="Z149" s="2" t="s">
        <v>1920</v>
      </c>
      <c r="AA149" s="2">
        <v>7</v>
      </c>
      <c r="AB149" s="2" t="s">
        <v>44</v>
      </c>
      <c r="AC149" s="2" t="s">
        <v>1921</v>
      </c>
      <c r="AD149" s="2" t="s">
        <v>45</v>
      </c>
      <c r="AE149" s="2" t="s">
        <v>78</v>
      </c>
      <c r="AF149" s="2">
        <v>1068000</v>
      </c>
      <c r="AG149" s="2">
        <v>21360</v>
      </c>
      <c r="AH149" s="2"/>
      <c r="AI149" s="2"/>
      <c r="AJ149" s="2" t="s">
        <v>37</v>
      </c>
      <c r="AK149" s="2" t="s">
        <v>5184</v>
      </c>
      <c r="AL149" s="3">
        <v>21360</v>
      </c>
      <c r="AM149" s="8">
        <v>45734</v>
      </c>
      <c r="AN149" s="2"/>
      <c r="AO149" s="7">
        <f t="shared" si="2"/>
        <v>0</v>
      </c>
    </row>
    <row r="150" spans="1:41" hidden="1" x14ac:dyDescent="0.25">
      <c r="A150" s="5">
        <v>174</v>
      </c>
      <c r="B150" s="5" t="s">
        <v>61</v>
      </c>
      <c r="C150" s="5" t="s">
        <v>1922</v>
      </c>
      <c r="D150" s="5" t="s">
        <v>36</v>
      </c>
      <c r="E150" s="5" t="s">
        <v>37</v>
      </c>
      <c r="F150" s="5" t="s">
        <v>1923</v>
      </c>
      <c r="G150" s="5" t="s">
        <v>206</v>
      </c>
      <c r="H150" s="5" t="s">
        <v>1924</v>
      </c>
      <c r="I150" s="5" t="s">
        <v>1925</v>
      </c>
      <c r="J150" s="5" t="s">
        <v>1925</v>
      </c>
      <c r="K150" s="5" t="s">
        <v>1925</v>
      </c>
      <c r="L150" s="5" t="s">
        <v>1926</v>
      </c>
      <c r="M150" s="5">
        <v>1160000</v>
      </c>
      <c r="N150" s="5">
        <v>2000000</v>
      </c>
      <c r="O150" s="5" t="s">
        <v>1927</v>
      </c>
      <c r="P150" s="6">
        <v>45725</v>
      </c>
      <c r="Q150" s="5" t="s">
        <v>1928</v>
      </c>
      <c r="R150" s="5" t="s">
        <v>1929</v>
      </c>
      <c r="S150" s="5" t="s">
        <v>1930</v>
      </c>
      <c r="T150" s="5" t="s">
        <v>1930</v>
      </c>
      <c r="U150" s="5" t="s">
        <v>1488</v>
      </c>
      <c r="V150" s="5" t="s">
        <v>114</v>
      </c>
      <c r="W150" s="5" t="s">
        <v>45</v>
      </c>
      <c r="X150" s="5" t="s">
        <v>45</v>
      </c>
      <c r="Y150" s="5" t="s">
        <v>74</v>
      </c>
      <c r="Z150" s="5" t="s">
        <v>1931</v>
      </c>
      <c r="AA150" s="5">
        <v>5</v>
      </c>
      <c r="AB150" s="5" t="s">
        <v>76</v>
      </c>
      <c r="AC150" s="5" t="s">
        <v>1594</v>
      </c>
      <c r="AD150" s="5" t="s">
        <v>1128</v>
      </c>
      <c r="AE150" s="5" t="s">
        <v>46</v>
      </c>
      <c r="AF150" s="5">
        <v>1600000</v>
      </c>
      <c r="AG150" s="5">
        <v>24000</v>
      </c>
      <c r="AH150" s="5"/>
      <c r="AI150" s="5"/>
      <c r="AJ150" s="5" t="s">
        <v>1932</v>
      </c>
      <c r="AK150" s="9" t="s">
        <v>5618</v>
      </c>
      <c r="AL150" s="3">
        <v>24000</v>
      </c>
      <c r="AM150" s="8">
        <v>45743</v>
      </c>
      <c r="AN150" s="2"/>
      <c r="AO150" s="7">
        <f t="shared" si="2"/>
        <v>0</v>
      </c>
    </row>
    <row r="151" spans="1:41" hidden="1" x14ac:dyDescent="0.25">
      <c r="A151" s="2">
        <v>175</v>
      </c>
      <c r="B151" s="2" t="s">
        <v>61</v>
      </c>
      <c r="C151" s="2" t="s">
        <v>1933</v>
      </c>
      <c r="D151" s="2" t="s">
        <v>36</v>
      </c>
      <c r="E151" s="2" t="s">
        <v>37</v>
      </c>
      <c r="F151" s="2" t="s">
        <v>1934</v>
      </c>
      <c r="G151" s="2" t="s">
        <v>111</v>
      </c>
      <c r="H151" s="2" t="s">
        <v>1935</v>
      </c>
      <c r="I151" s="2" t="s">
        <v>1936</v>
      </c>
      <c r="J151" s="2" t="s">
        <v>1937</v>
      </c>
      <c r="K151" s="2" t="s">
        <v>1938</v>
      </c>
      <c r="L151" s="2" t="s">
        <v>1939</v>
      </c>
      <c r="M151" s="2">
        <v>1144000</v>
      </c>
      <c r="N151" s="2">
        <v>1760000</v>
      </c>
      <c r="O151" s="2" t="s">
        <v>1940</v>
      </c>
      <c r="P151" s="8">
        <v>45725</v>
      </c>
      <c r="Q151" s="2" t="s">
        <v>1941</v>
      </c>
      <c r="R151" s="2" t="s">
        <v>1942</v>
      </c>
      <c r="S151" s="2" t="s">
        <v>55</v>
      </c>
      <c r="T151" s="2" t="s">
        <v>55</v>
      </c>
      <c r="U151" s="2" t="s">
        <v>1354</v>
      </c>
      <c r="V151" s="2" t="s">
        <v>91</v>
      </c>
      <c r="W151" s="2" t="s">
        <v>136</v>
      </c>
      <c r="X151" s="2" t="s">
        <v>42</v>
      </c>
      <c r="Y151" s="2" t="s">
        <v>1541</v>
      </c>
      <c r="Z151" s="2" t="s">
        <v>1943</v>
      </c>
      <c r="AA151" s="2">
        <v>7</v>
      </c>
      <c r="AB151" s="2" t="s">
        <v>44</v>
      </c>
      <c r="AC151" s="2" t="s">
        <v>1944</v>
      </c>
      <c r="AD151" s="2" t="s">
        <v>45</v>
      </c>
      <c r="AE151" s="2" t="s">
        <v>78</v>
      </c>
      <c r="AF151" s="2">
        <v>1408000</v>
      </c>
      <c r="AG151" s="2">
        <v>28160</v>
      </c>
      <c r="AH151" s="2"/>
      <c r="AI151" s="2"/>
      <c r="AJ151" s="2" t="s">
        <v>37</v>
      </c>
      <c r="AK151" s="2" t="s">
        <v>5185</v>
      </c>
      <c r="AL151" s="3">
        <v>28160</v>
      </c>
      <c r="AM151" s="8">
        <v>45734</v>
      </c>
      <c r="AN151" s="2"/>
      <c r="AO151" s="7">
        <f t="shared" si="2"/>
        <v>0</v>
      </c>
    </row>
    <row r="152" spans="1:41" hidden="1" x14ac:dyDescent="0.25">
      <c r="A152" s="5">
        <v>176</v>
      </c>
      <c r="B152" s="5" t="s">
        <v>203</v>
      </c>
      <c r="C152" s="5" t="s">
        <v>1945</v>
      </c>
      <c r="D152" s="5" t="s">
        <v>36</v>
      </c>
      <c r="E152" s="5" t="s">
        <v>37</v>
      </c>
      <c r="F152" s="5" t="s">
        <v>1946</v>
      </c>
      <c r="G152" s="5" t="s">
        <v>111</v>
      </c>
      <c r="H152" s="5" t="s">
        <v>1947</v>
      </c>
      <c r="I152" s="5" t="s">
        <v>1948</v>
      </c>
      <c r="J152" s="5" t="s">
        <v>1949</v>
      </c>
      <c r="K152" s="5" t="s">
        <v>1950</v>
      </c>
      <c r="L152" s="5" t="s">
        <v>1951</v>
      </c>
      <c r="M152" s="5">
        <v>456208</v>
      </c>
      <c r="N152" s="5">
        <v>2072000</v>
      </c>
      <c r="O152" s="5" t="s">
        <v>1952</v>
      </c>
      <c r="P152" s="6">
        <v>45713</v>
      </c>
      <c r="Q152" s="5" t="s">
        <v>1953</v>
      </c>
      <c r="R152" s="5" t="s">
        <v>1954</v>
      </c>
      <c r="S152" s="5" t="s">
        <v>54</v>
      </c>
      <c r="T152" s="5" t="s">
        <v>55</v>
      </c>
      <c r="U152" s="5" t="s">
        <v>177</v>
      </c>
      <c r="V152" s="5" t="s">
        <v>91</v>
      </c>
      <c r="W152" s="6">
        <v>44135</v>
      </c>
      <c r="X152" s="5" t="s">
        <v>97</v>
      </c>
      <c r="Y152" s="5" t="s">
        <v>1032</v>
      </c>
      <c r="Z152" s="5" t="s">
        <v>1955</v>
      </c>
      <c r="AA152" s="5">
        <v>5</v>
      </c>
      <c r="AB152" s="5" t="s">
        <v>44</v>
      </c>
      <c r="AC152" s="5" t="s">
        <v>1956</v>
      </c>
      <c r="AD152" s="5" t="s">
        <v>1957</v>
      </c>
      <c r="AE152" s="5">
        <v>2</v>
      </c>
      <c r="AF152" s="5">
        <v>1554000</v>
      </c>
      <c r="AG152" s="5">
        <v>31080</v>
      </c>
      <c r="AH152" s="5"/>
      <c r="AI152" s="5"/>
      <c r="AJ152" s="5" t="s">
        <v>37</v>
      </c>
      <c r="AK152" s="2" t="s">
        <v>5186</v>
      </c>
      <c r="AL152" s="3">
        <v>31080</v>
      </c>
      <c r="AM152" s="8">
        <v>45713</v>
      </c>
      <c r="AN152" s="2"/>
      <c r="AO152" s="7">
        <f t="shared" si="2"/>
        <v>0</v>
      </c>
    </row>
    <row r="153" spans="1:41" hidden="1" x14ac:dyDescent="0.25">
      <c r="A153" s="2">
        <v>177</v>
      </c>
      <c r="B153" s="2" t="s">
        <v>61</v>
      </c>
      <c r="C153" s="2" t="s">
        <v>1958</v>
      </c>
      <c r="D153" s="2" t="s">
        <v>36</v>
      </c>
      <c r="E153" s="2" t="s">
        <v>37</v>
      </c>
      <c r="F153" s="2" t="s">
        <v>1959</v>
      </c>
      <c r="G153" s="2" t="s">
        <v>47</v>
      </c>
      <c r="H153" s="2" t="s">
        <v>1960</v>
      </c>
      <c r="I153" s="2" t="s">
        <v>400</v>
      </c>
      <c r="J153" s="2" t="s">
        <v>1961</v>
      </c>
      <c r="K153" s="2" t="s">
        <v>1962</v>
      </c>
      <c r="L153" s="2" t="s">
        <v>1963</v>
      </c>
      <c r="M153" s="2">
        <v>1555000</v>
      </c>
      <c r="N153" s="2">
        <v>3110000</v>
      </c>
      <c r="O153" s="2" t="s">
        <v>1964</v>
      </c>
      <c r="P153" s="8">
        <v>45725</v>
      </c>
      <c r="Q153" s="2" t="s">
        <v>1965</v>
      </c>
      <c r="R153" s="2" t="s">
        <v>1966</v>
      </c>
      <c r="S153" s="2" t="s">
        <v>1967</v>
      </c>
      <c r="T153" s="2" t="s">
        <v>1967</v>
      </c>
      <c r="U153" s="2" t="s">
        <v>1804</v>
      </c>
      <c r="V153" s="2" t="s">
        <v>60</v>
      </c>
      <c r="W153" s="2" t="s">
        <v>45</v>
      </c>
      <c r="X153" s="2" t="s">
        <v>45</v>
      </c>
      <c r="Y153" s="2" t="s">
        <v>74</v>
      </c>
      <c r="Z153" s="2" t="s">
        <v>1968</v>
      </c>
      <c r="AA153" s="2">
        <v>5</v>
      </c>
      <c r="AB153" s="2" t="s">
        <v>44</v>
      </c>
      <c r="AC153" s="2" t="s">
        <v>1969</v>
      </c>
      <c r="AD153" s="2" t="s">
        <v>45</v>
      </c>
      <c r="AE153" s="2" t="s">
        <v>46</v>
      </c>
      <c r="AF153" s="2">
        <v>2488000</v>
      </c>
      <c r="AG153" s="2">
        <v>37320</v>
      </c>
      <c r="AH153" s="2"/>
      <c r="AI153" s="2"/>
      <c r="AJ153" s="2" t="s">
        <v>37</v>
      </c>
      <c r="AK153" s="2" t="s">
        <v>5187</v>
      </c>
      <c r="AL153" s="3">
        <v>37320</v>
      </c>
      <c r="AM153" s="8">
        <v>45734</v>
      </c>
      <c r="AN153" s="2"/>
      <c r="AO153" s="7">
        <f t="shared" si="2"/>
        <v>0</v>
      </c>
    </row>
    <row r="154" spans="1:41" hidden="1" x14ac:dyDescent="0.25">
      <c r="A154" s="5">
        <v>178</v>
      </c>
      <c r="B154" s="5" t="s">
        <v>61</v>
      </c>
      <c r="C154" s="5" t="s">
        <v>1970</v>
      </c>
      <c r="D154" s="5" t="s">
        <v>36</v>
      </c>
      <c r="E154" s="5" t="s">
        <v>37</v>
      </c>
      <c r="F154" s="5" t="s">
        <v>1971</v>
      </c>
      <c r="G154" s="5" t="s">
        <v>47</v>
      </c>
      <c r="H154" s="5" t="s">
        <v>1972</v>
      </c>
      <c r="I154" s="5" t="s">
        <v>1973</v>
      </c>
      <c r="J154" s="5" t="s">
        <v>1973</v>
      </c>
      <c r="K154" s="5" t="s">
        <v>1973</v>
      </c>
      <c r="L154" s="5" t="s">
        <v>1974</v>
      </c>
      <c r="M154" s="5">
        <v>1560000</v>
      </c>
      <c r="N154" s="5">
        <v>1950000</v>
      </c>
      <c r="O154" s="5" t="s">
        <v>1975</v>
      </c>
      <c r="P154" s="6">
        <v>45725</v>
      </c>
      <c r="Q154" s="5" t="s">
        <v>1976</v>
      </c>
      <c r="R154" s="5" t="s">
        <v>1977</v>
      </c>
      <c r="S154" s="5" t="s">
        <v>1978</v>
      </c>
      <c r="T154" s="5" t="s">
        <v>1978</v>
      </c>
      <c r="U154" s="5" t="s">
        <v>798</v>
      </c>
      <c r="V154" s="5" t="s">
        <v>60</v>
      </c>
      <c r="W154" s="5" t="s">
        <v>1092</v>
      </c>
      <c r="X154" s="5" t="s">
        <v>42</v>
      </c>
      <c r="Y154" s="5" t="s">
        <v>43</v>
      </c>
      <c r="Z154" s="5" t="s">
        <v>1979</v>
      </c>
      <c r="AA154" s="5">
        <v>5</v>
      </c>
      <c r="AB154" s="5" t="s">
        <v>44</v>
      </c>
      <c r="AC154" s="5" t="s">
        <v>1980</v>
      </c>
      <c r="AD154" s="5" t="s">
        <v>1554</v>
      </c>
      <c r="AE154" s="5" t="s">
        <v>46</v>
      </c>
      <c r="AF154" s="5">
        <v>1560000</v>
      </c>
      <c r="AG154" s="5">
        <v>23400</v>
      </c>
      <c r="AH154" s="5"/>
      <c r="AI154" s="5"/>
      <c r="AJ154" s="5" t="s">
        <v>37</v>
      </c>
      <c r="AK154" s="2" t="s">
        <v>5188</v>
      </c>
      <c r="AL154" s="3">
        <v>23400</v>
      </c>
      <c r="AM154" s="8">
        <v>45734</v>
      </c>
      <c r="AN154" s="2"/>
      <c r="AO154" s="7">
        <f t="shared" si="2"/>
        <v>0</v>
      </c>
    </row>
    <row r="155" spans="1:41" hidden="1" x14ac:dyDescent="0.25">
      <c r="A155" s="2">
        <v>179</v>
      </c>
      <c r="B155" s="2" t="s">
        <v>61</v>
      </c>
      <c r="C155" s="2" t="s">
        <v>1981</v>
      </c>
      <c r="D155" s="2" t="s">
        <v>36</v>
      </c>
      <c r="E155" s="2" t="s">
        <v>37</v>
      </c>
      <c r="F155" s="2" t="s">
        <v>1982</v>
      </c>
      <c r="G155" s="2" t="s">
        <v>53</v>
      </c>
      <c r="H155" s="2" t="s">
        <v>1983</v>
      </c>
      <c r="I155" s="2" t="s">
        <v>1984</v>
      </c>
      <c r="J155" s="2" t="s">
        <v>1985</v>
      </c>
      <c r="K155" s="2" t="s">
        <v>1984</v>
      </c>
      <c r="L155" s="2" t="s">
        <v>1986</v>
      </c>
      <c r="M155" s="2">
        <v>633930</v>
      </c>
      <c r="N155" s="2">
        <v>2050000</v>
      </c>
      <c r="O155" s="2" t="s">
        <v>1987</v>
      </c>
      <c r="P155" s="8">
        <v>45713</v>
      </c>
      <c r="Q155" s="2" t="s">
        <v>1988</v>
      </c>
      <c r="R155" s="2" t="s">
        <v>1989</v>
      </c>
      <c r="S155" s="2" t="s">
        <v>48</v>
      </c>
      <c r="T155" s="2" t="s">
        <v>1990</v>
      </c>
      <c r="U155" s="2" t="s">
        <v>262</v>
      </c>
      <c r="V155" s="2" t="s">
        <v>158</v>
      </c>
      <c r="W155" s="8">
        <v>44620</v>
      </c>
      <c r="X155" s="2" t="s">
        <v>100</v>
      </c>
      <c r="Y155" s="2" t="s">
        <v>1032</v>
      </c>
      <c r="Z155" s="2" t="s">
        <v>1991</v>
      </c>
      <c r="AA155" s="2">
        <v>4</v>
      </c>
      <c r="AB155" s="2" t="s">
        <v>76</v>
      </c>
      <c r="AC155" s="2" t="s">
        <v>1992</v>
      </c>
      <c r="AD155" s="2" t="s">
        <v>101</v>
      </c>
      <c r="AE155" s="2">
        <v>1.5</v>
      </c>
      <c r="AF155" s="2">
        <v>1640000</v>
      </c>
      <c r="AG155" s="2">
        <v>24600</v>
      </c>
      <c r="AH155" s="2"/>
      <c r="AI155" s="2"/>
      <c r="AJ155" s="2" t="s">
        <v>37</v>
      </c>
      <c r="AK155" s="2" t="s">
        <v>5189</v>
      </c>
      <c r="AL155" s="3">
        <v>24600</v>
      </c>
      <c r="AM155" s="8">
        <v>45713</v>
      </c>
      <c r="AN155" s="2"/>
      <c r="AO155" s="7">
        <f t="shared" si="2"/>
        <v>0</v>
      </c>
    </row>
    <row r="156" spans="1:41" x14ac:dyDescent="0.25">
      <c r="A156" s="5">
        <v>180</v>
      </c>
      <c r="B156" s="5" t="s">
        <v>61</v>
      </c>
      <c r="C156" s="5" t="s">
        <v>1993</v>
      </c>
      <c r="D156" s="5" t="s">
        <v>36</v>
      </c>
      <c r="E156" s="5" t="s">
        <v>37</v>
      </c>
      <c r="F156" s="5" t="s">
        <v>1994</v>
      </c>
      <c r="G156" s="5" t="s">
        <v>47</v>
      </c>
      <c r="H156" s="5" t="s">
        <v>1995</v>
      </c>
      <c r="I156" s="5" t="s">
        <v>1996</v>
      </c>
      <c r="J156" s="5" t="s">
        <v>1996</v>
      </c>
      <c r="K156" s="5" t="s">
        <v>1996</v>
      </c>
      <c r="L156" s="5" t="s">
        <v>1997</v>
      </c>
      <c r="M156" s="5">
        <v>554841</v>
      </c>
      <c r="N156" s="5">
        <v>1390000</v>
      </c>
      <c r="O156" s="5" t="s">
        <v>1998</v>
      </c>
      <c r="P156" s="6">
        <v>45713</v>
      </c>
      <c r="Q156" s="5" t="s">
        <v>1999</v>
      </c>
      <c r="R156" s="5" t="s">
        <v>2000</v>
      </c>
      <c r="S156" s="5" t="s">
        <v>48</v>
      </c>
      <c r="T156" s="5" t="s">
        <v>2001</v>
      </c>
      <c r="U156" s="5" t="s">
        <v>123</v>
      </c>
      <c r="V156" s="5" t="s">
        <v>49</v>
      </c>
      <c r="W156" s="6">
        <v>44620</v>
      </c>
      <c r="X156" s="5" t="s">
        <v>100</v>
      </c>
      <c r="Y156" s="5" t="s">
        <v>947</v>
      </c>
      <c r="Z156" s="5" t="s">
        <v>2002</v>
      </c>
      <c r="AA156" s="5">
        <v>5</v>
      </c>
      <c r="AB156" s="5" t="s">
        <v>44</v>
      </c>
      <c r="AC156" s="5" t="s">
        <v>2003</v>
      </c>
      <c r="AD156" s="5" t="s">
        <v>101</v>
      </c>
      <c r="AE156" s="5">
        <v>1.5</v>
      </c>
      <c r="AF156" s="5">
        <v>1112000</v>
      </c>
      <c r="AG156" s="5">
        <v>16680</v>
      </c>
      <c r="AH156" s="5"/>
      <c r="AI156" s="5"/>
      <c r="AJ156" s="5" t="s">
        <v>37</v>
      </c>
      <c r="AK156" s="2" t="s">
        <v>5190</v>
      </c>
      <c r="AL156" s="3">
        <v>15638</v>
      </c>
      <c r="AM156" s="8">
        <v>45713</v>
      </c>
      <c r="AN156" s="2" t="s">
        <v>5501</v>
      </c>
      <c r="AO156" s="7">
        <f t="shared" si="2"/>
        <v>1042</v>
      </c>
    </row>
    <row r="157" spans="1:41" x14ac:dyDescent="0.25">
      <c r="A157" s="2">
        <v>181</v>
      </c>
      <c r="B157" s="2" t="s">
        <v>61</v>
      </c>
      <c r="C157" s="2" t="s">
        <v>2004</v>
      </c>
      <c r="D157" s="2" t="s">
        <v>36</v>
      </c>
      <c r="E157" s="2" t="s">
        <v>37</v>
      </c>
      <c r="F157" s="2" t="s">
        <v>2005</v>
      </c>
      <c r="G157" s="2" t="s">
        <v>47</v>
      </c>
      <c r="H157" s="2" t="s">
        <v>2006</v>
      </c>
      <c r="I157" s="2" t="s">
        <v>2007</v>
      </c>
      <c r="J157" s="2" t="s">
        <v>2008</v>
      </c>
      <c r="K157" s="2" t="s">
        <v>2009</v>
      </c>
      <c r="L157" s="2" t="s">
        <v>2010</v>
      </c>
      <c r="M157" s="2">
        <v>1353187</v>
      </c>
      <c r="N157" s="2">
        <v>3390000</v>
      </c>
      <c r="O157" s="2" t="s">
        <v>2011</v>
      </c>
      <c r="P157" s="8">
        <v>45713</v>
      </c>
      <c r="Q157" s="2" t="s">
        <v>2012</v>
      </c>
      <c r="R157" s="2" t="s">
        <v>2013</v>
      </c>
      <c r="S157" s="2" t="s">
        <v>48</v>
      </c>
      <c r="T157" s="2" t="s">
        <v>2014</v>
      </c>
      <c r="U157" s="2" t="s">
        <v>1297</v>
      </c>
      <c r="V157" s="2" t="s">
        <v>158</v>
      </c>
      <c r="W157" s="8">
        <v>44620</v>
      </c>
      <c r="X157" s="2" t="s">
        <v>100</v>
      </c>
      <c r="Y157" s="2" t="s">
        <v>947</v>
      </c>
      <c r="Z157" s="2" t="s">
        <v>2015</v>
      </c>
      <c r="AA157" s="2">
        <v>5</v>
      </c>
      <c r="AB157" s="2" t="s">
        <v>44</v>
      </c>
      <c r="AC157" s="2" t="s">
        <v>2016</v>
      </c>
      <c r="AD157" s="2" t="s">
        <v>101</v>
      </c>
      <c r="AE157" s="2">
        <v>1.5</v>
      </c>
      <c r="AF157" s="2">
        <v>2712000</v>
      </c>
      <c r="AG157" s="2">
        <v>40680</v>
      </c>
      <c r="AH157" s="2"/>
      <c r="AI157" s="2"/>
      <c r="AJ157" s="2" t="s">
        <v>37</v>
      </c>
      <c r="AK157" s="2" t="s">
        <v>5191</v>
      </c>
      <c r="AL157" s="3">
        <v>38138</v>
      </c>
      <c r="AM157" s="8">
        <v>45713</v>
      </c>
      <c r="AN157" s="2" t="s">
        <v>5502</v>
      </c>
      <c r="AO157" s="7">
        <f t="shared" si="2"/>
        <v>2542</v>
      </c>
    </row>
    <row r="158" spans="1:41" hidden="1" x14ac:dyDescent="0.25">
      <c r="A158" s="5">
        <v>182</v>
      </c>
      <c r="B158" s="5" t="s">
        <v>61</v>
      </c>
      <c r="C158" s="5" t="s">
        <v>2017</v>
      </c>
      <c r="D158" s="5" t="s">
        <v>36</v>
      </c>
      <c r="E158" s="5" t="s">
        <v>37</v>
      </c>
      <c r="F158" s="5" t="s">
        <v>2018</v>
      </c>
      <c r="G158" s="5" t="s">
        <v>111</v>
      </c>
      <c r="H158" s="5" t="s">
        <v>2019</v>
      </c>
      <c r="I158" s="5" t="s">
        <v>2020</v>
      </c>
      <c r="J158" s="5" t="s">
        <v>2020</v>
      </c>
      <c r="K158" s="5" t="s">
        <v>2020</v>
      </c>
      <c r="L158" s="5" t="s">
        <v>2021</v>
      </c>
      <c r="M158" s="5">
        <v>855552</v>
      </c>
      <c r="N158" s="5">
        <v>3380000</v>
      </c>
      <c r="O158" s="5" t="s">
        <v>2022</v>
      </c>
      <c r="P158" s="6">
        <v>45713</v>
      </c>
      <c r="Q158" s="5" t="s">
        <v>2023</v>
      </c>
      <c r="R158" s="5" t="s">
        <v>2024</v>
      </c>
      <c r="S158" s="5" t="s">
        <v>54</v>
      </c>
      <c r="T158" s="5" t="s">
        <v>55</v>
      </c>
      <c r="U158" s="5" t="s">
        <v>1638</v>
      </c>
      <c r="V158" s="5" t="s">
        <v>57</v>
      </c>
      <c r="W158" s="6">
        <v>44496</v>
      </c>
      <c r="X158" s="5" t="s">
        <v>100</v>
      </c>
      <c r="Y158" s="5" t="s">
        <v>1032</v>
      </c>
      <c r="Z158" s="5" t="s">
        <v>2025</v>
      </c>
      <c r="AA158" s="5">
        <v>4</v>
      </c>
      <c r="AB158" s="5" t="s">
        <v>44</v>
      </c>
      <c r="AC158" s="5" t="s">
        <v>2026</v>
      </c>
      <c r="AD158" s="5" t="s">
        <v>101</v>
      </c>
      <c r="AE158" s="5">
        <v>2</v>
      </c>
      <c r="AF158" s="5">
        <v>2704000</v>
      </c>
      <c r="AG158" s="5">
        <v>54080</v>
      </c>
      <c r="AH158" s="5"/>
      <c r="AI158" s="5"/>
      <c r="AJ158" s="5" t="s">
        <v>37</v>
      </c>
      <c r="AK158" s="2" t="s">
        <v>5192</v>
      </c>
      <c r="AL158" s="3">
        <v>54080</v>
      </c>
      <c r="AM158" s="8">
        <v>45713</v>
      </c>
      <c r="AN158" s="2"/>
      <c r="AO158" s="7">
        <f t="shared" si="2"/>
        <v>0</v>
      </c>
    </row>
    <row r="159" spans="1:41" hidden="1" x14ac:dyDescent="0.25">
      <c r="A159" s="2">
        <v>183</v>
      </c>
      <c r="B159" s="2" t="s">
        <v>61</v>
      </c>
      <c r="C159" s="2" t="s">
        <v>2027</v>
      </c>
      <c r="D159" s="2" t="s">
        <v>36</v>
      </c>
      <c r="E159" s="2" t="s">
        <v>37</v>
      </c>
      <c r="F159" s="2" t="s">
        <v>2028</v>
      </c>
      <c r="G159" s="2" t="s">
        <v>53</v>
      </c>
      <c r="H159" s="2" t="s">
        <v>2029</v>
      </c>
      <c r="I159" s="2" t="s">
        <v>2030</v>
      </c>
      <c r="J159" s="2" t="s">
        <v>2031</v>
      </c>
      <c r="K159" s="2" t="s">
        <v>2030</v>
      </c>
      <c r="L159" s="2" t="s">
        <v>2032</v>
      </c>
      <c r="M159" s="2">
        <v>816365</v>
      </c>
      <c r="N159" s="2">
        <v>3343000</v>
      </c>
      <c r="O159" s="2" t="s">
        <v>2033</v>
      </c>
      <c r="P159" s="8">
        <v>45713</v>
      </c>
      <c r="Q159" s="2" t="s">
        <v>2034</v>
      </c>
      <c r="R159" s="2" t="s">
        <v>2035</v>
      </c>
      <c r="S159" s="2" t="s">
        <v>54</v>
      </c>
      <c r="T159" s="2" t="s">
        <v>55</v>
      </c>
      <c r="U159" s="2" t="s">
        <v>2036</v>
      </c>
      <c r="V159" s="2" t="s">
        <v>91</v>
      </c>
      <c r="W159" s="8">
        <v>44254</v>
      </c>
      <c r="X159" s="2" t="s">
        <v>933</v>
      </c>
      <c r="Y159" s="2" t="s">
        <v>959</v>
      </c>
      <c r="Z159" s="2" t="s">
        <v>2037</v>
      </c>
      <c r="AA159" s="2">
        <v>5</v>
      </c>
      <c r="AB159" s="2" t="s">
        <v>44</v>
      </c>
      <c r="AC159" s="2" t="s">
        <v>2038</v>
      </c>
      <c r="AD159" s="2" t="s">
        <v>1957</v>
      </c>
      <c r="AE159" s="2">
        <v>2</v>
      </c>
      <c r="AF159" s="2">
        <v>2507250</v>
      </c>
      <c r="AG159" s="2">
        <v>50145</v>
      </c>
      <c r="AH159" s="2"/>
      <c r="AI159" s="2"/>
      <c r="AJ159" s="2" t="s">
        <v>37</v>
      </c>
      <c r="AK159" s="2" t="s">
        <v>5193</v>
      </c>
      <c r="AL159" s="3">
        <v>50145</v>
      </c>
      <c r="AM159" s="8">
        <v>45713</v>
      </c>
      <c r="AN159" s="2"/>
      <c r="AO159" s="7">
        <f t="shared" si="2"/>
        <v>0</v>
      </c>
    </row>
    <row r="160" spans="1:41" x14ac:dyDescent="0.25">
      <c r="A160" s="5">
        <v>184</v>
      </c>
      <c r="B160" s="5" t="s">
        <v>61</v>
      </c>
      <c r="C160" s="5" t="s">
        <v>2039</v>
      </c>
      <c r="D160" s="5" t="s">
        <v>36</v>
      </c>
      <c r="E160" s="5" t="s">
        <v>37</v>
      </c>
      <c r="F160" s="5" t="s">
        <v>2040</v>
      </c>
      <c r="G160" s="5" t="s">
        <v>53</v>
      </c>
      <c r="H160" s="5" t="s">
        <v>2041</v>
      </c>
      <c r="I160" s="5" t="s">
        <v>2042</v>
      </c>
      <c r="J160" s="5" t="s">
        <v>2043</v>
      </c>
      <c r="K160" s="5" t="s">
        <v>55</v>
      </c>
      <c r="L160" s="5" t="s">
        <v>2044</v>
      </c>
      <c r="M160" s="5">
        <v>1171369</v>
      </c>
      <c r="N160" s="5">
        <v>2950000</v>
      </c>
      <c r="O160" s="5" t="s">
        <v>2045</v>
      </c>
      <c r="P160" s="6">
        <v>45713</v>
      </c>
      <c r="Q160" s="5" t="s">
        <v>2046</v>
      </c>
      <c r="R160" s="5" t="s">
        <v>2047</v>
      </c>
      <c r="S160" s="5" t="s">
        <v>48</v>
      </c>
      <c r="T160" s="5" t="s">
        <v>2048</v>
      </c>
      <c r="U160" s="5" t="s">
        <v>2049</v>
      </c>
      <c r="V160" s="5" t="s">
        <v>158</v>
      </c>
      <c r="W160" s="6">
        <v>44622</v>
      </c>
      <c r="X160" s="5" t="s">
        <v>100</v>
      </c>
      <c r="Y160" s="5" t="s">
        <v>947</v>
      </c>
      <c r="Z160" s="5" t="s">
        <v>2050</v>
      </c>
      <c r="AA160" s="5">
        <v>5</v>
      </c>
      <c r="AB160" s="5" t="s">
        <v>76</v>
      </c>
      <c r="AC160" s="5" t="s">
        <v>2051</v>
      </c>
      <c r="AD160" s="5" t="s">
        <v>109</v>
      </c>
      <c r="AE160" s="5">
        <v>1.5</v>
      </c>
      <c r="AF160" s="5">
        <v>2360000</v>
      </c>
      <c r="AG160" s="5">
        <v>35400</v>
      </c>
      <c r="AH160" s="5"/>
      <c r="AI160" s="5"/>
      <c r="AJ160" s="5" t="s">
        <v>37</v>
      </c>
      <c r="AK160" s="2" t="s">
        <v>5194</v>
      </c>
      <c r="AL160" s="3">
        <v>33188</v>
      </c>
      <c r="AM160" s="8">
        <v>45713</v>
      </c>
      <c r="AN160" s="2" t="s">
        <v>5503</v>
      </c>
      <c r="AO160" s="7">
        <f t="shared" si="2"/>
        <v>2212</v>
      </c>
    </row>
    <row r="161" spans="1:41" x14ac:dyDescent="0.25">
      <c r="A161" s="2">
        <v>185</v>
      </c>
      <c r="B161" s="2" t="s">
        <v>61</v>
      </c>
      <c r="C161" s="2" t="s">
        <v>2052</v>
      </c>
      <c r="D161" s="2" t="s">
        <v>36</v>
      </c>
      <c r="E161" s="2" t="s">
        <v>37</v>
      </c>
      <c r="F161" s="2" t="s">
        <v>2053</v>
      </c>
      <c r="G161" s="2" t="s">
        <v>47</v>
      </c>
      <c r="H161" s="2" t="s">
        <v>2054</v>
      </c>
      <c r="I161" s="2" t="s">
        <v>55</v>
      </c>
      <c r="J161" s="2" t="s">
        <v>2055</v>
      </c>
      <c r="K161" s="2" t="s">
        <v>55</v>
      </c>
      <c r="L161" s="2" t="s">
        <v>2056</v>
      </c>
      <c r="M161" s="2">
        <v>998361</v>
      </c>
      <c r="N161" s="2">
        <v>2200000</v>
      </c>
      <c r="O161" s="2" t="s">
        <v>2057</v>
      </c>
      <c r="P161" s="8">
        <v>45713</v>
      </c>
      <c r="Q161" s="2" t="s">
        <v>2058</v>
      </c>
      <c r="R161" s="2" t="s">
        <v>2059</v>
      </c>
      <c r="S161" s="2" t="s">
        <v>48</v>
      </c>
      <c r="T161" s="2" t="s">
        <v>2060</v>
      </c>
      <c r="U161" s="2" t="s">
        <v>1176</v>
      </c>
      <c r="V161" s="2" t="s">
        <v>158</v>
      </c>
      <c r="W161" s="8">
        <v>44620</v>
      </c>
      <c r="X161" s="2" t="s">
        <v>100</v>
      </c>
      <c r="Y161" s="2" t="s">
        <v>947</v>
      </c>
      <c r="Z161" s="2" t="s">
        <v>2061</v>
      </c>
      <c r="AA161" s="2">
        <v>5</v>
      </c>
      <c r="AB161" s="2" t="s">
        <v>44</v>
      </c>
      <c r="AC161" s="2" t="s">
        <v>2062</v>
      </c>
      <c r="AD161" s="2" t="s">
        <v>101</v>
      </c>
      <c r="AE161" s="2">
        <v>1.5</v>
      </c>
      <c r="AF161" s="2">
        <v>1760000</v>
      </c>
      <c r="AG161" s="2">
        <v>26400</v>
      </c>
      <c r="AH161" s="2"/>
      <c r="AI161" s="2"/>
      <c r="AJ161" s="2" t="s">
        <v>37</v>
      </c>
      <c r="AK161" s="2" t="s">
        <v>5195</v>
      </c>
      <c r="AL161" s="3">
        <v>24750</v>
      </c>
      <c r="AM161" s="8">
        <v>45713</v>
      </c>
      <c r="AN161" s="2" t="s">
        <v>5504</v>
      </c>
      <c r="AO161" s="7">
        <f t="shared" si="2"/>
        <v>1650</v>
      </c>
    </row>
    <row r="162" spans="1:41" hidden="1" x14ac:dyDescent="0.25">
      <c r="A162" s="5">
        <v>186</v>
      </c>
      <c r="B162" s="5" t="s">
        <v>61</v>
      </c>
      <c r="C162" s="5" t="s">
        <v>2063</v>
      </c>
      <c r="D162" s="5" t="s">
        <v>36</v>
      </c>
      <c r="E162" s="5" t="s">
        <v>37</v>
      </c>
      <c r="F162" s="5" t="s">
        <v>2064</v>
      </c>
      <c r="G162" s="5" t="s">
        <v>111</v>
      </c>
      <c r="H162" s="5" t="s">
        <v>2065</v>
      </c>
      <c r="I162" s="5" t="s">
        <v>400</v>
      </c>
      <c r="J162" s="5" t="s">
        <v>2066</v>
      </c>
      <c r="K162" s="5" t="s">
        <v>2067</v>
      </c>
      <c r="L162" s="5" t="s">
        <v>2068</v>
      </c>
      <c r="M162" s="5">
        <v>3639350</v>
      </c>
      <c r="N162" s="5">
        <v>5599000</v>
      </c>
      <c r="O162" s="5" t="s">
        <v>2069</v>
      </c>
      <c r="P162" s="6">
        <v>45725</v>
      </c>
      <c r="Q162" s="5" t="s">
        <v>2070</v>
      </c>
      <c r="R162" s="5" t="s">
        <v>2071</v>
      </c>
      <c r="S162" s="5" t="s">
        <v>55</v>
      </c>
      <c r="T162" s="5" t="s">
        <v>55</v>
      </c>
      <c r="U162" s="5" t="s">
        <v>2072</v>
      </c>
      <c r="V162" s="5" t="s">
        <v>91</v>
      </c>
      <c r="W162" s="5" t="s">
        <v>2073</v>
      </c>
      <c r="X162" s="5" t="s">
        <v>178</v>
      </c>
      <c r="Y162" s="5" t="s">
        <v>137</v>
      </c>
      <c r="Z162" s="5" t="s">
        <v>2074</v>
      </c>
      <c r="AA162" s="5">
        <v>5</v>
      </c>
      <c r="AB162" s="5" t="s">
        <v>44</v>
      </c>
      <c r="AC162" s="5" t="s">
        <v>2075</v>
      </c>
      <c r="AD162" s="5" t="s">
        <v>2076</v>
      </c>
      <c r="AE162" s="5" t="s">
        <v>46</v>
      </c>
      <c r="AF162" s="5">
        <v>4199250</v>
      </c>
      <c r="AG162" s="5">
        <v>62989</v>
      </c>
      <c r="AH162" s="5"/>
      <c r="AI162" s="5"/>
      <c r="AJ162" s="5" t="s">
        <v>37</v>
      </c>
      <c r="AK162" s="2" t="s">
        <v>5196</v>
      </c>
      <c r="AL162" s="3">
        <v>62989</v>
      </c>
      <c r="AM162" s="8">
        <v>45734</v>
      </c>
      <c r="AN162" s="2"/>
      <c r="AO162" s="7">
        <f t="shared" si="2"/>
        <v>0</v>
      </c>
    </row>
    <row r="163" spans="1:41" hidden="1" x14ac:dyDescent="0.25">
      <c r="A163" s="2">
        <v>187</v>
      </c>
      <c r="B163" s="2" t="s">
        <v>61</v>
      </c>
      <c r="C163" s="2" t="s">
        <v>2077</v>
      </c>
      <c r="D163" s="2" t="s">
        <v>36</v>
      </c>
      <c r="E163" s="2" t="s">
        <v>37</v>
      </c>
      <c r="F163" s="2" t="s">
        <v>2078</v>
      </c>
      <c r="G163" s="2" t="s">
        <v>111</v>
      </c>
      <c r="H163" s="2" t="s">
        <v>2079</v>
      </c>
      <c r="I163" s="2" t="s">
        <v>2080</v>
      </c>
      <c r="J163" s="2" t="s">
        <v>2080</v>
      </c>
      <c r="K163" s="2" t="s">
        <v>2081</v>
      </c>
      <c r="L163" s="2" t="s">
        <v>2082</v>
      </c>
      <c r="M163" s="2">
        <v>3697500</v>
      </c>
      <c r="N163" s="2">
        <v>4930000</v>
      </c>
      <c r="O163" s="2" t="s">
        <v>2083</v>
      </c>
      <c r="P163" s="8">
        <v>45725</v>
      </c>
      <c r="Q163" s="2" t="s">
        <v>2084</v>
      </c>
      <c r="R163" s="2" t="s">
        <v>2085</v>
      </c>
      <c r="S163" s="2" t="s">
        <v>55</v>
      </c>
      <c r="T163" s="2" t="s">
        <v>55</v>
      </c>
      <c r="U163" s="2" t="s">
        <v>2086</v>
      </c>
      <c r="V163" s="2" t="s">
        <v>91</v>
      </c>
      <c r="W163" s="2" t="s">
        <v>2087</v>
      </c>
      <c r="X163" s="2" t="s">
        <v>178</v>
      </c>
      <c r="Y163" s="2" t="s">
        <v>74</v>
      </c>
      <c r="Z163" s="2" t="s">
        <v>2088</v>
      </c>
      <c r="AA163" s="2">
        <v>6</v>
      </c>
      <c r="AB163" s="2" t="s">
        <v>400</v>
      </c>
      <c r="AC163" s="2" t="s">
        <v>400</v>
      </c>
      <c r="AD163" s="2" t="s">
        <v>55</v>
      </c>
      <c r="AE163" s="2" t="s">
        <v>46</v>
      </c>
      <c r="AF163" s="2">
        <v>3697500</v>
      </c>
      <c r="AG163" s="2">
        <v>55463</v>
      </c>
      <c r="AH163" s="2"/>
      <c r="AI163" s="2"/>
      <c r="AJ163" s="2" t="s">
        <v>37</v>
      </c>
      <c r="AK163" s="2" t="s">
        <v>5197</v>
      </c>
      <c r="AL163" s="3">
        <v>55463</v>
      </c>
      <c r="AM163" s="8">
        <v>45734</v>
      </c>
      <c r="AN163" s="2"/>
      <c r="AO163" s="7">
        <f t="shared" si="2"/>
        <v>0</v>
      </c>
    </row>
    <row r="164" spans="1:41" hidden="1" x14ac:dyDescent="0.25">
      <c r="A164" s="5">
        <v>188</v>
      </c>
      <c r="B164" s="5" t="s">
        <v>61</v>
      </c>
      <c r="C164" s="5" t="s">
        <v>2089</v>
      </c>
      <c r="D164" s="5" t="s">
        <v>36</v>
      </c>
      <c r="E164" s="5" t="s">
        <v>37</v>
      </c>
      <c r="F164" s="5" t="s">
        <v>2090</v>
      </c>
      <c r="G164" s="5" t="s">
        <v>47</v>
      </c>
      <c r="H164" s="5" t="s">
        <v>2091</v>
      </c>
      <c r="I164" s="5" t="s">
        <v>2092</v>
      </c>
      <c r="J164" s="5" t="s">
        <v>2092</v>
      </c>
      <c r="K164" s="5" t="s">
        <v>67</v>
      </c>
      <c r="L164" s="5" t="s">
        <v>2093</v>
      </c>
      <c r="M164" s="5">
        <v>1137500</v>
      </c>
      <c r="N164" s="5">
        <v>1750000</v>
      </c>
      <c r="O164" s="5" t="s">
        <v>2094</v>
      </c>
      <c r="P164" s="6">
        <v>45725</v>
      </c>
      <c r="Q164" s="5" t="s">
        <v>2095</v>
      </c>
      <c r="R164" s="5" t="s">
        <v>2096</v>
      </c>
      <c r="S164" s="5" t="s">
        <v>2097</v>
      </c>
      <c r="T164" s="5" t="s">
        <v>2097</v>
      </c>
      <c r="U164" s="5" t="s">
        <v>651</v>
      </c>
      <c r="V164" s="5" t="s">
        <v>40</v>
      </c>
      <c r="W164" s="5" t="s">
        <v>1819</v>
      </c>
      <c r="X164" s="5" t="s">
        <v>1381</v>
      </c>
      <c r="Y164" s="5" t="s">
        <v>1592</v>
      </c>
      <c r="Z164" s="5" t="s">
        <v>2098</v>
      </c>
      <c r="AA164" s="5">
        <v>5</v>
      </c>
      <c r="AB164" s="5" t="s">
        <v>279</v>
      </c>
      <c r="AC164" s="5" t="s">
        <v>2099</v>
      </c>
      <c r="AD164" s="5" t="s">
        <v>2100</v>
      </c>
      <c r="AE164" s="5" t="s">
        <v>253</v>
      </c>
      <c r="AF164" s="5">
        <v>1487500</v>
      </c>
      <c r="AG164" s="5">
        <v>26031</v>
      </c>
      <c r="AH164" s="5"/>
      <c r="AI164" s="5"/>
      <c r="AJ164" s="5" t="s">
        <v>37</v>
      </c>
      <c r="AK164" s="2" t="s">
        <v>5198</v>
      </c>
      <c r="AL164" s="3">
        <v>26031</v>
      </c>
      <c r="AM164" s="8">
        <v>45734</v>
      </c>
      <c r="AN164" s="2"/>
      <c r="AO164" s="7">
        <f t="shared" si="2"/>
        <v>0</v>
      </c>
    </row>
    <row r="165" spans="1:41" hidden="1" x14ac:dyDescent="0.25">
      <c r="A165" s="2">
        <v>189</v>
      </c>
      <c r="B165" s="2" t="s">
        <v>61</v>
      </c>
      <c r="C165" s="2" t="s">
        <v>2101</v>
      </c>
      <c r="D165" s="2" t="s">
        <v>36</v>
      </c>
      <c r="E165" s="2" t="s">
        <v>37</v>
      </c>
      <c r="F165" s="2" t="s">
        <v>2102</v>
      </c>
      <c r="G165" s="2" t="s">
        <v>47</v>
      </c>
      <c r="H165" s="2" t="s">
        <v>2103</v>
      </c>
      <c r="I165" s="2" t="s">
        <v>2104</v>
      </c>
      <c r="J165" s="2" t="s">
        <v>2104</v>
      </c>
      <c r="K165" s="2" t="s">
        <v>2104</v>
      </c>
      <c r="L165" s="2" t="s">
        <v>2105</v>
      </c>
      <c r="M165" s="2">
        <v>1302464</v>
      </c>
      <c r="N165" s="2">
        <v>2430000</v>
      </c>
      <c r="O165" s="2" t="s">
        <v>2106</v>
      </c>
      <c r="P165" s="8">
        <v>45713</v>
      </c>
      <c r="Q165" s="2" t="s">
        <v>2107</v>
      </c>
      <c r="R165" s="2" t="s">
        <v>2108</v>
      </c>
      <c r="S165" s="2" t="s">
        <v>48</v>
      </c>
      <c r="T165" s="2" t="s">
        <v>2109</v>
      </c>
      <c r="U165" s="2" t="s">
        <v>1176</v>
      </c>
      <c r="V165" s="2" t="s">
        <v>60</v>
      </c>
      <c r="W165" s="8">
        <v>44620</v>
      </c>
      <c r="X165" s="2" t="s">
        <v>100</v>
      </c>
      <c r="Y165" s="2" t="s">
        <v>1044</v>
      </c>
      <c r="Z165" s="2" t="s">
        <v>2110</v>
      </c>
      <c r="AA165" s="2">
        <v>7</v>
      </c>
      <c r="AB165" s="2" t="s">
        <v>44</v>
      </c>
      <c r="AC165" s="2" t="s">
        <v>2111</v>
      </c>
      <c r="AD165" s="2" t="s">
        <v>101</v>
      </c>
      <c r="AE165" s="2">
        <v>1.5</v>
      </c>
      <c r="AF165" s="2">
        <v>1944000</v>
      </c>
      <c r="AG165" s="2">
        <v>29160</v>
      </c>
      <c r="AH165" s="2"/>
      <c r="AI165" s="2"/>
      <c r="AJ165" s="2" t="s">
        <v>37</v>
      </c>
      <c r="AK165" s="2" t="s">
        <v>5199</v>
      </c>
      <c r="AL165" s="3">
        <v>29160</v>
      </c>
      <c r="AM165" s="8">
        <v>45713</v>
      </c>
      <c r="AN165" s="2"/>
      <c r="AO165" s="7">
        <f t="shared" si="2"/>
        <v>0</v>
      </c>
    </row>
    <row r="166" spans="1:41" x14ac:dyDescent="0.25">
      <c r="A166" s="5">
        <v>190</v>
      </c>
      <c r="B166" s="5" t="s">
        <v>61</v>
      </c>
      <c r="C166" s="5" t="s">
        <v>2112</v>
      </c>
      <c r="D166" s="5" t="s">
        <v>36</v>
      </c>
      <c r="E166" s="5" t="s">
        <v>37</v>
      </c>
      <c r="F166" s="5" t="s">
        <v>2113</v>
      </c>
      <c r="G166" s="5" t="s">
        <v>47</v>
      </c>
      <c r="H166" s="5" t="s">
        <v>2114</v>
      </c>
      <c r="I166" s="5" t="s">
        <v>55</v>
      </c>
      <c r="J166" s="5" t="s">
        <v>2115</v>
      </c>
      <c r="K166" s="5" t="s">
        <v>55</v>
      </c>
      <c r="L166" s="5" t="s">
        <v>2116</v>
      </c>
      <c r="M166" s="5">
        <v>753025</v>
      </c>
      <c r="N166" s="5">
        <v>1770000</v>
      </c>
      <c r="O166" s="5" t="s">
        <v>2117</v>
      </c>
      <c r="P166" s="6">
        <v>45713</v>
      </c>
      <c r="Q166" s="5" t="s">
        <v>2118</v>
      </c>
      <c r="R166" s="5" t="s">
        <v>2119</v>
      </c>
      <c r="S166" s="5" t="s">
        <v>48</v>
      </c>
      <c r="T166" s="5" t="s">
        <v>2120</v>
      </c>
      <c r="U166" s="5" t="s">
        <v>798</v>
      </c>
      <c r="V166" s="5" t="s">
        <v>158</v>
      </c>
      <c r="W166" s="6">
        <v>44620</v>
      </c>
      <c r="X166" s="5" t="s">
        <v>100</v>
      </c>
      <c r="Y166" s="5" t="s">
        <v>947</v>
      </c>
      <c r="Z166" s="5" t="s">
        <v>2121</v>
      </c>
      <c r="AA166" s="5">
        <v>5</v>
      </c>
      <c r="AB166" s="5" t="s">
        <v>44</v>
      </c>
      <c r="AC166" s="5" t="s">
        <v>2122</v>
      </c>
      <c r="AD166" s="5" t="s">
        <v>101</v>
      </c>
      <c r="AE166" s="5">
        <v>1.5</v>
      </c>
      <c r="AF166" s="5">
        <v>1416000</v>
      </c>
      <c r="AG166" s="5">
        <v>21240</v>
      </c>
      <c r="AH166" s="5"/>
      <c r="AI166" s="5"/>
      <c r="AJ166" s="5" t="s">
        <v>37</v>
      </c>
      <c r="AK166" s="2" t="s">
        <v>5200</v>
      </c>
      <c r="AL166" s="3">
        <v>19913</v>
      </c>
      <c r="AM166" s="8">
        <v>45713</v>
      </c>
      <c r="AN166" s="2" t="s">
        <v>5505</v>
      </c>
      <c r="AO166" s="7">
        <f t="shared" si="2"/>
        <v>1327</v>
      </c>
    </row>
    <row r="167" spans="1:41" x14ac:dyDescent="0.25">
      <c r="A167" s="2">
        <v>191</v>
      </c>
      <c r="B167" s="2" t="s">
        <v>61</v>
      </c>
      <c r="C167" s="2" t="s">
        <v>2123</v>
      </c>
      <c r="D167" s="2" t="s">
        <v>36</v>
      </c>
      <c r="E167" s="2" t="s">
        <v>37</v>
      </c>
      <c r="F167" s="2" t="s">
        <v>2124</v>
      </c>
      <c r="G167" s="2" t="s">
        <v>111</v>
      </c>
      <c r="H167" s="2" t="s">
        <v>2125</v>
      </c>
      <c r="I167" s="2" t="s">
        <v>2126</v>
      </c>
      <c r="J167" s="2" t="s">
        <v>2126</v>
      </c>
      <c r="K167" s="2" t="s">
        <v>2126</v>
      </c>
      <c r="L167" s="2" t="s">
        <v>2127</v>
      </c>
      <c r="M167" s="2">
        <v>712609</v>
      </c>
      <c r="N167" s="2">
        <v>1877000</v>
      </c>
      <c r="O167" s="2" t="s">
        <v>2128</v>
      </c>
      <c r="P167" s="8">
        <v>45713</v>
      </c>
      <c r="Q167" s="2" t="s">
        <v>2129</v>
      </c>
      <c r="R167" s="2" t="s">
        <v>2130</v>
      </c>
      <c r="S167" s="2" t="s">
        <v>54</v>
      </c>
      <c r="T167" s="2" t="s">
        <v>55</v>
      </c>
      <c r="U167" s="2" t="s">
        <v>39</v>
      </c>
      <c r="V167" s="2" t="s">
        <v>57</v>
      </c>
      <c r="W167" s="8">
        <v>44620</v>
      </c>
      <c r="X167" s="2" t="s">
        <v>100</v>
      </c>
      <c r="Y167" s="2" t="s">
        <v>947</v>
      </c>
      <c r="Z167" s="2" t="s">
        <v>2131</v>
      </c>
      <c r="AA167" s="2">
        <v>5</v>
      </c>
      <c r="AB167" s="2" t="s">
        <v>44</v>
      </c>
      <c r="AC167" s="2" t="s">
        <v>2132</v>
      </c>
      <c r="AD167" s="2" t="s">
        <v>101</v>
      </c>
      <c r="AE167" s="2">
        <v>2</v>
      </c>
      <c r="AF167" s="2">
        <v>1501600</v>
      </c>
      <c r="AG167" s="2">
        <v>30032</v>
      </c>
      <c r="AH167" s="2"/>
      <c r="AI167" s="2"/>
      <c r="AJ167" s="2" t="s">
        <v>37</v>
      </c>
      <c r="AK167" s="2" t="s">
        <v>5201</v>
      </c>
      <c r="AL167" s="3">
        <v>28155</v>
      </c>
      <c r="AM167" s="8">
        <v>45713</v>
      </c>
      <c r="AN167" s="2" t="s">
        <v>5506</v>
      </c>
      <c r="AO167" s="7">
        <f t="shared" si="2"/>
        <v>1877</v>
      </c>
    </row>
    <row r="168" spans="1:41" hidden="1" x14ac:dyDescent="0.25">
      <c r="A168" s="5">
        <v>192</v>
      </c>
      <c r="B168" s="5" t="s">
        <v>61</v>
      </c>
      <c r="C168" s="5" t="s">
        <v>2133</v>
      </c>
      <c r="D168" s="5" t="s">
        <v>36</v>
      </c>
      <c r="E168" s="5" t="s">
        <v>37</v>
      </c>
      <c r="F168" s="5" t="s">
        <v>103</v>
      </c>
      <c r="G168" s="5" t="s">
        <v>47</v>
      </c>
      <c r="H168" s="5" t="s">
        <v>104</v>
      </c>
      <c r="I168" s="5" t="s">
        <v>105</v>
      </c>
      <c r="J168" s="5" t="s">
        <v>106</v>
      </c>
      <c r="K168" s="5" t="s">
        <v>107</v>
      </c>
      <c r="L168" s="5" t="s">
        <v>2134</v>
      </c>
      <c r="M168" s="5">
        <v>1024500</v>
      </c>
      <c r="N168" s="5">
        <v>2049000</v>
      </c>
      <c r="O168" s="5" t="s">
        <v>2135</v>
      </c>
      <c r="P168" s="6">
        <v>45726</v>
      </c>
      <c r="Q168" s="5" t="s">
        <v>2136</v>
      </c>
      <c r="R168" s="5" t="s">
        <v>2137</v>
      </c>
      <c r="S168" s="5" t="s">
        <v>55</v>
      </c>
      <c r="T168" s="5" t="s">
        <v>55</v>
      </c>
      <c r="U168" s="5" t="s">
        <v>2138</v>
      </c>
      <c r="V168" s="5" t="s">
        <v>91</v>
      </c>
      <c r="W168" s="5" t="s">
        <v>2139</v>
      </c>
      <c r="X168" s="5" t="s">
        <v>93</v>
      </c>
      <c r="Y168" s="5" t="s">
        <v>94</v>
      </c>
      <c r="Z168" s="5" t="s">
        <v>2140</v>
      </c>
      <c r="AA168" s="5">
        <v>5</v>
      </c>
      <c r="AB168" s="5" t="s">
        <v>44</v>
      </c>
      <c r="AC168" s="5" t="s">
        <v>2141</v>
      </c>
      <c r="AD168" s="5" t="s">
        <v>97</v>
      </c>
      <c r="AE168" s="5" t="s">
        <v>78</v>
      </c>
      <c r="AF168" s="5">
        <v>1536750</v>
      </c>
      <c r="AG168" s="5">
        <v>30735</v>
      </c>
      <c r="AH168" s="5"/>
      <c r="AI168" s="5"/>
      <c r="AJ168" s="5" t="s">
        <v>37</v>
      </c>
      <c r="AK168" s="2" t="s">
        <v>5202</v>
      </c>
      <c r="AL168" s="3">
        <v>30735</v>
      </c>
      <c r="AM168" s="8">
        <v>45734</v>
      </c>
      <c r="AN168" s="2"/>
      <c r="AO168" s="7">
        <f t="shared" si="2"/>
        <v>0</v>
      </c>
    </row>
    <row r="169" spans="1:41" hidden="1" x14ac:dyDescent="0.25">
      <c r="A169" s="2">
        <v>193</v>
      </c>
      <c r="B169" s="2" t="s">
        <v>61</v>
      </c>
      <c r="C169" s="2" t="s">
        <v>2142</v>
      </c>
      <c r="D169" s="2" t="s">
        <v>36</v>
      </c>
      <c r="E169" s="2" t="s">
        <v>37</v>
      </c>
      <c r="F169" s="2" t="s">
        <v>2143</v>
      </c>
      <c r="G169" s="2" t="s">
        <v>111</v>
      </c>
      <c r="H169" s="2" t="s">
        <v>2144</v>
      </c>
      <c r="I169" s="2" t="s">
        <v>2145</v>
      </c>
      <c r="J169" s="2" t="s">
        <v>2145</v>
      </c>
      <c r="K169" s="2" t="s">
        <v>2145</v>
      </c>
      <c r="L169" s="2" t="s">
        <v>2146</v>
      </c>
      <c r="M169" s="2">
        <v>862500</v>
      </c>
      <c r="N169" s="2">
        <v>1250000</v>
      </c>
      <c r="O169" s="2" t="s">
        <v>2147</v>
      </c>
      <c r="P169" s="8">
        <v>45726</v>
      </c>
      <c r="Q169" s="2" t="s">
        <v>2148</v>
      </c>
      <c r="R169" s="2" t="s">
        <v>2149</v>
      </c>
      <c r="S169" s="2" t="s">
        <v>2150</v>
      </c>
      <c r="T169" s="2" t="s">
        <v>2150</v>
      </c>
      <c r="U169" s="2" t="s">
        <v>651</v>
      </c>
      <c r="V169" s="2" t="s">
        <v>40</v>
      </c>
      <c r="W169" s="2" t="s">
        <v>1092</v>
      </c>
      <c r="X169" s="2" t="s">
        <v>42</v>
      </c>
      <c r="Y169" s="2" t="s">
        <v>1592</v>
      </c>
      <c r="Z169" s="2" t="s">
        <v>2151</v>
      </c>
      <c r="AA169" s="2">
        <v>6</v>
      </c>
      <c r="AB169" s="2" t="s">
        <v>44</v>
      </c>
      <c r="AC169" s="2" t="s">
        <v>2152</v>
      </c>
      <c r="AD169" s="2" t="s">
        <v>45</v>
      </c>
      <c r="AE169" s="2" t="s">
        <v>46</v>
      </c>
      <c r="AF169" s="2">
        <v>1000000</v>
      </c>
      <c r="AG169" s="2">
        <v>15000</v>
      </c>
      <c r="AH169" s="2"/>
      <c r="AI169" s="2"/>
      <c r="AJ169" s="2" t="s">
        <v>37</v>
      </c>
      <c r="AK169" s="2" t="s">
        <v>5203</v>
      </c>
      <c r="AL169" s="3">
        <v>15000</v>
      </c>
      <c r="AM169" s="8">
        <v>45734</v>
      </c>
      <c r="AN169" s="2"/>
      <c r="AO169" s="7">
        <f t="shared" si="2"/>
        <v>0</v>
      </c>
    </row>
    <row r="170" spans="1:41" x14ac:dyDescent="0.25">
      <c r="A170" s="5">
        <v>194</v>
      </c>
      <c r="B170" s="5" t="s">
        <v>61</v>
      </c>
      <c r="C170" s="5" t="s">
        <v>2153</v>
      </c>
      <c r="D170" s="5" t="s">
        <v>36</v>
      </c>
      <c r="E170" s="5" t="s">
        <v>37</v>
      </c>
      <c r="F170" s="5" t="s">
        <v>2154</v>
      </c>
      <c r="G170" s="5" t="s">
        <v>53</v>
      </c>
      <c r="H170" s="5" t="s">
        <v>2155</v>
      </c>
      <c r="I170" s="5" t="s">
        <v>2156</v>
      </c>
      <c r="J170" s="5" t="s">
        <v>2157</v>
      </c>
      <c r="K170" s="5" t="s">
        <v>2156</v>
      </c>
      <c r="L170" s="5" t="s">
        <v>2158</v>
      </c>
      <c r="M170" s="5">
        <v>678054</v>
      </c>
      <c r="N170" s="5">
        <v>1540000</v>
      </c>
      <c r="O170" s="5" t="s">
        <v>2159</v>
      </c>
      <c r="P170" s="6">
        <v>45713</v>
      </c>
      <c r="Q170" s="5" t="s">
        <v>2160</v>
      </c>
      <c r="R170" s="5" t="s">
        <v>2161</v>
      </c>
      <c r="S170" s="5" t="s">
        <v>48</v>
      </c>
      <c r="T170" s="5" t="s">
        <v>2162</v>
      </c>
      <c r="U170" s="5" t="s">
        <v>728</v>
      </c>
      <c r="V170" s="5" t="s">
        <v>40</v>
      </c>
      <c r="W170" s="6">
        <v>44620</v>
      </c>
      <c r="X170" s="5" t="s">
        <v>100</v>
      </c>
      <c r="Y170" s="5" t="s">
        <v>947</v>
      </c>
      <c r="Z170" s="5" t="s">
        <v>2163</v>
      </c>
      <c r="AA170" s="5">
        <v>5</v>
      </c>
      <c r="AB170" s="5" t="s">
        <v>76</v>
      </c>
      <c r="AC170" s="5" t="s">
        <v>2164</v>
      </c>
      <c r="AD170" s="5" t="s">
        <v>113</v>
      </c>
      <c r="AE170" s="5">
        <v>1.5</v>
      </c>
      <c r="AF170" s="5">
        <v>1232000</v>
      </c>
      <c r="AG170" s="5">
        <v>18480</v>
      </c>
      <c r="AH170" s="5"/>
      <c r="AI170" s="5"/>
      <c r="AJ170" s="5" t="s">
        <v>37</v>
      </c>
      <c r="AK170" s="2" t="s">
        <v>5204</v>
      </c>
      <c r="AL170" s="3">
        <v>17325</v>
      </c>
      <c r="AM170" s="8">
        <v>45713</v>
      </c>
      <c r="AN170" s="2" t="s">
        <v>5507</v>
      </c>
      <c r="AO170" s="7">
        <f t="shared" si="2"/>
        <v>1155</v>
      </c>
    </row>
    <row r="171" spans="1:41" hidden="1" x14ac:dyDescent="0.25">
      <c r="A171" s="2">
        <v>195</v>
      </c>
      <c r="B171" s="2" t="s">
        <v>61</v>
      </c>
      <c r="C171" s="2" t="s">
        <v>2165</v>
      </c>
      <c r="D171" s="2" t="s">
        <v>36</v>
      </c>
      <c r="E171" s="2" t="s">
        <v>37</v>
      </c>
      <c r="F171" s="2" t="s">
        <v>2166</v>
      </c>
      <c r="G171" s="2" t="s">
        <v>111</v>
      </c>
      <c r="H171" s="2" t="s">
        <v>2167</v>
      </c>
      <c r="I171" s="2" t="s">
        <v>2168</v>
      </c>
      <c r="J171" s="2" t="s">
        <v>2168</v>
      </c>
      <c r="K171" s="2" t="s">
        <v>2168</v>
      </c>
      <c r="L171" s="2" t="s">
        <v>2169</v>
      </c>
      <c r="M171" s="2">
        <v>448760</v>
      </c>
      <c r="N171" s="2">
        <v>1730000</v>
      </c>
      <c r="O171" s="2" t="s">
        <v>1801</v>
      </c>
      <c r="P171" s="8">
        <v>45713</v>
      </c>
      <c r="Q171" s="2" t="s">
        <v>2170</v>
      </c>
      <c r="R171" s="2" t="s">
        <v>2171</v>
      </c>
      <c r="S171" s="2" t="s">
        <v>54</v>
      </c>
      <c r="T171" s="2" t="s">
        <v>55</v>
      </c>
      <c r="U171" s="2" t="s">
        <v>56</v>
      </c>
      <c r="V171" s="2" t="s">
        <v>91</v>
      </c>
      <c r="W171" s="8">
        <v>44254</v>
      </c>
      <c r="X171" s="2" t="s">
        <v>933</v>
      </c>
      <c r="Y171" s="2" t="s">
        <v>959</v>
      </c>
      <c r="Z171" s="2" t="s">
        <v>55</v>
      </c>
      <c r="AA171" s="2">
        <v>5</v>
      </c>
      <c r="AB171" s="2" t="s">
        <v>44</v>
      </c>
      <c r="AC171" s="2" t="s">
        <v>2172</v>
      </c>
      <c r="AD171" s="2" t="s">
        <v>2173</v>
      </c>
      <c r="AE171" s="2">
        <v>2</v>
      </c>
      <c r="AF171" s="2">
        <v>1297500</v>
      </c>
      <c r="AG171" s="2">
        <v>25950</v>
      </c>
      <c r="AH171" s="2"/>
      <c r="AI171" s="2"/>
      <c r="AJ171" s="2" t="s">
        <v>37</v>
      </c>
      <c r="AK171" s="2" t="s">
        <v>5205</v>
      </c>
      <c r="AL171" s="3">
        <v>25950</v>
      </c>
      <c r="AM171" s="8">
        <v>45713</v>
      </c>
      <c r="AN171" s="2"/>
      <c r="AO171" s="7">
        <f t="shared" si="2"/>
        <v>0</v>
      </c>
    </row>
    <row r="172" spans="1:41" hidden="1" x14ac:dyDescent="0.25">
      <c r="A172" s="5">
        <v>196</v>
      </c>
      <c r="B172" s="5" t="s">
        <v>61</v>
      </c>
      <c r="C172" s="5" t="s">
        <v>2174</v>
      </c>
      <c r="D172" s="5" t="s">
        <v>36</v>
      </c>
      <c r="E172" s="5" t="s">
        <v>37</v>
      </c>
      <c r="F172" s="5" t="s">
        <v>2175</v>
      </c>
      <c r="G172" s="5" t="s">
        <v>47</v>
      </c>
      <c r="H172" s="5" t="s">
        <v>2176</v>
      </c>
      <c r="I172" s="5" t="s">
        <v>2177</v>
      </c>
      <c r="J172" s="5" t="s">
        <v>2177</v>
      </c>
      <c r="K172" s="5" t="s">
        <v>2178</v>
      </c>
      <c r="L172" s="5" t="s">
        <v>2179</v>
      </c>
      <c r="M172" s="5">
        <v>237517</v>
      </c>
      <c r="N172" s="5">
        <v>1250000</v>
      </c>
      <c r="O172" s="5" t="s">
        <v>2180</v>
      </c>
      <c r="P172" s="6">
        <v>45713</v>
      </c>
      <c r="Q172" s="5" t="s">
        <v>2181</v>
      </c>
      <c r="R172" s="5" t="s">
        <v>2182</v>
      </c>
      <c r="S172" s="5" t="s">
        <v>98</v>
      </c>
      <c r="T172" s="5" t="s">
        <v>2183</v>
      </c>
      <c r="U172" s="5" t="s">
        <v>2184</v>
      </c>
      <c r="V172" s="5" t="s">
        <v>114</v>
      </c>
      <c r="W172" s="6">
        <v>43524</v>
      </c>
      <c r="X172" s="5" t="s">
        <v>2185</v>
      </c>
      <c r="Y172" s="5" t="s">
        <v>1032</v>
      </c>
      <c r="Z172" s="5" t="s">
        <v>2186</v>
      </c>
      <c r="AA172" s="5">
        <v>7</v>
      </c>
      <c r="AB172" s="5" t="s">
        <v>44</v>
      </c>
      <c r="AC172" s="5" t="s">
        <v>2187</v>
      </c>
      <c r="AD172" s="5" t="s">
        <v>2188</v>
      </c>
      <c r="AE172" s="5">
        <v>2.5</v>
      </c>
      <c r="AF172" s="5">
        <v>812500</v>
      </c>
      <c r="AG172" s="5">
        <v>20313</v>
      </c>
      <c r="AH172" s="5"/>
      <c r="AI172" s="5"/>
      <c r="AJ172" s="5" t="s">
        <v>37</v>
      </c>
      <c r="AK172" s="2" t="s">
        <v>5206</v>
      </c>
      <c r="AL172" s="3">
        <v>20313</v>
      </c>
      <c r="AM172" s="8">
        <v>45713</v>
      </c>
      <c r="AN172" s="2"/>
      <c r="AO172" s="7">
        <f t="shared" si="2"/>
        <v>0</v>
      </c>
    </row>
    <row r="173" spans="1:41" x14ac:dyDescent="0.25">
      <c r="A173" s="2">
        <v>197</v>
      </c>
      <c r="B173" s="2" t="s">
        <v>203</v>
      </c>
      <c r="C173" s="2" t="s">
        <v>2189</v>
      </c>
      <c r="D173" s="2" t="s">
        <v>36</v>
      </c>
      <c r="E173" s="2" t="s">
        <v>37</v>
      </c>
      <c r="F173" s="2" t="s">
        <v>2190</v>
      </c>
      <c r="G173" s="2" t="s">
        <v>53</v>
      </c>
      <c r="H173" s="2" t="s">
        <v>2191</v>
      </c>
      <c r="I173" s="2" t="s">
        <v>2192</v>
      </c>
      <c r="J173" s="2" t="s">
        <v>2193</v>
      </c>
      <c r="K173" s="2" t="s">
        <v>2192</v>
      </c>
      <c r="L173" s="2" t="s">
        <v>2194</v>
      </c>
      <c r="M173" s="2">
        <v>23085</v>
      </c>
      <c r="N173" s="2">
        <v>960000</v>
      </c>
      <c r="O173" s="2" t="s">
        <v>2195</v>
      </c>
      <c r="P173" s="8">
        <v>45712</v>
      </c>
      <c r="Q173" s="2" t="s">
        <v>2196</v>
      </c>
      <c r="R173" s="2" t="s">
        <v>2197</v>
      </c>
      <c r="S173" s="2" t="s">
        <v>48</v>
      </c>
      <c r="T173" s="2" t="s">
        <v>2198</v>
      </c>
      <c r="U173" s="2" t="s">
        <v>1057</v>
      </c>
      <c r="V173" s="2" t="s">
        <v>60</v>
      </c>
      <c r="W173" s="8">
        <v>44618</v>
      </c>
      <c r="X173" s="2" t="s">
        <v>115</v>
      </c>
      <c r="Y173" s="2" t="s">
        <v>1839</v>
      </c>
      <c r="Z173" s="2" t="s">
        <v>2199</v>
      </c>
      <c r="AA173" s="2">
        <v>5</v>
      </c>
      <c r="AB173" s="2" t="s">
        <v>76</v>
      </c>
      <c r="AC173" s="2" t="s">
        <v>2200</v>
      </c>
      <c r="AD173" s="2" t="s">
        <v>116</v>
      </c>
      <c r="AE173" s="2">
        <v>1.5</v>
      </c>
      <c r="AF173" s="2">
        <v>768000</v>
      </c>
      <c r="AG173" s="2">
        <v>11520</v>
      </c>
      <c r="AH173" s="2"/>
      <c r="AI173" s="2"/>
      <c r="AJ173" s="2" t="s">
        <v>37</v>
      </c>
      <c r="AK173" s="2" t="s">
        <v>5207</v>
      </c>
      <c r="AL173" s="3">
        <v>10800</v>
      </c>
      <c r="AM173" s="8">
        <v>45713</v>
      </c>
      <c r="AN173" s="2" t="s">
        <v>5508</v>
      </c>
      <c r="AO173" s="7">
        <f t="shared" si="2"/>
        <v>720</v>
      </c>
    </row>
    <row r="174" spans="1:41" x14ac:dyDescent="0.25">
      <c r="A174" s="5">
        <v>198</v>
      </c>
      <c r="B174" s="5" t="s">
        <v>61</v>
      </c>
      <c r="C174" s="5" t="s">
        <v>2201</v>
      </c>
      <c r="D174" s="5" t="s">
        <v>36</v>
      </c>
      <c r="E174" s="5" t="s">
        <v>37</v>
      </c>
      <c r="F174" s="5" t="s">
        <v>2202</v>
      </c>
      <c r="G174" s="5" t="s">
        <v>2203</v>
      </c>
      <c r="H174" s="5" t="s">
        <v>2204</v>
      </c>
      <c r="I174" s="5" t="s">
        <v>2205</v>
      </c>
      <c r="J174" s="5" t="s">
        <v>2205</v>
      </c>
      <c r="K174" s="5" t="s">
        <v>67</v>
      </c>
      <c r="L174" s="5" t="s">
        <v>2206</v>
      </c>
      <c r="M174" s="5">
        <v>591379</v>
      </c>
      <c r="N174" s="5">
        <v>1350000</v>
      </c>
      <c r="O174" s="5" t="s">
        <v>2207</v>
      </c>
      <c r="P174" s="6">
        <v>45712</v>
      </c>
      <c r="Q174" s="5" t="s">
        <v>2208</v>
      </c>
      <c r="R174" s="5" t="s">
        <v>2209</v>
      </c>
      <c r="S174" s="5" t="s">
        <v>48</v>
      </c>
      <c r="T174" s="5" t="s">
        <v>2210</v>
      </c>
      <c r="U174" s="5" t="s">
        <v>123</v>
      </c>
      <c r="V174" s="5" t="s">
        <v>114</v>
      </c>
      <c r="W174" s="6">
        <v>44620</v>
      </c>
      <c r="X174" s="5" t="s">
        <v>100</v>
      </c>
      <c r="Y174" s="5" t="s">
        <v>947</v>
      </c>
      <c r="Z174" s="5" t="s">
        <v>2211</v>
      </c>
      <c r="AA174" s="5">
        <v>5</v>
      </c>
      <c r="AB174" s="5" t="s">
        <v>44</v>
      </c>
      <c r="AC174" s="5" t="s">
        <v>2212</v>
      </c>
      <c r="AD174" s="5" t="s">
        <v>101</v>
      </c>
      <c r="AE174" s="5">
        <v>1.5</v>
      </c>
      <c r="AF174" s="5">
        <v>1080000</v>
      </c>
      <c r="AG174" s="5">
        <v>16200</v>
      </c>
      <c r="AH174" s="5"/>
      <c r="AI174" s="5"/>
      <c r="AJ174" s="5" t="s">
        <v>37</v>
      </c>
      <c r="AK174" s="2" t="s">
        <v>5208</v>
      </c>
      <c r="AL174" s="3">
        <v>15188</v>
      </c>
      <c r="AM174" s="8">
        <v>45713</v>
      </c>
      <c r="AN174" s="2" t="s">
        <v>5509</v>
      </c>
      <c r="AO174" s="7">
        <f t="shared" si="2"/>
        <v>1012</v>
      </c>
    </row>
    <row r="175" spans="1:41" x14ac:dyDescent="0.25">
      <c r="A175" s="2">
        <v>199</v>
      </c>
      <c r="B175" s="2" t="s">
        <v>61</v>
      </c>
      <c r="C175" s="2" t="s">
        <v>2213</v>
      </c>
      <c r="D175" s="2" t="s">
        <v>36</v>
      </c>
      <c r="E175" s="2" t="s">
        <v>37</v>
      </c>
      <c r="F175" s="2" t="s">
        <v>2214</v>
      </c>
      <c r="G175" s="2" t="s">
        <v>144</v>
      </c>
      <c r="H175" s="2" t="s">
        <v>2215</v>
      </c>
      <c r="I175" s="2" t="s">
        <v>2216</v>
      </c>
      <c r="J175" s="2" t="s">
        <v>2216</v>
      </c>
      <c r="K175" s="2" t="s">
        <v>2216</v>
      </c>
      <c r="L175" s="2" t="s">
        <v>2217</v>
      </c>
      <c r="M175" s="2">
        <v>759312</v>
      </c>
      <c r="N175" s="2">
        <v>2000000</v>
      </c>
      <c r="O175" s="2" t="s">
        <v>2218</v>
      </c>
      <c r="P175" s="8">
        <v>45712</v>
      </c>
      <c r="Q175" s="2" t="s">
        <v>2219</v>
      </c>
      <c r="R175" s="2" t="s">
        <v>2220</v>
      </c>
      <c r="S175" s="2" t="s">
        <v>48</v>
      </c>
      <c r="T175" s="2" t="s">
        <v>2221</v>
      </c>
      <c r="U175" s="2" t="s">
        <v>152</v>
      </c>
      <c r="V175" s="2" t="s">
        <v>114</v>
      </c>
      <c r="W175" s="8">
        <v>44622</v>
      </c>
      <c r="X175" s="2" t="s">
        <v>100</v>
      </c>
      <c r="Y175" s="2" t="s">
        <v>947</v>
      </c>
      <c r="Z175" s="2" t="s">
        <v>2222</v>
      </c>
      <c r="AA175" s="2">
        <v>5</v>
      </c>
      <c r="AB175" s="2" t="s">
        <v>44</v>
      </c>
      <c r="AC175" s="2" t="s">
        <v>2223</v>
      </c>
      <c r="AD175" s="2" t="s">
        <v>101</v>
      </c>
      <c r="AE175" s="2">
        <v>1.5</v>
      </c>
      <c r="AF175" s="2">
        <v>1600000</v>
      </c>
      <c r="AG175" s="2">
        <v>24000</v>
      </c>
      <c r="AH175" s="2"/>
      <c r="AI175" s="2"/>
      <c r="AJ175" s="2" t="s">
        <v>37</v>
      </c>
      <c r="AK175" s="2" t="s">
        <v>5209</v>
      </c>
      <c r="AL175" s="3">
        <v>22500</v>
      </c>
      <c r="AM175" s="8">
        <v>45713</v>
      </c>
      <c r="AN175" t="s">
        <v>5622</v>
      </c>
      <c r="AO175" s="7">
        <f t="shared" si="2"/>
        <v>1500</v>
      </c>
    </row>
    <row r="176" spans="1:41" hidden="1" x14ac:dyDescent="0.25">
      <c r="A176" s="5">
        <v>200</v>
      </c>
      <c r="B176" s="5" t="s">
        <v>61</v>
      </c>
      <c r="C176" s="5" t="s">
        <v>2224</v>
      </c>
      <c r="D176" s="5" t="s">
        <v>36</v>
      </c>
      <c r="E176" s="5" t="s">
        <v>37</v>
      </c>
      <c r="F176" s="5" t="s">
        <v>2225</v>
      </c>
      <c r="G176" s="5" t="s">
        <v>64</v>
      </c>
      <c r="H176" s="5" t="s">
        <v>2226</v>
      </c>
      <c r="I176" s="5" t="s">
        <v>2227</v>
      </c>
      <c r="J176" s="5" t="s">
        <v>55</v>
      </c>
      <c r="K176" s="5" t="s">
        <v>2228</v>
      </c>
      <c r="L176" s="5" t="s">
        <v>2229</v>
      </c>
      <c r="M176" s="5">
        <v>1418924</v>
      </c>
      <c r="N176" s="5">
        <v>7389000</v>
      </c>
      <c r="O176" s="5" t="s">
        <v>2230</v>
      </c>
      <c r="P176" s="6">
        <v>45712</v>
      </c>
      <c r="Q176" s="5" t="s">
        <v>2231</v>
      </c>
      <c r="R176" s="5" t="s">
        <v>2232</v>
      </c>
      <c r="S176" s="5" t="s">
        <v>54</v>
      </c>
      <c r="T176" s="5" t="s">
        <v>55</v>
      </c>
      <c r="U176" s="5" t="s">
        <v>2233</v>
      </c>
      <c r="V176" s="5" t="s">
        <v>248</v>
      </c>
      <c r="W176" s="6">
        <v>44952</v>
      </c>
      <c r="X176" s="5" t="s">
        <v>1772</v>
      </c>
      <c r="Y176" s="5" t="s">
        <v>959</v>
      </c>
      <c r="Z176" s="5" t="s">
        <v>2234</v>
      </c>
      <c r="AA176" s="5">
        <v>3</v>
      </c>
      <c r="AB176" s="5" t="s">
        <v>51</v>
      </c>
      <c r="AC176" s="5" t="s">
        <v>2235</v>
      </c>
      <c r="AD176" s="5" t="s">
        <v>2236</v>
      </c>
      <c r="AE176" s="5">
        <v>2</v>
      </c>
      <c r="AF176" s="5">
        <v>6280650</v>
      </c>
      <c r="AG176" s="5">
        <v>125613</v>
      </c>
      <c r="AH176" s="5"/>
      <c r="AI176" s="5"/>
      <c r="AJ176" s="5" t="s">
        <v>37</v>
      </c>
      <c r="AK176" s="2" t="s">
        <v>5210</v>
      </c>
      <c r="AL176" s="3">
        <v>125613</v>
      </c>
      <c r="AM176" s="8">
        <v>45713</v>
      </c>
      <c r="AN176" s="2"/>
      <c r="AO176" s="7">
        <f t="shared" si="2"/>
        <v>0</v>
      </c>
    </row>
    <row r="177" spans="1:41" hidden="1" x14ac:dyDescent="0.25">
      <c r="A177" s="2">
        <v>201</v>
      </c>
      <c r="B177" s="2" t="s">
        <v>61</v>
      </c>
      <c r="C177" s="2" t="s">
        <v>2237</v>
      </c>
      <c r="D177" s="2" t="s">
        <v>36</v>
      </c>
      <c r="E177" s="2" t="s">
        <v>37</v>
      </c>
      <c r="F177" s="2" t="s">
        <v>2238</v>
      </c>
      <c r="G177" s="2" t="s">
        <v>47</v>
      </c>
      <c r="H177" s="2" t="s">
        <v>2239</v>
      </c>
      <c r="I177" s="2" t="s">
        <v>2240</v>
      </c>
      <c r="J177" s="2" t="s">
        <v>2241</v>
      </c>
      <c r="K177" s="2" t="s">
        <v>2242</v>
      </c>
      <c r="L177" s="2" t="s">
        <v>2243</v>
      </c>
      <c r="M177" s="2">
        <v>1229400</v>
      </c>
      <c r="N177" s="2">
        <v>2049000</v>
      </c>
      <c r="O177" s="2" t="s">
        <v>2244</v>
      </c>
      <c r="P177" s="8">
        <v>45726</v>
      </c>
      <c r="Q177" s="2" t="s">
        <v>2245</v>
      </c>
      <c r="R177" s="2" t="s">
        <v>2246</v>
      </c>
      <c r="S177" s="2" t="s">
        <v>55</v>
      </c>
      <c r="T177" s="2" t="s">
        <v>55</v>
      </c>
      <c r="U177" s="2" t="s">
        <v>99</v>
      </c>
      <c r="V177" s="2" t="s">
        <v>91</v>
      </c>
      <c r="W177" s="2" t="s">
        <v>2247</v>
      </c>
      <c r="X177" s="2" t="s">
        <v>93</v>
      </c>
      <c r="Y177" s="2" t="s">
        <v>94</v>
      </c>
      <c r="Z177" s="2" t="s">
        <v>2248</v>
      </c>
      <c r="AA177" s="2">
        <v>5</v>
      </c>
      <c r="AB177" s="2" t="s">
        <v>44</v>
      </c>
      <c r="AC177" s="2" t="s">
        <v>2249</v>
      </c>
      <c r="AD177" s="2" t="s">
        <v>2250</v>
      </c>
      <c r="AE177" s="2" t="s">
        <v>78</v>
      </c>
      <c r="AF177" s="2">
        <v>1536750</v>
      </c>
      <c r="AG177" s="2">
        <v>30735</v>
      </c>
      <c r="AH177" s="2"/>
      <c r="AI177" s="2"/>
      <c r="AJ177" s="2" t="s">
        <v>37</v>
      </c>
      <c r="AK177" s="2" t="s">
        <v>5211</v>
      </c>
      <c r="AL177" s="3">
        <v>30735</v>
      </c>
      <c r="AM177" s="8">
        <v>45734</v>
      </c>
      <c r="AN177" s="2"/>
      <c r="AO177" s="7">
        <f t="shared" si="2"/>
        <v>0</v>
      </c>
    </row>
    <row r="178" spans="1:41" hidden="1" x14ac:dyDescent="0.25">
      <c r="A178" s="5">
        <v>202</v>
      </c>
      <c r="B178" s="5" t="s">
        <v>61</v>
      </c>
      <c r="C178" s="5" t="s">
        <v>2251</v>
      </c>
      <c r="D178" s="5" t="s">
        <v>36</v>
      </c>
      <c r="E178" s="5" t="s">
        <v>37</v>
      </c>
      <c r="F178" s="5" t="s">
        <v>2252</v>
      </c>
      <c r="G178" s="5" t="s">
        <v>53</v>
      </c>
      <c r="H178" s="5" t="s">
        <v>2253</v>
      </c>
      <c r="I178" s="5" t="s">
        <v>2254</v>
      </c>
      <c r="J178" s="5" t="s">
        <v>2255</v>
      </c>
      <c r="K178" s="5" t="s">
        <v>2254</v>
      </c>
      <c r="L178" s="5" t="s">
        <v>2256</v>
      </c>
      <c r="M178" s="5">
        <v>1414342</v>
      </c>
      <c r="N178" s="5">
        <v>5300000</v>
      </c>
      <c r="O178" s="5" t="s">
        <v>2257</v>
      </c>
      <c r="P178" s="6">
        <v>45712</v>
      </c>
      <c r="Q178" s="5" t="s">
        <v>2258</v>
      </c>
      <c r="R178" s="5" t="s">
        <v>2259</v>
      </c>
      <c r="S178" s="5" t="s">
        <v>48</v>
      </c>
      <c r="T178" s="5" t="s">
        <v>2260</v>
      </c>
      <c r="U178" s="5" t="s">
        <v>2261</v>
      </c>
      <c r="V178" s="5" t="s">
        <v>91</v>
      </c>
      <c r="W178" s="6">
        <v>44984</v>
      </c>
      <c r="X178" s="5" t="s">
        <v>1772</v>
      </c>
      <c r="Y178" s="5" t="s">
        <v>959</v>
      </c>
      <c r="Z178" s="5" t="s">
        <v>2262</v>
      </c>
      <c r="AA178" s="5">
        <v>3</v>
      </c>
      <c r="AB178" s="5" t="s">
        <v>51</v>
      </c>
      <c r="AC178" s="5" t="s">
        <v>2263</v>
      </c>
      <c r="AD178" s="5" t="s">
        <v>2236</v>
      </c>
      <c r="AE178" s="5">
        <v>1.75</v>
      </c>
      <c r="AF178" s="5">
        <v>4505000</v>
      </c>
      <c r="AG178" s="5">
        <v>78838</v>
      </c>
      <c r="AH178" s="5"/>
      <c r="AI178" s="5"/>
      <c r="AJ178" s="5" t="s">
        <v>37</v>
      </c>
      <c r="AK178" s="2" t="s">
        <v>5212</v>
      </c>
      <c r="AL178" s="3">
        <v>78838</v>
      </c>
      <c r="AM178" s="8">
        <v>45713</v>
      </c>
      <c r="AN178" s="2"/>
      <c r="AO178" s="7">
        <f t="shared" si="2"/>
        <v>0</v>
      </c>
    </row>
    <row r="179" spans="1:41" hidden="1" x14ac:dyDescent="0.25">
      <c r="A179" s="2">
        <v>203</v>
      </c>
      <c r="B179" s="2" t="s">
        <v>61</v>
      </c>
      <c r="C179" s="2" t="s">
        <v>2264</v>
      </c>
      <c r="D179" s="2" t="s">
        <v>36</v>
      </c>
      <c r="E179" s="2" t="s">
        <v>37</v>
      </c>
      <c r="F179" s="2" t="s">
        <v>2265</v>
      </c>
      <c r="G179" s="2" t="s">
        <v>144</v>
      </c>
      <c r="H179" s="2" t="s">
        <v>2266</v>
      </c>
      <c r="I179" s="2" t="s">
        <v>2267</v>
      </c>
      <c r="J179" s="2" t="s">
        <v>2267</v>
      </c>
      <c r="K179" s="2" t="s">
        <v>2267</v>
      </c>
      <c r="L179" s="2" t="s">
        <v>2268</v>
      </c>
      <c r="M179" s="2">
        <v>1082200</v>
      </c>
      <c r="N179" s="2">
        <v>1546000</v>
      </c>
      <c r="O179" s="2" t="s">
        <v>2269</v>
      </c>
      <c r="P179" s="8">
        <v>45726</v>
      </c>
      <c r="Q179" s="2" t="s">
        <v>2270</v>
      </c>
      <c r="R179" s="2" t="s">
        <v>2271</v>
      </c>
      <c r="S179" s="2" t="s">
        <v>55</v>
      </c>
      <c r="T179" s="2" t="s">
        <v>55</v>
      </c>
      <c r="U179" s="2" t="s">
        <v>1816</v>
      </c>
      <c r="V179" s="2" t="s">
        <v>57</v>
      </c>
      <c r="W179" s="2" t="s">
        <v>1355</v>
      </c>
      <c r="X179" s="2" t="s">
        <v>42</v>
      </c>
      <c r="Y179" s="2" t="s">
        <v>94</v>
      </c>
      <c r="Z179" s="2" t="s">
        <v>2272</v>
      </c>
      <c r="AA179" s="2">
        <v>4</v>
      </c>
      <c r="AB179" s="2" t="s">
        <v>44</v>
      </c>
      <c r="AC179" s="2" t="s">
        <v>2273</v>
      </c>
      <c r="AD179" s="2" t="s">
        <v>1554</v>
      </c>
      <c r="AE179" s="2" t="s">
        <v>78</v>
      </c>
      <c r="AF179" s="2">
        <v>1236800</v>
      </c>
      <c r="AG179" s="2">
        <v>24736</v>
      </c>
      <c r="AH179" s="2"/>
      <c r="AI179" s="2"/>
      <c r="AJ179" s="2" t="s">
        <v>1580</v>
      </c>
      <c r="AK179" s="9" t="s">
        <v>5619</v>
      </c>
      <c r="AL179" s="3">
        <v>24736</v>
      </c>
      <c r="AM179" s="8">
        <v>45743</v>
      </c>
      <c r="AN179" s="2"/>
      <c r="AO179" s="7">
        <f t="shared" si="2"/>
        <v>0</v>
      </c>
    </row>
    <row r="180" spans="1:41" hidden="1" x14ac:dyDescent="0.25">
      <c r="A180" s="5">
        <v>204</v>
      </c>
      <c r="B180" s="5" t="s">
        <v>61</v>
      </c>
      <c r="C180" s="5" t="s">
        <v>2274</v>
      </c>
      <c r="D180" s="5" t="s">
        <v>36</v>
      </c>
      <c r="E180" s="5" t="s">
        <v>37</v>
      </c>
      <c r="F180" s="5" t="s">
        <v>2275</v>
      </c>
      <c r="G180" s="5" t="s">
        <v>111</v>
      </c>
      <c r="H180" s="5" t="s">
        <v>2276</v>
      </c>
      <c r="I180" s="5" t="s">
        <v>55</v>
      </c>
      <c r="J180" s="5" t="s">
        <v>2277</v>
      </c>
      <c r="K180" s="5" t="s">
        <v>2278</v>
      </c>
      <c r="L180" s="5" t="s">
        <v>2279</v>
      </c>
      <c r="M180" s="5">
        <v>1237628</v>
      </c>
      <c r="N180" s="5">
        <v>5430000</v>
      </c>
      <c r="O180" s="5" t="s">
        <v>2280</v>
      </c>
      <c r="P180" s="6">
        <v>45712</v>
      </c>
      <c r="Q180" s="5" t="s">
        <v>2281</v>
      </c>
      <c r="R180" s="5" t="s">
        <v>2282</v>
      </c>
      <c r="S180" s="5" t="s">
        <v>54</v>
      </c>
      <c r="T180" s="5" t="s">
        <v>55</v>
      </c>
      <c r="U180" s="5" t="s">
        <v>2283</v>
      </c>
      <c r="V180" s="5" t="s">
        <v>91</v>
      </c>
      <c r="W180" s="6">
        <v>44253</v>
      </c>
      <c r="X180" s="5" t="s">
        <v>933</v>
      </c>
      <c r="Y180" s="5" t="s">
        <v>959</v>
      </c>
      <c r="Z180" s="5" t="s">
        <v>2284</v>
      </c>
      <c r="AA180" s="5">
        <v>5</v>
      </c>
      <c r="AB180" s="5" t="s">
        <v>55</v>
      </c>
      <c r="AC180" s="5" t="s">
        <v>55</v>
      </c>
      <c r="AD180" s="5" t="s">
        <v>55</v>
      </c>
      <c r="AE180" s="5">
        <v>1.75</v>
      </c>
      <c r="AF180" s="5">
        <v>4072500</v>
      </c>
      <c r="AG180" s="5">
        <v>71269</v>
      </c>
      <c r="AH180" s="5"/>
      <c r="AI180" s="5"/>
      <c r="AJ180" s="5" t="s">
        <v>37</v>
      </c>
      <c r="AK180" s="2" t="s">
        <v>5213</v>
      </c>
      <c r="AL180" s="3">
        <v>71269</v>
      </c>
      <c r="AM180" s="8">
        <v>45713</v>
      </c>
      <c r="AN180" s="2"/>
      <c r="AO180" s="7">
        <f t="shared" si="2"/>
        <v>0</v>
      </c>
    </row>
    <row r="181" spans="1:41" hidden="1" x14ac:dyDescent="0.25">
      <c r="A181" s="2">
        <v>205</v>
      </c>
      <c r="B181" s="2" t="s">
        <v>61</v>
      </c>
      <c r="C181" s="2" t="s">
        <v>2285</v>
      </c>
      <c r="D181" s="2" t="s">
        <v>36</v>
      </c>
      <c r="E181" s="2" t="s">
        <v>37</v>
      </c>
      <c r="F181" s="2" t="s">
        <v>2286</v>
      </c>
      <c r="G181" s="2" t="s">
        <v>47</v>
      </c>
      <c r="H181" s="2" t="s">
        <v>55</v>
      </c>
      <c r="I181" s="2" t="s">
        <v>55</v>
      </c>
      <c r="J181" s="2" t="s">
        <v>55</v>
      </c>
      <c r="K181" s="2" t="s">
        <v>55</v>
      </c>
      <c r="L181" s="2" t="s">
        <v>2287</v>
      </c>
      <c r="M181" s="2">
        <v>1288000</v>
      </c>
      <c r="N181" s="2">
        <v>1840000</v>
      </c>
      <c r="O181" s="2" t="s">
        <v>2288</v>
      </c>
      <c r="P181" s="8">
        <v>45726</v>
      </c>
      <c r="Q181" s="2" t="s">
        <v>2289</v>
      </c>
      <c r="R181" s="2" t="s">
        <v>2290</v>
      </c>
      <c r="S181" s="2" t="s">
        <v>55</v>
      </c>
      <c r="T181" s="2" t="s">
        <v>55</v>
      </c>
      <c r="U181" s="2" t="s">
        <v>798</v>
      </c>
      <c r="V181" s="2" t="s">
        <v>158</v>
      </c>
      <c r="W181" s="2" t="s">
        <v>1355</v>
      </c>
      <c r="X181" s="2" t="s">
        <v>42</v>
      </c>
      <c r="Y181" s="2" t="s">
        <v>1541</v>
      </c>
      <c r="Z181" s="2" t="s">
        <v>2291</v>
      </c>
      <c r="AA181" s="2">
        <v>7</v>
      </c>
      <c r="AB181" s="2" t="s">
        <v>44</v>
      </c>
      <c r="AC181" s="2" t="s">
        <v>2292</v>
      </c>
      <c r="AD181" s="2" t="s">
        <v>1554</v>
      </c>
      <c r="AE181" s="2" t="s">
        <v>46</v>
      </c>
      <c r="AF181" s="2">
        <v>1472000</v>
      </c>
      <c r="AG181" s="2">
        <v>22080</v>
      </c>
      <c r="AH181" s="2"/>
      <c r="AI181" s="2"/>
      <c r="AJ181" s="2" t="s">
        <v>37</v>
      </c>
      <c r="AK181" s="2" t="s">
        <v>5214</v>
      </c>
      <c r="AL181" s="3">
        <v>22080</v>
      </c>
      <c r="AM181" s="8">
        <v>45734</v>
      </c>
      <c r="AN181" s="2"/>
      <c r="AO181" s="7">
        <f t="shared" si="2"/>
        <v>0</v>
      </c>
    </row>
    <row r="182" spans="1:41" x14ac:dyDescent="0.25">
      <c r="A182" s="5">
        <v>206</v>
      </c>
      <c r="B182" s="5" t="s">
        <v>61</v>
      </c>
      <c r="C182" s="5" t="s">
        <v>2293</v>
      </c>
      <c r="D182" s="5" t="s">
        <v>36</v>
      </c>
      <c r="E182" s="5" t="s">
        <v>37</v>
      </c>
      <c r="F182" s="5" t="s">
        <v>2294</v>
      </c>
      <c r="G182" s="5" t="s">
        <v>111</v>
      </c>
      <c r="H182" s="5" t="s">
        <v>2295</v>
      </c>
      <c r="I182" s="5" t="s">
        <v>2296</v>
      </c>
      <c r="J182" s="5" t="s">
        <v>2296</v>
      </c>
      <c r="K182" s="5" t="s">
        <v>2296</v>
      </c>
      <c r="L182" s="5" t="s">
        <v>2297</v>
      </c>
      <c r="M182" s="5">
        <v>1270638</v>
      </c>
      <c r="N182" s="5">
        <v>3700000</v>
      </c>
      <c r="O182" s="5" t="s">
        <v>2298</v>
      </c>
      <c r="P182" s="6">
        <v>45712</v>
      </c>
      <c r="Q182" s="5" t="s">
        <v>2299</v>
      </c>
      <c r="R182" s="5" t="s">
        <v>2300</v>
      </c>
      <c r="S182" s="5" t="s">
        <v>48</v>
      </c>
      <c r="T182" s="5" t="s">
        <v>2301</v>
      </c>
      <c r="U182" s="5" t="s">
        <v>157</v>
      </c>
      <c r="V182" s="5" t="s">
        <v>158</v>
      </c>
      <c r="W182" s="6">
        <v>44620</v>
      </c>
      <c r="X182" s="5" t="s">
        <v>100</v>
      </c>
      <c r="Y182" s="5" t="s">
        <v>947</v>
      </c>
      <c r="Z182" s="5" t="s">
        <v>2302</v>
      </c>
      <c r="AA182" s="5">
        <v>5</v>
      </c>
      <c r="AB182" s="5" t="s">
        <v>44</v>
      </c>
      <c r="AC182" s="5" t="s">
        <v>2303</v>
      </c>
      <c r="AD182" s="5" t="s">
        <v>113</v>
      </c>
      <c r="AE182" s="5">
        <v>1.5</v>
      </c>
      <c r="AF182" s="5">
        <v>2960000</v>
      </c>
      <c r="AG182" s="5">
        <v>44400</v>
      </c>
      <c r="AH182" s="5"/>
      <c r="AI182" s="5"/>
      <c r="AJ182" s="5" t="s">
        <v>37</v>
      </c>
      <c r="AK182" s="2" t="s">
        <v>5215</v>
      </c>
      <c r="AL182" s="3">
        <v>41625</v>
      </c>
      <c r="AM182" s="8">
        <v>45713</v>
      </c>
      <c r="AN182" s="2" t="s">
        <v>5510</v>
      </c>
      <c r="AO182" s="7">
        <f t="shared" si="2"/>
        <v>2775</v>
      </c>
    </row>
    <row r="183" spans="1:41" x14ac:dyDescent="0.25">
      <c r="A183" s="2">
        <v>207</v>
      </c>
      <c r="B183" s="2" t="s">
        <v>61</v>
      </c>
      <c r="C183" s="2" t="s">
        <v>2304</v>
      </c>
      <c r="D183" s="2" t="s">
        <v>36</v>
      </c>
      <c r="E183" s="2" t="s">
        <v>37</v>
      </c>
      <c r="F183" s="2" t="s">
        <v>2305</v>
      </c>
      <c r="G183" s="2" t="s">
        <v>47</v>
      </c>
      <c r="H183" s="2" t="s">
        <v>2306</v>
      </c>
      <c r="I183" s="2" t="s">
        <v>2307</v>
      </c>
      <c r="J183" s="2" t="s">
        <v>2307</v>
      </c>
      <c r="K183" s="2" t="s">
        <v>2307</v>
      </c>
      <c r="L183" s="2" t="s">
        <v>2308</v>
      </c>
      <c r="M183" s="2">
        <v>992683</v>
      </c>
      <c r="N183" s="2">
        <v>2500000</v>
      </c>
      <c r="O183" s="2" t="s">
        <v>2309</v>
      </c>
      <c r="P183" s="8">
        <v>45712</v>
      </c>
      <c r="Q183" s="2" t="s">
        <v>2310</v>
      </c>
      <c r="R183" s="2" t="s">
        <v>2311</v>
      </c>
      <c r="S183" s="2" t="s">
        <v>48</v>
      </c>
      <c r="T183" s="2" t="s">
        <v>2312</v>
      </c>
      <c r="U183" s="2" t="s">
        <v>522</v>
      </c>
      <c r="V183" s="2" t="s">
        <v>40</v>
      </c>
      <c r="W183" s="8">
        <v>44620</v>
      </c>
      <c r="X183" s="2" t="s">
        <v>100</v>
      </c>
      <c r="Y183" s="2" t="s">
        <v>947</v>
      </c>
      <c r="Z183" s="2" t="s">
        <v>2313</v>
      </c>
      <c r="AA183" s="2">
        <v>5</v>
      </c>
      <c r="AB183" s="2" t="s">
        <v>76</v>
      </c>
      <c r="AC183" s="2" t="s">
        <v>2314</v>
      </c>
      <c r="AD183" s="2" t="s">
        <v>109</v>
      </c>
      <c r="AE183" s="2">
        <v>1.5</v>
      </c>
      <c r="AF183" s="2">
        <v>2000000</v>
      </c>
      <c r="AG183" s="2">
        <v>30000</v>
      </c>
      <c r="AH183" s="2"/>
      <c r="AI183" s="2"/>
      <c r="AJ183" s="2" t="s">
        <v>37</v>
      </c>
      <c r="AK183" s="2" t="s">
        <v>5216</v>
      </c>
      <c r="AL183" s="3">
        <v>28125</v>
      </c>
      <c r="AM183" s="8">
        <v>45713</v>
      </c>
      <c r="AN183" s="2" t="s">
        <v>5511</v>
      </c>
      <c r="AO183" s="7">
        <f t="shared" si="2"/>
        <v>1875</v>
      </c>
    </row>
    <row r="184" spans="1:41" x14ac:dyDescent="0.25">
      <c r="A184" s="5">
        <v>208</v>
      </c>
      <c r="B184" s="5" t="s">
        <v>61</v>
      </c>
      <c r="C184" s="5" t="s">
        <v>2315</v>
      </c>
      <c r="D184" s="5" t="s">
        <v>36</v>
      </c>
      <c r="E184" s="5" t="s">
        <v>37</v>
      </c>
      <c r="F184" s="5" t="s">
        <v>2316</v>
      </c>
      <c r="G184" s="5" t="s">
        <v>47</v>
      </c>
      <c r="H184" s="5" t="s">
        <v>2317</v>
      </c>
      <c r="I184" s="5" t="s">
        <v>55</v>
      </c>
      <c r="J184" s="5" t="s">
        <v>2318</v>
      </c>
      <c r="K184" s="5" t="s">
        <v>55</v>
      </c>
      <c r="L184" s="5" t="s">
        <v>2319</v>
      </c>
      <c r="M184" s="5">
        <v>840423</v>
      </c>
      <c r="N184" s="5">
        <v>2800000</v>
      </c>
      <c r="O184" s="5" t="s">
        <v>2320</v>
      </c>
      <c r="P184" s="6">
        <v>45712</v>
      </c>
      <c r="Q184" s="5" t="s">
        <v>2321</v>
      </c>
      <c r="R184" s="5" t="s">
        <v>2322</v>
      </c>
      <c r="S184" s="5" t="s">
        <v>48</v>
      </c>
      <c r="T184" s="5" t="s">
        <v>2323</v>
      </c>
      <c r="U184" s="5" t="s">
        <v>1297</v>
      </c>
      <c r="V184" s="5" t="s">
        <v>60</v>
      </c>
      <c r="W184" s="6">
        <v>44618</v>
      </c>
      <c r="X184" s="5" t="s">
        <v>115</v>
      </c>
      <c r="Y184" s="5" t="s">
        <v>1839</v>
      </c>
      <c r="Z184" s="5" t="s">
        <v>2324</v>
      </c>
      <c r="AA184" s="5">
        <v>5</v>
      </c>
      <c r="AB184" s="5" t="s">
        <v>44</v>
      </c>
      <c r="AC184" s="5" t="s">
        <v>2325</v>
      </c>
      <c r="AD184" s="5" t="s">
        <v>109</v>
      </c>
      <c r="AE184" s="5">
        <v>1.5</v>
      </c>
      <c r="AF184" s="5">
        <v>2240000</v>
      </c>
      <c r="AG184" s="5">
        <v>33600</v>
      </c>
      <c r="AH184" s="5"/>
      <c r="AI184" s="5"/>
      <c r="AJ184" s="5" t="s">
        <v>37</v>
      </c>
      <c r="AK184" s="2" t="s">
        <v>5217</v>
      </c>
      <c r="AL184" s="3">
        <v>31500</v>
      </c>
      <c r="AM184" s="8">
        <v>45713</v>
      </c>
      <c r="AN184" s="2" t="s">
        <v>5512</v>
      </c>
      <c r="AO184" s="7">
        <f t="shared" si="2"/>
        <v>2100</v>
      </c>
    </row>
    <row r="185" spans="1:41" hidden="1" x14ac:dyDescent="0.25">
      <c r="A185" s="2">
        <v>209</v>
      </c>
      <c r="B185" s="2" t="s">
        <v>61</v>
      </c>
      <c r="C185" s="2" t="s">
        <v>2326</v>
      </c>
      <c r="D185" s="2" t="s">
        <v>36</v>
      </c>
      <c r="E185" s="2" t="s">
        <v>37</v>
      </c>
      <c r="F185" s="2" t="s">
        <v>2327</v>
      </c>
      <c r="G185" s="2" t="s">
        <v>47</v>
      </c>
      <c r="H185" s="2" t="s">
        <v>2328</v>
      </c>
      <c r="I185" s="2" t="s">
        <v>55</v>
      </c>
      <c r="J185" s="2" t="s">
        <v>2329</v>
      </c>
      <c r="K185" s="2" t="s">
        <v>55</v>
      </c>
      <c r="L185" s="2" t="s">
        <v>2330</v>
      </c>
      <c r="M185" s="2">
        <v>1722500</v>
      </c>
      <c r="N185" s="2">
        <v>2650000</v>
      </c>
      <c r="O185" s="2" t="s">
        <v>2331</v>
      </c>
      <c r="P185" s="8">
        <v>45726</v>
      </c>
      <c r="Q185" s="2" t="s">
        <v>2332</v>
      </c>
      <c r="R185" s="2" t="s">
        <v>2333</v>
      </c>
      <c r="S185" s="2" t="s">
        <v>2334</v>
      </c>
      <c r="T185" s="2" t="s">
        <v>2334</v>
      </c>
      <c r="U185" s="2" t="s">
        <v>1297</v>
      </c>
      <c r="V185" s="2" t="s">
        <v>114</v>
      </c>
      <c r="W185" s="2" t="s">
        <v>45</v>
      </c>
      <c r="X185" s="2" t="s">
        <v>45</v>
      </c>
      <c r="Y185" s="2" t="s">
        <v>74</v>
      </c>
      <c r="Z185" s="2" t="s">
        <v>2335</v>
      </c>
      <c r="AA185" s="2">
        <v>5</v>
      </c>
      <c r="AB185" s="2" t="s">
        <v>44</v>
      </c>
      <c r="AC185" s="2" t="s">
        <v>2336</v>
      </c>
      <c r="AD185" s="2" t="s">
        <v>45</v>
      </c>
      <c r="AE185" s="2" t="s">
        <v>46</v>
      </c>
      <c r="AF185" s="2">
        <v>2120000</v>
      </c>
      <c r="AG185" s="2">
        <v>31800</v>
      </c>
      <c r="AH185" s="2"/>
      <c r="AI185" s="2"/>
      <c r="AJ185" s="2" t="s">
        <v>37</v>
      </c>
      <c r="AK185" s="2" t="s">
        <v>5218</v>
      </c>
      <c r="AL185" s="3">
        <v>31800</v>
      </c>
      <c r="AM185" s="8">
        <v>45734</v>
      </c>
      <c r="AN185" s="2"/>
      <c r="AO185" s="7">
        <f t="shared" si="2"/>
        <v>0</v>
      </c>
    </row>
    <row r="186" spans="1:41" hidden="1" x14ac:dyDescent="0.25">
      <c r="A186" s="5">
        <v>210</v>
      </c>
      <c r="B186" s="5" t="s">
        <v>61</v>
      </c>
      <c r="C186" s="5" t="s">
        <v>2337</v>
      </c>
      <c r="D186" s="5" t="s">
        <v>36</v>
      </c>
      <c r="E186" s="5" t="s">
        <v>37</v>
      </c>
      <c r="F186" s="5" t="s">
        <v>2338</v>
      </c>
      <c r="G186" s="5" t="s">
        <v>47</v>
      </c>
      <c r="H186" s="5" t="s">
        <v>2339</v>
      </c>
      <c r="I186" s="5" t="s">
        <v>2340</v>
      </c>
      <c r="J186" s="5" t="s">
        <v>2340</v>
      </c>
      <c r="K186" s="5" t="s">
        <v>2341</v>
      </c>
      <c r="L186" s="5" t="s">
        <v>2342</v>
      </c>
      <c r="M186" s="5">
        <v>608117</v>
      </c>
      <c r="N186" s="5">
        <v>3497000</v>
      </c>
      <c r="O186" s="5" t="s">
        <v>1801</v>
      </c>
      <c r="P186" s="6">
        <v>45712</v>
      </c>
      <c r="Q186" s="5" t="s">
        <v>2343</v>
      </c>
      <c r="R186" s="5" t="s">
        <v>2344</v>
      </c>
      <c r="S186" s="5" t="s">
        <v>54</v>
      </c>
      <c r="T186" s="5" t="s">
        <v>55</v>
      </c>
      <c r="U186" s="5" t="s">
        <v>2345</v>
      </c>
      <c r="V186" s="5" t="s">
        <v>91</v>
      </c>
      <c r="W186" s="6">
        <v>44196</v>
      </c>
      <c r="X186" s="5" t="s">
        <v>97</v>
      </c>
      <c r="Y186" s="5" t="s">
        <v>1032</v>
      </c>
      <c r="Z186" s="5" t="s">
        <v>2346</v>
      </c>
      <c r="AA186" s="5">
        <v>5</v>
      </c>
      <c r="AB186" s="5" t="s">
        <v>44</v>
      </c>
      <c r="AC186" s="5" t="s">
        <v>2347</v>
      </c>
      <c r="AD186" s="5" t="s">
        <v>2348</v>
      </c>
      <c r="AE186" s="5">
        <v>1.75</v>
      </c>
      <c r="AF186" s="5">
        <v>2622750</v>
      </c>
      <c r="AG186" s="5">
        <v>45898</v>
      </c>
      <c r="AH186" s="5"/>
      <c r="AI186" s="5"/>
      <c r="AJ186" s="5" t="s">
        <v>37</v>
      </c>
      <c r="AK186" s="2" t="s">
        <v>5219</v>
      </c>
      <c r="AL186" s="3">
        <v>45898</v>
      </c>
      <c r="AM186" s="8">
        <v>45713</v>
      </c>
      <c r="AN186" s="2"/>
      <c r="AO186" s="7">
        <f t="shared" si="2"/>
        <v>0</v>
      </c>
    </row>
    <row r="187" spans="1:41" hidden="1" x14ac:dyDescent="0.25">
      <c r="A187" s="2">
        <v>211</v>
      </c>
      <c r="B187" s="2" t="s">
        <v>61</v>
      </c>
      <c r="C187" s="2" t="s">
        <v>2349</v>
      </c>
      <c r="D187" s="2" t="s">
        <v>36</v>
      </c>
      <c r="E187" s="2" t="s">
        <v>37</v>
      </c>
      <c r="F187" s="2" t="s">
        <v>2350</v>
      </c>
      <c r="G187" s="2" t="s">
        <v>111</v>
      </c>
      <c r="H187" s="2" t="s">
        <v>2351</v>
      </c>
      <c r="I187" s="2" t="s">
        <v>2352</v>
      </c>
      <c r="J187" s="2" t="s">
        <v>2352</v>
      </c>
      <c r="K187" s="2" t="s">
        <v>2353</v>
      </c>
      <c r="L187" s="2" t="s">
        <v>2354</v>
      </c>
      <c r="M187" s="2">
        <v>547809</v>
      </c>
      <c r="N187" s="2">
        <v>1655000</v>
      </c>
      <c r="O187" s="2" t="s">
        <v>2355</v>
      </c>
      <c r="P187" s="8">
        <v>45712</v>
      </c>
      <c r="Q187" s="2" t="s">
        <v>2356</v>
      </c>
      <c r="R187" s="2" t="s">
        <v>2357</v>
      </c>
      <c r="S187" s="2" t="s">
        <v>54</v>
      </c>
      <c r="T187" s="2" t="s">
        <v>55</v>
      </c>
      <c r="U187" s="2" t="s">
        <v>305</v>
      </c>
      <c r="V187" s="2" t="s">
        <v>57</v>
      </c>
      <c r="W187" s="8">
        <v>44446</v>
      </c>
      <c r="X187" s="2" t="s">
        <v>100</v>
      </c>
      <c r="Y187" s="2" t="s">
        <v>1032</v>
      </c>
      <c r="Z187" s="2" t="s">
        <v>2358</v>
      </c>
      <c r="AA187" s="2">
        <v>4</v>
      </c>
      <c r="AB187" s="2" t="s">
        <v>44</v>
      </c>
      <c r="AC187" s="2" t="s">
        <v>2359</v>
      </c>
      <c r="AD187" s="2" t="s">
        <v>113</v>
      </c>
      <c r="AE187" s="2">
        <v>2</v>
      </c>
      <c r="AF187" s="2">
        <v>1324000</v>
      </c>
      <c r="AG187" s="2">
        <v>26480</v>
      </c>
      <c r="AH187" s="2"/>
      <c r="AI187" s="2"/>
      <c r="AJ187" s="2" t="s">
        <v>37</v>
      </c>
      <c r="AK187" s="2" t="s">
        <v>5220</v>
      </c>
      <c r="AL187" s="3">
        <v>26480</v>
      </c>
      <c r="AM187" s="8">
        <v>45713</v>
      </c>
      <c r="AN187" s="2"/>
      <c r="AO187" s="7">
        <f t="shared" si="2"/>
        <v>0</v>
      </c>
    </row>
    <row r="188" spans="1:41" hidden="1" x14ac:dyDescent="0.25">
      <c r="A188" s="5">
        <v>212</v>
      </c>
      <c r="B188" s="5" t="s">
        <v>61</v>
      </c>
      <c r="C188" s="5" t="s">
        <v>2360</v>
      </c>
      <c r="D188" s="5" t="s">
        <v>36</v>
      </c>
      <c r="E188" s="5" t="s">
        <v>37</v>
      </c>
      <c r="F188" s="5" t="s">
        <v>2361</v>
      </c>
      <c r="G188" s="5" t="s">
        <v>47</v>
      </c>
      <c r="H188" s="5" t="s">
        <v>2362</v>
      </c>
      <c r="I188" s="5" t="s">
        <v>2363</v>
      </c>
      <c r="J188" s="5" t="s">
        <v>2363</v>
      </c>
      <c r="K188" s="5" t="s">
        <v>67</v>
      </c>
      <c r="L188" s="5" t="s">
        <v>2364</v>
      </c>
      <c r="M188" s="5">
        <v>1055024</v>
      </c>
      <c r="N188" s="5">
        <v>2300000</v>
      </c>
      <c r="O188" s="5" t="s">
        <v>2365</v>
      </c>
      <c r="P188" s="6">
        <v>45712</v>
      </c>
      <c r="Q188" s="5" t="s">
        <v>2366</v>
      </c>
      <c r="R188" s="5" t="s">
        <v>2367</v>
      </c>
      <c r="S188" s="5" t="s">
        <v>48</v>
      </c>
      <c r="T188" s="5" t="s">
        <v>2368</v>
      </c>
      <c r="U188" s="5" t="s">
        <v>262</v>
      </c>
      <c r="V188" s="5" t="s">
        <v>60</v>
      </c>
      <c r="W188" s="6">
        <v>44618</v>
      </c>
      <c r="X188" s="5" t="s">
        <v>115</v>
      </c>
      <c r="Y188" s="5" t="s">
        <v>1733</v>
      </c>
      <c r="Z188" s="5" t="s">
        <v>2369</v>
      </c>
      <c r="AA188" s="5">
        <v>7</v>
      </c>
      <c r="AB188" s="5" t="s">
        <v>44</v>
      </c>
      <c r="AC188" s="5" t="s">
        <v>2370</v>
      </c>
      <c r="AD188" s="5" t="s">
        <v>113</v>
      </c>
      <c r="AE188" s="5">
        <v>1.5</v>
      </c>
      <c r="AF188" s="5">
        <v>1840000</v>
      </c>
      <c r="AG188" s="5">
        <v>27600</v>
      </c>
      <c r="AH188" s="5"/>
      <c r="AI188" s="5"/>
      <c r="AJ188" s="5" t="s">
        <v>37</v>
      </c>
      <c r="AK188" s="2" t="s">
        <v>5221</v>
      </c>
      <c r="AL188" s="3">
        <v>27600</v>
      </c>
      <c r="AM188" s="8">
        <v>45713</v>
      </c>
      <c r="AN188" s="2"/>
      <c r="AO188" s="7">
        <f t="shared" si="2"/>
        <v>0</v>
      </c>
    </row>
    <row r="189" spans="1:41" hidden="1" x14ac:dyDescent="0.25">
      <c r="A189" s="2">
        <v>213</v>
      </c>
      <c r="B189" s="2" t="s">
        <v>61</v>
      </c>
      <c r="C189" s="2" t="s">
        <v>2371</v>
      </c>
      <c r="D189" s="2" t="s">
        <v>36</v>
      </c>
      <c r="E189" s="2" t="s">
        <v>37</v>
      </c>
      <c r="F189" s="2" t="s">
        <v>2372</v>
      </c>
      <c r="G189" s="2" t="s">
        <v>53</v>
      </c>
      <c r="H189" s="2" t="s">
        <v>2373</v>
      </c>
      <c r="I189" s="2" t="s">
        <v>55</v>
      </c>
      <c r="J189" s="2" t="s">
        <v>2374</v>
      </c>
      <c r="K189" s="2" t="s">
        <v>55</v>
      </c>
      <c r="L189" s="2" t="s">
        <v>2375</v>
      </c>
      <c r="M189" s="2">
        <v>2053100</v>
      </c>
      <c r="N189" s="2">
        <v>2933000</v>
      </c>
      <c r="O189" s="2" t="s">
        <v>2376</v>
      </c>
      <c r="P189" s="8">
        <v>45726</v>
      </c>
      <c r="Q189" s="2" t="s">
        <v>2377</v>
      </c>
      <c r="R189" s="2" t="s">
        <v>2378</v>
      </c>
      <c r="S189" s="2" t="s">
        <v>55</v>
      </c>
      <c r="T189" s="2" t="s">
        <v>55</v>
      </c>
      <c r="U189" s="2" t="s">
        <v>112</v>
      </c>
      <c r="V189" s="2" t="s">
        <v>57</v>
      </c>
      <c r="W189" s="2" t="s">
        <v>1515</v>
      </c>
      <c r="X189" s="2" t="s">
        <v>42</v>
      </c>
      <c r="Y189" s="2" t="s">
        <v>43</v>
      </c>
      <c r="Z189" s="2" t="s">
        <v>2379</v>
      </c>
      <c r="AA189" s="2">
        <v>5</v>
      </c>
      <c r="AB189" s="2" t="s">
        <v>44</v>
      </c>
      <c r="AC189" s="2" t="s">
        <v>2380</v>
      </c>
      <c r="AD189" s="2" t="s">
        <v>45</v>
      </c>
      <c r="AE189" s="2" t="s">
        <v>78</v>
      </c>
      <c r="AF189" s="2">
        <v>2346400</v>
      </c>
      <c r="AG189" s="2">
        <v>46928</v>
      </c>
      <c r="AH189" s="2"/>
      <c r="AI189" s="2"/>
      <c r="AJ189" s="2" t="s">
        <v>37</v>
      </c>
      <c r="AK189" s="2" t="s">
        <v>5222</v>
      </c>
      <c r="AL189" s="3">
        <v>46928</v>
      </c>
      <c r="AM189" s="8">
        <v>45734</v>
      </c>
      <c r="AN189" s="2"/>
      <c r="AO189" s="7">
        <f t="shared" si="2"/>
        <v>0</v>
      </c>
    </row>
    <row r="190" spans="1:41" hidden="1" x14ac:dyDescent="0.25">
      <c r="A190" s="5">
        <v>214</v>
      </c>
      <c r="B190" s="5" t="s">
        <v>61</v>
      </c>
      <c r="C190" s="5" t="s">
        <v>2381</v>
      </c>
      <c r="D190" s="5" t="s">
        <v>36</v>
      </c>
      <c r="E190" s="5" t="s">
        <v>37</v>
      </c>
      <c r="F190" s="5" t="s">
        <v>2382</v>
      </c>
      <c r="G190" s="5" t="s">
        <v>111</v>
      </c>
      <c r="H190" s="5" t="s">
        <v>2383</v>
      </c>
      <c r="I190" s="5" t="s">
        <v>2384</v>
      </c>
      <c r="J190" s="5" t="s">
        <v>2384</v>
      </c>
      <c r="K190" s="5" t="s">
        <v>2384</v>
      </c>
      <c r="L190" s="5" t="s">
        <v>2385</v>
      </c>
      <c r="M190" s="5">
        <v>845217</v>
      </c>
      <c r="N190" s="5">
        <v>1806000</v>
      </c>
      <c r="O190" s="5" t="s">
        <v>2386</v>
      </c>
      <c r="P190" s="6">
        <v>45712</v>
      </c>
      <c r="Q190" s="5" t="s">
        <v>2387</v>
      </c>
      <c r="R190" s="5" t="s">
        <v>2388</v>
      </c>
      <c r="S190" s="5" t="s">
        <v>54</v>
      </c>
      <c r="T190" s="5" t="s">
        <v>55</v>
      </c>
      <c r="U190" s="5" t="s">
        <v>162</v>
      </c>
      <c r="V190" s="5" t="s">
        <v>57</v>
      </c>
      <c r="W190" s="6">
        <v>44473</v>
      </c>
      <c r="X190" s="5" t="s">
        <v>100</v>
      </c>
      <c r="Y190" s="5" t="s">
        <v>1018</v>
      </c>
      <c r="Z190" s="5" t="s">
        <v>2389</v>
      </c>
      <c r="AA190" s="5">
        <v>6</v>
      </c>
      <c r="AB190" s="5" t="s">
        <v>44</v>
      </c>
      <c r="AC190" s="5" t="s">
        <v>2390</v>
      </c>
      <c r="AD190" s="5" t="s">
        <v>113</v>
      </c>
      <c r="AE190" s="5">
        <v>2</v>
      </c>
      <c r="AF190" s="5">
        <v>1444800</v>
      </c>
      <c r="AG190" s="5">
        <v>28896</v>
      </c>
      <c r="AH190" s="5"/>
      <c r="AI190" s="5"/>
      <c r="AJ190" s="5" t="s">
        <v>37</v>
      </c>
      <c r="AK190" s="2" t="s">
        <v>5223</v>
      </c>
      <c r="AL190" s="3">
        <v>28896</v>
      </c>
      <c r="AM190" s="8">
        <v>45713</v>
      </c>
      <c r="AN190" s="2"/>
      <c r="AO190" s="7">
        <f t="shared" si="2"/>
        <v>0</v>
      </c>
    </row>
    <row r="191" spans="1:41" x14ac:dyDescent="0.25">
      <c r="A191" s="2">
        <v>215</v>
      </c>
      <c r="B191" s="2" t="s">
        <v>61</v>
      </c>
      <c r="C191" s="2" t="s">
        <v>2391</v>
      </c>
      <c r="D191" s="2" t="s">
        <v>36</v>
      </c>
      <c r="E191" s="2" t="s">
        <v>37</v>
      </c>
      <c r="F191" s="2" t="s">
        <v>2392</v>
      </c>
      <c r="G191" s="2" t="s">
        <v>111</v>
      </c>
      <c r="H191" s="2" t="s">
        <v>2393</v>
      </c>
      <c r="I191" s="2" t="s">
        <v>55</v>
      </c>
      <c r="J191" s="2" t="s">
        <v>2394</v>
      </c>
      <c r="K191" s="2" t="s">
        <v>2395</v>
      </c>
      <c r="L191" s="2" t="s">
        <v>2396</v>
      </c>
      <c r="M191" s="2">
        <v>701572</v>
      </c>
      <c r="N191" s="2">
        <v>1546000</v>
      </c>
      <c r="O191" s="2" t="s">
        <v>2397</v>
      </c>
      <c r="P191" s="8">
        <v>45712</v>
      </c>
      <c r="Q191" s="2" t="s">
        <v>2398</v>
      </c>
      <c r="R191" s="2" t="s">
        <v>2399</v>
      </c>
      <c r="S191" s="2" t="s">
        <v>54</v>
      </c>
      <c r="T191" s="2" t="s">
        <v>55</v>
      </c>
      <c r="U191" s="2" t="s">
        <v>334</v>
      </c>
      <c r="V191" s="2" t="s">
        <v>57</v>
      </c>
      <c r="W191" s="8">
        <v>44622</v>
      </c>
      <c r="X191" s="2" t="s">
        <v>100</v>
      </c>
      <c r="Y191" s="2" t="s">
        <v>947</v>
      </c>
      <c r="Z191" s="2" t="s">
        <v>2400</v>
      </c>
      <c r="AA191" s="2">
        <v>5</v>
      </c>
      <c r="AB191" s="2" t="s">
        <v>44</v>
      </c>
      <c r="AC191" s="2" t="s">
        <v>2401</v>
      </c>
      <c r="AD191" s="2" t="s">
        <v>101</v>
      </c>
      <c r="AE191" s="2">
        <v>2</v>
      </c>
      <c r="AF191" s="2">
        <v>1236800</v>
      </c>
      <c r="AG191" s="2">
        <v>24736</v>
      </c>
      <c r="AH191" s="2"/>
      <c r="AI191" s="2"/>
      <c r="AJ191" s="2" t="s">
        <v>37</v>
      </c>
      <c r="AK191" s="2" t="s">
        <v>5224</v>
      </c>
      <c r="AL191" s="3">
        <v>23190</v>
      </c>
      <c r="AM191" s="8">
        <v>45713</v>
      </c>
      <c r="AN191" s="2" t="s">
        <v>5513</v>
      </c>
      <c r="AO191" s="7">
        <f t="shared" si="2"/>
        <v>1546</v>
      </c>
    </row>
    <row r="192" spans="1:41" hidden="1" x14ac:dyDescent="0.25">
      <c r="A192" s="5">
        <v>216</v>
      </c>
      <c r="B192" s="5" t="s">
        <v>61</v>
      </c>
      <c r="C192" s="5" t="s">
        <v>2402</v>
      </c>
      <c r="D192" s="5" t="s">
        <v>36</v>
      </c>
      <c r="E192" s="5" t="s">
        <v>37</v>
      </c>
      <c r="F192" s="5" t="s">
        <v>2403</v>
      </c>
      <c r="G192" s="5" t="s">
        <v>111</v>
      </c>
      <c r="H192" s="5" t="s">
        <v>2404</v>
      </c>
      <c r="I192" s="5" t="s">
        <v>2405</v>
      </c>
      <c r="J192" s="5" t="s">
        <v>2405</v>
      </c>
      <c r="K192" s="5" t="s">
        <v>2406</v>
      </c>
      <c r="L192" s="5" t="s">
        <v>2407</v>
      </c>
      <c r="M192" s="5">
        <v>2991600</v>
      </c>
      <c r="N192" s="5">
        <v>5540000</v>
      </c>
      <c r="O192" s="5" t="s">
        <v>2408</v>
      </c>
      <c r="P192" s="6">
        <v>45726</v>
      </c>
      <c r="Q192" s="5" t="s">
        <v>2409</v>
      </c>
      <c r="R192" s="5" t="s">
        <v>2410</v>
      </c>
      <c r="S192" s="5" t="s">
        <v>55</v>
      </c>
      <c r="T192" s="5" t="s">
        <v>55</v>
      </c>
      <c r="U192" s="5" t="s">
        <v>2411</v>
      </c>
      <c r="V192" s="5" t="s">
        <v>57</v>
      </c>
      <c r="W192" s="5" t="s">
        <v>1092</v>
      </c>
      <c r="X192" s="5" t="s">
        <v>42</v>
      </c>
      <c r="Y192" s="5" t="s">
        <v>43</v>
      </c>
      <c r="Z192" s="5" t="s">
        <v>2412</v>
      </c>
      <c r="AA192" s="5">
        <v>5</v>
      </c>
      <c r="AB192" s="5" t="s">
        <v>76</v>
      </c>
      <c r="AC192" s="5" t="s">
        <v>2413</v>
      </c>
      <c r="AD192" s="5" t="s">
        <v>45</v>
      </c>
      <c r="AE192" s="5" t="s">
        <v>78</v>
      </c>
      <c r="AF192" s="5">
        <v>4432000</v>
      </c>
      <c r="AG192" s="5">
        <v>88640</v>
      </c>
      <c r="AH192" s="5"/>
      <c r="AI192" s="5"/>
      <c r="AJ192" s="5" t="s">
        <v>37</v>
      </c>
      <c r="AK192" s="2" t="s">
        <v>5225</v>
      </c>
      <c r="AL192" s="3">
        <v>88640</v>
      </c>
      <c r="AM192" s="8">
        <v>45734</v>
      </c>
      <c r="AN192" s="2"/>
      <c r="AO192" s="7">
        <f t="shared" si="2"/>
        <v>0</v>
      </c>
    </row>
    <row r="193" spans="1:41" hidden="1" x14ac:dyDescent="0.25">
      <c r="A193" s="2">
        <v>217</v>
      </c>
      <c r="B193" s="2" t="s">
        <v>61</v>
      </c>
      <c r="C193" s="2" t="s">
        <v>2414</v>
      </c>
      <c r="D193" s="2" t="s">
        <v>36</v>
      </c>
      <c r="E193" s="2" t="s">
        <v>37</v>
      </c>
      <c r="F193" s="2" t="s">
        <v>2415</v>
      </c>
      <c r="G193" s="2" t="s">
        <v>53</v>
      </c>
      <c r="H193" s="2" t="s">
        <v>2416</v>
      </c>
      <c r="I193" s="2" t="s">
        <v>2417</v>
      </c>
      <c r="J193" s="2" t="s">
        <v>2418</v>
      </c>
      <c r="K193" s="2" t="s">
        <v>2417</v>
      </c>
      <c r="L193" s="2" t="s">
        <v>2419</v>
      </c>
      <c r="M193" s="2">
        <v>682500</v>
      </c>
      <c r="N193" s="2">
        <v>1050000</v>
      </c>
      <c r="O193" s="2" t="s">
        <v>2420</v>
      </c>
      <c r="P193" s="8">
        <v>45726</v>
      </c>
      <c r="Q193" s="2" t="s">
        <v>2421</v>
      </c>
      <c r="R193" s="2" t="s">
        <v>2422</v>
      </c>
      <c r="S193" s="2" t="s">
        <v>2423</v>
      </c>
      <c r="T193" s="2" t="s">
        <v>2423</v>
      </c>
      <c r="U193" s="2" t="s">
        <v>2424</v>
      </c>
      <c r="V193" s="2" t="s">
        <v>114</v>
      </c>
      <c r="W193" s="2" t="s">
        <v>2425</v>
      </c>
      <c r="X193" s="2" t="s">
        <v>93</v>
      </c>
      <c r="Y193" s="2" t="s">
        <v>94</v>
      </c>
      <c r="Z193" s="2" t="s">
        <v>2426</v>
      </c>
      <c r="AA193" s="2">
        <v>5</v>
      </c>
      <c r="AB193" s="2" t="s">
        <v>51</v>
      </c>
      <c r="AC193" s="2" t="s">
        <v>2427</v>
      </c>
      <c r="AD193" s="2" t="s">
        <v>178</v>
      </c>
      <c r="AE193" s="2" t="s">
        <v>78</v>
      </c>
      <c r="AF193" s="2">
        <v>787500</v>
      </c>
      <c r="AG193" s="2">
        <v>15750</v>
      </c>
      <c r="AH193" s="2"/>
      <c r="AI193" s="2"/>
      <c r="AJ193" s="2" t="s">
        <v>37</v>
      </c>
      <c r="AK193" s="2" t="s">
        <v>5226</v>
      </c>
      <c r="AL193" s="3">
        <v>15750</v>
      </c>
      <c r="AM193" s="8">
        <v>45734</v>
      </c>
      <c r="AN193" s="2"/>
      <c r="AO193" s="7">
        <f t="shared" si="2"/>
        <v>0</v>
      </c>
    </row>
    <row r="194" spans="1:41" x14ac:dyDescent="0.25">
      <c r="A194" s="5">
        <v>218</v>
      </c>
      <c r="B194" s="5" t="s">
        <v>61</v>
      </c>
      <c r="C194" s="5" t="s">
        <v>2428</v>
      </c>
      <c r="D194" s="5" t="s">
        <v>36</v>
      </c>
      <c r="E194" s="5" t="s">
        <v>37</v>
      </c>
      <c r="F194" s="5" t="s">
        <v>2429</v>
      </c>
      <c r="G194" s="5" t="s">
        <v>2430</v>
      </c>
      <c r="H194" s="5" t="s">
        <v>2431</v>
      </c>
      <c r="I194" s="5" t="s">
        <v>55</v>
      </c>
      <c r="J194" s="5" t="s">
        <v>2432</v>
      </c>
      <c r="K194" s="5" t="s">
        <v>55</v>
      </c>
      <c r="L194" s="5" t="s">
        <v>2433</v>
      </c>
      <c r="M194" s="5">
        <v>715418</v>
      </c>
      <c r="N194" s="5">
        <v>1521000</v>
      </c>
      <c r="O194" s="5" t="s">
        <v>2434</v>
      </c>
      <c r="P194" s="6">
        <v>45712</v>
      </c>
      <c r="Q194" s="5" t="s">
        <v>2435</v>
      </c>
      <c r="R194" s="5" t="s">
        <v>2436</v>
      </c>
      <c r="S194" s="5" t="s">
        <v>54</v>
      </c>
      <c r="T194" s="5" t="s">
        <v>55</v>
      </c>
      <c r="U194" s="5" t="s">
        <v>798</v>
      </c>
      <c r="V194" s="5" t="s">
        <v>57</v>
      </c>
      <c r="W194" s="6">
        <v>44438</v>
      </c>
      <c r="X194" s="5" t="s">
        <v>100</v>
      </c>
      <c r="Y194" s="5" t="s">
        <v>947</v>
      </c>
      <c r="Z194" s="5" t="s">
        <v>2437</v>
      </c>
      <c r="AA194" s="5">
        <v>5</v>
      </c>
      <c r="AB194" s="5" t="s">
        <v>44</v>
      </c>
      <c r="AC194" s="5" t="s">
        <v>2438</v>
      </c>
      <c r="AD194" s="5" t="s">
        <v>2439</v>
      </c>
      <c r="AE194" s="5">
        <v>2</v>
      </c>
      <c r="AF194" s="5">
        <v>1216800</v>
      </c>
      <c r="AG194" s="5">
        <v>24336</v>
      </c>
      <c r="AH194" s="5"/>
      <c r="AI194" s="5"/>
      <c r="AJ194" s="5" t="s">
        <v>37</v>
      </c>
      <c r="AK194" s="2" t="s">
        <v>5227</v>
      </c>
      <c r="AL194" s="3">
        <v>22815</v>
      </c>
      <c r="AM194" s="8">
        <v>45713</v>
      </c>
      <c r="AN194" s="2" t="s">
        <v>5514</v>
      </c>
      <c r="AO194" s="7">
        <f t="shared" ref="AO194:AO257" si="3">AG194-AL194</f>
        <v>1521</v>
      </c>
    </row>
    <row r="195" spans="1:41" hidden="1" x14ac:dyDescent="0.25">
      <c r="A195" s="2">
        <v>219</v>
      </c>
      <c r="B195" s="2" t="s">
        <v>61</v>
      </c>
      <c r="C195" s="2" t="s">
        <v>2440</v>
      </c>
      <c r="D195" s="2" t="s">
        <v>36</v>
      </c>
      <c r="E195" s="2" t="s">
        <v>37</v>
      </c>
      <c r="F195" s="2" t="s">
        <v>1278</v>
      </c>
      <c r="G195" s="2" t="s">
        <v>64</v>
      </c>
      <c r="H195" s="2" t="s">
        <v>2441</v>
      </c>
      <c r="I195" s="2" t="s">
        <v>2442</v>
      </c>
      <c r="J195" s="2" t="s">
        <v>55</v>
      </c>
      <c r="K195" s="2" t="s">
        <v>2443</v>
      </c>
      <c r="L195" s="2" t="s">
        <v>2444</v>
      </c>
      <c r="M195" s="2">
        <v>600000</v>
      </c>
      <c r="N195" s="2">
        <v>800000</v>
      </c>
      <c r="O195" s="2" t="s">
        <v>2445</v>
      </c>
      <c r="P195" s="8">
        <v>45726</v>
      </c>
      <c r="Q195" s="2" t="s">
        <v>2446</v>
      </c>
      <c r="R195" s="2" t="s">
        <v>2447</v>
      </c>
      <c r="S195" s="2" t="s">
        <v>55</v>
      </c>
      <c r="T195" s="2" t="s">
        <v>55</v>
      </c>
      <c r="U195" s="2" t="s">
        <v>2448</v>
      </c>
      <c r="V195" s="2" t="s">
        <v>49</v>
      </c>
      <c r="W195" s="2" t="s">
        <v>1092</v>
      </c>
      <c r="X195" s="2" t="s">
        <v>42</v>
      </c>
      <c r="Y195" s="2" t="s">
        <v>43</v>
      </c>
      <c r="Z195" s="2" t="s">
        <v>2449</v>
      </c>
      <c r="AA195" s="2">
        <v>5</v>
      </c>
      <c r="AB195" s="2" t="s">
        <v>76</v>
      </c>
      <c r="AC195" s="2" t="s">
        <v>2450</v>
      </c>
      <c r="AD195" s="2" t="s">
        <v>2451</v>
      </c>
      <c r="AE195" s="2" t="s">
        <v>46</v>
      </c>
      <c r="AF195" s="2">
        <v>640000</v>
      </c>
      <c r="AG195" s="2">
        <v>9600</v>
      </c>
      <c r="AH195" s="2"/>
      <c r="AI195" s="2"/>
      <c r="AJ195" s="2" t="s">
        <v>37</v>
      </c>
      <c r="AK195" s="2" t="s">
        <v>5228</v>
      </c>
      <c r="AL195" s="3">
        <v>9600</v>
      </c>
      <c r="AM195" s="8">
        <v>45734</v>
      </c>
      <c r="AN195" s="2"/>
      <c r="AO195" s="7">
        <f t="shared" si="3"/>
        <v>0</v>
      </c>
    </row>
    <row r="196" spans="1:41" x14ac:dyDescent="0.25">
      <c r="A196" s="5">
        <v>220</v>
      </c>
      <c r="B196" s="5" t="s">
        <v>61</v>
      </c>
      <c r="C196" s="5" t="s">
        <v>2452</v>
      </c>
      <c r="D196" s="5" t="s">
        <v>36</v>
      </c>
      <c r="E196" s="5" t="s">
        <v>37</v>
      </c>
      <c r="F196" s="5" t="s">
        <v>2453</v>
      </c>
      <c r="G196" s="5" t="s">
        <v>111</v>
      </c>
      <c r="H196" s="5" t="s">
        <v>2454</v>
      </c>
      <c r="I196" s="5" t="s">
        <v>2455</v>
      </c>
      <c r="J196" s="5" t="s">
        <v>2455</v>
      </c>
      <c r="K196" s="5" t="s">
        <v>2455</v>
      </c>
      <c r="L196" s="5" t="s">
        <v>2456</v>
      </c>
      <c r="M196" s="5">
        <v>632102</v>
      </c>
      <c r="N196" s="5">
        <v>1546000</v>
      </c>
      <c r="O196" s="5" t="s">
        <v>2457</v>
      </c>
      <c r="P196" s="6">
        <v>45712</v>
      </c>
      <c r="Q196" s="5" t="s">
        <v>2458</v>
      </c>
      <c r="R196" s="5" t="s">
        <v>2459</v>
      </c>
      <c r="S196" s="5" t="s">
        <v>54</v>
      </c>
      <c r="T196" s="5" t="s">
        <v>55</v>
      </c>
      <c r="U196" s="5" t="s">
        <v>1816</v>
      </c>
      <c r="V196" s="5" t="s">
        <v>57</v>
      </c>
      <c r="W196" s="6">
        <v>44622</v>
      </c>
      <c r="X196" s="5" t="s">
        <v>100</v>
      </c>
      <c r="Y196" s="5" t="s">
        <v>947</v>
      </c>
      <c r="Z196" s="5" t="s">
        <v>2460</v>
      </c>
      <c r="AA196" s="5">
        <v>5</v>
      </c>
      <c r="AB196" s="5" t="s">
        <v>44</v>
      </c>
      <c r="AC196" s="5" t="s">
        <v>2461</v>
      </c>
      <c r="AD196" s="5" t="s">
        <v>113</v>
      </c>
      <c r="AE196" s="5">
        <v>2</v>
      </c>
      <c r="AF196" s="5">
        <v>1236800</v>
      </c>
      <c r="AG196" s="5">
        <v>24736</v>
      </c>
      <c r="AH196" s="5"/>
      <c r="AI196" s="5"/>
      <c r="AJ196" s="5" t="s">
        <v>37</v>
      </c>
      <c r="AK196" s="2" t="s">
        <v>5229</v>
      </c>
      <c r="AL196" s="3">
        <v>23190</v>
      </c>
      <c r="AM196" s="8">
        <v>45713</v>
      </c>
      <c r="AN196" s="2" t="s">
        <v>5515</v>
      </c>
      <c r="AO196" s="7">
        <f t="shared" si="3"/>
        <v>1546</v>
      </c>
    </row>
    <row r="197" spans="1:41" hidden="1" x14ac:dyDescent="0.25">
      <c r="A197" s="2">
        <v>221</v>
      </c>
      <c r="B197" s="2" t="s">
        <v>61</v>
      </c>
      <c r="C197" s="2" t="s">
        <v>2462</v>
      </c>
      <c r="D197" s="2" t="s">
        <v>36</v>
      </c>
      <c r="E197" s="2" t="s">
        <v>37</v>
      </c>
      <c r="F197" s="2" t="s">
        <v>2463</v>
      </c>
      <c r="G197" s="2" t="s">
        <v>53</v>
      </c>
      <c r="H197" s="2" t="s">
        <v>2464</v>
      </c>
      <c r="I197" s="2" t="s">
        <v>2465</v>
      </c>
      <c r="J197" s="2" t="s">
        <v>2466</v>
      </c>
      <c r="K197" s="2" t="s">
        <v>2465</v>
      </c>
      <c r="L197" s="2" t="s">
        <v>2467</v>
      </c>
      <c r="M197" s="2">
        <v>2100000</v>
      </c>
      <c r="N197" s="2">
        <v>3000000</v>
      </c>
      <c r="O197" s="2" t="s">
        <v>2468</v>
      </c>
      <c r="P197" s="8">
        <v>45726</v>
      </c>
      <c r="Q197" s="2" t="s">
        <v>2469</v>
      </c>
      <c r="R197" s="2" t="s">
        <v>2470</v>
      </c>
      <c r="S197" s="2" t="s">
        <v>2471</v>
      </c>
      <c r="T197" s="2" t="s">
        <v>2471</v>
      </c>
      <c r="U197" s="2" t="s">
        <v>152</v>
      </c>
      <c r="V197" s="2" t="s">
        <v>49</v>
      </c>
      <c r="W197" s="2">
        <v>45362</v>
      </c>
      <c r="X197" s="2" t="s">
        <v>691</v>
      </c>
      <c r="Y197" s="2" t="s">
        <v>74</v>
      </c>
      <c r="Z197" s="2" t="s">
        <v>2472</v>
      </c>
      <c r="AA197" s="2">
        <v>3</v>
      </c>
      <c r="AB197" s="2" t="s">
        <v>279</v>
      </c>
      <c r="AC197" s="2" t="s">
        <v>2473</v>
      </c>
      <c r="AD197" s="2" t="s">
        <v>691</v>
      </c>
      <c r="AE197" s="2" t="s">
        <v>253</v>
      </c>
      <c r="AF197" s="2">
        <v>2700000</v>
      </c>
      <c r="AG197" s="2">
        <v>47250</v>
      </c>
      <c r="AH197" s="2"/>
      <c r="AI197" s="2"/>
      <c r="AJ197" s="2" t="s">
        <v>37</v>
      </c>
      <c r="AK197" s="2" t="s">
        <v>5041</v>
      </c>
      <c r="AL197" s="3">
        <v>47250</v>
      </c>
      <c r="AM197" s="8">
        <v>45734</v>
      </c>
      <c r="AN197" s="2"/>
      <c r="AO197" s="7">
        <f t="shared" si="3"/>
        <v>0</v>
      </c>
    </row>
    <row r="198" spans="1:41" hidden="1" x14ac:dyDescent="0.25">
      <c r="A198" s="5">
        <v>222</v>
      </c>
      <c r="B198" s="5" t="s">
        <v>61</v>
      </c>
      <c r="C198" s="5" t="s">
        <v>2474</v>
      </c>
      <c r="D198" s="5" t="s">
        <v>36</v>
      </c>
      <c r="E198" s="5" t="s">
        <v>37</v>
      </c>
      <c r="F198" s="5" t="s">
        <v>2475</v>
      </c>
      <c r="G198" s="5" t="s">
        <v>53</v>
      </c>
      <c r="H198" s="5" t="s">
        <v>2476</v>
      </c>
      <c r="I198" s="5" t="s">
        <v>55</v>
      </c>
      <c r="J198" s="5" t="s">
        <v>2477</v>
      </c>
      <c r="K198" s="5" t="s">
        <v>55</v>
      </c>
      <c r="L198" s="5" t="s">
        <v>2478</v>
      </c>
      <c r="M198" s="5">
        <v>1759550</v>
      </c>
      <c r="N198" s="5">
        <v>2707000</v>
      </c>
      <c r="O198" s="5" t="s">
        <v>2479</v>
      </c>
      <c r="P198" s="6">
        <v>45726</v>
      </c>
      <c r="Q198" s="5" t="s">
        <v>2480</v>
      </c>
      <c r="R198" s="5" t="s">
        <v>2481</v>
      </c>
      <c r="S198" s="5" t="s">
        <v>55</v>
      </c>
      <c r="T198" s="5" t="s">
        <v>55</v>
      </c>
      <c r="U198" s="5" t="s">
        <v>334</v>
      </c>
      <c r="V198" s="5" t="s">
        <v>887</v>
      </c>
      <c r="W198" s="5">
        <v>45369</v>
      </c>
      <c r="X198" s="5" t="s">
        <v>2482</v>
      </c>
      <c r="Y198" s="5" t="s">
        <v>1541</v>
      </c>
      <c r="Z198" s="5" t="s">
        <v>2483</v>
      </c>
      <c r="AA198" s="5">
        <v>5</v>
      </c>
      <c r="AB198" s="5" t="s">
        <v>279</v>
      </c>
      <c r="AC198" s="5" t="s">
        <v>2484</v>
      </c>
      <c r="AD198" s="5" t="s">
        <v>691</v>
      </c>
      <c r="AE198" s="5" t="s">
        <v>253</v>
      </c>
      <c r="AF198" s="5">
        <v>2436300</v>
      </c>
      <c r="AG198" s="5">
        <v>42635</v>
      </c>
      <c r="AH198" s="5"/>
      <c r="AI198" s="5"/>
      <c r="AJ198" s="5" t="s">
        <v>37</v>
      </c>
      <c r="AK198" s="2" t="s">
        <v>5230</v>
      </c>
      <c r="AL198" s="3">
        <v>42635</v>
      </c>
      <c r="AM198" s="8">
        <v>45734</v>
      </c>
      <c r="AN198" s="2"/>
      <c r="AO198" s="7">
        <f t="shared" si="3"/>
        <v>0</v>
      </c>
    </row>
    <row r="199" spans="1:41" hidden="1" x14ac:dyDescent="0.25">
      <c r="A199" s="2">
        <v>223</v>
      </c>
      <c r="B199" s="2" t="s">
        <v>61</v>
      </c>
      <c r="C199" s="2" t="s">
        <v>2485</v>
      </c>
      <c r="D199" s="2" t="s">
        <v>36</v>
      </c>
      <c r="E199" s="2" t="s">
        <v>37</v>
      </c>
      <c r="F199" s="2" t="s">
        <v>2486</v>
      </c>
      <c r="G199" s="2" t="s">
        <v>111</v>
      </c>
      <c r="H199" s="2" t="s">
        <v>2487</v>
      </c>
      <c r="I199" s="2" t="s">
        <v>2488</v>
      </c>
      <c r="J199" s="2" t="s">
        <v>2488</v>
      </c>
      <c r="K199" s="2" t="s">
        <v>2488</v>
      </c>
      <c r="L199" s="2" t="s">
        <v>2489</v>
      </c>
      <c r="M199" s="2">
        <v>646764</v>
      </c>
      <c r="N199" s="2">
        <v>1400000</v>
      </c>
      <c r="O199" s="2" t="s">
        <v>2490</v>
      </c>
      <c r="P199" s="8">
        <v>45712</v>
      </c>
      <c r="Q199" s="2" t="s">
        <v>2491</v>
      </c>
      <c r="R199" s="2" t="s">
        <v>2492</v>
      </c>
      <c r="S199" s="2" t="s">
        <v>48</v>
      </c>
      <c r="T199" s="2" t="s">
        <v>2493</v>
      </c>
      <c r="U199" s="2" t="s">
        <v>2494</v>
      </c>
      <c r="V199" s="2" t="s">
        <v>158</v>
      </c>
      <c r="W199" s="8">
        <v>44253</v>
      </c>
      <c r="X199" s="2" t="s">
        <v>933</v>
      </c>
      <c r="Y199" s="2" t="s">
        <v>1805</v>
      </c>
      <c r="Z199" s="2" t="s">
        <v>2495</v>
      </c>
      <c r="AA199" s="2">
        <v>7</v>
      </c>
      <c r="AB199" s="2" t="s">
        <v>51</v>
      </c>
      <c r="AC199" s="2" t="s">
        <v>2496</v>
      </c>
      <c r="AD199" s="2" t="s">
        <v>2348</v>
      </c>
      <c r="AE199" s="2">
        <v>2</v>
      </c>
      <c r="AF199" s="2">
        <v>1050000</v>
      </c>
      <c r="AG199" s="2">
        <v>21000</v>
      </c>
      <c r="AH199" s="2"/>
      <c r="AI199" s="2"/>
      <c r="AJ199" s="2" t="s">
        <v>37</v>
      </c>
      <c r="AK199" s="2" t="s">
        <v>5231</v>
      </c>
      <c r="AL199" s="3">
        <v>21000</v>
      </c>
      <c r="AM199" s="8">
        <v>45713</v>
      </c>
      <c r="AN199" s="2"/>
      <c r="AO199" s="7">
        <f t="shared" si="3"/>
        <v>0</v>
      </c>
    </row>
    <row r="200" spans="1:41" x14ac:dyDescent="0.25">
      <c r="A200" s="5">
        <v>224</v>
      </c>
      <c r="B200" s="5" t="s">
        <v>61</v>
      </c>
      <c r="C200" s="5" t="s">
        <v>2497</v>
      </c>
      <c r="D200" s="5" t="s">
        <v>36</v>
      </c>
      <c r="E200" s="5" t="s">
        <v>37</v>
      </c>
      <c r="F200" s="5" t="s">
        <v>2498</v>
      </c>
      <c r="G200" s="5" t="s">
        <v>206</v>
      </c>
      <c r="H200" s="5" t="s">
        <v>2499</v>
      </c>
      <c r="I200" s="5" t="s">
        <v>2500</v>
      </c>
      <c r="J200" s="5" t="s">
        <v>2500</v>
      </c>
      <c r="K200" s="5" t="s">
        <v>2500</v>
      </c>
      <c r="L200" s="5" t="s">
        <v>2501</v>
      </c>
      <c r="M200" s="5">
        <v>751466</v>
      </c>
      <c r="N200" s="5">
        <v>1650000</v>
      </c>
      <c r="O200" s="5" t="s">
        <v>2502</v>
      </c>
      <c r="P200" s="6">
        <v>45711</v>
      </c>
      <c r="Q200" s="5" t="s">
        <v>2503</v>
      </c>
      <c r="R200" s="5" t="s">
        <v>2504</v>
      </c>
      <c r="S200" s="5" t="s">
        <v>48</v>
      </c>
      <c r="T200" s="5" t="s">
        <v>2505</v>
      </c>
      <c r="U200" s="5" t="s">
        <v>334</v>
      </c>
      <c r="V200" s="5" t="s">
        <v>91</v>
      </c>
      <c r="W200" s="6">
        <v>44617</v>
      </c>
      <c r="X200" s="5" t="s">
        <v>115</v>
      </c>
      <c r="Y200" s="5" t="s">
        <v>1839</v>
      </c>
      <c r="Z200" s="5" t="s">
        <v>2506</v>
      </c>
      <c r="AA200" s="5">
        <v>5</v>
      </c>
      <c r="AB200" s="5" t="s">
        <v>44</v>
      </c>
      <c r="AC200" s="5" t="s">
        <v>2507</v>
      </c>
      <c r="AD200" s="5" t="s">
        <v>113</v>
      </c>
      <c r="AE200" s="5">
        <v>1.5</v>
      </c>
      <c r="AF200" s="5">
        <v>1320000</v>
      </c>
      <c r="AG200" s="5">
        <v>19800</v>
      </c>
      <c r="AH200" s="5"/>
      <c r="AI200" s="5"/>
      <c r="AJ200" s="5" t="s">
        <v>37</v>
      </c>
      <c r="AK200" s="2" t="s">
        <v>5232</v>
      </c>
      <c r="AL200" s="3">
        <v>18563</v>
      </c>
      <c r="AM200" s="8">
        <v>45713</v>
      </c>
      <c r="AN200" s="2" t="s">
        <v>5516</v>
      </c>
      <c r="AO200" s="7">
        <f t="shared" si="3"/>
        <v>1237</v>
      </c>
    </row>
    <row r="201" spans="1:41" hidden="1" x14ac:dyDescent="0.25">
      <c r="A201" s="2">
        <v>225</v>
      </c>
      <c r="B201" s="2" t="s">
        <v>61</v>
      </c>
      <c r="C201" s="2" t="s">
        <v>2508</v>
      </c>
      <c r="D201" s="2" t="s">
        <v>36</v>
      </c>
      <c r="E201" s="2" t="s">
        <v>37</v>
      </c>
      <c r="F201" s="2" t="s">
        <v>2509</v>
      </c>
      <c r="G201" s="2" t="s">
        <v>53</v>
      </c>
      <c r="H201" s="2" t="s">
        <v>2510</v>
      </c>
      <c r="I201" s="2" t="s">
        <v>2511</v>
      </c>
      <c r="J201" s="2" t="s">
        <v>2512</v>
      </c>
      <c r="K201" s="2" t="s">
        <v>2513</v>
      </c>
      <c r="L201" s="2" t="s">
        <v>2514</v>
      </c>
      <c r="M201" s="2">
        <v>4248639</v>
      </c>
      <c r="N201" s="2">
        <v>20000000</v>
      </c>
      <c r="O201" s="2" t="s">
        <v>2515</v>
      </c>
      <c r="P201" s="8">
        <v>45711</v>
      </c>
      <c r="Q201" s="2" t="s">
        <v>2516</v>
      </c>
      <c r="R201" s="2" t="s">
        <v>2517</v>
      </c>
      <c r="S201" s="2" t="s">
        <v>98</v>
      </c>
      <c r="T201" s="2" t="s">
        <v>55</v>
      </c>
      <c r="U201" s="2" t="s">
        <v>2518</v>
      </c>
      <c r="V201" s="2" t="s">
        <v>49</v>
      </c>
      <c r="W201" s="8">
        <v>44253</v>
      </c>
      <c r="X201" s="2" t="s">
        <v>933</v>
      </c>
      <c r="Y201" s="2" t="s">
        <v>959</v>
      </c>
      <c r="Z201" s="2" t="s">
        <v>2519</v>
      </c>
      <c r="AA201" s="2">
        <v>5</v>
      </c>
      <c r="AB201" s="2" t="s">
        <v>44</v>
      </c>
      <c r="AC201" s="2" t="s">
        <v>2520</v>
      </c>
      <c r="AD201" s="2" t="s">
        <v>2521</v>
      </c>
      <c r="AE201" s="2">
        <v>1.75</v>
      </c>
      <c r="AF201" s="2">
        <v>15000000</v>
      </c>
      <c r="AG201" s="2">
        <v>262500</v>
      </c>
      <c r="AH201" s="2"/>
      <c r="AI201" s="2"/>
      <c r="AJ201" s="2" t="s">
        <v>37</v>
      </c>
      <c r="AK201" s="2" t="s">
        <v>5233</v>
      </c>
      <c r="AL201" s="3">
        <v>262500</v>
      </c>
      <c r="AM201" s="8">
        <v>45713</v>
      </c>
      <c r="AN201" s="2"/>
      <c r="AO201" s="7">
        <f t="shared" si="3"/>
        <v>0</v>
      </c>
    </row>
    <row r="202" spans="1:41" x14ac:dyDescent="0.25">
      <c r="A202" s="5">
        <v>226</v>
      </c>
      <c r="B202" s="5" t="s">
        <v>61</v>
      </c>
      <c r="C202" s="5" t="s">
        <v>2522</v>
      </c>
      <c r="D202" s="5" t="s">
        <v>36</v>
      </c>
      <c r="E202" s="5" t="s">
        <v>37</v>
      </c>
      <c r="F202" s="5" t="s">
        <v>2523</v>
      </c>
      <c r="G202" s="5" t="s">
        <v>111</v>
      </c>
      <c r="H202" s="5" t="s">
        <v>2524</v>
      </c>
      <c r="I202" s="5" t="s">
        <v>2525</v>
      </c>
      <c r="J202" s="5" t="s">
        <v>55</v>
      </c>
      <c r="K202" s="5" t="s">
        <v>2526</v>
      </c>
      <c r="L202" s="5" t="s">
        <v>2527</v>
      </c>
      <c r="M202" s="5">
        <v>1705593</v>
      </c>
      <c r="N202" s="5">
        <v>5350000</v>
      </c>
      <c r="O202" s="5" t="s">
        <v>2528</v>
      </c>
      <c r="P202" s="6">
        <v>45711</v>
      </c>
      <c r="Q202" s="5" t="s">
        <v>2529</v>
      </c>
      <c r="R202" s="5" t="s">
        <v>2530</v>
      </c>
      <c r="S202" s="5" t="s">
        <v>48</v>
      </c>
      <c r="T202" s="5" t="s">
        <v>2531</v>
      </c>
      <c r="U202" s="5" t="s">
        <v>2411</v>
      </c>
      <c r="V202" s="5" t="s">
        <v>60</v>
      </c>
      <c r="W202" s="6">
        <v>44617</v>
      </c>
      <c r="X202" s="5" t="s">
        <v>115</v>
      </c>
      <c r="Y202" s="5" t="s">
        <v>1839</v>
      </c>
      <c r="Z202" s="5" t="s">
        <v>2532</v>
      </c>
      <c r="AA202" s="5">
        <v>5</v>
      </c>
      <c r="AB202" s="5" t="s">
        <v>76</v>
      </c>
      <c r="AC202" s="5" t="s">
        <v>2533</v>
      </c>
      <c r="AD202" s="5" t="s">
        <v>116</v>
      </c>
      <c r="AE202" s="5">
        <v>1.5</v>
      </c>
      <c r="AF202" s="5">
        <v>4280000</v>
      </c>
      <c r="AG202" s="5">
        <v>64200</v>
      </c>
      <c r="AH202" s="5"/>
      <c r="AI202" s="5"/>
      <c r="AJ202" s="5" t="s">
        <v>37</v>
      </c>
      <c r="AK202" s="2" t="s">
        <v>5234</v>
      </c>
      <c r="AL202" s="3">
        <v>60188</v>
      </c>
      <c r="AM202" s="8">
        <v>45713</v>
      </c>
      <c r="AN202" s="2" t="s">
        <v>5517</v>
      </c>
      <c r="AO202" s="7">
        <f t="shared" si="3"/>
        <v>4012</v>
      </c>
    </row>
    <row r="203" spans="1:41" x14ac:dyDescent="0.25">
      <c r="A203" s="2">
        <v>227</v>
      </c>
      <c r="B203" s="2" t="s">
        <v>61</v>
      </c>
      <c r="C203" s="2" t="s">
        <v>2534</v>
      </c>
      <c r="D203" s="2" t="s">
        <v>36</v>
      </c>
      <c r="E203" s="2" t="s">
        <v>37</v>
      </c>
      <c r="F203" s="2" t="s">
        <v>2535</v>
      </c>
      <c r="G203" s="2" t="s">
        <v>47</v>
      </c>
      <c r="H203" s="2" t="s">
        <v>2536</v>
      </c>
      <c r="I203" s="2" t="s">
        <v>2537</v>
      </c>
      <c r="J203" s="2" t="s">
        <v>2537</v>
      </c>
      <c r="K203" s="2" t="s">
        <v>2537</v>
      </c>
      <c r="L203" s="2" t="s">
        <v>2538</v>
      </c>
      <c r="M203" s="2">
        <v>1530256</v>
      </c>
      <c r="N203" s="2">
        <v>3840000</v>
      </c>
      <c r="O203" s="2" t="s">
        <v>2539</v>
      </c>
      <c r="P203" s="8">
        <v>45711</v>
      </c>
      <c r="Q203" s="2" t="s">
        <v>2540</v>
      </c>
      <c r="R203" s="2" t="s">
        <v>2541</v>
      </c>
      <c r="S203" s="2" t="s">
        <v>48</v>
      </c>
      <c r="T203" s="2" t="s">
        <v>2542</v>
      </c>
      <c r="U203" s="2" t="s">
        <v>2543</v>
      </c>
      <c r="V203" s="2" t="s">
        <v>57</v>
      </c>
      <c r="W203" s="8">
        <v>44617</v>
      </c>
      <c r="X203" s="2" t="s">
        <v>115</v>
      </c>
      <c r="Y203" s="2" t="s">
        <v>1839</v>
      </c>
      <c r="Z203" s="2" t="s">
        <v>2544</v>
      </c>
      <c r="AA203" s="2">
        <v>5</v>
      </c>
      <c r="AB203" s="2" t="s">
        <v>44</v>
      </c>
      <c r="AC203" s="2" t="s">
        <v>2545</v>
      </c>
      <c r="AD203" s="2" t="s">
        <v>113</v>
      </c>
      <c r="AE203" s="2">
        <v>1.5</v>
      </c>
      <c r="AF203" s="2">
        <v>3072000</v>
      </c>
      <c r="AG203" s="2">
        <v>46080</v>
      </c>
      <c r="AH203" s="2"/>
      <c r="AI203" s="2"/>
      <c r="AJ203" s="2" t="s">
        <v>37</v>
      </c>
      <c r="AK203" s="2" t="s">
        <v>5235</v>
      </c>
      <c r="AL203" s="3">
        <v>43200</v>
      </c>
      <c r="AM203" s="8">
        <v>45713</v>
      </c>
      <c r="AN203" s="2" t="s">
        <v>5518</v>
      </c>
      <c r="AO203" s="7">
        <f t="shared" si="3"/>
        <v>2880</v>
      </c>
    </row>
    <row r="204" spans="1:41" x14ac:dyDescent="0.25">
      <c r="A204" s="5">
        <v>228</v>
      </c>
      <c r="B204" s="5" t="s">
        <v>61</v>
      </c>
      <c r="C204" s="5" t="s">
        <v>2546</v>
      </c>
      <c r="D204" s="5" t="s">
        <v>36</v>
      </c>
      <c r="E204" s="5" t="s">
        <v>37</v>
      </c>
      <c r="F204" s="5" t="s">
        <v>2547</v>
      </c>
      <c r="G204" s="5" t="s">
        <v>47</v>
      </c>
      <c r="H204" s="5" t="s">
        <v>2548</v>
      </c>
      <c r="I204" s="5" t="s">
        <v>2549</v>
      </c>
      <c r="J204" s="5" t="s">
        <v>2549</v>
      </c>
      <c r="K204" s="5" t="s">
        <v>2549</v>
      </c>
      <c r="L204" s="5" t="s">
        <v>2550</v>
      </c>
      <c r="M204" s="5">
        <v>1145704</v>
      </c>
      <c r="N204" s="5">
        <v>2875000</v>
      </c>
      <c r="O204" s="5" t="s">
        <v>2551</v>
      </c>
      <c r="P204" s="6">
        <v>45711</v>
      </c>
      <c r="Q204" s="5" t="s">
        <v>2552</v>
      </c>
      <c r="R204" s="5" t="s">
        <v>2553</v>
      </c>
      <c r="S204" s="5" t="s">
        <v>48</v>
      </c>
      <c r="T204" s="5" t="s">
        <v>2554</v>
      </c>
      <c r="U204" s="5" t="s">
        <v>2555</v>
      </c>
      <c r="V204" s="5" t="s">
        <v>91</v>
      </c>
      <c r="W204" s="6">
        <v>44617</v>
      </c>
      <c r="X204" s="5" t="s">
        <v>115</v>
      </c>
      <c r="Y204" s="5" t="s">
        <v>1839</v>
      </c>
      <c r="Z204" s="5" t="s">
        <v>2556</v>
      </c>
      <c r="AA204" s="5">
        <v>5</v>
      </c>
      <c r="AB204" s="5" t="s">
        <v>44</v>
      </c>
      <c r="AC204" s="5" t="s">
        <v>2557</v>
      </c>
      <c r="AD204" s="5" t="s">
        <v>113</v>
      </c>
      <c r="AE204" s="5">
        <v>1.5</v>
      </c>
      <c r="AF204" s="5">
        <v>2300000</v>
      </c>
      <c r="AG204" s="5">
        <v>34500</v>
      </c>
      <c r="AH204" s="5"/>
      <c r="AI204" s="5"/>
      <c r="AJ204" s="5" t="s">
        <v>37</v>
      </c>
      <c r="AK204" s="2" t="s">
        <v>5236</v>
      </c>
      <c r="AL204" s="3">
        <v>32344</v>
      </c>
      <c r="AM204" s="8">
        <v>45713</v>
      </c>
      <c r="AN204" s="2" t="s">
        <v>5519</v>
      </c>
      <c r="AO204" s="7">
        <f t="shared" si="3"/>
        <v>2156</v>
      </c>
    </row>
    <row r="205" spans="1:41" x14ac:dyDescent="0.25">
      <c r="A205" s="2">
        <v>229</v>
      </c>
      <c r="B205" s="2" t="s">
        <v>61</v>
      </c>
      <c r="C205" s="2" t="s">
        <v>2558</v>
      </c>
      <c r="D205" s="2" t="s">
        <v>36</v>
      </c>
      <c r="E205" s="2" t="s">
        <v>37</v>
      </c>
      <c r="F205" s="2" t="s">
        <v>2559</v>
      </c>
      <c r="G205" s="2" t="s">
        <v>47</v>
      </c>
      <c r="H205" s="2" t="s">
        <v>2560</v>
      </c>
      <c r="I205" s="2" t="s">
        <v>2561</v>
      </c>
      <c r="J205" s="2" t="s">
        <v>2561</v>
      </c>
      <c r="K205" s="2" t="s">
        <v>2561</v>
      </c>
      <c r="L205" s="2" t="s">
        <v>2562</v>
      </c>
      <c r="M205" s="2">
        <v>1135736</v>
      </c>
      <c r="N205" s="2">
        <v>2850000</v>
      </c>
      <c r="O205" s="2" t="s">
        <v>2563</v>
      </c>
      <c r="P205" s="8">
        <v>45711</v>
      </c>
      <c r="Q205" s="2" t="s">
        <v>2564</v>
      </c>
      <c r="R205" s="2" t="s">
        <v>2565</v>
      </c>
      <c r="S205" s="2" t="s">
        <v>48</v>
      </c>
      <c r="T205" s="2" t="s">
        <v>55</v>
      </c>
      <c r="U205" s="2" t="s">
        <v>2566</v>
      </c>
      <c r="V205" s="2" t="s">
        <v>40</v>
      </c>
      <c r="W205" s="8">
        <v>44617</v>
      </c>
      <c r="X205" s="2" t="s">
        <v>115</v>
      </c>
      <c r="Y205" s="2" t="s">
        <v>1839</v>
      </c>
      <c r="Z205" s="2" t="s">
        <v>2567</v>
      </c>
      <c r="AA205" s="2">
        <v>5</v>
      </c>
      <c r="AB205" s="2" t="s">
        <v>44</v>
      </c>
      <c r="AC205" s="2" t="s">
        <v>2568</v>
      </c>
      <c r="AD205" s="2" t="s">
        <v>113</v>
      </c>
      <c r="AE205" s="2">
        <v>1.5</v>
      </c>
      <c r="AF205" s="2">
        <v>2280000</v>
      </c>
      <c r="AG205" s="2">
        <v>34200</v>
      </c>
      <c r="AH205" s="2"/>
      <c r="AI205" s="2"/>
      <c r="AJ205" s="2" t="s">
        <v>37</v>
      </c>
      <c r="AK205" s="2" t="s">
        <v>5237</v>
      </c>
      <c r="AL205" s="3">
        <v>32063</v>
      </c>
      <c r="AM205" s="8">
        <v>45713</v>
      </c>
      <c r="AN205" s="2" t="s">
        <v>5520</v>
      </c>
      <c r="AO205" s="7">
        <f t="shared" si="3"/>
        <v>2137</v>
      </c>
    </row>
    <row r="206" spans="1:41" x14ac:dyDescent="0.25">
      <c r="A206" s="5">
        <v>230</v>
      </c>
      <c r="B206" s="5" t="s">
        <v>61</v>
      </c>
      <c r="C206" s="5" t="s">
        <v>2569</v>
      </c>
      <c r="D206" s="5" t="s">
        <v>36</v>
      </c>
      <c r="E206" s="5" t="s">
        <v>37</v>
      </c>
      <c r="F206" s="5" t="s">
        <v>2570</v>
      </c>
      <c r="G206" s="5" t="s">
        <v>206</v>
      </c>
      <c r="H206" s="5" t="s">
        <v>2571</v>
      </c>
      <c r="I206" s="5" t="s">
        <v>2572</v>
      </c>
      <c r="J206" s="5" t="s">
        <v>2572</v>
      </c>
      <c r="K206" s="5" t="s">
        <v>2572</v>
      </c>
      <c r="L206" s="5" t="s">
        <v>2573</v>
      </c>
      <c r="M206" s="5">
        <v>1150632</v>
      </c>
      <c r="N206" s="5">
        <v>2800000</v>
      </c>
      <c r="O206" s="5" t="s">
        <v>2574</v>
      </c>
      <c r="P206" s="6">
        <v>45711</v>
      </c>
      <c r="Q206" s="5" t="s">
        <v>2575</v>
      </c>
      <c r="R206" s="5" t="s">
        <v>2576</v>
      </c>
      <c r="S206" s="5" t="s">
        <v>48</v>
      </c>
      <c r="T206" s="5" t="s">
        <v>2577</v>
      </c>
      <c r="U206" s="5" t="s">
        <v>1488</v>
      </c>
      <c r="V206" s="5" t="s">
        <v>40</v>
      </c>
      <c r="W206" s="6">
        <v>44620</v>
      </c>
      <c r="X206" s="5" t="s">
        <v>100</v>
      </c>
      <c r="Y206" s="5" t="s">
        <v>947</v>
      </c>
      <c r="Z206" s="5" t="s">
        <v>2578</v>
      </c>
      <c r="AA206" s="5">
        <v>5</v>
      </c>
      <c r="AB206" s="5" t="s">
        <v>44</v>
      </c>
      <c r="AC206" s="5" t="s">
        <v>2579</v>
      </c>
      <c r="AD206" s="5" t="s">
        <v>116</v>
      </c>
      <c r="AE206" s="5">
        <v>1.5</v>
      </c>
      <c r="AF206" s="5">
        <v>2240000</v>
      </c>
      <c r="AG206" s="5">
        <v>33600</v>
      </c>
      <c r="AH206" s="5"/>
      <c r="AI206" s="5"/>
      <c r="AJ206" s="5" t="s">
        <v>37</v>
      </c>
      <c r="AK206" s="2" t="s">
        <v>5238</v>
      </c>
      <c r="AL206" s="3">
        <v>31500</v>
      </c>
      <c r="AM206" s="8">
        <v>45713</v>
      </c>
      <c r="AN206" s="2" t="s">
        <v>5521</v>
      </c>
      <c r="AO206" s="7">
        <f t="shared" si="3"/>
        <v>2100</v>
      </c>
    </row>
    <row r="207" spans="1:41" hidden="1" x14ac:dyDescent="0.25">
      <c r="A207" s="2">
        <v>231</v>
      </c>
      <c r="B207" s="2" t="s">
        <v>61</v>
      </c>
      <c r="C207" s="2" t="s">
        <v>2580</v>
      </c>
      <c r="D207" s="2" t="s">
        <v>36</v>
      </c>
      <c r="E207" s="2" t="s">
        <v>37</v>
      </c>
      <c r="F207" s="2" t="s">
        <v>2581</v>
      </c>
      <c r="G207" s="2" t="s">
        <v>111</v>
      </c>
      <c r="H207" s="2" t="s">
        <v>2582</v>
      </c>
      <c r="I207" s="2" t="s">
        <v>2583</v>
      </c>
      <c r="J207" s="2" t="s">
        <v>2583</v>
      </c>
      <c r="K207" s="2" t="s">
        <v>2583</v>
      </c>
      <c r="L207" s="2" t="s">
        <v>2584</v>
      </c>
      <c r="M207" s="2">
        <v>737125</v>
      </c>
      <c r="N207" s="2">
        <v>4250000</v>
      </c>
      <c r="O207" s="2" t="s">
        <v>2585</v>
      </c>
      <c r="P207" s="8">
        <v>45711</v>
      </c>
      <c r="Q207" s="2" t="s">
        <v>2586</v>
      </c>
      <c r="R207" s="2" t="s">
        <v>2587</v>
      </c>
      <c r="S207" s="2" t="s">
        <v>48</v>
      </c>
      <c r="T207" s="2" t="s">
        <v>2588</v>
      </c>
      <c r="U207" s="2" t="s">
        <v>2589</v>
      </c>
      <c r="V207" s="2" t="s">
        <v>91</v>
      </c>
      <c r="W207" s="8">
        <v>44616</v>
      </c>
      <c r="X207" s="2" t="s">
        <v>115</v>
      </c>
      <c r="Y207" s="2" t="s">
        <v>959</v>
      </c>
      <c r="Z207" s="2" t="s">
        <v>2590</v>
      </c>
      <c r="AA207" s="2">
        <v>4</v>
      </c>
      <c r="AB207" s="2" t="s">
        <v>76</v>
      </c>
      <c r="AC207" s="2" t="s">
        <v>2591</v>
      </c>
      <c r="AD207" s="2" t="s">
        <v>2592</v>
      </c>
      <c r="AE207" s="2">
        <v>1.5</v>
      </c>
      <c r="AF207" s="2">
        <v>3400000</v>
      </c>
      <c r="AG207" s="2">
        <v>51000</v>
      </c>
      <c r="AH207" s="2"/>
      <c r="AI207" s="2"/>
      <c r="AJ207" s="2" t="s">
        <v>37</v>
      </c>
      <c r="AK207" s="2" t="s">
        <v>5239</v>
      </c>
      <c r="AL207" s="3">
        <v>51000</v>
      </c>
      <c r="AM207" s="8">
        <v>45713</v>
      </c>
      <c r="AN207" s="2"/>
      <c r="AO207" s="7">
        <f t="shared" si="3"/>
        <v>0</v>
      </c>
    </row>
    <row r="208" spans="1:41" x14ac:dyDescent="0.25">
      <c r="A208" s="5">
        <v>232</v>
      </c>
      <c r="B208" s="5" t="s">
        <v>61</v>
      </c>
      <c r="C208" s="5" t="s">
        <v>2593</v>
      </c>
      <c r="D208" s="5" t="s">
        <v>36</v>
      </c>
      <c r="E208" s="5" t="s">
        <v>37</v>
      </c>
      <c r="F208" s="5" t="s">
        <v>2594</v>
      </c>
      <c r="G208" s="5" t="s">
        <v>111</v>
      </c>
      <c r="H208" s="5" t="s">
        <v>2595</v>
      </c>
      <c r="I208" s="5" t="s">
        <v>55</v>
      </c>
      <c r="J208" s="5" t="s">
        <v>2596</v>
      </c>
      <c r="K208" s="5" t="s">
        <v>55</v>
      </c>
      <c r="L208" s="5" t="s">
        <v>2597</v>
      </c>
      <c r="M208" s="5">
        <v>843962</v>
      </c>
      <c r="N208" s="5">
        <v>1850000</v>
      </c>
      <c r="O208" s="5" t="s">
        <v>2598</v>
      </c>
      <c r="P208" s="6">
        <v>45711</v>
      </c>
      <c r="Q208" s="5" t="s">
        <v>2599</v>
      </c>
      <c r="R208" s="5" t="s">
        <v>2600</v>
      </c>
      <c r="S208" s="5" t="s">
        <v>48</v>
      </c>
      <c r="T208" s="5" t="s">
        <v>2601</v>
      </c>
      <c r="U208" s="5" t="s">
        <v>305</v>
      </c>
      <c r="V208" s="5" t="s">
        <v>230</v>
      </c>
      <c r="W208" s="6">
        <v>44620</v>
      </c>
      <c r="X208" s="5" t="s">
        <v>100</v>
      </c>
      <c r="Y208" s="5" t="s">
        <v>947</v>
      </c>
      <c r="Z208" s="5" t="s">
        <v>2602</v>
      </c>
      <c r="AA208" s="5">
        <v>5</v>
      </c>
      <c r="AB208" s="5" t="s">
        <v>44</v>
      </c>
      <c r="AC208" s="5" t="s">
        <v>2603</v>
      </c>
      <c r="AD208" s="5" t="s">
        <v>113</v>
      </c>
      <c r="AE208" s="5">
        <v>1.5</v>
      </c>
      <c r="AF208" s="5">
        <v>1480000</v>
      </c>
      <c r="AG208" s="5">
        <v>22200</v>
      </c>
      <c r="AH208" s="5"/>
      <c r="AI208" s="5"/>
      <c r="AJ208" s="5" t="s">
        <v>37</v>
      </c>
      <c r="AK208" s="2" t="s">
        <v>5240</v>
      </c>
      <c r="AL208" s="3">
        <v>20813</v>
      </c>
      <c r="AM208" s="8">
        <v>45713</v>
      </c>
      <c r="AN208" s="2" t="s">
        <v>5522</v>
      </c>
      <c r="AO208" s="7">
        <f t="shared" si="3"/>
        <v>1387</v>
      </c>
    </row>
    <row r="209" spans="1:41" hidden="1" x14ac:dyDescent="0.25">
      <c r="A209" s="2">
        <v>233</v>
      </c>
      <c r="B209" s="2" t="s">
        <v>61</v>
      </c>
      <c r="C209" s="2" t="s">
        <v>2604</v>
      </c>
      <c r="D209" s="2" t="s">
        <v>36</v>
      </c>
      <c r="E209" s="2" t="s">
        <v>37</v>
      </c>
      <c r="F209" s="2" t="s">
        <v>2605</v>
      </c>
      <c r="G209" s="2" t="s">
        <v>47</v>
      </c>
      <c r="H209" s="2" t="s">
        <v>2606</v>
      </c>
      <c r="I209" s="2" t="s">
        <v>55</v>
      </c>
      <c r="J209" s="2" t="s">
        <v>2607</v>
      </c>
      <c r="K209" s="2" t="s">
        <v>55</v>
      </c>
      <c r="L209" s="2" t="s">
        <v>2608</v>
      </c>
      <c r="M209" s="2">
        <v>989674</v>
      </c>
      <c r="N209" s="2">
        <v>1521000</v>
      </c>
      <c r="O209" s="2" t="s">
        <v>2609</v>
      </c>
      <c r="P209" s="8">
        <v>45711</v>
      </c>
      <c r="Q209" s="2" t="s">
        <v>2610</v>
      </c>
      <c r="R209" s="2" t="s">
        <v>2611</v>
      </c>
      <c r="S209" s="2" t="s">
        <v>54</v>
      </c>
      <c r="T209" s="2" t="s">
        <v>55</v>
      </c>
      <c r="U209" s="2" t="s">
        <v>798</v>
      </c>
      <c r="V209" s="2" t="s">
        <v>57</v>
      </c>
      <c r="W209" s="8">
        <v>44446</v>
      </c>
      <c r="X209" s="2" t="s">
        <v>115</v>
      </c>
      <c r="Y209" s="2" t="s">
        <v>1733</v>
      </c>
      <c r="Z209" s="2" t="s">
        <v>2612</v>
      </c>
      <c r="AA209" s="2">
        <v>7</v>
      </c>
      <c r="AB209" s="2" t="s">
        <v>44</v>
      </c>
      <c r="AC209" s="2" t="s">
        <v>2613</v>
      </c>
      <c r="AD209" s="2" t="s">
        <v>2592</v>
      </c>
      <c r="AE209" s="2">
        <v>2</v>
      </c>
      <c r="AF209" s="2">
        <v>1216800</v>
      </c>
      <c r="AG209" s="2">
        <v>24336</v>
      </c>
      <c r="AH209" s="2"/>
      <c r="AI209" s="2"/>
      <c r="AJ209" s="2" t="s">
        <v>37</v>
      </c>
      <c r="AK209" s="2" t="s">
        <v>5241</v>
      </c>
      <c r="AL209" s="3">
        <v>24336</v>
      </c>
      <c r="AM209" s="8">
        <v>45713</v>
      </c>
      <c r="AN209" s="2"/>
      <c r="AO209" s="7">
        <f t="shared" si="3"/>
        <v>0</v>
      </c>
    </row>
    <row r="210" spans="1:41" x14ac:dyDescent="0.25">
      <c r="A210" s="5">
        <v>234</v>
      </c>
      <c r="B210" s="5" t="s">
        <v>61</v>
      </c>
      <c r="C210" s="5" t="s">
        <v>2614</v>
      </c>
      <c r="D210" s="5" t="s">
        <v>36</v>
      </c>
      <c r="E210" s="5" t="s">
        <v>37</v>
      </c>
      <c r="F210" s="5" t="s">
        <v>2615</v>
      </c>
      <c r="G210" s="5" t="s">
        <v>2616</v>
      </c>
      <c r="H210" s="5" t="s">
        <v>2617</v>
      </c>
      <c r="I210" s="5" t="s">
        <v>2618</v>
      </c>
      <c r="J210" s="5" t="s">
        <v>2618</v>
      </c>
      <c r="K210" s="5" t="s">
        <v>2618</v>
      </c>
      <c r="L210" s="5" t="s">
        <v>2619</v>
      </c>
      <c r="M210" s="5">
        <v>637556</v>
      </c>
      <c r="N210" s="5">
        <v>1450000</v>
      </c>
      <c r="O210" s="5" t="s">
        <v>2620</v>
      </c>
      <c r="P210" s="6">
        <v>45711</v>
      </c>
      <c r="Q210" s="5" t="s">
        <v>2621</v>
      </c>
      <c r="R210" s="5" t="s">
        <v>2622</v>
      </c>
      <c r="S210" s="5" t="s">
        <v>48</v>
      </c>
      <c r="T210" s="5" t="s">
        <v>2623</v>
      </c>
      <c r="U210" s="5" t="s">
        <v>430</v>
      </c>
      <c r="V210" s="5" t="s">
        <v>158</v>
      </c>
      <c r="W210" s="6">
        <v>44617</v>
      </c>
      <c r="X210" s="5" t="s">
        <v>115</v>
      </c>
      <c r="Y210" s="5" t="s">
        <v>1839</v>
      </c>
      <c r="Z210" s="5" t="s">
        <v>2624</v>
      </c>
      <c r="AA210" s="5">
        <v>5</v>
      </c>
      <c r="AB210" s="5" t="s">
        <v>44</v>
      </c>
      <c r="AC210" s="5" t="s">
        <v>2625</v>
      </c>
      <c r="AD210" s="5" t="s">
        <v>113</v>
      </c>
      <c r="AE210" s="5">
        <v>1.5</v>
      </c>
      <c r="AF210" s="5">
        <v>1160000</v>
      </c>
      <c r="AG210" s="5">
        <v>17400</v>
      </c>
      <c r="AH210" s="5"/>
      <c r="AI210" s="5"/>
      <c r="AJ210" s="5" t="s">
        <v>37</v>
      </c>
      <c r="AK210" s="2" t="s">
        <v>5242</v>
      </c>
      <c r="AL210" s="3">
        <v>16313</v>
      </c>
      <c r="AM210" s="8">
        <v>45713</v>
      </c>
      <c r="AN210" s="2" t="s">
        <v>5523</v>
      </c>
      <c r="AO210" s="7">
        <f t="shared" si="3"/>
        <v>1087</v>
      </c>
    </row>
    <row r="211" spans="1:41" x14ac:dyDescent="0.25">
      <c r="A211" s="2">
        <v>235</v>
      </c>
      <c r="B211" s="2" t="s">
        <v>61</v>
      </c>
      <c r="C211" s="2" t="s">
        <v>2626</v>
      </c>
      <c r="D211" s="2" t="s">
        <v>36</v>
      </c>
      <c r="E211" s="2" t="s">
        <v>37</v>
      </c>
      <c r="F211" s="2" t="s">
        <v>2627</v>
      </c>
      <c r="G211" s="2" t="s">
        <v>111</v>
      </c>
      <c r="H211" s="2" t="s">
        <v>2628</v>
      </c>
      <c r="I211" s="2" t="s">
        <v>2629</v>
      </c>
      <c r="J211" s="2" t="s">
        <v>2629</v>
      </c>
      <c r="K211" s="2" t="s">
        <v>2629</v>
      </c>
      <c r="L211" s="2" t="s">
        <v>2630</v>
      </c>
      <c r="M211" s="2">
        <v>544560</v>
      </c>
      <c r="N211" s="2">
        <v>1600000</v>
      </c>
      <c r="O211" s="2" t="s">
        <v>2631</v>
      </c>
      <c r="P211" s="8">
        <v>45711</v>
      </c>
      <c r="Q211" s="2" t="s">
        <v>2632</v>
      </c>
      <c r="R211" s="2" t="s">
        <v>2633</v>
      </c>
      <c r="S211" s="2" t="s">
        <v>48</v>
      </c>
      <c r="T211" s="2" t="s">
        <v>2634</v>
      </c>
      <c r="U211" s="2" t="s">
        <v>380</v>
      </c>
      <c r="V211" s="2" t="s">
        <v>230</v>
      </c>
      <c r="W211" s="8">
        <v>44620</v>
      </c>
      <c r="X211" s="2" t="s">
        <v>100</v>
      </c>
      <c r="Y211" s="2" t="s">
        <v>947</v>
      </c>
      <c r="Z211" s="2" t="s">
        <v>2635</v>
      </c>
      <c r="AA211" s="2">
        <v>5</v>
      </c>
      <c r="AB211" s="2" t="s">
        <v>44</v>
      </c>
      <c r="AC211" s="2" t="s">
        <v>2636</v>
      </c>
      <c r="AD211" s="2" t="s">
        <v>113</v>
      </c>
      <c r="AE211" s="2">
        <v>1.5</v>
      </c>
      <c r="AF211" s="2">
        <v>1280000</v>
      </c>
      <c r="AG211" s="2">
        <v>19200</v>
      </c>
      <c r="AH211" s="2"/>
      <c r="AI211" s="2"/>
      <c r="AJ211" s="2" t="s">
        <v>37</v>
      </c>
      <c r="AK211" s="2" t="s">
        <v>5243</v>
      </c>
      <c r="AL211" s="3">
        <v>18000</v>
      </c>
      <c r="AM211" s="8">
        <v>45713</v>
      </c>
      <c r="AN211" s="2" t="s">
        <v>5524</v>
      </c>
      <c r="AO211" s="7">
        <f t="shared" si="3"/>
        <v>1200</v>
      </c>
    </row>
    <row r="212" spans="1:41" hidden="1" x14ac:dyDescent="0.25">
      <c r="A212" s="5">
        <v>236</v>
      </c>
      <c r="B212" s="5" t="s">
        <v>61</v>
      </c>
      <c r="C212" s="5" t="s">
        <v>2637</v>
      </c>
      <c r="D212" s="5" t="s">
        <v>36</v>
      </c>
      <c r="E212" s="5" t="s">
        <v>37</v>
      </c>
      <c r="F212" s="5" t="s">
        <v>2638</v>
      </c>
      <c r="G212" s="5" t="s">
        <v>53</v>
      </c>
      <c r="H212" s="5" t="s">
        <v>2639</v>
      </c>
      <c r="I212" s="5" t="s">
        <v>79</v>
      </c>
      <c r="J212" s="5" t="s">
        <v>2640</v>
      </c>
      <c r="K212" s="5" t="s">
        <v>2641</v>
      </c>
      <c r="L212" s="5" t="s">
        <v>2642</v>
      </c>
      <c r="M212" s="5">
        <v>1319016</v>
      </c>
      <c r="N212" s="5">
        <v>2935000</v>
      </c>
      <c r="O212" s="5" t="s">
        <v>2643</v>
      </c>
      <c r="P212" s="6">
        <v>45710</v>
      </c>
      <c r="Q212" s="5" t="s">
        <v>2644</v>
      </c>
      <c r="R212" s="5" t="s">
        <v>2645</v>
      </c>
      <c r="S212" s="5" t="s">
        <v>54</v>
      </c>
      <c r="T212" s="5" t="s">
        <v>55</v>
      </c>
      <c r="U212" s="5" t="s">
        <v>798</v>
      </c>
      <c r="V212" s="5" t="s">
        <v>248</v>
      </c>
      <c r="W212" s="6">
        <v>45258</v>
      </c>
      <c r="X212" s="5" t="s">
        <v>1687</v>
      </c>
      <c r="Y212" s="5" t="s">
        <v>959</v>
      </c>
      <c r="Z212" s="5" t="s">
        <v>2646</v>
      </c>
      <c r="AA212" s="5">
        <v>2</v>
      </c>
      <c r="AB212" s="5" t="s">
        <v>44</v>
      </c>
      <c r="AC212" s="5" t="s">
        <v>2647</v>
      </c>
      <c r="AD212" s="5" t="s">
        <v>2648</v>
      </c>
      <c r="AE212" s="5">
        <v>2</v>
      </c>
      <c r="AF212" s="5">
        <v>2641500</v>
      </c>
      <c r="AG212" s="5">
        <v>52830</v>
      </c>
      <c r="AH212" s="5"/>
      <c r="AI212" s="5"/>
      <c r="AJ212" s="5" t="s">
        <v>37</v>
      </c>
      <c r="AK212" s="2" t="s">
        <v>5244</v>
      </c>
      <c r="AL212" s="3">
        <v>52830</v>
      </c>
      <c r="AM212" s="8">
        <v>45713</v>
      </c>
      <c r="AN212" s="2"/>
      <c r="AO212" s="7">
        <f t="shared" si="3"/>
        <v>0</v>
      </c>
    </row>
    <row r="213" spans="1:41" hidden="1" x14ac:dyDescent="0.25">
      <c r="A213" s="2">
        <v>237</v>
      </c>
      <c r="B213" s="2" t="s">
        <v>61</v>
      </c>
      <c r="C213" s="2" t="s">
        <v>2649</v>
      </c>
      <c r="D213" s="2" t="s">
        <v>36</v>
      </c>
      <c r="E213" s="2" t="s">
        <v>37</v>
      </c>
      <c r="F213" s="2" t="s">
        <v>2650</v>
      </c>
      <c r="G213" s="2" t="s">
        <v>47</v>
      </c>
      <c r="H213" s="2" t="s">
        <v>2651</v>
      </c>
      <c r="I213" s="2" t="s">
        <v>2652</v>
      </c>
      <c r="J213" s="2" t="s">
        <v>2652</v>
      </c>
      <c r="K213" s="2" t="s">
        <v>2653</v>
      </c>
      <c r="L213" s="2" t="s">
        <v>2654</v>
      </c>
      <c r="M213" s="2">
        <v>2366250</v>
      </c>
      <c r="N213" s="2">
        <v>3155000</v>
      </c>
      <c r="O213" s="2" t="s">
        <v>2655</v>
      </c>
      <c r="P213" s="8">
        <v>45728</v>
      </c>
      <c r="Q213" s="2" t="s">
        <v>2656</v>
      </c>
      <c r="R213" s="2" t="s">
        <v>2657</v>
      </c>
      <c r="S213" s="2" t="s">
        <v>2658</v>
      </c>
      <c r="T213" s="2" t="s">
        <v>55</v>
      </c>
      <c r="U213" s="2" t="s">
        <v>2036</v>
      </c>
      <c r="V213" s="2" t="s">
        <v>60</v>
      </c>
      <c r="W213" s="2" t="s">
        <v>52</v>
      </c>
      <c r="X213" s="2" t="s">
        <v>2659</v>
      </c>
      <c r="Y213" s="2" t="s">
        <v>43</v>
      </c>
      <c r="Z213" s="2" t="s">
        <v>2660</v>
      </c>
      <c r="AA213" s="2">
        <v>7</v>
      </c>
      <c r="AB213" s="2" t="s">
        <v>51</v>
      </c>
      <c r="AC213" s="2" t="s">
        <v>2661</v>
      </c>
      <c r="AD213" s="2" t="s">
        <v>2662</v>
      </c>
      <c r="AE213" s="2" t="s">
        <v>324</v>
      </c>
      <c r="AF213" s="2">
        <v>2208500</v>
      </c>
      <c r="AG213" s="2">
        <v>55213</v>
      </c>
      <c r="AH213" s="2"/>
      <c r="AI213" s="2"/>
      <c r="AJ213" s="2" t="s">
        <v>37</v>
      </c>
      <c r="AK213" s="2" t="s">
        <v>5245</v>
      </c>
      <c r="AL213" s="3">
        <v>55213</v>
      </c>
      <c r="AM213" s="8">
        <v>45734</v>
      </c>
      <c r="AN213" s="2"/>
      <c r="AO213" s="7">
        <f t="shared" si="3"/>
        <v>0</v>
      </c>
    </row>
    <row r="214" spans="1:41" x14ac:dyDescent="0.25">
      <c r="A214" s="5">
        <v>238</v>
      </c>
      <c r="B214" s="5" t="s">
        <v>61</v>
      </c>
      <c r="C214" s="5" t="s">
        <v>2663</v>
      </c>
      <c r="D214" s="5" t="s">
        <v>36</v>
      </c>
      <c r="E214" s="5" t="s">
        <v>37</v>
      </c>
      <c r="F214" s="5" t="s">
        <v>2664</v>
      </c>
      <c r="G214" s="5" t="s">
        <v>111</v>
      </c>
      <c r="H214" s="5" t="s">
        <v>2665</v>
      </c>
      <c r="I214" s="5" t="s">
        <v>2666</v>
      </c>
      <c r="J214" s="5" t="s">
        <v>2667</v>
      </c>
      <c r="K214" s="5" t="s">
        <v>2668</v>
      </c>
      <c r="L214" s="5" t="s">
        <v>2669</v>
      </c>
      <c r="M214" s="5">
        <v>6986788</v>
      </c>
      <c r="N214" s="5">
        <v>18658000</v>
      </c>
      <c r="O214" s="5" t="s">
        <v>2670</v>
      </c>
      <c r="P214" s="6">
        <v>45710</v>
      </c>
      <c r="Q214" s="5" t="s">
        <v>2671</v>
      </c>
      <c r="R214" s="5" t="s">
        <v>2672</v>
      </c>
      <c r="S214" s="5" t="s">
        <v>54</v>
      </c>
      <c r="T214" s="5" t="s">
        <v>55</v>
      </c>
      <c r="U214" s="5" t="s">
        <v>2673</v>
      </c>
      <c r="V214" s="5" t="s">
        <v>91</v>
      </c>
      <c r="W214" s="6">
        <v>44405</v>
      </c>
      <c r="X214" s="5" t="s">
        <v>45</v>
      </c>
      <c r="Y214" s="5" t="s">
        <v>74</v>
      </c>
      <c r="Z214" s="5" t="s">
        <v>2674</v>
      </c>
      <c r="AA214" s="5">
        <v>5</v>
      </c>
      <c r="AB214" s="5" t="s">
        <v>55</v>
      </c>
      <c r="AC214" s="5" t="s">
        <v>55</v>
      </c>
      <c r="AD214" s="5" t="s">
        <v>55</v>
      </c>
      <c r="AE214" s="5">
        <v>1.5</v>
      </c>
      <c r="AF214" s="5">
        <v>14926400</v>
      </c>
      <c r="AG214" s="5">
        <v>223896</v>
      </c>
      <c r="AH214" s="5"/>
      <c r="AI214" s="5"/>
      <c r="AJ214" s="5" t="s">
        <v>37</v>
      </c>
      <c r="AK214" s="2" t="s">
        <v>5246</v>
      </c>
      <c r="AL214" s="3">
        <v>209903</v>
      </c>
      <c r="AM214" s="8">
        <v>45713</v>
      </c>
      <c r="AN214" s="2" t="s">
        <v>5525</v>
      </c>
      <c r="AO214" s="7">
        <f t="shared" si="3"/>
        <v>13993</v>
      </c>
    </row>
    <row r="215" spans="1:41" x14ac:dyDescent="0.25">
      <c r="A215" s="2">
        <v>239</v>
      </c>
      <c r="B215" s="2" t="s">
        <v>61</v>
      </c>
      <c r="C215" s="2" t="s">
        <v>2675</v>
      </c>
      <c r="D215" s="2" t="s">
        <v>36</v>
      </c>
      <c r="E215" s="2" t="s">
        <v>37</v>
      </c>
      <c r="F215" s="2" t="s">
        <v>2676</v>
      </c>
      <c r="G215" s="2" t="s">
        <v>111</v>
      </c>
      <c r="H215" s="2" t="s">
        <v>2677</v>
      </c>
      <c r="I215" s="2" t="s">
        <v>55</v>
      </c>
      <c r="J215" s="2" t="s">
        <v>2678</v>
      </c>
      <c r="K215" s="2" t="s">
        <v>55</v>
      </c>
      <c r="L215" s="2" t="s">
        <v>2679</v>
      </c>
      <c r="M215" s="2">
        <v>1586660</v>
      </c>
      <c r="N215" s="2">
        <v>3483000</v>
      </c>
      <c r="O215" s="2" t="s">
        <v>2680</v>
      </c>
      <c r="P215" s="8">
        <v>45710</v>
      </c>
      <c r="Q215" s="2" t="s">
        <v>2681</v>
      </c>
      <c r="R215" s="2" t="s">
        <v>2682</v>
      </c>
      <c r="S215" s="2" t="s">
        <v>275</v>
      </c>
      <c r="T215" s="2" t="s">
        <v>55</v>
      </c>
      <c r="U215" s="2" t="s">
        <v>2261</v>
      </c>
      <c r="V215" s="2" t="s">
        <v>57</v>
      </c>
      <c r="W215" s="8">
        <v>44518</v>
      </c>
      <c r="X215" s="2" t="s">
        <v>100</v>
      </c>
      <c r="Y215" s="2" t="s">
        <v>947</v>
      </c>
      <c r="Z215" s="2" t="s">
        <v>2683</v>
      </c>
      <c r="AA215" s="2">
        <v>5</v>
      </c>
      <c r="AB215" s="2" t="s">
        <v>76</v>
      </c>
      <c r="AC215" s="2" t="s">
        <v>2684</v>
      </c>
      <c r="AD215" s="2" t="s">
        <v>2592</v>
      </c>
      <c r="AE215" s="2">
        <v>1.4</v>
      </c>
      <c r="AF215" s="2">
        <v>2786400</v>
      </c>
      <c r="AG215" s="2">
        <v>39010</v>
      </c>
      <c r="AH215" s="2"/>
      <c r="AI215" s="2"/>
      <c r="AJ215" s="2" t="s">
        <v>37</v>
      </c>
      <c r="AK215" s="2" t="s">
        <v>5247</v>
      </c>
      <c r="AL215" s="3">
        <v>36572</v>
      </c>
      <c r="AM215" s="8">
        <v>45713</v>
      </c>
      <c r="AN215" s="2" t="s">
        <v>5526</v>
      </c>
      <c r="AO215" s="7">
        <f t="shared" si="3"/>
        <v>2438</v>
      </c>
    </row>
    <row r="216" spans="1:41" x14ac:dyDescent="0.25">
      <c r="A216" s="5">
        <v>240</v>
      </c>
      <c r="B216" s="5" t="s">
        <v>61</v>
      </c>
      <c r="C216" s="5" t="s">
        <v>2685</v>
      </c>
      <c r="D216" s="5" t="s">
        <v>36</v>
      </c>
      <c r="E216" s="5" t="s">
        <v>37</v>
      </c>
      <c r="F216" s="5" t="s">
        <v>2686</v>
      </c>
      <c r="G216" s="5" t="s">
        <v>111</v>
      </c>
      <c r="H216" s="5" t="s">
        <v>2687</v>
      </c>
      <c r="I216" s="5" t="s">
        <v>2688</v>
      </c>
      <c r="J216" s="5" t="s">
        <v>2688</v>
      </c>
      <c r="K216" s="5" t="s">
        <v>2688</v>
      </c>
      <c r="L216" s="5" t="s">
        <v>2689</v>
      </c>
      <c r="M216" s="5">
        <v>1020171</v>
      </c>
      <c r="N216" s="5">
        <v>2240000</v>
      </c>
      <c r="O216" s="5" t="s">
        <v>2690</v>
      </c>
      <c r="P216" s="6">
        <v>45710</v>
      </c>
      <c r="Q216" s="5" t="s">
        <v>2691</v>
      </c>
      <c r="R216" s="5" t="s">
        <v>2692</v>
      </c>
      <c r="S216" s="5" t="s">
        <v>48</v>
      </c>
      <c r="T216" s="5" t="s">
        <v>2693</v>
      </c>
      <c r="U216" s="5" t="s">
        <v>545</v>
      </c>
      <c r="V216" s="5" t="s">
        <v>91</v>
      </c>
      <c r="W216" s="6">
        <v>44618</v>
      </c>
      <c r="X216" s="5" t="s">
        <v>115</v>
      </c>
      <c r="Y216" s="5" t="s">
        <v>1839</v>
      </c>
      <c r="Z216" s="5" t="s">
        <v>2694</v>
      </c>
      <c r="AA216" s="5">
        <v>5</v>
      </c>
      <c r="AB216" s="5" t="s">
        <v>76</v>
      </c>
      <c r="AC216" s="5" t="s">
        <v>2695</v>
      </c>
      <c r="AD216" s="5" t="s">
        <v>2592</v>
      </c>
      <c r="AE216" s="5">
        <v>1.5</v>
      </c>
      <c r="AF216" s="5">
        <v>1792000</v>
      </c>
      <c r="AG216" s="5">
        <v>26880</v>
      </c>
      <c r="AH216" s="5"/>
      <c r="AI216" s="5"/>
      <c r="AJ216" s="5" t="s">
        <v>37</v>
      </c>
      <c r="AK216" s="2" t="s">
        <v>5248</v>
      </c>
      <c r="AL216" s="3">
        <v>25200</v>
      </c>
      <c r="AM216" s="8">
        <v>45713</v>
      </c>
      <c r="AN216" s="2" t="s">
        <v>5527</v>
      </c>
      <c r="AO216" s="7">
        <f t="shared" si="3"/>
        <v>1680</v>
      </c>
    </row>
    <row r="217" spans="1:41" hidden="1" x14ac:dyDescent="0.25">
      <c r="A217" s="2">
        <v>241</v>
      </c>
      <c r="B217" s="2" t="s">
        <v>61</v>
      </c>
      <c r="C217" s="2" t="s">
        <v>2696</v>
      </c>
      <c r="D217" s="2" t="s">
        <v>36</v>
      </c>
      <c r="E217" s="2" t="s">
        <v>37</v>
      </c>
      <c r="F217" s="2" t="s">
        <v>2697</v>
      </c>
      <c r="G217" s="2" t="s">
        <v>53</v>
      </c>
      <c r="H217" s="2" t="s">
        <v>2698</v>
      </c>
      <c r="I217" s="2" t="s">
        <v>2699</v>
      </c>
      <c r="J217" s="2" t="s">
        <v>2700</v>
      </c>
      <c r="K217" s="2" t="s">
        <v>2699</v>
      </c>
      <c r="L217" s="2" t="s">
        <v>2701</v>
      </c>
      <c r="M217" s="2">
        <v>1917180</v>
      </c>
      <c r="N217" s="2">
        <v>3195300</v>
      </c>
      <c r="O217" s="2" t="s">
        <v>2702</v>
      </c>
      <c r="P217" s="8">
        <v>45728</v>
      </c>
      <c r="Q217" s="2" t="s">
        <v>2703</v>
      </c>
      <c r="R217" s="2" t="s">
        <v>2704</v>
      </c>
      <c r="S217" s="2" t="s">
        <v>55</v>
      </c>
      <c r="T217" s="2" t="s">
        <v>55</v>
      </c>
      <c r="U217" s="2" t="s">
        <v>2705</v>
      </c>
      <c r="V217" s="2" t="s">
        <v>248</v>
      </c>
      <c r="W217" s="2" t="s">
        <v>2706</v>
      </c>
      <c r="X217" s="2" t="s">
        <v>1381</v>
      </c>
      <c r="Y217" s="2" t="s">
        <v>94</v>
      </c>
      <c r="Z217" s="2" t="s">
        <v>2707</v>
      </c>
      <c r="AA217" s="2">
        <v>3</v>
      </c>
      <c r="AB217" s="2" t="s">
        <v>76</v>
      </c>
      <c r="AC217" s="2" t="s">
        <v>2708</v>
      </c>
      <c r="AD217" s="2" t="s">
        <v>1819</v>
      </c>
      <c r="AE217" s="2" t="s">
        <v>78</v>
      </c>
      <c r="AF217" s="2">
        <v>2716005</v>
      </c>
      <c r="AG217" s="2">
        <v>54320</v>
      </c>
      <c r="AH217" s="2"/>
      <c r="AI217" s="2"/>
      <c r="AJ217" s="2" t="s">
        <v>37</v>
      </c>
      <c r="AK217" s="2" t="s">
        <v>5249</v>
      </c>
      <c r="AL217" s="3">
        <v>54320</v>
      </c>
      <c r="AM217" s="8">
        <v>45734</v>
      </c>
      <c r="AN217" s="2"/>
      <c r="AO217" s="7">
        <f t="shared" si="3"/>
        <v>0</v>
      </c>
    </row>
    <row r="218" spans="1:41" x14ac:dyDescent="0.25">
      <c r="A218" s="5">
        <v>242</v>
      </c>
      <c r="B218" s="5" t="s">
        <v>61</v>
      </c>
      <c r="C218" s="5" t="s">
        <v>2709</v>
      </c>
      <c r="D218" s="5" t="s">
        <v>36</v>
      </c>
      <c r="E218" s="5" t="s">
        <v>37</v>
      </c>
      <c r="F218" s="5" t="s">
        <v>2710</v>
      </c>
      <c r="G218" s="5" t="s">
        <v>64</v>
      </c>
      <c r="H218" s="5" t="s">
        <v>2711</v>
      </c>
      <c r="I218" s="5" t="s">
        <v>55</v>
      </c>
      <c r="J218" s="5" t="s">
        <v>2712</v>
      </c>
      <c r="K218" s="5" t="s">
        <v>2713</v>
      </c>
      <c r="L218" s="5" t="s">
        <v>2714</v>
      </c>
      <c r="M218" s="5">
        <v>896636</v>
      </c>
      <c r="N218" s="5">
        <v>2250000</v>
      </c>
      <c r="O218" s="5" t="s">
        <v>2715</v>
      </c>
      <c r="P218" s="6">
        <v>45710</v>
      </c>
      <c r="Q218" s="5" t="s">
        <v>2716</v>
      </c>
      <c r="R218" s="5" t="s">
        <v>2717</v>
      </c>
      <c r="S218" s="5" t="s">
        <v>48</v>
      </c>
      <c r="T218" s="5" t="s">
        <v>2718</v>
      </c>
      <c r="U218" s="5" t="s">
        <v>2719</v>
      </c>
      <c r="V218" s="5" t="s">
        <v>40</v>
      </c>
      <c r="W218" s="6">
        <v>44617</v>
      </c>
      <c r="X218" s="5" t="s">
        <v>115</v>
      </c>
      <c r="Y218" s="5" t="s">
        <v>1839</v>
      </c>
      <c r="Z218" s="5" t="s">
        <v>2720</v>
      </c>
      <c r="AA218" s="5">
        <v>5</v>
      </c>
      <c r="AB218" s="5" t="s">
        <v>44</v>
      </c>
      <c r="AC218" s="5" t="s">
        <v>2721</v>
      </c>
      <c r="AD218" s="5" t="s">
        <v>116</v>
      </c>
      <c r="AE218" s="5">
        <v>1.5</v>
      </c>
      <c r="AF218" s="5">
        <v>1800000</v>
      </c>
      <c r="AG218" s="5">
        <v>27000</v>
      </c>
      <c r="AH218" s="5"/>
      <c r="AI218" s="5"/>
      <c r="AJ218" s="5" t="s">
        <v>37</v>
      </c>
      <c r="AK218" s="2" t="s">
        <v>5250</v>
      </c>
      <c r="AL218" s="3">
        <v>25313</v>
      </c>
      <c r="AM218" s="8">
        <v>45713</v>
      </c>
      <c r="AN218" s="2" t="s">
        <v>5528</v>
      </c>
      <c r="AO218" s="7">
        <f t="shared" si="3"/>
        <v>1687</v>
      </c>
    </row>
    <row r="219" spans="1:41" x14ac:dyDescent="0.25">
      <c r="A219" s="2">
        <v>243</v>
      </c>
      <c r="B219" s="2" t="s">
        <v>61</v>
      </c>
      <c r="C219" s="2" t="s">
        <v>2722</v>
      </c>
      <c r="D219" s="2" t="s">
        <v>36</v>
      </c>
      <c r="E219" s="2" t="s">
        <v>37</v>
      </c>
      <c r="F219" s="2" t="s">
        <v>2723</v>
      </c>
      <c r="G219" s="2" t="s">
        <v>47</v>
      </c>
      <c r="H219" s="2" t="s">
        <v>2724</v>
      </c>
      <c r="I219" s="2" t="s">
        <v>55</v>
      </c>
      <c r="J219" s="2" t="s">
        <v>2725</v>
      </c>
      <c r="K219" s="2" t="s">
        <v>2726</v>
      </c>
      <c r="L219" s="2" t="s">
        <v>2727</v>
      </c>
      <c r="M219" s="2">
        <v>853934</v>
      </c>
      <c r="N219" s="2">
        <v>2500000</v>
      </c>
      <c r="O219" s="2" t="s">
        <v>2728</v>
      </c>
      <c r="P219" s="8">
        <v>45710</v>
      </c>
      <c r="Q219" s="2" t="s">
        <v>2729</v>
      </c>
      <c r="R219" s="2" t="s">
        <v>2730</v>
      </c>
      <c r="S219" s="2" t="s">
        <v>48</v>
      </c>
      <c r="T219" s="2" t="s">
        <v>2731</v>
      </c>
      <c r="U219" s="2" t="s">
        <v>108</v>
      </c>
      <c r="V219" s="2" t="s">
        <v>49</v>
      </c>
      <c r="W219" s="8">
        <v>44616</v>
      </c>
      <c r="X219" s="2" t="s">
        <v>115</v>
      </c>
      <c r="Y219" s="2" t="s">
        <v>1839</v>
      </c>
      <c r="Z219" s="2" t="s">
        <v>2732</v>
      </c>
      <c r="AA219" s="2">
        <v>5</v>
      </c>
      <c r="AB219" s="2" t="s">
        <v>44</v>
      </c>
      <c r="AC219" s="2" t="s">
        <v>2733</v>
      </c>
      <c r="AD219" s="2" t="s">
        <v>116</v>
      </c>
      <c r="AE219" s="2">
        <v>1.5</v>
      </c>
      <c r="AF219" s="2">
        <v>2000000</v>
      </c>
      <c r="AG219" s="2">
        <v>30000</v>
      </c>
      <c r="AH219" s="2"/>
      <c r="AI219" s="2"/>
      <c r="AJ219" s="2" t="s">
        <v>37</v>
      </c>
      <c r="AK219" s="2" t="s">
        <v>5251</v>
      </c>
      <c r="AL219" s="3">
        <v>28125</v>
      </c>
      <c r="AM219" s="8">
        <v>45713</v>
      </c>
      <c r="AN219" s="2" t="s">
        <v>5529</v>
      </c>
      <c r="AO219" s="7">
        <f t="shared" si="3"/>
        <v>1875</v>
      </c>
    </row>
    <row r="220" spans="1:41" hidden="1" x14ac:dyDescent="0.25">
      <c r="A220" s="5">
        <v>244</v>
      </c>
      <c r="B220" s="5" t="s">
        <v>61</v>
      </c>
      <c r="C220" s="5" t="s">
        <v>2734</v>
      </c>
      <c r="D220" s="5" t="s">
        <v>36</v>
      </c>
      <c r="E220" s="5" t="s">
        <v>37</v>
      </c>
      <c r="F220" s="5" t="s">
        <v>2735</v>
      </c>
      <c r="G220" s="5" t="s">
        <v>111</v>
      </c>
      <c r="H220" s="5" t="s">
        <v>2736</v>
      </c>
      <c r="I220" s="5" t="s">
        <v>55</v>
      </c>
      <c r="J220" s="5" t="s">
        <v>2737</v>
      </c>
      <c r="K220" s="5" t="s">
        <v>55</v>
      </c>
      <c r="L220" s="5" t="s">
        <v>2738</v>
      </c>
      <c r="M220" s="5">
        <v>897822</v>
      </c>
      <c r="N220" s="5">
        <v>1877000</v>
      </c>
      <c r="O220" s="5" t="s">
        <v>2739</v>
      </c>
      <c r="P220" s="6">
        <v>45710</v>
      </c>
      <c r="Q220" s="5" t="s">
        <v>2740</v>
      </c>
      <c r="R220" s="5" t="s">
        <v>2741</v>
      </c>
      <c r="S220" s="5" t="s">
        <v>54</v>
      </c>
      <c r="T220" s="5" t="s">
        <v>55</v>
      </c>
      <c r="U220" s="5" t="s">
        <v>39</v>
      </c>
      <c r="V220" s="5" t="s">
        <v>57</v>
      </c>
      <c r="W220" s="6">
        <v>44620</v>
      </c>
      <c r="X220" s="5" t="s">
        <v>100</v>
      </c>
      <c r="Y220" s="5" t="s">
        <v>1018</v>
      </c>
      <c r="Z220" s="5" t="s">
        <v>2742</v>
      </c>
      <c r="AA220" s="5">
        <v>6</v>
      </c>
      <c r="AB220" s="5" t="s">
        <v>76</v>
      </c>
      <c r="AC220" s="5" t="s">
        <v>2743</v>
      </c>
      <c r="AD220" s="5" t="s">
        <v>2592</v>
      </c>
      <c r="AE220" s="5">
        <v>2</v>
      </c>
      <c r="AF220" s="5">
        <v>1501600</v>
      </c>
      <c r="AG220" s="5">
        <v>30032</v>
      </c>
      <c r="AH220" s="5"/>
      <c r="AI220" s="5"/>
      <c r="AJ220" s="5" t="s">
        <v>37</v>
      </c>
      <c r="AK220" s="2" t="s">
        <v>5252</v>
      </c>
      <c r="AL220" s="3">
        <v>30032</v>
      </c>
      <c r="AM220" s="8">
        <v>45713</v>
      </c>
      <c r="AN220" s="2"/>
      <c r="AO220" s="7">
        <f t="shared" si="3"/>
        <v>0</v>
      </c>
    </row>
    <row r="221" spans="1:41" x14ac:dyDescent="0.25">
      <c r="A221" s="2">
        <v>245</v>
      </c>
      <c r="B221" s="2" t="s">
        <v>61</v>
      </c>
      <c r="C221" s="2" t="s">
        <v>2744</v>
      </c>
      <c r="D221" s="2" t="s">
        <v>36</v>
      </c>
      <c r="E221" s="2" t="s">
        <v>37</v>
      </c>
      <c r="F221" s="2" t="s">
        <v>2745</v>
      </c>
      <c r="G221" s="2" t="s">
        <v>111</v>
      </c>
      <c r="H221" s="2" t="s">
        <v>2746</v>
      </c>
      <c r="I221" s="2" t="s">
        <v>2747</v>
      </c>
      <c r="J221" s="2" t="s">
        <v>2747</v>
      </c>
      <c r="K221" s="2" t="s">
        <v>2747</v>
      </c>
      <c r="L221" s="2" t="s">
        <v>2748</v>
      </c>
      <c r="M221" s="2">
        <v>716142</v>
      </c>
      <c r="N221" s="2">
        <v>1521000</v>
      </c>
      <c r="O221" s="2" t="s">
        <v>2749</v>
      </c>
      <c r="P221" s="8">
        <v>45710</v>
      </c>
      <c r="Q221" s="2" t="s">
        <v>2750</v>
      </c>
      <c r="R221" s="2" t="s">
        <v>2751</v>
      </c>
      <c r="S221" s="2" t="s">
        <v>54</v>
      </c>
      <c r="T221" s="2" t="s">
        <v>55</v>
      </c>
      <c r="U221" s="2" t="s">
        <v>2752</v>
      </c>
      <c r="V221" s="2" t="s">
        <v>57</v>
      </c>
      <c r="W221" s="8">
        <v>44440</v>
      </c>
      <c r="X221" s="2" t="s">
        <v>100</v>
      </c>
      <c r="Y221" s="2" t="s">
        <v>947</v>
      </c>
      <c r="Z221" s="2" t="s">
        <v>2753</v>
      </c>
      <c r="AA221" s="2">
        <v>5</v>
      </c>
      <c r="AB221" s="2" t="s">
        <v>44</v>
      </c>
      <c r="AC221" s="2" t="s">
        <v>2754</v>
      </c>
      <c r="AD221" s="2" t="s">
        <v>2592</v>
      </c>
      <c r="AE221" s="2">
        <v>2</v>
      </c>
      <c r="AF221" s="2">
        <v>1216800</v>
      </c>
      <c r="AG221" s="2">
        <v>24336</v>
      </c>
      <c r="AH221" s="2"/>
      <c r="AI221" s="2"/>
      <c r="AJ221" s="2" t="s">
        <v>37</v>
      </c>
      <c r="AK221" s="2" t="s">
        <v>5253</v>
      </c>
      <c r="AL221" s="3">
        <v>22815</v>
      </c>
      <c r="AM221" s="8">
        <v>45713</v>
      </c>
      <c r="AN221" s="2" t="s">
        <v>5530</v>
      </c>
      <c r="AO221" s="7">
        <f t="shared" si="3"/>
        <v>1521</v>
      </c>
    </row>
    <row r="222" spans="1:41" x14ac:dyDescent="0.25">
      <c r="A222" s="5">
        <v>246</v>
      </c>
      <c r="B222" s="5" t="s">
        <v>61</v>
      </c>
      <c r="C222" s="5" t="s">
        <v>2755</v>
      </c>
      <c r="D222" s="5" t="s">
        <v>36</v>
      </c>
      <c r="E222" s="5" t="s">
        <v>37</v>
      </c>
      <c r="F222" s="5" t="s">
        <v>2756</v>
      </c>
      <c r="G222" s="5" t="s">
        <v>64</v>
      </c>
      <c r="H222" s="5" t="s">
        <v>2757</v>
      </c>
      <c r="I222" s="5" t="s">
        <v>2758</v>
      </c>
      <c r="J222" s="5" t="s">
        <v>55</v>
      </c>
      <c r="K222" s="5" t="s">
        <v>2759</v>
      </c>
      <c r="L222" s="5" t="s">
        <v>2760</v>
      </c>
      <c r="M222" s="5">
        <v>673926</v>
      </c>
      <c r="N222" s="5">
        <v>1700000</v>
      </c>
      <c r="O222" s="5" t="s">
        <v>2761</v>
      </c>
      <c r="P222" s="6">
        <v>45710</v>
      </c>
      <c r="Q222" s="5" t="s">
        <v>2762</v>
      </c>
      <c r="R222" s="5" t="s">
        <v>2763</v>
      </c>
      <c r="S222" s="5" t="s">
        <v>48</v>
      </c>
      <c r="T222" s="5" t="s">
        <v>2764</v>
      </c>
      <c r="U222" s="5" t="s">
        <v>873</v>
      </c>
      <c r="V222" s="5" t="s">
        <v>158</v>
      </c>
      <c r="W222" s="6">
        <v>44616</v>
      </c>
      <c r="X222" s="5" t="s">
        <v>115</v>
      </c>
      <c r="Y222" s="5" t="s">
        <v>1839</v>
      </c>
      <c r="Z222" s="5" t="s">
        <v>2765</v>
      </c>
      <c r="AA222" s="5">
        <v>5</v>
      </c>
      <c r="AB222" s="5" t="s">
        <v>44</v>
      </c>
      <c r="AC222" s="5" t="s">
        <v>2766</v>
      </c>
      <c r="AD222" s="5" t="s">
        <v>116</v>
      </c>
      <c r="AE222" s="5">
        <v>1.5</v>
      </c>
      <c r="AF222" s="5">
        <v>1360000</v>
      </c>
      <c r="AG222" s="5">
        <v>20400</v>
      </c>
      <c r="AH222" s="5"/>
      <c r="AI222" s="5"/>
      <c r="AJ222" s="5" t="s">
        <v>37</v>
      </c>
      <c r="AK222" s="2" t="s">
        <v>5254</v>
      </c>
      <c r="AL222" s="3">
        <v>19125</v>
      </c>
      <c r="AM222" s="8">
        <v>45713</v>
      </c>
      <c r="AN222" s="2" t="s">
        <v>5531</v>
      </c>
      <c r="AO222" s="7">
        <f t="shared" si="3"/>
        <v>1275</v>
      </c>
    </row>
    <row r="223" spans="1:41" hidden="1" x14ac:dyDescent="0.25">
      <c r="A223" s="2">
        <v>247</v>
      </c>
      <c r="B223" s="2" t="s">
        <v>61</v>
      </c>
      <c r="C223" s="2" t="s">
        <v>2767</v>
      </c>
      <c r="D223" s="2" t="s">
        <v>36</v>
      </c>
      <c r="E223" s="2" t="s">
        <v>37</v>
      </c>
      <c r="F223" s="2" t="s">
        <v>2768</v>
      </c>
      <c r="G223" s="2" t="s">
        <v>53</v>
      </c>
      <c r="H223" s="2" t="s">
        <v>2769</v>
      </c>
      <c r="I223" s="2" t="s">
        <v>2770</v>
      </c>
      <c r="J223" s="2" t="s">
        <v>2771</v>
      </c>
      <c r="K223" s="2" t="s">
        <v>2772</v>
      </c>
      <c r="L223" s="2" t="s">
        <v>2773</v>
      </c>
      <c r="M223" s="2">
        <v>775585</v>
      </c>
      <c r="N223" s="2">
        <v>1877000</v>
      </c>
      <c r="O223" s="2" t="s">
        <v>2774</v>
      </c>
      <c r="P223" s="8">
        <v>45710</v>
      </c>
      <c r="Q223" s="2" t="s">
        <v>2775</v>
      </c>
      <c r="R223" s="2" t="s">
        <v>2776</v>
      </c>
      <c r="S223" s="2" t="s">
        <v>54</v>
      </c>
      <c r="T223" s="2" t="s">
        <v>55</v>
      </c>
      <c r="U223" s="2" t="s">
        <v>39</v>
      </c>
      <c r="V223" s="2" t="s">
        <v>57</v>
      </c>
      <c r="W223" s="8">
        <v>44618</v>
      </c>
      <c r="X223" s="2" t="s">
        <v>115</v>
      </c>
      <c r="Y223" s="2" t="s">
        <v>1805</v>
      </c>
      <c r="Z223" s="2" t="s">
        <v>2777</v>
      </c>
      <c r="AA223" s="2">
        <v>6</v>
      </c>
      <c r="AB223" s="2" t="s">
        <v>44</v>
      </c>
      <c r="AC223" s="2" t="s">
        <v>2778</v>
      </c>
      <c r="AD223" s="2" t="s">
        <v>2592</v>
      </c>
      <c r="AE223" s="2">
        <v>2</v>
      </c>
      <c r="AF223" s="2">
        <v>1501600</v>
      </c>
      <c r="AG223" s="2">
        <v>30032</v>
      </c>
      <c r="AH223" s="2"/>
      <c r="AI223" s="2"/>
      <c r="AJ223" s="2" t="s">
        <v>37</v>
      </c>
      <c r="AK223" s="2" t="s">
        <v>5255</v>
      </c>
      <c r="AL223" s="3">
        <v>30032</v>
      </c>
      <c r="AM223" s="8">
        <v>45713</v>
      </c>
      <c r="AN223" s="2"/>
      <c r="AO223" s="7">
        <f t="shared" si="3"/>
        <v>0</v>
      </c>
    </row>
    <row r="224" spans="1:41" hidden="1" x14ac:dyDescent="0.25">
      <c r="A224" s="5">
        <v>248</v>
      </c>
      <c r="B224" s="5" t="s">
        <v>61</v>
      </c>
      <c r="C224" s="5" t="s">
        <v>2779</v>
      </c>
      <c r="D224" s="5" t="s">
        <v>36</v>
      </c>
      <c r="E224" s="5" t="s">
        <v>37</v>
      </c>
      <c r="F224" s="5" t="s">
        <v>2780</v>
      </c>
      <c r="G224" s="5" t="s">
        <v>82</v>
      </c>
      <c r="H224" s="5" t="s">
        <v>2781</v>
      </c>
      <c r="I224" s="5" t="s">
        <v>2782</v>
      </c>
      <c r="J224" s="5" t="s">
        <v>55</v>
      </c>
      <c r="K224" s="5" t="s">
        <v>2783</v>
      </c>
      <c r="L224" s="5" t="s">
        <v>2784</v>
      </c>
      <c r="M224" s="5">
        <v>400270</v>
      </c>
      <c r="N224" s="5">
        <v>1633000</v>
      </c>
      <c r="O224" s="5" t="s">
        <v>2785</v>
      </c>
      <c r="P224" s="6">
        <v>45710</v>
      </c>
      <c r="Q224" s="5" t="s">
        <v>2786</v>
      </c>
      <c r="R224" s="5" t="s">
        <v>2787</v>
      </c>
      <c r="S224" s="5" t="s">
        <v>54</v>
      </c>
      <c r="T224" s="5" t="s">
        <v>55</v>
      </c>
      <c r="U224" s="5" t="s">
        <v>1756</v>
      </c>
      <c r="V224" s="5" t="s">
        <v>91</v>
      </c>
      <c r="W224" s="6">
        <v>44196</v>
      </c>
      <c r="X224" s="5" t="s">
        <v>933</v>
      </c>
      <c r="Y224" s="5" t="s">
        <v>959</v>
      </c>
      <c r="Z224" s="5" t="s">
        <v>2788</v>
      </c>
      <c r="AA224" s="5">
        <v>5</v>
      </c>
      <c r="AB224" s="5" t="s">
        <v>51</v>
      </c>
      <c r="AC224" s="5" t="s">
        <v>2789</v>
      </c>
      <c r="AD224" s="5" t="s">
        <v>2790</v>
      </c>
      <c r="AE224" s="5">
        <v>2</v>
      </c>
      <c r="AF224" s="5">
        <v>1224750</v>
      </c>
      <c r="AG224" s="5">
        <v>24495</v>
      </c>
      <c r="AH224" s="5"/>
      <c r="AI224" s="5"/>
      <c r="AJ224" s="5" t="s">
        <v>37</v>
      </c>
      <c r="AK224" s="2" t="s">
        <v>5256</v>
      </c>
      <c r="AL224" s="3">
        <v>24495</v>
      </c>
      <c r="AM224" s="8">
        <v>45713</v>
      </c>
      <c r="AN224" s="2"/>
      <c r="AO224" s="7">
        <f t="shared" si="3"/>
        <v>0</v>
      </c>
    </row>
    <row r="225" spans="1:41" hidden="1" x14ac:dyDescent="0.25">
      <c r="A225" s="2">
        <v>249</v>
      </c>
      <c r="B225" s="2" t="s">
        <v>61</v>
      </c>
      <c r="C225" s="2" t="s">
        <v>2791</v>
      </c>
      <c r="D225" s="2" t="s">
        <v>36</v>
      </c>
      <c r="E225" s="2" t="s">
        <v>37</v>
      </c>
      <c r="F225" s="2" t="s">
        <v>2792</v>
      </c>
      <c r="G225" s="2" t="s">
        <v>111</v>
      </c>
      <c r="H225" s="2" t="s">
        <v>2793</v>
      </c>
      <c r="I225" s="2" t="s">
        <v>2794</v>
      </c>
      <c r="J225" s="2" t="s">
        <v>2794</v>
      </c>
      <c r="K225" s="2" t="s">
        <v>2795</v>
      </c>
      <c r="L225" s="2" t="s">
        <v>2796</v>
      </c>
      <c r="M225" s="2">
        <v>540351</v>
      </c>
      <c r="N225" s="2">
        <v>1113000</v>
      </c>
      <c r="O225" s="2" t="s">
        <v>2797</v>
      </c>
      <c r="P225" s="8">
        <v>45710</v>
      </c>
      <c r="Q225" s="2" t="s">
        <v>2798</v>
      </c>
      <c r="R225" s="2" t="s">
        <v>2799</v>
      </c>
      <c r="S225" s="2" t="s">
        <v>54</v>
      </c>
      <c r="T225" s="2" t="s">
        <v>55</v>
      </c>
      <c r="U225" s="2" t="s">
        <v>834</v>
      </c>
      <c r="V225" s="2" t="s">
        <v>57</v>
      </c>
      <c r="W225" s="8">
        <v>44466</v>
      </c>
      <c r="X225" s="2" t="s">
        <v>100</v>
      </c>
      <c r="Y225" s="2" t="s">
        <v>1044</v>
      </c>
      <c r="Z225" s="2" t="s">
        <v>2800</v>
      </c>
      <c r="AA225" s="2">
        <v>7</v>
      </c>
      <c r="AB225" s="2" t="s">
        <v>44</v>
      </c>
      <c r="AC225" s="2" t="s">
        <v>2801</v>
      </c>
      <c r="AD225" s="2" t="s">
        <v>2592</v>
      </c>
      <c r="AE225" s="2">
        <v>2</v>
      </c>
      <c r="AF225" s="2">
        <v>890400</v>
      </c>
      <c r="AG225" s="2">
        <v>17808</v>
      </c>
      <c r="AH225" s="2"/>
      <c r="AI225" s="2"/>
      <c r="AJ225" s="2" t="s">
        <v>37</v>
      </c>
      <c r="AK225" s="2" t="s">
        <v>5257</v>
      </c>
      <c r="AL225" s="3">
        <v>17808</v>
      </c>
      <c r="AM225" s="8">
        <v>45713</v>
      </c>
      <c r="AN225" s="2"/>
      <c r="AO225" s="7">
        <f t="shared" si="3"/>
        <v>0</v>
      </c>
    </row>
    <row r="226" spans="1:41" hidden="1" x14ac:dyDescent="0.25">
      <c r="A226" s="5">
        <v>250</v>
      </c>
      <c r="B226" s="5" t="s">
        <v>61</v>
      </c>
      <c r="C226" s="5" t="s">
        <v>2802</v>
      </c>
      <c r="D226" s="5" t="s">
        <v>36</v>
      </c>
      <c r="E226" s="5" t="s">
        <v>37</v>
      </c>
      <c r="F226" s="5" t="s">
        <v>2803</v>
      </c>
      <c r="G226" s="5" t="s">
        <v>206</v>
      </c>
      <c r="H226" s="5" t="s">
        <v>2804</v>
      </c>
      <c r="I226" s="5" t="s">
        <v>2805</v>
      </c>
      <c r="J226" s="5" t="s">
        <v>2805</v>
      </c>
      <c r="K226" s="5" t="s">
        <v>2805</v>
      </c>
      <c r="L226" s="5" t="s">
        <v>2806</v>
      </c>
      <c r="M226" s="5">
        <v>211986</v>
      </c>
      <c r="N226" s="5">
        <v>1000000</v>
      </c>
      <c r="O226" s="5" t="s">
        <v>2807</v>
      </c>
      <c r="P226" s="6">
        <v>45710</v>
      </c>
      <c r="Q226" s="5" t="s">
        <v>2808</v>
      </c>
      <c r="R226" s="5" t="s">
        <v>2809</v>
      </c>
      <c r="S226" s="5" t="s">
        <v>48</v>
      </c>
      <c r="T226" s="5" t="s">
        <v>2810</v>
      </c>
      <c r="U226" s="5" t="s">
        <v>651</v>
      </c>
      <c r="V226" s="5" t="s">
        <v>110</v>
      </c>
      <c r="W226" s="6">
        <v>44617</v>
      </c>
      <c r="X226" s="5" t="s">
        <v>115</v>
      </c>
      <c r="Y226" s="5" t="s">
        <v>959</v>
      </c>
      <c r="Z226" s="5" t="s">
        <v>2811</v>
      </c>
      <c r="AA226" s="5">
        <v>4</v>
      </c>
      <c r="AB226" s="5" t="s">
        <v>44</v>
      </c>
      <c r="AC226" s="5" t="s">
        <v>2812</v>
      </c>
      <c r="AD226" s="5" t="s">
        <v>116</v>
      </c>
      <c r="AE226" s="5">
        <v>1.5</v>
      </c>
      <c r="AF226" s="5">
        <v>800000</v>
      </c>
      <c r="AG226" s="5">
        <v>12000</v>
      </c>
      <c r="AH226" s="5"/>
      <c r="AI226" s="5"/>
      <c r="AJ226" s="5" t="s">
        <v>37</v>
      </c>
      <c r="AK226" s="2" t="s">
        <v>5258</v>
      </c>
      <c r="AL226" s="3">
        <v>12000</v>
      </c>
      <c r="AM226" s="8">
        <v>45713</v>
      </c>
      <c r="AN226" s="2"/>
      <c r="AO226" s="7">
        <f t="shared" si="3"/>
        <v>0</v>
      </c>
    </row>
    <row r="227" spans="1:41" hidden="1" x14ac:dyDescent="0.25">
      <c r="A227" s="2">
        <v>251</v>
      </c>
      <c r="B227" s="2" t="s">
        <v>61</v>
      </c>
      <c r="C227" s="2" t="s">
        <v>2813</v>
      </c>
      <c r="D227" s="2" t="s">
        <v>36</v>
      </c>
      <c r="E227" s="2" t="s">
        <v>37</v>
      </c>
      <c r="F227" s="2" t="s">
        <v>2814</v>
      </c>
      <c r="G227" s="2" t="s">
        <v>47</v>
      </c>
      <c r="H227" s="2" t="s">
        <v>2815</v>
      </c>
      <c r="I227" s="2" t="s">
        <v>2816</v>
      </c>
      <c r="J227" s="2" t="s">
        <v>2816</v>
      </c>
      <c r="K227" s="2" t="s">
        <v>2817</v>
      </c>
      <c r="L227" s="2" t="s">
        <v>2818</v>
      </c>
      <c r="M227" s="2">
        <v>1124567</v>
      </c>
      <c r="N227" s="2">
        <v>2935000</v>
      </c>
      <c r="O227" s="2" t="s">
        <v>2819</v>
      </c>
      <c r="P227" s="8">
        <v>45709</v>
      </c>
      <c r="Q227" s="2" t="s">
        <v>2820</v>
      </c>
      <c r="R227" s="2" t="s">
        <v>2821</v>
      </c>
      <c r="S227" s="2" t="s">
        <v>54</v>
      </c>
      <c r="T227" s="2" t="s">
        <v>55</v>
      </c>
      <c r="U227" s="2" t="s">
        <v>2822</v>
      </c>
      <c r="V227" s="2" t="s">
        <v>887</v>
      </c>
      <c r="W227" s="8">
        <v>45345</v>
      </c>
      <c r="X227" s="2" t="s">
        <v>1687</v>
      </c>
      <c r="Y227" s="2" t="s">
        <v>959</v>
      </c>
      <c r="Z227" s="2" t="s">
        <v>2823</v>
      </c>
      <c r="AA227" s="2">
        <v>2</v>
      </c>
      <c r="AB227" s="2" t="s">
        <v>51</v>
      </c>
      <c r="AC227" s="2" t="s">
        <v>2824</v>
      </c>
      <c r="AD227" s="2" t="s">
        <v>2825</v>
      </c>
      <c r="AE227" s="2">
        <v>1.75</v>
      </c>
      <c r="AF227" s="2">
        <v>2641500</v>
      </c>
      <c r="AG227" s="2">
        <v>46226</v>
      </c>
      <c r="AH227" s="2"/>
      <c r="AI227" s="2"/>
      <c r="AJ227" s="2" t="s">
        <v>37</v>
      </c>
      <c r="AK227" s="2" t="s">
        <v>5259</v>
      </c>
      <c r="AL227" s="3">
        <v>46226</v>
      </c>
      <c r="AM227" s="8">
        <v>45713</v>
      </c>
      <c r="AN227" s="2"/>
      <c r="AO227" s="7">
        <f t="shared" si="3"/>
        <v>0</v>
      </c>
    </row>
    <row r="228" spans="1:41" x14ac:dyDescent="0.25">
      <c r="A228" s="5">
        <v>252</v>
      </c>
      <c r="B228" s="5" t="s">
        <v>61</v>
      </c>
      <c r="C228" s="5" t="s">
        <v>2826</v>
      </c>
      <c r="D228" s="5" t="s">
        <v>36</v>
      </c>
      <c r="E228" s="5" t="s">
        <v>37</v>
      </c>
      <c r="F228" s="5" t="s">
        <v>2827</v>
      </c>
      <c r="G228" s="5" t="s">
        <v>2828</v>
      </c>
      <c r="H228" s="5" t="s">
        <v>2829</v>
      </c>
      <c r="I228" s="5" t="s">
        <v>2830</v>
      </c>
      <c r="J228" s="5" t="s">
        <v>2831</v>
      </c>
      <c r="K228" s="5" t="s">
        <v>55</v>
      </c>
      <c r="L228" s="5" t="s">
        <v>2832</v>
      </c>
      <c r="M228" s="5">
        <v>503770</v>
      </c>
      <c r="N228" s="5">
        <v>1725000</v>
      </c>
      <c r="O228" s="5" t="s">
        <v>2833</v>
      </c>
      <c r="P228" s="6">
        <v>45709</v>
      </c>
      <c r="Q228" s="5" t="s">
        <v>2834</v>
      </c>
      <c r="R228" s="5" t="s">
        <v>2835</v>
      </c>
      <c r="S228" s="5" t="s">
        <v>48</v>
      </c>
      <c r="T228" s="5" t="s">
        <v>2836</v>
      </c>
      <c r="U228" s="5" t="s">
        <v>380</v>
      </c>
      <c r="V228" s="5" t="s">
        <v>60</v>
      </c>
      <c r="W228" s="6">
        <v>44621</v>
      </c>
      <c r="X228" s="5" t="s">
        <v>100</v>
      </c>
      <c r="Y228" s="5" t="s">
        <v>947</v>
      </c>
      <c r="Z228" s="5" t="s">
        <v>2837</v>
      </c>
      <c r="AA228" s="5">
        <v>5</v>
      </c>
      <c r="AB228" s="5" t="s">
        <v>44</v>
      </c>
      <c r="AC228" s="5" t="s">
        <v>2838</v>
      </c>
      <c r="AD228" s="5" t="s">
        <v>109</v>
      </c>
      <c r="AE228" s="5">
        <v>1.5</v>
      </c>
      <c r="AF228" s="5">
        <v>1380000</v>
      </c>
      <c r="AG228" s="5">
        <v>20700</v>
      </c>
      <c r="AH228" s="5"/>
      <c r="AI228" s="5"/>
      <c r="AJ228" s="5" t="s">
        <v>37</v>
      </c>
      <c r="AK228" s="2" t="s">
        <v>5260</v>
      </c>
      <c r="AL228" s="3">
        <v>19406</v>
      </c>
      <c r="AM228" s="8">
        <v>45713</v>
      </c>
      <c r="AN228" s="2" t="s">
        <v>5532</v>
      </c>
      <c r="AO228" s="7">
        <f t="shared" si="3"/>
        <v>1294</v>
      </c>
    </row>
    <row r="229" spans="1:41" x14ac:dyDescent="0.25">
      <c r="A229" s="2">
        <v>253</v>
      </c>
      <c r="B229" s="2" t="s">
        <v>61</v>
      </c>
      <c r="C229" s="2" t="s">
        <v>2839</v>
      </c>
      <c r="D229" s="2" t="s">
        <v>36</v>
      </c>
      <c r="E229" s="2" t="s">
        <v>37</v>
      </c>
      <c r="F229" s="2" t="s">
        <v>2840</v>
      </c>
      <c r="G229" s="2" t="s">
        <v>2841</v>
      </c>
      <c r="H229" s="2" t="s">
        <v>2842</v>
      </c>
      <c r="I229" s="2" t="s">
        <v>55</v>
      </c>
      <c r="J229" s="2" t="s">
        <v>2843</v>
      </c>
      <c r="K229" s="2" t="s">
        <v>55</v>
      </c>
      <c r="L229" s="2" t="s">
        <v>2844</v>
      </c>
      <c r="M229" s="2">
        <v>1664992</v>
      </c>
      <c r="N229" s="2">
        <v>4200000</v>
      </c>
      <c r="O229" s="2" t="s">
        <v>2845</v>
      </c>
      <c r="P229" s="8">
        <v>45709</v>
      </c>
      <c r="Q229" s="2" t="s">
        <v>2846</v>
      </c>
      <c r="R229" s="2" t="s">
        <v>2847</v>
      </c>
      <c r="S229" s="2" t="s">
        <v>48</v>
      </c>
      <c r="T229" s="2" t="s">
        <v>2848</v>
      </c>
      <c r="U229" s="2" t="s">
        <v>2849</v>
      </c>
      <c r="V229" s="2" t="s">
        <v>60</v>
      </c>
      <c r="W229" s="8">
        <v>44614</v>
      </c>
      <c r="X229" s="2" t="s">
        <v>115</v>
      </c>
      <c r="Y229" s="2" t="s">
        <v>1839</v>
      </c>
      <c r="Z229" s="2" t="s">
        <v>2850</v>
      </c>
      <c r="AA229" s="2">
        <v>5</v>
      </c>
      <c r="AB229" s="2" t="s">
        <v>76</v>
      </c>
      <c r="AC229" s="2" t="s">
        <v>2851</v>
      </c>
      <c r="AD229" s="2" t="s">
        <v>2852</v>
      </c>
      <c r="AE229" s="2">
        <v>1.5</v>
      </c>
      <c r="AF229" s="2">
        <v>3360000</v>
      </c>
      <c r="AG229" s="2">
        <v>50400</v>
      </c>
      <c r="AH229" s="2"/>
      <c r="AI229" s="2"/>
      <c r="AJ229" s="2" t="s">
        <v>37</v>
      </c>
      <c r="AK229" s="2" t="s">
        <v>5261</v>
      </c>
      <c r="AL229" s="3">
        <v>47250</v>
      </c>
      <c r="AM229" s="8">
        <v>45713</v>
      </c>
      <c r="AN229" s="2" t="s">
        <v>5533</v>
      </c>
      <c r="AO229" s="7">
        <f t="shared" si="3"/>
        <v>3150</v>
      </c>
    </row>
    <row r="230" spans="1:41" hidden="1" x14ac:dyDescent="0.25">
      <c r="A230" s="5">
        <v>254</v>
      </c>
      <c r="B230" s="5" t="s">
        <v>61</v>
      </c>
      <c r="C230" s="5" t="s">
        <v>2853</v>
      </c>
      <c r="D230" s="5" t="s">
        <v>36</v>
      </c>
      <c r="E230" s="5" t="s">
        <v>37</v>
      </c>
      <c r="F230" s="5" t="s">
        <v>2854</v>
      </c>
      <c r="G230" s="5" t="s">
        <v>1546</v>
      </c>
      <c r="H230" s="5" t="s">
        <v>2855</v>
      </c>
      <c r="I230" s="5" t="s">
        <v>2856</v>
      </c>
      <c r="J230" s="5" t="s">
        <v>2856</v>
      </c>
      <c r="K230" s="5" t="s">
        <v>2857</v>
      </c>
      <c r="L230" s="5" t="s">
        <v>2858</v>
      </c>
      <c r="M230" s="5">
        <v>1509200</v>
      </c>
      <c r="N230" s="5">
        <v>2744000</v>
      </c>
      <c r="O230" s="5" t="s">
        <v>2859</v>
      </c>
      <c r="P230" s="6">
        <v>45729</v>
      </c>
      <c r="Q230" s="5" t="s">
        <v>2860</v>
      </c>
      <c r="R230" s="5" t="s">
        <v>2861</v>
      </c>
      <c r="S230" s="5" t="s">
        <v>55</v>
      </c>
      <c r="T230" s="5" t="s">
        <v>55</v>
      </c>
      <c r="U230" s="5" t="s">
        <v>2555</v>
      </c>
      <c r="V230" s="5" t="s">
        <v>57</v>
      </c>
      <c r="W230" s="5" t="s">
        <v>42</v>
      </c>
      <c r="X230" s="5" t="s">
        <v>42</v>
      </c>
      <c r="Y230" s="5" t="s">
        <v>94</v>
      </c>
      <c r="Z230" s="5" t="s">
        <v>2862</v>
      </c>
      <c r="AA230" s="5">
        <v>4</v>
      </c>
      <c r="AB230" s="5" t="s">
        <v>44</v>
      </c>
      <c r="AC230" s="5" t="s">
        <v>2863</v>
      </c>
      <c r="AD230" s="5" t="s">
        <v>1554</v>
      </c>
      <c r="AE230" s="5" t="s">
        <v>78</v>
      </c>
      <c r="AF230" s="5">
        <v>2195200</v>
      </c>
      <c r="AG230" s="5">
        <v>43904</v>
      </c>
      <c r="AH230" s="5"/>
      <c r="AI230" s="5"/>
      <c r="AJ230" s="5" t="s">
        <v>1580</v>
      </c>
      <c r="AK230" s="9" t="s">
        <v>5620</v>
      </c>
      <c r="AL230" s="3">
        <v>43904</v>
      </c>
      <c r="AM230" s="8">
        <v>45743</v>
      </c>
      <c r="AN230" s="2"/>
      <c r="AO230" s="7">
        <f t="shared" si="3"/>
        <v>0</v>
      </c>
    </row>
    <row r="231" spans="1:41" x14ac:dyDescent="0.25">
      <c r="A231" s="2">
        <v>255</v>
      </c>
      <c r="B231" s="2" t="s">
        <v>61</v>
      </c>
      <c r="C231" s="2" t="s">
        <v>2864</v>
      </c>
      <c r="D231" s="2" t="s">
        <v>36</v>
      </c>
      <c r="E231" s="2" t="s">
        <v>37</v>
      </c>
      <c r="F231" s="2" t="s">
        <v>2865</v>
      </c>
      <c r="G231" s="2" t="s">
        <v>47</v>
      </c>
      <c r="H231" s="2" t="s">
        <v>2866</v>
      </c>
      <c r="I231" s="2" t="s">
        <v>2867</v>
      </c>
      <c r="J231" s="2" t="s">
        <v>2868</v>
      </c>
      <c r="K231" s="2" t="s">
        <v>2869</v>
      </c>
      <c r="L231" s="2" t="s">
        <v>2870</v>
      </c>
      <c r="M231" s="2">
        <v>1598922</v>
      </c>
      <c r="N231" s="2">
        <v>4277000</v>
      </c>
      <c r="O231" s="2" t="s">
        <v>2871</v>
      </c>
      <c r="P231" s="8">
        <v>45709</v>
      </c>
      <c r="Q231" s="2" t="s">
        <v>2872</v>
      </c>
      <c r="R231" s="2" t="s">
        <v>2873</v>
      </c>
      <c r="S231" s="2" t="s">
        <v>54</v>
      </c>
      <c r="T231" s="2" t="s">
        <v>55</v>
      </c>
      <c r="U231" s="2" t="s">
        <v>2874</v>
      </c>
      <c r="V231" s="2" t="s">
        <v>57</v>
      </c>
      <c r="W231" s="8">
        <v>44543</v>
      </c>
      <c r="X231" s="2" t="s">
        <v>115</v>
      </c>
      <c r="Y231" s="2" t="s">
        <v>1839</v>
      </c>
      <c r="Z231" s="2" t="s">
        <v>2875</v>
      </c>
      <c r="AA231" s="2">
        <v>5</v>
      </c>
      <c r="AB231" s="2" t="s">
        <v>44</v>
      </c>
      <c r="AC231" s="2" t="s">
        <v>2876</v>
      </c>
      <c r="AD231" s="2" t="s">
        <v>118</v>
      </c>
      <c r="AE231" s="2">
        <v>2</v>
      </c>
      <c r="AF231" s="2">
        <v>3421600</v>
      </c>
      <c r="AG231" s="2">
        <v>68432</v>
      </c>
      <c r="AH231" s="2"/>
      <c r="AI231" s="2"/>
      <c r="AJ231" s="2" t="s">
        <v>37</v>
      </c>
      <c r="AK231" s="2" t="s">
        <v>5262</v>
      </c>
      <c r="AL231" s="3">
        <v>64155</v>
      </c>
      <c r="AM231" s="8">
        <v>45713</v>
      </c>
      <c r="AN231" s="2" t="s">
        <v>5534</v>
      </c>
      <c r="AO231" s="7">
        <f t="shared" si="3"/>
        <v>4277</v>
      </c>
    </row>
    <row r="232" spans="1:41" hidden="1" x14ac:dyDescent="0.25">
      <c r="A232" s="5">
        <v>256</v>
      </c>
      <c r="B232" s="5" t="s">
        <v>61</v>
      </c>
      <c r="C232" s="5" t="s">
        <v>2877</v>
      </c>
      <c r="D232" s="5" t="s">
        <v>36</v>
      </c>
      <c r="E232" s="5" t="s">
        <v>37</v>
      </c>
      <c r="F232" s="5" t="s">
        <v>2878</v>
      </c>
      <c r="G232" s="5" t="s">
        <v>64</v>
      </c>
      <c r="H232" s="5" t="s">
        <v>2879</v>
      </c>
      <c r="I232" s="5" t="s">
        <v>55</v>
      </c>
      <c r="J232" s="5" t="s">
        <v>2880</v>
      </c>
      <c r="K232" s="5" t="s">
        <v>55</v>
      </c>
      <c r="L232" s="5" t="s">
        <v>2881</v>
      </c>
      <c r="M232" s="5">
        <v>1925000</v>
      </c>
      <c r="N232" s="5">
        <v>2750000</v>
      </c>
      <c r="O232" s="5" t="s">
        <v>2882</v>
      </c>
      <c r="P232" s="6">
        <v>45729</v>
      </c>
      <c r="Q232" s="5" t="s">
        <v>2883</v>
      </c>
      <c r="R232" s="5" t="s">
        <v>2884</v>
      </c>
      <c r="S232" s="5" t="s">
        <v>2885</v>
      </c>
      <c r="T232" s="5" t="s">
        <v>2885</v>
      </c>
      <c r="U232" s="5" t="s">
        <v>1379</v>
      </c>
      <c r="V232" s="5" t="s">
        <v>40</v>
      </c>
      <c r="W232" s="5" t="s">
        <v>1092</v>
      </c>
      <c r="X232" s="5" t="s">
        <v>42</v>
      </c>
      <c r="Y232" s="5" t="s">
        <v>43</v>
      </c>
      <c r="Z232" s="5" t="s">
        <v>2886</v>
      </c>
      <c r="AA232" s="5">
        <v>5</v>
      </c>
      <c r="AB232" s="5" t="s">
        <v>76</v>
      </c>
      <c r="AC232" s="5" t="s">
        <v>2887</v>
      </c>
      <c r="AD232" s="5" t="s">
        <v>1554</v>
      </c>
      <c r="AE232" s="5" t="s">
        <v>46</v>
      </c>
      <c r="AF232" s="5">
        <v>2200000</v>
      </c>
      <c r="AG232" s="5">
        <v>33000</v>
      </c>
      <c r="AH232" s="5"/>
      <c r="AI232" s="5"/>
      <c r="AJ232" s="5" t="s">
        <v>37</v>
      </c>
      <c r="AK232" s="2" t="s">
        <v>5263</v>
      </c>
      <c r="AL232" s="3">
        <v>33000</v>
      </c>
      <c r="AM232" s="8">
        <v>45734</v>
      </c>
      <c r="AN232" s="2"/>
      <c r="AO232" s="7">
        <f t="shared" si="3"/>
        <v>0</v>
      </c>
    </row>
    <row r="233" spans="1:41" hidden="1" x14ac:dyDescent="0.25">
      <c r="A233" s="2">
        <v>257</v>
      </c>
      <c r="B233" s="2" t="s">
        <v>61</v>
      </c>
      <c r="C233" s="2" t="s">
        <v>2888</v>
      </c>
      <c r="D233" s="2" t="s">
        <v>36</v>
      </c>
      <c r="E233" s="2" t="s">
        <v>37</v>
      </c>
      <c r="F233" s="2" t="s">
        <v>2889</v>
      </c>
      <c r="G233" s="2" t="s">
        <v>47</v>
      </c>
      <c r="H233" s="2" t="s">
        <v>2890</v>
      </c>
      <c r="I233" s="2" t="s">
        <v>2891</v>
      </c>
      <c r="J233" s="2" t="s">
        <v>2892</v>
      </c>
      <c r="K233" s="2" t="s">
        <v>55</v>
      </c>
      <c r="L233" s="2" t="s">
        <v>2893</v>
      </c>
      <c r="M233" s="2">
        <v>924603</v>
      </c>
      <c r="N233" s="2">
        <v>3315000</v>
      </c>
      <c r="O233" s="2" t="s">
        <v>2894</v>
      </c>
      <c r="P233" s="8">
        <v>45709</v>
      </c>
      <c r="Q233" s="2" t="s">
        <v>2895</v>
      </c>
      <c r="R233" s="2" t="s">
        <v>2896</v>
      </c>
      <c r="S233" s="2" t="s">
        <v>54</v>
      </c>
      <c r="T233" s="2" t="s">
        <v>55</v>
      </c>
      <c r="U233" s="2" t="s">
        <v>2036</v>
      </c>
      <c r="V233" s="2" t="s">
        <v>91</v>
      </c>
      <c r="W233" s="8">
        <v>44119</v>
      </c>
      <c r="X233" s="2" t="s">
        <v>178</v>
      </c>
      <c r="Y233" s="2" t="s">
        <v>137</v>
      </c>
      <c r="Z233" s="2" t="s">
        <v>2897</v>
      </c>
      <c r="AA233" s="2">
        <v>5</v>
      </c>
      <c r="AB233" s="2" t="s">
        <v>44</v>
      </c>
      <c r="AC233" s="2" t="s">
        <v>2898</v>
      </c>
      <c r="AD233" s="2" t="s">
        <v>2899</v>
      </c>
      <c r="AE233" s="2">
        <v>2</v>
      </c>
      <c r="AF233" s="2">
        <v>2486250</v>
      </c>
      <c r="AG233" s="2">
        <v>49725</v>
      </c>
      <c r="AH233" s="2"/>
      <c r="AI233" s="2"/>
      <c r="AJ233" s="2" t="s">
        <v>37</v>
      </c>
      <c r="AK233" s="2" t="s">
        <v>5264</v>
      </c>
      <c r="AL233" s="3">
        <v>49725</v>
      </c>
      <c r="AM233" s="8">
        <v>45713</v>
      </c>
      <c r="AN233" s="2"/>
      <c r="AO233" s="7">
        <f t="shared" si="3"/>
        <v>0</v>
      </c>
    </row>
    <row r="234" spans="1:41" hidden="1" x14ac:dyDescent="0.25">
      <c r="A234" s="5">
        <v>258</v>
      </c>
      <c r="B234" s="5" t="s">
        <v>61</v>
      </c>
      <c r="C234" s="5" t="s">
        <v>2900</v>
      </c>
      <c r="D234" s="5" t="s">
        <v>36</v>
      </c>
      <c r="E234" s="5" t="s">
        <v>37</v>
      </c>
      <c r="F234" s="5" t="s">
        <v>2901</v>
      </c>
      <c r="G234" s="5" t="s">
        <v>47</v>
      </c>
      <c r="H234" s="5" t="s">
        <v>2902</v>
      </c>
      <c r="I234" s="5" t="s">
        <v>2903</v>
      </c>
      <c r="J234" s="5" t="s">
        <v>2904</v>
      </c>
      <c r="K234" s="5" t="s">
        <v>67</v>
      </c>
      <c r="L234" s="5" t="s">
        <v>2905</v>
      </c>
      <c r="M234" s="5">
        <v>827698</v>
      </c>
      <c r="N234" s="5">
        <v>3375000</v>
      </c>
      <c r="O234" s="5" t="s">
        <v>2906</v>
      </c>
      <c r="P234" s="6">
        <v>45709</v>
      </c>
      <c r="Q234" s="5" t="s">
        <v>2907</v>
      </c>
      <c r="R234" s="5" t="s">
        <v>2908</v>
      </c>
      <c r="S234" s="5" t="s">
        <v>54</v>
      </c>
      <c r="T234" s="5" t="s">
        <v>55</v>
      </c>
      <c r="U234" s="5" t="s">
        <v>2036</v>
      </c>
      <c r="V234" s="5" t="s">
        <v>91</v>
      </c>
      <c r="W234" s="6">
        <v>44172</v>
      </c>
      <c r="X234" s="5" t="s">
        <v>178</v>
      </c>
      <c r="Y234" s="5" t="s">
        <v>137</v>
      </c>
      <c r="Z234" s="5" t="s">
        <v>2909</v>
      </c>
      <c r="AA234" s="5">
        <v>5</v>
      </c>
      <c r="AB234" s="5" t="s">
        <v>51</v>
      </c>
      <c r="AC234" s="5" t="s">
        <v>2910</v>
      </c>
      <c r="AD234" s="5" t="s">
        <v>2911</v>
      </c>
      <c r="AE234" s="5">
        <v>2</v>
      </c>
      <c r="AF234" s="5">
        <v>2531250</v>
      </c>
      <c r="AG234" s="5">
        <v>50625</v>
      </c>
      <c r="AH234" s="5"/>
      <c r="AI234" s="5"/>
      <c r="AJ234" s="5" t="s">
        <v>37</v>
      </c>
      <c r="AK234" s="2" t="s">
        <v>5265</v>
      </c>
      <c r="AL234" s="3">
        <v>50625</v>
      </c>
      <c r="AM234" s="8">
        <v>45713</v>
      </c>
      <c r="AN234" s="2"/>
      <c r="AO234" s="7">
        <f t="shared" si="3"/>
        <v>0</v>
      </c>
    </row>
    <row r="235" spans="1:41" x14ac:dyDescent="0.25">
      <c r="A235" s="2">
        <v>259</v>
      </c>
      <c r="B235" s="2" t="s">
        <v>61</v>
      </c>
      <c r="C235" s="2" t="s">
        <v>2912</v>
      </c>
      <c r="D235" s="2" t="s">
        <v>36</v>
      </c>
      <c r="E235" s="2" t="s">
        <v>37</v>
      </c>
      <c r="F235" s="2" t="s">
        <v>2913</v>
      </c>
      <c r="G235" s="2" t="s">
        <v>111</v>
      </c>
      <c r="H235" s="2" t="s">
        <v>2914</v>
      </c>
      <c r="I235" s="2" t="s">
        <v>400</v>
      </c>
      <c r="J235" s="2" t="s">
        <v>2915</v>
      </c>
      <c r="K235" s="2" t="s">
        <v>2916</v>
      </c>
      <c r="L235" s="2" t="s">
        <v>2917</v>
      </c>
      <c r="M235" s="2">
        <v>1189887</v>
      </c>
      <c r="N235" s="2">
        <v>3460000</v>
      </c>
      <c r="O235" s="2" t="s">
        <v>2918</v>
      </c>
      <c r="P235" s="8">
        <v>45709</v>
      </c>
      <c r="Q235" s="2" t="s">
        <v>2919</v>
      </c>
      <c r="R235" s="2" t="s">
        <v>2920</v>
      </c>
      <c r="S235" s="2" t="s">
        <v>54</v>
      </c>
      <c r="T235" s="2" t="s">
        <v>55</v>
      </c>
      <c r="U235" s="2" t="s">
        <v>108</v>
      </c>
      <c r="V235" s="2" t="s">
        <v>57</v>
      </c>
      <c r="W235" s="8">
        <v>44610</v>
      </c>
      <c r="X235" s="2" t="s">
        <v>100</v>
      </c>
      <c r="Y235" s="2" t="s">
        <v>947</v>
      </c>
      <c r="Z235" s="2" t="s">
        <v>2921</v>
      </c>
      <c r="AA235" s="2">
        <v>5</v>
      </c>
      <c r="AB235" s="2" t="s">
        <v>76</v>
      </c>
      <c r="AC235" s="2" t="s">
        <v>2922</v>
      </c>
      <c r="AD235" s="2" t="s">
        <v>2592</v>
      </c>
      <c r="AE235" s="2">
        <v>2</v>
      </c>
      <c r="AF235" s="2">
        <v>2768000</v>
      </c>
      <c r="AG235" s="2">
        <v>55360</v>
      </c>
      <c r="AH235" s="2"/>
      <c r="AI235" s="2"/>
      <c r="AJ235" s="2" t="s">
        <v>37</v>
      </c>
      <c r="AK235" s="2" t="s">
        <v>5266</v>
      </c>
      <c r="AL235" s="3">
        <v>51900</v>
      </c>
      <c r="AM235" s="8">
        <v>45713</v>
      </c>
      <c r="AN235" s="2" t="s">
        <v>5535</v>
      </c>
      <c r="AO235" s="7">
        <f t="shared" si="3"/>
        <v>3460</v>
      </c>
    </row>
    <row r="236" spans="1:41" hidden="1" x14ac:dyDescent="0.25">
      <c r="A236" s="5">
        <v>260</v>
      </c>
      <c r="B236" s="5" t="s">
        <v>61</v>
      </c>
      <c r="C236" s="5" t="s">
        <v>2923</v>
      </c>
      <c r="D236" s="5" t="s">
        <v>36</v>
      </c>
      <c r="E236" s="5" t="s">
        <v>37</v>
      </c>
      <c r="F236" s="5" t="s">
        <v>2924</v>
      </c>
      <c r="G236" s="5" t="s">
        <v>47</v>
      </c>
      <c r="H236" s="5" t="s">
        <v>2925</v>
      </c>
      <c r="I236" s="5" t="s">
        <v>2926</v>
      </c>
      <c r="J236" s="5" t="s">
        <v>2926</v>
      </c>
      <c r="K236" s="5" t="s">
        <v>67</v>
      </c>
      <c r="L236" s="5" t="s">
        <v>2927</v>
      </c>
      <c r="M236" s="5">
        <v>1293600</v>
      </c>
      <c r="N236" s="5">
        <v>1848000</v>
      </c>
      <c r="O236" s="5" t="s">
        <v>2928</v>
      </c>
      <c r="P236" s="6">
        <v>45729</v>
      </c>
      <c r="Q236" s="5" t="s">
        <v>2929</v>
      </c>
      <c r="R236" s="5" t="s">
        <v>2930</v>
      </c>
      <c r="S236" s="5" t="s">
        <v>55</v>
      </c>
      <c r="T236" s="5" t="s">
        <v>55</v>
      </c>
      <c r="U236" s="5" t="s">
        <v>2931</v>
      </c>
      <c r="V236" s="5" t="s">
        <v>248</v>
      </c>
      <c r="W236" s="5" t="s">
        <v>2932</v>
      </c>
      <c r="X236" s="5" t="s">
        <v>1381</v>
      </c>
      <c r="Y236" s="5" t="s">
        <v>1592</v>
      </c>
      <c r="Z236" s="5" t="s">
        <v>2933</v>
      </c>
      <c r="AA236" s="5">
        <v>5</v>
      </c>
      <c r="AB236" s="5" t="s">
        <v>279</v>
      </c>
      <c r="AC236" s="5" t="s">
        <v>2934</v>
      </c>
      <c r="AD236" s="5" t="s">
        <v>2932</v>
      </c>
      <c r="AE236" s="5" t="s">
        <v>253</v>
      </c>
      <c r="AF236" s="5">
        <v>1570800</v>
      </c>
      <c r="AG236" s="5">
        <v>27489</v>
      </c>
      <c r="AH236" s="5"/>
      <c r="AI236" s="5"/>
      <c r="AJ236" s="5" t="s">
        <v>37</v>
      </c>
      <c r="AK236" s="2" t="s">
        <v>5267</v>
      </c>
      <c r="AL236" s="3">
        <v>27489</v>
      </c>
      <c r="AM236" s="8">
        <v>45734</v>
      </c>
      <c r="AN236" s="2"/>
      <c r="AO236" s="7">
        <f t="shared" si="3"/>
        <v>0</v>
      </c>
    </row>
    <row r="237" spans="1:41" hidden="1" x14ac:dyDescent="0.25">
      <c r="A237" s="2">
        <v>261</v>
      </c>
      <c r="B237" s="2" t="s">
        <v>61</v>
      </c>
      <c r="C237" s="2" t="s">
        <v>2935</v>
      </c>
      <c r="D237" s="2" t="s">
        <v>36</v>
      </c>
      <c r="E237" s="2" t="s">
        <v>37</v>
      </c>
      <c r="F237" s="2" t="s">
        <v>2936</v>
      </c>
      <c r="G237" s="2" t="s">
        <v>47</v>
      </c>
      <c r="H237" s="2" t="s">
        <v>2937</v>
      </c>
      <c r="I237" s="2" t="s">
        <v>2938</v>
      </c>
      <c r="J237" s="2" t="s">
        <v>2938</v>
      </c>
      <c r="K237" s="2" t="s">
        <v>67</v>
      </c>
      <c r="L237" s="2" t="s">
        <v>2939</v>
      </c>
      <c r="M237" s="2">
        <v>765956</v>
      </c>
      <c r="N237" s="2">
        <v>2470000</v>
      </c>
      <c r="O237" s="2" t="s">
        <v>2940</v>
      </c>
      <c r="P237" s="8">
        <v>45709</v>
      </c>
      <c r="Q237" s="2" t="s">
        <v>2941</v>
      </c>
      <c r="R237" s="2" t="s">
        <v>2942</v>
      </c>
      <c r="S237" s="2" t="s">
        <v>48</v>
      </c>
      <c r="T237" s="2" t="s">
        <v>2943</v>
      </c>
      <c r="U237" s="2" t="s">
        <v>262</v>
      </c>
      <c r="V237" s="2" t="s">
        <v>91</v>
      </c>
      <c r="W237" s="8">
        <v>44614</v>
      </c>
      <c r="X237" s="2" t="s">
        <v>115</v>
      </c>
      <c r="Y237" s="2" t="s">
        <v>959</v>
      </c>
      <c r="Z237" s="2" t="s">
        <v>2944</v>
      </c>
      <c r="AA237" s="2">
        <v>4</v>
      </c>
      <c r="AB237" s="2" t="s">
        <v>44</v>
      </c>
      <c r="AC237" s="2" t="s">
        <v>2945</v>
      </c>
      <c r="AD237" s="2" t="s">
        <v>118</v>
      </c>
      <c r="AE237" s="2">
        <v>1.5</v>
      </c>
      <c r="AF237" s="2">
        <v>1976000</v>
      </c>
      <c r="AG237" s="2">
        <v>29640</v>
      </c>
      <c r="AH237" s="2"/>
      <c r="AI237" s="2"/>
      <c r="AJ237" s="2" t="s">
        <v>37</v>
      </c>
      <c r="AK237" s="2" t="s">
        <v>5268</v>
      </c>
      <c r="AL237" s="3">
        <v>29640</v>
      </c>
      <c r="AM237" s="8">
        <v>45713</v>
      </c>
      <c r="AN237" s="2"/>
      <c r="AO237" s="7">
        <f t="shared" si="3"/>
        <v>0</v>
      </c>
    </row>
    <row r="238" spans="1:41" hidden="1" x14ac:dyDescent="0.25">
      <c r="A238" s="5">
        <v>262</v>
      </c>
      <c r="B238" s="5" t="s">
        <v>61</v>
      </c>
      <c r="C238" s="5" t="s">
        <v>2946</v>
      </c>
      <c r="D238" s="5" t="s">
        <v>36</v>
      </c>
      <c r="E238" s="5" t="s">
        <v>37</v>
      </c>
      <c r="F238" s="5" t="s">
        <v>2947</v>
      </c>
      <c r="G238" s="5" t="s">
        <v>47</v>
      </c>
      <c r="H238" s="5" t="s">
        <v>2948</v>
      </c>
      <c r="I238" s="5" t="s">
        <v>2949</v>
      </c>
      <c r="J238" s="5" t="s">
        <v>2949</v>
      </c>
      <c r="K238" s="5" t="s">
        <v>67</v>
      </c>
      <c r="L238" s="5" t="s">
        <v>2950</v>
      </c>
      <c r="M238" s="5">
        <v>1079062</v>
      </c>
      <c r="N238" s="5">
        <v>3315000</v>
      </c>
      <c r="O238" s="5" t="s">
        <v>1952</v>
      </c>
      <c r="P238" s="6">
        <v>45709</v>
      </c>
      <c r="Q238" s="5" t="s">
        <v>2951</v>
      </c>
      <c r="R238" s="5" t="s">
        <v>2952</v>
      </c>
      <c r="S238" s="5" t="s">
        <v>54</v>
      </c>
      <c r="T238" s="5" t="s">
        <v>55</v>
      </c>
      <c r="U238" s="5" t="s">
        <v>2036</v>
      </c>
      <c r="V238" s="5" t="s">
        <v>91</v>
      </c>
      <c r="W238" s="6">
        <v>44126</v>
      </c>
      <c r="X238" s="5" t="s">
        <v>97</v>
      </c>
      <c r="Y238" s="5" t="s">
        <v>947</v>
      </c>
      <c r="Z238" s="5" t="s">
        <v>2953</v>
      </c>
      <c r="AA238" s="5">
        <v>6</v>
      </c>
      <c r="AB238" s="5" t="s">
        <v>44</v>
      </c>
      <c r="AC238" s="5" t="s">
        <v>2954</v>
      </c>
      <c r="AD238" s="5" t="s">
        <v>141</v>
      </c>
      <c r="AE238" s="5">
        <v>2</v>
      </c>
      <c r="AF238" s="5">
        <v>2486250</v>
      </c>
      <c r="AG238" s="5">
        <v>49725</v>
      </c>
      <c r="AH238" s="5"/>
      <c r="AI238" s="5"/>
      <c r="AJ238" s="5" t="s">
        <v>37</v>
      </c>
      <c r="AK238" s="2" t="s">
        <v>5269</v>
      </c>
      <c r="AL238" s="3">
        <v>49725</v>
      </c>
      <c r="AM238" s="8">
        <v>45713</v>
      </c>
      <c r="AN238" s="2"/>
      <c r="AO238" s="7">
        <f t="shared" si="3"/>
        <v>0</v>
      </c>
    </row>
    <row r="239" spans="1:41" x14ac:dyDescent="0.25">
      <c r="A239" s="2">
        <v>263</v>
      </c>
      <c r="B239" s="2" t="s">
        <v>61</v>
      </c>
      <c r="C239" s="2" t="s">
        <v>2955</v>
      </c>
      <c r="D239" s="2" t="s">
        <v>36</v>
      </c>
      <c r="E239" s="2" t="s">
        <v>37</v>
      </c>
      <c r="F239" s="2" t="s">
        <v>2956</v>
      </c>
      <c r="G239" s="2" t="s">
        <v>111</v>
      </c>
      <c r="H239" s="2" t="s">
        <v>2957</v>
      </c>
      <c r="I239" s="2" t="s">
        <v>2958</v>
      </c>
      <c r="J239" s="2" t="s">
        <v>2958</v>
      </c>
      <c r="K239" s="2" t="s">
        <v>2958</v>
      </c>
      <c r="L239" s="2" t="s">
        <v>2959</v>
      </c>
      <c r="M239" s="2">
        <v>1060165</v>
      </c>
      <c r="N239" s="2">
        <v>2880000</v>
      </c>
      <c r="O239" s="2" t="s">
        <v>2960</v>
      </c>
      <c r="P239" s="8">
        <v>45709</v>
      </c>
      <c r="Q239" s="2" t="s">
        <v>2961</v>
      </c>
      <c r="R239" s="2" t="s">
        <v>2962</v>
      </c>
      <c r="S239" s="2" t="s">
        <v>54</v>
      </c>
      <c r="T239" s="2" t="s">
        <v>55</v>
      </c>
      <c r="U239" s="2" t="s">
        <v>2963</v>
      </c>
      <c r="V239" s="2" t="s">
        <v>57</v>
      </c>
      <c r="W239" s="8">
        <v>44615</v>
      </c>
      <c r="X239" s="2" t="s">
        <v>115</v>
      </c>
      <c r="Y239" s="2" t="s">
        <v>1839</v>
      </c>
      <c r="Z239" s="2" t="s">
        <v>2964</v>
      </c>
      <c r="AA239" s="2">
        <v>5</v>
      </c>
      <c r="AB239" s="2" t="s">
        <v>76</v>
      </c>
      <c r="AC239" s="2" t="s">
        <v>2965</v>
      </c>
      <c r="AD239" s="2" t="s">
        <v>2966</v>
      </c>
      <c r="AE239" s="2">
        <v>2</v>
      </c>
      <c r="AF239" s="2">
        <v>2304000</v>
      </c>
      <c r="AG239" s="2">
        <v>46080</v>
      </c>
      <c r="AH239" s="2"/>
      <c r="AI239" s="2"/>
      <c r="AJ239" s="2" t="s">
        <v>37</v>
      </c>
      <c r="AK239" s="2" t="s">
        <v>5270</v>
      </c>
      <c r="AL239" s="3">
        <v>43200</v>
      </c>
      <c r="AM239" s="8">
        <v>45713</v>
      </c>
      <c r="AN239" s="2" t="s">
        <v>5536</v>
      </c>
      <c r="AO239" s="7">
        <f t="shared" si="3"/>
        <v>2880</v>
      </c>
    </row>
    <row r="240" spans="1:41" x14ac:dyDescent="0.25">
      <c r="A240" s="5">
        <v>264</v>
      </c>
      <c r="B240" s="5" t="s">
        <v>61</v>
      </c>
      <c r="C240" s="5" t="s">
        <v>2967</v>
      </c>
      <c r="D240" s="5" t="s">
        <v>36</v>
      </c>
      <c r="E240" s="5" t="s">
        <v>37</v>
      </c>
      <c r="F240" s="5" t="s">
        <v>2968</v>
      </c>
      <c r="G240" s="5" t="s">
        <v>111</v>
      </c>
      <c r="H240" s="5" t="s">
        <v>2969</v>
      </c>
      <c r="I240" s="5" t="s">
        <v>2970</v>
      </c>
      <c r="J240" s="5" t="s">
        <v>2970</v>
      </c>
      <c r="K240" s="5" t="s">
        <v>55</v>
      </c>
      <c r="L240" s="5" t="s">
        <v>2971</v>
      </c>
      <c r="M240" s="5">
        <v>996258</v>
      </c>
      <c r="N240" s="5">
        <v>2500000</v>
      </c>
      <c r="O240" s="5" t="s">
        <v>2972</v>
      </c>
      <c r="P240" s="6">
        <v>45709</v>
      </c>
      <c r="Q240" s="5" t="s">
        <v>2973</v>
      </c>
      <c r="R240" s="5" t="s">
        <v>2974</v>
      </c>
      <c r="S240" s="5" t="s">
        <v>48</v>
      </c>
      <c r="T240" s="5" t="s">
        <v>2975</v>
      </c>
      <c r="U240" s="5" t="s">
        <v>2976</v>
      </c>
      <c r="V240" s="5" t="s">
        <v>40</v>
      </c>
      <c r="W240" s="6">
        <v>44618</v>
      </c>
      <c r="X240" s="5" t="s">
        <v>115</v>
      </c>
      <c r="Y240" s="5" t="s">
        <v>1839</v>
      </c>
      <c r="Z240" s="5" t="s">
        <v>2977</v>
      </c>
      <c r="AA240" s="5">
        <v>5</v>
      </c>
      <c r="AB240" s="5" t="s">
        <v>76</v>
      </c>
      <c r="AC240" s="5" t="s">
        <v>2978</v>
      </c>
      <c r="AD240" s="5" t="s">
        <v>2592</v>
      </c>
      <c r="AE240" s="5">
        <v>1.5</v>
      </c>
      <c r="AF240" s="5">
        <v>2000000</v>
      </c>
      <c r="AG240" s="5">
        <v>30000</v>
      </c>
      <c r="AH240" s="5"/>
      <c r="AI240" s="5"/>
      <c r="AJ240" s="5" t="s">
        <v>37</v>
      </c>
      <c r="AK240" s="2" t="s">
        <v>5271</v>
      </c>
      <c r="AL240" s="3">
        <v>28125</v>
      </c>
      <c r="AM240" s="8">
        <v>45713</v>
      </c>
      <c r="AN240" s="2" t="s">
        <v>5537</v>
      </c>
      <c r="AO240" s="7">
        <f t="shared" si="3"/>
        <v>1875</v>
      </c>
    </row>
    <row r="241" spans="1:41" hidden="1" x14ac:dyDescent="0.25">
      <c r="A241" s="2">
        <v>265</v>
      </c>
      <c r="B241" s="2" t="s">
        <v>61</v>
      </c>
      <c r="C241" s="2" t="s">
        <v>2979</v>
      </c>
      <c r="D241" s="2" t="s">
        <v>36</v>
      </c>
      <c r="E241" s="2" t="s">
        <v>37</v>
      </c>
      <c r="F241" s="2" t="s">
        <v>2980</v>
      </c>
      <c r="G241" s="2" t="s">
        <v>111</v>
      </c>
      <c r="H241" s="2" t="s">
        <v>2981</v>
      </c>
      <c r="I241" s="2" t="s">
        <v>2982</v>
      </c>
      <c r="J241" s="2" t="s">
        <v>2982</v>
      </c>
      <c r="K241" s="2" t="s">
        <v>2982</v>
      </c>
      <c r="L241" s="2" t="s">
        <v>2983</v>
      </c>
      <c r="M241" s="2">
        <v>1015978</v>
      </c>
      <c r="N241" s="2">
        <v>1655000</v>
      </c>
      <c r="O241" s="2" t="s">
        <v>2984</v>
      </c>
      <c r="P241" s="8">
        <v>45709</v>
      </c>
      <c r="Q241" s="2" t="s">
        <v>2985</v>
      </c>
      <c r="R241" s="2" t="s">
        <v>2986</v>
      </c>
      <c r="S241" s="2" t="s">
        <v>54</v>
      </c>
      <c r="T241" s="2" t="s">
        <v>55</v>
      </c>
      <c r="U241" s="2" t="s">
        <v>305</v>
      </c>
      <c r="V241" s="2" t="s">
        <v>57</v>
      </c>
      <c r="W241" s="8">
        <v>44461</v>
      </c>
      <c r="X241" s="2" t="s">
        <v>100</v>
      </c>
      <c r="Y241" s="2" t="s">
        <v>1044</v>
      </c>
      <c r="Z241" s="2" t="s">
        <v>2987</v>
      </c>
      <c r="AA241" s="2">
        <v>7</v>
      </c>
      <c r="AB241" s="2" t="s">
        <v>44</v>
      </c>
      <c r="AC241" s="2" t="s">
        <v>2988</v>
      </c>
      <c r="AD241" s="2" t="s">
        <v>2592</v>
      </c>
      <c r="AE241" s="2">
        <v>2</v>
      </c>
      <c r="AF241" s="2">
        <v>1324000</v>
      </c>
      <c r="AG241" s="2">
        <v>26480</v>
      </c>
      <c r="AH241" s="2"/>
      <c r="AI241" s="2"/>
      <c r="AJ241" s="2" t="s">
        <v>37</v>
      </c>
      <c r="AK241" s="2" t="s">
        <v>5272</v>
      </c>
      <c r="AL241" s="3">
        <v>26480</v>
      </c>
      <c r="AM241" s="8">
        <v>45713</v>
      </c>
      <c r="AN241" s="2"/>
      <c r="AO241" s="7">
        <f t="shared" si="3"/>
        <v>0</v>
      </c>
    </row>
    <row r="242" spans="1:41" hidden="1" x14ac:dyDescent="0.25">
      <c r="A242" s="5">
        <v>266</v>
      </c>
      <c r="B242" s="5" t="s">
        <v>61</v>
      </c>
      <c r="C242" s="5" t="s">
        <v>2989</v>
      </c>
      <c r="D242" s="5" t="s">
        <v>36</v>
      </c>
      <c r="E242" s="5" t="s">
        <v>37</v>
      </c>
      <c r="F242" s="5" t="s">
        <v>2990</v>
      </c>
      <c r="G242" s="5" t="s">
        <v>47</v>
      </c>
      <c r="H242" s="5" t="s">
        <v>2991</v>
      </c>
      <c r="I242" s="5" t="s">
        <v>2992</v>
      </c>
      <c r="J242" s="5" t="s">
        <v>55</v>
      </c>
      <c r="K242" s="5" t="s">
        <v>2993</v>
      </c>
      <c r="L242" s="5" t="s">
        <v>2994</v>
      </c>
      <c r="M242" s="5">
        <v>906388</v>
      </c>
      <c r="N242" s="5">
        <v>2175000</v>
      </c>
      <c r="O242" s="5" t="s">
        <v>2995</v>
      </c>
      <c r="P242" s="6">
        <v>45709</v>
      </c>
      <c r="Q242" s="5" t="s">
        <v>2996</v>
      </c>
      <c r="R242" s="5" t="s">
        <v>2997</v>
      </c>
      <c r="S242" s="5" t="s">
        <v>54</v>
      </c>
      <c r="T242" s="5" t="s">
        <v>55</v>
      </c>
      <c r="U242" s="5" t="s">
        <v>2998</v>
      </c>
      <c r="V242" s="5" t="s">
        <v>91</v>
      </c>
      <c r="W242" s="6">
        <v>44165</v>
      </c>
      <c r="X242" s="5" t="s">
        <v>933</v>
      </c>
      <c r="Y242" s="5" t="s">
        <v>1805</v>
      </c>
      <c r="Z242" s="5" t="s">
        <v>2999</v>
      </c>
      <c r="AA242" s="5">
        <v>7</v>
      </c>
      <c r="AB242" s="5" t="s">
        <v>44</v>
      </c>
      <c r="AC242" s="5" t="s">
        <v>3000</v>
      </c>
      <c r="AD242" s="5" t="s">
        <v>3001</v>
      </c>
      <c r="AE242" s="5">
        <v>2</v>
      </c>
      <c r="AF242" s="5">
        <v>1631250</v>
      </c>
      <c r="AG242" s="5">
        <v>32625</v>
      </c>
      <c r="AH242" s="5"/>
      <c r="AI242" s="5"/>
      <c r="AJ242" s="5" t="s">
        <v>37</v>
      </c>
      <c r="AK242" s="2" t="s">
        <v>5273</v>
      </c>
      <c r="AL242" s="3">
        <v>32625</v>
      </c>
      <c r="AM242" s="8">
        <v>45713</v>
      </c>
      <c r="AN242" s="2"/>
      <c r="AO242" s="7">
        <f t="shared" si="3"/>
        <v>0</v>
      </c>
    </row>
    <row r="243" spans="1:41" x14ac:dyDescent="0.25">
      <c r="A243" s="2">
        <v>267</v>
      </c>
      <c r="B243" s="2" t="s">
        <v>61</v>
      </c>
      <c r="C243" s="2" t="s">
        <v>3002</v>
      </c>
      <c r="D243" s="2" t="s">
        <v>36</v>
      </c>
      <c r="E243" s="2" t="s">
        <v>37</v>
      </c>
      <c r="F243" s="2" t="s">
        <v>3003</v>
      </c>
      <c r="G243" s="2" t="s">
        <v>111</v>
      </c>
      <c r="H243" s="2" t="s">
        <v>3004</v>
      </c>
      <c r="I243" s="2" t="s">
        <v>3005</v>
      </c>
      <c r="J243" s="2" t="s">
        <v>3005</v>
      </c>
      <c r="K243" s="2" t="s">
        <v>3006</v>
      </c>
      <c r="L243" s="2" t="s">
        <v>3007</v>
      </c>
      <c r="M243" s="2">
        <v>731582</v>
      </c>
      <c r="N243" s="2">
        <v>1814000</v>
      </c>
      <c r="O243" s="2" t="s">
        <v>3008</v>
      </c>
      <c r="P243" s="8">
        <v>45709</v>
      </c>
      <c r="Q243" s="2" t="s">
        <v>3009</v>
      </c>
      <c r="R243" s="2" t="s">
        <v>3010</v>
      </c>
      <c r="S243" s="2" t="s">
        <v>54</v>
      </c>
      <c r="T243" s="2" t="s">
        <v>55</v>
      </c>
      <c r="U243" s="2" t="s">
        <v>3011</v>
      </c>
      <c r="V243" s="2" t="s">
        <v>57</v>
      </c>
      <c r="W243" s="8">
        <v>44592</v>
      </c>
      <c r="X243" s="2" t="s">
        <v>100</v>
      </c>
      <c r="Y243" s="2" t="s">
        <v>947</v>
      </c>
      <c r="Z243" s="2" t="s">
        <v>3012</v>
      </c>
      <c r="AA243" s="2">
        <v>5</v>
      </c>
      <c r="AB243" s="2" t="s">
        <v>44</v>
      </c>
      <c r="AC243" s="2" t="s">
        <v>3013</v>
      </c>
      <c r="AD243" s="2" t="s">
        <v>2592</v>
      </c>
      <c r="AE243" s="2">
        <v>2</v>
      </c>
      <c r="AF243" s="2">
        <v>1451200</v>
      </c>
      <c r="AG243" s="2">
        <v>29024</v>
      </c>
      <c r="AH243" s="2"/>
      <c r="AI243" s="2"/>
      <c r="AJ243" s="2" t="s">
        <v>37</v>
      </c>
      <c r="AK243" s="2" t="s">
        <v>5274</v>
      </c>
      <c r="AL243" s="3">
        <v>27210</v>
      </c>
      <c r="AM243" s="8">
        <v>45713</v>
      </c>
      <c r="AN243" s="2" t="s">
        <v>5538</v>
      </c>
      <c r="AO243" s="7">
        <f t="shared" si="3"/>
        <v>1814</v>
      </c>
    </row>
    <row r="244" spans="1:41" x14ac:dyDescent="0.25">
      <c r="A244" s="5">
        <v>268</v>
      </c>
      <c r="B244" s="5" t="s">
        <v>61</v>
      </c>
      <c r="C244" s="5" t="s">
        <v>3014</v>
      </c>
      <c r="D244" s="5" t="s">
        <v>36</v>
      </c>
      <c r="E244" s="5" t="s">
        <v>37</v>
      </c>
      <c r="F244" s="5" t="s">
        <v>3015</v>
      </c>
      <c r="G244" s="5" t="s">
        <v>111</v>
      </c>
      <c r="H244" s="5" t="s">
        <v>3016</v>
      </c>
      <c r="I244" s="5" t="s">
        <v>3017</v>
      </c>
      <c r="J244" s="5" t="s">
        <v>3017</v>
      </c>
      <c r="K244" s="5" t="s">
        <v>3018</v>
      </c>
      <c r="L244" s="5" t="s">
        <v>3019</v>
      </c>
      <c r="M244" s="5">
        <v>713364</v>
      </c>
      <c r="N244" s="5">
        <v>1655000</v>
      </c>
      <c r="O244" s="5" t="s">
        <v>3020</v>
      </c>
      <c r="P244" s="6">
        <v>45709</v>
      </c>
      <c r="Q244" s="5" t="s">
        <v>3021</v>
      </c>
      <c r="R244" s="5" t="s">
        <v>3022</v>
      </c>
      <c r="S244" s="5" t="s">
        <v>54</v>
      </c>
      <c r="T244" s="5" t="s">
        <v>55</v>
      </c>
      <c r="U244" s="5" t="s">
        <v>305</v>
      </c>
      <c r="V244" s="5" t="s">
        <v>57</v>
      </c>
      <c r="W244" s="6">
        <v>44463</v>
      </c>
      <c r="X244" s="5" t="s">
        <v>100</v>
      </c>
      <c r="Y244" s="5" t="s">
        <v>947</v>
      </c>
      <c r="Z244" s="5" t="s">
        <v>3023</v>
      </c>
      <c r="AA244" s="5">
        <v>5</v>
      </c>
      <c r="AB244" s="5" t="s">
        <v>44</v>
      </c>
      <c r="AC244" s="5" t="s">
        <v>3024</v>
      </c>
      <c r="AD244" s="5" t="s">
        <v>2592</v>
      </c>
      <c r="AE244" s="5">
        <v>2</v>
      </c>
      <c r="AF244" s="5">
        <v>1324000</v>
      </c>
      <c r="AG244" s="5">
        <v>26480</v>
      </c>
      <c r="AH244" s="5"/>
      <c r="AI244" s="5"/>
      <c r="AJ244" s="5" t="s">
        <v>37</v>
      </c>
      <c r="AK244" s="2" t="s">
        <v>5275</v>
      </c>
      <c r="AL244" s="3">
        <v>24825</v>
      </c>
      <c r="AM244" s="8">
        <v>45713</v>
      </c>
      <c r="AN244" s="2" t="s">
        <v>5539</v>
      </c>
      <c r="AO244" s="7">
        <f t="shared" si="3"/>
        <v>1655</v>
      </c>
    </row>
    <row r="245" spans="1:41" x14ac:dyDescent="0.25">
      <c r="A245" s="2">
        <v>269</v>
      </c>
      <c r="B245" s="2" t="s">
        <v>61</v>
      </c>
      <c r="C245" s="2" t="s">
        <v>3025</v>
      </c>
      <c r="D245" s="2" t="s">
        <v>36</v>
      </c>
      <c r="E245" s="2" t="s">
        <v>37</v>
      </c>
      <c r="F245" s="2" t="s">
        <v>3026</v>
      </c>
      <c r="G245" s="2" t="s">
        <v>47</v>
      </c>
      <c r="H245" s="2" t="s">
        <v>3027</v>
      </c>
      <c r="I245" s="2" t="s">
        <v>3028</v>
      </c>
      <c r="J245" s="2" t="s">
        <v>3028</v>
      </c>
      <c r="K245" s="2" t="s">
        <v>67</v>
      </c>
      <c r="L245" s="2" t="s">
        <v>3029</v>
      </c>
      <c r="M245" s="2">
        <v>674610</v>
      </c>
      <c r="N245" s="2">
        <v>1580000</v>
      </c>
      <c r="O245" s="2" t="s">
        <v>3030</v>
      </c>
      <c r="P245" s="8">
        <v>45709</v>
      </c>
      <c r="Q245" s="2" t="s">
        <v>3031</v>
      </c>
      <c r="R245" s="2" t="s">
        <v>3032</v>
      </c>
      <c r="S245" s="2" t="s">
        <v>48</v>
      </c>
      <c r="T245" s="2" t="s">
        <v>3033</v>
      </c>
      <c r="U245" s="2" t="s">
        <v>39</v>
      </c>
      <c r="V245" s="2" t="s">
        <v>230</v>
      </c>
      <c r="W245" s="8">
        <v>44615</v>
      </c>
      <c r="X245" s="2" t="s">
        <v>115</v>
      </c>
      <c r="Y245" s="2" t="s">
        <v>1839</v>
      </c>
      <c r="Z245" s="2" t="s">
        <v>3034</v>
      </c>
      <c r="AA245" s="2">
        <v>5</v>
      </c>
      <c r="AB245" s="2" t="s">
        <v>44</v>
      </c>
      <c r="AC245" s="2" t="s">
        <v>3035</v>
      </c>
      <c r="AD245" s="2" t="s">
        <v>118</v>
      </c>
      <c r="AE245" s="2">
        <v>1.5</v>
      </c>
      <c r="AF245" s="2">
        <v>1264000</v>
      </c>
      <c r="AG245" s="2">
        <v>18960</v>
      </c>
      <c r="AH245" s="2"/>
      <c r="AI245" s="2"/>
      <c r="AJ245" s="2" t="s">
        <v>37</v>
      </c>
      <c r="AK245" s="2" t="s">
        <v>5276</v>
      </c>
      <c r="AL245" s="3">
        <v>17775</v>
      </c>
      <c r="AM245" s="8">
        <v>45713</v>
      </c>
      <c r="AN245" s="2" t="s">
        <v>5540</v>
      </c>
      <c r="AO245" s="7">
        <f t="shared" si="3"/>
        <v>1185</v>
      </c>
    </row>
    <row r="246" spans="1:41" hidden="1" x14ac:dyDescent="0.25">
      <c r="A246" s="5">
        <v>270</v>
      </c>
      <c r="B246" s="5" t="s">
        <v>61</v>
      </c>
      <c r="C246" s="5" t="s">
        <v>3036</v>
      </c>
      <c r="D246" s="5" t="s">
        <v>36</v>
      </c>
      <c r="E246" s="5" t="s">
        <v>37</v>
      </c>
      <c r="F246" s="5" t="s">
        <v>3037</v>
      </c>
      <c r="G246" s="5" t="s">
        <v>47</v>
      </c>
      <c r="H246" s="5" t="s">
        <v>3038</v>
      </c>
      <c r="I246" s="5" t="s">
        <v>3039</v>
      </c>
      <c r="J246" s="5" t="s">
        <v>3039</v>
      </c>
      <c r="K246" s="5" t="s">
        <v>3040</v>
      </c>
      <c r="L246" s="5" t="s">
        <v>3041</v>
      </c>
      <c r="M246" s="5">
        <v>760500</v>
      </c>
      <c r="N246" s="5">
        <v>1521000</v>
      </c>
      <c r="O246" s="5" t="s">
        <v>3042</v>
      </c>
      <c r="P246" s="6">
        <v>45730</v>
      </c>
      <c r="Q246" s="5" t="s">
        <v>3043</v>
      </c>
      <c r="R246" s="5" t="s">
        <v>3044</v>
      </c>
      <c r="S246" s="5" t="s">
        <v>55</v>
      </c>
      <c r="T246" s="5" t="s">
        <v>55</v>
      </c>
      <c r="U246" s="5" t="s">
        <v>847</v>
      </c>
      <c r="V246" s="5" t="s">
        <v>57</v>
      </c>
      <c r="W246" s="5" t="s">
        <v>3045</v>
      </c>
      <c r="X246" s="5" t="s">
        <v>42</v>
      </c>
      <c r="Y246" s="5" t="s">
        <v>1592</v>
      </c>
      <c r="Z246" s="5" t="s">
        <v>3046</v>
      </c>
      <c r="AA246" s="5">
        <v>6</v>
      </c>
      <c r="AB246" s="5" t="s">
        <v>44</v>
      </c>
      <c r="AC246" s="5" t="s">
        <v>3047</v>
      </c>
      <c r="AD246" s="5" t="s">
        <v>156</v>
      </c>
      <c r="AE246" s="5" t="s">
        <v>78</v>
      </c>
      <c r="AF246" s="5">
        <v>1216800</v>
      </c>
      <c r="AG246" s="5">
        <v>24336</v>
      </c>
      <c r="AH246" s="5"/>
      <c r="AI246" s="5"/>
      <c r="AJ246" s="5" t="s">
        <v>37</v>
      </c>
      <c r="AK246" s="2" t="s">
        <v>5277</v>
      </c>
      <c r="AL246" s="3">
        <v>24336</v>
      </c>
      <c r="AM246" s="8">
        <v>45734</v>
      </c>
      <c r="AN246" s="2"/>
      <c r="AO246" s="7">
        <f t="shared" si="3"/>
        <v>0</v>
      </c>
    </row>
    <row r="247" spans="1:41" hidden="1" x14ac:dyDescent="0.25">
      <c r="A247" s="2">
        <v>271</v>
      </c>
      <c r="B247" s="2" t="s">
        <v>61</v>
      </c>
      <c r="C247" s="2" t="s">
        <v>3048</v>
      </c>
      <c r="D247" s="2" t="s">
        <v>36</v>
      </c>
      <c r="E247" s="2" t="s">
        <v>37</v>
      </c>
      <c r="F247" s="2" t="s">
        <v>3049</v>
      </c>
      <c r="G247" s="2" t="s">
        <v>111</v>
      </c>
      <c r="H247" s="2" t="s">
        <v>3050</v>
      </c>
      <c r="I247" s="2" t="s">
        <v>3051</v>
      </c>
      <c r="J247" s="2" t="s">
        <v>3052</v>
      </c>
      <c r="K247" s="2" t="s">
        <v>3053</v>
      </c>
      <c r="L247" s="2" t="s">
        <v>3054</v>
      </c>
      <c r="M247" s="2">
        <v>460252</v>
      </c>
      <c r="N247" s="2">
        <v>1900000</v>
      </c>
      <c r="O247" s="2" t="s">
        <v>3055</v>
      </c>
      <c r="P247" s="8">
        <v>45709</v>
      </c>
      <c r="Q247" s="2" t="s">
        <v>3056</v>
      </c>
      <c r="R247" s="2" t="s">
        <v>3057</v>
      </c>
      <c r="S247" s="2" t="s">
        <v>54</v>
      </c>
      <c r="T247" s="2" t="s">
        <v>55</v>
      </c>
      <c r="U247" s="2" t="s">
        <v>3058</v>
      </c>
      <c r="V247" s="2" t="s">
        <v>91</v>
      </c>
      <c r="W247" s="8">
        <v>44131</v>
      </c>
      <c r="X247" s="2" t="s">
        <v>933</v>
      </c>
      <c r="Y247" s="2" t="s">
        <v>959</v>
      </c>
      <c r="Z247" s="2" t="s">
        <v>3059</v>
      </c>
      <c r="AA247" s="2">
        <v>5</v>
      </c>
      <c r="AB247" s="2" t="s">
        <v>44</v>
      </c>
      <c r="AC247" s="2" t="s">
        <v>3060</v>
      </c>
      <c r="AD247" s="2" t="s">
        <v>2790</v>
      </c>
      <c r="AE247" s="2">
        <v>2</v>
      </c>
      <c r="AF247" s="2">
        <v>1425000</v>
      </c>
      <c r="AG247" s="2">
        <v>28500</v>
      </c>
      <c r="AH247" s="2"/>
      <c r="AI247" s="2"/>
      <c r="AJ247" s="2" t="s">
        <v>37</v>
      </c>
      <c r="AK247" s="2" t="s">
        <v>5278</v>
      </c>
      <c r="AL247" s="3">
        <v>28500</v>
      </c>
      <c r="AM247" s="8">
        <v>45713</v>
      </c>
      <c r="AN247" s="2"/>
      <c r="AO247" s="7">
        <f t="shared" si="3"/>
        <v>0</v>
      </c>
    </row>
    <row r="248" spans="1:41" hidden="1" x14ac:dyDescent="0.25">
      <c r="A248" s="5">
        <v>272</v>
      </c>
      <c r="B248" s="5" t="s">
        <v>61</v>
      </c>
      <c r="C248" s="5" t="s">
        <v>3061</v>
      </c>
      <c r="D248" s="5" t="s">
        <v>36</v>
      </c>
      <c r="E248" s="5" t="s">
        <v>37</v>
      </c>
      <c r="F248" s="5" t="s">
        <v>3062</v>
      </c>
      <c r="G248" s="5" t="s">
        <v>47</v>
      </c>
      <c r="H248" s="5" t="s">
        <v>3063</v>
      </c>
      <c r="I248" s="5" t="s">
        <v>3064</v>
      </c>
      <c r="J248" s="5" t="s">
        <v>3064</v>
      </c>
      <c r="K248" s="5" t="s">
        <v>3064</v>
      </c>
      <c r="L248" s="5" t="s">
        <v>3065</v>
      </c>
      <c r="M248" s="5">
        <v>1120000</v>
      </c>
      <c r="N248" s="5">
        <v>1400000</v>
      </c>
      <c r="O248" s="5" t="s">
        <v>3066</v>
      </c>
      <c r="P248" s="6">
        <v>45730</v>
      </c>
      <c r="Q248" s="5" t="s">
        <v>3067</v>
      </c>
      <c r="R248" s="5" t="s">
        <v>3068</v>
      </c>
      <c r="S248" s="5" t="s">
        <v>3069</v>
      </c>
      <c r="T248" s="5" t="s">
        <v>3069</v>
      </c>
      <c r="U248" s="5" t="s">
        <v>380</v>
      </c>
      <c r="V248" s="5" t="s">
        <v>49</v>
      </c>
      <c r="W248" s="5" t="s">
        <v>41</v>
      </c>
      <c r="X248" s="5" t="s">
        <v>42</v>
      </c>
      <c r="Y248" s="5" t="s">
        <v>94</v>
      </c>
      <c r="Z248" s="5" t="s">
        <v>3070</v>
      </c>
      <c r="AA248" s="5">
        <v>4</v>
      </c>
      <c r="AB248" s="5" t="s">
        <v>44</v>
      </c>
      <c r="AC248" s="5" t="s">
        <v>3071</v>
      </c>
      <c r="AD248" s="5" t="s">
        <v>1092</v>
      </c>
      <c r="AE248" s="5" t="s">
        <v>46</v>
      </c>
      <c r="AF248" s="5">
        <v>1120000</v>
      </c>
      <c r="AG248" s="5">
        <v>16800</v>
      </c>
      <c r="AH248" s="5"/>
      <c r="AI248" s="5"/>
      <c r="AJ248" s="5" t="s">
        <v>37</v>
      </c>
      <c r="AK248" s="2" t="s">
        <v>5279</v>
      </c>
      <c r="AL248" s="3">
        <v>16800</v>
      </c>
      <c r="AM248" s="8">
        <v>45734</v>
      </c>
      <c r="AN248" s="2"/>
      <c r="AO248" s="7">
        <f t="shared" si="3"/>
        <v>0</v>
      </c>
    </row>
    <row r="249" spans="1:41" hidden="1" x14ac:dyDescent="0.25">
      <c r="A249" s="2">
        <v>273</v>
      </c>
      <c r="B249" s="2" t="s">
        <v>61</v>
      </c>
      <c r="C249" s="2" t="s">
        <v>3072</v>
      </c>
      <c r="D249" s="2" t="s">
        <v>36</v>
      </c>
      <c r="E249" s="2" t="s">
        <v>37</v>
      </c>
      <c r="F249" s="2" t="s">
        <v>3073</v>
      </c>
      <c r="G249" s="2" t="s">
        <v>111</v>
      </c>
      <c r="H249" s="2" t="s">
        <v>3074</v>
      </c>
      <c r="I249" s="2" t="s">
        <v>55</v>
      </c>
      <c r="J249" s="2" t="s">
        <v>3075</v>
      </c>
      <c r="K249" s="2" t="s">
        <v>55</v>
      </c>
      <c r="L249" s="2" t="s">
        <v>3076</v>
      </c>
      <c r="M249" s="2">
        <v>751085</v>
      </c>
      <c r="N249" s="2">
        <v>2210000</v>
      </c>
      <c r="O249" s="2" t="s">
        <v>3077</v>
      </c>
      <c r="P249" s="8">
        <v>45709</v>
      </c>
      <c r="Q249" s="2" t="s">
        <v>3078</v>
      </c>
      <c r="R249" s="2" t="s">
        <v>3079</v>
      </c>
      <c r="S249" s="2" t="s">
        <v>54</v>
      </c>
      <c r="T249" s="2" t="s">
        <v>55</v>
      </c>
      <c r="U249" s="2" t="s">
        <v>3080</v>
      </c>
      <c r="V249" s="2" t="s">
        <v>91</v>
      </c>
      <c r="W249" s="8">
        <v>44250</v>
      </c>
      <c r="X249" s="2" t="s">
        <v>933</v>
      </c>
      <c r="Y249" s="2" t="s">
        <v>1805</v>
      </c>
      <c r="Z249" s="2" t="s">
        <v>3081</v>
      </c>
      <c r="AA249" s="2">
        <v>7</v>
      </c>
      <c r="AB249" s="2" t="s">
        <v>76</v>
      </c>
      <c r="AC249" s="2" t="s">
        <v>3082</v>
      </c>
      <c r="AD249" s="2" t="s">
        <v>117</v>
      </c>
      <c r="AE249" s="2">
        <v>2</v>
      </c>
      <c r="AF249" s="2">
        <v>1657500</v>
      </c>
      <c r="AG249" s="2">
        <v>33150</v>
      </c>
      <c r="AH249" s="2"/>
      <c r="AI249" s="2"/>
      <c r="AJ249" s="2" t="s">
        <v>37</v>
      </c>
      <c r="AK249" s="2" t="s">
        <v>5280</v>
      </c>
      <c r="AL249" s="3">
        <v>33150</v>
      </c>
      <c r="AM249" s="8">
        <v>45713</v>
      </c>
      <c r="AN249" s="2"/>
      <c r="AO249" s="7">
        <f t="shared" si="3"/>
        <v>0</v>
      </c>
    </row>
    <row r="250" spans="1:41" hidden="1" x14ac:dyDescent="0.25">
      <c r="A250" s="5">
        <v>274</v>
      </c>
      <c r="B250" s="5" t="s">
        <v>61</v>
      </c>
      <c r="C250" s="5" t="s">
        <v>3083</v>
      </c>
      <c r="D250" s="5" t="s">
        <v>36</v>
      </c>
      <c r="E250" s="5" t="s">
        <v>37</v>
      </c>
      <c r="F250" s="5" t="s">
        <v>3084</v>
      </c>
      <c r="G250" s="5" t="s">
        <v>111</v>
      </c>
      <c r="H250" s="5" t="s">
        <v>3085</v>
      </c>
      <c r="I250" s="5" t="s">
        <v>3086</v>
      </c>
      <c r="J250" s="5" t="s">
        <v>3086</v>
      </c>
      <c r="K250" s="5" t="s">
        <v>3086</v>
      </c>
      <c r="L250" s="5" t="s">
        <v>3087</v>
      </c>
      <c r="M250" s="5">
        <v>1324000</v>
      </c>
      <c r="N250" s="5">
        <v>1655000</v>
      </c>
      <c r="O250" s="5" t="s">
        <v>3088</v>
      </c>
      <c r="P250" s="6">
        <v>45730</v>
      </c>
      <c r="Q250" s="5" t="s">
        <v>3089</v>
      </c>
      <c r="R250" s="5" t="s">
        <v>3090</v>
      </c>
      <c r="S250" s="5" t="s">
        <v>55</v>
      </c>
      <c r="T250" s="5" t="s">
        <v>55</v>
      </c>
      <c r="U250" s="5" t="s">
        <v>305</v>
      </c>
      <c r="V250" s="5" t="s">
        <v>57</v>
      </c>
      <c r="W250" s="5" t="s">
        <v>3091</v>
      </c>
      <c r="X250" s="5" t="s">
        <v>42</v>
      </c>
      <c r="Y250" s="5" t="s">
        <v>43</v>
      </c>
      <c r="Z250" s="5" t="s">
        <v>3092</v>
      </c>
      <c r="AA250" s="5">
        <v>5</v>
      </c>
      <c r="AB250" s="5" t="s">
        <v>44</v>
      </c>
      <c r="AC250" s="5" t="s">
        <v>3093</v>
      </c>
      <c r="AD250" s="5" t="s">
        <v>1092</v>
      </c>
      <c r="AE250" s="5" t="s">
        <v>78</v>
      </c>
      <c r="AF250" s="5">
        <v>1324000</v>
      </c>
      <c r="AG250" s="5">
        <v>26480</v>
      </c>
      <c r="AH250" s="5"/>
      <c r="AI250" s="5"/>
      <c r="AJ250" s="5" t="s">
        <v>37</v>
      </c>
      <c r="AK250" s="2" t="s">
        <v>5281</v>
      </c>
      <c r="AL250" s="3">
        <v>26480</v>
      </c>
      <c r="AM250" s="8">
        <v>45734</v>
      </c>
      <c r="AN250" s="2"/>
      <c r="AO250" s="7">
        <f t="shared" si="3"/>
        <v>0</v>
      </c>
    </row>
    <row r="251" spans="1:41" hidden="1" x14ac:dyDescent="0.25">
      <c r="A251" s="2">
        <v>275</v>
      </c>
      <c r="B251" s="2" t="s">
        <v>61</v>
      </c>
      <c r="C251" s="2" t="s">
        <v>3094</v>
      </c>
      <c r="D251" s="2" t="s">
        <v>36</v>
      </c>
      <c r="E251" s="2" t="s">
        <v>37</v>
      </c>
      <c r="F251" s="2" t="s">
        <v>3095</v>
      </c>
      <c r="G251" s="2" t="s">
        <v>64</v>
      </c>
      <c r="H251" s="2" t="s">
        <v>3096</v>
      </c>
      <c r="I251" s="2" t="s">
        <v>3097</v>
      </c>
      <c r="J251" s="2" t="s">
        <v>55</v>
      </c>
      <c r="K251" s="2" t="s">
        <v>3098</v>
      </c>
      <c r="L251" s="2" t="s">
        <v>3099</v>
      </c>
      <c r="M251" s="2">
        <v>1400000</v>
      </c>
      <c r="N251" s="2">
        <v>2000000</v>
      </c>
      <c r="O251" s="2" t="s">
        <v>3100</v>
      </c>
      <c r="P251" s="8">
        <v>45730</v>
      </c>
      <c r="Q251" s="2" t="s">
        <v>3101</v>
      </c>
      <c r="R251" s="2" t="s">
        <v>3102</v>
      </c>
      <c r="S251" s="2" t="s">
        <v>3103</v>
      </c>
      <c r="T251" s="2" t="s">
        <v>3103</v>
      </c>
      <c r="U251" s="2" t="s">
        <v>214</v>
      </c>
      <c r="V251" s="2" t="s">
        <v>230</v>
      </c>
      <c r="W251" s="2" t="s">
        <v>3104</v>
      </c>
      <c r="X251" s="2" t="s">
        <v>42</v>
      </c>
      <c r="Y251" s="2" t="s">
        <v>43</v>
      </c>
      <c r="Z251" s="2" t="s">
        <v>3105</v>
      </c>
      <c r="AA251" s="2">
        <v>5</v>
      </c>
      <c r="AB251" s="2" t="s">
        <v>76</v>
      </c>
      <c r="AC251" s="2" t="s">
        <v>3106</v>
      </c>
      <c r="AD251" s="2" t="s">
        <v>1092</v>
      </c>
      <c r="AE251" s="2" t="s">
        <v>46</v>
      </c>
      <c r="AF251" s="2">
        <v>1600000</v>
      </c>
      <c r="AG251" s="2">
        <v>24000</v>
      </c>
      <c r="AH251" s="2"/>
      <c r="AI251" s="2"/>
      <c r="AJ251" s="2" t="s">
        <v>37</v>
      </c>
      <c r="AK251" s="2" t="s">
        <v>5282</v>
      </c>
      <c r="AL251" s="3">
        <v>24000</v>
      </c>
      <c r="AM251" s="8">
        <v>45734</v>
      </c>
      <c r="AN251" s="2"/>
      <c r="AO251" s="7">
        <f t="shared" si="3"/>
        <v>0</v>
      </c>
    </row>
    <row r="252" spans="1:41" hidden="1" x14ac:dyDescent="0.25">
      <c r="A252" s="5">
        <v>276</v>
      </c>
      <c r="B252" s="5" t="s">
        <v>61</v>
      </c>
      <c r="C252" s="5" t="s">
        <v>3107</v>
      </c>
      <c r="D252" s="5" t="s">
        <v>36</v>
      </c>
      <c r="E252" s="5" t="s">
        <v>37</v>
      </c>
      <c r="F252" s="5" t="s">
        <v>3108</v>
      </c>
      <c r="G252" s="5" t="s">
        <v>111</v>
      </c>
      <c r="H252" s="5" t="s">
        <v>3109</v>
      </c>
      <c r="I252" s="5" t="s">
        <v>3110</v>
      </c>
      <c r="J252" s="5" t="s">
        <v>3110</v>
      </c>
      <c r="K252" s="5" t="s">
        <v>3111</v>
      </c>
      <c r="L252" s="5" t="s">
        <v>3112</v>
      </c>
      <c r="M252" s="5">
        <v>416779</v>
      </c>
      <c r="N252" s="5">
        <v>1600000</v>
      </c>
      <c r="O252" s="5" t="s">
        <v>3113</v>
      </c>
      <c r="P252" s="6">
        <v>45709</v>
      </c>
      <c r="Q252" s="5" t="s">
        <v>3114</v>
      </c>
      <c r="R252" s="5" t="s">
        <v>3115</v>
      </c>
      <c r="S252" s="5" t="s">
        <v>48</v>
      </c>
      <c r="T252" s="5" t="s">
        <v>3116</v>
      </c>
      <c r="U252" s="5" t="s">
        <v>3117</v>
      </c>
      <c r="V252" s="5" t="s">
        <v>40</v>
      </c>
      <c r="W252" s="6">
        <v>44250</v>
      </c>
      <c r="X252" s="5" t="s">
        <v>933</v>
      </c>
      <c r="Y252" s="5" t="s">
        <v>959</v>
      </c>
      <c r="Z252" s="5" t="s">
        <v>3118</v>
      </c>
      <c r="AA252" s="5">
        <v>5</v>
      </c>
      <c r="AB252" s="5" t="s">
        <v>76</v>
      </c>
      <c r="AC252" s="5" t="s">
        <v>3119</v>
      </c>
      <c r="AD252" s="5" t="s">
        <v>117</v>
      </c>
      <c r="AE252" s="5">
        <v>2</v>
      </c>
      <c r="AF252" s="5">
        <v>1200000</v>
      </c>
      <c r="AG252" s="5">
        <v>24000</v>
      </c>
      <c r="AH252" s="5"/>
      <c r="AI252" s="5"/>
      <c r="AJ252" s="5" t="s">
        <v>37</v>
      </c>
      <c r="AK252" s="2" t="s">
        <v>5283</v>
      </c>
      <c r="AL252" s="3">
        <v>24000</v>
      </c>
      <c r="AM252" s="8">
        <v>45713</v>
      </c>
      <c r="AN252" s="2"/>
      <c r="AO252" s="7">
        <f t="shared" si="3"/>
        <v>0</v>
      </c>
    </row>
    <row r="253" spans="1:41" hidden="1" x14ac:dyDescent="0.25">
      <c r="A253" s="2">
        <v>277</v>
      </c>
      <c r="B253" s="2" t="s">
        <v>61</v>
      </c>
      <c r="C253" s="2" t="s">
        <v>3120</v>
      </c>
      <c r="D253" s="2" t="s">
        <v>36</v>
      </c>
      <c r="E253" s="2" t="s">
        <v>37</v>
      </c>
      <c r="F253" s="2" t="s">
        <v>3121</v>
      </c>
      <c r="G253" s="2" t="s">
        <v>82</v>
      </c>
      <c r="H253" s="2" t="s">
        <v>3122</v>
      </c>
      <c r="I253" s="2" t="s">
        <v>3123</v>
      </c>
      <c r="J253" s="2" t="s">
        <v>3124</v>
      </c>
      <c r="K253" s="2" t="s">
        <v>55</v>
      </c>
      <c r="L253" s="2" t="s">
        <v>3125</v>
      </c>
      <c r="M253" s="2">
        <v>1423372</v>
      </c>
      <c r="N253" s="2">
        <v>4417000</v>
      </c>
      <c r="O253" s="2" t="s">
        <v>3126</v>
      </c>
      <c r="P253" s="8">
        <v>45708</v>
      </c>
      <c r="Q253" s="2" t="s">
        <v>3127</v>
      </c>
      <c r="R253" s="2" t="s">
        <v>3128</v>
      </c>
      <c r="S253" s="2" t="s">
        <v>54</v>
      </c>
      <c r="T253" s="2" t="s">
        <v>55</v>
      </c>
      <c r="U253" s="2" t="s">
        <v>90</v>
      </c>
      <c r="V253" s="2" t="s">
        <v>248</v>
      </c>
      <c r="W253" s="8">
        <v>44589</v>
      </c>
      <c r="X253" s="2" t="s">
        <v>1772</v>
      </c>
      <c r="Y253" s="2" t="s">
        <v>959</v>
      </c>
      <c r="Z253" s="2" t="s">
        <v>3129</v>
      </c>
      <c r="AA253" s="2">
        <v>3</v>
      </c>
      <c r="AB253" s="2" t="s">
        <v>76</v>
      </c>
      <c r="AC253" s="2" t="s">
        <v>3130</v>
      </c>
      <c r="AD253" s="2" t="s">
        <v>3131</v>
      </c>
      <c r="AE253" s="2">
        <v>2</v>
      </c>
      <c r="AF253" s="2">
        <v>3754450</v>
      </c>
      <c r="AG253" s="2">
        <v>75089</v>
      </c>
      <c r="AH253" s="2"/>
      <c r="AI253" s="2"/>
      <c r="AJ253" s="2" t="s">
        <v>37</v>
      </c>
      <c r="AK253" s="2" t="s">
        <v>5284</v>
      </c>
      <c r="AL253" s="3">
        <v>75089</v>
      </c>
      <c r="AM253" s="8">
        <v>45713</v>
      </c>
      <c r="AN253" s="2"/>
      <c r="AO253" s="7">
        <f t="shared" si="3"/>
        <v>0</v>
      </c>
    </row>
    <row r="254" spans="1:41" hidden="1" x14ac:dyDescent="0.25">
      <c r="A254" s="5">
        <v>278</v>
      </c>
      <c r="B254" s="5" t="s">
        <v>61</v>
      </c>
      <c r="C254" s="5" t="s">
        <v>3132</v>
      </c>
      <c r="D254" s="5" t="s">
        <v>36</v>
      </c>
      <c r="E254" s="5" t="s">
        <v>37</v>
      </c>
      <c r="F254" s="5" t="s">
        <v>3133</v>
      </c>
      <c r="G254" s="5" t="s">
        <v>53</v>
      </c>
      <c r="H254" s="5" t="s">
        <v>3134</v>
      </c>
      <c r="I254" s="5" t="s">
        <v>3135</v>
      </c>
      <c r="J254" s="5" t="s">
        <v>3136</v>
      </c>
      <c r="K254" s="5" t="s">
        <v>3137</v>
      </c>
      <c r="L254" s="5" t="s">
        <v>3138</v>
      </c>
      <c r="M254" s="5">
        <v>1715000</v>
      </c>
      <c r="N254" s="5">
        <v>2450000</v>
      </c>
      <c r="O254" s="5" t="s">
        <v>3139</v>
      </c>
      <c r="P254" s="6">
        <v>45730</v>
      </c>
      <c r="Q254" s="5" t="s">
        <v>3140</v>
      </c>
      <c r="R254" s="5" t="s">
        <v>3141</v>
      </c>
      <c r="S254" s="5" t="s">
        <v>3142</v>
      </c>
      <c r="T254" s="5" t="s">
        <v>3142</v>
      </c>
      <c r="U254" s="5" t="s">
        <v>2719</v>
      </c>
      <c r="V254" s="5" t="s">
        <v>230</v>
      </c>
      <c r="W254" s="5" t="s">
        <v>1355</v>
      </c>
      <c r="X254" s="5" t="s">
        <v>42</v>
      </c>
      <c r="Y254" s="5" t="s">
        <v>43</v>
      </c>
      <c r="Z254" s="5" t="s">
        <v>3143</v>
      </c>
      <c r="AA254" s="5">
        <v>5</v>
      </c>
      <c r="AB254" s="5" t="s">
        <v>76</v>
      </c>
      <c r="AC254" s="5" t="s">
        <v>3144</v>
      </c>
      <c r="AD254" s="5" t="s">
        <v>1092</v>
      </c>
      <c r="AE254" s="5" t="s">
        <v>46</v>
      </c>
      <c r="AF254" s="5">
        <v>1960000</v>
      </c>
      <c r="AG254" s="5">
        <v>29400</v>
      </c>
      <c r="AH254" s="5"/>
      <c r="AI254" s="5"/>
      <c r="AJ254" s="5" t="s">
        <v>37</v>
      </c>
      <c r="AK254" s="2" t="s">
        <v>5285</v>
      </c>
      <c r="AL254" s="3">
        <v>29400</v>
      </c>
      <c r="AM254" s="8">
        <v>45734</v>
      </c>
      <c r="AN254" s="2"/>
      <c r="AO254" s="7">
        <f t="shared" si="3"/>
        <v>0</v>
      </c>
    </row>
    <row r="255" spans="1:41" hidden="1" x14ac:dyDescent="0.25">
      <c r="A255" s="2">
        <v>279</v>
      </c>
      <c r="B255" s="2" t="s">
        <v>61</v>
      </c>
      <c r="C255" s="2" t="s">
        <v>3145</v>
      </c>
      <c r="D255" s="2" t="s">
        <v>36</v>
      </c>
      <c r="E255" s="2" t="s">
        <v>37</v>
      </c>
      <c r="F255" s="2" t="s">
        <v>3146</v>
      </c>
      <c r="G255" s="2" t="s">
        <v>47</v>
      </c>
      <c r="H255" s="2" t="s">
        <v>3147</v>
      </c>
      <c r="I255" s="2" t="s">
        <v>3148</v>
      </c>
      <c r="J255" s="2" t="s">
        <v>3148</v>
      </c>
      <c r="K255" s="2" t="s">
        <v>67</v>
      </c>
      <c r="L255" s="2" t="s">
        <v>3149</v>
      </c>
      <c r="M255" s="2">
        <v>1863750</v>
      </c>
      <c r="N255" s="2">
        <v>2485000</v>
      </c>
      <c r="O255" s="2" t="s">
        <v>3150</v>
      </c>
      <c r="P255" s="8">
        <v>45730</v>
      </c>
      <c r="Q255" s="2" t="s">
        <v>3151</v>
      </c>
      <c r="R255" s="2" t="s">
        <v>3152</v>
      </c>
      <c r="S255" s="2" t="s">
        <v>3153</v>
      </c>
      <c r="T255" s="2" t="s">
        <v>3153</v>
      </c>
      <c r="U255" s="2" t="s">
        <v>262</v>
      </c>
      <c r="V255" s="2" t="s">
        <v>91</v>
      </c>
      <c r="W255" s="2" t="s">
        <v>41</v>
      </c>
      <c r="X255" s="2" t="s">
        <v>42</v>
      </c>
      <c r="Y255" s="2" t="s">
        <v>43</v>
      </c>
      <c r="Z255" s="2" t="s">
        <v>3154</v>
      </c>
      <c r="AA255" s="2">
        <v>5</v>
      </c>
      <c r="AB255" s="2" t="s">
        <v>44</v>
      </c>
      <c r="AC255" s="2" t="s">
        <v>3155</v>
      </c>
      <c r="AD255" s="2" t="s">
        <v>1355</v>
      </c>
      <c r="AE255" s="2" t="s">
        <v>46</v>
      </c>
      <c r="AF255" s="2">
        <v>1988000</v>
      </c>
      <c r="AG255" s="2">
        <v>29820</v>
      </c>
      <c r="AH255" s="2"/>
      <c r="AI255" s="2"/>
      <c r="AJ255" s="2" t="s">
        <v>37</v>
      </c>
      <c r="AK255" s="2" t="s">
        <v>5286</v>
      </c>
      <c r="AL255" s="3">
        <v>29820</v>
      </c>
      <c r="AM255" s="8">
        <v>45734</v>
      </c>
      <c r="AN255" s="2"/>
      <c r="AO255" s="7">
        <f t="shared" si="3"/>
        <v>0</v>
      </c>
    </row>
    <row r="256" spans="1:41" x14ac:dyDescent="0.25">
      <c r="A256" s="5">
        <v>280</v>
      </c>
      <c r="B256" s="5" t="s">
        <v>61</v>
      </c>
      <c r="C256" s="5" t="s">
        <v>3156</v>
      </c>
      <c r="D256" s="5" t="s">
        <v>36</v>
      </c>
      <c r="E256" s="5" t="s">
        <v>37</v>
      </c>
      <c r="F256" s="5" t="s">
        <v>3157</v>
      </c>
      <c r="G256" s="5" t="s">
        <v>111</v>
      </c>
      <c r="H256" s="5" t="s">
        <v>3158</v>
      </c>
      <c r="I256" s="5" t="s">
        <v>3159</v>
      </c>
      <c r="J256" s="5" t="s">
        <v>3159</v>
      </c>
      <c r="K256" s="5" t="s">
        <v>3159</v>
      </c>
      <c r="L256" s="5" t="s">
        <v>3160</v>
      </c>
      <c r="M256" s="5">
        <v>1198622</v>
      </c>
      <c r="N256" s="5">
        <v>3500000</v>
      </c>
      <c r="O256" s="5" t="s">
        <v>3161</v>
      </c>
      <c r="P256" s="6">
        <v>45708</v>
      </c>
      <c r="Q256" s="5" t="s">
        <v>3162</v>
      </c>
      <c r="R256" s="5" t="s">
        <v>3163</v>
      </c>
      <c r="S256" s="5" t="s">
        <v>48</v>
      </c>
      <c r="T256" s="5" t="s">
        <v>3164</v>
      </c>
      <c r="U256" s="5" t="s">
        <v>3165</v>
      </c>
      <c r="V256" s="5" t="s">
        <v>230</v>
      </c>
      <c r="W256" s="6">
        <v>44616</v>
      </c>
      <c r="X256" s="5" t="s">
        <v>115</v>
      </c>
      <c r="Y256" s="5" t="s">
        <v>1839</v>
      </c>
      <c r="Z256" s="5" t="s">
        <v>3166</v>
      </c>
      <c r="AA256" s="5">
        <v>5</v>
      </c>
      <c r="AB256" s="5" t="s">
        <v>76</v>
      </c>
      <c r="AC256" s="5" t="s">
        <v>3167</v>
      </c>
      <c r="AD256" s="5" t="s">
        <v>2966</v>
      </c>
      <c r="AE256" s="5">
        <v>1.5</v>
      </c>
      <c r="AF256" s="5">
        <v>2800000</v>
      </c>
      <c r="AG256" s="5">
        <v>42000</v>
      </c>
      <c r="AH256" s="5"/>
      <c r="AI256" s="5"/>
      <c r="AJ256" s="5" t="s">
        <v>37</v>
      </c>
      <c r="AK256" s="2" t="s">
        <v>5287</v>
      </c>
      <c r="AL256" s="3">
        <v>39375</v>
      </c>
      <c r="AM256" s="8">
        <v>45713</v>
      </c>
      <c r="AN256" s="2" t="s">
        <v>5541</v>
      </c>
      <c r="AO256" s="7">
        <f t="shared" si="3"/>
        <v>2625</v>
      </c>
    </row>
    <row r="257" spans="1:41" x14ac:dyDescent="0.25">
      <c r="A257" s="2">
        <v>281</v>
      </c>
      <c r="B257" s="2" t="s">
        <v>61</v>
      </c>
      <c r="C257" s="2" t="s">
        <v>3168</v>
      </c>
      <c r="D257" s="2" t="s">
        <v>36</v>
      </c>
      <c r="E257" s="2" t="s">
        <v>37</v>
      </c>
      <c r="F257" s="2" t="s">
        <v>3169</v>
      </c>
      <c r="G257" s="2" t="s">
        <v>3170</v>
      </c>
      <c r="H257" s="2" t="s">
        <v>3171</v>
      </c>
      <c r="I257" s="2" t="s">
        <v>55</v>
      </c>
      <c r="J257" s="2" t="s">
        <v>3172</v>
      </c>
      <c r="K257" s="2" t="s">
        <v>55</v>
      </c>
      <c r="L257" s="2" t="s">
        <v>3173</v>
      </c>
      <c r="M257" s="2">
        <v>1039827</v>
      </c>
      <c r="N257" s="2">
        <v>2623000</v>
      </c>
      <c r="O257" s="2" t="s">
        <v>3174</v>
      </c>
      <c r="P257" s="8">
        <v>45708</v>
      </c>
      <c r="Q257" s="2" t="s">
        <v>3175</v>
      </c>
      <c r="R257" s="2" t="s">
        <v>3176</v>
      </c>
      <c r="S257" s="2" t="s">
        <v>48</v>
      </c>
      <c r="T257" s="2" t="s">
        <v>3177</v>
      </c>
      <c r="U257" s="2" t="s">
        <v>3178</v>
      </c>
      <c r="V257" s="2" t="s">
        <v>91</v>
      </c>
      <c r="W257" s="8">
        <v>44614</v>
      </c>
      <c r="X257" s="2" t="s">
        <v>115</v>
      </c>
      <c r="Y257" s="2" t="s">
        <v>1839</v>
      </c>
      <c r="Z257" s="2" t="s">
        <v>3179</v>
      </c>
      <c r="AA257" s="2">
        <v>5</v>
      </c>
      <c r="AB257" s="2" t="s">
        <v>44</v>
      </c>
      <c r="AC257" s="2" t="s">
        <v>3180</v>
      </c>
      <c r="AD257" s="2" t="s">
        <v>3181</v>
      </c>
      <c r="AE257" s="2">
        <v>1.5</v>
      </c>
      <c r="AF257" s="2">
        <v>2098400</v>
      </c>
      <c r="AG257" s="2">
        <v>31476</v>
      </c>
      <c r="AH257" s="2"/>
      <c r="AI257" s="2"/>
      <c r="AJ257" s="2" t="s">
        <v>37</v>
      </c>
      <c r="AK257" s="2" t="s">
        <v>5288</v>
      </c>
      <c r="AL257" s="3">
        <v>29509</v>
      </c>
      <c r="AM257" s="8">
        <v>45713</v>
      </c>
      <c r="AN257" s="2" t="s">
        <v>5542</v>
      </c>
      <c r="AO257" s="7">
        <f t="shared" si="3"/>
        <v>1967</v>
      </c>
    </row>
    <row r="258" spans="1:41" hidden="1" x14ac:dyDescent="0.25">
      <c r="A258" s="5">
        <v>282</v>
      </c>
      <c r="B258" s="5" t="s">
        <v>61</v>
      </c>
      <c r="C258" s="5" t="s">
        <v>3182</v>
      </c>
      <c r="D258" s="5" t="s">
        <v>36</v>
      </c>
      <c r="E258" s="5" t="s">
        <v>37</v>
      </c>
      <c r="F258" s="5" t="s">
        <v>3183</v>
      </c>
      <c r="G258" s="5" t="s">
        <v>53</v>
      </c>
      <c r="H258" s="5" t="s">
        <v>3184</v>
      </c>
      <c r="I258" s="5" t="s">
        <v>55</v>
      </c>
      <c r="J258" s="5" t="s">
        <v>3185</v>
      </c>
      <c r="K258" s="5" t="s">
        <v>55</v>
      </c>
      <c r="L258" s="5" t="s">
        <v>3186</v>
      </c>
      <c r="M258" s="5">
        <v>687513</v>
      </c>
      <c r="N258" s="5">
        <v>2750000</v>
      </c>
      <c r="O258" s="5" t="s">
        <v>3187</v>
      </c>
      <c r="P258" s="6">
        <v>45708</v>
      </c>
      <c r="Q258" s="5" t="s">
        <v>3188</v>
      </c>
      <c r="R258" s="5" t="s">
        <v>3189</v>
      </c>
      <c r="S258" s="5" t="s">
        <v>48</v>
      </c>
      <c r="T258" s="5" t="s">
        <v>3190</v>
      </c>
      <c r="U258" s="5" t="s">
        <v>90</v>
      </c>
      <c r="V258" s="5" t="s">
        <v>114</v>
      </c>
      <c r="W258" s="6">
        <v>44613</v>
      </c>
      <c r="X258" s="5" t="s">
        <v>2966</v>
      </c>
      <c r="Y258" s="5" t="s">
        <v>120</v>
      </c>
      <c r="Z258" s="5" t="s">
        <v>3191</v>
      </c>
      <c r="AA258" s="5">
        <v>4</v>
      </c>
      <c r="AB258" s="5" t="s">
        <v>44</v>
      </c>
      <c r="AC258" s="5" t="s">
        <v>3192</v>
      </c>
      <c r="AD258" s="5" t="s">
        <v>2966</v>
      </c>
      <c r="AE258" s="5">
        <v>1.5</v>
      </c>
      <c r="AF258" s="5">
        <v>2200000</v>
      </c>
      <c r="AG258" s="5">
        <v>33000</v>
      </c>
      <c r="AH258" s="5"/>
      <c r="AI258" s="5"/>
      <c r="AJ258" s="5" t="s">
        <v>37</v>
      </c>
      <c r="AK258" s="2" t="s">
        <v>5289</v>
      </c>
      <c r="AL258" s="3">
        <v>33000</v>
      </c>
      <c r="AM258" s="8">
        <v>45713</v>
      </c>
      <c r="AN258" s="2"/>
      <c r="AO258" s="7">
        <f t="shared" ref="AO258:AO321" si="4">AG258-AL258</f>
        <v>0</v>
      </c>
    </row>
    <row r="259" spans="1:41" hidden="1" x14ac:dyDescent="0.25">
      <c r="A259" s="2">
        <v>283</v>
      </c>
      <c r="B259" s="2" t="s">
        <v>61</v>
      </c>
      <c r="C259" s="2" t="s">
        <v>3193</v>
      </c>
      <c r="D259" s="2" t="s">
        <v>36</v>
      </c>
      <c r="E259" s="2" t="s">
        <v>37</v>
      </c>
      <c r="F259" s="2" t="s">
        <v>3194</v>
      </c>
      <c r="G259" s="2" t="s">
        <v>111</v>
      </c>
      <c r="H259" s="2" t="s">
        <v>3195</v>
      </c>
      <c r="I259" s="2" t="s">
        <v>3196</v>
      </c>
      <c r="J259" s="2" t="s">
        <v>3196</v>
      </c>
      <c r="K259" s="2" t="s">
        <v>3196</v>
      </c>
      <c r="L259" s="2" t="s">
        <v>3197</v>
      </c>
      <c r="M259" s="2">
        <v>676417</v>
      </c>
      <c r="N259" s="2">
        <v>2700000</v>
      </c>
      <c r="O259" s="2" t="s">
        <v>3198</v>
      </c>
      <c r="P259" s="8">
        <v>45708</v>
      </c>
      <c r="Q259" s="2" t="s">
        <v>3199</v>
      </c>
      <c r="R259" s="2" t="s">
        <v>3200</v>
      </c>
      <c r="S259" s="2" t="s">
        <v>48</v>
      </c>
      <c r="T259" s="2" t="s">
        <v>3201</v>
      </c>
      <c r="U259" s="2" t="s">
        <v>108</v>
      </c>
      <c r="V259" s="2" t="s">
        <v>230</v>
      </c>
      <c r="W259" s="8">
        <v>44618</v>
      </c>
      <c r="X259" s="2" t="s">
        <v>115</v>
      </c>
      <c r="Y259" s="2" t="s">
        <v>959</v>
      </c>
      <c r="Z259" s="2" t="s">
        <v>3202</v>
      </c>
      <c r="AA259" s="2">
        <v>4</v>
      </c>
      <c r="AB259" s="2" t="s">
        <v>76</v>
      </c>
      <c r="AC259" s="2" t="s">
        <v>3203</v>
      </c>
      <c r="AD259" s="2" t="s">
        <v>118</v>
      </c>
      <c r="AE259" s="2">
        <v>1.5</v>
      </c>
      <c r="AF259" s="2">
        <v>2160000</v>
      </c>
      <c r="AG259" s="2">
        <v>32400</v>
      </c>
      <c r="AH259" s="2"/>
      <c r="AI259" s="2"/>
      <c r="AJ259" s="2" t="s">
        <v>37</v>
      </c>
      <c r="AK259" s="2" t="s">
        <v>5290</v>
      </c>
      <c r="AL259" s="3">
        <v>32400</v>
      </c>
      <c r="AM259" s="8">
        <v>45713</v>
      </c>
      <c r="AN259" s="2"/>
      <c r="AO259" s="7">
        <f t="shared" si="4"/>
        <v>0</v>
      </c>
    </row>
    <row r="260" spans="1:41" hidden="1" x14ac:dyDescent="0.25">
      <c r="A260" s="5">
        <v>284</v>
      </c>
      <c r="B260" s="5" t="s">
        <v>61</v>
      </c>
      <c r="C260" s="5" t="s">
        <v>3204</v>
      </c>
      <c r="D260" s="5" t="s">
        <v>36</v>
      </c>
      <c r="E260" s="5" t="s">
        <v>37</v>
      </c>
      <c r="F260" s="5" t="s">
        <v>3205</v>
      </c>
      <c r="G260" s="5" t="s">
        <v>82</v>
      </c>
      <c r="H260" s="5" t="s">
        <v>3206</v>
      </c>
      <c r="I260" s="5" t="s">
        <v>55</v>
      </c>
      <c r="J260" s="5" t="s">
        <v>3207</v>
      </c>
      <c r="K260" s="5" t="s">
        <v>55</v>
      </c>
      <c r="L260" s="5" t="s">
        <v>3208</v>
      </c>
      <c r="M260" s="5">
        <v>2340000</v>
      </c>
      <c r="N260" s="5">
        <v>3600000</v>
      </c>
      <c r="O260" s="5" t="s">
        <v>3209</v>
      </c>
      <c r="P260" s="6">
        <v>45730</v>
      </c>
      <c r="Q260" s="5" t="s">
        <v>3210</v>
      </c>
      <c r="R260" s="5" t="s">
        <v>3211</v>
      </c>
      <c r="S260" s="5" t="s">
        <v>3212</v>
      </c>
      <c r="T260" s="5" t="s">
        <v>3212</v>
      </c>
      <c r="U260" s="5" t="s">
        <v>3213</v>
      </c>
      <c r="V260" s="5" t="s">
        <v>230</v>
      </c>
      <c r="W260" s="5" t="s">
        <v>41</v>
      </c>
      <c r="X260" s="5" t="s">
        <v>42</v>
      </c>
      <c r="Y260" s="5" t="s">
        <v>43</v>
      </c>
      <c r="Z260" s="5" t="s">
        <v>3214</v>
      </c>
      <c r="AA260" s="5">
        <v>5</v>
      </c>
      <c r="AB260" s="5" t="s">
        <v>76</v>
      </c>
      <c r="AC260" s="5" t="s">
        <v>3215</v>
      </c>
      <c r="AD260" s="5" t="s">
        <v>1092</v>
      </c>
      <c r="AE260" s="5" t="s">
        <v>46</v>
      </c>
      <c r="AF260" s="5">
        <v>2880000</v>
      </c>
      <c r="AG260" s="5">
        <v>43200</v>
      </c>
      <c r="AH260" s="5"/>
      <c r="AI260" s="5"/>
      <c r="AJ260" s="5" t="s">
        <v>37</v>
      </c>
      <c r="AK260" s="2" t="s">
        <v>5291</v>
      </c>
      <c r="AL260" s="3">
        <v>43200</v>
      </c>
      <c r="AM260" s="8">
        <v>45734</v>
      </c>
      <c r="AN260" s="2"/>
      <c r="AO260" s="7">
        <f t="shared" si="4"/>
        <v>0</v>
      </c>
    </row>
    <row r="261" spans="1:41" hidden="1" x14ac:dyDescent="0.25">
      <c r="A261" s="2">
        <v>285</v>
      </c>
      <c r="B261" s="2" t="s">
        <v>61</v>
      </c>
      <c r="C261" s="2" t="s">
        <v>3216</v>
      </c>
      <c r="D261" s="2" t="s">
        <v>36</v>
      </c>
      <c r="E261" s="2" t="s">
        <v>37</v>
      </c>
      <c r="F261" s="2" t="s">
        <v>3217</v>
      </c>
      <c r="G261" s="2" t="s">
        <v>64</v>
      </c>
      <c r="H261" s="2" t="s">
        <v>3218</v>
      </c>
      <c r="I261" s="2" t="s">
        <v>3219</v>
      </c>
      <c r="J261" s="2" t="s">
        <v>55</v>
      </c>
      <c r="K261" s="2" t="s">
        <v>3220</v>
      </c>
      <c r="L261" s="2" t="s">
        <v>3221</v>
      </c>
      <c r="M261" s="2">
        <v>1141841</v>
      </c>
      <c r="N261" s="2">
        <v>2000000</v>
      </c>
      <c r="O261" s="2" t="s">
        <v>3222</v>
      </c>
      <c r="P261" s="8">
        <v>45708</v>
      </c>
      <c r="Q261" s="2" t="s">
        <v>3223</v>
      </c>
      <c r="R261" s="2" t="s">
        <v>3224</v>
      </c>
      <c r="S261" s="2" t="s">
        <v>48</v>
      </c>
      <c r="T261" s="2" t="s">
        <v>3225</v>
      </c>
      <c r="U261" s="2" t="s">
        <v>1201</v>
      </c>
      <c r="V261" s="2" t="s">
        <v>230</v>
      </c>
      <c r="W261" s="8">
        <v>44614</v>
      </c>
      <c r="X261" s="2" t="s">
        <v>115</v>
      </c>
      <c r="Y261" s="2" t="s">
        <v>1733</v>
      </c>
      <c r="Z261" s="2" t="s">
        <v>3226</v>
      </c>
      <c r="AA261" s="2">
        <v>7</v>
      </c>
      <c r="AB261" s="2" t="s">
        <v>44</v>
      </c>
      <c r="AC261" s="2" t="s">
        <v>3227</v>
      </c>
      <c r="AD261" s="2" t="s">
        <v>2966</v>
      </c>
      <c r="AE261" s="2">
        <v>1.5</v>
      </c>
      <c r="AF261" s="2">
        <v>1600000</v>
      </c>
      <c r="AG261" s="2">
        <v>24000</v>
      </c>
      <c r="AH261" s="2"/>
      <c r="AI261" s="2"/>
      <c r="AJ261" s="2" t="s">
        <v>37</v>
      </c>
      <c r="AK261" s="2" t="s">
        <v>5292</v>
      </c>
      <c r="AL261" s="3">
        <v>24000</v>
      </c>
      <c r="AM261" s="8">
        <v>45713</v>
      </c>
      <c r="AN261" s="2"/>
      <c r="AO261" s="7">
        <f t="shared" si="4"/>
        <v>0</v>
      </c>
    </row>
    <row r="262" spans="1:41" x14ac:dyDescent="0.25">
      <c r="A262" s="5">
        <v>286</v>
      </c>
      <c r="B262" s="5" t="s">
        <v>61</v>
      </c>
      <c r="C262" s="5" t="s">
        <v>3228</v>
      </c>
      <c r="D262" s="5" t="s">
        <v>36</v>
      </c>
      <c r="E262" s="5" t="s">
        <v>37</v>
      </c>
      <c r="F262" s="5" t="s">
        <v>3229</v>
      </c>
      <c r="G262" s="5" t="s">
        <v>111</v>
      </c>
      <c r="H262" s="5" t="s">
        <v>3230</v>
      </c>
      <c r="I262" s="5" t="s">
        <v>55</v>
      </c>
      <c r="J262" s="5" t="s">
        <v>55</v>
      </c>
      <c r="K262" s="5" t="s">
        <v>55</v>
      </c>
      <c r="L262" s="5" t="s">
        <v>3231</v>
      </c>
      <c r="M262" s="5">
        <v>739165</v>
      </c>
      <c r="N262" s="5">
        <v>1521000</v>
      </c>
      <c r="O262" s="5" t="s">
        <v>3232</v>
      </c>
      <c r="P262" s="6">
        <v>45708</v>
      </c>
      <c r="Q262" s="5" t="s">
        <v>3233</v>
      </c>
      <c r="R262" s="5" t="s">
        <v>3234</v>
      </c>
      <c r="S262" s="5" t="s">
        <v>54</v>
      </c>
      <c r="T262" s="5" t="s">
        <v>55</v>
      </c>
      <c r="U262" s="5" t="s">
        <v>798</v>
      </c>
      <c r="V262" s="5" t="s">
        <v>57</v>
      </c>
      <c r="W262" s="6">
        <v>44441</v>
      </c>
      <c r="X262" s="5" t="s">
        <v>100</v>
      </c>
      <c r="Y262" s="5" t="s">
        <v>947</v>
      </c>
      <c r="Z262" s="5" t="s">
        <v>3235</v>
      </c>
      <c r="AA262" s="5">
        <v>5</v>
      </c>
      <c r="AB262" s="5" t="s">
        <v>44</v>
      </c>
      <c r="AC262" s="5" t="s">
        <v>3236</v>
      </c>
      <c r="AD262" s="5" t="s">
        <v>118</v>
      </c>
      <c r="AE262" s="5">
        <v>2</v>
      </c>
      <c r="AF262" s="5">
        <v>1216800</v>
      </c>
      <c r="AG262" s="5">
        <v>24336</v>
      </c>
      <c r="AH262" s="5"/>
      <c r="AI262" s="5"/>
      <c r="AJ262" s="5" t="s">
        <v>37</v>
      </c>
      <c r="AK262" s="2" t="s">
        <v>5293</v>
      </c>
      <c r="AL262" s="3">
        <v>22815</v>
      </c>
      <c r="AM262" s="8">
        <v>45713</v>
      </c>
      <c r="AN262" s="2" t="s">
        <v>5543</v>
      </c>
      <c r="AO262" s="7">
        <f t="shared" si="4"/>
        <v>1521</v>
      </c>
    </row>
    <row r="263" spans="1:41" hidden="1" x14ac:dyDescent="0.25">
      <c r="A263" s="2">
        <v>287</v>
      </c>
      <c r="B263" s="2" t="s">
        <v>61</v>
      </c>
      <c r="C263" s="2" t="s">
        <v>3237</v>
      </c>
      <c r="D263" s="2" t="s">
        <v>36</v>
      </c>
      <c r="E263" s="2" t="s">
        <v>37</v>
      </c>
      <c r="F263" s="2" t="s">
        <v>3238</v>
      </c>
      <c r="G263" s="2" t="s">
        <v>3239</v>
      </c>
      <c r="H263" s="2" t="s">
        <v>3240</v>
      </c>
      <c r="I263" s="2" t="s">
        <v>3241</v>
      </c>
      <c r="J263" s="2" t="s">
        <v>3242</v>
      </c>
      <c r="K263" s="2" t="s">
        <v>3243</v>
      </c>
      <c r="L263" s="2" t="s">
        <v>3244</v>
      </c>
      <c r="M263" s="2">
        <v>2950000</v>
      </c>
      <c r="N263" s="2">
        <v>5900000</v>
      </c>
      <c r="O263" s="2" t="s">
        <v>3245</v>
      </c>
      <c r="P263" s="8">
        <v>45730</v>
      </c>
      <c r="Q263" s="2" t="s">
        <v>3246</v>
      </c>
      <c r="R263" s="2" t="s">
        <v>3247</v>
      </c>
      <c r="S263" s="2" t="s">
        <v>3248</v>
      </c>
      <c r="T263" s="2" t="s">
        <v>3248</v>
      </c>
      <c r="U263" s="2" t="s">
        <v>2283</v>
      </c>
      <c r="V263" s="2" t="s">
        <v>91</v>
      </c>
      <c r="W263" s="2" t="s">
        <v>1355</v>
      </c>
      <c r="X263" s="2" t="s">
        <v>42</v>
      </c>
      <c r="Y263" s="2" t="s">
        <v>43</v>
      </c>
      <c r="Z263" s="2" t="s">
        <v>3249</v>
      </c>
      <c r="AA263" s="2">
        <v>5</v>
      </c>
      <c r="AB263" s="2" t="s">
        <v>76</v>
      </c>
      <c r="AC263" s="2" t="s">
        <v>3250</v>
      </c>
      <c r="AD263" s="2" t="s">
        <v>1092</v>
      </c>
      <c r="AE263" s="2" t="s">
        <v>46</v>
      </c>
      <c r="AF263" s="2">
        <v>4720000</v>
      </c>
      <c r="AG263" s="2">
        <v>70800</v>
      </c>
      <c r="AH263" s="2"/>
      <c r="AI263" s="2"/>
      <c r="AJ263" s="2" t="s">
        <v>37</v>
      </c>
      <c r="AK263" s="2" t="s">
        <v>5294</v>
      </c>
      <c r="AL263" s="3">
        <v>70800</v>
      </c>
      <c r="AM263" s="8">
        <v>45734</v>
      </c>
      <c r="AN263" s="2"/>
      <c r="AO263" s="7">
        <f t="shared" si="4"/>
        <v>0</v>
      </c>
    </row>
    <row r="264" spans="1:41" x14ac:dyDescent="0.25">
      <c r="A264" s="5">
        <v>288</v>
      </c>
      <c r="B264" s="5" t="s">
        <v>61</v>
      </c>
      <c r="C264" s="5" t="s">
        <v>3251</v>
      </c>
      <c r="D264" s="5" t="s">
        <v>36</v>
      </c>
      <c r="E264" s="5" t="s">
        <v>37</v>
      </c>
      <c r="F264" s="5" t="s">
        <v>3252</v>
      </c>
      <c r="G264" s="5" t="s">
        <v>82</v>
      </c>
      <c r="H264" s="5" t="s">
        <v>3253</v>
      </c>
      <c r="I264" s="5" t="s">
        <v>55</v>
      </c>
      <c r="J264" s="5" t="s">
        <v>3254</v>
      </c>
      <c r="K264" s="5" t="s">
        <v>55</v>
      </c>
      <c r="L264" s="5" t="s">
        <v>3255</v>
      </c>
      <c r="M264" s="5">
        <v>587524</v>
      </c>
      <c r="N264" s="5">
        <v>2933000</v>
      </c>
      <c r="O264" s="5" t="s">
        <v>3256</v>
      </c>
      <c r="P264" s="6">
        <v>45708</v>
      </c>
      <c r="Q264" s="5" t="s">
        <v>3257</v>
      </c>
      <c r="R264" s="5" t="s">
        <v>3258</v>
      </c>
      <c r="S264" s="5" t="s">
        <v>54</v>
      </c>
      <c r="T264" s="5" t="s">
        <v>3259</v>
      </c>
      <c r="U264" s="5" t="s">
        <v>3260</v>
      </c>
      <c r="V264" s="5" t="s">
        <v>57</v>
      </c>
      <c r="W264" s="6">
        <v>44497</v>
      </c>
      <c r="X264" s="5" t="s">
        <v>100</v>
      </c>
      <c r="Y264" s="5" t="s">
        <v>947</v>
      </c>
      <c r="Z264" s="5" t="s">
        <v>3261</v>
      </c>
      <c r="AA264" s="5">
        <v>5</v>
      </c>
      <c r="AB264" s="5" t="s">
        <v>44</v>
      </c>
      <c r="AC264" s="5" t="s">
        <v>3262</v>
      </c>
      <c r="AD264" s="5" t="s">
        <v>2592</v>
      </c>
      <c r="AE264" s="5">
        <v>2</v>
      </c>
      <c r="AF264" s="5">
        <v>2346400</v>
      </c>
      <c r="AG264" s="5">
        <v>46928</v>
      </c>
      <c r="AH264" s="5"/>
      <c r="AI264" s="5"/>
      <c r="AJ264" s="5" t="s">
        <v>37</v>
      </c>
      <c r="AK264" s="2" t="s">
        <v>5295</v>
      </c>
      <c r="AL264" s="3">
        <v>43995</v>
      </c>
      <c r="AM264" s="8">
        <v>45713</v>
      </c>
      <c r="AN264" s="2" t="s">
        <v>5544</v>
      </c>
      <c r="AO264" s="7">
        <f t="shared" si="4"/>
        <v>2933</v>
      </c>
    </row>
    <row r="265" spans="1:41" hidden="1" x14ac:dyDescent="0.25">
      <c r="A265" s="2">
        <v>289</v>
      </c>
      <c r="B265" s="2" t="s">
        <v>61</v>
      </c>
      <c r="C265" s="2" t="s">
        <v>3263</v>
      </c>
      <c r="D265" s="2" t="s">
        <v>36</v>
      </c>
      <c r="E265" s="2" t="s">
        <v>37</v>
      </c>
      <c r="F265" s="2" t="s">
        <v>3264</v>
      </c>
      <c r="G265" s="2" t="s">
        <v>111</v>
      </c>
      <c r="H265" s="2" t="s">
        <v>3265</v>
      </c>
      <c r="I265" s="2" t="s">
        <v>3266</v>
      </c>
      <c r="J265" s="2" t="s">
        <v>3266</v>
      </c>
      <c r="K265" s="2" t="s">
        <v>3266</v>
      </c>
      <c r="L265" s="2" t="s">
        <v>3267</v>
      </c>
      <c r="M265" s="2">
        <v>717087</v>
      </c>
      <c r="N265" s="2">
        <v>1335000</v>
      </c>
      <c r="O265" s="2" t="s">
        <v>3268</v>
      </c>
      <c r="P265" s="8">
        <v>45708</v>
      </c>
      <c r="Q265" s="2" t="s">
        <v>3269</v>
      </c>
      <c r="R265" s="2" t="s">
        <v>3270</v>
      </c>
      <c r="S265" s="2" t="s">
        <v>54</v>
      </c>
      <c r="T265" s="2" t="s">
        <v>55</v>
      </c>
      <c r="U265" s="2" t="s">
        <v>3271</v>
      </c>
      <c r="V265" s="2" t="s">
        <v>57</v>
      </c>
      <c r="W265" s="8">
        <v>44491</v>
      </c>
      <c r="X265" s="2" t="s">
        <v>100</v>
      </c>
      <c r="Y265" s="2" t="s">
        <v>1044</v>
      </c>
      <c r="Z265" s="2" t="s">
        <v>3272</v>
      </c>
      <c r="AA265" s="2">
        <v>7</v>
      </c>
      <c r="AB265" s="2" t="s">
        <v>44</v>
      </c>
      <c r="AC265" s="2" t="s">
        <v>3273</v>
      </c>
      <c r="AD265" s="2" t="s">
        <v>118</v>
      </c>
      <c r="AE265" s="2">
        <v>2</v>
      </c>
      <c r="AF265" s="2">
        <v>1068000</v>
      </c>
      <c r="AG265" s="2">
        <v>21360</v>
      </c>
      <c r="AH265" s="2"/>
      <c r="AI265" s="2"/>
      <c r="AJ265" s="2" t="s">
        <v>37</v>
      </c>
      <c r="AK265" s="2" t="s">
        <v>5296</v>
      </c>
      <c r="AL265" s="3">
        <v>21360</v>
      </c>
      <c r="AM265" s="8">
        <v>45713</v>
      </c>
      <c r="AN265" s="2"/>
      <c r="AO265" s="7">
        <f t="shared" si="4"/>
        <v>0</v>
      </c>
    </row>
    <row r="266" spans="1:41" hidden="1" x14ac:dyDescent="0.25">
      <c r="A266" s="5">
        <v>290</v>
      </c>
      <c r="B266" s="5" t="s">
        <v>61</v>
      </c>
      <c r="C266" s="5" t="s">
        <v>3274</v>
      </c>
      <c r="D266" s="5" t="s">
        <v>36</v>
      </c>
      <c r="E266" s="5" t="s">
        <v>37</v>
      </c>
      <c r="F266" s="5" t="s">
        <v>3275</v>
      </c>
      <c r="G266" s="5" t="s">
        <v>53</v>
      </c>
      <c r="H266" s="5" t="s">
        <v>3276</v>
      </c>
      <c r="I266" s="5" t="s">
        <v>3277</v>
      </c>
      <c r="J266" s="5" t="s">
        <v>3278</v>
      </c>
      <c r="K266" s="5" t="s">
        <v>3277</v>
      </c>
      <c r="L266" s="5" t="s">
        <v>3279</v>
      </c>
      <c r="M266" s="5">
        <v>390947</v>
      </c>
      <c r="N266" s="5">
        <v>2400000</v>
      </c>
      <c r="O266" s="5" t="s">
        <v>3280</v>
      </c>
      <c r="P266" s="6">
        <v>45707</v>
      </c>
      <c r="Q266" s="5" t="s">
        <v>3281</v>
      </c>
      <c r="R266" s="5" t="s">
        <v>3282</v>
      </c>
      <c r="S266" s="5" t="s">
        <v>48</v>
      </c>
      <c r="T266" s="5" t="s">
        <v>3283</v>
      </c>
      <c r="U266" s="5" t="s">
        <v>1527</v>
      </c>
      <c r="V266" s="5" t="s">
        <v>158</v>
      </c>
      <c r="W266" s="6">
        <v>44981</v>
      </c>
      <c r="X266" s="5" t="s">
        <v>1772</v>
      </c>
      <c r="Y266" s="5" t="s">
        <v>959</v>
      </c>
      <c r="Z266" s="5" t="s">
        <v>3284</v>
      </c>
      <c r="AA266" s="5">
        <v>3</v>
      </c>
      <c r="AB266" s="5" t="s">
        <v>51</v>
      </c>
      <c r="AC266" s="5" t="s">
        <v>3285</v>
      </c>
      <c r="AD266" s="5" t="s">
        <v>3131</v>
      </c>
      <c r="AE266" s="5">
        <v>1.75</v>
      </c>
      <c r="AF266" s="5">
        <v>2040000</v>
      </c>
      <c r="AG266" s="5">
        <v>35700</v>
      </c>
      <c r="AH266" s="5"/>
      <c r="AI266" s="5"/>
      <c r="AJ266" s="5" t="s">
        <v>37</v>
      </c>
      <c r="AK266" s="2" t="s">
        <v>5297</v>
      </c>
      <c r="AL266" s="3">
        <v>35700</v>
      </c>
      <c r="AM266" s="8">
        <v>45713</v>
      </c>
      <c r="AN266" s="2"/>
      <c r="AO266" s="7">
        <f t="shared" si="4"/>
        <v>0</v>
      </c>
    </row>
    <row r="267" spans="1:41" hidden="1" x14ac:dyDescent="0.25">
      <c r="A267" s="2">
        <v>291</v>
      </c>
      <c r="B267" s="2" t="s">
        <v>61</v>
      </c>
      <c r="C267" s="2" t="s">
        <v>3286</v>
      </c>
      <c r="D267" s="2" t="s">
        <v>36</v>
      </c>
      <c r="E267" s="2" t="s">
        <v>37</v>
      </c>
      <c r="F267" s="2" t="s">
        <v>3287</v>
      </c>
      <c r="G267" s="2" t="s">
        <v>47</v>
      </c>
      <c r="H267" s="2" t="s">
        <v>3288</v>
      </c>
      <c r="I267" s="2" t="s">
        <v>3289</v>
      </c>
      <c r="J267" s="2" t="s">
        <v>3289</v>
      </c>
      <c r="K267" s="2" t="s">
        <v>3289</v>
      </c>
      <c r="L267" s="2" t="s">
        <v>3290</v>
      </c>
      <c r="M267" s="2">
        <v>1616550</v>
      </c>
      <c r="N267" s="2">
        <v>2487000</v>
      </c>
      <c r="O267" s="2" t="s">
        <v>3291</v>
      </c>
      <c r="P267" s="8">
        <v>45730</v>
      </c>
      <c r="Q267" s="2" t="s">
        <v>3292</v>
      </c>
      <c r="R267" s="2" t="s">
        <v>3293</v>
      </c>
      <c r="S267" s="2" t="s">
        <v>3294</v>
      </c>
      <c r="T267" s="2" t="s">
        <v>3294</v>
      </c>
      <c r="U267" s="2" t="s">
        <v>1816</v>
      </c>
      <c r="V267" s="2" t="s">
        <v>91</v>
      </c>
      <c r="W267" s="2" t="s">
        <v>3295</v>
      </c>
      <c r="X267" s="2" t="s">
        <v>1381</v>
      </c>
      <c r="Y267" s="2" t="s">
        <v>1592</v>
      </c>
      <c r="Z267" s="2" t="s">
        <v>3296</v>
      </c>
      <c r="AA267" s="2">
        <v>5</v>
      </c>
      <c r="AB267" s="2" t="s">
        <v>279</v>
      </c>
      <c r="AC267" s="2" t="s">
        <v>3297</v>
      </c>
      <c r="AD267" s="2" t="s">
        <v>2932</v>
      </c>
      <c r="AE267" s="2" t="s">
        <v>253</v>
      </c>
      <c r="AF267" s="2">
        <v>2113950</v>
      </c>
      <c r="AG267" s="2">
        <v>36994</v>
      </c>
      <c r="AH267" s="2"/>
      <c r="AI267" s="2"/>
      <c r="AJ267" s="2" t="s">
        <v>37</v>
      </c>
      <c r="AK267" s="2" t="s">
        <v>5298</v>
      </c>
      <c r="AL267" s="3">
        <v>36994</v>
      </c>
      <c r="AM267" s="8">
        <v>45734</v>
      </c>
      <c r="AN267" s="2"/>
      <c r="AO267" s="7">
        <f t="shared" si="4"/>
        <v>0</v>
      </c>
    </row>
    <row r="268" spans="1:41" hidden="1" x14ac:dyDescent="0.25">
      <c r="A268" s="5">
        <v>292</v>
      </c>
      <c r="B268" s="5" t="s">
        <v>61</v>
      </c>
      <c r="C268" s="5" t="s">
        <v>3298</v>
      </c>
      <c r="D268" s="5" t="s">
        <v>36</v>
      </c>
      <c r="E268" s="5" t="s">
        <v>37</v>
      </c>
      <c r="F268" s="5" t="s">
        <v>3299</v>
      </c>
      <c r="G268" s="5" t="s">
        <v>53</v>
      </c>
      <c r="H268" s="5" t="s">
        <v>3300</v>
      </c>
      <c r="I268" s="5" t="s">
        <v>3301</v>
      </c>
      <c r="J268" s="5" t="s">
        <v>3302</v>
      </c>
      <c r="K268" s="5" t="s">
        <v>3301</v>
      </c>
      <c r="L268" s="5" t="s">
        <v>3303</v>
      </c>
      <c r="M268" s="5">
        <v>845296</v>
      </c>
      <c r="N268" s="5">
        <v>1980000</v>
      </c>
      <c r="O268" s="5" t="s">
        <v>3304</v>
      </c>
      <c r="P268" s="6">
        <v>45707</v>
      </c>
      <c r="Q268" s="5" t="s">
        <v>3305</v>
      </c>
      <c r="R268" s="5" t="s">
        <v>3306</v>
      </c>
      <c r="S268" s="5" t="s">
        <v>48</v>
      </c>
      <c r="T268" s="5" t="s">
        <v>55</v>
      </c>
      <c r="U268" s="5" t="s">
        <v>728</v>
      </c>
      <c r="V268" s="5" t="s">
        <v>230</v>
      </c>
      <c r="W268" s="6">
        <v>44978</v>
      </c>
      <c r="X268" s="5" t="s">
        <v>3131</v>
      </c>
      <c r="Y268" s="5" t="s">
        <v>3307</v>
      </c>
      <c r="Z268" s="5" t="s">
        <v>3308</v>
      </c>
      <c r="AA268" s="5">
        <v>4</v>
      </c>
      <c r="AB268" s="5" t="s">
        <v>51</v>
      </c>
      <c r="AC268" s="5" t="s">
        <v>3309</v>
      </c>
      <c r="AD268" s="5" t="s">
        <v>3310</v>
      </c>
      <c r="AE268" s="5">
        <v>1.75</v>
      </c>
      <c r="AF268" s="5">
        <v>1683000</v>
      </c>
      <c r="AG268" s="5">
        <v>29453</v>
      </c>
      <c r="AH268" s="5"/>
      <c r="AI268" s="5"/>
      <c r="AJ268" s="5" t="s">
        <v>37</v>
      </c>
      <c r="AK268" s="2" t="s">
        <v>5299</v>
      </c>
      <c r="AL268" s="3">
        <v>29453</v>
      </c>
      <c r="AM268" s="8">
        <v>45713</v>
      </c>
      <c r="AN268" s="2"/>
      <c r="AO268" s="7">
        <f t="shared" si="4"/>
        <v>0</v>
      </c>
    </row>
    <row r="269" spans="1:41" hidden="1" x14ac:dyDescent="0.25">
      <c r="A269" s="2">
        <v>293</v>
      </c>
      <c r="B269" s="2" t="s">
        <v>61</v>
      </c>
      <c r="C269" s="2" t="s">
        <v>3311</v>
      </c>
      <c r="D269" s="2" t="s">
        <v>36</v>
      </c>
      <c r="E269" s="2" t="s">
        <v>37</v>
      </c>
      <c r="F269" s="2" t="s">
        <v>3312</v>
      </c>
      <c r="G269" s="2" t="s">
        <v>53</v>
      </c>
      <c r="H269" s="2" t="s">
        <v>3313</v>
      </c>
      <c r="I269" s="2" t="s">
        <v>3314</v>
      </c>
      <c r="J269" s="2" t="s">
        <v>3315</v>
      </c>
      <c r="K269" s="2" t="s">
        <v>3314</v>
      </c>
      <c r="L269" s="2" t="s">
        <v>3316</v>
      </c>
      <c r="M269" s="2">
        <v>1288998</v>
      </c>
      <c r="N269" s="2">
        <v>3000000</v>
      </c>
      <c r="O269" s="2" t="s">
        <v>3317</v>
      </c>
      <c r="P269" s="8">
        <v>45707</v>
      </c>
      <c r="Q269" s="2" t="s">
        <v>3318</v>
      </c>
      <c r="R269" s="2" t="s">
        <v>3319</v>
      </c>
      <c r="S269" s="2" t="s">
        <v>48</v>
      </c>
      <c r="T269" s="2" t="s">
        <v>3320</v>
      </c>
      <c r="U269" s="2" t="s">
        <v>1201</v>
      </c>
      <c r="V269" s="2" t="s">
        <v>91</v>
      </c>
      <c r="W269" s="8">
        <v>44978</v>
      </c>
      <c r="X269" s="2" t="s">
        <v>3131</v>
      </c>
      <c r="Y269" s="2" t="s">
        <v>3321</v>
      </c>
      <c r="Z269" s="2" t="s">
        <v>3322</v>
      </c>
      <c r="AA269" s="2">
        <v>5</v>
      </c>
      <c r="AB269" s="2" t="s">
        <v>279</v>
      </c>
      <c r="AC269" s="2" t="s">
        <v>3323</v>
      </c>
      <c r="AD269" s="2" t="s">
        <v>3310</v>
      </c>
      <c r="AE269" s="2">
        <v>1.75</v>
      </c>
      <c r="AF269" s="2">
        <v>2550000</v>
      </c>
      <c r="AG269" s="2">
        <v>44625</v>
      </c>
      <c r="AH269" s="2"/>
      <c r="AI269" s="2"/>
      <c r="AJ269" s="2" t="s">
        <v>37</v>
      </c>
      <c r="AK269" s="2" t="s">
        <v>5300</v>
      </c>
      <c r="AL269" s="3">
        <v>44625</v>
      </c>
      <c r="AM269" s="8">
        <v>45713</v>
      </c>
      <c r="AN269" s="2"/>
      <c r="AO269" s="7">
        <f t="shared" si="4"/>
        <v>0</v>
      </c>
    </row>
    <row r="270" spans="1:41" hidden="1" x14ac:dyDescent="0.25">
      <c r="A270" s="5">
        <v>294</v>
      </c>
      <c r="B270" s="5" t="s">
        <v>61</v>
      </c>
      <c r="C270" s="5" t="s">
        <v>3324</v>
      </c>
      <c r="D270" s="5" t="s">
        <v>36</v>
      </c>
      <c r="E270" s="5" t="s">
        <v>37</v>
      </c>
      <c r="F270" s="5" t="s">
        <v>3325</v>
      </c>
      <c r="G270" s="5" t="s">
        <v>47</v>
      </c>
      <c r="H270" s="5" t="s">
        <v>3326</v>
      </c>
      <c r="I270" s="5" t="s">
        <v>55</v>
      </c>
      <c r="J270" s="5" t="s">
        <v>3327</v>
      </c>
      <c r="K270" s="5" t="s">
        <v>55</v>
      </c>
      <c r="L270" s="5" t="s">
        <v>3328</v>
      </c>
      <c r="M270" s="5">
        <v>716834</v>
      </c>
      <c r="N270" s="5">
        <v>2130000</v>
      </c>
      <c r="O270" s="5" t="s">
        <v>3329</v>
      </c>
      <c r="P270" s="6">
        <v>45707</v>
      </c>
      <c r="Q270" s="5" t="s">
        <v>3330</v>
      </c>
      <c r="R270" s="5" t="s">
        <v>3331</v>
      </c>
      <c r="S270" s="5" t="s">
        <v>54</v>
      </c>
      <c r="T270" s="5" t="s">
        <v>55</v>
      </c>
      <c r="U270" s="5" t="s">
        <v>214</v>
      </c>
      <c r="V270" s="5" t="s">
        <v>91</v>
      </c>
      <c r="W270" s="6">
        <v>44175</v>
      </c>
      <c r="X270" s="5" t="s">
        <v>178</v>
      </c>
      <c r="Y270" s="5" t="s">
        <v>74</v>
      </c>
      <c r="Z270" s="5" t="s">
        <v>3332</v>
      </c>
      <c r="AA270" s="5">
        <v>6</v>
      </c>
      <c r="AB270" s="5" t="s">
        <v>44</v>
      </c>
      <c r="AC270" s="5" t="s">
        <v>3333</v>
      </c>
      <c r="AD270" s="5" t="s">
        <v>3001</v>
      </c>
      <c r="AE270" s="5">
        <v>2</v>
      </c>
      <c r="AF270" s="5">
        <v>1597500</v>
      </c>
      <c r="AG270" s="5">
        <v>31950</v>
      </c>
      <c r="AH270" s="5"/>
      <c r="AI270" s="5"/>
      <c r="AJ270" s="5" t="s">
        <v>37</v>
      </c>
      <c r="AK270" s="2" t="s">
        <v>5301</v>
      </c>
      <c r="AL270" s="3">
        <v>31950</v>
      </c>
      <c r="AM270" s="8">
        <v>45713</v>
      </c>
      <c r="AN270" s="2"/>
      <c r="AO270" s="7">
        <f t="shared" si="4"/>
        <v>0</v>
      </c>
    </row>
    <row r="271" spans="1:41" hidden="1" x14ac:dyDescent="0.25">
      <c r="A271" s="2">
        <v>295</v>
      </c>
      <c r="B271" s="2" t="s">
        <v>61</v>
      </c>
      <c r="C271" s="2" t="s">
        <v>3334</v>
      </c>
      <c r="D271" s="2" t="s">
        <v>36</v>
      </c>
      <c r="E271" s="2" t="s">
        <v>37</v>
      </c>
      <c r="F271" s="2" t="s">
        <v>3335</v>
      </c>
      <c r="G271" s="2" t="s">
        <v>111</v>
      </c>
      <c r="H271" s="2" t="s">
        <v>3336</v>
      </c>
      <c r="I271" s="2" t="s">
        <v>3337</v>
      </c>
      <c r="J271" s="2" t="s">
        <v>3338</v>
      </c>
      <c r="K271" s="2" t="s">
        <v>55</v>
      </c>
      <c r="L271" s="2" t="s">
        <v>3339</v>
      </c>
      <c r="M271" s="2">
        <v>7407499</v>
      </c>
      <c r="N271" s="2">
        <v>35000000</v>
      </c>
      <c r="O271" s="2" t="s">
        <v>3340</v>
      </c>
      <c r="P271" s="8">
        <v>45706</v>
      </c>
      <c r="Q271" s="2" t="s">
        <v>3341</v>
      </c>
      <c r="R271" s="2" t="s">
        <v>3342</v>
      </c>
      <c r="S271" s="2" t="s">
        <v>98</v>
      </c>
      <c r="T271" s="2" t="s">
        <v>55</v>
      </c>
      <c r="U271" s="2" t="s">
        <v>3343</v>
      </c>
      <c r="V271" s="2" t="s">
        <v>49</v>
      </c>
      <c r="W271" s="8">
        <v>44250</v>
      </c>
      <c r="X271" s="2" t="s">
        <v>933</v>
      </c>
      <c r="Y271" s="2" t="s">
        <v>959</v>
      </c>
      <c r="Z271" s="2" t="s">
        <v>3344</v>
      </c>
      <c r="AA271" s="2">
        <v>5</v>
      </c>
      <c r="AB271" s="2" t="s">
        <v>76</v>
      </c>
      <c r="AC271" s="2" t="s">
        <v>3345</v>
      </c>
      <c r="AD271" s="2" t="s">
        <v>121</v>
      </c>
      <c r="AE271" s="2">
        <v>1.75</v>
      </c>
      <c r="AF271" s="2">
        <v>26250000</v>
      </c>
      <c r="AG271" s="2">
        <v>459375</v>
      </c>
      <c r="AH271" s="2"/>
      <c r="AI271" s="2"/>
      <c r="AJ271" s="2" t="s">
        <v>37</v>
      </c>
      <c r="AK271" s="9" t="s">
        <v>5621</v>
      </c>
      <c r="AL271" s="3">
        <v>459375</v>
      </c>
      <c r="AM271" s="8">
        <v>45743</v>
      </c>
      <c r="AN271" s="2"/>
      <c r="AO271" s="7">
        <f t="shared" si="4"/>
        <v>0</v>
      </c>
    </row>
    <row r="272" spans="1:41" hidden="1" x14ac:dyDescent="0.25">
      <c r="A272" s="5">
        <v>296</v>
      </c>
      <c r="B272" s="5" t="s">
        <v>61</v>
      </c>
      <c r="C272" s="5" t="s">
        <v>3346</v>
      </c>
      <c r="D272" s="5" t="s">
        <v>36</v>
      </c>
      <c r="E272" s="5" t="s">
        <v>37</v>
      </c>
      <c r="F272" s="5" t="s">
        <v>3347</v>
      </c>
      <c r="G272" s="5" t="s">
        <v>111</v>
      </c>
      <c r="H272" s="5" t="s">
        <v>3348</v>
      </c>
      <c r="I272" s="5" t="s">
        <v>400</v>
      </c>
      <c r="J272" s="5" t="s">
        <v>3349</v>
      </c>
      <c r="K272" s="5" t="s">
        <v>3349</v>
      </c>
      <c r="L272" s="5" t="s">
        <v>3350</v>
      </c>
      <c r="M272" s="5">
        <v>710766</v>
      </c>
      <c r="N272" s="5">
        <v>3100000</v>
      </c>
      <c r="O272" s="5" t="s">
        <v>3351</v>
      </c>
      <c r="P272" s="6">
        <v>45706</v>
      </c>
      <c r="Q272" s="5" t="s">
        <v>3352</v>
      </c>
      <c r="R272" s="5" t="s">
        <v>3353</v>
      </c>
      <c r="S272" s="5" t="s">
        <v>98</v>
      </c>
      <c r="T272" s="5" t="s">
        <v>55</v>
      </c>
      <c r="U272" s="5" t="s">
        <v>3354</v>
      </c>
      <c r="V272" s="5" t="s">
        <v>49</v>
      </c>
      <c r="W272" s="6">
        <v>44249</v>
      </c>
      <c r="X272" s="5" t="s">
        <v>119</v>
      </c>
      <c r="Y272" s="5" t="s">
        <v>120</v>
      </c>
      <c r="Z272" s="5" t="s">
        <v>3355</v>
      </c>
      <c r="AA272" s="5">
        <v>5</v>
      </c>
      <c r="AB272" s="5" t="s">
        <v>76</v>
      </c>
      <c r="AC272" s="5" t="s">
        <v>3356</v>
      </c>
      <c r="AD272" s="5" t="s">
        <v>3357</v>
      </c>
      <c r="AE272" s="5">
        <v>2</v>
      </c>
      <c r="AF272" s="5">
        <v>2325000</v>
      </c>
      <c r="AG272" s="5">
        <v>46500</v>
      </c>
      <c r="AH272" s="5"/>
      <c r="AI272" s="5"/>
      <c r="AJ272" s="5" t="s">
        <v>37</v>
      </c>
      <c r="AK272" s="2" t="s">
        <v>5302</v>
      </c>
      <c r="AL272" s="3">
        <v>46500</v>
      </c>
      <c r="AM272" s="8">
        <v>45713</v>
      </c>
      <c r="AN272" s="2"/>
      <c r="AO272" s="7">
        <f t="shared" si="4"/>
        <v>0</v>
      </c>
    </row>
    <row r="273" spans="1:41" hidden="1" x14ac:dyDescent="0.25">
      <c r="A273" s="2">
        <v>297</v>
      </c>
      <c r="B273" s="2" t="s">
        <v>61</v>
      </c>
      <c r="C273" s="2" t="s">
        <v>3358</v>
      </c>
      <c r="D273" s="2" t="s">
        <v>36</v>
      </c>
      <c r="E273" s="2" t="s">
        <v>37</v>
      </c>
      <c r="F273" s="2" t="s">
        <v>3359</v>
      </c>
      <c r="G273" s="2" t="s">
        <v>111</v>
      </c>
      <c r="H273" s="2" t="s">
        <v>3360</v>
      </c>
      <c r="I273" s="2" t="s">
        <v>3361</v>
      </c>
      <c r="J273" s="2" t="s">
        <v>3361</v>
      </c>
      <c r="K273" s="2" t="s">
        <v>3362</v>
      </c>
      <c r="L273" s="2" t="s">
        <v>3363</v>
      </c>
      <c r="M273" s="2">
        <v>633750</v>
      </c>
      <c r="N273" s="2">
        <v>845000</v>
      </c>
      <c r="O273" s="2" t="s">
        <v>3364</v>
      </c>
      <c r="P273" s="8">
        <v>45730</v>
      </c>
      <c r="Q273" s="2" t="s">
        <v>3365</v>
      </c>
      <c r="R273" s="2" t="s">
        <v>3366</v>
      </c>
      <c r="S273" s="2" t="s">
        <v>3367</v>
      </c>
      <c r="T273" s="2" t="s">
        <v>3367</v>
      </c>
      <c r="U273" s="2" t="s">
        <v>3368</v>
      </c>
      <c r="V273" s="2" t="s">
        <v>230</v>
      </c>
      <c r="W273" s="2" t="s">
        <v>3104</v>
      </c>
      <c r="X273" s="2" t="s">
        <v>42</v>
      </c>
      <c r="Y273" s="2" t="s">
        <v>43</v>
      </c>
      <c r="Z273" s="2" t="s">
        <v>3369</v>
      </c>
      <c r="AA273" s="2">
        <v>5</v>
      </c>
      <c r="AB273" s="2" t="s">
        <v>76</v>
      </c>
      <c r="AC273" s="2" t="s">
        <v>3370</v>
      </c>
      <c r="AD273" s="2" t="s">
        <v>1092</v>
      </c>
      <c r="AE273" s="2" t="s">
        <v>46</v>
      </c>
      <c r="AF273" s="2">
        <v>676000</v>
      </c>
      <c r="AG273" s="2">
        <v>10140</v>
      </c>
      <c r="AH273" s="2"/>
      <c r="AI273" s="2"/>
      <c r="AJ273" s="2" t="s">
        <v>37</v>
      </c>
      <c r="AK273" s="2" t="s">
        <v>5303</v>
      </c>
      <c r="AL273" s="3">
        <v>10140</v>
      </c>
      <c r="AM273" s="8">
        <v>45734</v>
      </c>
      <c r="AN273" s="2"/>
      <c r="AO273" s="7">
        <f t="shared" si="4"/>
        <v>0</v>
      </c>
    </row>
    <row r="274" spans="1:41" hidden="1" x14ac:dyDescent="0.25">
      <c r="A274" s="5">
        <v>298</v>
      </c>
      <c r="B274" s="5" t="s">
        <v>61</v>
      </c>
      <c r="C274" s="5" t="s">
        <v>3371</v>
      </c>
      <c r="D274" s="5" t="s">
        <v>36</v>
      </c>
      <c r="E274" s="5" t="s">
        <v>37</v>
      </c>
      <c r="F274" s="5" t="s">
        <v>3372</v>
      </c>
      <c r="G274" s="5" t="s">
        <v>111</v>
      </c>
      <c r="H274" s="5" t="s">
        <v>3373</v>
      </c>
      <c r="I274" s="5" t="s">
        <v>3374</v>
      </c>
      <c r="J274" s="5" t="s">
        <v>3374</v>
      </c>
      <c r="K274" s="5" t="s">
        <v>3374</v>
      </c>
      <c r="L274" s="5" t="s">
        <v>3375</v>
      </c>
      <c r="M274" s="5">
        <v>610871</v>
      </c>
      <c r="N274" s="5">
        <v>2350000</v>
      </c>
      <c r="O274" s="5" t="s">
        <v>3376</v>
      </c>
      <c r="P274" s="6">
        <v>45706</v>
      </c>
      <c r="Q274" s="5" t="s">
        <v>3377</v>
      </c>
      <c r="R274" s="5" t="s">
        <v>3378</v>
      </c>
      <c r="S274" s="5" t="s">
        <v>48</v>
      </c>
      <c r="T274" s="5" t="s">
        <v>3379</v>
      </c>
      <c r="U274" s="5" t="s">
        <v>618</v>
      </c>
      <c r="V274" s="5" t="s">
        <v>40</v>
      </c>
      <c r="W274" s="6">
        <v>44249</v>
      </c>
      <c r="X274" s="5" t="s">
        <v>119</v>
      </c>
      <c r="Y274" s="5" t="s">
        <v>120</v>
      </c>
      <c r="Z274" s="5" t="s">
        <v>3380</v>
      </c>
      <c r="AA274" s="5">
        <v>5</v>
      </c>
      <c r="AB274" s="5" t="s">
        <v>44</v>
      </c>
      <c r="AC274" s="5" t="s">
        <v>3381</v>
      </c>
      <c r="AD274" s="5" t="s">
        <v>3357</v>
      </c>
      <c r="AE274" s="5">
        <v>2</v>
      </c>
      <c r="AF274" s="5">
        <v>1762500</v>
      </c>
      <c r="AG274" s="5">
        <v>35250</v>
      </c>
      <c r="AH274" s="5"/>
      <c r="AI274" s="5"/>
      <c r="AJ274" s="5" t="s">
        <v>37</v>
      </c>
      <c r="AK274" s="2" t="s">
        <v>5304</v>
      </c>
      <c r="AL274" s="3">
        <v>35250</v>
      </c>
      <c r="AM274" s="8">
        <v>45713</v>
      </c>
      <c r="AN274" s="2"/>
      <c r="AO274" s="7">
        <f t="shared" si="4"/>
        <v>0</v>
      </c>
    </row>
    <row r="275" spans="1:41" hidden="1" x14ac:dyDescent="0.25">
      <c r="A275" s="2">
        <v>299</v>
      </c>
      <c r="B275" s="2" t="s">
        <v>61</v>
      </c>
      <c r="C275" s="2" t="s">
        <v>3382</v>
      </c>
      <c r="D275" s="2" t="s">
        <v>36</v>
      </c>
      <c r="E275" s="2" t="s">
        <v>37</v>
      </c>
      <c r="F275" s="2" t="s">
        <v>3383</v>
      </c>
      <c r="G275" s="2" t="s">
        <v>47</v>
      </c>
      <c r="H275" s="2" t="s">
        <v>3384</v>
      </c>
      <c r="I275" s="2" t="s">
        <v>55</v>
      </c>
      <c r="J275" s="2" t="s">
        <v>3385</v>
      </c>
      <c r="K275" s="2" t="s">
        <v>3385</v>
      </c>
      <c r="L275" s="2" t="s">
        <v>3386</v>
      </c>
      <c r="M275" s="2">
        <v>2949000</v>
      </c>
      <c r="N275" s="2">
        <v>5898000</v>
      </c>
      <c r="O275" s="2" t="s">
        <v>3387</v>
      </c>
      <c r="P275" s="8">
        <v>45730</v>
      </c>
      <c r="Q275" s="2" t="s">
        <v>3388</v>
      </c>
      <c r="R275" s="2" t="s">
        <v>3389</v>
      </c>
      <c r="S275" s="2" t="s">
        <v>55</v>
      </c>
      <c r="T275" s="2" t="s">
        <v>55</v>
      </c>
      <c r="U275" s="2" t="s">
        <v>3390</v>
      </c>
      <c r="V275" s="2" t="s">
        <v>887</v>
      </c>
      <c r="W275" s="2">
        <v>45372</v>
      </c>
      <c r="X275" s="2" t="s">
        <v>2482</v>
      </c>
      <c r="Y275" s="2" t="s">
        <v>43</v>
      </c>
      <c r="Z275" s="2" t="s">
        <v>3391</v>
      </c>
      <c r="AA275" s="2">
        <v>3</v>
      </c>
      <c r="AB275" s="2" t="s">
        <v>279</v>
      </c>
      <c r="AC275" s="2" t="s">
        <v>3392</v>
      </c>
      <c r="AD275" s="2" t="s">
        <v>3393</v>
      </c>
      <c r="AE275" s="2" t="s">
        <v>253</v>
      </c>
      <c r="AF275" s="2">
        <v>5308200</v>
      </c>
      <c r="AG275" s="2">
        <v>92894</v>
      </c>
      <c r="AH275" s="2"/>
      <c r="AI275" s="2"/>
      <c r="AJ275" s="2" t="s">
        <v>37</v>
      </c>
      <c r="AK275" s="2" t="s">
        <v>5305</v>
      </c>
      <c r="AL275" s="3">
        <v>92894</v>
      </c>
      <c r="AM275" s="8">
        <v>45734</v>
      </c>
      <c r="AN275" s="2"/>
      <c r="AO275" s="7">
        <f t="shared" si="4"/>
        <v>0</v>
      </c>
    </row>
    <row r="276" spans="1:41" hidden="1" x14ac:dyDescent="0.25">
      <c r="A276" s="5">
        <v>300</v>
      </c>
      <c r="B276" s="5" t="s">
        <v>61</v>
      </c>
      <c r="C276" s="5" t="s">
        <v>3394</v>
      </c>
      <c r="D276" s="5" t="s">
        <v>36</v>
      </c>
      <c r="E276" s="5" t="s">
        <v>37</v>
      </c>
      <c r="F276" s="5" t="s">
        <v>3395</v>
      </c>
      <c r="G276" s="5" t="s">
        <v>111</v>
      </c>
      <c r="H276" s="5" t="s">
        <v>3396</v>
      </c>
      <c r="I276" s="5" t="s">
        <v>400</v>
      </c>
      <c r="J276" s="5" t="s">
        <v>3397</v>
      </c>
      <c r="K276" s="5" t="s">
        <v>3398</v>
      </c>
      <c r="L276" s="5" t="s">
        <v>3399</v>
      </c>
      <c r="M276" s="5">
        <v>501162</v>
      </c>
      <c r="N276" s="5">
        <v>1924000</v>
      </c>
      <c r="O276" s="5" t="s">
        <v>3400</v>
      </c>
      <c r="P276" s="6">
        <v>45706</v>
      </c>
      <c r="Q276" s="5" t="s">
        <v>3401</v>
      </c>
      <c r="R276" s="5" t="s">
        <v>3402</v>
      </c>
      <c r="S276" s="5" t="s">
        <v>54</v>
      </c>
      <c r="T276" s="5" t="s">
        <v>55</v>
      </c>
      <c r="U276" s="5" t="s">
        <v>3403</v>
      </c>
      <c r="V276" s="5" t="s">
        <v>91</v>
      </c>
      <c r="W276" s="6">
        <v>44250</v>
      </c>
      <c r="X276" s="5" t="s">
        <v>933</v>
      </c>
      <c r="Y276" s="5" t="s">
        <v>959</v>
      </c>
      <c r="Z276" s="5" t="s">
        <v>3404</v>
      </c>
      <c r="AA276" s="5">
        <v>5</v>
      </c>
      <c r="AB276" s="5" t="s">
        <v>76</v>
      </c>
      <c r="AC276" s="5" t="s">
        <v>3405</v>
      </c>
      <c r="AD276" s="5" t="s">
        <v>3357</v>
      </c>
      <c r="AE276" s="5">
        <v>2</v>
      </c>
      <c r="AF276" s="5">
        <v>1443000</v>
      </c>
      <c r="AG276" s="5">
        <v>28860</v>
      </c>
      <c r="AH276" s="5"/>
      <c r="AI276" s="5"/>
      <c r="AJ276" s="5" t="s">
        <v>37</v>
      </c>
      <c r="AK276" s="2" t="s">
        <v>5306</v>
      </c>
      <c r="AL276" s="3">
        <v>28860</v>
      </c>
      <c r="AM276" s="8">
        <v>45713</v>
      </c>
      <c r="AN276" s="2"/>
      <c r="AO276" s="7">
        <f t="shared" si="4"/>
        <v>0</v>
      </c>
    </row>
    <row r="277" spans="1:41" hidden="1" x14ac:dyDescent="0.25">
      <c r="A277" s="2">
        <v>301</v>
      </c>
      <c r="B277" s="2" t="s">
        <v>61</v>
      </c>
      <c r="C277" s="2" t="s">
        <v>3406</v>
      </c>
      <c r="D277" s="2" t="s">
        <v>36</v>
      </c>
      <c r="E277" s="2" t="s">
        <v>37</v>
      </c>
      <c r="F277" s="2" t="s">
        <v>3407</v>
      </c>
      <c r="G277" s="2" t="s">
        <v>53</v>
      </c>
      <c r="H277" s="2" t="s">
        <v>3408</v>
      </c>
      <c r="I277" s="2" t="s">
        <v>3409</v>
      </c>
      <c r="J277" s="2" t="s">
        <v>3410</v>
      </c>
      <c r="K277" s="2" t="s">
        <v>3409</v>
      </c>
      <c r="L277" s="2" t="s">
        <v>3411</v>
      </c>
      <c r="M277" s="2">
        <v>2640000</v>
      </c>
      <c r="N277" s="2">
        <v>6000000</v>
      </c>
      <c r="O277" s="2" t="s">
        <v>3412</v>
      </c>
      <c r="P277" s="8">
        <v>45730</v>
      </c>
      <c r="Q277" s="2" t="s">
        <v>3413</v>
      </c>
      <c r="R277" s="2" t="s">
        <v>3414</v>
      </c>
      <c r="S277" s="2" t="s">
        <v>3415</v>
      </c>
      <c r="T277" s="2" t="s">
        <v>3415</v>
      </c>
      <c r="U277" s="2" t="s">
        <v>90</v>
      </c>
      <c r="V277" s="2" t="s">
        <v>60</v>
      </c>
      <c r="W277" s="2">
        <v>45370</v>
      </c>
      <c r="X277" s="2" t="s">
        <v>2482</v>
      </c>
      <c r="Y277" s="2" t="s">
        <v>94</v>
      </c>
      <c r="Z277" s="2" t="s">
        <v>3416</v>
      </c>
      <c r="AA277" s="2">
        <v>2</v>
      </c>
      <c r="AB277" s="2" t="s">
        <v>279</v>
      </c>
      <c r="AC277" s="2" t="s">
        <v>3417</v>
      </c>
      <c r="AD277" s="2" t="s">
        <v>3418</v>
      </c>
      <c r="AE277" s="2" t="s">
        <v>253</v>
      </c>
      <c r="AF277" s="2">
        <v>5400000</v>
      </c>
      <c r="AG277" s="2">
        <v>94500</v>
      </c>
      <c r="AH277" s="2"/>
      <c r="AI277" s="2"/>
      <c r="AJ277" s="2" t="s">
        <v>37</v>
      </c>
      <c r="AK277" s="2" t="s">
        <v>5042</v>
      </c>
      <c r="AL277" s="3">
        <v>94500</v>
      </c>
      <c r="AM277" s="8">
        <v>45734</v>
      </c>
      <c r="AN277" s="2"/>
      <c r="AO277" s="7">
        <f t="shared" si="4"/>
        <v>0</v>
      </c>
    </row>
    <row r="278" spans="1:41" hidden="1" x14ac:dyDescent="0.25">
      <c r="A278" s="5">
        <v>302</v>
      </c>
      <c r="B278" s="5" t="s">
        <v>61</v>
      </c>
      <c r="C278" s="5" t="s">
        <v>3419</v>
      </c>
      <c r="D278" s="5" t="s">
        <v>36</v>
      </c>
      <c r="E278" s="5" t="s">
        <v>37</v>
      </c>
      <c r="F278" s="5" t="s">
        <v>3420</v>
      </c>
      <c r="G278" s="5" t="s">
        <v>47</v>
      </c>
      <c r="H278" s="5" t="s">
        <v>3421</v>
      </c>
      <c r="I278" s="5" t="s">
        <v>3422</v>
      </c>
      <c r="J278" s="5" t="s">
        <v>3422</v>
      </c>
      <c r="K278" s="5" t="s">
        <v>67</v>
      </c>
      <c r="L278" s="5" t="s">
        <v>3423</v>
      </c>
      <c r="M278" s="5">
        <v>2486000</v>
      </c>
      <c r="N278" s="5">
        <v>5650000</v>
      </c>
      <c r="O278" s="5" t="s">
        <v>3424</v>
      </c>
      <c r="P278" s="6">
        <v>45730</v>
      </c>
      <c r="Q278" s="5" t="s">
        <v>3425</v>
      </c>
      <c r="R278" s="5" t="s">
        <v>3426</v>
      </c>
      <c r="S278" s="5" t="s">
        <v>3427</v>
      </c>
      <c r="T278" s="5" t="s">
        <v>3427</v>
      </c>
      <c r="U278" s="5" t="s">
        <v>2261</v>
      </c>
      <c r="V278" s="5" t="s">
        <v>91</v>
      </c>
      <c r="W278" s="5">
        <v>45369</v>
      </c>
      <c r="X278" s="5" t="s">
        <v>2482</v>
      </c>
      <c r="Y278" s="5" t="s">
        <v>43</v>
      </c>
      <c r="Z278" s="5" t="s">
        <v>3428</v>
      </c>
      <c r="AA278" s="5">
        <v>3</v>
      </c>
      <c r="AB278" s="5" t="s">
        <v>279</v>
      </c>
      <c r="AC278" s="5" t="s">
        <v>3429</v>
      </c>
      <c r="AD278" s="5" t="s">
        <v>3418</v>
      </c>
      <c r="AE278" s="5" t="s">
        <v>253</v>
      </c>
      <c r="AF278" s="5">
        <v>5085000</v>
      </c>
      <c r="AG278" s="5">
        <v>88988</v>
      </c>
      <c r="AH278" s="5"/>
      <c r="AI278" s="5"/>
      <c r="AJ278" s="5" t="s">
        <v>37</v>
      </c>
      <c r="AK278" s="2" t="s">
        <v>5307</v>
      </c>
      <c r="AL278" s="3">
        <v>88988</v>
      </c>
      <c r="AM278" s="8">
        <v>45734</v>
      </c>
      <c r="AN278" s="2"/>
      <c r="AO278" s="7">
        <f t="shared" si="4"/>
        <v>0</v>
      </c>
    </row>
    <row r="279" spans="1:41" x14ac:dyDescent="0.25">
      <c r="A279" s="2">
        <v>303</v>
      </c>
      <c r="B279" s="2" t="s">
        <v>203</v>
      </c>
      <c r="C279" s="2" t="s">
        <v>3430</v>
      </c>
      <c r="D279" s="2" t="s">
        <v>36</v>
      </c>
      <c r="E279" s="2" t="s">
        <v>37</v>
      </c>
      <c r="F279" s="2" t="s">
        <v>3431</v>
      </c>
      <c r="G279" s="2" t="s">
        <v>53</v>
      </c>
      <c r="H279" s="2" t="s">
        <v>3432</v>
      </c>
      <c r="I279" s="2" t="s">
        <v>3433</v>
      </c>
      <c r="J279" s="2" t="s">
        <v>3434</v>
      </c>
      <c r="K279" s="2" t="s">
        <v>3435</v>
      </c>
      <c r="L279" s="2" t="s">
        <v>3436</v>
      </c>
      <c r="M279" s="2">
        <v>734973</v>
      </c>
      <c r="N279" s="2">
        <v>1800000</v>
      </c>
      <c r="O279" s="2" t="s">
        <v>3437</v>
      </c>
      <c r="P279" s="8">
        <v>45705</v>
      </c>
      <c r="Q279" s="2" t="s">
        <v>3438</v>
      </c>
      <c r="R279" s="2" t="s">
        <v>3439</v>
      </c>
      <c r="S279" s="2" t="s">
        <v>48</v>
      </c>
      <c r="T279" s="2" t="s">
        <v>3440</v>
      </c>
      <c r="U279" s="2" t="s">
        <v>214</v>
      </c>
      <c r="V279" s="2" t="s">
        <v>40</v>
      </c>
      <c r="W279" s="8">
        <v>44614</v>
      </c>
      <c r="X279" s="2" t="s">
        <v>115</v>
      </c>
      <c r="Y279" s="2" t="s">
        <v>1839</v>
      </c>
      <c r="Z279" s="2" t="s">
        <v>3441</v>
      </c>
      <c r="AA279" s="2">
        <v>5</v>
      </c>
      <c r="AB279" s="2" t="s">
        <v>44</v>
      </c>
      <c r="AC279" s="2" t="s">
        <v>3442</v>
      </c>
      <c r="AD279" s="2" t="s">
        <v>3443</v>
      </c>
      <c r="AE279" s="2">
        <v>1.5</v>
      </c>
      <c r="AF279" s="2">
        <v>1440000</v>
      </c>
      <c r="AG279" s="2">
        <v>21600</v>
      </c>
      <c r="AH279" s="2"/>
      <c r="AI279" s="2"/>
      <c r="AJ279" s="2" t="s">
        <v>37</v>
      </c>
      <c r="AK279" s="2" t="s">
        <v>5308</v>
      </c>
      <c r="AL279" s="3">
        <v>20250</v>
      </c>
      <c r="AM279" s="8">
        <v>45713</v>
      </c>
      <c r="AN279" s="2" t="s">
        <v>5545</v>
      </c>
      <c r="AO279" s="7">
        <f t="shared" si="4"/>
        <v>1350</v>
      </c>
    </row>
    <row r="280" spans="1:41" hidden="1" x14ac:dyDescent="0.25">
      <c r="A280" s="5">
        <v>304</v>
      </c>
      <c r="B280" s="5" t="s">
        <v>61</v>
      </c>
      <c r="C280" s="5" t="s">
        <v>3444</v>
      </c>
      <c r="D280" s="5" t="s">
        <v>36</v>
      </c>
      <c r="E280" s="5" t="s">
        <v>37</v>
      </c>
      <c r="F280" s="5" t="s">
        <v>3445</v>
      </c>
      <c r="G280" s="5" t="s">
        <v>53</v>
      </c>
      <c r="H280" s="5" t="s">
        <v>3446</v>
      </c>
      <c r="I280" s="5" t="s">
        <v>3447</v>
      </c>
      <c r="J280" s="5" t="s">
        <v>3448</v>
      </c>
      <c r="K280" s="5" t="s">
        <v>3447</v>
      </c>
      <c r="L280" s="5" t="s">
        <v>3449</v>
      </c>
      <c r="M280" s="5">
        <v>2925000</v>
      </c>
      <c r="N280" s="5">
        <v>4500000</v>
      </c>
      <c r="O280" s="5" t="s">
        <v>3450</v>
      </c>
      <c r="P280" s="6">
        <v>45730</v>
      </c>
      <c r="Q280" s="5" t="s">
        <v>3451</v>
      </c>
      <c r="R280" s="5" t="s">
        <v>3452</v>
      </c>
      <c r="S280" s="5" t="s">
        <v>3453</v>
      </c>
      <c r="T280" s="5" t="s">
        <v>3453</v>
      </c>
      <c r="U280" s="5" t="s">
        <v>1804</v>
      </c>
      <c r="V280" s="5" t="s">
        <v>57</v>
      </c>
      <c r="W280" s="5">
        <v>45369</v>
      </c>
      <c r="X280" s="5" t="s">
        <v>2482</v>
      </c>
      <c r="Y280" s="5" t="s">
        <v>43</v>
      </c>
      <c r="Z280" s="5" t="s">
        <v>3454</v>
      </c>
      <c r="AA280" s="5">
        <v>3</v>
      </c>
      <c r="AB280" s="5" t="s">
        <v>279</v>
      </c>
      <c r="AC280" s="5" t="s">
        <v>3455</v>
      </c>
      <c r="AD280" s="5" t="s">
        <v>3456</v>
      </c>
      <c r="AE280" s="5" t="s">
        <v>253</v>
      </c>
      <c r="AF280" s="5">
        <v>4050000</v>
      </c>
      <c r="AG280" s="5">
        <v>70875</v>
      </c>
      <c r="AH280" s="5"/>
      <c r="AI280" s="5"/>
      <c r="AJ280" s="5" t="s">
        <v>37</v>
      </c>
      <c r="AK280" s="2" t="s">
        <v>5309</v>
      </c>
      <c r="AL280" s="3">
        <v>70875</v>
      </c>
      <c r="AM280" s="8">
        <v>45734</v>
      </c>
      <c r="AN280" s="2"/>
      <c r="AO280" s="7">
        <f t="shared" si="4"/>
        <v>0</v>
      </c>
    </row>
    <row r="281" spans="1:41" hidden="1" x14ac:dyDescent="0.25">
      <c r="A281" s="2">
        <v>305</v>
      </c>
      <c r="B281" s="2" t="s">
        <v>61</v>
      </c>
      <c r="C281" s="2" t="s">
        <v>3457</v>
      </c>
      <c r="D281" s="2" t="s">
        <v>36</v>
      </c>
      <c r="E281" s="2" t="s">
        <v>37</v>
      </c>
      <c r="F281" s="2" t="s">
        <v>3458</v>
      </c>
      <c r="G281" s="2" t="s">
        <v>47</v>
      </c>
      <c r="H281" s="2" t="s">
        <v>3459</v>
      </c>
      <c r="I281" s="2" t="s">
        <v>55</v>
      </c>
      <c r="J281" s="2" t="s">
        <v>3460</v>
      </c>
      <c r="K281" s="2" t="s">
        <v>55</v>
      </c>
      <c r="L281" s="2" t="s">
        <v>3461</v>
      </c>
      <c r="M281" s="2">
        <v>2054500</v>
      </c>
      <c r="N281" s="2">
        <v>2935000</v>
      </c>
      <c r="O281" s="2" t="s">
        <v>3462</v>
      </c>
      <c r="P281" s="8">
        <v>45730</v>
      </c>
      <c r="Q281" s="2" t="s">
        <v>3463</v>
      </c>
      <c r="R281" s="2" t="s">
        <v>3464</v>
      </c>
      <c r="S281" s="2" t="s">
        <v>55</v>
      </c>
      <c r="T281" s="2" t="s">
        <v>55</v>
      </c>
      <c r="U281" s="2" t="s">
        <v>798</v>
      </c>
      <c r="V281" s="2" t="s">
        <v>887</v>
      </c>
      <c r="W281" s="2">
        <v>45290</v>
      </c>
      <c r="X281" s="2" t="s">
        <v>2482</v>
      </c>
      <c r="Y281" s="2" t="s">
        <v>1541</v>
      </c>
      <c r="Z281" s="2" t="s">
        <v>3465</v>
      </c>
      <c r="AA281" s="2">
        <v>5</v>
      </c>
      <c r="AB281" s="2" t="s">
        <v>51</v>
      </c>
      <c r="AC281" s="2" t="s">
        <v>3466</v>
      </c>
      <c r="AD281" s="2" t="s">
        <v>3467</v>
      </c>
      <c r="AE281" s="2" t="s">
        <v>78</v>
      </c>
      <c r="AF281" s="2">
        <v>2641500</v>
      </c>
      <c r="AG281" s="2">
        <v>52830</v>
      </c>
      <c r="AH281" s="2"/>
      <c r="AI281" s="2"/>
      <c r="AJ281" s="2" t="s">
        <v>37</v>
      </c>
      <c r="AK281" s="2" t="s">
        <v>5310</v>
      </c>
      <c r="AL281" s="3">
        <v>52830</v>
      </c>
      <c r="AM281" s="8">
        <v>45734</v>
      </c>
      <c r="AN281" s="2"/>
      <c r="AO281" s="7">
        <f t="shared" si="4"/>
        <v>0</v>
      </c>
    </row>
    <row r="282" spans="1:41" x14ac:dyDescent="0.25">
      <c r="A282" s="5">
        <v>306</v>
      </c>
      <c r="B282" s="5" t="s">
        <v>61</v>
      </c>
      <c r="C282" s="5" t="s">
        <v>3468</v>
      </c>
      <c r="D282" s="5" t="s">
        <v>36</v>
      </c>
      <c r="E282" s="5" t="s">
        <v>37</v>
      </c>
      <c r="F282" s="5" t="s">
        <v>3469</v>
      </c>
      <c r="G282" s="5" t="s">
        <v>47</v>
      </c>
      <c r="H282" s="5" t="s">
        <v>3470</v>
      </c>
      <c r="I282" s="5" t="s">
        <v>55</v>
      </c>
      <c r="J282" s="5" t="s">
        <v>3471</v>
      </c>
      <c r="K282" s="5" t="s">
        <v>55</v>
      </c>
      <c r="L282" s="5" t="s">
        <v>3472</v>
      </c>
      <c r="M282" s="5">
        <v>765669</v>
      </c>
      <c r="N282" s="5">
        <v>2600000</v>
      </c>
      <c r="O282" s="5" t="s">
        <v>3473</v>
      </c>
      <c r="P282" s="6">
        <v>45705</v>
      </c>
      <c r="Q282" s="5" t="s">
        <v>3474</v>
      </c>
      <c r="R282" s="5" t="s">
        <v>3475</v>
      </c>
      <c r="S282" s="5" t="s">
        <v>48</v>
      </c>
      <c r="T282" s="5" t="s">
        <v>3476</v>
      </c>
      <c r="U282" s="5" t="s">
        <v>664</v>
      </c>
      <c r="V282" s="5" t="s">
        <v>114</v>
      </c>
      <c r="W282" s="6">
        <v>44614</v>
      </c>
      <c r="X282" s="5" t="s">
        <v>115</v>
      </c>
      <c r="Y282" s="5" t="s">
        <v>1839</v>
      </c>
      <c r="Z282" s="5" t="s">
        <v>3477</v>
      </c>
      <c r="AA282" s="5">
        <v>5</v>
      </c>
      <c r="AB282" s="5" t="s">
        <v>76</v>
      </c>
      <c r="AC282" s="5" t="s">
        <v>3478</v>
      </c>
      <c r="AD282" s="5" t="s">
        <v>2966</v>
      </c>
      <c r="AE282" s="5">
        <v>1.5</v>
      </c>
      <c r="AF282" s="5">
        <v>2080000</v>
      </c>
      <c r="AG282" s="5">
        <v>31200</v>
      </c>
      <c r="AH282" s="5"/>
      <c r="AI282" s="5"/>
      <c r="AJ282" s="5" t="s">
        <v>37</v>
      </c>
      <c r="AK282" s="2" t="s">
        <v>5311</v>
      </c>
      <c r="AL282" s="3">
        <v>29250</v>
      </c>
      <c r="AM282" s="8">
        <v>45713</v>
      </c>
      <c r="AN282" s="2" t="s">
        <v>5546</v>
      </c>
      <c r="AO282" s="7">
        <f t="shared" si="4"/>
        <v>1950</v>
      </c>
    </row>
    <row r="283" spans="1:41" x14ac:dyDescent="0.25">
      <c r="A283" s="2">
        <v>307</v>
      </c>
      <c r="B283" s="2" t="s">
        <v>61</v>
      </c>
      <c r="C283" s="2" t="s">
        <v>3479</v>
      </c>
      <c r="D283" s="2" t="s">
        <v>36</v>
      </c>
      <c r="E283" s="2" t="s">
        <v>37</v>
      </c>
      <c r="F283" s="2" t="s">
        <v>3480</v>
      </c>
      <c r="G283" s="2" t="s">
        <v>82</v>
      </c>
      <c r="H283" s="2" t="s">
        <v>3481</v>
      </c>
      <c r="I283" s="2" t="s">
        <v>3482</v>
      </c>
      <c r="J283" s="2" t="s">
        <v>55</v>
      </c>
      <c r="K283" s="2" t="s">
        <v>3482</v>
      </c>
      <c r="L283" s="2" t="s">
        <v>3483</v>
      </c>
      <c r="M283" s="2">
        <v>1242447</v>
      </c>
      <c r="N283" s="2">
        <v>3140000</v>
      </c>
      <c r="O283" s="2" t="s">
        <v>3484</v>
      </c>
      <c r="P283" s="8">
        <v>45705</v>
      </c>
      <c r="Q283" s="2" t="s">
        <v>3485</v>
      </c>
      <c r="R283" s="2" t="s">
        <v>3486</v>
      </c>
      <c r="S283" s="2" t="s">
        <v>48</v>
      </c>
      <c r="T283" s="2" t="s">
        <v>3487</v>
      </c>
      <c r="U283" s="2" t="s">
        <v>522</v>
      </c>
      <c r="V283" s="2" t="s">
        <v>40</v>
      </c>
      <c r="W283" s="8">
        <v>44613</v>
      </c>
      <c r="X283" s="2" t="s">
        <v>2966</v>
      </c>
      <c r="Y283" s="2" t="s">
        <v>3307</v>
      </c>
      <c r="Z283" s="2" t="s">
        <v>3488</v>
      </c>
      <c r="AA283" s="2">
        <v>5</v>
      </c>
      <c r="AB283" s="2" t="s">
        <v>76</v>
      </c>
      <c r="AC283" s="2" t="s">
        <v>3489</v>
      </c>
      <c r="AD283" s="2" t="s">
        <v>3443</v>
      </c>
      <c r="AE283" s="2">
        <v>1.5</v>
      </c>
      <c r="AF283" s="2">
        <v>2512000</v>
      </c>
      <c r="AG283" s="2">
        <v>37680</v>
      </c>
      <c r="AH283" s="2"/>
      <c r="AI283" s="2"/>
      <c r="AJ283" s="2" t="s">
        <v>37</v>
      </c>
      <c r="AK283" s="2" t="s">
        <v>5312</v>
      </c>
      <c r="AL283" s="3">
        <v>35325</v>
      </c>
      <c r="AM283" s="8">
        <v>45713</v>
      </c>
      <c r="AN283" s="2" t="s">
        <v>5547</v>
      </c>
      <c r="AO283" s="7">
        <f t="shared" si="4"/>
        <v>2355</v>
      </c>
    </row>
    <row r="284" spans="1:41" x14ac:dyDescent="0.25">
      <c r="A284" s="5">
        <v>308</v>
      </c>
      <c r="B284" s="5" t="s">
        <v>61</v>
      </c>
      <c r="C284" s="5" t="s">
        <v>3490</v>
      </c>
      <c r="D284" s="5" t="s">
        <v>36</v>
      </c>
      <c r="E284" s="5" t="s">
        <v>37</v>
      </c>
      <c r="F284" s="5" t="s">
        <v>3491</v>
      </c>
      <c r="G284" s="5" t="s">
        <v>111</v>
      </c>
      <c r="H284" s="5" t="s">
        <v>3492</v>
      </c>
      <c r="I284" s="5" t="s">
        <v>3493</v>
      </c>
      <c r="J284" s="5" t="s">
        <v>3493</v>
      </c>
      <c r="K284" s="5" t="s">
        <v>3493</v>
      </c>
      <c r="L284" s="5" t="s">
        <v>3494</v>
      </c>
      <c r="M284" s="5">
        <v>1194310</v>
      </c>
      <c r="N284" s="5">
        <v>3150000</v>
      </c>
      <c r="O284" s="5" t="s">
        <v>3495</v>
      </c>
      <c r="P284" s="6">
        <v>45705</v>
      </c>
      <c r="Q284" s="5" t="s">
        <v>3496</v>
      </c>
      <c r="R284" s="5" t="s">
        <v>3497</v>
      </c>
      <c r="S284" s="5" t="s">
        <v>48</v>
      </c>
      <c r="T284" s="5" t="s">
        <v>3498</v>
      </c>
      <c r="U284" s="5" t="s">
        <v>522</v>
      </c>
      <c r="V284" s="5" t="s">
        <v>158</v>
      </c>
      <c r="W284" s="6">
        <v>44614</v>
      </c>
      <c r="X284" s="5" t="s">
        <v>115</v>
      </c>
      <c r="Y284" s="5" t="s">
        <v>1839</v>
      </c>
      <c r="Z284" s="5" t="s">
        <v>3499</v>
      </c>
      <c r="AA284" s="5">
        <v>5</v>
      </c>
      <c r="AB284" s="5" t="s">
        <v>76</v>
      </c>
      <c r="AC284" s="5" t="s">
        <v>3500</v>
      </c>
      <c r="AD284" s="5" t="s">
        <v>2852</v>
      </c>
      <c r="AE284" s="5">
        <v>1.5</v>
      </c>
      <c r="AF284" s="5">
        <v>2520000</v>
      </c>
      <c r="AG284" s="5">
        <v>37800</v>
      </c>
      <c r="AH284" s="5"/>
      <c r="AI284" s="5"/>
      <c r="AJ284" s="5" t="s">
        <v>37</v>
      </c>
      <c r="AK284" s="2" t="s">
        <v>5313</v>
      </c>
      <c r="AL284" s="3">
        <v>35438</v>
      </c>
      <c r="AM284" s="8">
        <v>45713</v>
      </c>
      <c r="AN284" s="2" t="s">
        <v>5548</v>
      </c>
      <c r="AO284" s="7">
        <f t="shared" si="4"/>
        <v>2362</v>
      </c>
    </row>
    <row r="285" spans="1:41" x14ac:dyDescent="0.25">
      <c r="A285" s="2">
        <v>309</v>
      </c>
      <c r="B285" s="2" t="s">
        <v>61</v>
      </c>
      <c r="C285" s="2" t="s">
        <v>3501</v>
      </c>
      <c r="D285" s="2" t="s">
        <v>36</v>
      </c>
      <c r="E285" s="2" t="s">
        <v>37</v>
      </c>
      <c r="F285" s="2" t="s">
        <v>3502</v>
      </c>
      <c r="G285" s="2" t="s">
        <v>47</v>
      </c>
      <c r="H285" s="2" t="s">
        <v>3503</v>
      </c>
      <c r="I285" s="2" t="s">
        <v>3504</v>
      </c>
      <c r="J285" s="2" t="s">
        <v>3504</v>
      </c>
      <c r="K285" s="2" t="s">
        <v>67</v>
      </c>
      <c r="L285" s="2" t="s">
        <v>3505</v>
      </c>
      <c r="M285" s="2">
        <v>971253</v>
      </c>
      <c r="N285" s="2">
        <v>2450000</v>
      </c>
      <c r="O285" s="2" t="s">
        <v>3506</v>
      </c>
      <c r="P285" s="8">
        <v>45705</v>
      </c>
      <c r="Q285" s="2" t="s">
        <v>3507</v>
      </c>
      <c r="R285" s="2" t="s">
        <v>3508</v>
      </c>
      <c r="S285" s="2" t="s">
        <v>48</v>
      </c>
      <c r="T285" s="2" t="s">
        <v>3509</v>
      </c>
      <c r="U285" s="2" t="s">
        <v>522</v>
      </c>
      <c r="V285" s="2" t="s">
        <v>49</v>
      </c>
      <c r="W285" s="8">
        <v>44615</v>
      </c>
      <c r="X285" s="2" t="s">
        <v>115</v>
      </c>
      <c r="Y285" s="2" t="s">
        <v>1839</v>
      </c>
      <c r="Z285" s="2" t="s">
        <v>3510</v>
      </c>
      <c r="AA285" s="2">
        <v>5</v>
      </c>
      <c r="AB285" s="2" t="s">
        <v>76</v>
      </c>
      <c r="AC285" s="2" t="s">
        <v>3511</v>
      </c>
      <c r="AD285" s="2" t="s">
        <v>118</v>
      </c>
      <c r="AE285" s="2">
        <v>1.5</v>
      </c>
      <c r="AF285" s="2">
        <v>1960000</v>
      </c>
      <c r="AG285" s="2">
        <v>29400</v>
      </c>
      <c r="AH285" s="2"/>
      <c r="AI285" s="2"/>
      <c r="AJ285" s="2" t="s">
        <v>37</v>
      </c>
      <c r="AK285" s="2" t="s">
        <v>5314</v>
      </c>
      <c r="AL285" s="3">
        <v>27563</v>
      </c>
      <c r="AM285" s="8">
        <v>45713</v>
      </c>
      <c r="AN285" s="2" t="s">
        <v>5549</v>
      </c>
      <c r="AO285" s="7">
        <f t="shared" si="4"/>
        <v>1837</v>
      </c>
    </row>
    <row r="286" spans="1:41" x14ac:dyDescent="0.25">
      <c r="A286" s="5">
        <v>310</v>
      </c>
      <c r="B286" s="5" t="s">
        <v>61</v>
      </c>
      <c r="C286" s="5" t="s">
        <v>3512</v>
      </c>
      <c r="D286" s="5" t="s">
        <v>36</v>
      </c>
      <c r="E286" s="5" t="s">
        <v>37</v>
      </c>
      <c r="F286" s="5" t="s">
        <v>3513</v>
      </c>
      <c r="G286" s="5" t="s">
        <v>111</v>
      </c>
      <c r="H286" s="5" t="s">
        <v>3514</v>
      </c>
      <c r="I286" s="5" t="s">
        <v>3515</v>
      </c>
      <c r="J286" s="5" t="s">
        <v>3515</v>
      </c>
      <c r="K286" s="5" t="s">
        <v>3515</v>
      </c>
      <c r="L286" s="5" t="s">
        <v>3516</v>
      </c>
      <c r="M286" s="5">
        <v>883469</v>
      </c>
      <c r="N286" s="5">
        <v>2400000</v>
      </c>
      <c r="O286" s="5" t="s">
        <v>3517</v>
      </c>
      <c r="P286" s="6">
        <v>45705</v>
      </c>
      <c r="Q286" s="5" t="s">
        <v>3518</v>
      </c>
      <c r="R286" s="5" t="s">
        <v>3519</v>
      </c>
      <c r="S286" s="5" t="s">
        <v>48</v>
      </c>
      <c r="T286" s="5" t="s">
        <v>3520</v>
      </c>
      <c r="U286" s="5" t="s">
        <v>152</v>
      </c>
      <c r="V286" s="5" t="s">
        <v>230</v>
      </c>
      <c r="W286" s="6">
        <v>44614</v>
      </c>
      <c r="X286" s="5" t="s">
        <v>115</v>
      </c>
      <c r="Y286" s="5" t="s">
        <v>1839</v>
      </c>
      <c r="Z286" s="5" t="s">
        <v>3521</v>
      </c>
      <c r="AA286" s="5">
        <v>5</v>
      </c>
      <c r="AB286" s="5" t="s">
        <v>76</v>
      </c>
      <c r="AC286" s="5" t="s">
        <v>3522</v>
      </c>
      <c r="AD286" s="5" t="s">
        <v>2966</v>
      </c>
      <c r="AE286" s="5">
        <v>1.5</v>
      </c>
      <c r="AF286" s="5">
        <v>1920000</v>
      </c>
      <c r="AG286" s="5">
        <v>28800</v>
      </c>
      <c r="AH286" s="5"/>
      <c r="AI286" s="5"/>
      <c r="AJ286" s="5" t="s">
        <v>37</v>
      </c>
      <c r="AK286" s="2" t="s">
        <v>5315</v>
      </c>
      <c r="AL286" s="3">
        <v>27000</v>
      </c>
      <c r="AM286" s="8">
        <v>45713</v>
      </c>
      <c r="AN286" s="2" t="s">
        <v>5550</v>
      </c>
      <c r="AO286" s="7">
        <f t="shared" si="4"/>
        <v>1800</v>
      </c>
    </row>
    <row r="287" spans="1:41" x14ac:dyDescent="0.25">
      <c r="A287" s="2">
        <v>311</v>
      </c>
      <c r="B287" s="2" t="s">
        <v>61</v>
      </c>
      <c r="C287" s="2" t="s">
        <v>3523</v>
      </c>
      <c r="D287" s="2" t="s">
        <v>36</v>
      </c>
      <c r="E287" s="2" t="s">
        <v>37</v>
      </c>
      <c r="F287" s="2" t="s">
        <v>3524</v>
      </c>
      <c r="G287" s="2" t="s">
        <v>47</v>
      </c>
      <c r="H287" s="2" t="s">
        <v>3525</v>
      </c>
      <c r="I287" s="2" t="s">
        <v>55</v>
      </c>
      <c r="J287" s="2" t="s">
        <v>3526</v>
      </c>
      <c r="K287" s="2" t="s">
        <v>55</v>
      </c>
      <c r="L287" s="2" t="s">
        <v>3527</v>
      </c>
      <c r="M287" s="2">
        <v>703148</v>
      </c>
      <c r="N287" s="2">
        <v>3880000</v>
      </c>
      <c r="O287" s="2" t="s">
        <v>3528</v>
      </c>
      <c r="P287" s="8">
        <v>45705</v>
      </c>
      <c r="Q287" s="2" t="s">
        <v>3529</v>
      </c>
      <c r="R287" s="2" t="s">
        <v>3530</v>
      </c>
      <c r="S287" s="2" t="s">
        <v>48</v>
      </c>
      <c r="T287" s="2" t="s">
        <v>3531</v>
      </c>
      <c r="U287" s="2" t="s">
        <v>3532</v>
      </c>
      <c r="V287" s="2" t="s">
        <v>91</v>
      </c>
      <c r="W287" s="8">
        <v>44614</v>
      </c>
      <c r="X287" s="2" t="s">
        <v>115</v>
      </c>
      <c r="Y287" s="2" t="s">
        <v>1839</v>
      </c>
      <c r="Z287" s="2" t="s">
        <v>3533</v>
      </c>
      <c r="AA287" s="2">
        <v>5</v>
      </c>
      <c r="AB287" s="2" t="s">
        <v>76</v>
      </c>
      <c r="AC287" s="2" t="s">
        <v>3534</v>
      </c>
      <c r="AD287" s="2" t="s">
        <v>2852</v>
      </c>
      <c r="AE287" s="2">
        <v>1.5</v>
      </c>
      <c r="AF287" s="2">
        <v>3104000</v>
      </c>
      <c r="AG287" s="2">
        <v>46560</v>
      </c>
      <c r="AH287" s="2"/>
      <c r="AI287" s="2"/>
      <c r="AJ287" s="2" t="s">
        <v>37</v>
      </c>
      <c r="AK287" s="2" t="s">
        <v>5316</v>
      </c>
      <c r="AL287" s="3">
        <v>43650</v>
      </c>
      <c r="AM287" s="8">
        <v>45713</v>
      </c>
      <c r="AN287" s="2" t="s">
        <v>5551</v>
      </c>
      <c r="AO287" s="7">
        <f t="shared" si="4"/>
        <v>2910</v>
      </c>
    </row>
    <row r="288" spans="1:41" hidden="1" x14ac:dyDescent="0.25">
      <c r="A288" s="5">
        <v>312</v>
      </c>
      <c r="B288" s="5" t="s">
        <v>61</v>
      </c>
      <c r="C288" s="5" t="s">
        <v>3535</v>
      </c>
      <c r="D288" s="5" t="s">
        <v>36</v>
      </c>
      <c r="E288" s="5" t="s">
        <v>37</v>
      </c>
      <c r="F288" s="5" t="s">
        <v>3536</v>
      </c>
      <c r="G288" s="5" t="s">
        <v>111</v>
      </c>
      <c r="H288" s="5" t="s">
        <v>3537</v>
      </c>
      <c r="I288" s="5" t="s">
        <v>3538</v>
      </c>
      <c r="J288" s="5" t="s">
        <v>3538</v>
      </c>
      <c r="K288" s="5" t="s">
        <v>3539</v>
      </c>
      <c r="L288" s="5" t="s">
        <v>3540</v>
      </c>
      <c r="M288" s="5">
        <v>1386422</v>
      </c>
      <c r="N288" s="5">
        <v>3583000</v>
      </c>
      <c r="O288" s="5" t="s">
        <v>3541</v>
      </c>
      <c r="P288" s="6">
        <v>45704</v>
      </c>
      <c r="Q288" s="5" t="s">
        <v>3542</v>
      </c>
      <c r="R288" s="5" t="s">
        <v>3543</v>
      </c>
      <c r="S288" s="5" t="s">
        <v>54</v>
      </c>
      <c r="T288" s="5" t="s">
        <v>55</v>
      </c>
      <c r="U288" s="5" t="s">
        <v>3544</v>
      </c>
      <c r="V288" s="5" t="s">
        <v>91</v>
      </c>
      <c r="W288" s="6">
        <v>44245</v>
      </c>
      <c r="X288" s="5" t="s">
        <v>119</v>
      </c>
      <c r="Y288" s="5" t="s">
        <v>3307</v>
      </c>
      <c r="Z288" s="5" t="s">
        <v>3545</v>
      </c>
      <c r="AA288" s="5">
        <v>6</v>
      </c>
      <c r="AB288" s="5" t="s">
        <v>44</v>
      </c>
      <c r="AC288" s="5" t="s">
        <v>3546</v>
      </c>
      <c r="AD288" s="5" t="s">
        <v>2899</v>
      </c>
      <c r="AE288" s="5">
        <v>2</v>
      </c>
      <c r="AF288" s="5">
        <v>2687250</v>
      </c>
      <c r="AG288" s="5">
        <v>53745</v>
      </c>
      <c r="AH288" s="5"/>
      <c r="AI288" s="5"/>
      <c r="AJ288" s="5" t="s">
        <v>37</v>
      </c>
      <c r="AK288" s="2" t="s">
        <v>5317</v>
      </c>
      <c r="AL288" s="3">
        <v>53745</v>
      </c>
      <c r="AM288" s="8">
        <v>45713</v>
      </c>
      <c r="AN288" s="2"/>
      <c r="AO288" s="7">
        <f t="shared" si="4"/>
        <v>0</v>
      </c>
    </row>
    <row r="289" spans="1:41" hidden="1" x14ac:dyDescent="0.25">
      <c r="A289" s="2">
        <v>313</v>
      </c>
      <c r="B289" s="2" t="s">
        <v>61</v>
      </c>
      <c r="C289" s="2" t="s">
        <v>3547</v>
      </c>
      <c r="D289" s="2" t="s">
        <v>36</v>
      </c>
      <c r="E289" s="2" t="s">
        <v>37</v>
      </c>
      <c r="F289" s="2" t="s">
        <v>3548</v>
      </c>
      <c r="G289" s="2" t="s">
        <v>53</v>
      </c>
      <c r="H289" s="2" t="s">
        <v>3549</v>
      </c>
      <c r="I289" s="2" t="s">
        <v>55</v>
      </c>
      <c r="J289" s="2" t="s">
        <v>3550</v>
      </c>
      <c r="K289" s="2" t="s">
        <v>55</v>
      </c>
      <c r="L289" s="2" t="s">
        <v>3551</v>
      </c>
      <c r="M289" s="2">
        <v>1155000</v>
      </c>
      <c r="N289" s="2">
        <v>1540000</v>
      </c>
      <c r="O289" s="2" t="s">
        <v>3552</v>
      </c>
      <c r="P289" s="8">
        <v>45731</v>
      </c>
      <c r="Q289" s="2" t="s">
        <v>3553</v>
      </c>
      <c r="R289" s="2" t="s">
        <v>3554</v>
      </c>
      <c r="S289" s="2" t="s">
        <v>3555</v>
      </c>
      <c r="T289" s="2" t="s">
        <v>3555</v>
      </c>
      <c r="U289" s="2" t="s">
        <v>728</v>
      </c>
      <c r="V289" s="2" t="s">
        <v>49</v>
      </c>
      <c r="W289" s="2" t="s">
        <v>41</v>
      </c>
      <c r="X289" s="2" t="s">
        <v>42</v>
      </c>
      <c r="Y289" s="2" t="s">
        <v>43</v>
      </c>
      <c r="Z289" s="2" t="s">
        <v>3556</v>
      </c>
      <c r="AA289" s="2">
        <v>5</v>
      </c>
      <c r="AB289" s="2" t="s">
        <v>76</v>
      </c>
      <c r="AC289" s="2" t="s">
        <v>3557</v>
      </c>
      <c r="AD289" s="2" t="s">
        <v>1355</v>
      </c>
      <c r="AE289" s="2" t="s">
        <v>46</v>
      </c>
      <c r="AF289" s="2">
        <v>1232000</v>
      </c>
      <c r="AG289" s="2">
        <v>18480</v>
      </c>
      <c r="AH289" s="2"/>
      <c r="AI289" s="2"/>
      <c r="AJ289" s="2" t="s">
        <v>37</v>
      </c>
      <c r="AK289" s="2" t="s">
        <v>5318</v>
      </c>
      <c r="AL289" s="3">
        <v>18480</v>
      </c>
      <c r="AM289" s="8">
        <v>45734</v>
      </c>
      <c r="AN289" s="2"/>
      <c r="AO289" s="7">
        <f t="shared" si="4"/>
        <v>0</v>
      </c>
    </row>
    <row r="290" spans="1:41" x14ac:dyDescent="0.25">
      <c r="A290" s="5">
        <v>314</v>
      </c>
      <c r="B290" s="5" t="s">
        <v>61</v>
      </c>
      <c r="C290" s="5" t="s">
        <v>3558</v>
      </c>
      <c r="D290" s="5" t="s">
        <v>36</v>
      </c>
      <c r="E290" s="5" t="s">
        <v>37</v>
      </c>
      <c r="F290" s="5" t="s">
        <v>3559</v>
      </c>
      <c r="G290" s="5" t="s">
        <v>47</v>
      </c>
      <c r="H290" s="5" t="s">
        <v>3560</v>
      </c>
      <c r="I290" s="5" t="s">
        <v>55</v>
      </c>
      <c r="J290" s="5" t="s">
        <v>3561</v>
      </c>
      <c r="K290" s="5" t="s">
        <v>55</v>
      </c>
      <c r="L290" s="5" t="s">
        <v>3562</v>
      </c>
      <c r="M290" s="5">
        <v>1283351</v>
      </c>
      <c r="N290" s="5">
        <v>3880000</v>
      </c>
      <c r="O290" s="5" t="s">
        <v>3563</v>
      </c>
      <c r="P290" s="6">
        <v>45704</v>
      </c>
      <c r="Q290" s="5" t="s">
        <v>3564</v>
      </c>
      <c r="R290" s="5" t="s">
        <v>3565</v>
      </c>
      <c r="S290" s="5" t="s">
        <v>54</v>
      </c>
      <c r="T290" s="5" t="s">
        <v>55</v>
      </c>
      <c r="U290" s="5" t="s">
        <v>3566</v>
      </c>
      <c r="V290" s="5" t="s">
        <v>57</v>
      </c>
      <c r="W290" s="6">
        <v>44610</v>
      </c>
      <c r="X290" s="5" t="s">
        <v>2966</v>
      </c>
      <c r="Y290" s="5" t="s">
        <v>3307</v>
      </c>
      <c r="Z290" s="5" t="s">
        <v>3567</v>
      </c>
      <c r="AA290" s="5">
        <v>5</v>
      </c>
      <c r="AB290" s="5" t="s">
        <v>76</v>
      </c>
      <c r="AC290" s="5" t="s">
        <v>3568</v>
      </c>
      <c r="AD290" s="5" t="s">
        <v>3181</v>
      </c>
      <c r="AE290" s="5">
        <v>2</v>
      </c>
      <c r="AF290" s="5">
        <v>3104000</v>
      </c>
      <c r="AG290" s="5">
        <v>62080</v>
      </c>
      <c r="AH290" s="5"/>
      <c r="AI290" s="5"/>
      <c r="AJ290" s="5" t="s">
        <v>37</v>
      </c>
      <c r="AK290" s="2" t="s">
        <v>5319</v>
      </c>
      <c r="AL290" s="3">
        <v>58200</v>
      </c>
      <c r="AM290" s="8">
        <v>45713</v>
      </c>
      <c r="AN290" s="2" t="s">
        <v>5552</v>
      </c>
      <c r="AO290" s="7">
        <f t="shared" si="4"/>
        <v>3880</v>
      </c>
    </row>
    <row r="291" spans="1:41" hidden="1" x14ac:dyDescent="0.25">
      <c r="A291" s="2">
        <v>315</v>
      </c>
      <c r="B291" s="2" t="s">
        <v>61</v>
      </c>
      <c r="C291" s="2" t="s">
        <v>3569</v>
      </c>
      <c r="D291" s="2" t="s">
        <v>36</v>
      </c>
      <c r="E291" s="2" t="s">
        <v>37</v>
      </c>
      <c r="F291" s="2" t="s">
        <v>3570</v>
      </c>
      <c r="G291" s="2" t="s">
        <v>111</v>
      </c>
      <c r="H291" s="2" t="s">
        <v>3571</v>
      </c>
      <c r="I291" s="2" t="s">
        <v>3572</v>
      </c>
      <c r="J291" s="2" t="s">
        <v>3572</v>
      </c>
      <c r="K291" s="2" t="s">
        <v>3572</v>
      </c>
      <c r="L291" s="2" t="s">
        <v>3573</v>
      </c>
      <c r="M291" s="2">
        <v>1183400</v>
      </c>
      <c r="N291" s="2">
        <v>1940000</v>
      </c>
      <c r="O291" s="2" t="s">
        <v>3574</v>
      </c>
      <c r="P291" s="8">
        <v>45731</v>
      </c>
      <c r="Q291" s="2" t="s">
        <v>3575</v>
      </c>
      <c r="R291" s="2" t="s">
        <v>3576</v>
      </c>
      <c r="S291" s="2" t="s">
        <v>3577</v>
      </c>
      <c r="T291" s="2" t="s">
        <v>3577</v>
      </c>
      <c r="U291" s="2" t="s">
        <v>162</v>
      </c>
      <c r="V291" s="2" t="s">
        <v>91</v>
      </c>
      <c r="W291" s="2" t="s">
        <v>42</v>
      </c>
      <c r="X291" s="2" t="s">
        <v>42</v>
      </c>
      <c r="Y291" s="2" t="s">
        <v>43</v>
      </c>
      <c r="Z291" s="2" t="s">
        <v>3578</v>
      </c>
      <c r="AA291" s="2">
        <v>5</v>
      </c>
      <c r="AB291" s="2" t="s">
        <v>44</v>
      </c>
      <c r="AC291" s="2" t="s">
        <v>3579</v>
      </c>
      <c r="AD291" s="2" t="s">
        <v>41</v>
      </c>
      <c r="AE291" s="2" t="s">
        <v>46</v>
      </c>
      <c r="AF291" s="2">
        <v>1552000</v>
      </c>
      <c r="AG291" s="2">
        <v>23280</v>
      </c>
      <c r="AH291" s="2"/>
      <c r="AI291" s="2"/>
      <c r="AJ291" s="2" t="s">
        <v>37</v>
      </c>
      <c r="AK291" s="2" t="s">
        <v>5320</v>
      </c>
      <c r="AL291" s="3">
        <v>23280</v>
      </c>
      <c r="AM291" s="8">
        <v>45734</v>
      </c>
      <c r="AN291" s="2"/>
      <c r="AO291" s="7">
        <f t="shared" si="4"/>
        <v>0</v>
      </c>
    </row>
    <row r="292" spans="1:41" x14ac:dyDescent="0.25">
      <c r="A292" s="5">
        <v>316</v>
      </c>
      <c r="B292" s="5" t="s">
        <v>61</v>
      </c>
      <c r="C292" s="5" t="s">
        <v>3580</v>
      </c>
      <c r="D292" s="5" t="s">
        <v>36</v>
      </c>
      <c r="E292" s="5" t="s">
        <v>37</v>
      </c>
      <c r="F292" s="5" t="s">
        <v>3581</v>
      </c>
      <c r="G292" s="5" t="s">
        <v>47</v>
      </c>
      <c r="H292" s="5" t="s">
        <v>3582</v>
      </c>
      <c r="I292" s="5" t="s">
        <v>3583</v>
      </c>
      <c r="J292" s="5" t="s">
        <v>3584</v>
      </c>
      <c r="K292" s="5" t="s">
        <v>3584</v>
      </c>
      <c r="L292" s="5" t="s">
        <v>3585</v>
      </c>
      <c r="M292" s="5">
        <v>1122745</v>
      </c>
      <c r="N292" s="5">
        <v>3050000</v>
      </c>
      <c r="O292" s="5" t="s">
        <v>3586</v>
      </c>
      <c r="P292" s="6">
        <v>45704</v>
      </c>
      <c r="Q292" s="5" t="s">
        <v>3587</v>
      </c>
      <c r="R292" s="5" t="s">
        <v>3588</v>
      </c>
      <c r="S292" s="5" t="s">
        <v>48</v>
      </c>
      <c r="T292" s="5" t="s">
        <v>3589</v>
      </c>
      <c r="U292" s="5" t="s">
        <v>522</v>
      </c>
      <c r="V292" s="5" t="s">
        <v>158</v>
      </c>
      <c r="W292" s="6">
        <v>44614</v>
      </c>
      <c r="X292" s="5" t="s">
        <v>115</v>
      </c>
      <c r="Y292" s="5" t="s">
        <v>1839</v>
      </c>
      <c r="Z292" s="5" t="s">
        <v>3590</v>
      </c>
      <c r="AA292" s="5">
        <v>5</v>
      </c>
      <c r="AB292" s="5" t="s">
        <v>76</v>
      </c>
      <c r="AC292" s="5" t="s">
        <v>3591</v>
      </c>
      <c r="AD292" s="5" t="s">
        <v>2966</v>
      </c>
      <c r="AE292" s="5">
        <v>1.5</v>
      </c>
      <c r="AF292" s="5">
        <v>2440000</v>
      </c>
      <c r="AG292" s="5">
        <v>36600</v>
      </c>
      <c r="AH292" s="5"/>
      <c r="AI292" s="5"/>
      <c r="AJ292" s="5" t="s">
        <v>37</v>
      </c>
      <c r="AK292" s="2" t="s">
        <v>5321</v>
      </c>
      <c r="AL292" s="3">
        <v>34313</v>
      </c>
      <c r="AM292" s="8">
        <v>45713</v>
      </c>
      <c r="AN292" s="2" t="s">
        <v>5553</v>
      </c>
      <c r="AO292" s="7">
        <f t="shared" si="4"/>
        <v>2287</v>
      </c>
    </row>
    <row r="293" spans="1:41" x14ac:dyDescent="0.25">
      <c r="A293" s="2">
        <v>317</v>
      </c>
      <c r="B293" s="2" t="s">
        <v>61</v>
      </c>
      <c r="C293" s="2" t="s">
        <v>3592</v>
      </c>
      <c r="D293" s="2" t="s">
        <v>36</v>
      </c>
      <c r="E293" s="2" t="s">
        <v>37</v>
      </c>
      <c r="F293" s="2" t="s">
        <v>3593</v>
      </c>
      <c r="G293" s="2" t="s">
        <v>47</v>
      </c>
      <c r="H293" s="2" t="s">
        <v>3594</v>
      </c>
      <c r="I293" s="2" t="s">
        <v>55</v>
      </c>
      <c r="J293" s="2" t="s">
        <v>3595</v>
      </c>
      <c r="K293" s="2" t="s">
        <v>55</v>
      </c>
      <c r="L293" s="2" t="s">
        <v>3596</v>
      </c>
      <c r="M293" s="2">
        <v>866389</v>
      </c>
      <c r="N293" s="2">
        <v>1975000</v>
      </c>
      <c r="O293" s="2" t="s">
        <v>3597</v>
      </c>
      <c r="P293" s="8">
        <v>45704</v>
      </c>
      <c r="Q293" s="2" t="s">
        <v>3598</v>
      </c>
      <c r="R293" s="2" t="s">
        <v>3599</v>
      </c>
      <c r="S293" s="2" t="s">
        <v>54</v>
      </c>
      <c r="T293" s="2" t="s">
        <v>55</v>
      </c>
      <c r="U293" s="2" t="s">
        <v>728</v>
      </c>
      <c r="V293" s="2" t="s">
        <v>57</v>
      </c>
      <c r="W293" s="8">
        <v>44610</v>
      </c>
      <c r="X293" s="2" t="s">
        <v>2966</v>
      </c>
      <c r="Y293" s="2" t="s">
        <v>3307</v>
      </c>
      <c r="Z293" s="2" t="s">
        <v>3600</v>
      </c>
      <c r="AA293" s="2">
        <v>5</v>
      </c>
      <c r="AB293" s="2" t="s">
        <v>76</v>
      </c>
      <c r="AC293" s="2" t="s">
        <v>3601</v>
      </c>
      <c r="AD293" s="2" t="s">
        <v>3443</v>
      </c>
      <c r="AE293" s="2">
        <v>2</v>
      </c>
      <c r="AF293" s="2">
        <v>1580000</v>
      </c>
      <c r="AG293" s="2">
        <v>31600</v>
      </c>
      <c r="AH293" s="2"/>
      <c r="AI293" s="2"/>
      <c r="AJ293" s="2" t="s">
        <v>37</v>
      </c>
      <c r="AK293" s="2" t="s">
        <v>5322</v>
      </c>
      <c r="AL293" s="3">
        <v>29625</v>
      </c>
      <c r="AM293" s="8">
        <v>45713</v>
      </c>
      <c r="AN293" s="2" t="s">
        <v>5554</v>
      </c>
      <c r="AO293" s="7">
        <f t="shared" si="4"/>
        <v>1975</v>
      </c>
    </row>
    <row r="294" spans="1:41" x14ac:dyDescent="0.25">
      <c r="A294" s="5">
        <v>318</v>
      </c>
      <c r="B294" s="5" t="s">
        <v>61</v>
      </c>
      <c r="C294" s="5" t="s">
        <v>3602</v>
      </c>
      <c r="D294" s="5" t="s">
        <v>36</v>
      </c>
      <c r="E294" s="5" t="s">
        <v>37</v>
      </c>
      <c r="F294" s="5" t="s">
        <v>633</v>
      </c>
      <c r="G294" s="5" t="s">
        <v>111</v>
      </c>
      <c r="H294" s="5" t="s">
        <v>3603</v>
      </c>
      <c r="I294" s="5" t="s">
        <v>3604</v>
      </c>
      <c r="J294" s="5" t="s">
        <v>3604</v>
      </c>
      <c r="K294" s="5" t="s">
        <v>3604</v>
      </c>
      <c r="L294" s="5" t="s">
        <v>3605</v>
      </c>
      <c r="M294" s="5">
        <v>612874</v>
      </c>
      <c r="N294" s="5">
        <v>1546000</v>
      </c>
      <c r="O294" s="5" t="s">
        <v>3606</v>
      </c>
      <c r="P294" s="6">
        <v>45704</v>
      </c>
      <c r="Q294" s="5" t="s">
        <v>3607</v>
      </c>
      <c r="R294" s="5" t="s">
        <v>3608</v>
      </c>
      <c r="S294" s="5" t="s">
        <v>54</v>
      </c>
      <c r="T294" s="5" t="s">
        <v>55</v>
      </c>
      <c r="U294" s="5" t="s">
        <v>1816</v>
      </c>
      <c r="V294" s="5" t="s">
        <v>57</v>
      </c>
      <c r="W294" s="6">
        <v>44618</v>
      </c>
      <c r="X294" s="5" t="s">
        <v>115</v>
      </c>
      <c r="Y294" s="5" t="s">
        <v>1839</v>
      </c>
      <c r="Z294" s="5" t="s">
        <v>3609</v>
      </c>
      <c r="AA294" s="5">
        <v>5</v>
      </c>
      <c r="AB294" s="5" t="s">
        <v>76</v>
      </c>
      <c r="AC294" s="5" t="s">
        <v>3610</v>
      </c>
      <c r="AD294" s="5" t="s">
        <v>3181</v>
      </c>
      <c r="AE294" s="5">
        <v>2</v>
      </c>
      <c r="AF294" s="5">
        <v>1236800</v>
      </c>
      <c r="AG294" s="5">
        <v>24736</v>
      </c>
      <c r="AH294" s="5"/>
      <c r="AI294" s="5"/>
      <c r="AJ294" s="5" t="s">
        <v>37</v>
      </c>
      <c r="AK294" s="2" t="s">
        <v>5323</v>
      </c>
      <c r="AL294" s="3">
        <v>23190</v>
      </c>
      <c r="AM294" s="8">
        <v>45713</v>
      </c>
      <c r="AN294" s="2" t="s">
        <v>5555</v>
      </c>
      <c r="AO294" s="7">
        <f t="shared" si="4"/>
        <v>1546</v>
      </c>
    </row>
    <row r="295" spans="1:41" hidden="1" x14ac:dyDescent="0.25">
      <c r="A295" s="2">
        <v>319</v>
      </c>
      <c r="B295" s="2" t="s">
        <v>61</v>
      </c>
      <c r="C295" s="2" t="s">
        <v>3611</v>
      </c>
      <c r="D295" s="2" t="s">
        <v>36</v>
      </c>
      <c r="E295" s="2" t="s">
        <v>37</v>
      </c>
      <c r="F295" s="2" t="s">
        <v>3612</v>
      </c>
      <c r="G295" s="2" t="s">
        <v>47</v>
      </c>
      <c r="H295" s="2" t="s">
        <v>3613</v>
      </c>
      <c r="I295" s="2" t="s">
        <v>3614</v>
      </c>
      <c r="J295" s="2" t="s">
        <v>3614</v>
      </c>
      <c r="K295" s="2" t="s">
        <v>67</v>
      </c>
      <c r="L295" s="2" t="s">
        <v>3615</v>
      </c>
      <c r="M295" s="2">
        <v>1960000</v>
      </c>
      <c r="N295" s="2">
        <v>2800000</v>
      </c>
      <c r="O295" s="2" t="s">
        <v>3616</v>
      </c>
      <c r="P295" s="8">
        <v>45731</v>
      </c>
      <c r="Q295" s="2" t="s">
        <v>3617</v>
      </c>
      <c r="R295" s="2" t="s">
        <v>3618</v>
      </c>
      <c r="S295" s="2" t="s">
        <v>3619</v>
      </c>
      <c r="T295" s="2" t="s">
        <v>3619</v>
      </c>
      <c r="U295" s="2" t="s">
        <v>3620</v>
      </c>
      <c r="V295" s="2" t="s">
        <v>40</v>
      </c>
      <c r="W295" s="2" t="s">
        <v>3104</v>
      </c>
      <c r="X295" s="2" t="s">
        <v>42</v>
      </c>
      <c r="Y295" s="2" t="s">
        <v>43</v>
      </c>
      <c r="Z295" s="2" t="s">
        <v>3621</v>
      </c>
      <c r="AA295" s="2">
        <v>5</v>
      </c>
      <c r="AB295" s="2" t="s">
        <v>44</v>
      </c>
      <c r="AC295" s="2" t="s">
        <v>3622</v>
      </c>
      <c r="AD295" s="2" t="s">
        <v>3104</v>
      </c>
      <c r="AE295" s="2" t="s">
        <v>46</v>
      </c>
      <c r="AF295" s="2">
        <v>2240000</v>
      </c>
      <c r="AG295" s="2">
        <v>33600</v>
      </c>
      <c r="AH295" s="2"/>
      <c r="AI295" s="2"/>
      <c r="AJ295" s="2" t="s">
        <v>37</v>
      </c>
      <c r="AK295" s="2" t="s">
        <v>5324</v>
      </c>
      <c r="AL295" s="3">
        <v>33600</v>
      </c>
      <c r="AM295" s="8">
        <v>45734</v>
      </c>
      <c r="AN295" s="2"/>
      <c r="AO295" s="7">
        <f t="shared" si="4"/>
        <v>0</v>
      </c>
    </row>
    <row r="296" spans="1:41" hidden="1" x14ac:dyDescent="0.25">
      <c r="A296" s="5">
        <v>320</v>
      </c>
      <c r="B296" s="5" t="s">
        <v>61</v>
      </c>
      <c r="C296" s="5" t="s">
        <v>3623</v>
      </c>
      <c r="D296" s="5" t="s">
        <v>36</v>
      </c>
      <c r="E296" s="5" t="s">
        <v>37</v>
      </c>
      <c r="F296" s="5" t="s">
        <v>3624</v>
      </c>
      <c r="G296" s="5" t="s">
        <v>111</v>
      </c>
      <c r="H296" s="5" t="s">
        <v>3625</v>
      </c>
      <c r="I296" s="5" t="s">
        <v>3626</v>
      </c>
      <c r="J296" s="5" t="s">
        <v>3626</v>
      </c>
      <c r="K296" s="5" t="s">
        <v>3627</v>
      </c>
      <c r="L296" s="5" t="s">
        <v>3628</v>
      </c>
      <c r="M296" s="5">
        <v>2590000</v>
      </c>
      <c r="N296" s="5">
        <v>3700000</v>
      </c>
      <c r="O296" s="5" t="s">
        <v>1927</v>
      </c>
      <c r="P296" s="6">
        <v>45731</v>
      </c>
      <c r="Q296" s="5" t="s">
        <v>3629</v>
      </c>
      <c r="R296" s="5" t="s">
        <v>3630</v>
      </c>
      <c r="S296" s="5" t="s">
        <v>3631</v>
      </c>
      <c r="T296" s="5" t="s">
        <v>3631</v>
      </c>
      <c r="U296" s="5" t="s">
        <v>90</v>
      </c>
      <c r="V296" s="5" t="s">
        <v>40</v>
      </c>
      <c r="W296" s="5" t="s">
        <v>41</v>
      </c>
      <c r="X296" s="5" t="s">
        <v>42</v>
      </c>
      <c r="Y296" s="5" t="s">
        <v>43</v>
      </c>
      <c r="Z296" s="5" t="s">
        <v>3632</v>
      </c>
      <c r="AA296" s="5">
        <v>5</v>
      </c>
      <c r="AB296" s="5" t="s">
        <v>44</v>
      </c>
      <c r="AC296" s="5" t="s">
        <v>3633</v>
      </c>
      <c r="AD296" s="5" t="s">
        <v>1355</v>
      </c>
      <c r="AE296" s="5" t="s">
        <v>46</v>
      </c>
      <c r="AF296" s="5">
        <v>2960000</v>
      </c>
      <c r="AG296" s="5">
        <v>44400</v>
      </c>
      <c r="AH296" s="5"/>
      <c r="AI296" s="5"/>
      <c r="AJ296" s="5" t="s">
        <v>37</v>
      </c>
      <c r="AK296" s="2" t="s">
        <v>5325</v>
      </c>
      <c r="AL296" s="3">
        <v>44400</v>
      </c>
      <c r="AM296" s="8">
        <v>45734</v>
      </c>
      <c r="AN296" s="2"/>
      <c r="AO296" s="7">
        <f t="shared" si="4"/>
        <v>0</v>
      </c>
    </row>
    <row r="297" spans="1:41" x14ac:dyDescent="0.25">
      <c r="A297" s="2">
        <v>321</v>
      </c>
      <c r="B297" s="2" t="s">
        <v>61</v>
      </c>
      <c r="C297" s="2" t="s">
        <v>3634</v>
      </c>
      <c r="D297" s="2" t="s">
        <v>36</v>
      </c>
      <c r="E297" s="2" t="s">
        <v>37</v>
      </c>
      <c r="F297" s="2" t="s">
        <v>3635</v>
      </c>
      <c r="G297" s="2" t="s">
        <v>111</v>
      </c>
      <c r="H297" s="2" t="s">
        <v>3636</v>
      </c>
      <c r="I297" s="2" t="s">
        <v>3637</v>
      </c>
      <c r="J297" s="2" t="s">
        <v>3637</v>
      </c>
      <c r="K297" s="2" t="s">
        <v>3637</v>
      </c>
      <c r="L297" s="2" t="s">
        <v>3638</v>
      </c>
      <c r="M297" s="2">
        <v>575763</v>
      </c>
      <c r="N297" s="2">
        <v>1500000</v>
      </c>
      <c r="O297" s="2" t="s">
        <v>3639</v>
      </c>
      <c r="P297" s="8">
        <v>45704</v>
      </c>
      <c r="Q297" s="2" t="s">
        <v>3640</v>
      </c>
      <c r="R297" s="2" t="s">
        <v>3641</v>
      </c>
      <c r="S297" s="2" t="s">
        <v>48</v>
      </c>
      <c r="T297" s="2" t="s">
        <v>3642</v>
      </c>
      <c r="U297" s="2" t="s">
        <v>1201</v>
      </c>
      <c r="V297" s="2" t="s">
        <v>40</v>
      </c>
      <c r="W297" s="8">
        <v>44613</v>
      </c>
      <c r="X297" s="2" t="s">
        <v>2966</v>
      </c>
      <c r="Y297" s="2" t="s">
        <v>3307</v>
      </c>
      <c r="Z297" s="2" t="s">
        <v>3643</v>
      </c>
      <c r="AA297" s="2">
        <v>5</v>
      </c>
      <c r="AB297" s="2" t="s">
        <v>76</v>
      </c>
      <c r="AC297" s="2" t="s">
        <v>3644</v>
      </c>
      <c r="AD297" s="2" t="s">
        <v>3181</v>
      </c>
      <c r="AE297" s="2">
        <v>1.5</v>
      </c>
      <c r="AF297" s="2">
        <v>1200000</v>
      </c>
      <c r="AG297" s="2">
        <v>18000</v>
      </c>
      <c r="AH297" s="2"/>
      <c r="AI297" s="2"/>
      <c r="AJ297" s="2" t="s">
        <v>37</v>
      </c>
      <c r="AK297" s="2" t="s">
        <v>5326</v>
      </c>
      <c r="AL297" s="3">
        <v>16875</v>
      </c>
      <c r="AM297" s="8">
        <v>45713</v>
      </c>
      <c r="AN297" s="2" t="s">
        <v>5556</v>
      </c>
      <c r="AO297" s="7">
        <f t="shared" si="4"/>
        <v>1125</v>
      </c>
    </row>
    <row r="298" spans="1:41" hidden="1" x14ac:dyDescent="0.25">
      <c r="A298" s="5">
        <v>322</v>
      </c>
      <c r="B298" s="5" t="s">
        <v>61</v>
      </c>
      <c r="C298" s="5" t="s">
        <v>3645</v>
      </c>
      <c r="D298" s="5" t="s">
        <v>36</v>
      </c>
      <c r="E298" s="5" t="s">
        <v>37</v>
      </c>
      <c r="F298" s="5" t="s">
        <v>3646</v>
      </c>
      <c r="G298" s="5" t="s">
        <v>47</v>
      </c>
      <c r="H298" s="5" t="s">
        <v>3647</v>
      </c>
      <c r="I298" s="5" t="s">
        <v>3648</v>
      </c>
      <c r="J298" s="5" t="s">
        <v>3649</v>
      </c>
      <c r="K298" s="5" t="s">
        <v>3650</v>
      </c>
      <c r="L298" s="5" t="s">
        <v>3651</v>
      </c>
      <c r="M298" s="5">
        <v>1080000</v>
      </c>
      <c r="N298" s="5">
        <v>3600000</v>
      </c>
      <c r="O298" s="5" t="s">
        <v>3652</v>
      </c>
      <c r="P298" s="6">
        <v>45731</v>
      </c>
      <c r="Q298" s="5" t="s">
        <v>3653</v>
      </c>
      <c r="R298" s="5" t="s">
        <v>3654</v>
      </c>
      <c r="S298" s="5" t="s">
        <v>3655</v>
      </c>
      <c r="T298" s="5" t="s">
        <v>3655</v>
      </c>
      <c r="U298" s="5" t="s">
        <v>2976</v>
      </c>
      <c r="V298" s="5" t="s">
        <v>40</v>
      </c>
      <c r="W298" s="5" t="s">
        <v>3656</v>
      </c>
      <c r="X298" s="5" t="s">
        <v>1381</v>
      </c>
      <c r="Y298" s="5" t="s">
        <v>94</v>
      </c>
      <c r="Z298" s="5" t="s">
        <v>3657</v>
      </c>
      <c r="AA298" s="5">
        <v>3</v>
      </c>
      <c r="AB298" s="5" t="s">
        <v>279</v>
      </c>
      <c r="AC298" s="5" t="s">
        <v>3658</v>
      </c>
      <c r="AD298" s="5" t="s">
        <v>3295</v>
      </c>
      <c r="AE298" s="5" t="s">
        <v>253</v>
      </c>
      <c r="AF298" s="5">
        <v>3060000</v>
      </c>
      <c r="AG298" s="5">
        <v>53550</v>
      </c>
      <c r="AH298" s="5"/>
      <c r="AI298" s="5"/>
      <c r="AJ298" s="5" t="s">
        <v>37</v>
      </c>
      <c r="AK298" s="2" t="s">
        <v>5327</v>
      </c>
      <c r="AL298" s="3">
        <v>53550</v>
      </c>
      <c r="AM298" s="8">
        <v>45734</v>
      </c>
      <c r="AN298" s="2"/>
      <c r="AO298" s="7">
        <f t="shared" si="4"/>
        <v>0</v>
      </c>
    </row>
    <row r="299" spans="1:41" x14ac:dyDescent="0.25">
      <c r="A299" s="2">
        <v>323</v>
      </c>
      <c r="B299" s="2" t="s">
        <v>203</v>
      </c>
      <c r="C299" s="2" t="s">
        <v>3659</v>
      </c>
      <c r="D299" s="2" t="s">
        <v>36</v>
      </c>
      <c r="E299" s="2" t="s">
        <v>37</v>
      </c>
      <c r="F299" s="2" t="s">
        <v>3660</v>
      </c>
      <c r="G299" s="2" t="s">
        <v>111</v>
      </c>
      <c r="H299" s="2" t="s">
        <v>3661</v>
      </c>
      <c r="I299" s="2" t="s">
        <v>3662</v>
      </c>
      <c r="J299" s="2" t="s">
        <v>3662</v>
      </c>
      <c r="K299" s="2" t="s">
        <v>3662</v>
      </c>
      <c r="L299" s="2" t="s">
        <v>3663</v>
      </c>
      <c r="M299" s="2">
        <v>947399</v>
      </c>
      <c r="N299" s="2">
        <v>1975000</v>
      </c>
      <c r="O299" s="2" t="s">
        <v>3664</v>
      </c>
      <c r="P299" s="8">
        <v>45703</v>
      </c>
      <c r="Q299" s="2" t="s">
        <v>3665</v>
      </c>
      <c r="R299" s="2" t="s">
        <v>3666</v>
      </c>
      <c r="S299" s="2" t="s">
        <v>54</v>
      </c>
      <c r="T299" s="2" t="s">
        <v>55</v>
      </c>
      <c r="U299" s="2" t="s">
        <v>728</v>
      </c>
      <c r="V299" s="2" t="s">
        <v>57</v>
      </c>
      <c r="W299" s="8">
        <v>44615</v>
      </c>
      <c r="X299" s="2" t="s">
        <v>115</v>
      </c>
      <c r="Y299" s="2" t="s">
        <v>1839</v>
      </c>
      <c r="Z299" s="2" t="s">
        <v>3667</v>
      </c>
      <c r="AA299" s="2">
        <v>5</v>
      </c>
      <c r="AB299" s="2" t="s">
        <v>76</v>
      </c>
      <c r="AC299" s="2" t="s">
        <v>3668</v>
      </c>
      <c r="AD299" s="2" t="s">
        <v>3181</v>
      </c>
      <c r="AE299" s="2">
        <v>2</v>
      </c>
      <c r="AF299" s="2">
        <v>1580000</v>
      </c>
      <c r="AG299" s="2">
        <v>31600</v>
      </c>
      <c r="AH299" s="2"/>
      <c r="AI299" s="2"/>
      <c r="AJ299" s="2" t="s">
        <v>37</v>
      </c>
      <c r="AK299" s="2" t="s">
        <v>5328</v>
      </c>
      <c r="AL299" s="3">
        <v>29625</v>
      </c>
      <c r="AM299" s="8">
        <v>45713</v>
      </c>
      <c r="AN299" s="2" t="s">
        <v>5557</v>
      </c>
      <c r="AO299" s="7">
        <f t="shared" si="4"/>
        <v>1975</v>
      </c>
    </row>
    <row r="300" spans="1:41" hidden="1" x14ac:dyDescent="0.25">
      <c r="A300" s="5">
        <v>324</v>
      </c>
      <c r="B300" s="5" t="s">
        <v>61</v>
      </c>
      <c r="C300" s="5" t="s">
        <v>3669</v>
      </c>
      <c r="D300" s="5" t="s">
        <v>36</v>
      </c>
      <c r="E300" s="5" t="s">
        <v>37</v>
      </c>
      <c r="F300" s="5" t="s">
        <v>2570</v>
      </c>
      <c r="G300" s="5" t="s">
        <v>53</v>
      </c>
      <c r="H300" s="5" t="s">
        <v>3670</v>
      </c>
      <c r="I300" s="5" t="s">
        <v>55</v>
      </c>
      <c r="J300" s="5" t="s">
        <v>3671</v>
      </c>
      <c r="K300" s="5" t="s">
        <v>3671</v>
      </c>
      <c r="L300" s="5" t="s">
        <v>3672</v>
      </c>
      <c r="M300" s="5">
        <v>1875783</v>
      </c>
      <c r="N300" s="5">
        <v>8649000</v>
      </c>
      <c r="O300" s="5" t="s">
        <v>3673</v>
      </c>
      <c r="P300" s="6">
        <v>45703</v>
      </c>
      <c r="Q300" s="5" t="s">
        <v>3674</v>
      </c>
      <c r="R300" s="5" t="s">
        <v>3675</v>
      </c>
      <c r="S300" s="5" t="s">
        <v>54</v>
      </c>
      <c r="T300" s="5" t="s">
        <v>55</v>
      </c>
      <c r="U300" s="5" t="s">
        <v>3676</v>
      </c>
      <c r="V300" s="5" t="s">
        <v>887</v>
      </c>
      <c r="W300" s="6">
        <v>45342</v>
      </c>
      <c r="X300" s="5" t="s">
        <v>3677</v>
      </c>
      <c r="Y300" s="5" t="s">
        <v>120</v>
      </c>
      <c r="Z300" s="5" t="s">
        <v>3678</v>
      </c>
      <c r="AA300" s="5">
        <v>2</v>
      </c>
      <c r="AB300" s="5" t="s">
        <v>279</v>
      </c>
      <c r="AC300" s="5" t="s">
        <v>3679</v>
      </c>
      <c r="AD300" s="5" t="s">
        <v>3680</v>
      </c>
      <c r="AE300" s="5">
        <v>1.75</v>
      </c>
      <c r="AF300" s="5">
        <v>7784100</v>
      </c>
      <c r="AG300" s="5">
        <v>136222</v>
      </c>
      <c r="AH300" s="5"/>
      <c r="AI300" s="5"/>
      <c r="AJ300" s="5" t="s">
        <v>37</v>
      </c>
      <c r="AK300" s="2" t="s">
        <v>5329</v>
      </c>
      <c r="AL300" s="3">
        <v>136222</v>
      </c>
      <c r="AM300" s="8">
        <v>45713</v>
      </c>
      <c r="AN300" s="2"/>
      <c r="AO300" s="7">
        <f t="shared" si="4"/>
        <v>0</v>
      </c>
    </row>
    <row r="301" spans="1:41" hidden="1" x14ac:dyDescent="0.25">
      <c r="A301" s="2">
        <v>325</v>
      </c>
      <c r="B301" s="2" t="s">
        <v>61</v>
      </c>
      <c r="C301" s="2" t="s">
        <v>3681</v>
      </c>
      <c r="D301" s="2" t="s">
        <v>36</v>
      </c>
      <c r="E301" s="2" t="s">
        <v>37</v>
      </c>
      <c r="F301" s="2" t="s">
        <v>3682</v>
      </c>
      <c r="G301" s="2" t="s">
        <v>53</v>
      </c>
      <c r="H301" s="2" t="s">
        <v>3683</v>
      </c>
      <c r="I301" s="2" t="s">
        <v>3684</v>
      </c>
      <c r="J301" s="2" t="s">
        <v>3685</v>
      </c>
      <c r="K301" s="2" t="s">
        <v>3686</v>
      </c>
      <c r="L301" s="2" t="s">
        <v>3687</v>
      </c>
      <c r="M301" s="2">
        <v>379774</v>
      </c>
      <c r="N301" s="2">
        <v>2000000</v>
      </c>
      <c r="O301" s="2" t="s">
        <v>3688</v>
      </c>
      <c r="P301" s="8">
        <v>45703</v>
      </c>
      <c r="Q301" s="2" t="s">
        <v>3689</v>
      </c>
      <c r="R301" s="2" t="s">
        <v>3690</v>
      </c>
      <c r="S301" s="2" t="s">
        <v>48</v>
      </c>
      <c r="T301" s="2" t="s">
        <v>3691</v>
      </c>
      <c r="U301" s="2" t="s">
        <v>728</v>
      </c>
      <c r="V301" s="2" t="s">
        <v>158</v>
      </c>
      <c r="W301" s="8">
        <v>44977</v>
      </c>
      <c r="X301" s="2" t="s">
        <v>3131</v>
      </c>
      <c r="Y301" s="2" t="s">
        <v>120</v>
      </c>
      <c r="Z301" s="2" t="s">
        <v>3692</v>
      </c>
      <c r="AA301" s="2">
        <v>3</v>
      </c>
      <c r="AB301" s="2" t="s">
        <v>51</v>
      </c>
      <c r="AC301" s="2" t="s">
        <v>3693</v>
      </c>
      <c r="AD301" s="2" t="s">
        <v>3694</v>
      </c>
      <c r="AE301" s="2">
        <v>1.75</v>
      </c>
      <c r="AF301" s="2">
        <v>1700000</v>
      </c>
      <c r="AG301" s="2">
        <v>29750</v>
      </c>
      <c r="AH301" s="2"/>
      <c r="AI301" s="2"/>
      <c r="AJ301" s="2" t="s">
        <v>37</v>
      </c>
      <c r="AK301" s="2" t="s">
        <v>5330</v>
      </c>
      <c r="AL301" s="3">
        <v>29750</v>
      </c>
      <c r="AM301" s="8">
        <v>45713</v>
      </c>
      <c r="AN301" s="2"/>
      <c r="AO301" s="7">
        <f t="shared" si="4"/>
        <v>0</v>
      </c>
    </row>
    <row r="302" spans="1:41" x14ac:dyDescent="0.25">
      <c r="A302" s="5">
        <v>326</v>
      </c>
      <c r="B302" s="5" t="s">
        <v>61</v>
      </c>
      <c r="C302" s="5" t="s">
        <v>3695</v>
      </c>
      <c r="D302" s="5" t="s">
        <v>36</v>
      </c>
      <c r="E302" s="5" t="s">
        <v>37</v>
      </c>
      <c r="F302" s="5" t="s">
        <v>3696</v>
      </c>
      <c r="G302" s="5" t="s">
        <v>47</v>
      </c>
      <c r="H302" s="5" t="s">
        <v>3697</v>
      </c>
      <c r="I302" s="5" t="s">
        <v>3698</v>
      </c>
      <c r="J302" s="5" t="s">
        <v>3698</v>
      </c>
      <c r="K302" s="5" t="s">
        <v>3698</v>
      </c>
      <c r="L302" s="5" t="s">
        <v>3699</v>
      </c>
      <c r="M302" s="5">
        <v>996272</v>
      </c>
      <c r="N302" s="5">
        <v>2350000</v>
      </c>
      <c r="O302" s="5" t="s">
        <v>3700</v>
      </c>
      <c r="P302" s="6">
        <v>45703</v>
      </c>
      <c r="Q302" s="5" t="s">
        <v>3701</v>
      </c>
      <c r="R302" s="5" t="s">
        <v>3702</v>
      </c>
      <c r="S302" s="5" t="s">
        <v>48</v>
      </c>
      <c r="T302" s="5" t="s">
        <v>3703</v>
      </c>
      <c r="U302" s="5" t="s">
        <v>3704</v>
      </c>
      <c r="V302" s="5" t="s">
        <v>60</v>
      </c>
      <c r="W302" s="6">
        <v>44609</v>
      </c>
      <c r="X302" s="5" t="s">
        <v>2966</v>
      </c>
      <c r="Y302" s="5" t="s">
        <v>3307</v>
      </c>
      <c r="Z302" s="5" t="s">
        <v>3705</v>
      </c>
      <c r="AA302" s="5">
        <v>5</v>
      </c>
      <c r="AB302" s="5" t="s">
        <v>76</v>
      </c>
      <c r="AC302" s="5" t="s">
        <v>3706</v>
      </c>
      <c r="AD302" s="5" t="s">
        <v>140</v>
      </c>
      <c r="AE302" s="5">
        <v>1.5</v>
      </c>
      <c r="AF302" s="5">
        <v>1880000</v>
      </c>
      <c r="AG302" s="5">
        <v>28200</v>
      </c>
      <c r="AH302" s="5"/>
      <c r="AI302" s="5"/>
      <c r="AJ302" s="5" t="s">
        <v>37</v>
      </c>
      <c r="AK302" s="2" t="s">
        <v>5331</v>
      </c>
      <c r="AL302" s="3">
        <v>26438</v>
      </c>
      <c r="AM302" s="8">
        <v>45713</v>
      </c>
      <c r="AN302" s="2" t="s">
        <v>5558</v>
      </c>
      <c r="AO302" s="7">
        <f t="shared" si="4"/>
        <v>1762</v>
      </c>
    </row>
    <row r="303" spans="1:41" x14ac:dyDescent="0.25">
      <c r="A303" s="2">
        <v>327</v>
      </c>
      <c r="B303" s="2" t="s">
        <v>61</v>
      </c>
      <c r="C303" s="2" t="s">
        <v>3707</v>
      </c>
      <c r="D303" s="2" t="s">
        <v>36</v>
      </c>
      <c r="E303" s="2" t="s">
        <v>37</v>
      </c>
      <c r="F303" s="2" t="s">
        <v>3708</v>
      </c>
      <c r="G303" s="2" t="s">
        <v>47</v>
      </c>
      <c r="H303" s="2" t="s">
        <v>3709</v>
      </c>
      <c r="I303" s="2" t="s">
        <v>3710</v>
      </c>
      <c r="J303" s="2" t="s">
        <v>3710</v>
      </c>
      <c r="K303" s="2" t="s">
        <v>3710</v>
      </c>
      <c r="L303" s="2" t="s">
        <v>3711</v>
      </c>
      <c r="M303" s="2">
        <v>942769</v>
      </c>
      <c r="N303" s="2">
        <v>2850000</v>
      </c>
      <c r="O303" s="2" t="s">
        <v>3712</v>
      </c>
      <c r="P303" s="8">
        <v>45703</v>
      </c>
      <c r="Q303" s="2" t="s">
        <v>3713</v>
      </c>
      <c r="R303" s="2" t="s">
        <v>3714</v>
      </c>
      <c r="S303" s="2" t="s">
        <v>48</v>
      </c>
      <c r="T303" s="2" t="s">
        <v>3715</v>
      </c>
      <c r="U303" s="2" t="s">
        <v>72</v>
      </c>
      <c r="V303" s="2" t="s">
        <v>40</v>
      </c>
      <c r="W303" s="8">
        <v>44609</v>
      </c>
      <c r="X303" s="2" t="s">
        <v>2966</v>
      </c>
      <c r="Y303" s="2" t="s">
        <v>3307</v>
      </c>
      <c r="Z303" s="2" t="s">
        <v>3716</v>
      </c>
      <c r="AA303" s="2">
        <v>5</v>
      </c>
      <c r="AB303" s="2" t="s">
        <v>76</v>
      </c>
      <c r="AC303" s="2" t="s">
        <v>3717</v>
      </c>
      <c r="AD303" s="2" t="s">
        <v>125</v>
      </c>
      <c r="AE303" s="2">
        <v>1.5</v>
      </c>
      <c r="AF303" s="2">
        <v>2280000</v>
      </c>
      <c r="AG303" s="2">
        <v>34200</v>
      </c>
      <c r="AH303" s="2"/>
      <c r="AI303" s="2"/>
      <c r="AJ303" s="2" t="s">
        <v>37</v>
      </c>
      <c r="AK303" s="2" t="s">
        <v>5332</v>
      </c>
      <c r="AL303" s="3">
        <v>32063</v>
      </c>
      <c r="AM303" s="8">
        <v>45713</v>
      </c>
      <c r="AN303" s="2" t="s">
        <v>5559</v>
      </c>
      <c r="AO303" s="7">
        <f t="shared" si="4"/>
        <v>2137</v>
      </c>
    </row>
    <row r="304" spans="1:41" hidden="1" x14ac:dyDescent="0.25">
      <c r="A304" s="5">
        <v>328</v>
      </c>
      <c r="B304" s="5" t="s">
        <v>61</v>
      </c>
      <c r="C304" s="5" t="s">
        <v>3718</v>
      </c>
      <c r="D304" s="5" t="s">
        <v>36</v>
      </c>
      <c r="E304" s="5" t="s">
        <v>37</v>
      </c>
      <c r="F304" s="5" t="s">
        <v>3719</v>
      </c>
      <c r="G304" s="5" t="s">
        <v>53</v>
      </c>
      <c r="H304" s="5" t="s">
        <v>3720</v>
      </c>
      <c r="I304" s="5" t="s">
        <v>3721</v>
      </c>
      <c r="J304" s="5" t="s">
        <v>3722</v>
      </c>
      <c r="K304" s="5" t="s">
        <v>3721</v>
      </c>
      <c r="L304" s="5" t="s">
        <v>3723</v>
      </c>
      <c r="M304" s="5">
        <v>1062520</v>
      </c>
      <c r="N304" s="5">
        <v>1950000</v>
      </c>
      <c r="O304" s="5" t="s">
        <v>3724</v>
      </c>
      <c r="P304" s="6">
        <v>45703</v>
      </c>
      <c r="Q304" s="5" t="s">
        <v>3725</v>
      </c>
      <c r="R304" s="5" t="s">
        <v>3726</v>
      </c>
      <c r="S304" s="5" t="s">
        <v>48</v>
      </c>
      <c r="T304" s="5" t="s">
        <v>3727</v>
      </c>
      <c r="U304" s="5" t="s">
        <v>728</v>
      </c>
      <c r="V304" s="5" t="s">
        <v>60</v>
      </c>
      <c r="W304" s="6">
        <v>44613</v>
      </c>
      <c r="X304" s="5" t="s">
        <v>2966</v>
      </c>
      <c r="Y304" s="5" t="s">
        <v>3321</v>
      </c>
      <c r="Z304" s="5" t="s">
        <v>3728</v>
      </c>
      <c r="AA304" s="5">
        <v>6</v>
      </c>
      <c r="AB304" s="5" t="s">
        <v>44</v>
      </c>
      <c r="AC304" s="5" t="s">
        <v>3729</v>
      </c>
      <c r="AD304" s="5" t="s">
        <v>3181</v>
      </c>
      <c r="AE304" s="5">
        <v>1.5</v>
      </c>
      <c r="AF304" s="5">
        <v>1560000</v>
      </c>
      <c r="AG304" s="5">
        <v>23400</v>
      </c>
      <c r="AH304" s="5"/>
      <c r="AI304" s="5"/>
      <c r="AJ304" s="5" t="s">
        <v>37</v>
      </c>
      <c r="AK304" s="2" t="s">
        <v>5333</v>
      </c>
      <c r="AL304" s="3">
        <v>23400</v>
      </c>
      <c r="AM304" s="8">
        <v>45713</v>
      </c>
      <c r="AN304" s="2"/>
      <c r="AO304" s="7">
        <f t="shared" si="4"/>
        <v>0</v>
      </c>
    </row>
    <row r="305" spans="1:41" x14ac:dyDescent="0.25">
      <c r="A305" s="2">
        <v>329</v>
      </c>
      <c r="B305" s="2" t="s">
        <v>61</v>
      </c>
      <c r="C305" s="2" t="s">
        <v>3730</v>
      </c>
      <c r="D305" s="2" t="s">
        <v>36</v>
      </c>
      <c r="E305" s="2" t="s">
        <v>37</v>
      </c>
      <c r="F305" s="2" t="s">
        <v>3731</v>
      </c>
      <c r="G305" s="2" t="s">
        <v>53</v>
      </c>
      <c r="H305" s="2" t="s">
        <v>3732</v>
      </c>
      <c r="I305" s="2" t="s">
        <v>79</v>
      </c>
      <c r="J305" s="2" t="s">
        <v>3733</v>
      </c>
      <c r="K305" s="2" t="s">
        <v>3734</v>
      </c>
      <c r="L305" s="2" t="s">
        <v>3735</v>
      </c>
      <c r="M305" s="2">
        <v>784142</v>
      </c>
      <c r="N305" s="2">
        <v>2200000</v>
      </c>
      <c r="O305" s="2" t="s">
        <v>3736</v>
      </c>
      <c r="P305" s="8">
        <v>45703</v>
      </c>
      <c r="Q305" s="2" t="s">
        <v>3737</v>
      </c>
      <c r="R305" s="2" t="s">
        <v>3738</v>
      </c>
      <c r="S305" s="2" t="s">
        <v>48</v>
      </c>
      <c r="T305" s="2" t="s">
        <v>3739</v>
      </c>
      <c r="U305" s="2" t="s">
        <v>152</v>
      </c>
      <c r="V305" s="2" t="s">
        <v>40</v>
      </c>
      <c r="W305" s="8">
        <v>44610</v>
      </c>
      <c r="X305" s="2" t="s">
        <v>2966</v>
      </c>
      <c r="Y305" s="2" t="s">
        <v>3307</v>
      </c>
      <c r="Z305" s="2" t="s">
        <v>3740</v>
      </c>
      <c r="AA305" s="2">
        <v>5</v>
      </c>
      <c r="AB305" s="2" t="s">
        <v>44</v>
      </c>
      <c r="AC305" s="2" t="s">
        <v>3741</v>
      </c>
      <c r="AD305" s="2" t="s">
        <v>3181</v>
      </c>
      <c r="AE305" s="2">
        <v>1.5</v>
      </c>
      <c r="AF305" s="2">
        <v>1760000</v>
      </c>
      <c r="AG305" s="2">
        <v>26400</v>
      </c>
      <c r="AH305" s="2"/>
      <c r="AI305" s="2"/>
      <c r="AJ305" s="2" t="s">
        <v>37</v>
      </c>
      <c r="AK305" s="2" t="s">
        <v>5334</v>
      </c>
      <c r="AL305" s="3">
        <v>24750</v>
      </c>
      <c r="AM305" s="8">
        <v>45713</v>
      </c>
      <c r="AN305" s="2" t="s">
        <v>5560</v>
      </c>
      <c r="AO305" s="7">
        <f t="shared" si="4"/>
        <v>1650</v>
      </c>
    </row>
    <row r="306" spans="1:41" x14ac:dyDescent="0.25">
      <c r="A306" s="5">
        <v>330</v>
      </c>
      <c r="B306" s="5" t="s">
        <v>61</v>
      </c>
      <c r="C306" s="5" t="s">
        <v>3742</v>
      </c>
      <c r="D306" s="5" t="s">
        <v>36</v>
      </c>
      <c r="E306" s="5" t="s">
        <v>37</v>
      </c>
      <c r="F306" s="5" t="s">
        <v>3743</v>
      </c>
      <c r="G306" s="5" t="s">
        <v>111</v>
      </c>
      <c r="H306" s="5" t="s">
        <v>3744</v>
      </c>
      <c r="I306" s="5" t="s">
        <v>3745</v>
      </c>
      <c r="J306" s="5" t="s">
        <v>3746</v>
      </c>
      <c r="K306" s="5" t="s">
        <v>55</v>
      </c>
      <c r="L306" s="5" t="s">
        <v>3747</v>
      </c>
      <c r="M306" s="5">
        <v>634231</v>
      </c>
      <c r="N306" s="5">
        <v>1335000</v>
      </c>
      <c r="O306" s="5" t="s">
        <v>3748</v>
      </c>
      <c r="P306" s="6">
        <v>45703</v>
      </c>
      <c r="Q306" s="5" t="s">
        <v>3749</v>
      </c>
      <c r="R306" s="5" t="s">
        <v>3750</v>
      </c>
      <c r="S306" s="5" t="s">
        <v>54</v>
      </c>
      <c r="T306" s="5" t="s">
        <v>55</v>
      </c>
      <c r="U306" s="5" t="s">
        <v>334</v>
      </c>
      <c r="V306" s="5" t="s">
        <v>57</v>
      </c>
      <c r="W306" s="6">
        <v>44468</v>
      </c>
      <c r="X306" s="5" t="s">
        <v>45</v>
      </c>
      <c r="Y306" s="5" t="s">
        <v>74</v>
      </c>
      <c r="Z306" s="5" t="s">
        <v>3751</v>
      </c>
      <c r="AA306" s="5">
        <v>5</v>
      </c>
      <c r="AB306" s="5" t="s">
        <v>44</v>
      </c>
      <c r="AC306" s="5" t="s">
        <v>3752</v>
      </c>
      <c r="AD306" s="5" t="s">
        <v>125</v>
      </c>
      <c r="AE306" s="5">
        <v>2</v>
      </c>
      <c r="AF306" s="5">
        <v>1068000</v>
      </c>
      <c r="AG306" s="5">
        <v>21360</v>
      </c>
      <c r="AH306" s="5"/>
      <c r="AI306" s="5"/>
      <c r="AJ306" s="5" t="s">
        <v>37</v>
      </c>
      <c r="AK306" s="2" t="s">
        <v>5335</v>
      </c>
      <c r="AL306" s="3">
        <v>20025</v>
      </c>
      <c r="AM306" s="8">
        <v>45713</v>
      </c>
      <c r="AN306" s="2" t="s">
        <v>5561</v>
      </c>
      <c r="AO306" s="7">
        <f t="shared" si="4"/>
        <v>1335</v>
      </c>
    </row>
    <row r="307" spans="1:41" hidden="1" x14ac:dyDescent="0.25">
      <c r="A307" s="2">
        <v>331</v>
      </c>
      <c r="B307" s="2" t="s">
        <v>61</v>
      </c>
      <c r="C307" s="2" t="s">
        <v>3753</v>
      </c>
      <c r="D307" s="2" t="s">
        <v>36</v>
      </c>
      <c r="E307" s="2" t="s">
        <v>37</v>
      </c>
      <c r="F307" s="2" t="s">
        <v>3754</v>
      </c>
      <c r="G307" s="2" t="s">
        <v>111</v>
      </c>
      <c r="H307" s="2" t="s">
        <v>3755</v>
      </c>
      <c r="I307" s="2" t="s">
        <v>3756</v>
      </c>
      <c r="J307" s="2" t="s">
        <v>3756</v>
      </c>
      <c r="K307" s="2" t="s">
        <v>3756</v>
      </c>
      <c r="L307" s="2" t="s">
        <v>3757</v>
      </c>
      <c r="M307" s="2">
        <v>417471</v>
      </c>
      <c r="N307" s="2">
        <v>1600000</v>
      </c>
      <c r="O307" s="2" t="s">
        <v>3758</v>
      </c>
      <c r="P307" s="8">
        <v>45703</v>
      </c>
      <c r="Q307" s="2" t="s">
        <v>3759</v>
      </c>
      <c r="R307" s="2" t="s">
        <v>3760</v>
      </c>
      <c r="S307" s="2" t="s">
        <v>54</v>
      </c>
      <c r="T307" s="2" t="s">
        <v>3761</v>
      </c>
      <c r="U307" s="2" t="s">
        <v>3762</v>
      </c>
      <c r="V307" s="2" t="s">
        <v>49</v>
      </c>
      <c r="W307" s="8">
        <v>44246</v>
      </c>
      <c r="X307" s="2" t="s">
        <v>119</v>
      </c>
      <c r="Y307" s="2" t="s">
        <v>120</v>
      </c>
      <c r="Z307" s="2" t="s">
        <v>3763</v>
      </c>
      <c r="AA307" s="2">
        <v>5</v>
      </c>
      <c r="AB307" s="2" t="s">
        <v>44</v>
      </c>
      <c r="AC307" s="2" t="s">
        <v>3764</v>
      </c>
      <c r="AD307" s="2" t="s">
        <v>2899</v>
      </c>
      <c r="AE307" s="2">
        <v>2</v>
      </c>
      <c r="AF307" s="2">
        <v>1200000</v>
      </c>
      <c r="AG307" s="2">
        <v>24000</v>
      </c>
      <c r="AH307" s="2"/>
      <c r="AI307" s="2"/>
      <c r="AJ307" s="2" t="s">
        <v>37</v>
      </c>
      <c r="AK307" s="2" t="s">
        <v>5336</v>
      </c>
      <c r="AL307" s="3">
        <v>24000</v>
      </c>
      <c r="AM307" s="8">
        <v>45713</v>
      </c>
      <c r="AN307" s="2"/>
      <c r="AO307" s="7">
        <f t="shared" si="4"/>
        <v>0</v>
      </c>
    </row>
    <row r="308" spans="1:41" hidden="1" x14ac:dyDescent="0.25">
      <c r="A308" s="5">
        <v>332</v>
      </c>
      <c r="B308" s="5" t="s">
        <v>203</v>
      </c>
      <c r="C308" s="5" t="s">
        <v>3765</v>
      </c>
      <c r="D308" s="5" t="s">
        <v>36</v>
      </c>
      <c r="E308" s="5" t="s">
        <v>37</v>
      </c>
      <c r="F308" s="5" t="s">
        <v>3766</v>
      </c>
      <c r="G308" s="5" t="s">
        <v>111</v>
      </c>
      <c r="H308" s="5" t="s">
        <v>3767</v>
      </c>
      <c r="I308" s="5" t="s">
        <v>3768</v>
      </c>
      <c r="J308" s="5" t="s">
        <v>3768</v>
      </c>
      <c r="K308" s="5" t="s">
        <v>3768</v>
      </c>
      <c r="L308" s="5" t="s">
        <v>3769</v>
      </c>
      <c r="M308" s="5">
        <v>583043</v>
      </c>
      <c r="N308" s="5">
        <v>1730000</v>
      </c>
      <c r="O308" s="5" t="s">
        <v>3770</v>
      </c>
      <c r="P308" s="6">
        <v>45702</v>
      </c>
      <c r="Q308" s="5" t="s">
        <v>3771</v>
      </c>
      <c r="R308" s="5" t="s">
        <v>3772</v>
      </c>
      <c r="S308" s="5" t="s">
        <v>54</v>
      </c>
      <c r="T308" s="5" t="s">
        <v>55</v>
      </c>
      <c r="U308" s="5" t="s">
        <v>728</v>
      </c>
      <c r="V308" s="5" t="s">
        <v>91</v>
      </c>
      <c r="W308" s="6">
        <v>44244</v>
      </c>
      <c r="X308" s="5" t="s">
        <v>119</v>
      </c>
      <c r="Y308" s="5" t="s">
        <v>120</v>
      </c>
      <c r="Z308" s="5" t="s">
        <v>3773</v>
      </c>
      <c r="AA308" s="5">
        <v>5</v>
      </c>
      <c r="AB308" s="5" t="s">
        <v>44</v>
      </c>
      <c r="AC308" s="5" t="s">
        <v>3774</v>
      </c>
      <c r="AD308" s="5" t="s">
        <v>2911</v>
      </c>
      <c r="AE308" s="5">
        <v>2</v>
      </c>
      <c r="AF308" s="5">
        <v>1297500</v>
      </c>
      <c r="AG308" s="5">
        <v>25950</v>
      </c>
      <c r="AH308" s="5"/>
      <c r="AI308" s="5"/>
      <c r="AJ308" s="5" t="s">
        <v>37</v>
      </c>
      <c r="AK308" s="2" t="s">
        <v>5337</v>
      </c>
      <c r="AL308" s="3">
        <v>25950</v>
      </c>
      <c r="AM308" s="8">
        <v>45713</v>
      </c>
      <c r="AN308" s="2"/>
      <c r="AO308" s="7">
        <f t="shared" si="4"/>
        <v>0</v>
      </c>
    </row>
    <row r="309" spans="1:41" hidden="1" x14ac:dyDescent="0.25">
      <c r="A309" s="2">
        <v>333</v>
      </c>
      <c r="B309" s="2" t="s">
        <v>61</v>
      </c>
      <c r="C309" s="2" t="s">
        <v>3775</v>
      </c>
      <c r="D309" s="2" t="s">
        <v>36</v>
      </c>
      <c r="E309" s="2" t="s">
        <v>37</v>
      </c>
      <c r="F309" s="2" t="s">
        <v>3776</v>
      </c>
      <c r="G309" s="2" t="s">
        <v>111</v>
      </c>
      <c r="H309" s="2" t="s">
        <v>3777</v>
      </c>
      <c r="I309" s="2" t="s">
        <v>3778</v>
      </c>
      <c r="J309" s="2" t="s">
        <v>3779</v>
      </c>
      <c r="K309" s="2" t="s">
        <v>3778</v>
      </c>
      <c r="L309" s="2" t="s">
        <v>3780</v>
      </c>
      <c r="M309" s="2">
        <v>1644009</v>
      </c>
      <c r="N309" s="2">
        <v>2799000</v>
      </c>
      <c r="O309" s="2" t="s">
        <v>3781</v>
      </c>
      <c r="P309" s="8">
        <v>45702</v>
      </c>
      <c r="Q309" s="2" t="s">
        <v>3782</v>
      </c>
      <c r="R309" s="2" t="s">
        <v>3783</v>
      </c>
      <c r="S309" s="2" t="s">
        <v>275</v>
      </c>
      <c r="T309" s="2" t="s">
        <v>55</v>
      </c>
      <c r="U309" s="2" t="s">
        <v>3784</v>
      </c>
      <c r="V309" s="2" t="s">
        <v>887</v>
      </c>
      <c r="W309" s="8">
        <v>45338</v>
      </c>
      <c r="X309" s="2" t="s">
        <v>3677</v>
      </c>
      <c r="Y309" s="2" t="s">
        <v>3321</v>
      </c>
      <c r="Z309" s="2" t="s">
        <v>3785</v>
      </c>
      <c r="AA309" s="2">
        <v>4</v>
      </c>
      <c r="AB309" s="2" t="s">
        <v>279</v>
      </c>
      <c r="AC309" s="2" t="s">
        <v>3786</v>
      </c>
      <c r="AD309" s="2" t="s">
        <v>3680</v>
      </c>
      <c r="AE309" s="2">
        <v>1.4</v>
      </c>
      <c r="AF309" s="2">
        <v>2519100</v>
      </c>
      <c r="AG309" s="2">
        <v>35267</v>
      </c>
      <c r="AH309" s="2"/>
      <c r="AI309" s="2"/>
      <c r="AJ309" s="2" t="s">
        <v>37</v>
      </c>
      <c r="AK309" s="2" t="s">
        <v>5338</v>
      </c>
      <c r="AL309" s="3">
        <v>35267</v>
      </c>
      <c r="AM309" s="8">
        <v>45713</v>
      </c>
      <c r="AN309" s="2"/>
      <c r="AO309" s="7">
        <f t="shared" si="4"/>
        <v>0</v>
      </c>
    </row>
    <row r="310" spans="1:41" hidden="1" x14ac:dyDescent="0.25">
      <c r="A310" s="5">
        <v>334</v>
      </c>
      <c r="B310" s="5" t="s">
        <v>61</v>
      </c>
      <c r="C310" s="5" t="s">
        <v>3787</v>
      </c>
      <c r="D310" s="5" t="s">
        <v>36</v>
      </c>
      <c r="E310" s="5" t="s">
        <v>37</v>
      </c>
      <c r="F310" s="5" t="s">
        <v>3788</v>
      </c>
      <c r="G310" s="5" t="s">
        <v>53</v>
      </c>
      <c r="H310" s="5" t="s">
        <v>3789</v>
      </c>
      <c r="I310" s="5" t="s">
        <v>3790</v>
      </c>
      <c r="J310" s="5" t="s">
        <v>3791</v>
      </c>
      <c r="K310" s="5" t="s">
        <v>3792</v>
      </c>
      <c r="L310" s="5" t="s">
        <v>3793</v>
      </c>
      <c r="M310" s="5">
        <v>1103557</v>
      </c>
      <c r="N310" s="5">
        <v>3839000</v>
      </c>
      <c r="O310" s="5" t="s">
        <v>3794</v>
      </c>
      <c r="P310" s="6">
        <v>45702</v>
      </c>
      <c r="Q310" s="5" t="s">
        <v>3795</v>
      </c>
      <c r="R310" s="5" t="s">
        <v>3796</v>
      </c>
      <c r="S310" s="5" t="s">
        <v>54</v>
      </c>
      <c r="T310" s="5" t="s">
        <v>55</v>
      </c>
      <c r="U310" s="5" t="s">
        <v>3178</v>
      </c>
      <c r="V310" s="5" t="s">
        <v>248</v>
      </c>
      <c r="W310" s="6">
        <v>44908</v>
      </c>
      <c r="X310" s="5" t="s">
        <v>3131</v>
      </c>
      <c r="Y310" s="5" t="s">
        <v>120</v>
      </c>
      <c r="Z310" s="5" t="s">
        <v>3797</v>
      </c>
      <c r="AA310" s="5">
        <v>3</v>
      </c>
      <c r="AB310" s="5" t="s">
        <v>279</v>
      </c>
      <c r="AC310" s="5" t="s">
        <v>3798</v>
      </c>
      <c r="AD310" s="5" t="s">
        <v>3799</v>
      </c>
      <c r="AE310" s="5">
        <v>2</v>
      </c>
      <c r="AF310" s="5">
        <v>3263150</v>
      </c>
      <c r="AG310" s="5">
        <v>65263</v>
      </c>
      <c r="AH310" s="5"/>
      <c r="AI310" s="5"/>
      <c r="AJ310" s="5" t="s">
        <v>37</v>
      </c>
      <c r="AK310" s="2" t="s">
        <v>5339</v>
      </c>
      <c r="AL310" s="3">
        <v>65263</v>
      </c>
      <c r="AM310" s="8">
        <v>45713</v>
      </c>
      <c r="AN310" s="2"/>
      <c r="AO310" s="7">
        <f t="shared" si="4"/>
        <v>0</v>
      </c>
    </row>
    <row r="311" spans="1:41" hidden="1" x14ac:dyDescent="0.25">
      <c r="A311" s="2">
        <v>335</v>
      </c>
      <c r="B311" s="2" t="s">
        <v>61</v>
      </c>
      <c r="C311" s="2" t="s">
        <v>3800</v>
      </c>
      <c r="D311" s="2" t="s">
        <v>36</v>
      </c>
      <c r="E311" s="2" t="s">
        <v>37</v>
      </c>
      <c r="F311" s="2" t="s">
        <v>3801</v>
      </c>
      <c r="G311" s="2" t="s">
        <v>53</v>
      </c>
      <c r="H311" s="2" t="s">
        <v>3802</v>
      </c>
      <c r="I311" s="2" t="s">
        <v>3803</v>
      </c>
      <c r="J311" s="2" t="s">
        <v>3804</v>
      </c>
      <c r="K311" s="2" t="s">
        <v>3805</v>
      </c>
      <c r="L311" s="2" t="s">
        <v>3806</v>
      </c>
      <c r="M311" s="2">
        <v>959448</v>
      </c>
      <c r="N311" s="2">
        <v>2100000</v>
      </c>
      <c r="O311" s="2" t="s">
        <v>3807</v>
      </c>
      <c r="P311" s="8">
        <v>45702</v>
      </c>
      <c r="Q311" s="2" t="s">
        <v>3808</v>
      </c>
      <c r="R311" s="2" t="s">
        <v>3809</v>
      </c>
      <c r="S311" s="2" t="s">
        <v>48</v>
      </c>
      <c r="T311" s="2" t="s">
        <v>3810</v>
      </c>
      <c r="U311" s="2" t="s">
        <v>214</v>
      </c>
      <c r="V311" s="2" t="s">
        <v>230</v>
      </c>
      <c r="W311" s="8">
        <v>44973</v>
      </c>
      <c r="X311" s="2" t="s">
        <v>3131</v>
      </c>
      <c r="Y311" s="2" t="s">
        <v>3321</v>
      </c>
      <c r="Z311" s="2" t="s">
        <v>3811</v>
      </c>
      <c r="AA311" s="2">
        <v>5</v>
      </c>
      <c r="AB311" s="2" t="s">
        <v>44</v>
      </c>
      <c r="AC311" s="2" t="s">
        <v>3812</v>
      </c>
      <c r="AD311" s="2" t="s">
        <v>3694</v>
      </c>
      <c r="AE311" s="2">
        <v>1.75</v>
      </c>
      <c r="AF311" s="2">
        <v>1785000</v>
      </c>
      <c r="AG311" s="2">
        <v>31238</v>
      </c>
      <c r="AH311" s="2"/>
      <c r="AI311" s="2"/>
      <c r="AJ311" s="2" t="s">
        <v>37</v>
      </c>
      <c r="AK311" s="2" t="s">
        <v>5340</v>
      </c>
      <c r="AL311" s="3">
        <v>31238</v>
      </c>
      <c r="AM311" s="8">
        <v>45713</v>
      </c>
      <c r="AN311" s="2"/>
      <c r="AO311" s="7">
        <f t="shared" si="4"/>
        <v>0</v>
      </c>
    </row>
    <row r="312" spans="1:41" hidden="1" x14ac:dyDescent="0.25">
      <c r="A312" s="5">
        <v>336</v>
      </c>
      <c r="B312" s="5" t="s">
        <v>61</v>
      </c>
      <c r="C312" s="5" t="s">
        <v>3813</v>
      </c>
      <c r="D312" s="5" t="s">
        <v>36</v>
      </c>
      <c r="E312" s="5" t="s">
        <v>37</v>
      </c>
      <c r="F312" s="5" t="s">
        <v>3814</v>
      </c>
      <c r="G312" s="5" t="s">
        <v>47</v>
      </c>
      <c r="H312" s="5" t="s">
        <v>3815</v>
      </c>
      <c r="I312" s="5" t="s">
        <v>55</v>
      </c>
      <c r="J312" s="5" t="s">
        <v>3816</v>
      </c>
      <c r="K312" s="5" t="s">
        <v>3817</v>
      </c>
      <c r="L312" s="5" t="s">
        <v>3818</v>
      </c>
      <c r="M312" s="5">
        <v>654327</v>
      </c>
      <c r="N312" s="5">
        <v>4139000</v>
      </c>
      <c r="O312" s="5" t="s">
        <v>3819</v>
      </c>
      <c r="P312" s="6">
        <v>45702</v>
      </c>
      <c r="Q312" s="5" t="s">
        <v>3820</v>
      </c>
      <c r="R312" s="5" t="s">
        <v>3821</v>
      </c>
      <c r="S312" s="5" t="s">
        <v>54</v>
      </c>
      <c r="T312" s="5" t="s">
        <v>55</v>
      </c>
      <c r="U312" s="5" t="s">
        <v>3822</v>
      </c>
      <c r="V312" s="5" t="s">
        <v>91</v>
      </c>
      <c r="W312" s="6">
        <v>44195</v>
      </c>
      <c r="X312" s="5" t="s">
        <v>933</v>
      </c>
      <c r="Y312" s="5" t="s">
        <v>959</v>
      </c>
      <c r="Z312" s="5" t="s">
        <v>3823</v>
      </c>
      <c r="AA312" s="5">
        <v>5</v>
      </c>
      <c r="AB312" s="5" t="s">
        <v>44</v>
      </c>
      <c r="AC312" s="5" t="s">
        <v>3824</v>
      </c>
      <c r="AD312" s="5" t="s">
        <v>2173</v>
      </c>
      <c r="AE312" s="5">
        <v>2</v>
      </c>
      <c r="AF312" s="5">
        <v>3104250</v>
      </c>
      <c r="AG312" s="5">
        <v>62085</v>
      </c>
      <c r="AH312" s="5"/>
      <c r="AI312" s="5"/>
      <c r="AJ312" s="5" t="s">
        <v>37</v>
      </c>
      <c r="AK312" s="2" t="s">
        <v>5341</v>
      </c>
      <c r="AL312" s="3">
        <v>62085</v>
      </c>
      <c r="AM312" s="8">
        <v>45713</v>
      </c>
      <c r="AN312" s="2"/>
      <c r="AO312" s="7">
        <f t="shared" si="4"/>
        <v>0</v>
      </c>
    </row>
    <row r="313" spans="1:41" hidden="1" x14ac:dyDescent="0.25">
      <c r="A313" s="2">
        <v>337</v>
      </c>
      <c r="B313" s="2" t="s">
        <v>61</v>
      </c>
      <c r="C313" s="2" t="s">
        <v>3825</v>
      </c>
      <c r="D313" s="2" t="s">
        <v>36</v>
      </c>
      <c r="E313" s="2" t="s">
        <v>37</v>
      </c>
      <c r="F313" s="2" t="s">
        <v>3826</v>
      </c>
      <c r="G313" s="2" t="s">
        <v>47</v>
      </c>
      <c r="H313" s="2" t="s">
        <v>3827</v>
      </c>
      <c r="I313" s="2" t="s">
        <v>3828</v>
      </c>
      <c r="J313" s="2" t="s">
        <v>3828</v>
      </c>
      <c r="K313" s="2" t="s">
        <v>67</v>
      </c>
      <c r="L313" s="2" t="s">
        <v>3829</v>
      </c>
      <c r="M313" s="2">
        <v>656211</v>
      </c>
      <c r="N313" s="2">
        <v>2515000</v>
      </c>
      <c r="O313" s="2" t="s">
        <v>3830</v>
      </c>
      <c r="P313" s="8">
        <v>45702</v>
      </c>
      <c r="Q313" s="2" t="s">
        <v>3831</v>
      </c>
      <c r="R313" s="2" t="s">
        <v>3832</v>
      </c>
      <c r="S313" s="2" t="s">
        <v>54</v>
      </c>
      <c r="T313" s="2" t="s">
        <v>55</v>
      </c>
      <c r="U313" s="2" t="s">
        <v>3833</v>
      </c>
      <c r="V313" s="2" t="s">
        <v>91</v>
      </c>
      <c r="W313" s="8">
        <v>44168</v>
      </c>
      <c r="X313" s="2" t="s">
        <v>119</v>
      </c>
      <c r="Y313" s="2" t="s">
        <v>120</v>
      </c>
      <c r="Z313" s="2" t="s">
        <v>3834</v>
      </c>
      <c r="AA313" s="2">
        <v>5</v>
      </c>
      <c r="AB313" s="2" t="s">
        <v>44</v>
      </c>
      <c r="AC313" s="2" t="s">
        <v>3835</v>
      </c>
      <c r="AD313" s="2" t="s">
        <v>2911</v>
      </c>
      <c r="AE313" s="2">
        <v>2</v>
      </c>
      <c r="AF313" s="2">
        <v>1886250</v>
      </c>
      <c r="AG313" s="2">
        <v>37725</v>
      </c>
      <c r="AH313" s="2"/>
      <c r="AI313" s="2"/>
      <c r="AJ313" s="2" t="s">
        <v>37</v>
      </c>
      <c r="AK313" s="2" t="s">
        <v>5342</v>
      </c>
      <c r="AL313" s="3">
        <v>37725</v>
      </c>
      <c r="AM313" s="8">
        <v>45713</v>
      </c>
      <c r="AN313" s="2"/>
      <c r="AO313" s="7">
        <f t="shared" si="4"/>
        <v>0</v>
      </c>
    </row>
    <row r="314" spans="1:41" hidden="1" x14ac:dyDescent="0.25">
      <c r="A314" s="5">
        <v>338</v>
      </c>
      <c r="B314" s="5" t="s">
        <v>61</v>
      </c>
      <c r="C314" s="5" t="s">
        <v>3836</v>
      </c>
      <c r="D314" s="5" t="s">
        <v>36</v>
      </c>
      <c r="E314" s="5" t="s">
        <v>37</v>
      </c>
      <c r="F314" s="5" t="s">
        <v>3837</v>
      </c>
      <c r="G314" s="5" t="s">
        <v>47</v>
      </c>
      <c r="H314" s="5" t="s">
        <v>3838</v>
      </c>
      <c r="I314" s="5" t="s">
        <v>55</v>
      </c>
      <c r="J314" s="5" t="s">
        <v>3839</v>
      </c>
      <c r="K314" s="5" t="s">
        <v>55</v>
      </c>
      <c r="L314" s="5" t="s">
        <v>3840</v>
      </c>
      <c r="M314" s="5">
        <v>1816750</v>
      </c>
      <c r="N314" s="5">
        <v>2795000</v>
      </c>
      <c r="O314" s="5" t="s">
        <v>3841</v>
      </c>
      <c r="P314" s="6">
        <v>45732</v>
      </c>
      <c r="Q314" s="5" t="s">
        <v>3842</v>
      </c>
      <c r="R314" s="5" t="s">
        <v>3843</v>
      </c>
      <c r="S314" s="5" t="s">
        <v>3844</v>
      </c>
      <c r="T314" s="5" t="s">
        <v>3844</v>
      </c>
      <c r="U314" s="5" t="s">
        <v>873</v>
      </c>
      <c r="V314" s="5" t="s">
        <v>57</v>
      </c>
      <c r="W314" s="5" t="s">
        <v>3845</v>
      </c>
      <c r="X314" s="5" t="s">
        <v>1381</v>
      </c>
      <c r="Y314" s="5" t="s">
        <v>1592</v>
      </c>
      <c r="Z314" s="5" t="s">
        <v>3846</v>
      </c>
      <c r="AA314" s="5">
        <v>5</v>
      </c>
      <c r="AB314" s="5" t="s">
        <v>279</v>
      </c>
      <c r="AC314" s="5" t="s">
        <v>3847</v>
      </c>
      <c r="AD314" s="5" t="s">
        <v>3656</v>
      </c>
      <c r="AE314" s="5" t="s">
        <v>253</v>
      </c>
      <c r="AF314" s="5">
        <v>2375750</v>
      </c>
      <c r="AG314" s="5">
        <v>41576</v>
      </c>
      <c r="AH314" s="5"/>
      <c r="AI314" s="5"/>
      <c r="AJ314" s="5" t="s">
        <v>37</v>
      </c>
      <c r="AK314" s="2" t="s">
        <v>5343</v>
      </c>
      <c r="AL314" s="3">
        <v>41576</v>
      </c>
      <c r="AM314" s="8">
        <v>45734</v>
      </c>
      <c r="AN314" s="2"/>
      <c r="AO314" s="7">
        <f t="shared" si="4"/>
        <v>0</v>
      </c>
    </row>
    <row r="315" spans="1:41" hidden="1" x14ac:dyDescent="0.25">
      <c r="A315" s="2">
        <v>339</v>
      </c>
      <c r="B315" s="2" t="s">
        <v>61</v>
      </c>
      <c r="C315" s="2" t="s">
        <v>3848</v>
      </c>
      <c r="D315" s="2" t="s">
        <v>36</v>
      </c>
      <c r="E315" s="2" t="s">
        <v>37</v>
      </c>
      <c r="F315" s="2" t="s">
        <v>3849</v>
      </c>
      <c r="G315" s="2" t="s">
        <v>53</v>
      </c>
      <c r="H315" s="2" t="s">
        <v>3850</v>
      </c>
      <c r="I315" s="2" t="s">
        <v>3851</v>
      </c>
      <c r="J315" s="2" t="s">
        <v>3852</v>
      </c>
      <c r="K315" s="2" t="s">
        <v>3851</v>
      </c>
      <c r="L315" s="2" t="s">
        <v>3853</v>
      </c>
      <c r="M315" s="2">
        <v>2411060</v>
      </c>
      <c r="N315" s="2">
        <v>4157000</v>
      </c>
      <c r="O315" s="2" t="s">
        <v>3854</v>
      </c>
      <c r="P315" s="8">
        <v>45732</v>
      </c>
      <c r="Q315" s="2" t="s">
        <v>3855</v>
      </c>
      <c r="R315" s="2" t="s">
        <v>3856</v>
      </c>
      <c r="S315" s="2" t="s">
        <v>55</v>
      </c>
      <c r="T315" s="2" t="s">
        <v>55</v>
      </c>
      <c r="U315" s="2" t="s">
        <v>1176</v>
      </c>
      <c r="V315" s="2" t="s">
        <v>248</v>
      </c>
      <c r="W315" s="2" t="s">
        <v>1381</v>
      </c>
      <c r="X315" s="2" t="s">
        <v>1381</v>
      </c>
      <c r="Y315" s="2" t="s">
        <v>1592</v>
      </c>
      <c r="Z315" s="2" t="s">
        <v>3857</v>
      </c>
      <c r="AA315" s="2">
        <v>5</v>
      </c>
      <c r="AB315" s="2" t="s">
        <v>44</v>
      </c>
      <c r="AC315" s="2" t="s">
        <v>3858</v>
      </c>
      <c r="AD315" s="2" t="s">
        <v>3845</v>
      </c>
      <c r="AE315" s="2" t="s">
        <v>253</v>
      </c>
      <c r="AF315" s="2">
        <v>3533450</v>
      </c>
      <c r="AG315" s="2">
        <v>61835</v>
      </c>
      <c r="AH315" s="2"/>
      <c r="AI315" s="2"/>
      <c r="AJ315" s="2" t="s">
        <v>37</v>
      </c>
      <c r="AK315" s="2" t="s">
        <v>5344</v>
      </c>
      <c r="AL315" s="3">
        <v>61835</v>
      </c>
      <c r="AM315" s="8">
        <v>45734</v>
      </c>
      <c r="AN315" s="2"/>
      <c r="AO315" s="7">
        <f t="shared" si="4"/>
        <v>0</v>
      </c>
    </row>
    <row r="316" spans="1:41" hidden="1" x14ac:dyDescent="0.25">
      <c r="A316" s="5">
        <v>340</v>
      </c>
      <c r="B316" s="5" t="s">
        <v>61</v>
      </c>
      <c r="C316" s="5" t="s">
        <v>3859</v>
      </c>
      <c r="D316" s="5" t="s">
        <v>36</v>
      </c>
      <c r="E316" s="5" t="s">
        <v>37</v>
      </c>
      <c r="F316" s="5" t="s">
        <v>3860</v>
      </c>
      <c r="G316" s="5" t="s">
        <v>47</v>
      </c>
      <c r="H316" s="5" t="s">
        <v>3861</v>
      </c>
      <c r="I316" s="5" t="s">
        <v>3862</v>
      </c>
      <c r="J316" s="5" t="s">
        <v>3862</v>
      </c>
      <c r="K316" s="5" t="s">
        <v>3863</v>
      </c>
      <c r="L316" s="5" t="s">
        <v>3864</v>
      </c>
      <c r="M316" s="5">
        <v>588100</v>
      </c>
      <c r="N316" s="5">
        <v>2565000</v>
      </c>
      <c r="O316" s="5" t="s">
        <v>3865</v>
      </c>
      <c r="P316" s="6">
        <v>45702</v>
      </c>
      <c r="Q316" s="5" t="s">
        <v>3866</v>
      </c>
      <c r="R316" s="5" t="s">
        <v>3867</v>
      </c>
      <c r="S316" s="5" t="s">
        <v>48</v>
      </c>
      <c r="T316" s="5" t="s">
        <v>3868</v>
      </c>
      <c r="U316" s="5" t="s">
        <v>3822</v>
      </c>
      <c r="V316" s="5" t="s">
        <v>114</v>
      </c>
      <c r="W316" s="6">
        <v>44244</v>
      </c>
      <c r="X316" s="5" t="s">
        <v>119</v>
      </c>
      <c r="Y316" s="5" t="s">
        <v>120</v>
      </c>
      <c r="Z316" s="5" t="s">
        <v>3869</v>
      </c>
      <c r="AA316" s="5">
        <v>5</v>
      </c>
      <c r="AB316" s="5" t="s">
        <v>44</v>
      </c>
      <c r="AC316" s="5" t="s">
        <v>3870</v>
      </c>
      <c r="AD316" s="5" t="s">
        <v>2899</v>
      </c>
      <c r="AE316" s="5">
        <v>2</v>
      </c>
      <c r="AF316" s="5">
        <v>1923750</v>
      </c>
      <c r="AG316" s="5">
        <v>38475</v>
      </c>
      <c r="AH316" s="5"/>
      <c r="AI316" s="5"/>
      <c r="AJ316" s="5" t="s">
        <v>37</v>
      </c>
      <c r="AK316" s="2" t="s">
        <v>5345</v>
      </c>
      <c r="AL316" s="3">
        <v>38475</v>
      </c>
      <c r="AM316" s="8">
        <v>45713</v>
      </c>
      <c r="AN316" s="2"/>
      <c r="AO316" s="7">
        <f t="shared" si="4"/>
        <v>0</v>
      </c>
    </row>
    <row r="317" spans="1:41" hidden="1" x14ac:dyDescent="0.25">
      <c r="A317" s="2">
        <v>341</v>
      </c>
      <c r="B317" s="2" t="s">
        <v>61</v>
      </c>
      <c r="C317" s="2" t="s">
        <v>3871</v>
      </c>
      <c r="D317" s="2" t="s">
        <v>36</v>
      </c>
      <c r="E317" s="2" t="s">
        <v>37</v>
      </c>
      <c r="F317" s="2" t="s">
        <v>3872</v>
      </c>
      <c r="G317" s="2" t="s">
        <v>82</v>
      </c>
      <c r="H317" s="2" t="s">
        <v>3873</v>
      </c>
      <c r="I317" s="2" t="s">
        <v>3874</v>
      </c>
      <c r="J317" s="2" t="s">
        <v>55</v>
      </c>
      <c r="K317" s="2" t="s">
        <v>3875</v>
      </c>
      <c r="L317" s="2" t="s">
        <v>3876</v>
      </c>
      <c r="M317" s="2">
        <v>1082200</v>
      </c>
      <c r="N317" s="2">
        <v>1546000</v>
      </c>
      <c r="O317" s="2" t="s">
        <v>3877</v>
      </c>
      <c r="P317" s="8">
        <v>45733</v>
      </c>
      <c r="Q317" s="2" t="s">
        <v>3878</v>
      </c>
      <c r="R317" s="2" t="s">
        <v>3879</v>
      </c>
      <c r="S317" s="2" t="s">
        <v>55</v>
      </c>
      <c r="T317" s="2" t="s">
        <v>55</v>
      </c>
      <c r="U317" s="2" t="s">
        <v>334</v>
      </c>
      <c r="V317" s="2" t="s">
        <v>57</v>
      </c>
      <c r="W317" s="2" t="s">
        <v>42</v>
      </c>
      <c r="X317" s="2" t="s">
        <v>42</v>
      </c>
      <c r="Y317" s="2" t="s">
        <v>43</v>
      </c>
      <c r="Z317" s="2" t="s">
        <v>3880</v>
      </c>
      <c r="AA317" s="2">
        <v>5</v>
      </c>
      <c r="AB317" s="2" t="s">
        <v>76</v>
      </c>
      <c r="AC317" s="2" t="s">
        <v>3881</v>
      </c>
      <c r="AD317" s="2" t="s">
        <v>3104</v>
      </c>
      <c r="AE317" s="2" t="s">
        <v>78</v>
      </c>
      <c r="AF317" s="2">
        <v>1236800</v>
      </c>
      <c r="AG317" s="2">
        <v>24736</v>
      </c>
      <c r="AH317" s="2"/>
      <c r="AI317" s="2"/>
      <c r="AJ317" s="2" t="s">
        <v>37</v>
      </c>
      <c r="AK317" s="2" t="s">
        <v>5346</v>
      </c>
      <c r="AL317" s="3">
        <v>24736</v>
      </c>
      <c r="AM317" s="8">
        <v>45734</v>
      </c>
      <c r="AN317" s="2"/>
      <c r="AO317" s="7">
        <f t="shared" si="4"/>
        <v>0</v>
      </c>
    </row>
    <row r="318" spans="1:41" hidden="1" x14ac:dyDescent="0.25">
      <c r="A318" s="5">
        <v>342</v>
      </c>
      <c r="B318" s="5" t="s">
        <v>61</v>
      </c>
      <c r="C318" s="5" t="s">
        <v>3882</v>
      </c>
      <c r="D318" s="5" t="s">
        <v>36</v>
      </c>
      <c r="E318" s="5" t="s">
        <v>37</v>
      </c>
      <c r="F318" s="5" t="s">
        <v>3883</v>
      </c>
      <c r="G318" s="5" t="s">
        <v>111</v>
      </c>
      <c r="H318" s="5" t="s">
        <v>3884</v>
      </c>
      <c r="I318" s="5" t="s">
        <v>3885</v>
      </c>
      <c r="J318" s="5" t="s">
        <v>3885</v>
      </c>
      <c r="K318" s="5" t="s">
        <v>3886</v>
      </c>
      <c r="L318" s="5" t="s">
        <v>3887</v>
      </c>
      <c r="M318" s="5">
        <v>532692</v>
      </c>
      <c r="N318" s="5">
        <v>3485000</v>
      </c>
      <c r="O318" s="5" t="s">
        <v>3888</v>
      </c>
      <c r="P318" s="6">
        <v>45702</v>
      </c>
      <c r="Q318" s="5" t="s">
        <v>3889</v>
      </c>
      <c r="R318" s="5" t="s">
        <v>3890</v>
      </c>
      <c r="S318" s="5" t="s">
        <v>54</v>
      </c>
      <c r="T318" s="5" t="s">
        <v>55</v>
      </c>
      <c r="U318" s="5" t="s">
        <v>3891</v>
      </c>
      <c r="V318" s="5" t="s">
        <v>91</v>
      </c>
      <c r="W318" s="6">
        <v>44244</v>
      </c>
      <c r="X318" s="5" t="s">
        <v>119</v>
      </c>
      <c r="Y318" s="5" t="s">
        <v>120</v>
      </c>
      <c r="Z318" s="5" t="s">
        <v>3892</v>
      </c>
      <c r="AA318" s="5">
        <v>5</v>
      </c>
      <c r="AB318" s="5" t="s">
        <v>44</v>
      </c>
      <c r="AC318" s="5" t="s">
        <v>3893</v>
      </c>
      <c r="AD318" s="5" t="s">
        <v>2911</v>
      </c>
      <c r="AE318" s="5">
        <v>2</v>
      </c>
      <c r="AF318" s="5">
        <v>2613750</v>
      </c>
      <c r="AG318" s="5">
        <v>52275</v>
      </c>
      <c r="AH318" s="5"/>
      <c r="AI318" s="5"/>
      <c r="AJ318" s="5" t="s">
        <v>37</v>
      </c>
      <c r="AK318" s="2" t="s">
        <v>5347</v>
      </c>
      <c r="AL318" s="3">
        <v>52275</v>
      </c>
      <c r="AM318" s="8">
        <v>45713</v>
      </c>
      <c r="AN318" s="2"/>
      <c r="AO318" s="7">
        <f t="shared" si="4"/>
        <v>0</v>
      </c>
    </row>
    <row r="319" spans="1:41" hidden="1" x14ac:dyDescent="0.25">
      <c r="A319" s="2">
        <v>343</v>
      </c>
      <c r="B319" s="2" t="s">
        <v>61</v>
      </c>
      <c r="C319" s="2" t="s">
        <v>3894</v>
      </c>
      <c r="D319" s="2" t="s">
        <v>36</v>
      </c>
      <c r="E319" s="2" t="s">
        <v>37</v>
      </c>
      <c r="F319" s="2" t="s">
        <v>3895</v>
      </c>
      <c r="G319" s="2" t="s">
        <v>64</v>
      </c>
      <c r="H319" s="2" t="s">
        <v>3896</v>
      </c>
      <c r="I319" s="2" t="s">
        <v>3897</v>
      </c>
      <c r="J319" s="2" t="s">
        <v>55</v>
      </c>
      <c r="K319" s="2" t="s">
        <v>67</v>
      </c>
      <c r="L319" s="2" t="s">
        <v>3898</v>
      </c>
      <c r="M319" s="2">
        <v>1608750</v>
      </c>
      <c r="N319" s="2">
        <v>2475000</v>
      </c>
      <c r="O319" s="2" t="s">
        <v>3899</v>
      </c>
      <c r="P319" s="8">
        <v>45733</v>
      </c>
      <c r="Q319" s="2" t="s">
        <v>3900</v>
      </c>
      <c r="R319" s="2" t="s">
        <v>3901</v>
      </c>
      <c r="S319" s="2" t="s">
        <v>3902</v>
      </c>
      <c r="T319" s="2" t="s">
        <v>3902</v>
      </c>
      <c r="U319" s="2" t="s">
        <v>3903</v>
      </c>
      <c r="V319" s="2" t="s">
        <v>49</v>
      </c>
      <c r="W319" s="2" t="s">
        <v>42</v>
      </c>
      <c r="X319" s="2" t="s">
        <v>42</v>
      </c>
      <c r="Y319" s="2" t="s">
        <v>43</v>
      </c>
      <c r="Z319" s="2" t="s">
        <v>3904</v>
      </c>
      <c r="AA319" s="2">
        <v>5</v>
      </c>
      <c r="AB319" s="2" t="s">
        <v>44</v>
      </c>
      <c r="AC319" s="2" t="s">
        <v>3905</v>
      </c>
      <c r="AD319" s="2" t="s">
        <v>42</v>
      </c>
      <c r="AE319" s="2" t="s">
        <v>46</v>
      </c>
      <c r="AF319" s="2">
        <v>1980000</v>
      </c>
      <c r="AG319" s="2">
        <v>29700</v>
      </c>
      <c r="AH319" s="2"/>
      <c r="AI319" s="2"/>
      <c r="AJ319" s="2" t="s">
        <v>37</v>
      </c>
      <c r="AK319" s="2" t="s">
        <v>5348</v>
      </c>
      <c r="AL319" s="3">
        <v>29700</v>
      </c>
      <c r="AM319" s="8">
        <v>45734</v>
      </c>
      <c r="AN319" s="2"/>
      <c r="AO319" s="7">
        <f t="shared" si="4"/>
        <v>0</v>
      </c>
    </row>
    <row r="320" spans="1:41" x14ac:dyDescent="0.25">
      <c r="A320" s="5">
        <v>344</v>
      </c>
      <c r="B320" s="5" t="s">
        <v>61</v>
      </c>
      <c r="C320" s="5" t="s">
        <v>3906</v>
      </c>
      <c r="D320" s="5" t="s">
        <v>36</v>
      </c>
      <c r="E320" s="5" t="s">
        <v>37</v>
      </c>
      <c r="F320" s="5" t="s">
        <v>3907</v>
      </c>
      <c r="G320" s="5" t="s">
        <v>47</v>
      </c>
      <c r="H320" s="5" t="s">
        <v>3908</v>
      </c>
      <c r="I320" s="5" t="s">
        <v>55</v>
      </c>
      <c r="J320" s="5" t="s">
        <v>3909</v>
      </c>
      <c r="K320" s="5" t="s">
        <v>55</v>
      </c>
      <c r="L320" s="5" t="s">
        <v>3910</v>
      </c>
      <c r="M320" s="5">
        <v>814822</v>
      </c>
      <c r="N320" s="5">
        <v>1922000</v>
      </c>
      <c r="O320" s="5" t="s">
        <v>3911</v>
      </c>
      <c r="P320" s="6">
        <v>45702</v>
      </c>
      <c r="Q320" s="5" t="s">
        <v>3912</v>
      </c>
      <c r="R320" s="5" t="s">
        <v>3913</v>
      </c>
      <c r="S320" s="5" t="s">
        <v>48</v>
      </c>
      <c r="T320" s="5" t="s">
        <v>3914</v>
      </c>
      <c r="U320" s="5" t="s">
        <v>262</v>
      </c>
      <c r="V320" s="5" t="s">
        <v>91</v>
      </c>
      <c r="W320" s="6">
        <v>44608</v>
      </c>
      <c r="X320" s="5" t="s">
        <v>2966</v>
      </c>
      <c r="Y320" s="5" t="s">
        <v>3307</v>
      </c>
      <c r="Z320" s="5" t="s">
        <v>3915</v>
      </c>
      <c r="AA320" s="5">
        <v>5</v>
      </c>
      <c r="AB320" s="5" t="s">
        <v>76</v>
      </c>
      <c r="AC320" s="5" t="s">
        <v>3916</v>
      </c>
      <c r="AD320" s="5" t="s">
        <v>140</v>
      </c>
      <c r="AE320" s="5">
        <v>1.5</v>
      </c>
      <c r="AF320" s="5">
        <v>1537600</v>
      </c>
      <c r="AG320" s="5">
        <v>23064</v>
      </c>
      <c r="AH320" s="5"/>
      <c r="AI320" s="5"/>
      <c r="AJ320" s="5" t="s">
        <v>37</v>
      </c>
      <c r="AK320" s="2" t="s">
        <v>5349</v>
      </c>
      <c r="AL320" s="3">
        <v>21623</v>
      </c>
      <c r="AM320" s="8">
        <v>45713</v>
      </c>
      <c r="AN320" s="2" t="s">
        <v>5562</v>
      </c>
      <c r="AO320" s="7">
        <f t="shared" si="4"/>
        <v>1441</v>
      </c>
    </row>
    <row r="321" spans="1:41" hidden="1" x14ac:dyDescent="0.25">
      <c r="A321" s="2">
        <v>345</v>
      </c>
      <c r="B321" s="2" t="s">
        <v>61</v>
      </c>
      <c r="C321" s="2" t="s">
        <v>3917</v>
      </c>
      <c r="D321" s="2" t="s">
        <v>36</v>
      </c>
      <c r="E321" s="2" t="s">
        <v>37</v>
      </c>
      <c r="F321" s="2" t="s">
        <v>3918</v>
      </c>
      <c r="G321" s="2" t="s">
        <v>111</v>
      </c>
      <c r="H321" s="2" t="s">
        <v>3919</v>
      </c>
      <c r="I321" s="2" t="s">
        <v>3920</v>
      </c>
      <c r="J321" s="2" t="s">
        <v>3920</v>
      </c>
      <c r="K321" s="2" t="s">
        <v>3921</v>
      </c>
      <c r="L321" s="2" t="s">
        <v>3922</v>
      </c>
      <c r="M321" s="2">
        <v>500333</v>
      </c>
      <c r="N321" s="2">
        <v>2072000</v>
      </c>
      <c r="O321" s="2" t="s">
        <v>3923</v>
      </c>
      <c r="P321" s="8">
        <v>45702</v>
      </c>
      <c r="Q321" s="2" t="s">
        <v>3924</v>
      </c>
      <c r="R321" s="2" t="s">
        <v>3925</v>
      </c>
      <c r="S321" s="2" t="s">
        <v>54</v>
      </c>
      <c r="T321" s="2" t="s">
        <v>55</v>
      </c>
      <c r="U321" s="2" t="s">
        <v>177</v>
      </c>
      <c r="V321" s="2" t="s">
        <v>91</v>
      </c>
      <c r="W321" s="8">
        <v>44135</v>
      </c>
      <c r="X321" s="2" t="s">
        <v>119</v>
      </c>
      <c r="Y321" s="2" t="s">
        <v>120</v>
      </c>
      <c r="Z321" s="2" t="s">
        <v>3926</v>
      </c>
      <c r="AA321" s="2">
        <v>5</v>
      </c>
      <c r="AB321" s="2" t="s">
        <v>44</v>
      </c>
      <c r="AC321" s="2" t="s">
        <v>3927</v>
      </c>
      <c r="AD321" s="2" t="s">
        <v>2911</v>
      </c>
      <c r="AE321" s="2">
        <v>2</v>
      </c>
      <c r="AF321" s="2">
        <v>1554000</v>
      </c>
      <c r="AG321" s="2">
        <v>31080</v>
      </c>
      <c r="AH321" s="2"/>
      <c r="AI321" s="2"/>
      <c r="AJ321" s="2" t="s">
        <v>37</v>
      </c>
      <c r="AK321" s="2" t="s">
        <v>5350</v>
      </c>
      <c r="AL321" s="3">
        <v>31080</v>
      </c>
      <c r="AM321" s="8">
        <v>45713</v>
      </c>
      <c r="AN321" s="2"/>
      <c r="AO321" s="7">
        <f t="shared" si="4"/>
        <v>0</v>
      </c>
    </row>
    <row r="322" spans="1:41" hidden="1" x14ac:dyDescent="0.25">
      <c r="A322" s="5">
        <v>346</v>
      </c>
      <c r="B322" s="5" t="s">
        <v>61</v>
      </c>
      <c r="C322" s="5" t="s">
        <v>3928</v>
      </c>
      <c r="D322" s="5" t="s">
        <v>36</v>
      </c>
      <c r="E322" s="5" t="s">
        <v>37</v>
      </c>
      <c r="F322" s="5" t="s">
        <v>3929</v>
      </c>
      <c r="G322" s="5" t="s">
        <v>111</v>
      </c>
      <c r="H322" s="5" t="s">
        <v>3930</v>
      </c>
      <c r="I322" s="5" t="s">
        <v>3931</v>
      </c>
      <c r="J322" s="5" t="s">
        <v>3931</v>
      </c>
      <c r="K322" s="5" t="s">
        <v>3932</v>
      </c>
      <c r="L322" s="5" t="s">
        <v>3933</v>
      </c>
      <c r="M322" s="5">
        <v>2640000</v>
      </c>
      <c r="N322" s="5">
        <v>4400000</v>
      </c>
      <c r="O322" s="5" t="s">
        <v>3934</v>
      </c>
      <c r="P322" s="6">
        <v>45733</v>
      </c>
      <c r="Q322" s="5" t="s">
        <v>3935</v>
      </c>
      <c r="R322" s="5" t="s">
        <v>3936</v>
      </c>
      <c r="S322" s="5" t="s">
        <v>3937</v>
      </c>
      <c r="T322" s="5" t="s">
        <v>3937</v>
      </c>
      <c r="U322" s="5" t="s">
        <v>2283</v>
      </c>
      <c r="V322" s="5" t="s">
        <v>158</v>
      </c>
      <c r="W322" s="5" t="s">
        <v>42</v>
      </c>
      <c r="X322" s="5" t="s">
        <v>42</v>
      </c>
      <c r="Y322" s="5" t="s">
        <v>43</v>
      </c>
      <c r="Z322" s="5" t="s">
        <v>3938</v>
      </c>
      <c r="AA322" s="5">
        <v>5</v>
      </c>
      <c r="AB322" s="5" t="s">
        <v>76</v>
      </c>
      <c r="AC322" s="5" t="s">
        <v>3939</v>
      </c>
      <c r="AD322" s="5" t="s">
        <v>3940</v>
      </c>
      <c r="AE322" s="5" t="s">
        <v>46</v>
      </c>
      <c r="AF322" s="5">
        <v>3520000</v>
      </c>
      <c r="AG322" s="5">
        <v>52800</v>
      </c>
      <c r="AH322" s="5"/>
      <c r="AI322" s="5"/>
      <c r="AJ322" s="5" t="s">
        <v>37</v>
      </c>
      <c r="AK322" s="2" t="s">
        <v>5351</v>
      </c>
      <c r="AL322" s="3">
        <v>52800</v>
      </c>
      <c r="AM322" s="8">
        <v>45734</v>
      </c>
      <c r="AN322" s="2"/>
      <c r="AO322" s="7">
        <f t="shared" ref="AO322:AO385" si="5">AG322-AL322</f>
        <v>0</v>
      </c>
    </row>
    <row r="323" spans="1:41" hidden="1" x14ac:dyDescent="0.25">
      <c r="A323" s="2">
        <v>347</v>
      </c>
      <c r="B323" s="2" t="s">
        <v>61</v>
      </c>
      <c r="C323" s="2" t="s">
        <v>3941</v>
      </c>
      <c r="D323" s="2" t="s">
        <v>36</v>
      </c>
      <c r="E323" s="2" t="s">
        <v>37</v>
      </c>
      <c r="F323" s="2" t="s">
        <v>3942</v>
      </c>
      <c r="G323" s="2" t="s">
        <v>53</v>
      </c>
      <c r="H323" s="2" t="s">
        <v>3943</v>
      </c>
      <c r="I323" s="2" t="s">
        <v>3944</v>
      </c>
      <c r="J323" s="2" t="s">
        <v>3945</v>
      </c>
      <c r="K323" s="2" t="s">
        <v>3946</v>
      </c>
      <c r="L323" s="2" t="s">
        <v>3947</v>
      </c>
      <c r="M323" s="2">
        <v>534154</v>
      </c>
      <c r="N323" s="2">
        <v>2525000</v>
      </c>
      <c r="O323" s="2" t="s">
        <v>3948</v>
      </c>
      <c r="P323" s="8">
        <v>45702</v>
      </c>
      <c r="Q323" s="2" t="s">
        <v>3949</v>
      </c>
      <c r="R323" s="2" t="s">
        <v>3950</v>
      </c>
      <c r="S323" s="2" t="s">
        <v>48</v>
      </c>
      <c r="T323" s="2" t="s">
        <v>3951</v>
      </c>
      <c r="U323" s="2" t="s">
        <v>90</v>
      </c>
      <c r="V323" s="2" t="s">
        <v>110</v>
      </c>
      <c r="W323" s="8">
        <v>44608</v>
      </c>
      <c r="X323" s="2" t="s">
        <v>2966</v>
      </c>
      <c r="Y323" s="2" t="s">
        <v>120</v>
      </c>
      <c r="Z323" s="2" t="s">
        <v>3952</v>
      </c>
      <c r="AA323" s="2">
        <v>4</v>
      </c>
      <c r="AB323" s="2" t="s">
        <v>44</v>
      </c>
      <c r="AC323" s="2" t="s">
        <v>3953</v>
      </c>
      <c r="AD323" s="2" t="s">
        <v>140</v>
      </c>
      <c r="AE323" s="2">
        <v>1.5</v>
      </c>
      <c r="AF323" s="2">
        <v>2020000</v>
      </c>
      <c r="AG323" s="2">
        <v>30300</v>
      </c>
      <c r="AH323" s="2"/>
      <c r="AI323" s="2"/>
      <c r="AJ323" s="2" t="s">
        <v>37</v>
      </c>
      <c r="AK323" s="2" t="s">
        <v>5352</v>
      </c>
      <c r="AL323" s="3">
        <v>30300</v>
      </c>
      <c r="AM323" s="8">
        <v>45713</v>
      </c>
      <c r="AN323" s="2"/>
      <c r="AO323" s="7">
        <f t="shared" si="5"/>
        <v>0</v>
      </c>
    </row>
    <row r="324" spans="1:41" hidden="1" x14ac:dyDescent="0.25">
      <c r="A324" s="5">
        <v>348</v>
      </c>
      <c r="B324" s="5" t="s">
        <v>61</v>
      </c>
      <c r="C324" s="5" t="s">
        <v>3954</v>
      </c>
      <c r="D324" s="5" t="s">
        <v>36</v>
      </c>
      <c r="E324" s="5" t="s">
        <v>37</v>
      </c>
      <c r="F324" s="5" t="s">
        <v>3955</v>
      </c>
      <c r="G324" s="5" t="s">
        <v>111</v>
      </c>
      <c r="H324" s="5" t="s">
        <v>3956</v>
      </c>
      <c r="I324" s="5" t="s">
        <v>3957</v>
      </c>
      <c r="J324" s="5" t="s">
        <v>3957</v>
      </c>
      <c r="K324" s="5" t="s">
        <v>3957</v>
      </c>
      <c r="L324" s="5" t="s">
        <v>3958</v>
      </c>
      <c r="M324" s="5">
        <v>732852</v>
      </c>
      <c r="N324" s="5">
        <v>2072000</v>
      </c>
      <c r="O324" s="5" t="s">
        <v>3959</v>
      </c>
      <c r="P324" s="6">
        <v>45702</v>
      </c>
      <c r="Q324" s="5" t="s">
        <v>3960</v>
      </c>
      <c r="R324" s="5" t="s">
        <v>3961</v>
      </c>
      <c r="S324" s="5" t="s">
        <v>54</v>
      </c>
      <c r="T324" s="5" t="s">
        <v>55</v>
      </c>
      <c r="U324" s="5" t="s">
        <v>177</v>
      </c>
      <c r="V324" s="5" t="s">
        <v>91</v>
      </c>
      <c r="W324" s="6">
        <v>44153</v>
      </c>
      <c r="X324" s="5" t="s">
        <v>119</v>
      </c>
      <c r="Y324" s="5" t="s">
        <v>3321</v>
      </c>
      <c r="Z324" s="5" t="s">
        <v>3962</v>
      </c>
      <c r="AA324" s="5">
        <v>7</v>
      </c>
      <c r="AB324" s="5" t="s">
        <v>44</v>
      </c>
      <c r="AC324" s="5" t="s">
        <v>3963</v>
      </c>
      <c r="AD324" s="5" t="s">
        <v>2911</v>
      </c>
      <c r="AE324" s="5">
        <v>2</v>
      </c>
      <c r="AF324" s="5">
        <v>1554000</v>
      </c>
      <c r="AG324" s="5">
        <v>31080</v>
      </c>
      <c r="AH324" s="5"/>
      <c r="AI324" s="5"/>
      <c r="AJ324" s="5" t="s">
        <v>37</v>
      </c>
      <c r="AK324" s="2" t="s">
        <v>5353</v>
      </c>
      <c r="AL324" s="3">
        <v>31080</v>
      </c>
      <c r="AM324" s="8">
        <v>45713</v>
      </c>
      <c r="AN324" s="2"/>
      <c r="AO324" s="7">
        <f t="shared" si="5"/>
        <v>0</v>
      </c>
    </row>
    <row r="325" spans="1:41" hidden="1" x14ac:dyDescent="0.25">
      <c r="A325" s="2">
        <v>349</v>
      </c>
      <c r="B325" s="2" t="s">
        <v>61</v>
      </c>
      <c r="C325" s="2" t="s">
        <v>3964</v>
      </c>
      <c r="D325" s="2" t="s">
        <v>36</v>
      </c>
      <c r="E325" s="2" t="s">
        <v>37</v>
      </c>
      <c r="F325" s="2" t="s">
        <v>3965</v>
      </c>
      <c r="G325" s="2" t="s">
        <v>47</v>
      </c>
      <c r="H325" s="2" t="s">
        <v>3966</v>
      </c>
      <c r="I325" s="2" t="s">
        <v>55</v>
      </c>
      <c r="J325" s="2" t="s">
        <v>3967</v>
      </c>
      <c r="K325" s="2" t="s">
        <v>55</v>
      </c>
      <c r="L325" s="2" t="s">
        <v>3968</v>
      </c>
      <c r="M325" s="2">
        <v>604913</v>
      </c>
      <c r="N325" s="2">
        <v>1433000</v>
      </c>
      <c r="O325" s="2" t="s">
        <v>3969</v>
      </c>
      <c r="P325" s="8">
        <v>45702</v>
      </c>
      <c r="Q325" s="2" t="s">
        <v>3970</v>
      </c>
      <c r="R325" s="2" t="s">
        <v>3971</v>
      </c>
      <c r="S325" s="2" t="s">
        <v>54</v>
      </c>
      <c r="T325" s="2" t="s">
        <v>55</v>
      </c>
      <c r="U325" s="2" t="s">
        <v>334</v>
      </c>
      <c r="V325" s="2" t="s">
        <v>91</v>
      </c>
      <c r="W325" s="8">
        <v>44196</v>
      </c>
      <c r="X325" s="2" t="s">
        <v>119</v>
      </c>
      <c r="Y325" s="2" t="s">
        <v>3321</v>
      </c>
      <c r="Z325" s="2" t="s">
        <v>3972</v>
      </c>
      <c r="AA325" s="2">
        <v>7</v>
      </c>
      <c r="AB325" s="2" t="s">
        <v>44</v>
      </c>
      <c r="AC325" s="2" t="s">
        <v>3973</v>
      </c>
      <c r="AD325" s="2" t="s">
        <v>3974</v>
      </c>
      <c r="AE325" s="2">
        <v>2</v>
      </c>
      <c r="AF325" s="2">
        <v>1074750</v>
      </c>
      <c r="AG325" s="2">
        <v>21495</v>
      </c>
      <c r="AH325" s="2"/>
      <c r="AI325" s="2"/>
      <c r="AJ325" s="2" t="s">
        <v>37</v>
      </c>
      <c r="AK325" s="2" t="s">
        <v>5354</v>
      </c>
      <c r="AL325" s="3">
        <v>21495</v>
      </c>
      <c r="AM325" s="8">
        <v>45713</v>
      </c>
      <c r="AN325" s="2"/>
      <c r="AO325" s="7">
        <f t="shared" si="5"/>
        <v>0</v>
      </c>
    </row>
    <row r="326" spans="1:41" hidden="1" x14ac:dyDescent="0.25">
      <c r="A326" s="5">
        <v>350</v>
      </c>
      <c r="B326" s="5" t="s">
        <v>61</v>
      </c>
      <c r="C326" s="5" t="s">
        <v>3975</v>
      </c>
      <c r="D326" s="5" t="s">
        <v>36</v>
      </c>
      <c r="E326" s="5" t="s">
        <v>37</v>
      </c>
      <c r="F326" s="5" t="s">
        <v>3976</v>
      </c>
      <c r="G326" s="5" t="s">
        <v>82</v>
      </c>
      <c r="H326" s="5" t="s">
        <v>3977</v>
      </c>
      <c r="I326" s="5" t="s">
        <v>55</v>
      </c>
      <c r="J326" s="5" t="s">
        <v>3978</v>
      </c>
      <c r="K326" s="5" t="s">
        <v>3979</v>
      </c>
      <c r="L326" s="5" t="s">
        <v>3980</v>
      </c>
      <c r="M326" s="5">
        <v>2224815</v>
      </c>
      <c r="N326" s="5">
        <v>7274000</v>
      </c>
      <c r="O326" s="5" t="s">
        <v>3981</v>
      </c>
      <c r="P326" s="6">
        <v>45701</v>
      </c>
      <c r="Q326" s="5" t="s">
        <v>3982</v>
      </c>
      <c r="R326" s="5" t="s">
        <v>3983</v>
      </c>
      <c r="S326" s="5" t="s">
        <v>54</v>
      </c>
      <c r="T326" s="5" t="s">
        <v>55</v>
      </c>
      <c r="U326" s="5" t="s">
        <v>2261</v>
      </c>
      <c r="V326" s="5" t="s">
        <v>887</v>
      </c>
      <c r="W326" s="6">
        <v>45322</v>
      </c>
      <c r="X326" s="5" t="s">
        <v>3677</v>
      </c>
      <c r="Y326" s="5" t="s">
        <v>3307</v>
      </c>
      <c r="Z326" s="5" t="s">
        <v>3984</v>
      </c>
      <c r="AA326" s="5">
        <v>3</v>
      </c>
      <c r="AB326" s="5" t="s">
        <v>279</v>
      </c>
      <c r="AC326" s="5" t="s">
        <v>3985</v>
      </c>
      <c r="AD326" s="5" t="s">
        <v>3986</v>
      </c>
      <c r="AE326" s="5">
        <v>2</v>
      </c>
      <c r="AF326" s="5">
        <v>6546600</v>
      </c>
      <c r="AG326" s="5">
        <v>130932</v>
      </c>
      <c r="AH326" s="5"/>
      <c r="AI326" s="5"/>
      <c r="AJ326" s="5" t="s">
        <v>37</v>
      </c>
      <c r="AK326" s="2" t="s">
        <v>5355</v>
      </c>
      <c r="AL326" s="3">
        <v>130932</v>
      </c>
      <c r="AM326" s="8">
        <v>45713</v>
      </c>
      <c r="AN326" s="2"/>
      <c r="AO326" s="7">
        <f t="shared" si="5"/>
        <v>0</v>
      </c>
    </row>
    <row r="327" spans="1:41" hidden="1" x14ac:dyDescent="0.25">
      <c r="A327" s="2">
        <v>351</v>
      </c>
      <c r="B327" s="2" t="s">
        <v>61</v>
      </c>
      <c r="C327" s="2" t="s">
        <v>3987</v>
      </c>
      <c r="D327" s="2" t="s">
        <v>36</v>
      </c>
      <c r="E327" s="2" t="s">
        <v>37</v>
      </c>
      <c r="F327" s="2" t="s">
        <v>3988</v>
      </c>
      <c r="G327" s="2" t="s">
        <v>111</v>
      </c>
      <c r="H327" s="2" t="s">
        <v>3989</v>
      </c>
      <c r="I327" s="2" t="s">
        <v>3990</v>
      </c>
      <c r="J327" s="2" t="s">
        <v>3991</v>
      </c>
      <c r="K327" s="2" t="s">
        <v>3990</v>
      </c>
      <c r="L327" s="2" t="s">
        <v>3992</v>
      </c>
      <c r="M327" s="2">
        <v>908000</v>
      </c>
      <c r="N327" s="2">
        <v>1135000</v>
      </c>
      <c r="O327" s="2" t="s">
        <v>3993</v>
      </c>
      <c r="P327" s="8">
        <v>45734</v>
      </c>
      <c r="Q327" s="2" t="s">
        <v>3994</v>
      </c>
      <c r="R327" s="2" t="s">
        <v>3995</v>
      </c>
      <c r="S327" s="2" t="e">
        <v>#N/A</v>
      </c>
      <c r="T327" s="2" t="s">
        <v>55</v>
      </c>
      <c r="U327" s="2" t="s">
        <v>1152</v>
      </c>
      <c r="V327" s="2" t="s">
        <v>158</v>
      </c>
      <c r="W327" s="2" t="s">
        <v>3996</v>
      </c>
      <c r="X327" s="2" t="s">
        <v>2659</v>
      </c>
      <c r="Y327" s="2" t="s">
        <v>94</v>
      </c>
      <c r="Z327" s="2" t="s">
        <v>3997</v>
      </c>
      <c r="AA327" s="2">
        <v>6</v>
      </c>
      <c r="AB327" s="2" t="s">
        <v>44</v>
      </c>
      <c r="AC327" s="2" t="s">
        <v>3998</v>
      </c>
      <c r="AD327" s="2" t="s">
        <v>3996</v>
      </c>
      <c r="AE327" s="2" t="s">
        <v>324</v>
      </c>
      <c r="AF327" s="2">
        <v>794500</v>
      </c>
      <c r="AG327" s="2">
        <v>19863</v>
      </c>
      <c r="AH327" s="2"/>
      <c r="AI327" s="2"/>
      <c r="AJ327" s="2" t="s">
        <v>37</v>
      </c>
      <c r="AK327" s="2" t="s">
        <v>5356</v>
      </c>
      <c r="AL327" s="3">
        <v>19863</v>
      </c>
      <c r="AM327" s="8">
        <v>45734</v>
      </c>
      <c r="AN327" s="2"/>
      <c r="AO327" s="7">
        <f t="shared" si="5"/>
        <v>0</v>
      </c>
    </row>
    <row r="328" spans="1:41" x14ac:dyDescent="0.25">
      <c r="A328" s="5">
        <v>352</v>
      </c>
      <c r="B328" s="5" t="s">
        <v>61</v>
      </c>
      <c r="C328" s="5" t="s">
        <v>3999</v>
      </c>
      <c r="D328" s="5" t="s">
        <v>36</v>
      </c>
      <c r="E328" s="5" t="s">
        <v>37</v>
      </c>
      <c r="F328" s="5" t="s">
        <v>4000</v>
      </c>
      <c r="G328" s="5" t="s">
        <v>64</v>
      </c>
      <c r="H328" s="5" t="s">
        <v>4001</v>
      </c>
      <c r="I328" s="5" t="s">
        <v>4002</v>
      </c>
      <c r="J328" s="5" t="s">
        <v>55</v>
      </c>
      <c r="K328" s="5" t="s">
        <v>4003</v>
      </c>
      <c r="L328" s="5" t="s">
        <v>4004</v>
      </c>
      <c r="M328" s="5">
        <v>1652825</v>
      </c>
      <c r="N328" s="5">
        <v>4300000</v>
      </c>
      <c r="O328" s="5" t="s">
        <v>4005</v>
      </c>
      <c r="P328" s="6">
        <v>45701</v>
      </c>
      <c r="Q328" s="5" t="s">
        <v>4006</v>
      </c>
      <c r="R328" s="5" t="s">
        <v>4007</v>
      </c>
      <c r="S328" s="5" t="s">
        <v>48</v>
      </c>
      <c r="T328" s="5" t="s">
        <v>4008</v>
      </c>
      <c r="U328" s="5" t="s">
        <v>90</v>
      </c>
      <c r="V328" s="5" t="s">
        <v>60</v>
      </c>
      <c r="W328" s="6">
        <v>44608</v>
      </c>
      <c r="X328" s="5" t="s">
        <v>2966</v>
      </c>
      <c r="Y328" s="5" t="s">
        <v>3307</v>
      </c>
      <c r="Z328" s="5" t="s">
        <v>4009</v>
      </c>
      <c r="AA328" s="5">
        <v>5</v>
      </c>
      <c r="AB328" s="5" t="s">
        <v>76</v>
      </c>
      <c r="AC328" s="5" t="s">
        <v>4010</v>
      </c>
      <c r="AD328" s="5" t="s">
        <v>140</v>
      </c>
      <c r="AE328" s="5">
        <v>1.5</v>
      </c>
      <c r="AF328" s="5">
        <v>3440000</v>
      </c>
      <c r="AG328" s="5">
        <v>51600</v>
      </c>
      <c r="AH328" s="5"/>
      <c r="AI328" s="5"/>
      <c r="AJ328" s="5" t="s">
        <v>37</v>
      </c>
      <c r="AK328" s="2" t="s">
        <v>5357</v>
      </c>
      <c r="AL328" s="3">
        <v>48375</v>
      </c>
      <c r="AM328" s="8">
        <v>45713</v>
      </c>
      <c r="AN328" s="2" t="s">
        <v>5563</v>
      </c>
      <c r="AO328" s="7">
        <f t="shared" si="5"/>
        <v>3225</v>
      </c>
    </row>
    <row r="329" spans="1:41" hidden="1" x14ac:dyDescent="0.25">
      <c r="A329" s="2">
        <v>353</v>
      </c>
      <c r="B329" s="2" t="s">
        <v>61</v>
      </c>
      <c r="C329" s="2" t="s">
        <v>4011</v>
      </c>
      <c r="D329" s="2" t="s">
        <v>36</v>
      </c>
      <c r="E329" s="2" t="s">
        <v>37</v>
      </c>
      <c r="F329" s="2" t="s">
        <v>4012</v>
      </c>
      <c r="G329" s="2" t="s">
        <v>47</v>
      </c>
      <c r="H329" s="2" t="s">
        <v>4013</v>
      </c>
      <c r="I329" s="2" t="s">
        <v>4014</v>
      </c>
      <c r="J329" s="2" t="s">
        <v>4014</v>
      </c>
      <c r="K329" s="2" t="s">
        <v>4015</v>
      </c>
      <c r="L329" s="2" t="s">
        <v>4016</v>
      </c>
      <c r="M329" s="2">
        <v>814602</v>
      </c>
      <c r="N329" s="2">
        <v>3200000</v>
      </c>
      <c r="O329" s="2" t="s">
        <v>4017</v>
      </c>
      <c r="P329" s="8">
        <v>45701</v>
      </c>
      <c r="Q329" s="2" t="s">
        <v>4018</v>
      </c>
      <c r="R329" s="2" t="s">
        <v>4019</v>
      </c>
      <c r="S329" s="2" t="s">
        <v>48</v>
      </c>
      <c r="T329" s="2" t="s">
        <v>4020</v>
      </c>
      <c r="U329" s="2" t="s">
        <v>4021</v>
      </c>
      <c r="V329" s="2" t="s">
        <v>60</v>
      </c>
      <c r="W329" s="8">
        <v>44607</v>
      </c>
      <c r="X329" s="2" t="s">
        <v>2966</v>
      </c>
      <c r="Y329" s="2" t="s">
        <v>120</v>
      </c>
      <c r="Z329" s="2" t="s">
        <v>4022</v>
      </c>
      <c r="AA329" s="2">
        <v>4</v>
      </c>
      <c r="AB329" s="2" t="s">
        <v>76</v>
      </c>
      <c r="AC329" s="2" t="s">
        <v>4023</v>
      </c>
      <c r="AD329" s="2" t="s">
        <v>140</v>
      </c>
      <c r="AE329" s="2">
        <v>1.5</v>
      </c>
      <c r="AF329" s="2">
        <v>2560000</v>
      </c>
      <c r="AG329" s="2">
        <v>38400</v>
      </c>
      <c r="AH329" s="2"/>
      <c r="AI329" s="2"/>
      <c r="AJ329" s="2" t="s">
        <v>37</v>
      </c>
      <c r="AK329" s="2" t="s">
        <v>5358</v>
      </c>
      <c r="AL329" s="3">
        <v>38400</v>
      </c>
      <c r="AM329" s="8">
        <v>45713</v>
      </c>
      <c r="AN329" s="2"/>
      <c r="AO329" s="7">
        <f t="shared" si="5"/>
        <v>0</v>
      </c>
    </row>
    <row r="330" spans="1:41" hidden="1" x14ac:dyDescent="0.25">
      <c r="A330" s="5">
        <v>354</v>
      </c>
      <c r="B330" s="5" t="s">
        <v>61</v>
      </c>
      <c r="C330" s="5" t="s">
        <v>4024</v>
      </c>
      <c r="D330" s="5" t="s">
        <v>36</v>
      </c>
      <c r="E330" s="5" t="s">
        <v>37</v>
      </c>
      <c r="F330" s="5" t="s">
        <v>4025</v>
      </c>
      <c r="G330" s="5" t="s">
        <v>47</v>
      </c>
      <c r="H330" s="5" t="s">
        <v>4026</v>
      </c>
      <c r="I330" s="5" t="s">
        <v>4027</v>
      </c>
      <c r="J330" s="5" t="s">
        <v>4027</v>
      </c>
      <c r="K330" s="5" t="s">
        <v>67</v>
      </c>
      <c r="L330" s="5" t="s">
        <v>4028</v>
      </c>
      <c r="M330" s="5">
        <v>720374</v>
      </c>
      <c r="N330" s="5">
        <v>2939000</v>
      </c>
      <c r="O330" s="5" t="s">
        <v>4029</v>
      </c>
      <c r="P330" s="6">
        <v>45701</v>
      </c>
      <c r="Q330" s="5" t="s">
        <v>4030</v>
      </c>
      <c r="R330" s="5" t="s">
        <v>4031</v>
      </c>
      <c r="S330" s="5" t="s">
        <v>54</v>
      </c>
      <c r="T330" s="5" t="s">
        <v>55</v>
      </c>
      <c r="U330" s="5" t="s">
        <v>4032</v>
      </c>
      <c r="V330" s="5" t="s">
        <v>57</v>
      </c>
      <c r="W330" s="6">
        <v>44607</v>
      </c>
      <c r="X330" s="5" t="s">
        <v>2966</v>
      </c>
      <c r="Y330" s="5" t="s">
        <v>120</v>
      </c>
      <c r="Z330" s="5" t="s">
        <v>4033</v>
      </c>
      <c r="AA330" s="5">
        <v>4</v>
      </c>
      <c r="AB330" s="5" t="s">
        <v>76</v>
      </c>
      <c r="AC330" s="5" t="s">
        <v>4034</v>
      </c>
      <c r="AD330" s="5" t="s">
        <v>2439</v>
      </c>
      <c r="AE330" s="5">
        <v>2</v>
      </c>
      <c r="AF330" s="5">
        <v>2351200</v>
      </c>
      <c r="AG330" s="5">
        <v>47024</v>
      </c>
      <c r="AH330" s="5"/>
      <c r="AI330" s="5"/>
      <c r="AJ330" s="5" t="s">
        <v>37</v>
      </c>
      <c r="AK330" s="2" t="s">
        <v>5359</v>
      </c>
      <c r="AL330" s="3">
        <v>47024</v>
      </c>
      <c r="AM330" s="8">
        <v>45713</v>
      </c>
      <c r="AN330" s="2"/>
      <c r="AO330" s="7">
        <f t="shared" si="5"/>
        <v>0</v>
      </c>
    </row>
    <row r="331" spans="1:41" x14ac:dyDescent="0.25">
      <c r="A331" s="2">
        <v>355</v>
      </c>
      <c r="B331" s="2" t="s">
        <v>61</v>
      </c>
      <c r="C331" s="2" t="s">
        <v>4035</v>
      </c>
      <c r="D331" s="2" t="s">
        <v>36</v>
      </c>
      <c r="E331" s="2" t="s">
        <v>37</v>
      </c>
      <c r="F331" s="2" t="s">
        <v>4036</v>
      </c>
      <c r="G331" s="2" t="s">
        <v>111</v>
      </c>
      <c r="H331" s="2" t="s">
        <v>4037</v>
      </c>
      <c r="I331" s="2" t="s">
        <v>4038</v>
      </c>
      <c r="J331" s="2" t="s">
        <v>4039</v>
      </c>
      <c r="K331" s="2" t="s">
        <v>55</v>
      </c>
      <c r="L331" s="2" t="s">
        <v>4040</v>
      </c>
      <c r="M331" s="2">
        <v>1081879</v>
      </c>
      <c r="N331" s="2">
        <v>2939000</v>
      </c>
      <c r="O331" s="2" t="s">
        <v>4041</v>
      </c>
      <c r="P331" s="8">
        <v>45701</v>
      </c>
      <c r="Q331" s="2" t="s">
        <v>4042</v>
      </c>
      <c r="R331" s="2" t="s">
        <v>4043</v>
      </c>
      <c r="S331" s="2" t="s">
        <v>54</v>
      </c>
      <c r="T331" s="2" t="s">
        <v>55</v>
      </c>
      <c r="U331" s="2" t="s">
        <v>2555</v>
      </c>
      <c r="V331" s="2" t="s">
        <v>57</v>
      </c>
      <c r="W331" s="8">
        <v>44615</v>
      </c>
      <c r="X331" s="2" t="s">
        <v>115</v>
      </c>
      <c r="Y331" s="2" t="s">
        <v>1839</v>
      </c>
      <c r="Z331" s="2" t="s">
        <v>4044</v>
      </c>
      <c r="AA331" s="2">
        <v>5</v>
      </c>
      <c r="AB331" s="2" t="s">
        <v>76</v>
      </c>
      <c r="AC331" s="2" t="s">
        <v>4045</v>
      </c>
      <c r="AD331" s="2" t="s">
        <v>2439</v>
      </c>
      <c r="AE331" s="2">
        <v>2</v>
      </c>
      <c r="AF331" s="2">
        <v>2351200</v>
      </c>
      <c r="AG331" s="2">
        <v>47024</v>
      </c>
      <c r="AH331" s="2"/>
      <c r="AI331" s="2"/>
      <c r="AJ331" s="2" t="s">
        <v>37</v>
      </c>
      <c r="AK331" s="2" t="s">
        <v>5360</v>
      </c>
      <c r="AL331" s="3">
        <v>44085</v>
      </c>
      <c r="AM331" s="8">
        <v>45713</v>
      </c>
      <c r="AN331" s="2" t="s">
        <v>5564</v>
      </c>
      <c r="AO331" s="7">
        <f t="shared" si="5"/>
        <v>2939</v>
      </c>
    </row>
    <row r="332" spans="1:41" x14ac:dyDescent="0.25">
      <c r="A332" s="5">
        <v>356</v>
      </c>
      <c r="B332" s="5" t="s">
        <v>61</v>
      </c>
      <c r="C332" s="5" t="s">
        <v>4046</v>
      </c>
      <c r="D332" s="5" t="s">
        <v>36</v>
      </c>
      <c r="E332" s="5" t="s">
        <v>37</v>
      </c>
      <c r="F332" s="5" t="s">
        <v>4047</v>
      </c>
      <c r="G332" s="5" t="s">
        <v>47</v>
      </c>
      <c r="H332" s="5" t="s">
        <v>4048</v>
      </c>
      <c r="I332" s="5" t="s">
        <v>4049</v>
      </c>
      <c r="J332" s="5" t="s">
        <v>4049</v>
      </c>
      <c r="K332" s="5" t="s">
        <v>67</v>
      </c>
      <c r="L332" s="5" t="s">
        <v>4050</v>
      </c>
      <c r="M332" s="5">
        <v>1014446</v>
      </c>
      <c r="N332" s="5">
        <v>3700000</v>
      </c>
      <c r="O332" s="5" t="s">
        <v>4051</v>
      </c>
      <c r="P332" s="6">
        <v>45701</v>
      </c>
      <c r="Q332" s="5" t="s">
        <v>4052</v>
      </c>
      <c r="R332" s="5" t="s">
        <v>4053</v>
      </c>
      <c r="S332" s="5" t="s">
        <v>48</v>
      </c>
      <c r="T332" s="5" t="s">
        <v>4054</v>
      </c>
      <c r="U332" s="5" t="s">
        <v>90</v>
      </c>
      <c r="V332" s="5" t="s">
        <v>60</v>
      </c>
      <c r="W332" s="6">
        <v>44607</v>
      </c>
      <c r="X332" s="5" t="s">
        <v>2966</v>
      </c>
      <c r="Y332" s="5" t="s">
        <v>3307</v>
      </c>
      <c r="Z332" s="5" t="s">
        <v>4055</v>
      </c>
      <c r="AA332" s="5">
        <v>5</v>
      </c>
      <c r="AB332" s="5" t="s">
        <v>76</v>
      </c>
      <c r="AC332" s="5" t="s">
        <v>4056</v>
      </c>
      <c r="AD332" s="5" t="s">
        <v>2439</v>
      </c>
      <c r="AE332" s="5">
        <v>1.5</v>
      </c>
      <c r="AF332" s="5">
        <v>2960000</v>
      </c>
      <c r="AG332" s="5">
        <v>44400</v>
      </c>
      <c r="AH332" s="5"/>
      <c r="AI332" s="5"/>
      <c r="AJ332" s="5" t="s">
        <v>37</v>
      </c>
      <c r="AK332" s="2" t="s">
        <v>5361</v>
      </c>
      <c r="AL332" s="3">
        <v>41625</v>
      </c>
      <c r="AM332" s="8">
        <v>45713</v>
      </c>
      <c r="AN332" s="2" t="s">
        <v>5565</v>
      </c>
      <c r="AO332" s="7">
        <f t="shared" si="5"/>
        <v>2775</v>
      </c>
    </row>
    <row r="333" spans="1:41" hidden="1" x14ac:dyDescent="0.25">
      <c r="A333" s="2">
        <v>357</v>
      </c>
      <c r="B333" s="2" t="s">
        <v>61</v>
      </c>
      <c r="C333" s="2" t="s">
        <v>4057</v>
      </c>
      <c r="D333" s="2" t="s">
        <v>36</v>
      </c>
      <c r="E333" s="2" t="s">
        <v>37</v>
      </c>
      <c r="F333" s="2" t="s">
        <v>4058</v>
      </c>
      <c r="G333" s="2" t="s">
        <v>47</v>
      </c>
      <c r="H333" s="2" t="s">
        <v>4059</v>
      </c>
      <c r="I333" s="2" t="s">
        <v>55</v>
      </c>
      <c r="J333" s="2" t="s">
        <v>4060</v>
      </c>
      <c r="K333" s="2" t="s">
        <v>67</v>
      </c>
      <c r="L333" s="2" t="s">
        <v>4061</v>
      </c>
      <c r="M333" s="2">
        <v>1438500</v>
      </c>
      <c r="N333" s="2">
        <v>2055000</v>
      </c>
      <c r="O333" s="2" t="s">
        <v>4062</v>
      </c>
      <c r="P333" s="8">
        <v>45734</v>
      </c>
      <c r="Q333" s="2" t="s">
        <v>4063</v>
      </c>
      <c r="R333" s="2" t="s">
        <v>4064</v>
      </c>
      <c r="S333" s="2" t="s">
        <v>4065</v>
      </c>
      <c r="T333" s="2" t="s">
        <v>4065</v>
      </c>
      <c r="U333" s="2" t="s">
        <v>3762</v>
      </c>
      <c r="V333" s="2" t="s">
        <v>40</v>
      </c>
      <c r="W333" s="2">
        <v>45372</v>
      </c>
      <c r="X333" s="2" t="s">
        <v>2482</v>
      </c>
      <c r="Y333" s="2" t="s">
        <v>43</v>
      </c>
      <c r="Z333" s="2" t="s">
        <v>4066</v>
      </c>
      <c r="AA333" s="2">
        <v>3</v>
      </c>
      <c r="AB333" s="2" t="s">
        <v>279</v>
      </c>
      <c r="AC333" s="2" t="s">
        <v>4067</v>
      </c>
      <c r="AD333" s="2" t="s">
        <v>3393</v>
      </c>
      <c r="AE333" s="2" t="s">
        <v>253</v>
      </c>
      <c r="AF333" s="2">
        <v>1849500</v>
      </c>
      <c r="AG333" s="2">
        <v>32366</v>
      </c>
      <c r="AH333" s="2"/>
      <c r="AI333" s="2"/>
      <c r="AJ333" s="2" t="s">
        <v>37</v>
      </c>
      <c r="AK333" s="2" t="s">
        <v>5043</v>
      </c>
      <c r="AL333" s="3">
        <v>32366</v>
      </c>
      <c r="AM333" s="8">
        <v>45734</v>
      </c>
      <c r="AN333" s="2"/>
      <c r="AO333" s="7">
        <f t="shared" si="5"/>
        <v>0</v>
      </c>
    </row>
    <row r="334" spans="1:41" hidden="1" x14ac:dyDescent="0.25">
      <c r="A334" s="5">
        <v>358</v>
      </c>
      <c r="B334" s="5" t="s">
        <v>61</v>
      </c>
      <c r="C334" s="5" t="s">
        <v>4068</v>
      </c>
      <c r="D334" s="5" t="s">
        <v>36</v>
      </c>
      <c r="E334" s="5" t="s">
        <v>37</v>
      </c>
      <c r="F334" s="5" t="s">
        <v>4069</v>
      </c>
      <c r="G334" s="5" t="s">
        <v>47</v>
      </c>
      <c r="H334" s="5" t="s">
        <v>4070</v>
      </c>
      <c r="I334" s="5" t="s">
        <v>4071</v>
      </c>
      <c r="J334" s="5" t="s">
        <v>4071</v>
      </c>
      <c r="K334" s="5" t="s">
        <v>67</v>
      </c>
      <c r="L334" s="5" t="s">
        <v>4072</v>
      </c>
      <c r="M334" s="5">
        <v>3000000</v>
      </c>
      <c r="N334" s="5">
        <v>5000000</v>
      </c>
      <c r="O334" s="5" t="s">
        <v>4073</v>
      </c>
      <c r="P334" s="6">
        <v>45734</v>
      </c>
      <c r="Q334" s="5" t="s">
        <v>4074</v>
      </c>
      <c r="R334" s="5" t="s">
        <v>4075</v>
      </c>
      <c r="S334" s="5" t="s">
        <v>4076</v>
      </c>
      <c r="T334" s="5" t="s">
        <v>4076</v>
      </c>
      <c r="U334" s="5" t="s">
        <v>2849</v>
      </c>
      <c r="V334" s="5" t="s">
        <v>230</v>
      </c>
      <c r="W334" s="5">
        <v>45372</v>
      </c>
      <c r="X334" s="5" t="s">
        <v>2482</v>
      </c>
      <c r="Y334" s="5" t="s">
        <v>43</v>
      </c>
      <c r="Z334" s="5" t="s">
        <v>4077</v>
      </c>
      <c r="AA334" s="5">
        <v>3</v>
      </c>
      <c r="AB334" s="5" t="s">
        <v>279</v>
      </c>
      <c r="AC334" s="5" t="s">
        <v>4078</v>
      </c>
      <c r="AD334" s="5" t="s">
        <v>3393</v>
      </c>
      <c r="AE334" s="5" t="s">
        <v>253</v>
      </c>
      <c r="AF334" s="5">
        <v>4500000</v>
      </c>
      <c r="AG334" s="5">
        <v>78750</v>
      </c>
      <c r="AH334" s="5"/>
      <c r="AI334" s="5"/>
      <c r="AJ334" s="5" t="s">
        <v>37</v>
      </c>
      <c r="AK334" s="2" t="s">
        <v>5362</v>
      </c>
      <c r="AL334" s="3">
        <v>78750</v>
      </c>
      <c r="AM334" s="8">
        <v>45734</v>
      </c>
      <c r="AN334" s="2"/>
      <c r="AO334" s="7">
        <f t="shared" si="5"/>
        <v>0</v>
      </c>
    </row>
    <row r="335" spans="1:41" x14ac:dyDescent="0.25">
      <c r="A335" s="2">
        <v>359</v>
      </c>
      <c r="B335" s="2" t="s">
        <v>61</v>
      </c>
      <c r="C335" s="2" t="s">
        <v>4079</v>
      </c>
      <c r="D335" s="2" t="s">
        <v>36</v>
      </c>
      <c r="E335" s="2" t="s">
        <v>37</v>
      </c>
      <c r="F335" s="2" t="s">
        <v>4080</v>
      </c>
      <c r="G335" s="2" t="s">
        <v>111</v>
      </c>
      <c r="H335" s="2" t="s">
        <v>4081</v>
      </c>
      <c r="I335" s="2" t="s">
        <v>55</v>
      </c>
      <c r="J335" s="2" t="s">
        <v>4082</v>
      </c>
      <c r="K335" s="2" t="s">
        <v>4083</v>
      </c>
      <c r="L335" s="2" t="s">
        <v>4084</v>
      </c>
      <c r="M335" s="2">
        <v>789623</v>
      </c>
      <c r="N335" s="2">
        <v>1800000</v>
      </c>
      <c r="O335" s="2" t="s">
        <v>4085</v>
      </c>
      <c r="P335" s="8">
        <v>45701</v>
      </c>
      <c r="Q335" s="2" t="s">
        <v>4086</v>
      </c>
      <c r="R335" s="2" t="s">
        <v>4087</v>
      </c>
      <c r="S335" s="2" t="s">
        <v>48</v>
      </c>
      <c r="T335" s="2" t="s">
        <v>4088</v>
      </c>
      <c r="U335" s="2" t="s">
        <v>651</v>
      </c>
      <c r="V335" s="2" t="s">
        <v>230</v>
      </c>
      <c r="W335" s="8">
        <v>44608</v>
      </c>
      <c r="X335" s="2" t="s">
        <v>2966</v>
      </c>
      <c r="Y335" s="2" t="s">
        <v>3307</v>
      </c>
      <c r="Z335" s="2" t="s">
        <v>4089</v>
      </c>
      <c r="AA335" s="2">
        <v>5</v>
      </c>
      <c r="AB335" s="2" t="s">
        <v>76</v>
      </c>
      <c r="AC335" s="2" t="s">
        <v>4090</v>
      </c>
      <c r="AD335" s="2" t="s">
        <v>2439</v>
      </c>
      <c r="AE335" s="2">
        <v>1.5</v>
      </c>
      <c r="AF335" s="2">
        <v>1440000</v>
      </c>
      <c r="AG335" s="2">
        <v>21600</v>
      </c>
      <c r="AH335" s="2"/>
      <c r="AI335" s="2"/>
      <c r="AJ335" s="2" t="s">
        <v>37</v>
      </c>
      <c r="AK335" s="2" t="s">
        <v>5363</v>
      </c>
      <c r="AL335" s="3">
        <v>20250</v>
      </c>
      <c r="AM335" s="8">
        <v>45713</v>
      </c>
      <c r="AN335" s="2" t="s">
        <v>5566</v>
      </c>
      <c r="AO335" s="7">
        <f t="shared" si="5"/>
        <v>1350</v>
      </c>
    </row>
    <row r="336" spans="1:41" hidden="1" x14ac:dyDescent="0.25">
      <c r="A336" s="5">
        <v>360</v>
      </c>
      <c r="B336" s="5" t="s">
        <v>61</v>
      </c>
      <c r="C336" s="5" t="s">
        <v>4091</v>
      </c>
      <c r="D336" s="5" t="s">
        <v>36</v>
      </c>
      <c r="E336" s="5" t="s">
        <v>37</v>
      </c>
      <c r="F336" s="5" t="s">
        <v>2676</v>
      </c>
      <c r="G336" s="5" t="s">
        <v>47</v>
      </c>
      <c r="H336" s="5" t="s">
        <v>4092</v>
      </c>
      <c r="I336" s="5" t="s">
        <v>55</v>
      </c>
      <c r="J336" s="5" t="s">
        <v>4093</v>
      </c>
      <c r="K336" s="5" t="s">
        <v>4094</v>
      </c>
      <c r="L336" s="5" t="s">
        <v>4095</v>
      </c>
      <c r="M336" s="5">
        <v>1400000</v>
      </c>
      <c r="N336" s="5">
        <v>2000000</v>
      </c>
      <c r="O336" s="5" t="s">
        <v>4096</v>
      </c>
      <c r="P336" s="6">
        <v>45734</v>
      </c>
      <c r="Q336" s="5" t="s">
        <v>4097</v>
      </c>
      <c r="R336" s="5" t="s">
        <v>4098</v>
      </c>
      <c r="S336" s="5" t="s">
        <v>4099</v>
      </c>
      <c r="T336" s="5" t="s">
        <v>4099</v>
      </c>
      <c r="U336" s="5" t="s">
        <v>334</v>
      </c>
      <c r="V336" s="5" t="s">
        <v>158</v>
      </c>
      <c r="W336" s="5">
        <v>45371</v>
      </c>
      <c r="X336" s="5" t="s">
        <v>2482</v>
      </c>
      <c r="Y336" s="5" t="s">
        <v>1541</v>
      </c>
      <c r="Z336" s="5" t="s">
        <v>4100</v>
      </c>
      <c r="AA336" s="5">
        <v>5</v>
      </c>
      <c r="AB336" s="5" t="s">
        <v>279</v>
      </c>
      <c r="AC336" s="5" t="s">
        <v>4101</v>
      </c>
      <c r="AD336" s="5" t="s">
        <v>3393</v>
      </c>
      <c r="AE336" s="5" t="s">
        <v>253</v>
      </c>
      <c r="AF336" s="5">
        <v>1800000</v>
      </c>
      <c r="AG336" s="5">
        <v>31500</v>
      </c>
      <c r="AH336" s="5"/>
      <c r="AI336" s="5"/>
      <c r="AJ336" s="5" t="s">
        <v>37</v>
      </c>
      <c r="AK336" s="2" t="s">
        <v>5044</v>
      </c>
      <c r="AL336" s="3">
        <v>31500</v>
      </c>
      <c r="AM336" s="8">
        <v>45734</v>
      </c>
      <c r="AN336" s="2"/>
      <c r="AO336" s="7">
        <f t="shared" si="5"/>
        <v>0</v>
      </c>
    </row>
    <row r="337" spans="1:41" hidden="1" x14ac:dyDescent="0.25">
      <c r="A337" s="2">
        <v>361</v>
      </c>
      <c r="B337" s="2" t="s">
        <v>61</v>
      </c>
      <c r="C337" s="2" t="s">
        <v>4102</v>
      </c>
      <c r="D337" s="2" t="s">
        <v>36</v>
      </c>
      <c r="E337" s="2" t="s">
        <v>37</v>
      </c>
      <c r="F337" s="2" t="s">
        <v>2676</v>
      </c>
      <c r="G337" s="2" t="s">
        <v>47</v>
      </c>
      <c r="H337" s="2" t="s">
        <v>4092</v>
      </c>
      <c r="I337" s="2" t="s">
        <v>55</v>
      </c>
      <c r="J337" s="2" t="s">
        <v>4093</v>
      </c>
      <c r="K337" s="2" t="s">
        <v>4094</v>
      </c>
      <c r="L337" s="2" t="s">
        <v>4095</v>
      </c>
      <c r="M337" s="2">
        <v>1400000</v>
      </c>
      <c r="N337" s="2">
        <v>2000000</v>
      </c>
      <c r="O337" s="2" t="s">
        <v>4103</v>
      </c>
      <c r="P337" s="8">
        <v>45734</v>
      </c>
      <c r="Q337" s="2" t="s">
        <v>4104</v>
      </c>
      <c r="R337" s="2" t="s">
        <v>4105</v>
      </c>
      <c r="S337" s="2" t="s">
        <v>4106</v>
      </c>
      <c r="T337" s="2" t="s">
        <v>4106</v>
      </c>
      <c r="U337" s="2" t="s">
        <v>334</v>
      </c>
      <c r="V337" s="2" t="s">
        <v>91</v>
      </c>
      <c r="W337" s="2">
        <v>45371</v>
      </c>
      <c r="X337" s="2" t="s">
        <v>2482</v>
      </c>
      <c r="Y337" s="2" t="s">
        <v>1541</v>
      </c>
      <c r="Z337" s="2" t="s">
        <v>4107</v>
      </c>
      <c r="AA337" s="2">
        <v>5</v>
      </c>
      <c r="AB337" s="2" t="s">
        <v>279</v>
      </c>
      <c r="AC337" s="2" t="s">
        <v>4108</v>
      </c>
      <c r="AD337" s="2" t="s">
        <v>3393</v>
      </c>
      <c r="AE337" s="2" t="s">
        <v>253</v>
      </c>
      <c r="AF337" s="2">
        <v>1800000</v>
      </c>
      <c r="AG337" s="2">
        <v>31500</v>
      </c>
      <c r="AH337" s="2"/>
      <c r="AI337" s="2"/>
      <c r="AJ337" s="2" t="s">
        <v>37</v>
      </c>
      <c r="AK337" s="2" t="s">
        <v>5045</v>
      </c>
      <c r="AL337" s="3">
        <v>31500</v>
      </c>
      <c r="AM337" s="8">
        <v>45734</v>
      </c>
      <c r="AN337" s="2"/>
      <c r="AO337" s="7">
        <f t="shared" si="5"/>
        <v>0</v>
      </c>
    </row>
    <row r="338" spans="1:41" hidden="1" x14ac:dyDescent="0.25">
      <c r="A338" s="5">
        <v>362</v>
      </c>
      <c r="B338" s="5" t="s">
        <v>61</v>
      </c>
      <c r="C338" s="5" t="s">
        <v>4109</v>
      </c>
      <c r="D338" s="5" t="s">
        <v>36</v>
      </c>
      <c r="E338" s="5" t="s">
        <v>37</v>
      </c>
      <c r="F338" s="5" t="s">
        <v>4110</v>
      </c>
      <c r="G338" s="5" t="s">
        <v>82</v>
      </c>
      <c r="H338" s="5" t="s">
        <v>4111</v>
      </c>
      <c r="I338" s="5" t="s">
        <v>4112</v>
      </c>
      <c r="J338" s="5" t="s">
        <v>55</v>
      </c>
      <c r="K338" s="5" t="s">
        <v>4113</v>
      </c>
      <c r="L338" s="5" t="s">
        <v>4114</v>
      </c>
      <c r="M338" s="5">
        <v>566694</v>
      </c>
      <c r="N338" s="5">
        <v>2406000</v>
      </c>
      <c r="O338" s="5" t="s">
        <v>4115</v>
      </c>
      <c r="P338" s="6">
        <v>45701</v>
      </c>
      <c r="Q338" s="5" t="s">
        <v>4116</v>
      </c>
      <c r="R338" s="5" t="s">
        <v>4117</v>
      </c>
      <c r="S338" s="5" t="s">
        <v>54</v>
      </c>
      <c r="T338" s="5" t="s">
        <v>4118</v>
      </c>
      <c r="U338" s="5" t="s">
        <v>4119</v>
      </c>
      <c r="V338" s="5" t="s">
        <v>158</v>
      </c>
      <c r="W338" s="6">
        <v>43511</v>
      </c>
      <c r="X338" s="5" t="s">
        <v>4120</v>
      </c>
      <c r="Y338" s="5" t="s">
        <v>120</v>
      </c>
      <c r="Z338" s="5" t="s">
        <v>4121</v>
      </c>
      <c r="AA338" s="5">
        <v>7</v>
      </c>
      <c r="AB338" s="5" t="s">
        <v>76</v>
      </c>
      <c r="AC338" s="5" t="s">
        <v>4122</v>
      </c>
      <c r="AD338" s="5" t="s">
        <v>4123</v>
      </c>
      <c r="AE338" s="5">
        <v>2.5</v>
      </c>
      <c r="AF338" s="5">
        <v>1563900</v>
      </c>
      <c r="AG338" s="5">
        <v>39098</v>
      </c>
      <c r="AH338" s="5"/>
      <c r="AI338" s="5"/>
      <c r="AJ338" s="5" t="s">
        <v>37</v>
      </c>
      <c r="AK338" s="2" t="s">
        <v>5364</v>
      </c>
      <c r="AL338" s="3">
        <v>39098</v>
      </c>
      <c r="AM338" s="8">
        <v>45713</v>
      </c>
      <c r="AN338" s="2"/>
      <c r="AO338" s="7">
        <f t="shared" si="5"/>
        <v>0</v>
      </c>
    </row>
    <row r="339" spans="1:41" hidden="1" x14ac:dyDescent="0.25">
      <c r="A339" s="2">
        <v>363</v>
      </c>
      <c r="B339" s="2" t="s">
        <v>61</v>
      </c>
      <c r="C339" s="2" t="s">
        <v>4124</v>
      </c>
      <c r="D339" s="2" t="s">
        <v>36</v>
      </c>
      <c r="E339" s="2" t="s">
        <v>37</v>
      </c>
      <c r="F339" s="2" t="s">
        <v>4125</v>
      </c>
      <c r="G339" s="2" t="s">
        <v>53</v>
      </c>
      <c r="H339" s="2" t="s">
        <v>4126</v>
      </c>
      <c r="I339" s="2" t="s">
        <v>4127</v>
      </c>
      <c r="J339" s="2" t="s">
        <v>4128</v>
      </c>
      <c r="K339" s="2" t="s">
        <v>4129</v>
      </c>
      <c r="L339" s="2" t="s">
        <v>4130</v>
      </c>
      <c r="M339" s="2">
        <v>552300</v>
      </c>
      <c r="N339" s="2">
        <v>789000</v>
      </c>
      <c r="O339" s="2" t="s">
        <v>4131</v>
      </c>
      <c r="P339" s="8">
        <v>45735</v>
      </c>
      <c r="Q339" s="2" t="s">
        <v>4132</v>
      </c>
      <c r="R339" s="2" t="s">
        <v>4133</v>
      </c>
      <c r="S339" s="2" t="s">
        <v>4134</v>
      </c>
      <c r="T339" s="2" t="s">
        <v>55</v>
      </c>
      <c r="U339" s="2" t="s">
        <v>4135</v>
      </c>
      <c r="V339" s="2" t="s">
        <v>158</v>
      </c>
      <c r="W339" s="2" t="s">
        <v>4136</v>
      </c>
      <c r="X339" s="2" t="s">
        <v>4137</v>
      </c>
      <c r="Y339" s="2" t="s">
        <v>94</v>
      </c>
      <c r="Z339" s="2" t="s">
        <v>4138</v>
      </c>
      <c r="AA339" s="2">
        <v>7</v>
      </c>
      <c r="AB339" s="2" t="s">
        <v>44</v>
      </c>
      <c r="AC339" s="2" t="s">
        <v>4139</v>
      </c>
      <c r="AD339" s="2" t="s">
        <v>4140</v>
      </c>
      <c r="AE339" s="2" t="s">
        <v>324</v>
      </c>
      <c r="AF339" s="2">
        <v>512850</v>
      </c>
      <c r="AG339" s="2">
        <v>12821</v>
      </c>
      <c r="AH339" s="2"/>
      <c r="AI339" s="2"/>
      <c r="AJ339" s="2" t="s">
        <v>37</v>
      </c>
      <c r="AK339" s="2" t="s">
        <v>5365</v>
      </c>
      <c r="AL339" s="3">
        <v>12821</v>
      </c>
      <c r="AM339" s="8">
        <v>45734</v>
      </c>
      <c r="AN339" s="2"/>
      <c r="AO339" s="7">
        <f t="shared" si="5"/>
        <v>0</v>
      </c>
    </row>
    <row r="340" spans="1:41" x14ac:dyDescent="0.25">
      <c r="A340" s="5">
        <v>364</v>
      </c>
      <c r="B340" s="5" t="s">
        <v>61</v>
      </c>
      <c r="C340" s="5" t="s">
        <v>4141</v>
      </c>
      <c r="D340" s="5" t="s">
        <v>36</v>
      </c>
      <c r="E340" s="5" t="s">
        <v>37</v>
      </c>
      <c r="F340" s="5" t="s">
        <v>4142</v>
      </c>
      <c r="G340" s="5" t="s">
        <v>82</v>
      </c>
      <c r="H340" s="5" t="s">
        <v>4143</v>
      </c>
      <c r="I340" s="5" t="s">
        <v>4144</v>
      </c>
      <c r="J340" s="5" t="s">
        <v>55</v>
      </c>
      <c r="K340" s="5" t="s">
        <v>67</v>
      </c>
      <c r="L340" s="5" t="s">
        <v>4145</v>
      </c>
      <c r="M340" s="5">
        <v>737067</v>
      </c>
      <c r="N340" s="5">
        <v>1725000</v>
      </c>
      <c r="O340" s="5" t="s">
        <v>4146</v>
      </c>
      <c r="P340" s="6">
        <v>45701</v>
      </c>
      <c r="Q340" s="5" t="s">
        <v>4147</v>
      </c>
      <c r="R340" s="5" t="s">
        <v>4148</v>
      </c>
      <c r="S340" s="5" t="s">
        <v>48</v>
      </c>
      <c r="T340" s="5" t="s">
        <v>4149</v>
      </c>
      <c r="U340" s="5" t="s">
        <v>2822</v>
      </c>
      <c r="V340" s="5" t="s">
        <v>158</v>
      </c>
      <c r="W340" s="6">
        <v>44607</v>
      </c>
      <c r="X340" s="5" t="s">
        <v>2966</v>
      </c>
      <c r="Y340" s="5" t="s">
        <v>3307</v>
      </c>
      <c r="Z340" s="5" t="s">
        <v>4150</v>
      </c>
      <c r="AA340" s="5">
        <v>5</v>
      </c>
      <c r="AB340" s="5" t="s">
        <v>76</v>
      </c>
      <c r="AC340" s="5" t="s">
        <v>4151</v>
      </c>
      <c r="AD340" s="5" t="s">
        <v>2439</v>
      </c>
      <c r="AE340" s="5">
        <v>1.5</v>
      </c>
      <c r="AF340" s="5">
        <v>1380000</v>
      </c>
      <c r="AG340" s="5">
        <v>20700</v>
      </c>
      <c r="AH340" s="5"/>
      <c r="AI340" s="5"/>
      <c r="AJ340" s="5" t="s">
        <v>37</v>
      </c>
      <c r="AK340" s="2" t="s">
        <v>5366</v>
      </c>
      <c r="AL340" s="3">
        <v>19406</v>
      </c>
      <c r="AM340" s="8">
        <v>45713</v>
      </c>
      <c r="AN340" s="2" t="s">
        <v>5567</v>
      </c>
      <c r="AO340" s="7">
        <f t="shared" si="5"/>
        <v>1294</v>
      </c>
    </row>
    <row r="341" spans="1:41" hidden="1" x14ac:dyDescent="0.25">
      <c r="A341" s="2">
        <v>365</v>
      </c>
      <c r="B341" s="2" t="s">
        <v>61</v>
      </c>
      <c r="C341" s="2" t="s">
        <v>4152</v>
      </c>
      <c r="D341" s="2" t="s">
        <v>36</v>
      </c>
      <c r="E341" s="2" t="s">
        <v>37</v>
      </c>
      <c r="F341" s="2" t="s">
        <v>4153</v>
      </c>
      <c r="G341" s="2" t="s">
        <v>47</v>
      </c>
      <c r="H341" s="2" t="s">
        <v>4154</v>
      </c>
      <c r="I341" s="2" t="s">
        <v>55</v>
      </c>
      <c r="J341" s="2" t="s">
        <v>4155</v>
      </c>
      <c r="K341" s="2" t="s">
        <v>55</v>
      </c>
      <c r="L341" s="2" t="s">
        <v>4156</v>
      </c>
      <c r="M341" s="2">
        <v>1694000</v>
      </c>
      <c r="N341" s="2">
        <v>2420000</v>
      </c>
      <c r="O341" s="2" t="s">
        <v>4157</v>
      </c>
      <c r="P341" s="8">
        <v>45735</v>
      </c>
      <c r="Q341" s="2" t="s">
        <v>4158</v>
      </c>
      <c r="R341" s="2" t="s">
        <v>4159</v>
      </c>
      <c r="S341" s="2" t="s">
        <v>4160</v>
      </c>
      <c r="T341" s="2" t="s">
        <v>4160</v>
      </c>
      <c r="U341" s="2" t="s">
        <v>334</v>
      </c>
      <c r="V341" s="2" t="s">
        <v>57</v>
      </c>
      <c r="W341" s="2" t="s">
        <v>1381</v>
      </c>
      <c r="X341" s="2" t="s">
        <v>1381</v>
      </c>
      <c r="Y341" s="2" t="s">
        <v>1592</v>
      </c>
      <c r="Z341" s="2" t="s">
        <v>4161</v>
      </c>
      <c r="AA341" s="2">
        <v>5</v>
      </c>
      <c r="AB341" s="2" t="s">
        <v>44</v>
      </c>
      <c r="AC341" s="2" t="s">
        <v>4162</v>
      </c>
      <c r="AD341" s="2" t="s">
        <v>1381</v>
      </c>
      <c r="AE341" s="2" t="s">
        <v>253</v>
      </c>
      <c r="AF341" s="2">
        <v>2057000</v>
      </c>
      <c r="AG341" s="2">
        <v>35998</v>
      </c>
      <c r="AH341" s="2"/>
      <c r="AI341" s="2"/>
      <c r="AJ341" s="2" t="s">
        <v>37</v>
      </c>
      <c r="AK341" s="2" t="s">
        <v>5367</v>
      </c>
      <c r="AL341" s="3">
        <v>35998</v>
      </c>
      <c r="AM341" s="8">
        <v>45734</v>
      </c>
      <c r="AN341" s="2"/>
      <c r="AO341" s="7">
        <f t="shared" si="5"/>
        <v>0</v>
      </c>
    </row>
    <row r="342" spans="1:41" x14ac:dyDescent="0.25">
      <c r="A342" s="5">
        <v>366</v>
      </c>
      <c r="B342" s="5" t="s">
        <v>61</v>
      </c>
      <c r="C342" s="5" t="s">
        <v>4163</v>
      </c>
      <c r="D342" s="5" t="s">
        <v>36</v>
      </c>
      <c r="E342" s="5" t="s">
        <v>37</v>
      </c>
      <c r="F342" s="5" t="s">
        <v>4164</v>
      </c>
      <c r="G342" s="5" t="s">
        <v>53</v>
      </c>
      <c r="H342" s="5" t="s">
        <v>4165</v>
      </c>
      <c r="I342" s="5" t="s">
        <v>4166</v>
      </c>
      <c r="J342" s="5" t="s">
        <v>4167</v>
      </c>
      <c r="K342" s="5" t="s">
        <v>4168</v>
      </c>
      <c r="L342" s="5" t="s">
        <v>4169</v>
      </c>
      <c r="M342" s="5">
        <v>686925</v>
      </c>
      <c r="N342" s="5">
        <v>1655000</v>
      </c>
      <c r="O342" s="5" t="s">
        <v>4170</v>
      </c>
      <c r="P342" s="6">
        <v>45701</v>
      </c>
      <c r="Q342" s="5" t="s">
        <v>4171</v>
      </c>
      <c r="R342" s="5" t="s">
        <v>4172</v>
      </c>
      <c r="S342" s="5" t="s">
        <v>54</v>
      </c>
      <c r="T342" s="5" t="s">
        <v>55</v>
      </c>
      <c r="U342" s="5" t="s">
        <v>123</v>
      </c>
      <c r="V342" s="5" t="s">
        <v>57</v>
      </c>
      <c r="W342" s="6">
        <v>44499</v>
      </c>
      <c r="X342" s="5" t="s">
        <v>2966</v>
      </c>
      <c r="Y342" s="5" t="s">
        <v>3307</v>
      </c>
      <c r="Z342" s="5" t="s">
        <v>4173</v>
      </c>
      <c r="AA342" s="5">
        <v>5</v>
      </c>
      <c r="AB342" s="5" t="s">
        <v>44</v>
      </c>
      <c r="AC342" s="5" t="s">
        <v>4174</v>
      </c>
      <c r="AD342" s="5" t="s">
        <v>2439</v>
      </c>
      <c r="AE342" s="5">
        <v>2</v>
      </c>
      <c r="AF342" s="5">
        <v>1324000</v>
      </c>
      <c r="AG342" s="5">
        <v>26480</v>
      </c>
      <c r="AH342" s="5"/>
      <c r="AI342" s="5"/>
      <c r="AJ342" s="5" t="s">
        <v>37</v>
      </c>
      <c r="AK342" s="2" t="s">
        <v>5368</v>
      </c>
      <c r="AL342" s="3">
        <v>24825</v>
      </c>
      <c r="AM342" s="8">
        <v>45713</v>
      </c>
      <c r="AN342" s="2" t="s">
        <v>5568</v>
      </c>
      <c r="AO342" s="7">
        <f t="shared" si="5"/>
        <v>1655</v>
      </c>
    </row>
    <row r="343" spans="1:41" hidden="1" x14ac:dyDescent="0.25">
      <c r="A343" s="2">
        <v>367</v>
      </c>
      <c r="B343" s="2" t="s">
        <v>61</v>
      </c>
      <c r="C343" s="2" t="s">
        <v>4175</v>
      </c>
      <c r="D343" s="2" t="s">
        <v>36</v>
      </c>
      <c r="E343" s="2" t="s">
        <v>37</v>
      </c>
      <c r="F343" s="2" t="s">
        <v>4176</v>
      </c>
      <c r="G343" s="2" t="s">
        <v>53</v>
      </c>
      <c r="H343" s="2" t="s">
        <v>4177</v>
      </c>
      <c r="I343" s="2" t="s">
        <v>4178</v>
      </c>
      <c r="J343" s="2" t="s">
        <v>4179</v>
      </c>
      <c r="K343" s="2" t="s">
        <v>4178</v>
      </c>
      <c r="L343" s="2" t="s">
        <v>4180</v>
      </c>
      <c r="M343" s="2">
        <v>799207</v>
      </c>
      <c r="N343" s="2">
        <v>1655000</v>
      </c>
      <c r="O343" s="2" t="s">
        <v>4181</v>
      </c>
      <c r="P343" s="8">
        <v>45701</v>
      </c>
      <c r="Q343" s="2" t="s">
        <v>4182</v>
      </c>
      <c r="R343" s="2" t="s">
        <v>4183</v>
      </c>
      <c r="S343" s="2" t="s">
        <v>54</v>
      </c>
      <c r="T343" s="2" t="s">
        <v>55</v>
      </c>
      <c r="U343" s="2" t="s">
        <v>123</v>
      </c>
      <c r="V343" s="2" t="s">
        <v>57</v>
      </c>
      <c r="W343" s="8">
        <v>44470</v>
      </c>
      <c r="X343" s="2" t="s">
        <v>2966</v>
      </c>
      <c r="Y343" s="2" t="s">
        <v>3321</v>
      </c>
      <c r="Z343" s="2" t="s">
        <v>4184</v>
      </c>
      <c r="AA343" s="2">
        <v>6</v>
      </c>
      <c r="AB343" s="2" t="s">
        <v>44</v>
      </c>
      <c r="AC343" s="2" t="s">
        <v>4185</v>
      </c>
      <c r="AD343" s="2" t="s">
        <v>2439</v>
      </c>
      <c r="AE343" s="2">
        <v>2</v>
      </c>
      <c r="AF343" s="2">
        <v>1324000</v>
      </c>
      <c r="AG343" s="2">
        <v>26480</v>
      </c>
      <c r="AH343" s="2"/>
      <c r="AI343" s="2"/>
      <c r="AJ343" s="2" t="s">
        <v>37</v>
      </c>
      <c r="AK343" s="2" t="s">
        <v>5369</v>
      </c>
      <c r="AL343" s="3">
        <v>26480</v>
      </c>
      <c r="AM343" s="8">
        <v>45713</v>
      </c>
      <c r="AN343" s="2"/>
      <c r="AO343" s="7">
        <f t="shared" si="5"/>
        <v>0</v>
      </c>
    </row>
    <row r="344" spans="1:41" hidden="1" x14ac:dyDescent="0.25">
      <c r="A344" s="5">
        <v>368</v>
      </c>
      <c r="B344" s="5" t="s">
        <v>61</v>
      </c>
      <c r="C344" s="5" t="s">
        <v>4186</v>
      </c>
      <c r="D344" s="5" t="s">
        <v>36</v>
      </c>
      <c r="E344" s="5" t="s">
        <v>37</v>
      </c>
      <c r="F344" s="5" t="s">
        <v>4187</v>
      </c>
      <c r="G344" s="5" t="s">
        <v>53</v>
      </c>
      <c r="H344" s="5" t="s">
        <v>4188</v>
      </c>
      <c r="I344" s="5" t="s">
        <v>55</v>
      </c>
      <c r="J344" s="5" t="s">
        <v>4189</v>
      </c>
      <c r="K344" s="5" t="s">
        <v>55</v>
      </c>
      <c r="L344" s="5" t="s">
        <v>4190</v>
      </c>
      <c r="M344" s="5">
        <v>2337000</v>
      </c>
      <c r="N344" s="5">
        <v>4674000</v>
      </c>
      <c r="O344" s="5" t="s">
        <v>4191</v>
      </c>
      <c r="P344" s="6">
        <v>45735</v>
      </c>
      <c r="Q344" s="5" t="s">
        <v>4192</v>
      </c>
      <c r="R344" s="5" t="s">
        <v>4193</v>
      </c>
      <c r="S344" s="5" t="s">
        <v>55</v>
      </c>
      <c r="T344" s="5" t="s">
        <v>55</v>
      </c>
      <c r="U344" s="5" t="s">
        <v>152</v>
      </c>
      <c r="V344" s="5" t="s">
        <v>887</v>
      </c>
      <c r="W344" s="5">
        <v>45372</v>
      </c>
      <c r="X344" s="5" t="s">
        <v>2482</v>
      </c>
      <c r="Y344" s="5" t="s">
        <v>94</v>
      </c>
      <c r="Z344" s="5" t="s">
        <v>4194</v>
      </c>
      <c r="AA344" s="5">
        <v>2</v>
      </c>
      <c r="AB344" s="5" t="s">
        <v>279</v>
      </c>
      <c r="AC344" s="5" t="s">
        <v>4195</v>
      </c>
      <c r="AD344" s="5" t="s">
        <v>4196</v>
      </c>
      <c r="AE344" s="5" t="s">
        <v>253</v>
      </c>
      <c r="AF344" s="5">
        <v>4206600</v>
      </c>
      <c r="AG344" s="5">
        <v>73616</v>
      </c>
      <c r="AH344" s="5"/>
      <c r="AI344" s="5"/>
      <c r="AJ344" s="5" t="s">
        <v>37</v>
      </c>
      <c r="AK344" s="2" t="s">
        <v>5039</v>
      </c>
      <c r="AL344" s="3">
        <v>73616</v>
      </c>
      <c r="AM344" s="8">
        <v>45734</v>
      </c>
      <c r="AN344" s="2"/>
      <c r="AO344" s="7">
        <f t="shared" si="5"/>
        <v>0</v>
      </c>
    </row>
    <row r="345" spans="1:41" hidden="1" x14ac:dyDescent="0.25">
      <c r="A345" s="2">
        <v>369</v>
      </c>
      <c r="B345" s="2" t="s">
        <v>61</v>
      </c>
      <c r="C345" s="2" t="s">
        <v>4197</v>
      </c>
      <c r="D345" s="2" t="s">
        <v>36</v>
      </c>
      <c r="E345" s="2" t="s">
        <v>37</v>
      </c>
      <c r="F345" s="2" t="s">
        <v>4198</v>
      </c>
      <c r="G345" s="2" t="s">
        <v>53</v>
      </c>
      <c r="H345" s="2" t="s">
        <v>4199</v>
      </c>
      <c r="I345" s="2" t="s">
        <v>55</v>
      </c>
      <c r="J345" s="2" t="s">
        <v>4200</v>
      </c>
      <c r="K345" s="2" t="s">
        <v>55</v>
      </c>
      <c r="L345" s="2" t="s">
        <v>4201</v>
      </c>
      <c r="M345" s="2">
        <v>2750000</v>
      </c>
      <c r="N345" s="2">
        <v>5500000</v>
      </c>
      <c r="O345" s="2" t="s">
        <v>4202</v>
      </c>
      <c r="P345" s="8">
        <v>45735</v>
      </c>
      <c r="Q345" s="2" t="s">
        <v>4203</v>
      </c>
      <c r="R345" s="2" t="s">
        <v>4204</v>
      </c>
      <c r="S345" s="2" t="s">
        <v>4205</v>
      </c>
      <c r="T345" s="2" t="s">
        <v>4205</v>
      </c>
      <c r="U345" s="2" t="s">
        <v>4206</v>
      </c>
      <c r="V345" s="2" t="s">
        <v>91</v>
      </c>
      <c r="W345" s="2">
        <v>45372</v>
      </c>
      <c r="X345" s="2" t="s">
        <v>2482</v>
      </c>
      <c r="Y345" s="2" t="s">
        <v>43</v>
      </c>
      <c r="Z345" s="2" t="s">
        <v>4207</v>
      </c>
      <c r="AA345" s="2">
        <v>3</v>
      </c>
      <c r="AB345" s="2" t="s">
        <v>279</v>
      </c>
      <c r="AC345" s="2" t="s">
        <v>4208</v>
      </c>
      <c r="AD345" s="2" t="s">
        <v>4196</v>
      </c>
      <c r="AE345" s="2" t="s">
        <v>253</v>
      </c>
      <c r="AF345" s="2">
        <v>4950000</v>
      </c>
      <c r="AG345" s="2">
        <v>86625</v>
      </c>
      <c r="AH345" s="2"/>
      <c r="AI345" s="2"/>
      <c r="AJ345" s="2" t="s">
        <v>37</v>
      </c>
      <c r="AK345" s="2" t="s">
        <v>5046</v>
      </c>
      <c r="AL345" s="3">
        <v>86625</v>
      </c>
      <c r="AM345" s="8">
        <v>45734</v>
      </c>
      <c r="AN345" s="2"/>
      <c r="AO345" s="7">
        <f t="shared" si="5"/>
        <v>0</v>
      </c>
    </row>
    <row r="346" spans="1:41" hidden="1" x14ac:dyDescent="0.25">
      <c r="A346" s="5">
        <v>370</v>
      </c>
      <c r="B346" s="5" t="s">
        <v>61</v>
      </c>
      <c r="C346" s="5" t="s">
        <v>4209</v>
      </c>
      <c r="D346" s="5" t="s">
        <v>36</v>
      </c>
      <c r="E346" s="5" t="s">
        <v>37</v>
      </c>
      <c r="F346" s="5" t="s">
        <v>4210</v>
      </c>
      <c r="G346" s="5" t="s">
        <v>111</v>
      </c>
      <c r="H346" s="5" t="s">
        <v>4211</v>
      </c>
      <c r="I346" s="5" t="s">
        <v>4212</v>
      </c>
      <c r="J346" s="5" t="s">
        <v>4213</v>
      </c>
      <c r="K346" s="5" t="s">
        <v>4214</v>
      </c>
      <c r="L346" s="5" t="s">
        <v>4215</v>
      </c>
      <c r="M346" s="5">
        <v>1674750</v>
      </c>
      <c r="N346" s="5">
        <v>3045000</v>
      </c>
      <c r="O346" s="5" t="s">
        <v>4216</v>
      </c>
      <c r="P346" s="6">
        <v>45735</v>
      </c>
      <c r="Q346" s="5" t="s">
        <v>4217</v>
      </c>
      <c r="R346" s="5" t="s">
        <v>4218</v>
      </c>
      <c r="S346" s="5" t="s">
        <v>55</v>
      </c>
      <c r="T346" s="5" t="s">
        <v>55</v>
      </c>
      <c r="U346" s="5" t="s">
        <v>798</v>
      </c>
      <c r="V346" s="5" t="s">
        <v>887</v>
      </c>
      <c r="W346" s="5">
        <v>45372</v>
      </c>
      <c r="X346" s="5" t="s">
        <v>2482</v>
      </c>
      <c r="Y346" s="5" t="s">
        <v>1541</v>
      </c>
      <c r="Z346" s="5" t="s">
        <v>4219</v>
      </c>
      <c r="AA346" s="5">
        <v>5</v>
      </c>
      <c r="AB346" s="5" t="s">
        <v>279</v>
      </c>
      <c r="AC346" s="5" t="s">
        <v>4220</v>
      </c>
      <c r="AD346" s="5" t="s">
        <v>4196</v>
      </c>
      <c r="AE346" s="5" t="s">
        <v>253</v>
      </c>
      <c r="AF346" s="5">
        <v>2740500</v>
      </c>
      <c r="AG346" s="5">
        <v>47959</v>
      </c>
      <c r="AH346" s="5"/>
      <c r="AI346" s="5"/>
      <c r="AJ346" s="5" t="s">
        <v>37</v>
      </c>
      <c r="AK346" s="2" t="s">
        <v>5370</v>
      </c>
      <c r="AL346" s="3">
        <v>47959</v>
      </c>
      <c r="AM346" s="8">
        <v>45734</v>
      </c>
      <c r="AN346" s="2"/>
      <c r="AO346" s="7">
        <f t="shared" si="5"/>
        <v>0</v>
      </c>
    </row>
    <row r="347" spans="1:41" x14ac:dyDescent="0.25">
      <c r="A347" s="2">
        <v>371</v>
      </c>
      <c r="B347" s="2" t="s">
        <v>61</v>
      </c>
      <c r="C347" s="2" t="s">
        <v>4221</v>
      </c>
      <c r="D347" s="2" t="s">
        <v>36</v>
      </c>
      <c r="E347" s="2" t="s">
        <v>37</v>
      </c>
      <c r="F347" s="2" t="s">
        <v>4222</v>
      </c>
      <c r="G347" s="2" t="s">
        <v>53</v>
      </c>
      <c r="H347" s="2" t="s">
        <v>4223</v>
      </c>
      <c r="I347" s="2" t="s">
        <v>4224</v>
      </c>
      <c r="J347" s="2" t="s">
        <v>4225</v>
      </c>
      <c r="K347" s="2" t="s">
        <v>4224</v>
      </c>
      <c r="L347" s="2" t="s">
        <v>4226</v>
      </c>
      <c r="M347" s="2">
        <v>641565</v>
      </c>
      <c r="N347" s="2">
        <v>1800000</v>
      </c>
      <c r="O347" s="2" t="s">
        <v>4227</v>
      </c>
      <c r="P347" s="8">
        <v>45701</v>
      </c>
      <c r="Q347" s="2" t="s">
        <v>4228</v>
      </c>
      <c r="R347" s="2" t="s">
        <v>4229</v>
      </c>
      <c r="S347" s="2" t="s">
        <v>48</v>
      </c>
      <c r="T347" s="2" t="s">
        <v>4230</v>
      </c>
      <c r="U347" s="2" t="s">
        <v>3011</v>
      </c>
      <c r="V347" s="2" t="s">
        <v>91</v>
      </c>
      <c r="W347" s="8">
        <v>44608</v>
      </c>
      <c r="X347" s="2" t="s">
        <v>2966</v>
      </c>
      <c r="Y347" s="2" t="s">
        <v>3307</v>
      </c>
      <c r="Z347" s="2" t="s">
        <v>4231</v>
      </c>
      <c r="AA347" s="2">
        <v>5</v>
      </c>
      <c r="AB347" s="2" t="s">
        <v>76</v>
      </c>
      <c r="AC347" s="2" t="s">
        <v>4232</v>
      </c>
      <c r="AD347" s="2" t="s">
        <v>2439</v>
      </c>
      <c r="AE347" s="2">
        <v>1.5</v>
      </c>
      <c r="AF347" s="2">
        <v>1440000</v>
      </c>
      <c r="AG347" s="2">
        <v>21600</v>
      </c>
      <c r="AH347" s="2"/>
      <c r="AI347" s="2"/>
      <c r="AJ347" s="2" t="s">
        <v>37</v>
      </c>
      <c r="AK347" s="2" t="s">
        <v>5371</v>
      </c>
      <c r="AL347" s="3">
        <v>20250</v>
      </c>
      <c r="AM347" s="8">
        <v>45713</v>
      </c>
      <c r="AN347" s="2" t="s">
        <v>5569</v>
      </c>
      <c r="AO347" s="7">
        <f t="shared" si="5"/>
        <v>1350</v>
      </c>
    </row>
    <row r="348" spans="1:41" hidden="1" x14ac:dyDescent="0.25">
      <c r="A348" s="5">
        <v>372</v>
      </c>
      <c r="B348" s="5" t="s">
        <v>61</v>
      </c>
      <c r="C348" s="5" t="s">
        <v>4233</v>
      </c>
      <c r="D348" s="5" t="s">
        <v>36</v>
      </c>
      <c r="E348" s="5" t="s">
        <v>37</v>
      </c>
      <c r="F348" s="5" t="s">
        <v>4234</v>
      </c>
      <c r="G348" s="5" t="s">
        <v>111</v>
      </c>
      <c r="H348" s="5" t="s">
        <v>4235</v>
      </c>
      <c r="I348" s="5" t="s">
        <v>4236</v>
      </c>
      <c r="J348" s="5" t="s">
        <v>4237</v>
      </c>
      <c r="K348" s="5" t="s">
        <v>4236</v>
      </c>
      <c r="L348" s="5" t="s">
        <v>4238</v>
      </c>
      <c r="M348" s="5">
        <v>2131500</v>
      </c>
      <c r="N348" s="5">
        <v>3045000</v>
      </c>
      <c r="O348" s="5" t="s">
        <v>4239</v>
      </c>
      <c r="P348" s="6">
        <v>45735</v>
      </c>
      <c r="Q348" s="5" t="s">
        <v>4240</v>
      </c>
      <c r="R348" s="5" t="s">
        <v>4241</v>
      </c>
      <c r="S348" s="5" t="s">
        <v>55</v>
      </c>
      <c r="T348" s="5" t="s">
        <v>55</v>
      </c>
      <c r="U348" s="5" t="s">
        <v>798</v>
      </c>
      <c r="V348" s="5" t="s">
        <v>887</v>
      </c>
      <c r="W348" s="5">
        <v>45372</v>
      </c>
      <c r="X348" s="5" t="s">
        <v>2482</v>
      </c>
      <c r="Y348" s="5" t="s">
        <v>1541</v>
      </c>
      <c r="Z348" s="5" t="s">
        <v>4242</v>
      </c>
      <c r="AA348" s="5">
        <v>5</v>
      </c>
      <c r="AB348" s="5" t="s">
        <v>279</v>
      </c>
      <c r="AC348" s="5" t="s">
        <v>4243</v>
      </c>
      <c r="AD348" s="5" t="s">
        <v>3418</v>
      </c>
      <c r="AE348" s="5" t="s">
        <v>253</v>
      </c>
      <c r="AF348" s="5">
        <v>2740500</v>
      </c>
      <c r="AG348" s="5">
        <v>47959</v>
      </c>
      <c r="AH348" s="5"/>
      <c r="AI348" s="5"/>
      <c r="AJ348" s="5" t="s">
        <v>37</v>
      </c>
      <c r="AK348" s="2" t="s">
        <v>5372</v>
      </c>
      <c r="AL348" s="3">
        <v>47959</v>
      </c>
      <c r="AM348" s="8">
        <v>45734</v>
      </c>
      <c r="AN348" s="2"/>
      <c r="AO348" s="7">
        <f t="shared" si="5"/>
        <v>0</v>
      </c>
    </row>
    <row r="349" spans="1:41" x14ac:dyDescent="0.25">
      <c r="A349" s="2">
        <v>373</v>
      </c>
      <c r="B349" s="2" t="s">
        <v>61</v>
      </c>
      <c r="C349" s="2" t="s">
        <v>4244</v>
      </c>
      <c r="D349" s="2" t="s">
        <v>36</v>
      </c>
      <c r="E349" s="2" t="s">
        <v>37</v>
      </c>
      <c r="F349" s="2" t="s">
        <v>4245</v>
      </c>
      <c r="G349" s="2" t="s">
        <v>111</v>
      </c>
      <c r="H349" s="2" t="s">
        <v>4246</v>
      </c>
      <c r="I349" s="2" t="s">
        <v>4247</v>
      </c>
      <c r="J349" s="2" t="s">
        <v>4248</v>
      </c>
      <c r="K349" s="2" t="s">
        <v>4249</v>
      </c>
      <c r="L349" s="2" t="s">
        <v>4250</v>
      </c>
      <c r="M349" s="2">
        <v>635810</v>
      </c>
      <c r="N349" s="2">
        <v>1546000</v>
      </c>
      <c r="O349" s="2" t="s">
        <v>4251</v>
      </c>
      <c r="P349" s="8">
        <v>45701</v>
      </c>
      <c r="Q349" s="2" t="s">
        <v>4252</v>
      </c>
      <c r="R349" s="2" t="s">
        <v>4253</v>
      </c>
      <c r="S349" s="2" t="s">
        <v>54</v>
      </c>
      <c r="T349" s="2" t="s">
        <v>55</v>
      </c>
      <c r="U349" s="2" t="s">
        <v>334</v>
      </c>
      <c r="V349" s="2" t="s">
        <v>57</v>
      </c>
      <c r="W349" s="8">
        <v>44613</v>
      </c>
      <c r="X349" s="2" t="s">
        <v>2966</v>
      </c>
      <c r="Y349" s="2" t="s">
        <v>3307</v>
      </c>
      <c r="Z349" s="2" t="s">
        <v>4254</v>
      </c>
      <c r="AA349" s="2">
        <v>5</v>
      </c>
      <c r="AB349" s="2" t="s">
        <v>76</v>
      </c>
      <c r="AC349" s="2" t="s">
        <v>4255</v>
      </c>
      <c r="AD349" s="2" t="s">
        <v>125</v>
      </c>
      <c r="AE349" s="2">
        <v>2</v>
      </c>
      <c r="AF349" s="3">
        <v>1236800</v>
      </c>
      <c r="AG349" s="2">
        <v>24736</v>
      </c>
      <c r="AH349" s="2"/>
      <c r="AI349" s="2"/>
      <c r="AJ349" s="2" t="s">
        <v>37</v>
      </c>
      <c r="AK349" s="2" t="s">
        <v>5373</v>
      </c>
      <c r="AL349" s="3">
        <v>23190</v>
      </c>
      <c r="AM349" s="8">
        <v>45713</v>
      </c>
      <c r="AN349" t="s">
        <v>5624</v>
      </c>
      <c r="AO349" s="7">
        <f t="shared" si="5"/>
        <v>1546</v>
      </c>
    </row>
    <row r="350" spans="1:41" x14ac:dyDescent="0.25">
      <c r="A350" s="5">
        <v>374</v>
      </c>
      <c r="B350" s="5" t="s">
        <v>61</v>
      </c>
      <c r="C350" s="5" t="s">
        <v>4256</v>
      </c>
      <c r="D350" s="5" t="s">
        <v>36</v>
      </c>
      <c r="E350" s="5" t="s">
        <v>37</v>
      </c>
      <c r="F350" s="5" t="s">
        <v>4257</v>
      </c>
      <c r="G350" s="5" t="s">
        <v>53</v>
      </c>
      <c r="H350" s="5" t="s">
        <v>4258</v>
      </c>
      <c r="I350" s="5" t="s">
        <v>4259</v>
      </c>
      <c r="J350" s="5" t="s">
        <v>4260</v>
      </c>
      <c r="K350" s="5" t="s">
        <v>4259</v>
      </c>
      <c r="L350" s="5" t="s">
        <v>4261</v>
      </c>
      <c r="M350" s="5">
        <v>554099</v>
      </c>
      <c r="N350" s="5">
        <v>1335000</v>
      </c>
      <c r="O350" s="5" t="s">
        <v>4262</v>
      </c>
      <c r="P350" s="6">
        <v>45701</v>
      </c>
      <c r="Q350" s="5" t="s">
        <v>4263</v>
      </c>
      <c r="R350" s="5" t="s">
        <v>4264</v>
      </c>
      <c r="S350" s="5" t="s">
        <v>54</v>
      </c>
      <c r="T350" s="5" t="s">
        <v>55</v>
      </c>
      <c r="U350" s="5" t="s">
        <v>430</v>
      </c>
      <c r="V350" s="5" t="s">
        <v>57</v>
      </c>
      <c r="W350" s="6">
        <v>44494</v>
      </c>
      <c r="X350" s="5" t="s">
        <v>2966</v>
      </c>
      <c r="Y350" s="5" t="s">
        <v>3307</v>
      </c>
      <c r="Z350" s="5" t="s">
        <v>4265</v>
      </c>
      <c r="AA350" s="5">
        <v>5</v>
      </c>
      <c r="AB350" s="5" t="s">
        <v>44</v>
      </c>
      <c r="AC350" s="5" t="s">
        <v>4266</v>
      </c>
      <c r="AD350" s="5" t="s">
        <v>2439</v>
      </c>
      <c r="AE350" s="5">
        <v>2</v>
      </c>
      <c r="AF350" s="5">
        <v>1068000</v>
      </c>
      <c r="AG350" s="5">
        <v>21360</v>
      </c>
      <c r="AH350" s="5"/>
      <c r="AI350" s="5"/>
      <c r="AJ350" s="5" t="s">
        <v>37</v>
      </c>
      <c r="AK350" s="2" t="s">
        <v>5374</v>
      </c>
      <c r="AL350" s="3">
        <v>20025</v>
      </c>
      <c r="AM350" s="8">
        <v>45713</v>
      </c>
      <c r="AN350" s="2" t="s">
        <v>5570</v>
      </c>
      <c r="AO350" s="7">
        <f t="shared" si="5"/>
        <v>1335</v>
      </c>
    </row>
    <row r="351" spans="1:41" hidden="1" x14ac:dyDescent="0.25">
      <c r="A351" s="2">
        <v>375</v>
      </c>
      <c r="B351" s="2" t="s">
        <v>61</v>
      </c>
      <c r="C351" s="2" t="s">
        <v>4267</v>
      </c>
      <c r="D351" s="2" t="s">
        <v>36</v>
      </c>
      <c r="E351" s="2" t="s">
        <v>37</v>
      </c>
      <c r="F351" s="2" t="s">
        <v>4268</v>
      </c>
      <c r="G351" s="2" t="s">
        <v>3170</v>
      </c>
      <c r="H351" s="2" t="s">
        <v>4269</v>
      </c>
      <c r="I351" s="2" t="s">
        <v>55</v>
      </c>
      <c r="J351" s="2" t="s">
        <v>4270</v>
      </c>
      <c r="K351" s="2" t="s">
        <v>4271</v>
      </c>
      <c r="L351" s="2" t="s">
        <v>4272</v>
      </c>
      <c r="M351" s="2">
        <v>1106000</v>
      </c>
      <c r="N351" s="2">
        <v>1580000</v>
      </c>
      <c r="O351" s="2" t="s">
        <v>4273</v>
      </c>
      <c r="P351" s="8">
        <v>45736</v>
      </c>
      <c r="Q351" s="2" t="s">
        <v>4274</v>
      </c>
      <c r="R351" s="2" t="s">
        <v>4275</v>
      </c>
      <c r="S351" s="2" t="s">
        <v>4276</v>
      </c>
      <c r="T351" s="2" t="s">
        <v>4276</v>
      </c>
      <c r="U351" s="2" t="s">
        <v>334</v>
      </c>
      <c r="V351" s="2" t="s">
        <v>60</v>
      </c>
      <c r="W351" s="2" t="s">
        <v>42</v>
      </c>
      <c r="X351" s="2" t="s">
        <v>42</v>
      </c>
      <c r="Y351" s="2" t="s">
        <v>43</v>
      </c>
      <c r="Z351" s="2" t="s">
        <v>4277</v>
      </c>
      <c r="AA351" s="2">
        <v>5</v>
      </c>
      <c r="AB351" s="2" t="s">
        <v>76</v>
      </c>
      <c r="AC351" s="2" t="s">
        <v>4278</v>
      </c>
      <c r="AD351" s="2" t="s">
        <v>3104</v>
      </c>
      <c r="AE351" s="2" t="s">
        <v>46</v>
      </c>
      <c r="AF351" s="2">
        <v>1264000</v>
      </c>
      <c r="AG351" s="2">
        <v>18960</v>
      </c>
      <c r="AH351" s="2"/>
      <c r="AI351" s="2"/>
      <c r="AJ351" s="2" t="s">
        <v>37</v>
      </c>
      <c r="AK351" s="2" t="s">
        <v>5375</v>
      </c>
      <c r="AL351" s="3">
        <v>18960</v>
      </c>
      <c r="AM351" s="8">
        <v>45734</v>
      </c>
      <c r="AN351" s="2"/>
      <c r="AO351" s="7">
        <f t="shared" si="5"/>
        <v>0</v>
      </c>
    </row>
    <row r="352" spans="1:41" hidden="1" x14ac:dyDescent="0.25">
      <c r="A352" s="5">
        <v>376</v>
      </c>
      <c r="B352" s="5" t="s">
        <v>61</v>
      </c>
      <c r="C352" s="5" t="s">
        <v>4279</v>
      </c>
      <c r="D352" s="5" t="s">
        <v>36</v>
      </c>
      <c r="E352" s="5" t="s">
        <v>37</v>
      </c>
      <c r="F352" s="5" t="s">
        <v>59</v>
      </c>
      <c r="G352" s="5" t="s">
        <v>47</v>
      </c>
      <c r="H352" s="5" t="s">
        <v>4280</v>
      </c>
      <c r="I352" s="5" t="s">
        <v>4281</v>
      </c>
      <c r="J352" s="5" t="s">
        <v>4282</v>
      </c>
      <c r="K352" s="5" t="s">
        <v>4281</v>
      </c>
      <c r="L352" s="5" t="s">
        <v>4283</v>
      </c>
      <c r="M352" s="5">
        <v>1579967</v>
      </c>
      <c r="N352" s="5">
        <v>2500000</v>
      </c>
      <c r="O352" s="5" t="s">
        <v>4284</v>
      </c>
      <c r="P352" s="6">
        <v>45699</v>
      </c>
      <c r="Q352" s="5" t="s">
        <v>4285</v>
      </c>
      <c r="R352" s="5" t="s">
        <v>4286</v>
      </c>
      <c r="S352" s="5" t="s">
        <v>48</v>
      </c>
      <c r="T352" s="5" t="s">
        <v>4287</v>
      </c>
      <c r="U352" s="5" t="s">
        <v>334</v>
      </c>
      <c r="V352" s="5" t="s">
        <v>57</v>
      </c>
      <c r="W352" s="6">
        <v>45335</v>
      </c>
      <c r="X352" s="5" t="s">
        <v>3677</v>
      </c>
      <c r="Y352" s="5" t="s">
        <v>4288</v>
      </c>
      <c r="Z352" s="5" t="s">
        <v>4289</v>
      </c>
      <c r="AA352" s="5">
        <v>5</v>
      </c>
      <c r="AB352" s="5" t="s">
        <v>279</v>
      </c>
      <c r="AC352" s="5" t="s">
        <v>4290</v>
      </c>
      <c r="AD352" s="5" t="s">
        <v>4291</v>
      </c>
      <c r="AE352" s="5">
        <v>1.75</v>
      </c>
      <c r="AF352" s="5">
        <v>2250000</v>
      </c>
      <c r="AG352" s="5">
        <v>39375</v>
      </c>
      <c r="AH352" s="5"/>
      <c r="AI352" s="5"/>
      <c r="AJ352" s="5" t="s">
        <v>37</v>
      </c>
      <c r="AK352" s="2" t="s">
        <v>5376</v>
      </c>
      <c r="AL352" s="3">
        <v>39375</v>
      </c>
      <c r="AM352" s="8">
        <v>45713</v>
      </c>
      <c r="AN352" s="2"/>
      <c r="AO352" s="7">
        <f t="shared" si="5"/>
        <v>0</v>
      </c>
    </row>
    <row r="353" spans="1:41" hidden="1" x14ac:dyDescent="0.25">
      <c r="A353" s="2">
        <v>377</v>
      </c>
      <c r="B353" s="2" t="s">
        <v>61</v>
      </c>
      <c r="C353" s="2" t="s">
        <v>4292</v>
      </c>
      <c r="D353" s="2" t="s">
        <v>36</v>
      </c>
      <c r="E353" s="2" t="s">
        <v>37</v>
      </c>
      <c r="F353" s="2" t="s">
        <v>4293</v>
      </c>
      <c r="G353" s="2" t="s">
        <v>82</v>
      </c>
      <c r="H353" s="2" t="s">
        <v>4294</v>
      </c>
      <c r="I353" s="2" t="s">
        <v>4295</v>
      </c>
      <c r="J353" s="2" t="s">
        <v>55</v>
      </c>
      <c r="K353" s="2" t="s">
        <v>67</v>
      </c>
      <c r="L353" s="2" t="s">
        <v>4296</v>
      </c>
      <c r="M353" s="2">
        <v>1078639</v>
      </c>
      <c r="N353" s="2">
        <v>5433000</v>
      </c>
      <c r="O353" s="2" t="s">
        <v>4297</v>
      </c>
      <c r="P353" s="8">
        <v>45698</v>
      </c>
      <c r="Q353" s="2" t="s">
        <v>4298</v>
      </c>
      <c r="R353" s="2" t="s">
        <v>4299</v>
      </c>
      <c r="S353" s="2" t="s">
        <v>54</v>
      </c>
      <c r="T353" s="2" t="s">
        <v>55</v>
      </c>
      <c r="U353" s="2" t="s">
        <v>476</v>
      </c>
      <c r="V353" s="2" t="s">
        <v>91</v>
      </c>
      <c r="W353" s="8">
        <v>44161</v>
      </c>
      <c r="X353" s="2" t="s">
        <v>119</v>
      </c>
      <c r="Y353" s="2" t="s">
        <v>120</v>
      </c>
      <c r="Z353" s="2" t="s">
        <v>4300</v>
      </c>
      <c r="AA353" s="2">
        <v>5</v>
      </c>
      <c r="AB353" s="2" t="s">
        <v>55</v>
      </c>
      <c r="AC353" s="2" t="s">
        <v>55</v>
      </c>
      <c r="AD353" s="2" t="s">
        <v>55</v>
      </c>
      <c r="AE353" s="2">
        <v>1.5</v>
      </c>
      <c r="AF353" s="2">
        <v>4074750</v>
      </c>
      <c r="AG353" s="2">
        <v>61121</v>
      </c>
      <c r="AH353" s="2"/>
      <c r="AI353" s="2"/>
      <c r="AJ353" s="2" t="s">
        <v>37</v>
      </c>
      <c r="AK353" s="2" t="s">
        <v>5377</v>
      </c>
      <c r="AL353" s="3">
        <v>61121</v>
      </c>
      <c r="AM353" s="8">
        <v>45713</v>
      </c>
      <c r="AN353" s="2"/>
      <c r="AO353" s="7">
        <f t="shared" si="5"/>
        <v>0</v>
      </c>
    </row>
    <row r="354" spans="1:41" x14ac:dyDescent="0.25">
      <c r="A354" s="5">
        <v>378</v>
      </c>
      <c r="B354" s="5" t="s">
        <v>61</v>
      </c>
      <c r="C354" s="5" t="s">
        <v>4301</v>
      </c>
      <c r="D354" s="5" t="s">
        <v>36</v>
      </c>
      <c r="E354" s="5" t="s">
        <v>37</v>
      </c>
      <c r="F354" s="5" t="s">
        <v>4302</v>
      </c>
      <c r="G354" s="5" t="s">
        <v>111</v>
      </c>
      <c r="H354" s="5" t="s">
        <v>4303</v>
      </c>
      <c r="I354" s="5" t="s">
        <v>55</v>
      </c>
      <c r="J354" s="5" t="s">
        <v>4304</v>
      </c>
      <c r="K354" s="5" t="s">
        <v>55</v>
      </c>
      <c r="L354" s="5" t="s">
        <v>4305</v>
      </c>
      <c r="M354" s="5">
        <v>1511842</v>
      </c>
      <c r="N354" s="5">
        <v>4107000</v>
      </c>
      <c r="O354" s="5" t="s">
        <v>4306</v>
      </c>
      <c r="P354" s="6">
        <v>45698</v>
      </c>
      <c r="Q354" s="5" t="s">
        <v>4307</v>
      </c>
      <c r="R354" s="5" t="s">
        <v>4308</v>
      </c>
      <c r="S354" s="5" t="s">
        <v>54</v>
      </c>
      <c r="T354" s="5" t="s">
        <v>55</v>
      </c>
      <c r="U354" s="5" t="s">
        <v>4206</v>
      </c>
      <c r="V354" s="5" t="s">
        <v>57</v>
      </c>
      <c r="W354" s="6">
        <v>44617</v>
      </c>
      <c r="X354" s="5" t="s">
        <v>115</v>
      </c>
      <c r="Y354" s="5" t="s">
        <v>1839</v>
      </c>
      <c r="Z354" s="5" t="s">
        <v>4309</v>
      </c>
      <c r="AA354" s="5">
        <v>5</v>
      </c>
      <c r="AB354" s="5" t="s">
        <v>76</v>
      </c>
      <c r="AC354" s="5" t="s">
        <v>4310</v>
      </c>
      <c r="AD354" s="5" t="s">
        <v>4311</v>
      </c>
      <c r="AE354" s="5">
        <v>2</v>
      </c>
      <c r="AF354" s="5">
        <v>3285600</v>
      </c>
      <c r="AG354" s="5">
        <v>65712</v>
      </c>
      <c r="AH354" s="5"/>
      <c r="AI354" s="5"/>
      <c r="AJ354" s="5" t="s">
        <v>37</v>
      </c>
      <c r="AK354" s="2" t="s">
        <v>5378</v>
      </c>
      <c r="AL354" s="3">
        <v>61605</v>
      </c>
      <c r="AM354" s="8">
        <v>45713</v>
      </c>
      <c r="AN354" s="2" t="s">
        <v>5571</v>
      </c>
      <c r="AO354" s="7">
        <f t="shared" si="5"/>
        <v>4107</v>
      </c>
    </row>
    <row r="355" spans="1:41" x14ac:dyDescent="0.25">
      <c r="A355" s="2">
        <v>379</v>
      </c>
      <c r="B355" s="2" t="s">
        <v>61</v>
      </c>
      <c r="C355" s="2" t="s">
        <v>4312</v>
      </c>
      <c r="D355" s="2" t="s">
        <v>36</v>
      </c>
      <c r="E355" s="2" t="s">
        <v>37</v>
      </c>
      <c r="F355" s="2" t="s">
        <v>4313</v>
      </c>
      <c r="G355" s="2" t="s">
        <v>82</v>
      </c>
      <c r="H355" s="2" t="s">
        <v>4314</v>
      </c>
      <c r="I355" s="2" t="s">
        <v>4315</v>
      </c>
      <c r="J355" s="2" t="s">
        <v>55</v>
      </c>
      <c r="K355" s="2" t="s">
        <v>4316</v>
      </c>
      <c r="L355" s="2" t="s">
        <v>4317</v>
      </c>
      <c r="M355" s="2">
        <v>962351</v>
      </c>
      <c r="N355" s="2">
        <v>2700000</v>
      </c>
      <c r="O355" s="2" t="s">
        <v>4318</v>
      </c>
      <c r="P355" s="8">
        <v>45698</v>
      </c>
      <c r="Q355" s="2" t="s">
        <v>4319</v>
      </c>
      <c r="R355" s="2" t="s">
        <v>4320</v>
      </c>
      <c r="S355" s="2" t="s">
        <v>48</v>
      </c>
      <c r="T355" s="2" t="s">
        <v>4321</v>
      </c>
      <c r="U355" s="2" t="s">
        <v>1488</v>
      </c>
      <c r="V355" s="2" t="s">
        <v>158</v>
      </c>
      <c r="W355" s="8">
        <v>44607</v>
      </c>
      <c r="X355" s="2" t="s">
        <v>2966</v>
      </c>
      <c r="Y355" s="2" t="s">
        <v>3307</v>
      </c>
      <c r="Z355" s="2" t="s">
        <v>4322</v>
      </c>
      <c r="AA355" s="2">
        <v>5</v>
      </c>
      <c r="AB355" s="2" t="s">
        <v>76</v>
      </c>
      <c r="AC355" s="2" t="s">
        <v>4323</v>
      </c>
      <c r="AD355" s="2" t="s">
        <v>4311</v>
      </c>
      <c r="AE355" s="2">
        <v>1.5</v>
      </c>
      <c r="AF355" s="2">
        <v>2160000</v>
      </c>
      <c r="AG355" s="2">
        <v>32400</v>
      </c>
      <c r="AH355" s="2"/>
      <c r="AI355" s="2"/>
      <c r="AJ355" s="2" t="s">
        <v>37</v>
      </c>
      <c r="AK355" s="2" t="s">
        <v>5379</v>
      </c>
      <c r="AL355" s="3">
        <v>30375</v>
      </c>
      <c r="AM355" s="8">
        <v>45713</v>
      </c>
      <c r="AN355" s="2" t="s">
        <v>5572</v>
      </c>
      <c r="AO355" s="7">
        <f t="shared" si="5"/>
        <v>2025</v>
      </c>
    </row>
    <row r="356" spans="1:41" x14ac:dyDescent="0.25">
      <c r="A356" s="5">
        <v>380</v>
      </c>
      <c r="B356" s="5" t="s">
        <v>61</v>
      </c>
      <c r="C356" s="5" t="s">
        <v>4324</v>
      </c>
      <c r="D356" s="5" t="s">
        <v>36</v>
      </c>
      <c r="E356" s="5" t="s">
        <v>37</v>
      </c>
      <c r="F356" s="5" t="s">
        <v>4325</v>
      </c>
      <c r="G356" s="5" t="s">
        <v>111</v>
      </c>
      <c r="H356" s="5" t="s">
        <v>4326</v>
      </c>
      <c r="I356" s="5" t="s">
        <v>4327</v>
      </c>
      <c r="J356" s="5" t="s">
        <v>4327</v>
      </c>
      <c r="K356" s="5" t="s">
        <v>4328</v>
      </c>
      <c r="L356" s="5" t="s">
        <v>4329</v>
      </c>
      <c r="M356" s="5">
        <v>894792</v>
      </c>
      <c r="N356" s="5">
        <v>1975000</v>
      </c>
      <c r="O356" s="5" t="s">
        <v>4330</v>
      </c>
      <c r="P356" s="6">
        <v>45698</v>
      </c>
      <c r="Q356" s="5" t="s">
        <v>4331</v>
      </c>
      <c r="R356" s="5" t="s">
        <v>4332</v>
      </c>
      <c r="S356" s="5" t="s">
        <v>54</v>
      </c>
      <c r="T356" s="5" t="s">
        <v>55</v>
      </c>
      <c r="U356" s="5" t="s">
        <v>728</v>
      </c>
      <c r="V356" s="5" t="s">
        <v>57</v>
      </c>
      <c r="W356" s="6">
        <v>44616</v>
      </c>
      <c r="X356" s="5" t="s">
        <v>115</v>
      </c>
      <c r="Y356" s="5" t="s">
        <v>1839</v>
      </c>
      <c r="Z356" s="5" t="s">
        <v>4333</v>
      </c>
      <c r="AA356" s="5">
        <v>5</v>
      </c>
      <c r="AB356" s="5" t="s">
        <v>76</v>
      </c>
      <c r="AC356" s="5" t="s">
        <v>4334</v>
      </c>
      <c r="AD356" s="5" t="s">
        <v>4335</v>
      </c>
      <c r="AE356" s="5">
        <v>2</v>
      </c>
      <c r="AF356" s="5">
        <v>1580000</v>
      </c>
      <c r="AG356" s="5">
        <v>31600</v>
      </c>
      <c r="AH356" s="5"/>
      <c r="AI356" s="5"/>
      <c r="AJ356" s="5" t="s">
        <v>37</v>
      </c>
      <c r="AK356" s="2" t="s">
        <v>5380</v>
      </c>
      <c r="AL356" s="3">
        <v>29625</v>
      </c>
      <c r="AM356" s="8">
        <v>45713</v>
      </c>
      <c r="AN356" s="2" t="s">
        <v>5573</v>
      </c>
      <c r="AO356" s="7">
        <f t="shared" si="5"/>
        <v>1975</v>
      </c>
    </row>
    <row r="357" spans="1:41" x14ac:dyDescent="0.25">
      <c r="A357" s="2">
        <v>381</v>
      </c>
      <c r="B357" s="2" t="s">
        <v>61</v>
      </c>
      <c r="C357" s="2" t="s">
        <v>4336</v>
      </c>
      <c r="D357" s="2" t="s">
        <v>36</v>
      </c>
      <c r="E357" s="2" t="s">
        <v>37</v>
      </c>
      <c r="F357" s="2" t="s">
        <v>4337</v>
      </c>
      <c r="G357" s="2" t="s">
        <v>47</v>
      </c>
      <c r="H357" s="2" t="s">
        <v>4338</v>
      </c>
      <c r="I357" s="2" t="s">
        <v>55</v>
      </c>
      <c r="J357" s="2" t="s">
        <v>4339</v>
      </c>
      <c r="K357" s="2" t="s">
        <v>4340</v>
      </c>
      <c r="L357" s="2" t="s">
        <v>4341</v>
      </c>
      <c r="M357" s="2">
        <v>700513</v>
      </c>
      <c r="N357" s="2">
        <v>1825000</v>
      </c>
      <c r="O357" s="2" t="s">
        <v>4342</v>
      </c>
      <c r="P357" s="8">
        <v>45698</v>
      </c>
      <c r="Q357" s="2" t="s">
        <v>4343</v>
      </c>
      <c r="R357" s="2" t="s">
        <v>4344</v>
      </c>
      <c r="S357" s="2" t="s">
        <v>48</v>
      </c>
      <c r="T357" s="2" t="s">
        <v>4345</v>
      </c>
      <c r="U357" s="2" t="s">
        <v>123</v>
      </c>
      <c r="V357" s="2" t="s">
        <v>230</v>
      </c>
      <c r="W357" s="8">
        <v>44606</v>
      </c>
      <c r="X357" s="2" t="s">
        <v>2966</v>
      </c>
      <c r="Y357" s="2" t="s">
        <v>3307</v>
      </c>
      <c r="Z357" s="2" t="s">
        <v>4346</v>
      </c>
      <c r="AA357" s="2">
        <v>5</v>
      </c>
      <c r="AB357" s="2" t="s">
        <v>44</v>
      </c>
      <c r="AC357" s="2" t="s">
        <v>4347</v>
      </c>
      <c r="AD357" s="2" t="s">
        <v>2439</v>
      </c>
      <c r="AE357" s="2">
        <v>1.5</v>
      </c>
      <c r="AF357" s="2">
        <v>1460000</v>
      </c>
      <c r="AG357" s="2">
        <v>21900</v>
      </c>
      <c r="AH357" s="2"/>
      <c r="AI357" s="2"/>
      <c r="AJ357" s="2" t="s">
        <v>37</v>
      </c>
      <c r="AK357" s="2" t="s">
        <v>5381</v>
      </c>
      <c r="AL357" s="3">
        <v>20531</v>
      </c>
      <c r="AM357" s="8">
        <v>45713</v>
      </c>
      <c r="AN357" s="2" t="s">
        <v>5574</v>
      </c>
      <c r="AO357" s="7">
        <f t="shared" si="5"/>
        <v>1369</v>
      </c>
    </row>
    <row r="358" spans="1:41" hidden="1" x14ac:dyDescent="0.25">
      <c r="A358" s="5">
        <v>382</v>
      </c>
      <c r="B358" s="5" t="s">
        <v>61</v>
      </c>
      <c r="C358" s="5" t="s">
        <v>4348</v>
      </c>
      <c r="D358" s="5" t="s">
        <v>36</v>
      </c>
      <c r="E358" s="5" t="s">
        <v>37</v>
      </c>
      <c r="F358" s="5" t="s">
        <v>4349</v>
      </c>
      <c r="G358" s="5" t="s">
        <v>111</v>
      </c>
      <c r="H358" s="5" t="s">
        <v>4350</v>
      </c>
      <c r="I358" s="5" t="s">
        <v>4351</v>
      </c>
      <c r="J358" s="5" t="s">
        <v>4351</v>
      </c>
      <c r="K358" s="5" t="s">
        <v>4351</v>
      </c>
      <c r="L358" s="5" t="s">
        <v>4352</v>
      </c>
      <c r="M358" s="5">
        <v>838249</v>
      </c>
      <c r="N358" s="5">
        <v>1633000</v>
      </c>
      <c r="O358" s="5" t="s">
        <v>4353</v>
      </c>
      <c r="P358" s="6">
        <v>45698</v>
      </c>
      <c r="Q358" s="5" t="s">
        <v>4354</v>
      </c>
      <c r="R358" s="5" t="s">
        <v>4355</v>
      </c>
      <c r="S358" s="5" t="s">
        <v>54</v>
      </c>
      <c r="T358" s="5" t="s">
        <v>55</v>
      </c>
      <c r="U358" s="5" t="s">
        <v>1756</v>
      </c>
      <c r="V358" s="5" t="s">
        <v>91</v>
      </c>
      <c r="W358" s="6">
        <v>44243</v>
      </c>
      <c r="X358" s="5" t="s">
        <v>119</v>
      </c>
      <c r="Y358" s="5" t="s">
        <v>3321</v>
      </c>
      <c r="Z358" s="5" t="s">
        <v>4356</v>
      </c>
      <c r="AA358" s="5">
        <v>7</v>
      </c>
      <c r="AB358" s="5" t="s">
        <v>44</v>
      </c>
      <c r="AC358" s="5" t="s">
        <v>4357</v>
      </c>
      <c r="AD358" s="5" t="s">
        <v>3974</v>
      </c>
      <c r="AE358" s="5">
        <v>2</v>
      </c>
      <c r="AF358" s="5">
        <v>1224750</v>
      </c>
      <c r="AG358" s="5">
        <v>24495</v>
      </c>
      <c r="AH358" s="5"/>
      <c r="AI358" s="5"/>
      <c r="AJ358" s="5" t="s">
        <v>37</v>
      </c>
      <c r="AK358" s="2" t="s">
        <v>5382</v>
      </c>
      <c r="AL358" s="3">
        <v>24495</v>
      </c>
      <c r="AM358" s="8">
        <v>45713</v>
      </c>
      <c r="AN358" s="2"/>
      <c r="AO358" s="7">
        <f t="shared" si="5"/>
        <v>0</v>
      </c>
    </row>
    <row r="359" spans="1:41" x14ac:dyDescent="0.25">
      <c r="A359" s="2">
        <v>383</v>
      </c>
      <c r="B359" s="2" t="s">
        <v>61</v>
      </c>
      <c r="C359" s="2" t="s">
        <v>4358</v>
      </c>
      <c r="D359" s="2" t="s">
        <v>36</v>
      </c>
      <c r="E359" s="2" t="s">
        <v>37</v>
      </c>
      <c r="F359" s="2" t="s">
        <v>4359</v>
      </c>
      <c r="G359" s="2" t="s">
        <v>53</v>
      </c>
      <c r="H359" s="2" t="s">
        <v>4360</v>
      </c>
      <c r="I359" s="2" t="s">
        <v>4361</v>
      </c>
      <c r="J359" s="2" t="s">
        <v>4362</v>
      </c>
      <c r="K359" s="2" t="s">
        <v>4361</v>
      </c>
      <c r="L359" s="2" t="s">
        <v>4363</v>
      </c>
      <c r="M359" s="2">
        <v>633090</v>
      </c>
      <c r="N359" s="2">
        <v>1600000</v>
      </c>
      <c r="O359" s="2" t="s">
        <v>4364</v>
      </c>
      <c r="P359" s="8">
        <v>45698</v>
      </c>
      <c r="Q359" s="2" t="s">
        <v>4365</v>
      </c>
      <c r="R359" s="2" t="s">
        <v>4366</v>
      </c>
      <c r="S359" s="2" t="s">
        <v>48</v>
      </c>
      <c r="T359" s="2" t="s">
        <v>4367</v>
      </c>
      <c r="U359" s="2" t="s">
        <v>56</v>
      </c>
      <c r="V359" s="2" t="s">
        <v>230</v>
      </c>
      <c r="W359" s="8">
        <v>44606</v>
      </c>
      <c r="X359" s="2" t="s">
        <v>2966</v>
      </c>
      <c r="Y359" s="2" t="s">
        <v>3307</v>
      </c>
      <c r="Z359" s="2" t="s">
        <v>4368</v>
      </c>
      <c r="AA359" s="2">
        <v>5</v>
      </c>
      <c r="AB359" s="2" t="s">
        <v>76</v>
      </c>
      <c r="AC359" s="2" t="s">
        <v>4369</v>
      </c>
      <c r="AD359" s="2" t="s">
        <v>4311</v>
      </c>
      <c r="AE359" s="2">
        <v>1.5</v>
      </c>
      <c r="AF359" s="2">
        <v>1280000</v>
      </c>
      <c r="AG359" s="2">
        <v>19200</v>
      </c>
      <c r="AH359" s="2"/>
      <c r="AI359" s="2"/>
      <c r="AJ359" s="2" t="s">
        <v>37</v>
      </c>
      <c r="AK359" s="2" t="s">
        <v>5383</v>
      </c>
      <c r="AL359" s="3">
        <v>18000</v>
      </c>
      <c r="AM359" s="8">
        <v>45713</v>
      </c>
      <c r="AN359" s="2" t="s">
        <v>5575</v>
      </c>
      <c r="AO359" s="7">
        <f t="shared" si="5"/>
        <v>1200</v>
      </c>
    </row>
    <row r="360" spans="1:41" hidden="1" x14ac:dyDescent="0.25">
      <c r="A360" s="5">
        <v>384</v>
      </c>
      <c r="B360" s="5" t="s">
        <v>61</v>
      </c>
      <c r="C360" s="5" t="s">
        <v>4370</v>
      </c>
      <c r="D360" s="5" t="s">
        <v>36</v>
      </c>
      <c r="E360" s="5" t="s">
        <v>37</v>
      </c>
      <c r="F360" s="5" t="s">
        <v>4371</v>
      </c>
      <c r="G360" s="5" t="s">
        <v>53</v>
      </c>
      <c r="H360" s="5" t="s">
        <v>4372</v>
      </c>
      <c r="I360" s="5" t="s">
        <v>4373</v>
      </c>
      <c r="J360" s="5" t="s">
        <v>4374</v>
      </c>
      <c r="K360" s="5" t="s">
        <v>4373</v>
      </c>
      <c r="L360" s="5" t="s">
        <v>4375</v>
      </c>
      <c r="M360" s="5">
        <v>817724</v>
      </c>
      <c r="N360" s="5">
        <v>1335000</v>
      </c>
      <c r="O360" s="5" t="s">
        <v>4376</v>
      </c>
      <c r="P360" s="6">
        <v>45698</v>
      </c>
      <c r="Q360" s="5" t="s">
        <v>4377</v>
      </c>
      <c r="R360" s="5" t="s">
        <v>4378</v>
      </c>
      <c r="S360" s="5" t="s">
        <v>54</v>
      </c>
      <c r="T360" s="5" t="s">
        <v>55</v>
      </c>
      <c r="U360" s="5" t="s">
        <v>430</v>
      </c>
      <c r="V360" s="5" t="s">
        <v>57</v>
      </c>
      <c r="W360" s="6">
        <v>44463</v>
      </c>
      <c r="X360" s="5" t="s">
        <v>2966</v>
      </c>
      <c r="Y360" s="5" t="s">
        <v>4288</v>
      </c>
      <c r="Z360" s="5" t="s">
        <v>4379</v>
      </c>
      <c r="AA360" s="5">
        <v>7</v>
      </c>
      <c r="AB360" s="5" t="s">
        <v>44</v>
      </c>
      <c r="AC360" s="5" t="s">
        <v>4380</v>
      </c>
      <c r="AD360" s="5" t="s">
        <v>4381</v>
      </c>
      <c r="AE360" s="5">
        <v>2</v>
      </c>
      <c r="AF360" s="5">
        <v>1068000</v>
      </c>
      <c r="AG360" s="5">
        <v>21360</v>
      </c>
      <c r="AH360" s="5"/>
      <c r="AI360" s="5"/>
      <c r="AJ360" s="5" t="s">
        <v>37</v>
      </c>
      <c r="AK360" s="2" t="s">
        <v>5384</v>
      </c>
      <c r="AL360" s="3">
        <v>21360</v>
      </c>
      <c r="AM360" s="8">
        <v>45713</v>
      </c>
      <c r="AN360" s="2"/>
      <c r="AO360" s="7">
        <f t="shared" si="5"/>
        <v>0</v>
      </c>
    </row>
    <row r="361" spans="1:41" hidden="1" x14ac:dyDescent="0.25">
      <c r="A361" s="2">
        <v>385</v>
      </c>
      <c r="B361" s="2" t="s">
        <v>61</v>
      </c>
      <c r="C361" s="2" t="s">
        <v>4382</v>
      </c>
      <c r="D361" s="2" t="s">
        <v>36</v>
      </c>
      <c r="E361" s="2" t="s">
        <v>37</v>
      </c>
      <c r="F361" s="2" t="s">
        <v>4383</v>
      </c>
      <c r="G361" s="2" t="s">
        <v>53</v>
      </c>
      <c r="H361" s="2" t="s">
        <v>4384</v>
      </c>
      <c r="I361" s="2" t="s">
        <v>4385</v>
      </c>
      <c r="J361" s="2" t="s">
        <v>4386</v>
      </c>
      <c r="K361" s="2" t="s">
        <v>4385</v>
      </c>
      <c r="L361" s="2" t="s">
        <v>4387</v>
      </c>
      <c r="M361" s="2">
        <v>396498</v>
      </c>
      <c r="N361" s="2">
        <v>2200000</v>
      </c>
      <c r="O361" s="2" t="s">
        <v>4388</v>
      </c>
      <c r="P361" s="8">
        <v>45698</v>
      </c>
      <c r="Q361" s="2" t="s">
        <v>4389</v>
      </c>
      <c r="R361" s="2" t="s">
        <v>4390</v>
      </c>
      <c r="S361" s="2" t="s">
        <v>48</v>
      </c>
      <c r="T361" s="2" t="s">
        <v>4391</v>
      </c>
      <c r="U361" s="2" t="s">
        <v>162</v>
      </c>
      <c r="V361" s="2" t="s">
        <v>158</v>
      </c>
      <c r="W361" s="8">
        <v>44606</v>
      </c>
      <c r="X361" s="2" t="s">
        <v>2966</v>
      </c>
      <c r="Y361" s="2" t="s">
        <v>120</v>
      </c>
      <c r="Z361" s="2" t="s">
        <v>4392</v>
      </c>
      <c r="AA361" s="2">
        <v>4</v>
      </c>
      <c r="AB361" s="2" t="s">
        <v>76</v>
      </c>
      <c r="AC361" s="2" t="s">
        <v>4393</v>
      </c>
      <c r="AD361" s="2" t="s">
        <v>4311</v>
      </c>
      <c r="AE361" s="2">
        <v>1.5</v>
      </c>
      <c r="AF361" s="2">
        <v>1760000</v>
      </c>
      <c r="AG361" s="2">
        <v>26400</v>
      </c>
      <c r="AH361" s="2"/>
      <c r="AI361" s="2"/>
      <c r="AJ361" s="2" t="s">
        <v>37</v>
      </c>
      <c r="AK361" s="2" t="s">
        <v>5385</v>
      </c>
      <c r="AL361" s="3">
        <v>26400</v>
      </c>
      <c r="AM361" s="8">
        <v>45713</v>
      </c>
      <c r="AN361" s="2"/>
      <c r="AO361" s="7">
        <f t="shared" si="5"/>
        <v>0</v>
      </c>
    </row>
    <row r="362" spans="1:41" x14ac:dyDescent="0.25">
      <c r="A362" s="5">
        <v>386</v>
      </c>
      <c r="B362" s="5" t="s">
        <v>61</v>
      </c>
      <c r="C362" s="5" t="s">
        <v>4394</v>
      </c>
      <c r="D362" s="5" t="s">
        <v>36</v>
      </c>
      <c r="E362" s="5" t="s">
        <v>37</v>
      </c>
      <c r="F362" s="5" t="s">
        <v>4395</v>
      </c>
      <c r="G362" s="5" t="s">
        <v>111</v>
      </c>
      <c r="H362" s="5" t="s">
        <v>4396</v>
      </c>
      <c r="I362" s="5" t="s">
        <v>4397</v>
      </c>
      <c r="J362" s="5" t="s">
        <v>4397</v>
      </c>
      <c r="K362" s="5" t="s">
        <v>4397</v>
      </c>
      <c r="L362" s="5" t="s">
        <v>4398</v>
      </c>
      <c r="M362" s="5">
        <v>532701</v>
      </c>
      <c r="N362" s="5">
        <v>1178000</v>
      </c>
      <c r="O362" s="5" t="s">
        <v>4399</v>
      </c>
      <c r="P362" s="6">
        <v>45698</v>
      </c>
      <c r="Q362" s="5" t="s">
        <v>4400</v>
      </c>
      <c r="R362" s="5" t="s">
        <v>4401</v>
      </c>
      <c r="S362" s="5" t="s">
        <v>54</v>
      </c>
      <c r="T362" s="5" t="s">
        <v>55</v>
      </c>
      <c r="U362" s="5" t="s">
        <v>2931</v>
      </c>
      <c r="V362" s="5" t="s">
        <v>57</v>
      </c>
      <c r="W362" s="6">
        <v>44608</v>
      </c>
      <c r="X362" s="5" t="s">
        <v>2966</v>
      </c>
      <c r="Y362" s="5" t="s">
        <v>3307</v>
      </c>
      <c r="Z362" s="5" t="s">
        <v>4402</v>
      </c>
      <c r="AA362" s="5">
        <v>5</v>
      </c>
      <c r="AB362" s="5" t="s">
        <v>76</v>
      </c>
      <c r="AC362" s="5" t="s">
        <v>4403</v>
      </c>
      <c r="AD362" s="5" t="s">
        <v>4311</v>
      </c>
      <c r="AE362" s="5">
        <v>2</v>
      </c>
      <c r="AF362" s="5">
        <v>942400</v>
      </c>
      <c r="AG362" s="5">
        <v>18848</v>
      </c>
      <c r="AH362" s="5"/>
      <c r="AI362" s="5"/>
      <c r="AJ362" s="5" t="s">
        <v>37</v>
      </c>
      <c r="AK362" s="2" t="s">
        <v>5386</v>
      </c>
      <c r="AL362" s="3">
        <v>17670</v>
      </c>
      <c r="AM362" s="8">
        <v>45713</v>
      </c>
      <c r="AN362" s="2" t="s">
        <v>5576</v>
      </c>
      <c r="AO362" s="7">
        <f t="shared" si="5"/>
        <v>1178</v>
      </c>
    </row>
    <row r="363" spans="1:41" hidden="1" x14ac:dyDescent="0.25">
      <c r="A363" s="2">
        <v>387</v>
      </c>
      <c r="B363" s="2" t="s">
        <v>61</v>
      </c>
      <c r="C363" s="2" t="s">
        <v>4404</v>
      </c>
      <c r="D363" s="2" t="s">
        <v>36</v>
      </c>
      <c r="E363" s="2" t="s">
        <v>37</v>
      </c>
      <c r="F363" s="2" t="s">
        <v>4405</v>
      </c>
      <c r="G363" s="2" t="s">
        <v>111</v>
      </c>
      <c r="H363" s="2" t="s">
        <v>4406</v>
      </c>
      <c r="I363" s="2" t="s">
        <v>4407</v>
      </c>
      <c r="J363" s="2" t="s">
        <v>79</v>
      </c>
      <c r="K363" s="2" t="s">
        <v>4408</v>
      </c>
      <c r="L363" s="2" t="s">
        <v>4409</v>
      </c>
      <c r="M363" s="2">
        <v>363242</v>
      </c>
      <c r="N363" s="2">
        <v>2025000</v>
      </c>
      <c r="O363" s="2" t="s">
        <v>4410</v>
      </c>
      <c r="P363" s="8">
        <v>45698</v>
      </c>
      <c r="Q363" s="2" t="s">
        <v>4411</v>
      </c>
      <c r="R363" s="2" t="s">
        <v>4412</v>
      </c>
      <c r="S363" s="2" t="s">
        <v>98</v>
      </c>
      <c r="T363" s="2" t="s">
        <v>55</v>
      </c>
      <c r="U363" s="2" t="s">
        <v>4413</v>
      </c>
      <c r="V363" s="2" t="s">
        <v>49</v>
      </c>
      <c r="W363" s="8">
        <v>44245</v>
      </c>
      <c r="X363" s="2" t="s">
        <v>119</v>
      </c>
      <c r="Y363" s="2" t="s">
        <v>120</v>
      </c>
      <c r="Z363" s="2" t="s">
        <v>4414</v>
      </c>
      <c r="AA363" s="2">
        <v>5</v>
      </c>
      <c r="AB363" s="2" t="s">
        <v>51</v>
      </c>
      <c r="AC363" s="2" t="s">
        <v>4415</v>
      </c>
      <c r="AD363" s="2" t="s">
        <v>141</v>
      </c>
      <c r="AE363" s="2">
        <v>2</v>
      </c>
      <c r="AF363" s="2">
        <v>1518750</v>
      </c>
      <c r="AG363" s="2">
        <v>30375</v>
      </c>
      <c r="AH363" s="2"/>
      <c r="AI363" s="2"/>
      <c r="AJ363" s="2" t="s">
        <v>37</v>
      </c>
      <c r="AK363" s="2" t="s">
        <v>5387</v>
      </c>
      <c r="AL363" s="3">
        <v>30375</v>
      </c>
      <c r="AM363" s="8">
        <v>45709</v>
      </c>
      <c r="AN363" s="2"/>
      <c r="AO363" s="7">
        <f t="shared" si="5"/>
        <v>0</v>
      </c>
    </row>
    <row r="364" spans="1:41" hidden="1" x14ac:dyDescent="0.25">
      <c r="A364" s="5">
        <v>388</v>
      </c>
      <c r="B364" s="5" t="s">
        <v>61</v>
      </c>
      <c r="C364" s="5" t="s">
        <v>4416</v>
      </c>
      <c r="D364" s="5" t="s">
        <v>36</v>
      </c>
      <c r="E364" s="5" t="s">
        <v>37</v>
      </c>
      <c r="F364" s="5" t="s">
        <v>4417</v>
      </c>
      <c r="G364" s="5" t="s">
        <v>111</v>
      </c>
      <c r="H364" s="5" t="s">
        <v>4418</v>
      </c>
      <c r="I364" s="5" t="s">
        <v>4419</v>
      </c>
      <c r="J364" s="5" t="s">
        <v>4419</v>
      </c>
      <c r="K364" s="5" t="s">
        <v>4419</v>
      </c>
      <c r="L364" s="5" t="s">
        <v>4420</v>
      </c>
      <c r="M364" s="5">
        <v>328559</v>
      </c>
      <c r="N364" s="5">
        <v>1433000</v>
      </c>
      <c r="O364" s="5" t="s">
        <v>4421</v>
      </c>
      <c r="P364" s="6">
        <v>45698</v>
      </c>
      <c r="Q364" s="5" t="s">
        <v>4422</v>
      </c>
      <c r="R364" s="5" t="s">
        <v>4423</v>
      </c>
      <c r="S364" s="5" t="s">
        <v>54</v>
      </c>
      <c r="T364" s="5" t="s">
        <v>55</v>
      </c>
      <c r="U364" s="5" t="s">
        <v>773</v>
      </c>
      <c r="V364" s="5" t="s">
        <v>91</v>
      </c>
      <c r="W364" s="6">
        <v>44242</v>
      </c>
      <c r="X364" s="5" t="s">
        <v>119</v>
      </c>
      <c r="Y364" s="5" t="s">
        <v>120</v>
      </c>
      <c r="Z364" s="5" t="s">
        <v>4424</v>
      </c>
      <c r="AA364" s="5">
        <v>5</v>
      </c>
      <c r="AB364" s="5" t="s">
        <v>51</v>
      </c>
      <c r="AC364" s="5" t="s">
        <v>4425</v>
      </c>
      <c r="AD364" s="5" t="s">
        <v>141</v>
      </c>
      <c r="AE364" s="5">
        <v>2</v>
      </c>
      <c r="AF364" s="5">
        <v>1074750</v>
      </c>
      <c r="AG364" s="5">
        <v>21495</v>
      </c>
      <c r="AH364" s="5"/>
      <c r="AI364" s="5"/>
      <c r="AJ364" s="5" t="s">
        <v>37</v>
      </c>
      <c r="AK364" s="2" t="s">
        <v>5388</v>
      </c>
      <c r="AL364" s="3">
        <v>21495</v>
      </c>
      <c r="AM364" s="8">
        <v>45713</v>
      </c>
      <c r="AN364" s="2"/>
      <c r="AO364" s="7">
        <f t="shared" si="5"/>
        <v>0</v>
      </c>
    </row>
    <row r="365" spans="1:41" x14ac:dyDescent="0.25">
      <c r="A365" s="2">
        <v>389</v>
      </c>
      <c r="B365" s="2" t="s">
        <v>61</v>
      </c>
      <c r="C365" s="2" t="s">
        <v>4426</v>
      </c>
      <c r="D365" s="2" t="s">
        <v>36</v>
      </c>
      <c r="E365" s="2" t="s">
        <v>37</v>
      </c>
      <c r="F365" s="2" t="s">
        <v>4427</v>
      </c>
      <c r="G365" s="2" t="s">
        <v>111</v>
      </c>
      <c r="H365" s="2" t="s">
        <v>4428</v>
      </c>
      <c r="I365" s="2" t="s">
        <v>4429</v>
      </c>
      <c r="J365" s="2" t="s">
        <v>4429</v>
      </c>
      <c r="K365" s="2" t="s">
        <v>4429</v>
      </c>
      <c r="L365" s="2" t="s">
        <v>4430</v>
      </c>
      <c r="M365" s="2">
        <v>474816</v>
      </c>
      <c r="N365" s="2">
        <v>1200000</v>
      </c>
      <c r="O365" s="2" t="s">
        <v>4431</v>
      </c>
      <c r="P365" s="8">
        <v>45698</v>
      </c>
      <c r="Q365" s="2" t="s">
        <v>4432</v>
      </c>
      <c r="R365" s="2" t="s">
        <v>4433</v>
      </c>
      <c r="S365" s="2" t="s">
        <v>48</v>
      </c>
      <c r="T365" s="2" t="s">
        <v>4434</v>
      </c>
      <c r="U365" s="2" t="s">
        <v>4435</v>
      </c>
      <c r="V365" s="2" t="s">
        <v>230</v>
      </c>
      <c r="W365" s="8">
        <v>44608</v>
      </c>
      <c r="X365" s="2" t="s">
        <v>2966</v>
      </c>
      <c r="Y365" s="2" t="s">
        <v>3307</v>
      </c>
      <c r="Z365" s="2" t="s">
        <v>4436</v>
      </c>
      <c r="AA365" s="2">
        <v>5</v>
      </c>
      <c r="AB365" s="2" t="s">
        <v>76</v>
      </c>
      <c r="AC365" s="2" t="s">
        <v>4437</v>
      </c>
      <c r="AD365" s="2" t="s">
        <v>2439</v>
      </c>
      <c r="AE365" s="2">
        <v>1.5</v>
      </c>
      <c r="AF365" s="2">
        <v>960000</v>
      </c>
      <c r="AG365" s="2">
        <v>14400</v>
      </c>
      <c r="AH365" s="2"/>
      <c r="AI365" s="2"/>
      <c r="AJ365" s="2" t="s">
        <v>37</v>
      </c>
      <c r="AK365" s="2" t="s">
        <v>5389</v>
      </c>
      <c r="AL365" s="3">
        <v>13500</v>
      </c>
      <c r="AM365" s="8">
        <v>45713</v>
      </c>
      <c r="AN365" s="2" t="s">
        <v>5577</v>
      </c>
      <c r="AO365" s="7">
        <f t="shared" si="5"/>
        <v>900</v>
      </c>
    </row>
    <row r="366" spans="1:41" x14ac:dyDescent="0.25">
      <c r="A366" s="5">
        <v>390</v>
      </c>
      <c r="B366" s="5" t="s">
        <v>61</v>
      </c>
      <c r="C366" s="5" t="s">
        <v>4438</v>
      </c>
      <c r="D366" s="5" t="s">
        <v>36</v>
      </c>
      <c r="E366" s="5" t="s">
        <v>37</v>
      </c>
      <c r="F366" s="5" t="s">
        <v>4439</v>
      </c>
      <c r="G366" s="5" t="s">
        <v>144</v>
      </c>
      <c r="H366" s="5" t="s">
        <v>4440</v>
      </c>
      <c r="I366" s="5" t="s">
        <v>4441</v>
      </c>
      <c r="J366" s="5" t="s">
        <v>4441</v>
      </c>
      <c r="K366" s="5" t="s">
        <v>4441</v>
      </c>
      <c r="L366" s="5" t="s">
        <v>4442</v>
      </c>
      <c r="M366" s="5">
        <v>765121</v>
      </c>
      <c r="N366" s="5">
        <v>1975000</v>
      </c>
      <c r="O366" s="5" t="s">
        <v>4443</v>
      </c>
      <c r="P366" s="6">
        <v>45689</v>
      </c>
      <c r="Q366" s="5" t="s">
        <v>4444</v>
      </c>
      <c r="R366" s="5" t="s">
        <v>4445</v>
      </c>
      <c r="S366" s="5" t="s">
        <v>54</v>
      </c>
      <c r="T366" s="5" t="s">
        <v>55</v>
      </c>
      <c r="U366" s="5" t="s">
        <v>728</v>
      </c>
      <c r="V366" s="5" t="s">
        <v>57</v>
      </c>
      <c r="W366" s="6">
        <v>44586</v>
      </c>
      <c r="X366" s="5" t="s">
        <v>4311</v>
      </c>
      <c r="Y366" s="5" t="s">
        <v>4446</v>
      </c>
      <c r="Z366" s="5" t="s">
        <v>4447</v>
      </c>
      <c r="AA366" s="5">
        <v>5</v>
      </c>
      <c r="AB366" s="5" t="s">
        <v>76</v>
      </c>
      <c r="AC366" s="5" t="s">
        <v>4448</v>
      </c>
      <c r="AD366" s="5" t="s">
        <v>4449</v>
      </c>
      <c r="AE366" s="5">
        <v>2</v>
      </c>
      <c r="AF366" s="5">
        <v>1580000</v>
      </c>
      <c r="AG366" s="5">
        <v>31600</v>
      </c>
      <c r="AH366" s="5"/>
      <c r="AI366" s="5"/>
      <c r="AJ366" s="5" t="s">
        <v>37</v>
      </c>
      <c r="AK366" s="2" t="s">
        <v>5390</v>
      </c>
      <c r="AL366" s="3">
        <v>29625</v>
      </c>
      <c r="AM366" s="8">
        <v>45713</v>
      </c>
      <c r="AN366" s="2" t="s">
        <v>5578</v>
      </c>
      <c r="AO366" s="7">
        <f t="shared" si="5"/>
        <v>1975</v>
      </c>
    </row>
    <row r="367" spans="1:41" x14ac:dyDescent="0.25">
      <c r="A367" s="2">
        <v>391</v>
      </c>
      <c r="B367" s="2" t="s">
        <v>203</v>
      </c>
      <c r="C367" s="2" t="s">
        <v>4450</v>
      </c>
      <c r="D367" s="2" t="s">
        <v>36</v>
      </c>
      <c r="E367" s="2" t="s">
        <v>37</v>
      </c>
      <c r="F367" s="2" t="s">
        <v>4451</v>
      </c>
      <c r="G367" s="2" t="s">
        <v>206</v>
      </c>
      <c r="H367" s="2" t="s">
        <v>4452</v>
      </c>
      <c r="I367" s="2" t="s">
        <v>55</v>
      </c>
      <c r="J367" s="2" t="s">
        <v>4453</v>
      </c>
      <c r="K367" s="2" t="s">
        <v>4453</v>
      </c>
      <c r="L367" s="2" t="s">
        <v>4454</v>
      </c>
      <c r="M367" s="2">
        <v>764419</v>
      </c>
      <c r="N367" s="2">
        <v>1600000</v>
      </c>
      <c r="O367" s="2" t="s">
        <v>4455</v>
      </c>
      <c r="P367" s="8">
        <v>45697</v>
      </c>
      <c r="Q367" s="2" t="s">
        <v>4456</v>
      </c>
      <c r="R367" s="2" t="s">
        <v>4457</v>
      </c>
      <c r="S367" s="2" t="s">
        <v>48</v>
      </c>
      <c r="T367" s="2" t="s">
        <v>4458</v>
      </c>
      <c r="U367" s="2" t="s">
        <v>334</v>
      </c>
      <c r="V367" s="2" t="s">
        <v>91</v>
      </c>
      <c r="W367" s="8">
        <v>44603</v>
      </c>
      <c r="X367" s="2" t="s">
        <v>4311</v>
      </c>
      <c r="Y367" s="2" t="s">
        <v>4446</v>
      </c>
      <c r="Z367" s="2" t="s">
        <v>4459</v>
      </c>
      <c r="AA367" s="2">
        <v>5</v>
      </c>
      <c r="AB367" s="2" t="s">
        <v>44</v>
      </c>
      <c r="AC367" s="2" t="s">
        <v>4460</v>
      </c>
      <c r="AD367" s="2" t="s">
        <v>4381</v>
      </c>
      <c r="AE367" s="2">
        <v>1.5</v>
      </c>
      <c r="AF367" s="2">
        <v>1280000</v>
      </c>
      <c r="AG367" s="2">
        <v>19200</v>
      </c>
      <c r="AH367" s="2"/>
      <c r="AI367" s="2"/>
      <c r="AJ367" s="2" t="s">
        <v>37</v>
      </c>
      <c r="AK367" s="2" t="s">
        <v>5391</v>
      </c>
      <c r="AL367" s="3">
        <v>18000</v>
      </c>
      <c r="AM367" s="8">
        <v>45713</v>
      </c>
      <c r="AN367" s="2" t="s">
        <v>5579</v>
      </c>
      <c r="AO367" s="7">
        <f t="shared" si="5"/>
        <v>1200</v>
      </c>
    </row>
    <row r="368" spans="1:41" hidden="1" x14ac:dyDescent="0.25">
      <c r="A368" s="5">
        <v>392</v>
      </c>
      <c r="B368" s="5" t="s">
        <v>61</v>
      </c>
      <c r="C368" s="5" t="s">
        <v>4461</v>
      </c>
      <c r="D368" s="5" t="s">
        <v>36</v>
      </c>
      <c r="E368" s="5" t="s">
        <v>37</v>
      </c>
      <c r="F368" s="5" t="s">
        <v>4462</v>
      </c>
      <c r="G368" s="5" t="s">
        <v>47</v>
      </c>
      <c r="H368" s="5" t="s">
        <v>4463</v>
      </c>
      <c r="I368" s="5" t="s">
        <v>55</v>
      </c>
      <c r="J368" s="5" t="s">
        <v>4464</v>
      </c>
      <c r="K368" s="5" t="s">
        <v>55</v>
      </c>
      <c r="L368" s="5" t="s">
        <v>4465</v>
      </c>
      <c r="M368" s="5">
        <v>1046617</v>
      </c>
      <c r="N368" s="5">
        <v>4782000</v>
      </c>
      <c r="O368" s="5" t="s">
        <v>4466</v>
      </c>
      <c r="P368" s="6">
        <v>45689</v>
      </c>
      <c r="Q368" s="5" t="s">
        <v>4467</v>
      </c>
      <c r="R368" s="5" t="s">
        <v>4468</v>
      </c>
      <c r="S368" s="5" t="s">
        <v>54</v>
      </c>
      <c r="T368" s="5" t="s">
        <v>55</v>
      </c>
      <c r="U368" s="5" t="s">
        <v>2411</v>
      </c>
      <c r="V368" s="5" t="s">
        <v>57</v>
      </c>
      <c r="W368" s="6">
        <v>44438</v>
      </c>
      <c r="X368" s="5" t="s">
        <v>4311</v>
      </c>
      <c r="Y368" s="5" t="s">
        <v>4469</v>
      </c>
      <c r="Z368" s="5" t="s">
        <v>4470</v>
      </c>
      <c r="AA368" s="5">
        <v>4</v>
      </c>
      <c r="AB368" s="5" t="s">
        <v>55</v>
      </c>
      <c r="AC368" s="5" t="s">
        <v>55</v>
      </c>
      <c r="AD368" s="5" t="s">
        <v>55</v>
      </c>
      <c r="AE368" s="5">
        <v>2</v>
      </c>
      <c r="AF368" s="5">
        <v>3825600</v>
      </c>
      <c r="AG368" s="5">
        <v>76512</v>
      </c>
      <c r="AH368" s="5"/>
      <c r="AI368" s="5"/>
      <c r="AJ368" s="5" t="s">
        <v>37</v>
      </c>
      <c r="AK368" s="2" t="s">
        <v>5392</v>
      </c>
      <c r="AL368" s="3">
        <v>76512</v>
      </c>
      <c r="AM368" s="8">
        <v>45713</v>
      </c>
      <c r="AN368" s="2"/>
      <c r="AO368" s="7">
        <f t="shared" si="5"/>
        <v>0</v>
      </c>
    </row>
    <row r="369" spans="1:41" x14ac:dyDescent="0.25">
      <c r="A369" s="2">
        <v>393</v>
      </c>
      <c r="B369" s="2" t="s">
        <v>61</v>
      </c>
      <c r="C369" s="2" t="s">
        <v>4471</v>
      </c>
      <c r="D369" s="2" t="s">
        <v>36</v>
      </c>
      <c r="E369" s="2" t="s">
        <v>37</v>
      </c>
      <c r="F369" s="2" t="s">
        <v>4472</v>
      </c>
      <c r="G369" s="2" t="s">
        <v>64</v>
      </c>
      <c r="H369" s="2" t="s">
        <v>4473</v>
      </c>
      <c r="I369" s="2" t="s">
        <v>4474</v>
      </c>
      <c r="J369" s="2" t="s">
        <v>55</v>
      </c>
      <c r="K369" s="2" t="s">
        <v>4475</v>
      </c>
      <c r="L369" s="2" t="s">
        <v>4476</v>
      </c>
      <c r="M369" s="2">
        <v>750509</v>
      </c>
      <c r="N369" s="2">
        <v>1900000</v>
      </c>
      <c r="O369" s="2" t="s">
        <v>4477</v>
      </c>
      <c r="P369" s="8">
        <v>45697</v>
      </c>
      <c r="Q369" s="2" t="s">
        <v>4478</v>
      </c>
      <c r="R369" s="2" t="s">
        <v>4479</v>
      </c>
      <c r="S369" s="2" t="s">
        <v>48</v>
      </c>
      <c r="T369" s="2" t="s">
        <v>4480</v>
      </c>
      <c r="U369" s="2" t="s">
        <v>1367</v>
      </c>
      <c r="V369" s="2" t="s">
        <v>158</v>
      </c>
      <c r="W369" s="8">
        <v>44603</v>
      </c>
      <c r="X369" s="2" t="s">
        <v>4311</v>
      </c>
      <c r="Y369" s="2" t="s">
        <v>4446</v>
      </c>
      <c r="Z369" s="2" t="s">
        <v>4481</v>
      </c>
      <c r="AA369" s="2">
        <v>5</v>
      </c>
      <c r="AB369" s="2" t="s">
        <v>76</v>
      </c>
      <c r="AC369" s="2" t="s">
        <v>4482</v>
      </c>
      <c r="AD369" s="2" t="s">
        <v>4483</v>
      </c>
      <c r="AE369" s="2">
        <v>1.5</v>
      </c>
      <c r="AF369" s="2">
        <v>1520000</v>
      </c>
      <c r="AG369" s="2">
        <v>22800</v>
      </c>
      <c r="AH369" s="2"/>
      <c r="AI369" s="2"/>
      <c r="AJ369" s="2" t="s">
        <v>37</v>
      </c>
      <c r="AK369" s="2" t="s">
        <v>5393</v>
      </c>
      <c r="AL369" s="3">
        <v>21375</v>
      </c>
      <c r="AM369" s="8">
        <v>45713</v>
      </c>
      <c r="AN369" s="2" t="s">
        <v>5580</v>
      </c>
      <c r="AO369" s="7">
        <f t="shared" si="5"/>
        <v>1425</v>
      </c>
    </row>
    <row r="370" spans="1:41" x14ac:dyDescent="0.25">
      <c r="A370" s="5">
        <v>394</v>
      </c>
      <c r="B370" s="5" t="s">
        <v>61</v>
      </c>
      <c r="C370" s="5" t="s">
        <v>4484</v>
      </c>
      <c r="D370" s="5" t="s">
        <v>36</v>
      </c>
      <c r="E370" s="5" t="s">
        <v>37</v>
      </c>
      <c r="F370" s="5" t="s">
        <v>3849</v>
      </c>
      <c r="G370" s="5" t="s">
        <v>47</v>
      </c>
      <c r="H370" s="5" t="s">
        <v>4485</v>
      </c>
      <c r="I370" s="5" t="s">
        <v>55</v>
      </c>
      <c r="J370" s="5" t="s">
        <v>4486</v>
      </c>
      <c r="K370" s="5" t="s">
        <v>55</v>
      </c>
      <c r="L370" s="5" t="s">
        <v>4487</v>
      </c>
      <c r="M370" s="5">
        <v>1516074</v>
      </c>
      <c r="N370" s="5">
        <v>3720000</v>
      </c>
      <c r="O370" s="5" t="s">
        <v>4488</v>
      </c>
      <c r="P370" s="6">
        <v>45697</v>
      </c>
      <c r="Q370" s="5" t="s">
        <v>4489</v>
      </c>
      <c r="R370" s="5" t="s">
        <v>4490</v>
      </c>
      <c r="S370" s="5" t="s">
        <v>48</v>
      </c>
      <c r="T370" s="5" t="s">
        <v>4491</v>
      </c>
      <c r="U370" s="5" t="s">
        <v>1297</v>
      </c>
      <c r="V370" s="5" t="s">
        <v>230</v>
      </c>
      <c r="W370" s="6">
        <v>44608</v>
      </c>
      <c r="X370" s="5" t="s">
        <v>2966</v>
      </c>
      <c r="Y370" s="5" t="s">
        <v>3307</v>
      </c>
      <c r="Z370" s="5" t="s">
        <v>4492</v>
      </c>
      <c r="AA370" s="5">
        <v>5</v>
      </c>
      <c r="AB370" s="5" t="s">
        <v>44</v>
      </c>
      <c r="AC370" s="5" t="s">
        <v>4493</v>
      </c>
      <c r="AD370" s="5" t="s">
        <v>140</v>
      </c>
      <c r="AE370" s="5">
        <v>1.5</v>
      </c>
      <c r="AF370" s="5">
        <v>2976000</v>
      </c>
      <c r="AG370" s="5">
        <v>44640</v>
      </c>
      <c r="AH370" s="5"/>
      <c r="AI370" s="5"/>
      <c r="AJ370" s="5" t="s">
        <v>37</v>
      </c>
      <c r="AK370" s="2" t="s">
        <v>5394</v>
      </c>
      <c r="AL370" s="3">
        <v>41850</v>
      </c>
      <c r="AM370" s="8">
        <v>45713</v>
      </c>
      <c r="AN370" s="2" t="s">
        <v>5581</v>
      </c>
      <c r="AO370" s="7">
        <f t="shared" si="5"/>
        <v>2790</v>
      </c>
    </row>
    <row r="371" spans="1:41" x14ac:dyDescent="0.25">
      <c r="A371" s="2">
        <v>395</v>
      </c>
      <c r="B371" s="2" t="s">
        <v>61</v>
      </c>
      <c r="C371" s="2" t="s">
        <v>4494</v>
      </c>
      <c r="D371" s="2" t="s">
        <v>36</v>
      </c>
      <c r="E371" s="2" t="s">
        <v>37</v>
      </c>
      <c r="F371" s="2" t="s">
        <v>4495</v>
      </c>
      <c r="G371" s="2" t="s">
        <v>53</v>
      </c>
      <c r="H371" s="2" t="s">
        <v>4496</v>
      </c>
      <c r="I371" s="2" t="s">
        <v>4497</v>
      </c>
      <c r="J371" s="2" t="s">
        <v>4498</v>
      </c>
      <c r="K371" s="2" t="s">
        <v>4497</v>
      </c>
      <c r="L371" s="2" t="s">
        <v>4499</v>
      </c>
      <c r="M371" s="2">
        <v>1136199</v>
      </c>
      <c r="N371" s="2">
        <v>2933000</v>
      </c>
      <c r="O371" s="2" t="s">
        <v>4500</v>
      </c>
      <c r="P371" s="8">
        <v>45697</v>
      </c>
      <c r="Q371" s="2" t="s">
        <v>4501</v>
      </c>
      <c r="R371" s="2" t="s">
        <v>4502</v>
      </c>
      <c r="S371" s="2" t="s">
        <v>54</v>
      </c>
      <c r="T371" s="2" t="s">
        <v>55</v>
      </c>
      <c r="U371" s="2" t="s">
        <v>112</v>
      </c>
      <c r="V371" s="2" t="s">
        <v>57</v>
      </c>
      <c r="W371" s="8">
        <v>44490</v>
      </c>
      <c r="X371" s="2" t="s">
        <v>2966</v>
      </c>
      <c r="Y371" s="2" t="s">
        <v>3307</v>
      </c>
      <c r="Z371" s="2" t="s">
        <v>4503</v>
      </c>
      <c r="AA371" s="2">
        <v>5</v>
      </c>
      <c r="AB371" s="2" t="s">
        <v>44</v>
      </c>
      <c r="AC371" s="2" t="s">
        <v>4504</v>
      </c>
      <c r="AD371" s="2" t="s">
        <v>4381</v>
      </c>
      <c r="AE371" s="2">
        <v>2</v>
      </c>
      <c r="AF371" s="2">
        <v>2346400</v>
      </c>
      <c r="AG371" s="2">
        <v>46928</v>
      </c>
      <c r="AH371" s="2"/>
      <c r="AI371" s="2"/>
      <c r="AJ371" s="2" t="s">
        <v>37</v>
      </c>
      <c r="AK371" s="2" t="s">
        <v>5395</v>
      </c>
      <c r="AL371" s="3">
        <v>43995</v>
      </c>
      <c r="AM371" s="8">
        <v>45713</v>
      </c>
      <c r="AN371" s="2" t="s">
        <v>5582</v>
      </c>
      <c r="AO371" s="7">
        <f t="shared" si="5"/>
        <v>2933</v>
      </c>
    </row>
    <row r="372" spans="1:41" x14ac:dyDescent="0.25">
      <c r="A372" s="5">
        <v>396</v>
      </c>
      <c r="B372" s="5" t="s">
        <v>61</v>
      </c>
      <c r="C372" s="5" t="s">
        <v>4505</v>
      </c>
      <c r="D372" s="5" t="s">
        <v>36</v>
      </c>
      <c r="E372" s="5" t="s">
        <v>37</v>
      </c>
      <c r="F372" s="5" t="s">
        <v>4506</v>
      </c>
      <c r="G372" s="5" t="s">
        <v>82</v>
      </c>
      <c r="H372" s="5" t="s">
        <v>4507</v>
      </c>
      <c r="I372" s="5" t="s">
        <v>4508</v>
      </c>
      <c r="J372" s="5" t="s">
        <v>55</v>
      </c>
      <c r="K372" s="5" t="s">
        <v>4509</v>
      </c>
      <c r="L372" s="5" t="s">
        <v>4510</v>
      </c>
      <c r="M372" s="5">
        <v>1087262</v>
      </c>
      <c r="N372" s="5">
        <v>2933000</v>
      </c>
      <c r="O372" s="5" t="s">
        <v>4511</v>
      </c>
      <c r="P372" s="6">
        <v>45697</v>
      </c>
      <c r="Q372" s="5" t="s">
        <v>4512</v>
      </c>
      <c r="R372" s="5" t="s">
        <v>4513</v>
      </c>
      <c r="S372" s="5" t="s">
        <v>54</v>
      </c>
      <c r="T372" s="5" t="s">
        <v>55</v>
      </c>
      <c r="U372" s="5" t="s">
        <v>112</v>
      </c>
      <c r="V372" s="5" t="s">
        <v>57</v>
      </c>
      <c r="W372" s="6">
        <v>44497</v>
      </c>
      <c r="X372" s="5" t="s">
        <v>2966</v>
      </c>
      <c r="Y372" s="5" t="s">
        <v>3307</v>
      </c>
      <c r="Z372" s="5" t="s">
        <v>4514</v>
      </c>
      <c r="AA372" s="5">
        <v>5</v>
      </c>
      <c r="AB372" s="5" t="s">
        <v>44</v>
      </c>
      <c r="AC372" s="5" t="s">
        <v>4515</v>
      </c>
      <c r="AD372" s="5" t="s">
        <v>4381</v>
      </c>
      <c r="AE372" s="5">
        <v>2</v>
      </c>
      <c r="AF372" s="5">
        <v>2346400</v>
      </c>
      <c r="AG372" s="5">
        <v>46928</v>
      </c>
      <c r="AH372" s="5"/>
      <c r="AI372" s="5"/>
      <c r="AJ372" s="5" t="s">
        <v>37</v>
      </c>
      <c r="AK372" s="2" t="s">
        <v>5396</v>
      </c>
      <c r="AL372" s="3">
        <v>43995</v>
      </c>
      <c r="AM372" s="8">
        <v>45713</v>
      </c>
      <c r="AN372" s="2" t="s">
        <v>5583</v>
      </c>
      <c r="AO372" s="7">
        <f t="shared" si="5"/>
        <v>2933</v>
      </c>
    </row>
    <row r="373" spans="1:41" x14ac:dyDescent="0.25">
      <c r="A373" s="2">
        <v>397</v>
      </c>
      <c r="B373" s="2" t="s">
        <v>61</v>
      </c>
      <c r="C373" s="2" t="s">
        <v>4516</v>
      </c>
      <c r="D373" s="2" t="s">
        <v>36</v>
      </c>
      <c r="E373" s="2" t="s">
        <v>37</v>
      </c>
      <c r="F373" s="2" t="s">
        <v>4517</v>
      </c>
      <c r="G373" s="2" t="s">
        <v>111</v>
      </c>
      <c r="H373" s="2" t="s">
        <v>4518</v>
      </c>
      <c r="I373" s="2" t="s">
        <v>55</v>
      </c>
      <c r="J373" s="2" t="s">
        <v>4519</v>
      </c>
      <c r="K373" s="2" t="s">
        <v>55</v>
      </c>
      <c r="L373" s="2" t="s">
        <v>4520</v>
      </c>
      <c r="M373" s="2">
        <v>932685</v>
      </c>
      <c r="N373" s="2">
        <v>3300000</v>
      </c>
      <c r="O373" s="2" t="s">
        <v>4521</v>
      </c>
      <c r="P373" s="8">
        <v>45697</v>
      </c>
      <c r="Q373" s="2" t="s">
        <v>4522</v>
      </c>
      <c r="R373" s="2" t="s">
        <v>4523</v>
      </c>
      <c r="S373" s="2" t="s">
        <v>48</v>
      </c>
      <c r="T373" s="2" t="s">
        <v>4524</v>
      </c>
      <c r="U373" s="2" t="s">
        <v>90</v>
      </c>
      <c r="V373" s="2" t="s">
        <v>40</v>
      </c>
      <c r="W373" s="8">
        <v>44606</v>
      </c>
      <c r="X373" s="2" t="s">
        <v>2966</v>
      </c>
      <c r="Y373" s="2" t="s">
        <v>3307</v>
      </c>
      <c r="Z373" s="2" t="s">
        <v>4525</v>
      </c>
      <c r="AA373" s="2">
        <v>5</v>
      </c>
      <c r="AB373" s="2" t="s">
        <v>76</v>
      </c>
      <c r="AC373" s="2" t="s">
        <v>4526</v>
      </c>
      <c r="AD373" s="2" t="s">
        <v>4381</v>
      </c>
      <c r="AE373" s="2">
        <v>1.5</v>
      </c>
      <c r="AF373" s="2">
        <v>2640000</v>
      </c>
      <c r="AG373" s="2">
        <v>39600</v>
      </c>
      <c r="AH373" s="2"/>
      <c r="AI373" s="2"/>
      <c r="AJ373" s="2" t="s">
        <v>37</v>
      </c>
      <c r="AK373" s="2" t="s">
        <v>5397</v>
      </c>
      <c r="AL373" s="3">
        <v>37125</v>
      </c>
      <c r="AM373" s="8">
        <v>45713</v>
      </c>
      <c r="AN373" s="2" t="s">
        <v>5584</v>
      </c>
      <c r="AO373" s="7">
        <f t="shared" si="5"/>
        <v>2475</v>
      </c>
    </row>
    <row r="374" spans="1:41" x14ac:dyDescent="0.25">
      <c r="A374" s="5">
        <v>398</v>
      </c>
      <c r="B374" s="5" t="s">
        <v>61</v>
      </c>
      <c r="C374" s="5" t="s">
        <v>4527</v>
      </c>
      <c r="D374" s="5" t="s">
        <v>36</v>
      </c>
      <c r="E374" s="5" t="s">
        <v>37</v>
      </c>
      <c r="F374" s="5" t="s">
        <v>4528</v>
      </c>
      <c r="G374" s="5" t="s">
        <v>47</v>
      </c>
      <c r="H374" s="5" t="s">
        <v>4529</v>
      </c>
      <c r="I374" s="5" t="s">
        <v>4530</v>
      </c>
      <c r="J374" s="5" t="s">
        <v>4530</v>
      </c>
      <c r="K374" s="5" t="s">
        <v>67</v>
      </c>
      <c r="L374" s="5" t="s">
        <v>4531</v>
      </c>
      <c r="M374" s="5">
        <v>932685</v>
      </c>
      <c r="N374" s="5">
        <v>3000000</v>
      </c>
      <c r="O374" s="5" t="s">
        <v>4532</v>
      </c>
      <c r="P374" s="6">
        <v>45697</v>
      </c>
      <c r="Q374" s="5" t="s">
        <v>4533</v>
      </c>
      <c r="R374" s="5" t="s">
        <v>4534</v>
      </c>
      <c r="S374" s="5" t="s">
        <v>48</v>
      </c>
      <c r="T374" s="5" t="s">
        <v>4535</v>
      </c>
      <c r="U374" s="5" t="s">
        <v>4536</v>
      </c>
      <c r="V374" s="5" t="s">
        <v>91</v>
      </c>
      <c r="W374" s="6">
        <v>44606</v>
      </c>
      <c r="X374" s="5" t="s">
        <v>2966</v>
      </c>
      <c r="Y374" s="5" t="s">
        <v>3307</v>
      </c>
      <c r="Z374" s="5" t="s">
        <v>4537</v>
      </c>
      <c r="AA374" s="5">
        <v>5</v>
      </c>
      <c r="AB374" s="5" t="s">
        <v>44</v>
      </c>
      <c r="AC374" s="5" t="s">
        <v>4538</v>
      </c>
      <c r="AD374" s="5" t="s">
        <v>2439</v>
      </c>
      <c r="AE374" s="5">
        <v>1.5</v>
      </c>
      <c r="AF374" s="5">
        <v>2400000</v>
      </c>
      <c r="AG374" s="5">
        <v>36000</v>
      </c>
      <c r="AH374" s="5"/>
      <c r="AI374" s="5"/>
      <c r="AJ374" s="5" t="s">
        <v>37</v>
      </c>
      <c r="AK374" s="2" t="s">
        <v>5398</v>
      </c>
      <c r="AL374" s="3">
        <v>33750</v>
      </c>
      <c r="AM374" s="8">
        <v>45713</v>
      </c>
      <c r="AN374" s="2" t="s">
        <v>5585</v>
      </c>
      <c r="AO374" s="7">
        <f t="shared" si="5"/>
        <v>2250</v>
      </c>
    </row>
    <row r="375" spans="1:41" hidden="1" x14ac:dyDescent="0.25">
      <c r="A375" s="2">
        <v>399</v>
      </c>
      <c r="B375" s="2" t="s">
        <v>61</v>
      </c>
      <c r="C375" s="2" t="s">
        <v>4539</v>
      </c>
      <c r="D375" s="2" t="s">
        <v>36</v>
      </c>
      <c r="E375" s="2" t="s">
        <v>37</v>
      </c>
      <c r="F375" s="2" t="s">
        <v>4540</v>
      </c>
      <c r="G375" s="2" t="s">
        <v>111</v>
      </c>
      <c r="H375" s="2" t="s">
        <v>4541</v>
      </c>
      <c r="I375" s="2" t="s">
        <v>55</v>
      </c>
      <c r="J375" s="2" t="s">
        <v>4542</v>
      </c>
      <c r="K375" s="2" t="s">
        <v>55</v>
      </c>
      <c r="L375" s="2" t="s">
        <v>4543</v>
      </c>
      <c r="M375" s="2">
        <v>503939</v>
      </c>
      <c r="N375" s="2">
        <v>2550000</v>
      </c>
      <c r="O375" s="2" t="s">
        <v>4544</v>
      </c>
      <c r="P375" s="8">
        <v>45697</v>
      </c>
      <c r="Q375" s="2" t="s">
        <v>4545</v>
      </c>
      <c r="R375" s="2" t="s">
        <v>4546</v>
      </c>
      <c r="S375" s="2" t="s">
        <v>98</v>
      </c>
      <c r="T375" s="2" t="s">
        <v>55</v>
      </c>
      <c r="U375" s="2" t="s">
        <v>4547</v>
      </c>
      <c r="V375" s="2" t="s">
        <v>40</v>
      </c>
      <c r="W375" s="8">
        <v>44239</v>
      </c>
      <c r="X375" s="2" t="s">
        <v>141</v>
      </c>
      <c r="Y375" s="2" t="s">
        <v>4469</v>
      </c>
      <c r="Z375" s="2" t="s">
        <v>4548</v>
      </c>
      <c r="AA375" s="2">
        <v>5</v>
      </c>
      <c r="AB375" s="2" t="s">
        <v>44</v>
      </c>
      <c r="AC375" s="2" t="s">
        <v>4549</v>
      </c>
      <c r="AD375" s="2" t="s">
        <v>141</v>
      </c>
      <c r="AE375" s="2">
        <v>2</v>
      </c>
      <c r="AF375" s="2">
        <v>1912500</v>
      </c>
      <c r="AG375" s="2">
        <v>38250</v>
      </c>
      <c r="AH375" s="2"/>
      <c r="AI375" s="2"/>
      <c r="AJ375" s="2" t="s">
        <v>37</v>
      </c>
      <c r="AK375" s="2" t="s">
        <v>5399</v>
      </c>
      <c r="AL375" s="3">
        <v>38250</v>
      </c>
      <c r="AM375" s="8">
        <v>45713</v>
      </c>
      <c r="AN375" s="2"/>
      <c r="AO375" s="7">
        <f t="shared" si="5"/>
        <v>0</v>
      </c>
    </row>
    <row r="376" spans="1:41" x14ac:dyDescent="0.25">
      <c r="A376" s="5">
        <v>400</v>
      </c>
      <c r="B376" s="5" t="s">
        <v>61</v>
      </c>
      <c r="C376" s="5" t="s">
        <v>4550</v>
      </c>
      <c r="D376" s="5" t="s">
        <v>36</v>
      </c>
      <c r="E376" s="5" t="s">
        <v>37</v>
      </c>
      <c r="F376" s="5" t="s">
        <v>4551</v>
      </c>
      <c r="G376" s="5" t="s">
        <v>111</v>
      </c>
      <c r="H376" s="5" t="s">
        <v>4552</v>
      </c>
      <c r="I376" s="5" t="s">
        <v>4553</v>
      </c>
      <c r="J376" s="5" t="s">
        <v>4553</v>
      </c>
      <c r="K376" s="5" t="s">
        <v>4554</v>
      </c>
      <c r="L376" s="5" t="s">
        <v>4555</v>
      </c>
      <c r="M376" s="5">
        <v>700434</v>
      </c>
      <c r="N376" s="5">
        <v>1546000</v>
      </c>
      <c r="O376" s="5" t="s">
        <v>4556</v>
      </c>
      <c r="P376" s="6">
        <v>45697</v>
      </c>
      <c r="Q376" s="5" t="s">
        <v>4557</v>
      </c>
      <c r="R376" s="5" t="s">
        <v>4558</v>
      </c>
      <c r="S376" s="5" t="s">
        <v>54</v>
      </c>
      <c r="T376" s="5" t="s">
        <v>55</v>
      </c>
      <c r="U376" s="5" t="s">
        <v>334</v>
      </c>
      <c r="V376" s="5" t="s">
        <v>57</v>
      </c>
      <c r="W376" s="6">
        <v>44616</v>
      </c>
      <c r="X376" s="5" t="s">
        <v>115</v>
      </c>
      <c r="Y376" s="5" t="s">
        <v>1839</v>
      </c>
      <c r="Z376" s="5" t="s">
        <v>4559</v>
      </c>
      <c r="AA376" s="5">
        <v>5</v>
      </c>
      <c r="AB376" s="5" t="s">
        <v>76</v>
      </c>
      <c r="AC376" s="5" t="s">
        <v>4560</v>
      </c>
      <c r="AD376" s="5" t="s">
        <v>4381</v>
      </c>
      <c r="AE376" s="5">
        <v>2</v>
      </c>
      <c r="AF376" s="5">
        <v>1236800</v>
      </c>
      <c r="AG376" s="5">
        <v>24736</v>
      </c>
      <c r="AH376" s="5"/>
      <c r="AI376" s="5"/>
      <c r="AJ376" s="5" t="s">
        <v>37</v>
      </c>
      <c r="AK376" s="2" t="s">
        <v>5400</v>
      </c>
      <c r="AL376" s="3">
        <v>23190</v>
      </c>
      <c r="AM376" s="8">
        <v>45713</v>
      </c>
      <c r="AN376" s="2" t="s">
        <v>5586</v>
      </c>
      <c r="AO376" s="7">
        <f t="shared" si="5"/>
        <v>1546</v>
      </c>
    </row>
    <row r="377" spans="1:41" x14ac:dyDescent="0.25">
      <c r="A377" s="2">
        <v>401</v>
      </c>
      <c r="B377" s="2" t="s">
        <v>61</v>
      </c>
      <c r="C377" s="2" t="s">
        <v>4561</v>
      </c>
      <c r="D377" s="2" t="s">
        <v>36</v>
      </c>
      <c r="E377" s="2" t="s">
        <v>37</v>
      </c>
      <c r="F377" s="2" t="s">
        <v>4562</v>
      </c>
      <c r="G377" s="2" t="s">
        <v>47</v>
      </c>
      <c r="H377" s="2" t="s">
        <v>4563</v>
      </c>
      <c r="I377" s="2" t="s">
        <v>4564</v>
      </c>
      <c r="J377" s="2" t="s">
        <v>4564</v>
      </c>
      <c r="K377" s="2" t="s">
        <v>67</v>
      </c>
      <c r="L377" s="2" t="s">
        <v>4565</v>
      </c>
      <c r="M377" s="2">
        <v>652453</v>
      </c>
      <c r="N377" s="2">
        <v>1539000</v>
      </c>
      <c r="O377" s="2" t="s">
        <v>4566</v>
      </c>
      <c r="P377" s="8">
        <v>45697</v>
      </c>
      <c r="Q377" s="2" t="s">
        <v>4567</v>
      </c>
      <c r="R377" s="2" t="s">
        <v>4568</v>
      </c>
      <c r="S377" s="2" t="s">
        <v>48</v>
      </c>
      <c r="T377" s="2" t="s">
        <v>55</v>
      </c>
      <c r="U377" s="2" t="s">
        <v>3011</v>
      </c>
      <c r="V377" s="2" t="s">
        <v>91</v>
      </c>
      <c r="W377" s="8">
        <v>44606</v>
      </c>
      <c r="X377" s="2" t="s">
        <v>2966</v>
      </c>
      <c r="Y377" s="2" t="s">
        <v>3307</v>
      </c>
      <c r="Z377" s="2" t="s">
        <v>4569</v>
      </c>
      <c r="AA377" s="2">
        <v>5</v>
      </c>
      <c r="AB377" s="2" t="s">
        <v>44</v>
      </c>
      <c r="AC377" s="2" t="s">
        <v>4570</v>
      </c>
      <c r="AD377" s="2" t="s">
        <v>4311</v>
      </c>
      <c r="AE377" s="2">
        <v>1.5</v>
      </c>
      <c r="AF377" s="2">
        <v>1231200</v>
      </c>
      <c r="AG377" s="2">
        <v>18468</v>
      </c>
      <c r="AH377" s="2"/>
      <c r="AI377" s="2"/>
      <c r="AJ377" s="2" t="s">
        <v>37</v>
      </c>
      <c r="AK377" s="2" t="s">
        <v>5401</v>
      </c>
      <c r="AL377" s="3">
        <v>17314</v>
      </c>
      <c r="AM377" s="8">
        <v>45713</v>
      </c>
      <c r="AN377" s="2" t="s">
        <v>5587</v>
      </c>
      <c r="AO377" s="7">
        <f t="shared" si="5"/>
        <v>1154</v>
      </c>
    </row>
    <row r="378" spans="1:41" hidden="1" x14ac:dyDescent="0.25">
      <c r="A378" s="5">
        <v>402</v>
      </c>
      <c r="B378" s="5" t="s">
        <v>61</v>
      </c>
      <c r="C378" s="5" t="s">
        <v>4571</v>
      </c>
      <c r="D378" s="5" t="s">
        <v>36</v>
      </c>
      <c r="E378" s="5" t="s">
        <v>37</v>
      </c>
      <c r="F378" s="5" t="s">
        <v>4572</v>
      </c>
      <c r="G378" s="5" t="s">
        <v>111</v>
      </c>
      <c r="H378" s="5" t="s">
        <v>4573</v>
      </c>
      <c r="I378" s="5" t="s">
        <v>55</v>
      </c>
      <c r="J378" s="5" t="s">
        <v>4574</v>
      </c>
      <c r="K378" s="5" t="s">
        <v>55</v>
      </c>
      <c r="L378" s="5" t="s">
        <v>4575</v>
      </c>
      <c r="M378" s="5">
        <v>369673</v>
      </c>
      <c r="N378" s="5">
        <v>1633000</v>
      </c>
      <c r="O378" s="5" t="s">
        <v>4576</v>
      </c>
      <c r="P378" s="6">
        <v>45697</v>
      </c>
      <c r="Q378" s="5" t="s">
        <v>4577</v>
      </c>
      <c r="R378" s="5" t="s">
        <v>4578</v>
      </c>
      <c r="S378" s="5" t="s">
        <v>54</v>
      </c>
      <c r="T378" s="5" t="s">
        <v>55</v>
      </c>
      <c r="U378" s="5" t="s">
        <v>4579</v>
      </c>
      <c r="V378" s="5" t="s">
        <v>91</v>
      </c>
      <c r="W378" s="6">
        <v>44165</v>
      </c>
      <c r="X378" s="5" t="s">
        <v>119</v>
      </c>
      <c r="Y378" s="5" t="s">
        <v>120</v>
      </c>
      <c r="Z378" s="5" t="s">
        <v>4580</v>
      </c>
      <c r="AA378" s="5">
        <v>5</v>
      </c>
      <c r="AB378" s="5" t="s">
        <v>44</v>
      </c>
      <c r="AC378" s="5" t="s">
        <v>4581</v>
      </c>
      <c r="AD378" s="5" t="s">
        <v>4582</v>
      </c>
      <c r="AE378" s="5">
        <v>2</v>
      </c>
      <c r="AF378" s="5">
        <v>1224750</v>
      </c>
      <c r="AG378" s="5">
        <v>24495</v>
      </c>
      <c r="AH378" s="5"/>
      <c r="AI378" s="5"/>
      <c r="AJ378" s="5" t="s">
        <v>37</v>
      </c>
      <c r="AK378" s="2" t="s">
        <v>5402</v>
      </c>
      <c r="AL378" s="3">
        <v>24495</v>
      </c>
      <c r="AM378" s="8">
        <v>45713</v>
      </c>
      <c r="AN378" s="2"/>
      <c r="AO378" s="7">
        <f t="shared" si="5"/>
        <v>0</v>
      </c>
    </row>
    <row r="379" spans="1:41" x14ac:dyDescent="0.25">
      <c r="A379" s="2">
        <v>403</v>
      </c>
      <c r="B379" s="2" t="s">
        <v>61</v>
      </c>
      <c r="C379" s="2" t="s">
        <v>4583</v>
      </c>
      <c r="D379" s="2" t="s">
        <v>36</v>
      </c>
      <c r="E379" s="2" t="s">
        <v>37</v>
      </c>
      <c r="F379" s="2" t="s">
        <v>4584</v>
      </c>
      <c r="G379" s="2" t="s">
        <v>144</v>
      </c>
      <c r="H379" s="2" t="s">
        <v>4585</v>
      </c>
      <c r="I379" s="2" t="s">
        <v>4586</v>
      </c>
      <c r="J379" s="2" t="s">
        <v>4586</v>
      </c>
      <c r="K379" s="2" t="s">
        <v>4587</v>
      </c>
      <c r="L379" s="2" t="s">
        <v>4588</v>
      </c>
      <c r="M379" s="2">
        <v>493508</v>
      </c>
      <c r="N379" s="2">
        <v>1500000</v>
      </c>
      <c r="O379" s="2" t="s">
        <v>4589</v>
      </c>
      <c r="P379" s="8">
        <v>45697</v>
      </c>
      <c r="Q379" s="2" t="s">
        <v>4590</v>
      </c>
      <c r="R379" s="2" t="s">
        <v>4591</v>
      </c>
      <c r="S379" s="2" t="s">
        <v>48</v>
      </c>
      <c r="T379" s="2" t="s">
        <v>4592</v>
      </c>
      <c r="U379" s="2" t="s">
        <v>728</v>
      </c>
      <c r="V379" s="2" t="s">
        <v>230</v>
      </c>
      <c r="W379" s="8">
        <v>44608</v>
      </c>
      <c r="X379" s="2" t="s">
        <v>2966</v>
      </c>
      <c r="Y379" s="2" t="s">
        <v>3307</v>
      </c>
      <c r="Z379" s="2" t="s">
        <v>4593</v>
      </c>
      <c r="AA379" s="2">
        <v>5</v>
      </c>
      <c r="AB379" s="2" t="s">
        <v>76</v>
      </c>
      <c r="AC379" s="2" t="s">
        <v>4594</v>
      </c>
      <c r="AD379" s="2" t="s">
        <v>4381</v>
      </c>
      <c r="AE379" s="2">
        <v>1.5</v>
      </c>
      <c r="AF379" s="2">
        <v>1200000</v>
      </c>
      <c r="AG379" s="2">
        <v>18000</v>
      </c>
      <c r="AH379" s="2"/>
      <c r="AI379" s="2"/>
      <c r="AJ379" s="2" t="s">
        <v>37</v>
      </c>
      <c r="AK379" s="2" t="s">
        <v>5403</v>
      </c>
      <c r="AL379" s="3">
        <v>16875</v>
      </c>
      <c r="AM379" s="8">
        <v>45713</v>
      </c>
      <c r="AN379" s="2" t="s">
        <v>5588</v>
      </c>
      <c r="AO379" s="7">
        <f t="shared" si="5"/>
        <v>1125</v>
      </c>
    </row>
    <row r="380" spans="1:41" hidden="1" x14ac:dyDescent="0.25">
      <c r="A380" s="5">
        <v>404</v>
      </c>
      <c r="B380" s="5" t="s">
        <v>61</v>
      </c>
      <c r="C380" s="5" t="s">
        <v>4595</v>
      </c>
      <c r="D380" s="5" t="s">
        <v>36</v>
      </c>
      <c r="E380" s="5" t="s">
        <v>37</v>
      </c>
      <c r="F380" s="5" t="s">
        <v>4596</v>
      </c>
      <c r="G380" s="5" t="s">
        <v>111</v>
      </c>
      <c r="H380" s="5" t="s">
        <v>4597</v>
      </c>
      <c r="I380" s="5" t="s">
        <v>4598</v>
      </c>
      <c r="J380" s="5" t="s">
        <v>4598</v>
      </c>
      <c r="K380" s="5" t="s">
        <v>4598</v>
      </c>
      <c r="L380" s="5" t="s">
        <v>4599</v>
      </c>
      <c r="M380" s="5">
        <v>516251</v>
      </c>
      <c r="N380" s="5">
        <v>2455000</v>
      </c>
      <c r="O380" s="5" t="s">
        <v>4600</v>
      </c>
      <c r="P380" s="6">
        <v>45690</v>
      </c>
      <c r="Q380" s="5" t="s">
        <v>4601</v>
      </c>
      <c r="R380" s="5" t="s">
        <v>4602</v>
      </c>
      <c r="S380" s="5" t="s">
        <v>54</v>
      </c>
      <c r="T380" s="5" t="s">
        <v>55</v>
      </c>
      <c r="U380" s="5" t="s">
        <v>4603</v>
      </c>
      <c r="V380" s="5" t="s">
        <v>91</v>
      </c>
      <c r="W380" s="6">
        <v>44183</v>
      </c>
      <c r="X380" s="5" t="s">
        <v>141</v>
      </c>
      <c r="Y380" s="5" t="s">
        <v>4469</v>
      </c>
      <c r="Z380" s="5" t="s">
        <v>4604</v>
      </c>
      <c r="AA380" s="5">
        <v>5</v>
      </c>
      <c r="AB380" s="5" t="s">
        <v>279</v>
      </c>
      <c r="AC380" s="5" t="s">
        <v>4605</v>
      </c>
      <c r="AD380" s="5" t="s">
        <v>477</v>
      </c>
      <c r="AE380" s="5">
        <v>2</v>
      </c>
      <c r="AF380" s="5">
        <v>1841250</v>
      </c>
      <c r="AG380" s="5">
        <v>36825</v>
      </c>
      <c r="AH380" s="5"/>
      <c r="AI380" s="5"/>
      <c r="AJ380" s="5" t="s">
        <v>37</v>
      </c>
      <c r="AK380" s="2" t="s">
        <v>5404</v>
      </c>
      <c r="AL380" s="3">
        <v>36825</v>
      </c>
      <c r="AM380" s="8">
        <v>45713</v>
      </c>
      <c r="AN380" s="2"/>
      <c r="AO380" s="7">
        <f t="shared" si="5"/>
        <v>0</v>
      </c>
    </row>
    <row r="381" spans="1:41" x14ac:dyDescent="0.25">
      <c r="A381" s="2">
        <v>405</v>
      </c>
      <c r="B381" s="2" t="s">
        <v>61</v>
      </c>
      <c r="C381" s="2" t="s">
        <v>4606</v>
      </c>
      <c r="D381" s="2" t="s">
        <v>36</v>
      </c>
      <c r="E381" s="2" t="s">
        <v>37</v>
      </c>
      <c r="F381" s="2" t="s">
        <v>4607</v>
      </c>
      <c r="G381" s="2" t="s">
        <v>111</v>
      </c>
      <c r="H381" s="2" t="s">
        <v>4608</v>
      </c>
      <c r="I381" s="2" t="s">
        <v>4609</v>
      </c>
      <c r="J381" s="2" t="s">
        <v>4609</v>
      </c>
      <c r="K381" s="2" t="s">
        <v>4610</v>
      </c>
      <c r="L381" s="2" t="s">
        <v>4611</v>
      </c>
      <c r="M381" s="2">
        <v>470595</v>
      </c>
      <c r="N381" s="2">
        <v>1113000</v>
      </c>
      <c r="O381" s="2" t="s">
        <v>4612</v>
      </c>
      <c r="P381" s="8">
        <v>45697</v>
      </c>
      <c r="Q381" s="2" t="s">
        <v>4613</v>
      </c>
      <c r="R381" s="2" t="s">
        <v>4614</v>
      </c>
      <c r="S381" s="2" t="s">
        <v>54</v>
      </c>
      <c r="T381" s="2" t="s">
        <v>55</v>
      </c>
      <c r="U381" s="2" t="s">
        <v>834</v>
      </c>
      <c r="V381" s="2" t="s">
        <v>57</v>
      </c>
      <c r="W381" s="8">
        <v>44449</v>
      </c>
      <c r="X381" s="2" t="s">
        <v>115</v>
      </c>
      <c r="Y381" s="2" t="s">
        <v>1839</v>
      </c>
      <c r="Z381" s="2" t="s">
        <v>4615</v>
      </c>
      <c r="AA381" s="2">
        <v>5</v>
      </c>
      <c r="AB381" s="2" t="s">
        <v>44</v>
      </c>
      <c r="AC381" s="2" t="s">
        <v>4616</v>
      </c>
      <c r="AD381" s="2" t="s">
        <v>4381</v>
      </c>
      <c r="AE381" s="2">
        <v>2</v>
      </c>
      <c r="AF381" s="2">
        <v>890400</v>
      </c>
      <c r="AG381" s="2">
        <v>17808</v>
      </c>
      <c r="AH381" s="2"/>
      <c r="AI381" s="2"/>
      <c r="AJ381" s="2" t="s">
        <v>37</v>
      </c>
      <c r="AK381" s="2" t="s">
        <v>5405</v>
      </c>
      <c r="AL381" s="3">
        <v>16695</v>
      </c>
      <c r="AM381" s="8">
        <v>45713</v>
      </c>
      <c r="AN381" s="2" t="s">
        <v>5589</v>
      </c>
      <c r="AO381" s="7">
        <f t="shared" si="5"/>
        <v>1113</v>
      </c>
    </row>
    <row r="382" spans="1:41" x14ac:dyDescent="0.25">
      <c r="A382" s="5">
        <v>406</v>
      </c>
      <c r="B382" s="5" t="s">
        <v>61</v>
      </c>
      <c r="C382" s="5" t="s">
        <v>4617</v>
      </c>
      <c r="D382" s="5" t="s">
        <v>36</v>
      </c>
      <c r="E382" s="5" t="s">
        <v>37</v>
      </c>
      <c r="F382" s="5" t="s">
        <v>4618</v>
      </c>
      <c r="G382" s="5" t="s">
        <v>47</v>
      </c>
      <c r="H382" s="5" t="s">
        <v>4619</v>
      </c>
      <c r="I382" s="5" t="s">
        <v>4620</v>
      </c>
      <c r="J382" s="5" t="s">
        <v>4621</v>
      </c>
      <c r="K382" s="5" t="s">
        <v>4622</v>
      </c>
      <c r="L382" s="5" t="s">
        <v>4623</v>
      </c>
      <c r="M382" s="5">
        <v>1588896</v>
      </c>
      <c r="N382" s="5">
        <v>4785000</v>
      </c>
      <c r="O382" s="5" t="s">
        <v>4624</v>
      </c>
      <c r="P382" s="6">
        <v>45690</v>
      </c>
      <c r="Q382" s="5" t="s">
        <v>4625</v>
      </c>
      <c r="R382" s="5" t="s">
        <v>4626</v>
      </c>
      <c r="S382" s="5" t="s">
        <v>54</v>
      </c>
      <c r="T382" s="5" t="s">
        <v>55</v>
      </c>
      <c r="U382" s="5" t="s">
        <v>4627</v>
      </c>
      <c r="V382" s="5" t="s">
        <v>57</v>
      </c>
      <c r="W382" s="6">
        <v>44571</v>
      </c>
      <c r="X382" s="5" t="s">
        <v>4311</v>
      </c>
      <c r="Y382" s="5" t="s">
        <v>4446</v>
      </c>
      <c r="Z382" s="5" t="s">
        <v>4628</v>
      </c>
      <c r="AA382" s="5">
        <v>5</v>
      </c>
      <c r="AB382" s="5" t="s">
        <v>44</v>
      </c>
      <c r="AC382" s="5" t="s">
        <v>4629</v>
      </c>
      <c r="AD382" s="5" t="s">
        <v>215</v>
      </c>
      <c r="AE382" s="5">
        <v>2</v>
      </c>
      <c r="AF382" s="5">
        <v>3828000</v>
      </c>
      <c r="AG382" s="5">
        <v>76560</v>
      </c>
      <c r="AH382" s="5"/>
      <c r="AI382" s="5"/>
      <c r="AJ382" s="5" t="s">
        <v>37</v>
      </c>
      <c r="AK382" s="2" t="s">
        <v>5406</v>
      </c>
      <c r="AL382" s="3">
        <v>71775</v>
      </c>
      <c r="AM382" s="8">
        <v>45713</v>
      </c>
      <c r="AN382" s="2" t="s">
        <v>5590</v>
      </c>
      <c r="AO382" s="7">
        <f t="shared" si="5"/>
        <v>4785</v>
      </c>
    </row>
    <row r="383" spans="1:41" x14ac:dyDescent="0.25">
      <c r="A383" s="2">
        <v>407</v>
      </c>
      <c r="B383" s="2" t="s">
        <v>61</v>
      </c>
      <c r="C383" s="2" t="s">
        <v>4630</v>
      </c>
      <c r="D383" s="2" t="s">
        <v>36</v>
      </c>
      <c r="E383" s="2" t="s">
        <v>37</v>
      </c>
      <c r="F383" s="2" t="s">
        <v>4631</v>
      </c>
      <c r="G383" s="2" t="s">
        <v>47</v>
      </c>
      <c r="H383" s="2" t="s">
        <v>4632</v>
      </c>
      <c r="I383" s="2" t="s">
        <v>4633</v>
      </c>
      <c r="J383" s="2" t="s">
        <v>4633</v>
      </c>
      <c r="K383" s="2" t="s">
        <v>4633</v>
      </c>
      <c r="L383" s="2" t="s">
        <v>4634</v>
      </c>
      <c r="M383" s="2">
        <v>1626164</v>
      </c>
      <c r="N383" s="2">
        <v>4500000</v>
      </c>
      <c r="O383" s="2" t="s">
        <v>4635</v>
      </c>
      <c r="P383" s="8">
        <v>45690</v>
      </c>
      <c r="Q383" s="2" t="s">
        <v>4636</v>
      </c>
      <c r="R383" s="2" t="s">
        <v>4637</v>
      </c>
      <c r="S383" s="2" t="s">
        <v>48</v>
      </c>
      <c r="T383" s="2" t="s">
        <v>4638</v>
      </c>
      <c r="U383" s="2" t="s">
        <v>157</v>
      </c>
      <c r="V383" s="2" t="s">
        <v>91</v>
      </c>
      <c r="W383" s="8">
        <v>44599</v>
      </c>
      <c r="X383" s="2" t="s">
        <v>4311</v>
      </c>
      <c r="Y383" s="2" t="s">
        <v>4446</v>
      </c>
      <c r="Z383" s="2" t="s">
        <v>4639</v>
      </c>
      <c r="AA383" s="2">
        <v>5</v>
      </c>
      <c r="AB383" s="2" t="s">
        <v>44</v>
      </c>
      <c r="AC383" s="2" t="s">
        <v>4640</v>
      </c>
      <c r="AD383" s="2" t="s">
        <v>4641</v>
      </c>
      <c r="AE383" s="2">
        <v>1.5</v>
      </c>
      <c r="AF383" s="2">
        <v>3600000</v>
      </c>
      <c r="AG383" s="2">
        <v>54000</v>
      </c>
      <c r="AH383" s="2"/>
      <c r="AI383" s="2"/>
      <c r="AJ383" s="2" t="s">
        <v>37</v>
      </c>
      <c r="AK383" s="2" t="s">
        <v>5407</v>
      </c>
      <c r="AL383" s="3">
        <v>50625</v>
      </c>
      <c r="AM383" s="8">
        <v>45713</v>
      </c>
      <c r="AN383" s="2" t="s">
        <v>5591</v>
      </c>
      <c r="AO383" s="7">
        <f t="shared" si="5"/>
        <v>3375</v>
      </c>
    </row>
    <row r="384" spans="1:41" x14ac:dyDescent="0.25">
      <c r="A384" s="5">
        <v>408</v>
      </c>
      <c r="B384" s="5" t="s">
        <v>61</v>
      </c>
      <c r="C384" s="5" t="s">
        <v>4642</v>
      </c>
      <c r="D384" s="5" t="s">
        <v>36</v>
      </c>
      <c r="E384" s="5" t="s">
        <v>37</v>
      </c>
      <c r="F384" s="5" t="s">
        <v>4643</v>
      </c>
      <c r="G384" s="5" t="s">
        <v>111</v>
      </c>
      <c r="H384" s="5" t="s">
        <v>4644</v>
      </c>
      <c r="I384" s="5" t="s">
        <v>4645</v>
      </c>
      <c r="J384" s="5" t="s">
        <v>4645</v>
      </c>
      <c r="K384" s="5" t="s">
        <v>4645</v>
      </c>
      <c r="L384" s="5" t="s">
        <v>4646</v>
      </c>
      <c r="M384" s="5">
        <v>1659001</v>
      </c>
      <c r="N384" s="5">
        <v>4200000</v>
      </c>
      <c r="O384" s="5" t="s">
        <v>4647</v>
      </c>
      <c r="P384" s="6">
        <v>45690</v>
      </c>
      <c r="Q384" s="5" t="s">
        <v>4648</v>
      </c>
      <c r="R384" s="5" t="s">
        <v>4649</v>
      </c>
      <c r="S384" s="5" t="s">
        <v>48</v>
      </c>
      <c r="T384" s="5" t="s">
        <v>4650</v>
      </c>
      <c r="U384" s="5" t="s">
        <v>90</v>
      </c>
      <c r="V384" s="5" t="s">
        <v>91</v>
      </c>
      <c r="W384" s="6">
        <v>44599</v>
      </c>
      <c r="X384" s="5" t="s">
        <v>4311</v>
      </c>
      <c r="Y384" s="5" t="s">
        <v>4446</v>
      </c>
      <c r="Z384" s="5" t="s">
        <v>4651</v>
      </c>
      <c r="AA384" s="5">
        <v>5</v>
      </c>
      <c r="AB384" s="5" t="s">
        <v>76</v>
      </c>
      <c r="AC384" s="5" t="s">
        <v>4652</v>
      </c>
      <c r="AD384" s="5" t="s">
        <v>215</v>
      </c>
      <c r="AE384" s="5">
        <v>1.5</v>
      </c>
      <c r="AF384" s="5">
        <v>3360000</v>
      </c>
      <c r="AG384" s="5">
        <v>50400</v>
      </c>
      <c r="AH384" s="5"/>
      <c r="AI384" s="5"/>
      <c r="AJ384" s="5" t="s">
        <v>37</v>
      </c>
      <c r="AK384" s="2" t="s">
        <v>5408</v>
      </c>
      <c r="AL384" s="3">
        <v>47250</v>
      </c>
      <c r="AM384" s="8">
        <v>45713</v>
      </c>
      <c r="AN384" s="2" t="s">
        <v>5592</v>
      </c>
      <c r="AO384" s="7">
        <f t="shared" si="5"/>
        <v>3150</v>
      </c>
    </row>
    <row r="385" spans="1:41" x14ac:dyDescent="0.25">
      <c r="A385" s="2">
        <v>409</v>
      </c>
      <c r="B385" s="2" t="s">
        <v>61</v>
      </c>
      <c r="C385" s="2" t="s">
        <v>4653</v>
      </c>
      <c r="D385" s="2" t="s">
        <v>36</v>
      </c>
      <c r="E385" s="2" t="s">
        <v>37</v>
      </c>
      <c r="F385" s="2" t="s">
        <v>4654</v>
      </c>
      <c r="G385" s="2" t="s">
        <v>111</v>
      </c>
      <c r="H385" s="2" t="s">
        <v>4655</v>
      </c>
      <c r="I385" s="2" t="s">
        <v>4656</v>
      </c>
      <c r="J385" s="2" t="s">
        <v>4656</v>
      </c>
      <c r="K385" s="2" t="s">
        <v>4656</v>
      </c>
      <c r="L385" s="2" t="s">
        <v>4657</v>
      </c>
      <c r="M385" s="2">
        <v>1641937</v>
      </c>
      <c r="N385" s="2">
        <v>4410000</v>
      </c>
      <c r="O385" s="2" t="s">
        <v>4658</v>
      </c>
      <c r="P385" s="8">
        <v>45690</v>
      </c>
      <c r="Q385" s="2" t="s">
        <v>4659</v>
      </c>
      <c r="R385" s="2" t="s">
        <v>4660</v>
      </c>
      <c r="S385" s="2" t="s">
        <v>48</v>
      </c>
      <c r="T385" s="2" t="s">
        <v>4661</v>
      </c>
      <c r="U385" s="2" t="s">
        <v>4662</v>
      </c>
      <c r="V385" s="2" t="s">
        <v>91</v>
      </c>
      <c r="W385" s="8">
        <v>44596</v>
      </c>
      <c r="X385" s="2" t="s">
        <v>4311</v>
      </c>
      <c r="Y385" s="2" t="s">
        <v>4446</v>
      </c>
      <c r="Z385" s="2" t="s">
        <v>4663</v>
      </c>
      <c r="AA385" s="2">
        <v>5</v>
      </c>
      <c r="AB385" s="2" t="s">
        <v>76</v>
      </c>
      <c r="AC385" s="2" t="s">
        <v>4664</v>
      </c>
      <c r="AD385" s="2" t="s">
        <v>215</v>
      </c>
      <c r="AE385" s="2">
        <v>1.5</v>
      </c>
      <c r="AF385" s="2">
        <v>3528000</v>
      </c>
      <c r="AG385" s="2">
        <v>52920</v>
      </c>
      <c r="AH385" s="2"/>
      <c r="AI385" s="2"/>
      <c r="AJ385" s="2" t="s">
        <v>37</v>
      </c>
      <c r="AK385" s="2" t="s">
        <v>5409</v>
      </c>
      <c r="AL385" s="3">
        <v>49613</v>
      </c>
      <c r="AM385" s="8">
        <v>45713</v>
      </c>
      <c r="AN385" s="2" t="s">
        <v>5593</v>
      </c>
      <c r="AO385" s="7">
        <f t="shared" si="5"/>
        <v>3307</v>
      </c>
    </row>
    <row r="386" spans="1:41" hidden="1" x14ac:dyDescent="0.25">
      <c r="A386" s="5">
        <v>410</v>
      </c>
      <c r="B386" s="5" t="s">
        <v>61</v>
      </c>
      <c r="C386" s="5" t="s">
        <v>4665</v>
      </c>
      <c r="D386" s="5" t="s">
        <v>36</v>
      </c>
      <c r="E386" s="5" t="s">
        <v>37</v>
      </c>
      <c r="F386" s="5" t="s">
        <v>4666</v>
      </c>
      <c r="G386" s="5" t="s">
        <v>206</v>
      </c>
      <c r="H386" s="5" t="s">
        <v>4667</v>
      </c>
      <c r="I386" s="5" t="s">
        <v>55</v>
      </c>
      <c r="J386" s="5" t="s">
        <v>4668</v>
      </c>
      <c r="K386" s="5" t="s">
        <v>55</v>
      </c>
      <c r="L386" s="5" t="s">
        <v>4669</v>
      </c>
      <c r="M386" s="5">
        <v>1220295</v>
      </c>
      <c r="N386" s="5">
        <v>5399000</v>
      </c>
      <c r="O386" s="5" t="s">
        <v>4670</v>
      </c>
      <c r="P386" s="6">
        <v>45696</v>
      </c>
      <c r="Q386" s="5" t="s">
        <v>4671</v>
      </c>
      <c r="R386" s="5" t="s">
        <v>4672</v>
      </c>
      <c r="S386" s="5" t="s">
        <v>54</v>
      </c>
      <c r="T386" s="5" t="s">
        <v>55</v>
      </c>
      <c r="U386" s="5" t="s">
        <v>476</v>
      </c>
      <c r="V386" s="5" t="s">
        <v>91</v>
      </c>
      <c r="W386" s="6">
        <v>44135</v>
      </c>
      <c r="X386" s="5" t="s">
        <v>119</v>
      </c>
      <c r="Y386" s="5" t="s">
        <v>120</v>
      </c>
      <c r="Z386" s="5" t="s">
        <v>4673</v>
      </c>
      <c r="AA386" s="5">
        <v>5</v>
      </c>
      <c r="AB386" s="5" t="s">
        <v>55</v>
      </c>
      <c r="AC386" s="5" t="s">
        <v>55</v>
      </c>
      <c r="AD386" s="5" t="s">
        <v>55</v>
      </c>
      <c r="AE386" s="5">
        <v>1.5</v>
      </c>
      <c r="AF386" s="5">
        <v>4049250</v>
      </c>
      <c r="AG386" s="5">
        <v>60739</v>
      </c>
      <c r="AH386" s="5"/>
      <c r="AI386" s="5"/>
      <c r="AJ386" s="5" t="s">
        <v>37</v>
      </c>
      <c r="AK386" s="2" t="s">
        <v>5410</v>
      </c>
      <c r="AL386" s="3">
        <v>60739</v>
      </c>
      <c r="AM386" s="8">
        <v>45713</v>
      </c>
      <c r="AN386" s="2"/>
      <c r="AO386" s="7">
        <f t="shared" ref="AO386:AO417" si="6">AG386-AL386</f>
        <v>0</v>
      </c>
    </row>
    <row r="387" spans="1:41" x14ac:dyDescent="0.25">
      <c r="A387" s="2">
        <v>411</v>
      </c>
      <c r="B387" s="2" t="s">
        <v>61</v>
      </c>
      <c r="C387" s="2" t="s">
        <v>4674</v>
      </c>
      <c r="D387" s="2" t="s">
        <v>36</v>
      </c>
      <c r="E387" s="2" t="s">
        <v>37</v>
      </c>
      <c r="F387" s="2" t="s">
        <v>4675</v>
      </c>
      <c r="G387" s="2" t="s">
        <v>111</v>
      </c>
      <c r="H387" s="2" t="s">
        <v>4676</v>
      </c>
      <c r="I387" s="2" t="s">
        <v>4677</v>
      </c>
      <c r="J387" s="2" t="s">
        <v>4677</v>
      </c>
      <c r="K387" s="2" t="s">
        <v>4677</v>
      </c>
      <c r="L387" s="2" t="s">
        <v>4678</v>
      </c>
      <c r="M387" s="2">
        <v>1114639</v>
      </c>
      <c r="N387" s="2">
        <v>2735000</v>
      </c>
      <c r="O387" s="2" t="s">
        <v>4679</v>
      </c>
      <c r="P387" s="8">
        <v>45696</v>
      </c>
      <c r="Q387" s="2" t="s">
        <v>4680</v>
      </c>
      <c r="R387" s="2" t="s">
        <v>4681</v>
      </c>
      <c r="S387" s="2" t="s">
        <v>54</v>
      </c>
      <c r="T387" s="2" t="s">
        <v>55</v>
      </c>
      <c r="U387" s="2" t="s">
        <v>152</v>
      </c>
      <c r="V387" s="2" t="s">
        <v>57</v>
      </c>
      <c r="W387" s="8">
        <v>44607</v>
      </c>
      <c r="X387" s="2" t="s">
        <v>2966</v>
      </c>
      <c r="Y387" s="2" t="s">
        <v>3307</v>
      </c>
      <c r="Z387" s="2" t="s">
        <v>4682</v>
      </c>
      <c r="AA387" s="2">
        <v>5</v>
      </c>
      <c r="AB387" s="2" t="s">
        <v>76</v>
      </c>
      <c r="AC387" s="2" t="s">
        <v>4683</v>
      </c>
      <c r="AD387" s="2" t="s">
        <v>4684</v>
      </c>
      <c r="AE387" s="2">
        <v>2</v>
      </c>
      <c r="AF387" s="2">
        <v>2188000</v>
      </c>
      <c r="AG387" s="2">
        <v>43760</v>
      </c>
      <c r="AH387" s="2"/>
      <c r="AI387" s="2"/>
      <c r="AJ387" s="2" t="s">
        <v>37</v>
      </c>
      <c r="AK387" s="2" t="s">
        <v>5411</v>
      </c>
      <c r="AL387" s="3">
        <v>41025</v>
      </c>
      <c r="AM387" s="8">
        <v>45713</v>
      </c>
      <c r="AN387" s="2" t="s">
        <v>5594</v>
      </c>
      <c r="AO387" s="7">
        <f t="shared" si="6"/>
        <v>2735</v>
      </c>
    </row>
    <row r="388" spans="1:41" hidden="1" x14ac:dyDescent="0.25">
      <c r="A388" s="5">
        <v>412</v>
      </c>
      <c r="B388" s="5" t="s">
        <v>61</v>
      </c>
      <c r="C388" s="5" t="s">
        <v>4685</v>
      </c>
      <c r="D388" s="5" t="s">
        <v>36</v>
      </c>
      <c r="E388" s="5" t="s">
        <v>37</v>
      </c>
      <c r="F388" s="5" t="s">
        <v>4686</v>
      </c>
      <c r="G388" s="5" t="s">
        <v>111</v>
      </c>
      <c r="H388" s="5" t="s">
        <v>4687</v>
      </c>
      <c r="I388" s="5" t="s">
        <v>4688</v>
      </c>
      <c r="J388" s="5" t="s">
        <v>4689</v>
      </c>
      <c r="K388" s="5" t="s">
        <v>4690</v>
      </c>
      <c r="L388" s="5" t="s">
        <v>4691</v>
      </c>
      <c r="M388" s="5">
        <v>1209860</v>
      </c>
      <c r="N388" s="5">
        <v>3343000</v>
      </c>
      <c r="O388" s="5" t="s">
        <v>4692</v>
      </c>
      <c r="P388" s="6">
        <v>45696</v>
      </c>
      <c r="Q388" s="5" t="s">
        <v>4693</v>
      </c>
      <c r="R388" s="5" t="s">
        <v>4694</v>
      </c>
      <c r="S388" s="5" t="s">
        <v>54</v>
      </c>
      <c r="T388" s="5" t="s">
        <v>55</v>
      </c>
      <c r="U388" s="5" t="s">
        <v>1297</v>
      </c>
      <c r="V388" s="5" t="s">
        <v>91</v>
      </c>
      <c r="W388" s="6">
        <v>44135</v>
      </c>
      <c r="X388" s="5" t="s">
        <v>141</v>
      </c>
      <c r="Y388" s="5" t="s">
        <v>4695</v>
      </c>
      <c r="Z388" s="5" t="s">
        <v>4696</v>
      </c>
      <c r="AA388" s="5">
        <v>7</v>
      </c>
      <c r="AB388" s="5" t="s">
        <v>44</v>
      </c>
      <c r="AC388" s="5" t="s">
        <v>4697</v>
      </c>
      <c r="AD388" s="5" t="s">
        <v>4698</v>
      </c>
      <c r="AE388" s="5">
        <v>2</v>
      </c>
      <c r="AF388" s="5">
        <v>2507250</v>
      </c>
      <c r="AG388" s="5">
        <v>50145</v>
      </c>
      <c r="AH388" s="5"/>
      <c r="AI388" s="5"/>
      <c r="AJ388" s="5" t="s">
        <v>37</v>
      </c>
      <c r="AK388" s="2" t="s">
        <v>5412</v>
      </c>
      <c r="AL388" s="3">
        <v>50145</v>
      </c>
      <c r="AM388" s="8">
        <v>45713</v>
      </c>
      <c r="AN388" s="2"/>
      <c r="AO388" s="7">
        <f t="shared" si="6"/>
        <v>0</v>
      </c>
    </row>
    <row r="389" spans="1:41" x14ac:dyDescent="0.25">
      <c r="A389" s="2">
        <v>413</v>
      </c>
      <c r="B389" s="2" t="s">
        <v>61</v>
      </c>
      <c r="C389" s="2" t="s">
        <v>4699</v>
      </c>
      <c r="D389" s="2" t="s">
        <v>36</v>
      </c>
      <c r="E389" s="2" t="s">
        <v>37</v>
      </c>
      <c r="F389" s="2" t="s">
        <v>4700</v>
      </c>
      <c r="G389" s="2" t="s">
        <v>47</v>
      </c>
      <c r="H389" s="2" t="s">
        <v>4701</v>
      </c>
      <c r="I389" s="2" t="s">
        <v>4702</v>
      </c>
      <c r="J389" s="2" t="s">
        <v>4702</v>
      </c>
      <c r="K389" s="2" t="s">
        <v>67</v>
      </c>
      <c r="L389" s="2" t="s">
        <v>4703</v>
      </c>
      <c r="M389" s="2">
        <v>812572</v>
      </c>
      <c r="N389" s="2">
        <v>1800000</v>
      </c>
      <c r="O389" s="2" t="s">
        <v>4704</v>
      </c>
      <c r="P389" s="8">
        <v>45696</v>
      </c>
      <c r="Q389" s="2" t="s">
        <v>4705</v>
      </c>
      <c r="R389" s="2" t="s">
        <v>4706</v>
      </c>
      <c r="S389" s="2" t="s">
        <v>48</v>
      </c>
      <c r="T389" s="2" t="s">
        <v>4707</v>
      </c>
      <c r="U389" s="2" t="s">
        <v>2752</v>
      </c>
      <c r="V389" s="2" t="s">
        <v>158</v>
      </c>
      <c r="W389" s="8">
        <v>44603</v>
      </c>
      <c r="X389" s="2" t="s">
        <v>4311</v>
      </c>
      <c r="Y389" s="2" t="s">
        <v>4446</v>
      </c>
      <c r="Z389" s="2" t="s">
        <v>4708</v>
      </c>
      <c r="AA389" s="2">
        <v>5</v>
      </c>
      <c r="AB389" s="2" t="s">
        <v>44</v>
      </c>
      <c r="AC389" s="2" t="s">
        <v>4709</v>
      </c>
      <c r="AD389" s="2" t="s">
        <v>4311</v>
      </c>
      <c r="AE389" s="2">
        <v>1.5</v>
      </c>
      <c r="AF389" s="2">
        <v>1440000</v>
      </c>
      <c r="AG389" s="2">
        <v>21600</v>
      </c>
      <c r="AH389" s="2"/>
      <c r="AI389" s="2"/>
      <c r="AJ389" s="2" t="s">
        <v>37</v>
      </c>
      <c r="AK389" s="2" t="s">
        <v>5413</v>
      </c>
      <c r="AL389" s="3">
        <v>20250</v>
      </c>
      <c r="AM389" s="8">
        <v>45713</v>
      </c>
      <c r="AN389" s="2" t="s">
        <v>5595</v>
      </c>
      <c r="AO389" s="7">
        <f t="shared" si="6"/>
        <v>1350</v>
      </c>
    </row>
    <row r="390" spans="1:41" hidden="1" x14ac:dyDescent="0.25">
      <c r="A390" s="5">
        <v>414</v>
      </c>
      <c r="B390" s="5" t="s">
        <v>61</v>
      </c>
      <c r="C390" s="5" t="s">
        <v>4710</v>
      </c>
      <c r="D390" s="5" t="s">
        <v>36</v>
      </c>
      <c r="E390" s="5" t="s">
        <v>37</v>
      </c>
      <c r="F390" s="5" t="s">
        <v>4711</v>
      </c>
      <c r="G390" s="5" t="s">
        <v>111</v>
      </c>
      <c r="H390" s="5" t="s">
        <v>4712</v>
      </c>
      <c r="I390" s="5" t="s">
        <v>4713</v>
      </c>
      <c r="J390" s="5" t="s">
        <v>4713</v>
      </c>
      <c r="K390" s="5" t="s">
        <v>4714</v>
      </c>
      <c r="L390" s="5" t="s">
        <v>4715</v>
      </c>
      <c r="M390" s="5">
        <v>902536</v>
      </c>
      <c r="N390" s="5">
        <v>2993000</v>
      </c>
      <c r="O390" s="5" t="s">
        <v>4716</v>
      </c>
      <c r="P390" s="6">
        <v>45696</v>
      </c>
      <c r="Q390" s="5" t="s">
        <v>4717</v>
      </c>
      <c r="R390" s="5" t="s">
        <v>4718</v>
      </c>
      <c r="S390" s="5" t="s">
        <v>54</v>
      </c>
      <c r="T390" s="5" t="s">
        <v>55</v>
      </c>
      <c r="U390" s="5" t="s">
        <v>3260</v>
      </c>
      <c r="V390" s="5" t="s">
        <v>91</v>
      </c>
      <c r="W390" s="6">
        <v>44238</v>
      </c>
      <c r="X390" s="5" t="s">
        <v>141</v>
      </c>
      <c r="Y390" s="5" t="s">
        <v>4695</v>
      </c>
      <c r="Z390" s="5" t="s">
        <v>4719</v>
      </c>
      <c r="AA390" s="5">
        <v>7</v>
      </c>
      <c r="AB390" s="5" t="s">
        <v>44</v>
      </c>
      <c r="AC390" s="5" t="s">
        <v>4720</v>
      </c>
      <c r="AD390" s="5" t="s">
        <v>4582</v>
      </c>
      <c r="AE390" s="5">
        <v>2</v>
      </c>
      <c r="AF390" s="5">
        <v>2244750</v>
      </c>
      <c r="AG390" s="5">
        <v>44895</v>
      </c>
      <c r="AH390" s="5"/>
      <c r="AI390" s="5"/>
      <c r="AJ390" s="5" t="s">
        <v>37</v>
      </c>
      <c r="AK390" s="2" t="s">
        <v>5414</v>
      </c>
      <c r="AL390" s="3">
        <v>44895</v>
      </c>
      <c r="AM390" s="8">
        <v>45713</v>
      </c>
      <c r="AN390" s="2"/>
      <c r="AO390" s="7">
        <f t="shared" si="6"/>
        <v>0</v>
      </c>
    </row>
    <row r="391" spans="1:41" hidden="1" x14ac:dyDescent="0.25">
      <c r="A391" s="2">
        <v>415</v>
      </c>
      <c r="B391" s="2" t="s">
        <v>61</v>
      </c>
      <c r="C391" s="2" t="s">
        <v>4721</v>
      </c>
      <c r="D391" s="2" t="s">
        <v>36</v>
      </c>
      <c r="E391" s="2" t="s">
        <v>37</v>
      </c>
      <c r="F391" s="2" t="s">
        <v>4722</v>
      </c>
      <c r="G391" s="2" t="s">
        <v>53</v>
      </c>
      <c r="H391" s="2" t="s">
        <v>4723</v>
      </c>
      <c r="I391" s="2" t="s">
        <v>4724</v>
      </c>
      <c r="J391" s="2" t="s">
        <v>4725</v>
      </c>
      <c r="K391" s="2" t="s">
        <v>4724</v>
      </c>
      <c r="L391" s="2" t="s">
        <v>4726</v>
      </c>
      <c r="M391" s="2">
        <v>1015556</v>
      </c>
      <c r="N391" s="2">
        <v>7549000</v>
      </c>
      <c r="O391" s="2" t="s">
        <v>4727</v>
      </c>
      <c r="P391" s="8">
        <v>45690</v>
      </c>
      <c r="Q391" s="2" t="s">
        <v>4728</v>
      </c>
      <c r="R391" s="2" t="s">
        <v>4729</v>
      </c>
      <c r="S391" s="2" t="s">
        <v>54</v>
      </c>
      <c r="T391" s="2" t="s">
        <v>55</v>
      </c>
      <c r="U391" s="2" t="s">
        <v>2233</v>
      </c>
      <c r="V391" s="2" t="s">
        <v>248</v>
      </c>
      <c r="W391" s="8">
        <v>44926</v>
      </c>
      <c r="X391" s="2" t="s">
        <v>4730</v>
      </c>
      <c r="Y391" s="2" t="s">
        <v>4469</v>
      </c>
      <c r="Z391" s="2" t="s">
        <v>4731</v>
      </c>
      <c r="AA391" s="2">
        <v>3</v>
      </c>
      <c r="AB391" s="2" t="s">
        <v>76</v>
      </c>
      <c r="AC391" s="2" t="s">
        <v>4732</v>
      </c>
      <c r="AD391" s="2" t="s">
        <v>4733</v>
      </c>
      <c r="AE391" s="2">
        <v>2</v>
      </c>
      <c r="AF391" s="2">
        <v>6416650</v>
      </c>
      <c r="AG391" s="2">
        <v>128333</v>
      </c>
      <c r="AH391" s="2"/>
      <c r="AI391" s="2"/>
      <c r="AJ391" s="2" t="s">
        <v>37</v>
      </c>
      <c r="AK391" s="2" t="s">
        <v>5415</v>
      </c>
      <c r="AL391" s="3">
        <v>128333</v>
      </c>
      <c r="AM391" s="8">
        <v>45713</v>
      </c>
      <c r="AN391" s="2"/>
      <c r="AO391" s="7">
        <f t="shared" si="6"/>
        <v>0</v>
      </c>
    </row>
    <row r="392" spans="1:41" hidden="1" x14ac:dyDescent="0.25">
      <c r="A392" s="5">
        <v>416</v>
      </c>
      <c r="B392" s="5" t="s">
        <v>61</v>
      </c>
      <c r="C392" s="5" t="s">
        <v>4734</v>
      </c>
      <c r="D392" s="5" t="s">
        <v>36</v>
      </c>
      <c r="E392" s="5" t="s">
        <v>37</v>
      </c>
      <c r="F392" s="5" t="s">
        <v>1689</v>
      </c>
      <c r="G392" s="5" t="s">
        <v>53</v>
      </c>
      <c r="H392" s="5" t="s">
        <v>4735</v>
      </c>
      <c r="I392" s="5" t="s">
        <v>4736</v>
      </c>
      <c r="J392" s="5" t="s">
        <v>4737</v>
      </c>
      <c r="K392" s="5" t="s">
        <v>4738</v>
      </c>
      <c r="L392" s="5" t="s">
        <v>4739</v>
      </c>
      <c r="M392" s="5">
        <v>1404375</v>
      </c>
      <c r="N392" s="5">
        <v>7530250</v>
      </c>
      <c r="O392" s="5" t="s">
        <v>4740</v>
      </c>
      <c r="P392" s="6">
        <v>45690</v>
      </c>
      <c r="Q392" s="5" t="s">
        <v>4741</v>
      </c>
      <c r="R392" s="5" t="s">
        <v>4742</v>
      </c>
      <c r="S392" s="5" t="s">
        <v>54</v>
      </c>
      <c r="T392" s="5" t="s">
        <v>55</v>
      </c>
      <c r="U392" s="5" t="s">
        <v>4743</v>
      </c>
      <c r="V392" s="5" t="s">
        <v>248</v>
      </c>
      <c r="W392" s="6">
        <v>44922</v>
      </c>
      <c r="X392" s="5" t="s">
        <v>4730</v>
      </c>
      <c r="Y392" s="5" t="s">
        <v>4469</v>
      </c>
      <c r="Z392" s="5" t="s">
        <v>4744</v>
      </c>
      <c r="AA392" s="5">
        <v>3</v>
      </c>
      <c r="AB392" s="5" t="s">
        <v>175</v>
      </c>
      <c r="AC392" s="5" t="s">
        <v>4745</v>
      </c>
      <c r="AD392" s="5" t="s">
        <v>4733</v>
      </c>
      <c r="AE392" s="5">
        <v>2</v>
      </c>
      <c r="AF392" s="5">
        <v>6400712.5</v>
      </c>
      <c r="AG392" s="5">
        <v>128014</v>
      </c>
      <c r="AH392" s="5"/>
      <c r="AI392" s="5"/>
      <c r="AJ392" s="5" t="s">
        <v>37</v>
      </c>
      <c r="AK392" s="2" t="s">
        <v>5416</v>
      </c>
      <c r="AL392" s="3">
        <v>128014</v>
      </c>
      <c r="AM392" s="8">
        <v>45713</v>
      </c>
      <c r="AN392" s="2"/>
      <c r="AO392" s="7">
        <f t="shared" si="6"/>
        <v>0</v>
      </c>
    </row>
    <row r="393" spans="1:41" x14ac:dyDescent="0.25">
      <c r="A393" s="2">
        <v>417</v>
      </c>
      <c r="B393" s="2" t="s">
        <v>61</v>
      </c>
      <c r="C393" s="2" t="s">
        <v>4746</v>
      </c>
      <c r="D393" s="2" t="s">
        <v>36</v>
      </c>
      <c r="E393" s="2" t="s">
        <v>37</v>
      </c>
      <c r="F393" s="2" t="s">
        <v>4747</v>
      </c>
      <c r="G393" s="2" t="s">
        <v>111</v>
      </c>
      <c r="H393" s="2" t="s">
        <v>4748</v>
      </c>
      <c r="I393" s="2" t="s">
        <v>55</v>
      </c>
      <c r="J393" s="2" t="s">
        <v>4749</v>
      </c>
      <c r="K393" s="2" t="s">
        <v>55</v>
      </c>
      <c r="L393" s="2" t="s">
        <v>4750</v>
      </c>
      <c r="M393" s="2">
        <v>668712</v>
      </c>
      <c r="N393" s="2">
        <v>1820000</v>
      </c>
      <c r="O393" s="2" t="s">
        <v>4751</v>
      </c>
      <c r="P393" s="8">
        <v>45696</v>
      </c>
      <c r="Q393" s="2" t="s">
        <v>4752</v>
      </c>
      <c r="R393" s="2" t="s">
        <v>4753</v>
      </c>
      <c r="S393" s="2" t="s">
        <v>48</v>
      </c>
      <c r="T393" s="2" t="s">
        <v>4754</v>
      </c>
      <c r="U393" s="2" t="s">
        <v>108</v>
      </c>
      <c r="V393" s="2" t="s">
        <v>114</v>
      </c>
      <c r="W393" s="8">
        <v>44609</v>
      </c>
      <c r="X393" s="2" t="s">
        <v>2966</v>
      </c>
      <c r="Y393" s="2" t="s">
        <v>3307</v>
      </c>
      <c r="Z393" s="2" t="s">
        <v>4755</v>
      </c>
      <c r="AA393" s="2">
        <v>5</v>
      </c>
      <c r="AB393" s="2" t="s">
        <v>76</v>
      </c>
      <c r="AC393" s="2" t="s">
        <v>4756</v>
      </c>
      <c r="AD393" s="2" t="s">
        <v>4684</v>
      </c>
      <c r="AE393" s="2">
        <v>1.5</v>
      </c>
      <c r="AF393" s="2">
        <v>1456000</v>
      </c>
      <c r="AG393" s="2">
        <v>21840</v>
      </c>
      <c r="AH393" s="2"/>
      <c r="AI393" s="2"/>
      <c r="AJ393" s="2" t="s">
        <v>37</v>
      </c>
      <c r="AK393" s="2" t="s">
        <v>5417</v>
      </c>
      <c r="AL393" s="3">
        <v>20475</v>
      </c>
      <c r="AM393" s="8">
        <v>45713</v>
      </c>
      <c r="AN393" s="2" t="s">
        <v>5596</v>
      </c>
      <c r="AO393" s="7">
        <f t="shared" si="6"/>
        <v>1365</v>
      </c>
    </row>
    <row r="394" spans="1:41" hidden="1" x14ac:dyDescent="0.25">
      <c r="A394" s="5">
        <v>418</v>
      </c>
      <c r="B394" s="5" t="s">
        <v>61</v>
      </c>
      <c r="C394" s="5" t="s">
        <v>4757</v>
      </c>
      <c r="D394" s="5" t="s">
        <v>36</v>
      </c>
      <c r="E394" s="5" t="s">
        <v>37</v>
      </c>
      <c r="F394" s="5" t="s">
        <v>4758</v>
      </c>
      <c r="G394" s="5" t="s">
        <v>64</v>
      </c>
      <c r="H394" s="5" t="s">
        <v>4759</v>
      </c>
      <c r="I394" s="5" t="s">
        <v>55</v>
      </c>
      <c r="J394" s="5" t="s">
        <v>4760</v>
      </c>
      <c r="K394" s="5" t="s">
        <v>4761</v>
      </c>
      <c r="L394" s="5" t="s">
        <v>4762</v>
      </c>
      <c r="M394" s="5">
        <v>389386</v>
      </c>
      <c r="N394" s="5">
        <v>1633000</v>
      </c>
      <c r="O394" s="5" t="s">
        <v>4763</v>
      </c>
      <c r="P394" s="6">
        <v>45696</v>
      </c>
      <c r="Q394" s="5" t="s">
        <v>4764</v>
      </c>
      <c r="R394" s="5" t="s">
        <v>4765</v>
      </c>
      <c r="S394" s="5" t="s">
        <v>54</v>
      </c>
      <c r="T394" s="5" t="s">
        <v>55</v>
      </c>
      <c r="U394" s="5" t="s">
        <v>798</v>
      </c>
      <c r="V394" s="5" t="s">
        <v>91</v>
      </c>
      <c r="W394" s="6">
        <v>44195</v>
      </c>
      <c r="X394" s="5" t="s">
        <v>119</v>
      </c>
      <c r="Y394" s="5" t="s">
        <v>120</v>
      </c>
      <c r="Z394" s="5" t="s">
        <v>4766</v>
      </c>
      <c r="AA394" s="5">
        <v>5</v>
      </c>
      <c r="AB394" s="5" t="s">
        <v>279</v>
      </c>
      <c r="AC394" s="5" t="s">
        <v>4767</v>
      </c>
      <c r="AD394" s="5" t="s">
        <v>4698</v>
      </c>
      <c r="AE394" s="5">
        <v>2</v>
      </c>
      <c r="AF394" s="5">
        <v>1224750</v>
      </c>
      <c r="AG394" s="5">
        <v>24495</v>
      </c>
      <c r="AH394" s="5"/>
      <c r="AI394" s="5"/>
      <c r="AJ394" s="5" t="s">
        <v>37</v>
      </c>
      <c r="AK394" s="2" t="s">
        <v>5418</v>
      </c>
      <c r="AL394" s="3">
        <v>24495</v>
      </c>
      <c r="AM394" s="8">
        <v>45713</v>
      </c>
      <c r="AN394" s="2"/>
      <c r="AO394" s="7">
        <f t="shared" si="6"/>
        <v>0</v>
      </c>
    </row>
    <row r="395" spans="1:41" hidden="1" x14ac:dyDescent="0.25">
      <c r="A395" s="2">
        <v>419</v>
      </c>
      <c r="B395" s="2" t="s">
        <v>61</v>
      </c>
      <c r="C395" s="2" t="s">
        <v>4768</v>
      </c>
      <c r="D395" s="2" t="s">
        <v>36</v>
      </c>
      <c r="E395" s="2" t="s">
        <v>37</v>
      </c>
      <c r="F395" s="2" t="s">
        <v>4769</v>
      </c>
      <c r="G395" s="2" t="s">
        <v>111</v>
      </c>
      <c r="H395" s="2" t="s">
        <v>4770</v>
      </c>
      <c r="I395" s="2" t="s">
        <v>4771</v>
      </c>
      <c r="J395" s="2" t="s">
        <v>4771</v>
      </c>
      <c r="K395" s="2" t="s">
        <v>4771</v>
      </c>
      <c r="L395" s="2" t="s">
        <v>4772</v>
      </c>
      <c r="M395" s="2">
        <v>704952</v>
      </c>
      <c r="N395" s="2">
        <v>1433000</v>
      </c>
      <c r="O395" s="2" t="s">
        <v>4773</v>
      </c>
      <c r="P395" s="8">
        <v>45696</v>
      </c>
      <c r="Q395" s="2" t="s">
        <v>4774</v>
      </c>
      <c r="R395" s="2" t="s">
        <v>4775</v>
      </c>
      <c r="S395" s="2" t="s">
        <v>54</v>
      </c>
      <c r="T395" s="2" t="s">
        <v>55</v>
      </c>
      <c r="U395" s="2" t="s">
        <v>2494</v>
      </c>
      <c r="V395" s="2" t="s">
        <v>91</v>
      </c>
      <c r="W395" s="8">
        <v>44245</v>
      </c>
      <c r="X395" s="2" t="s">
        <v>119</v>
      </c>
      <c r="Y395" s="2" t="s">
        <v>3321</v>
      </c>
      <c r="Z395" s="2" t="s">
        <v>4776</v>
      </c>
      <c r="AA395" s="2">
        <v>7</v>
      </c>
      <c r="AB395" s="2" t="s">
        <v>44</v>
      </c>
      <c r="AC395" s="2" t="s">
        <v>4777</v>
      </c>
      <c r="AD395" s="2" t="s">
        <v>4698</v>
      </c>
      <c r="AE395" s="2">
        <v>2</v>
      </c>
      <c r="AF395" s="2">
        <v>1074750</v>
      </c>
      <c r="AG395" s="2">
        <v>21495</v>
      </c>
      <c r="AH395" s="2"/>
      <c r="AI395" s="2"/>
      <c r="AJ395" s="2" t="s">
        <v>37</v>
      </c>
      <c r="AK395" s="2" t="s">
        <v>5419</v>
      </c>
      <c r="AL395" s="3">
        <v>21495</v>
      </c>
      <c r="AM395" s="8">
        <v>45713</v>
      </c>
      <c r="AN395" s="2"/>
      <c r="AO395" s="7">
        <f t="shared" si="6"/>
        <v>0</v>
      </c>
    </row>
    <row r="396" spans="1:41" x14ac:dyDescent="0.25">
      <c r="A396" s="5">
        <v>420</v>
      </c>
      <c r="B396" s="5" t="s">
        <v>61</v>
      </c>
      <c r="C396" s="5" t="s">
        <v>4778</v>
      </c>
      <c r="D396" s="5" t="s">
        <v>36</v>
      </c>
      <c r="E396" s="5" t="s">
        <v>37</v>
      </c>
      <c r="F396" s="5" t="s">
        <v>4779</v>
      </c>
      <c r="G396" s="5" t="s">
        <v>111</v>
      </c>
      <c r="H396" s="5" t="s">
        <v>4780</v>
      </c>
      <c r="I396" s="5" t="s">
        <v>4781</v>
      </c>
      <c r="J396" s="5" t="s">
        <v>4781</v>
      </c>
      <c r="K396" s="5" t="s">
        <v>4782</v>
      </c>
      <c r="L396" s="5" t="s">
        <v>4783</v>
      </c>
      <c r="M396" s="5">
        <v>498250</v>
      </c>
      <c r="N396" s="5">
        <v>1300000</v>
      </c>
      <c r="O396" s="5" t="s">
        <v>4784</v>
      </c>
      <c r="P396" s="6">
        <v>45696</v>
      </c>
      <c r="Q396" s="5" t="s">
        <v>4785</v>
      </c>
      <c r="R396" s="5" t="s">
        <v>4786</v>
      </c>
      <c r="S396" s="5" t="s">
        <v>48</v>
      </c>
      <c r="T396" s="5" t="s">
        <v>4787</v>
      </c>
      <c r="U396" s="5" t="s">
        <v>305</v>
      </c>
      <c r="V396" s="5" t="s">
        <v>49</v>
      </c>
      <c r="W396" s="6">
        <v>44603</v>
      </c>
      <c r="X396" s="5" t="s">
        <v>4311</v>
      </c>
      <c r="Y396" s="5" t="s">
        <v>4446</v>
      </c>
      <c r="Z396" s="5" t="s">
        <v>4788</v>
      </c>
      <c r="AA396" s="5">
        <v>5</v>
      </c>
      <c r="AB396" s="5" t="s">
        <v>76</v>
      </c>
      <c r="AC396" s="5" t="s">
        <v>4789</v>
      </c>
      <c r="AD396" s="5" t="s">
        <v>4381</v>
      </c>
      <c r="AE396" s="5">
        <v>1.5</v>
      </c>
      <c r="AF396" s="5">
        <v>1040000</v>
      </c>
      <c r="AG396" s="5">
        <v>15600</v>
      </c>
      <c r="AH396" s="5"/>
      <c r="AI396" s="5"/>
      <c r="AJ396" s="5" t="s">
        <v>37</v>
      </c>
      <c r="AK396" s="2" t="s">
        <v>5420</v>
      </c>
      <c r="AL396" s="3">
        <v>14625</v>
      </c>
      <c r="AM396" s="8">
        <v>45713</v>
      </c>
      <c r="AN396" s="2" t="s">
        <v>5597</v>
      </c>
      <c r="AO396" s="7">
        <f t="shared" si="6"/>
        <v>975</v>
      </c>
    </row>
    <row r="397" spans="1:41" x14ac:dyDescent="0.25">
      <c r="A397" s="2">
        <v>421</v>
      </c>
      <c r="B397" s="2" t="s">
        <v>61</v>
      </c>
      <c r="C397" s="2" t="s">
        <v>4790</v>
      </c>
      <c r="D397" s="2" t="s">
        <v>36</v>
      </c>
      <c r="E397" s="2" t="s">
        <v>37</v>
      </c>
      <c r="F397" s="2" t="s">
        <v>4791</v>
      </c>
      <c r="G397" s="2" t="s">
        <v>4792</v>
      </c>
      <c r="H397" s="2" t="s">
        <v>4793</v>
      </c>
      <c r="I397" s="2" t="s">
        <v>55</v>
      </c>
      <c r="J397" s="2" t="s">
        <v>4794</v>
      </c>
      <c r="K397" s="2" t="s">
        <v>55</v>
      </c>
      <c r="L397" s="2" t="s">
        <v>4795</v>
      </c>
      <c r="M397" s="2">
        <v>854199</v>
      </c>
      <c r="N397" s="2">
        <v>2100000</v>
      </c>
      <c r="O397" s="2" t="s">
        <v>4796</v>
      </c>
      <c r="P397" s="8">
        <v>45695</v>
      </c>
      <c r="Q397" s="2" t="s">
        <v>4797</v>
      </c>
      <c r="R397" s="2" t="s">
        <v>4798</v>
      </c>
      <c r="S397" s="2" t="s">
        <v>48</v>
      </c>
      <c r="T397" s="2" t="s">
        <v>4799</v>
      </c>
      <c r="U397" s="2" t="s">
        <v>262</v>
      </c>
      <c r="V397" s="2" t="s">
        <v>60</v>
      </c>
      <c r="W397" s="8">
        <v>44602</v>
      </c>
      <c r="X397" s="2" t="s">
        <v>4311</v>
      </c>
      <c r="Y397" s="2" t="s">
        <v>4446</v>
      </c>
      <c r="Z397" s="2" t="s">
        <v>4800</v>
      </c>
      <c r="AA397" s="2">
        <v>5</v>
      </c>
      <c r="AB397" s="2" t="s">
        <v>76</v>
      </c>
      <c r="AC397" s="2" t="s">
        <v>4801</v>
      </c>
      <c r="AD397" s="2" t="s">
        <v>4802</v>
      </c>
      <c r="AE397" s="2">
        <v>1.5</v>
      </c>
      <c r="AF397" s="2">
        <v>1680000</v>
      </c>
      <c r="AG397" s="2">
        <v>25200</v>
      </c>
      <c r="AH397" s="2"/>
      <c r="AI397" s="2"/>
      <c r="AJ397" s="2" t="s">
        <v>37</v>
      </c>
      <c r="AK397" s="2" t="s">
        <v>5421</v>
      </c>
      <c r="AL397" s="3">
        <v>23625</v>
      </c>
      <c r="AM397" s="8">
        <v>45713</v>
      </c>
      <c r="AN397" s="2" t="s">
        <v>5598</v>
      </c>
      <c r="AO397" s="7">
        <f t="shared" si="6"/>
        <v>1575</v>
      </c>
    </row>
    <row r="398" spans="1:41" hidden="1" x14ac:dyDescent="0.25">
      <c r="A398" s="5">
        <v>422</v>
      </c>
      <c r="B398" s="5" t="s">
        <v>61</v>
      </c>
      <c r="C398" s="5" t="s">
        <v>4803</v>
      </c>
      <c r="D398" s="5" t="s">
        <v>36</v>
      </c>
      <c r="E398" s="5" t="s">
        <v>37</v>
      </c>
      <c r="F398" s="5" t="s">
        <v>4804</v>
      </c>
      <c r="G398" s="5" t="s">
        <v>47</v>
      </c>
      <c r="H398" s="5" t="s">
        <v>4805</v>
      </c>
      <c r="I398" s="5" t="s">
        <v>4806</v>
      </c>
      <c r="J398" s="5" t="s">
        <v>4806</v>
      </c>
      <c r="K398" s="5" t="s">
        <v>67</v>
      </c>
      <c r="L398" s="5" t="s">
        <v>4807</v>
      </c>
      <c r="M398" s="5">
        <v>932804</v>
      </c>
      <c r="N398" s="5">
        <v>3660000</v>
      </c>
      <c r="O398" s="5" t="s">
        <v>4808</v>
      </c>
      <c r="P398" s="6">
        <v>45695</v>
      </c>
      <c r="Q398" s="5" t="s">
        <v>4809</v>
      </c>
      <c r="R398" s="5" t="s">
        <v>4810</v>
      </c>
      <c r="S398" s="5" t="s">
        <v>54</v>
      </c>
      <c r="T398" s="5" t="s">
        <v>55</v>
      </c>
      <c r="U398" s="5" t="s">
        <v>3566</v>
      </c>
      <c r="V398" s="5" t="s">
        <v>57</v>
      </c>
      <c r="W398" s="6">
        <v>44560</v>
      </c>
      <c r="X398" s="5" t="s">
        <v>4311</v>
      </c>
      <c r="Y398" s="5" t="s">
        <v>4469</v>
      </c>
      <c r="Z398" s="5" t="s">
        <v>4811</v>
      </c>
      <c r="AA398" s="5">
        <v>4</v>
      </c>
      <c r="AB398" s="5" t="s">
        <v>76</v>
      </c>
      <c r="AC398" s="5" t="s">
        <v>4812</v>
      </c>
      <c r="AD398" s="5" t="s">
        <v>306</v>
      </c>
      <c r="AE398" s="5">
        <v>2</v>
      </c>
      <c r="AF398" s="5">
        <v>2928000</v>
      </c>
      <c r="AG398" s="5">
        <v>58560</v>
      </c>
      <c r="AH398" s="5"/>
      <c r="AI398" s="5"/>
      <c r="AJ398" s="5" t="s">
        <v>37</v>
      </c>
      <c r="AK398" s="2" t="s">
        <v>5422</v>
      </c>
      <c r="AL398" s="3">
        <v>58560</v>
      </c>
      <c r="AM398" s="8">
        <v>45713</v>
      </c>
      <c r="AN398" s="2"/>
      <c r="AO398" s="7">
        <f t="shared" si="6"/>
        <v>0</v>
      </c>
    </row>
    <row r="399" spans="1:41" x14ac:dyDescent="0.25">
      <c r="A399" s="2">
        <v>423</v>
      </c>
      <c r="B399" s="2" t="s">
        <v>61</v>
      </c>
      <c r="C399" s="2" t="s">
        <v>4813</v>
      </c>
      <c r="D399" s="2" t="s">
        <v>36</v>
      </c>
      <c r="E399" s="2" t="s">
        <v>37</v>
      </c>
      <c r="F399" s="2" t="s">
        <v>4814</v>
      </c>
      <c r="G399" s="2" t="s">
        <v>47</v>
      </c>
      <c r="H399" s="2" t="s">
        <v>4815</v>
      </c>
      <c r="I399" s="2" t="s">
        <v>4816</v>
      </c>
      <c r="J399" s="2" t="s">
        <v>4816</v>
      </c>
      <c r="K399" s="2" t="s">
        <v>67</v>
      </c>
      <c r="L399" s="2" t="s">
        <v>4817</v>
      </c>
      <c r="M399" s="2">
        <v>1106001</v>
      </c>
      <c r="N399" s="2">
        <v>2800000</v>
      </c>
      <c r="O399" s="2" t="s">
        <v>4818</v>
      </c>
      <c r="P399" s="8">
        <v>45695</v>
      </c>
      <c r="Q399" s="2" t="s">
        <v>4819</v>
      </c>
      <c r="R399" s="2" t="s">
        <v>4820</v>
      </c>
      <c r="S399" s="2" t="s">
        <v>48</v>
      </c>
      <c r="T399" s="2" t="s">
        <v>4821</v>
      </c>
      <c r="U399" s="2" t="s">
        <v>1297</v>
      </c>
      <c r="V399" s="2" t="s">
        <v>40</v>
      </c>
      <c r="W399" s="8">
        <v>44602</v>
      </c>
      <c r="X399" s="2" t="s">
        <v>4311</v>
      </c>
      <c r="Y399" s="2" t="s">
        <v>4446</v>
      </c>
      <c r="Z399" s="2" t="s">
        <v>4822</v>
      </c>
      <c r="AA399" s="2">
        <v>5</v>
      </c>
      <c r="AB399" s="2" t="s">
        <v>44</v>
      </c>
      <c r="AC399" s="2" t="s">
        <v>4823</v>
      </c>
      <c r="AD399" s="2" t="s">
        <v>4684</v>
      </c>
      <c r="AE399" s="2">
        <v>1.5</v>
      </c>
      <c r="AF399" s="2">
        <v>2240000</v>
      </c>
      <c r="AG399" s="2">
        <v>33600</v>
      </c>
      <c r="AH399" s="2"/>
      <c r="AI399" s="2"/>
      <c r="AJ399" s="2" t="s">
        <v>37</v>
      </c>
      <c r="AK399" s="2" t="s">
        <v>5423</v>
      </c>
      <c r="AL399" s="3">
        <v>31500</v>
      </c>
      <c r="AM399" s="8">
        <v>45713</v>
      </c>
      <c r="AN399" s="2" t="s">
        <v>5599</v>
      </c>
      <c r="AO399" s="7">
        <f t="shared" si="6"/>
        <v>2100</v>
      </c>
    </row>
    <row r="400" spans="1:41" x14ac:dyDescent="0.25">
      <c r="A400" s="5">
        <v>424</v>
      </c>
      <c r="B400" s="5" t="s">
        <v>61</v>
      </c>
      <c r="C400" s="5" t="s">
        <v>4824</v>
      </c>
      <c r="D400" s="5" t="s">
        <v>36</v>
      </c>
      <c r="E400" s="5" t="s">
        <v>37</v>
      </c>
      <c r="F400" s="5" t="s">
        <v>4825</v>
      </c>
      <c r="G400" s="5" t="s">
        <v>82</v>
      </c>
      <c r="H400" s="5" t="s">
        <v>4826</v>
      </c>
      <c r="I400" s="5" t="s">
        <v>4827</v>
      </c>
      <c r="J400" s="5" t="s">
        <v>55</v>
      </c>
      <c r="K400" s="5" t="s">
        <v>67</v>
      </c>
      <c r="L400" s="5" t="s">
        <v>4828</v>
      </c>
      <c r="M400" s="5">
        <v>739161</v>
      </c>
      <c r="N400" s="5">
        <v>1852000</v>
      </c>
      <c r="O400" s="5" t="s">
        <v>4829</v>
      </c>
      <c r="P400" s="6">
        <v>45691</v>
      </c>
      <c r="Q400" s="5" t="s">
        <v>4830</v>
      </c>
      <c r="R400" s="5" t="s">
        <v>4831</v>
      </c>
      <c r="S400" s="5" t="s">
        <v>54</v>
      </c>
      <c r="T400" s="5" t="s">
        <v>55</v>
      </c>
      <c r="U400" s="5" t="s">
        <v>4832</v>
      </c>
      <c r="V400" s="5" t="s">
        <v>57</v>
      </c>
      <c r="W400" s="6">
        <v>44561</v>
      </c>
      <c r="X400" s="5" t="s">
        <v>4311</v>
      </c>
      <c r="Y400" s="5" t="s">
        <v>4446</v>
      </c>
      <c r="Z400" s="5" t="s">
        <v>4833</v>
      </c>
      <c r="AA400" s="5">
        <v>5</v>
      </c>
      <c r="AB400" s="5" t="s">
        <v>44</v>
      </c>
      <c r="AC400" s="5" t="s">
        <v>4834</v>
      </c>
      <c r="AD400" s="5" t="s">
        <v>4835</v>
      </c>
      <c r="AE400" s="5">
        <v>2</v>
      </c>
      <c r="AF400" s="5">
        <v>1481600</v>
      </c>
      <c r="AG400" s="5">
        <v>29632</v>
      </c>
      <c r="AH400" s="5"/>
      <c r="AI400" s="5"/>
      <c r="AJ400" s="5" t="s">
        <v>37</v>
      </c>
      <c r="AK400" s="2" t="s">
        <v>5424</v>
      </c>
      <c r="AL400" s="3">
        <v>27780</v>
      </c>
      <c r="AM400" s="8">
        <v>45713</v>
      </c>
      <c r="AN400" s="2" t="s">
        <v>5600</v>
      </c>
      <c r="AO400" s="7">
        <f t="shared" si="6"/>
        <v>1852</v>
      </c>
    </row>
    <row r="401" spans="1:41" x14ac:dyDescent="0.25">
      <c r="A401" s="2">
        <v>425</v>
      </c>
      <c r="B401" s="2" t="s">
        <v>61</v>
      </c>
      <c r="C401" s="2" t="s">
        <v>4836</v>
      </c>
      <c r="D401" s="2" t="s">
        <v>36</v>
      </c>
      <c r="E401" s="2" t="s">
        <v>37</v>
      </c>
      <c r="F401" s="2" t="s">
        <v>4837</v>
      </c>
      <c r="G401" s="2" t="s">
        <v>47</v>
      </c>
      <c r="H401" s="2" t="s">
        <v>4838</v>
      </c>
      <c r="I401" s="2" t="s">
        <v>55</v>
      </c>
      <c r="J401" s="2" t="s">
        <v>4839</v>
      </c>
      <c r="K401" s="2" t="s">
        <v>55</v>
      </c>
      <c r="L401" s="2" t="s">
        <v>4840</v>
      </c>
      <c r="M401" s="2">
        <v>761512</v>
      </c>
      <c r="N401" s="2">
        <v>2105000</v>
      </c>
      <c r="O401" s="2" t="s">
        <v>4841</v>
      </c>
      <c r="P401" s="8">
        <v>45691</v>
      </c>
      <c r="Q401" s="2" t="s">
        <v>4842</v>
      </c>
      <c r="R401" s="2" t="s">
        <v>4843</v>
      </c>
      <c r="S401" s="2" t="s">
        <v>48</v>
      </c>
      <c r="T401" s="2" t="s">
        <v>4844</v>
      </c>
      <c r="U401" s="2" t="s">
        <v>162</v>
      </c>
      <c r="V401" s="2" t="s">
        <v>60</v>
      </c>
      <c r="W401" s="8">
        <v>44606</v>
      </c>
      <c r="X401" s="2" t="s">
        <v>2966</v>
      </c>
      <c r="Y401" s="2" t="s">
        <v>3307</v>
      </c>
      <c r="Z401" s="2" t="s">
        <v>4845</v>
      </c>
      <c r="AA401" s="2">
        <v>5</v>
      </c>
      <c r="AB401" s="2" t="s">
        <v>76</v>
      </c>
      <c r="AC401" s="2" t="s">
        <v>4846</v>
      </c>
      <c r="AD401" s="2" t="s">
        <v>4641</v>
      </c>
      <c r="AE401" s="2">
        <v>1.5</v>
      </c>
      <c r="AF401" s="2">
        <v>1684000</v>
      </c>
      <c r="AG401" s="2">
        <v>25260</v>
      </c>
      <c r="AH401" s="2"/>
      <c r="AI401" s="2"/>
      <c r="AJ401" s="2" t="s">
        <v>37</v>
      </c>
      <c r="AK401" s="2" t="s">
        <v>5425</v>
      </c>
      <c r="AL401" s="3">
        <v>25497</v>
      </c>
      <c r="AM401" s="8">
        <v>45702</v>
      </c>
      <c r="AN401" s="2" t="s">
        <v>5623</v>
      </c>
      <c r="AO401" s="7">
        <f t="shared" si="6"/>
        <v>-237</v>
      </c>
    </row>
    <row r="402" spans="1:41" x14ac:dyDescent="0.25">
      <c r="A402" s="5">
        <v>426</v>
      </c>
      <c r="B402" s="5" t="s">
        <v>61</v>
      </c>
      <c r="C402" s="5" t="s">
        <v>4847</v>
      </c>
      <c r="D402" s="5" t="s">
        <v>36</v>
      </c>
      <c r="E402" s="5" t="s">
        <v>37</v>
      </c>
      <c r="F402" s="5" t="s">
        <v>4848</v>
      </c>
      <c r="G402" s="5" t="s">
        <v>53</v>
      </c>
      <c r="H402" s="5" t="s">
        <v>4849</v>
      </c>
      <c r="I402" s="5" t="s">
        <v>4850</v>
      </c>
      <c r="J402" s="5" t="s">
        <v>4851</v>
      </c>
      <c r="K402" s="5" t="s">
        <v>4852</v>
      </c>
      <c r="L402" s="5" t="s">
        <v>4853</v>
      </c>
      <c r="M402" s="5">
        <v>1079074</v>
      </c>
      <c r="N402" s="5">
        <v>2703000</v>
      </c>
      <c r="O402" s="5" t="s">
        <v>4854</v>
      </c>
      <c r="P402" s="6">
        <v>45695</v>
      </c>
      <c r="Q402" s="5" t="s">
        <v>4855</v>
      </c>
      <c r="R402" s="5" t="s">
        <v>4856</v>
      </c>
      <c r="S402" s="5" t="s">
        <v>54</v>
      </c>
      <c r="T402" s="5" t="s">
        <v>55</v>
      </c>
      <c r="U402" s="5" t="s">
        <v>1804</v>
      </c>
      <c r="V402" s="5" t="s">
        <v>57</v>
      </c>
      <c r="W402" s="6">
        <v>44484</v>
      </c>
      <c r="X402" s="5" t="s">
        <v>2966</v>
      </c>
      <c r="Y402" s="5" t="s">
        <v>3307</v>
      </c>
      <c r="Z402" s="5" t="s">
        <v>4857</v>
      </c>
      <c r="AA402" s="5">
        <v>5</v>
      </c>
      <c r="AB402" s="5" t="s">
        <v>44</v>
      </c>
      <c r="AC402" s="5" t="s">
        <v>4858</v>
      </c>
      <c r="AD402" s="5" t="s">
        <v>4311</v>
      </c>
      <c r="AE402" s="5">
        <v>2</v>
      </c>
      <c r="AF402" s="5">
        <v>2162400</v>
      </c>
      <c r="AG402" s="5">
        <v>43248</v>
      </c>
      <c r="AH402" s="5"/>
      <c r="AI402" s="5"/>
      <c r="AJ402" s="5" t="s">
        <v>37</v>
      </c>
      <c r="AK402" s="2" t="s">
        <v>5426</v>
      </c>
      <c r="AL402" s="3">
        <v>40545</v>
      </c>
      <c r="AM402" s="8">
        <v>45713</v>
      </c>
      <c r="AN402" s="2" t="s">
        <v>5601</v>
      </c>
      <c r="AO402" s="7">
        <f t="shared" si="6"/>
        <v>2703</v>
      </c>
    </row>
    <row r="403" spans="1:41" hidden="1" x14ac:dyDescent="0.25">
      <c r="A403" s="2">
        <v>427</v>
      </c>
      <c r="B403" s="2" t="s">
        <v>61</v>
      </c>
      <c r="C403" s="2" t="s">
        <v>4859</v>
      </c>
      <c r="D403" s="2" t="s">
        <v>36</v>
      </c>
      <c r="E403" s="2" t="s">
        <v>37</v>
      </c>
      <c r="F403" s="2" t="s">
        <v>4860</v>
      </c>
      <c r="G403" s="2" t="s">
        <v>111</v>
      </c>
      <c r="H403" s="2" t="s">
        <v>4861</v>
      </c>
      <c r="I403" s="2" t="s">
        <v>4862</v>
      </c>
      <c r="J403" s="2" t="s">
        <v>4863</v>
      </c>
      <c r="K403" s="2" t="s">
        <v>4864</v>
      </c>
      <c r="L403" s="2" t="s">
        <v>4865</v>
      </c>
      <c r="M403" s="2">
        <v>525040</v>
      </c>
      <c r="N403" s="2">
        <v>2865000</v>
      </c>
      <c r="O403" s="2" t="s">
        <v>4866</v>
      </c>
      <c r="P403" s="8">
        <v>45695</v>
      </c>
      <c r="Q403" s="2" t="s">
        <v>4867</v>
      </c>
      <c r="R403" s="2" t="s">
        <v>4868</v>
      </c>
      <c r="S403" s="2" t="s">
        <v>54</v>
      </c>
      <c r="T403" s="2" t="s">
        <v>55</v>
      </c>
      <c r="U403" s="2" t="s">
        <v>4869</v>
      </c>
      <c r="V403" s="2" t="s">
        <v>91</v>
      </c>
      <c r="W403" s="8">
        <v>44152</v>
      </c>
      <c r="X403" s="2" t="s">
        <v>119</v>
      </c>
      <c r="Y403" s="2" t="s">
        <v>120</v>
      </c>
      <c r="Z403" s="2" t="s">
        <v>4870</v>
      </c>
      <c r="AA403" s="2">
        <v>5</v>
      </c>
      <c r="AB403" s="2" t="s">
        <v>44</v>
      </c>
      <c r="AC403" s="2" t="s">
        <v>4871</v>
      </c>
      <c r="AD403" s="2" t="s">
        <v>4872</v>
      </c>
      <c r="AE403" s="2">
        <v>2</v>
      </c>
      <c r="AF403" s="2">
        <v>2148750</v>
      </c>
      <c r="AG403" s="2">
        <v>42975</v>
      </c>
      <c r="AH403" s="2"/>
      <c r="AI403" s="2"/>
      <c r="AJ403" s="2" t="s">
        <v>37</v>
      </c>
      <c r="AK403" s="2" t="s">
        <v>5427</v>
      </c>
      <c r="AL403" s="3">
        <v>42975</v>
      </c>
      <c r="AM403" s="8">
        <v>45713</v>
      </c>
      <c r="AN403" s="2"/>
      <c r="AO403" s="7">
        <f t="shared" si="6"/>
        <v>0</v>
      </c>
    </row>
    <row r="404" spans="1:41" hidden="1" x14ac:dyDescent="0.25">
      <c r="A404" s="5">
        <v>428</v>
      </c>
      <c r="B404" s="5" t="s">
        <v>61</v>
      </c>
      <c r="C404" s="5" t="s">
        <v>4873</v>
      </c>
      <c r="D404" s="5" t="s">
        <v>36</v>
      </c>
      <c r="E404" s="5" t="s">
        <v>37</v>
      </c>
      <c r="F404" s="5" t="s">
        <v>4874</v>
      </c>
      <c r="G404" s="5" t="s">
        <v>47</v>
      </c>
      <c r="H404" s="5" t="s">
        <v>4875</v>
      </c>
      <c r="I404" s="5" t="s">
        <v>4876</v>
      </c>
      <c r="J404" s="5" t="s">
        <v>4876</v>
      </c>
      <c r="K404" s="5" t="s">
        <v>4877</v>
      </c>
      <c r="L404" s="5" t="s">
        <v>4878</v>
      </c>
      <c r="M404" s="5">
        <v>1025089</v>
      </c>
      <c r="N404" s="5">
        <v>1950000</v>
      </c>
      <c r="O404" s="5" t="s">
        <v>4879</v>
      </c>
      <c r="P404" s="6">
        <v>45695</v>
      </c>
      <c r="Q404" s="5" t="s">
        <v>4880</v>
      </c>
      <c r="R404" s="5" t="s">
        <v>4881</v>
      </c>
      <c r="S404" s="5" t="s">
        <v>48</v>
      </c>
      <c r="T404" s="5" t="s">
        <v>4882</v>
      </c>
      <c r="U404" s="5" t="s">
        <v>873</v>
      </c>
      <c r="V404" s="5" t="s">
        <v>60</v>
      </c>
      <c r="W404" s="6">
        <v>44610</v>
      </c>
      <c r="X404" s="5" t="s">
        <v>2966</v>
      </c>
      <c r="Y404" s="5" t="s">
        <v>4288</v>
      </c>
      <c r="Z404" s="5" t="s">
        <v>4883</v>
      </c>
      <c r="AA404" s="5">
        <v>7</v>
      </c>
      <c r="AB404" s="5" t="s">
        <v>44</v>
      </c>
      <c r="AC404" s="5" t="s">
        <v>4884</v>
      </c>
      <c r="AD404" s="5" t="s">
        <v>3181</v>
      </c>
      <c r="AE404" s="5">
        <v>1.5</v>
      </c>
      <c r="AF404" s="5">
        <v>1560000</v>
      </c>
      <c r="AG404" s="5">
        <v>23400</v>
      </c>
      <c r="AH404" s="5"/>
      <c r="AI404" s="5"/>
      <c r="AJ404" s="5" t="s">
        <v>37</v>
      </c>
      <c r="AK404" s="2" t="s">
        <v>5428</v>
      </c>
      <c r="AL404" s="3">
        <v>23400</v>
      </c>
      <c r="AM404" s="8">
        <v>45713</v>
      </c>
      <c r="AN404" s="2"/>
      <c r="AO404" s="7">
        <f t="shared" si="6"/>
        <v>0</v>
      </c>
    </row>
    <row r="405" spans="1:41" hidden="1" x14ac:dyDescent="0.25">
      <c r="A405" s="2">
        <v>429</v>
      </c>
      <c r="B405" s="2" t="s">
        <v>61</v>
      </c>
      <c r="C405" s="2" t="s">
        <v>4885</v>
      </c>
      <c r="D405" s="2" t="s">
        <v>36</v>
      </c>
      <c r="E405" s="2" t="s">
        <v>37</v>
      </c>
      <c r="F405" s="2" t="s">
        <v>4886</v>
      </c>
      <c r="G405" s="2" t="s">
        <v>111</v>
      </c>
      <c r="H405" s="2" t="s">
        <v>4887</v>
      </c>
      <c r="I405" s="2" t="s">
        <v>55</v>
      </c>
      <c r="J405" s="2" t="s">
        <v>4888</v>
      </c>
      <c r="K405" s="2" t="s">
        <v>4889</v>
      </c>
      <c r="L405" s="2" t="s">
        <v>4890</v>
      </c>
      <c r="M405" s="2">
        <v>732631</v>
      </c>
      <c r="N405" s="2">
        <v>1335000</v>
      </c>
      <c r="O405" s="2" t="s">
        <v>4891</v>
      </c>
      <c r="P405" s="8">
        <v>45695</v>
      </c>
      <c r="Q405" s="2" t="s">
        <v>4892</v>
      </c>
      <c r="R405" s="2" t="s">
        <v>4893</v>
      </c>
      <c r="S405" s="2" t="s">
        <v>54</v>
      </c>
      <c r="T405" s="2" t="s">
        <v>55</v>
      </c>
      <c r="U405" s="2" t="s">
        <v>334</v>
      </c>
      <c r="V405" s="2" t="s">
        <v>57</v>
      </c>
      <c r="W405" s="8">
        <v>44461</v>
      </c>
      <c r="X405" s="2" t="s">
        <v>2966</v>
      </c>
      <c r="Y405" s="2" t="s">
        <v>3321</v>
      </c>
      <c r="Z405" s="2" t="s">
        <v>4894</v>
      </c>
      <c r="AA405" s="2">
        <v>6</v>
      </c>
      <c r="AB405" s="2" t="s">
        <v>44</v>
      </c>
      <c r="AC405" s="2" t="s">
        <v>4895</v>
      </c>
      <c r="AD405" s="2" t="s">
        <v>4684</v>
      </c>
      <c r="AE405" s="2">
        <v>2</v>
      </c>
      <c r="AF405" s="2">
        <v>1068000</v>
      </c>
      <c r="AG405" s="2">
        <v>21360</v>
      </c>
      <c r="AH405" s="2"/>
      <c r="AI405" s="2"/>
      <c r="AJ405" s="2" t="s">
        <v>37</v>
      </c>
      <c r="AK405" s="2" t="s">
        <v>5429</v>
      </c>
      <c r="AL405" s="3">
        <v>21360</v>
      </c>
      <c r="AM405" s="8">
        <v>45713</v>
      </c>
      <c r="AN405" s="2"/>
      <c r="AO405" s="7">
        <f t="shared" si="6"/>
        <v>0</v>
      </c>
    </row>
    <row r="406" spans="1:41" hidden="1" x14ac:dyDescent="0.25">
      <c r="A406" s="5">
        <v>430</v>
      </c>
      <c r="B406" s="5" t="s">
        <v>61</v>
      </c>
      <c r="C406" s="5" t="s">
        <v>4896</v>
      </c>
      <c r="D406" s="5" t="s">
        <v>36</v>
      </c>
      <c r="E406" s="5" t="s">
        <v>37</v>
      </c>
      <c r="F406" s="5" t="s">
        <v>4897</v>
      </c>
      <c r="G406" s="5" t="s">
        <v>64</v>
      </c>
      <c r="H406" s="5" t="s">
        <v>4898</v>
      </c>
      <c r="I406" s="5" t="s">
        <v>55</v>
      </c>
      <c r="J406" s="5" t="s">
        <v>4899</v>
      </c>
      <c r="K406" s="5" t="s">
        <v>55</v>
      </c>
      <c r="L406" s="5" t="s">
        <v>4900</v>
      </c>
      <c r="M406" s="5">
        <v>308588</v>
      </c>
      <c r="N406" s="5">
        <v>1433000</v>
      </c>
      <c r="O406" s="5" t="s">
        <v>4901</v>
      </c>
      <c r="P406" s="6">
        <v>45695</v>
      </c>
      <c r="Q406" s="5" t="s">
        <v>4902</v>
      </c>
      <c r="R406" s="5" t="s">
        <v>4903</v>
      </c>
      <c r="S406" s="5" t="s">
        <v>54</v>
      </c>
      <c r="T406" s="5" t="s">
        <v>55</v>
      </c>
      <c r="U406" s="5" t="s">
        <v>2494</v>
      </c>
      <c r="V406" s="5" t="s">
        <v>91</v>
      </c>
      <c r="W406" s="6">
        <v>44196</v>
      </c>
      <c r="X406" s="5" t="s">
        <v>141</v>
      </c>
      <c r="Y406" s="5" t="s">
        <v>4469</v>
      </c>
      <c r="Z406" s="5" t="s">
        <v>4904</v>
      </c>
      <c r="AA406" s="5">
        <v>5</v>
      </c>
      <c r="AB406" s="5" t="s">
        <v>44</v>
      </c>
      <c r="AC406" s="5" t="s">
        <v>4905</v>
      </c>
      <c r="AD406" s="5" t="s">
        <v>4698</v>
      </c>
      <c r="AE406" s="5">
        <v>2</v>
      </c>
      <c r="AF406" s="5">
        <v>1074750</v>
      </c>
      <c r="AG406" s="5">
        <v>21495</v>
      </c>
      <c r="AH406" s="5"/>
      <c r="AI406" s="5"/>
      <c r="AJ406" s="5" t="s">
        <v>37</v>
      </c>
      <c r="AK406" s="2" t="s">
        <v>5430</v>
      </c>
      <c r="AL406" s="3">
        <v>21495</v>
      </c>
      <c r="AM406" s="8">
        <v>45713</v>
      </c>
      <c r="AN406" s="2"/>
      <c r="AO406" s="7">
        <f t="shared" si="6"/>
        <v>0</v>
      </c>
    </row>
    <row r="407" spans="1:41" hidden="1" x14ac:dyDescent="0.25">
      <c r="A407" s="2">
        <v>431</v>
      </c>
      <c r="B407" s="2" t="s">
        <v>61</v>
      </c>
      <c r="C407" s="2" t="s">
        <v>4906</v>
      </c>
      <c r="D407" s="2" t="s">
        <v>36</v>
      </c>
      <c r="E407" s="2" t="s">
        <v>37</v>
      </c>
      <c r="F407" s="2" t="s">
        <v>4907</v>
      </c>
      <c r="G407" s="2" t="s">
        <v>64</v>
      </c>
      <c r="H407" s="2" t="s">
        <v>4908</v>
      </c>
      <c r="I407" s="2" t="s">
        <v>4909</v>
      </c>
      <c r="J407" s="2" t="s">
        <v>4910</v>
      </c>
      <c r="K407" s="2" t="s">
        <v>67</v>
      </c>
      <c r="L407" s="2" t="s">
        <v>4911</v>
      </c>
      <c r="M407" s="2">
        <v>4899143</v>
      </c>
      <c r="N407" s="2">
        <v>13343500</v>
      </c>
      <c r="O407" s="2" t="s">
        <v>4912</v>
      </c>
      <c r="P407" s="8">
        <v>45694</v>
      </c>
      <c r="Q407" s="2" t="s">
        <v>4913</v>
      </c>
      <c r="R407" s="2" t="s">
        <v>4914</v>
      </c>
      <c r="S407" s="2" t="s">
        <v>275</v>
      </c>
      <c r="T407" s="2" t="s">
        <v>55</v>
      </c>
      <c r="U407" s="2" t="s">
        <v>4915</v>
      </c>
      <c r="V407" s="2" t="s">
        <v>57</v>
      </c>
      <c r="W407" s="8">
        <v>44862</v>
      </c>
      <c r="X407" s="2" t="s">
        <v>3131</v>
      </c>
      <c r="Y407" s="2" t="s">
        <v>3321</v>
      </c>
      <c r="Z407" s="2" t="s">
        <v>4916</v>
      </c>
      <c r="AA407" s="2">
        <v>5</v>
      </c>
      <c r="AB407" s="2" t="s">
        <v>51</v>
      </c>
      <c r="AC407" s="2" t="s">
        <v>4917</v>
      </c>
      <c r="AD407" s="2" t="s">
        <v>4918</v>
      </c>
      <c r="AE407" s="2">
        <v>1.4</v>
      </c>
      <c r="AF407" s="2">
        <v>11341975</v>
      </c>
      <c r="AG407" s="2">
        <v>158788</v>
      </c>
      <c r="AH407" s="2"/>
      <c r="AI407" s="2"/>
      <c r="AJ407" s="2" t="s">
        <v>37</v>
      </c>
      <c r="AK407" s="2" t="s">
        <v>5431</v>
      </c>
      <c r="AL407" s="3">
        <v>158788</v>
      </c>
      <c r="AM407" s="8">
        <v>45713</v>
      </c>
      <c r="AN407" s="2"/>
      <c r="AO407" s="7">
        <f t="shared" si="6"/>
        <v>0</v>
      </c>
    </row>
    <row r="408" spans="1:41" hidden="1" x14ac:dyDescent="0.25">
      <c r="A408" s="5">
        <v>432</v>
      </c>
      <c r="B408" s="5" t="s">
        <v>61</v>
      </c>
      <c r="C408" s="5" t="s">
        <v>4919</v>
      </c>
      <c r="D408" s="5" t="s">
        <v>36</v>
      </c>
      <c r="E408" s="5" t="s">
        <v>37</v>
      </c>
      <c r="F408" s="5" t="s">
        <v>4920</v>
      </c>
      <c r="G408" s="5" t="s">
        <v>47</v>
      </c>
      <c r="H408" s="5" t="s">
        <v>4921</v>
      </c>
      <c r="I408" s="5" t="s">
        <v>4922</v>
      </c>
      <c r="J408" s="5" t="s">
        <v>4922</v>
      </c>
      <c r="K408" s="5" t="s">
        <v>4922</v>
      </c>
      <c r="L408" s="5" t="s">
        <v>4923</v>
      </c>
      <c r="M408" s="5">
        <v>525939</v>
      </c>
      <c r="N408" s="5">
        <v>2889000</v>
      </c>
      <c r="O408" s="5" t="s">
        <v>4924</v>
      </c>
      <c r="P408" s="6">
        <v>45694</v>
      </c>
      <c r="Q408" s="5" t="s">
        <v>4925</v>
      </c>
      <c r="R408" s="5" t="s">
        <v>4926</v>
      </c>
      <c r="S408" s="5" t="s">
        <v>54</v>
      </c>
      <c r="T408" s="5" t="s">
        <v>55</v>
      </c>
      <c r="U408" s="5" t="s">
        <v>4927</v>
      </c>
      <c r="V408" s="5" t="s">
        <v>57</v>
      </c>
      <c r="W408" s="6">
        <v>44526</v>
      </c>
      <c r="X408" s="5" t="s">
        <v>4311</v>
      </c>
      <c r="Y408" s="5" t="s">
        <v>4469</v>
      </c>
      <c r="Z408" s="5" t="s">
        <v>4928</v>
      </c>
      <c r="AA408" s="5">
        <v>4</v>
      </c>
      <c r="AB408" s="5" t="s">
        <v>175</v>
      </c>
      <c r="AC408" s="5" t="s">
        <v>4929</v>
      </c>
      <c r="AD408" s="5" t="s">
        <v>569</v>
      </c>
      <c r="AE408" s="5">
        <v>2</v>
      </c>
      <c r="AF408" s="5">
        <v>2311200</v>
      </c>
      <c r="AG408" s="5">
        <v>46224</v>
      </c>
      <c r="AH408" s="5"/>
      <c r="AI408" s="5"/>
      <c r="AJ408" s="5" t="s">
        <v>37</v>
      </c>
      <c r="AK408" s="2" t="s">
        <v>5432</v>
      </c>
      <c r="AL408" s="3">
        <v>46224</v>
      </c>
      <c r="AM408" s="8">
        <v>45713</v>
      </c>
      <c r="AN408" s="2"/>
      <c r="AO408" s="7">
        <f t="shared" si="6"/>
        <v>0</v>
      </c>
    </row>
    <row r="409" spans="1:41" x14ac:dyDescent="0.25">
      <c r="A409" s="2">
        <v>433</v>
      </c>
      <c r="B409" s="2" t="s">
        <v>61</v>
      </c>
      <c r="C409" s="2" t="s">
        <v>4930</v>
      </c>
      <c r="D409" s="2" t="s">
        <v>36</v>
      </c>
      <c r="E409" s="2" t="s">
        <v>37</v>
      </c>
      <c r="F409" s="2" t="s">
        <v>4931</v>
      </c>
      <c r="G409" s="2" t="s">
        <v>64</v>
      </c>
      <c r="H409" s="2" t="s">
        <v>4932</v>
      </c>
      <c r="I409" s="2" t="s">
        <v>55</v>
      </c>
      <c r="J409" s="2" t="s">
        <v>4933</v>
      </c>
      <c r="K409" s="2" t="s">
        <v>55</v>
      </c>
      <c r="L409" s="2" t="s">
        <v>4934</v>
      </c>
      <c r="M409" s="2">
        <v>762160</v>
      </c>
      <c r="N409" s="2">
        <v>1740000</v>
      </c>
      <c r="O409" s="2" t="s">
        <v>4935</v>
      </c>
      <c r="P409" s="8">
        <v>45694</v>
      </c>
      <c r="Q409" s="2" t="s">
        <v>4936</v>
      </c>
      <c r="R409" s="2" t="s">
        <v>4937</v>
      </c>
      <c r="S409" s="2" t="s">
        <v>48</v>
      </c>
      <c r="T409" s="2" t="s">
        <v>4938</v>
      </c>
      <c r="U409" s="2" t="s">
        <v>728</v>
      </c>
      <c r="V409" s="2" t="s">
        <v>230</v>
      </c>
      <c r="W409" s="8">
        <v>44600</v>
      </c>
      <c r="X409" s="2" t="s">
        <v>4311</v>
      </c>
      <c r="Y409" s="2" t="s">
        <v>4446</v>
      </c>
      <c r="Z409" s="2" t="s">
        <v>4939</v>
      </c>
      <c r="AA409" s="2">
        <v>5</v>
      </c>
      <c r="AB409" s="2" t="s">
        <v>76</v>
      </c>
      <c r="AC409" s="2" t="s">
        <v>4940</v>
      </c>
      <c r="AD409" s="2" t="s">
        <v>4835</v>
      </c>
      <c r="AE409" s="2">
        <v>1.5</v>
      </c>
      <c r="AF409" s="2">
        <v>1392000</v>
      </c>
      <c r="AG409" s="2">
        <v>20880</v>
      </c>
      <c r="AH409" s="2"/>
      <c r="AI409" s="2"/>
      <c r="AJ409" s="2" t="s">
        <v>37</v>
      </c>
      <c r="AK409" s="2" t="s">
        <v>5433</v>
      </c>
      <c r="AL409" s="3">
        <v>19575</v>
      </c>
      <c r="AM409" s="8">
        <v>45713</v>
      </c>
      <c r="AN409" s="2" t="s">
        <v>5602</v>
      </c>
      <c r="AO409" s="7">
        <f t="shared" si="6"/>
        <v>1305</v>
      </c>
    </row>
    <row r="410" spans="1:41" x14ac:dyDescent="0.25">
      <c r="A410" s="5">
        <v>434</v>
      </c>
      <c r="B410" s="5" t="s">
        <v>61</v>
      </c>
      <c r="C410" s="5" t="s">
        <v>4941</v>
      </c>
      <c r="D410" s="5" t="s">
        <v>36</v>
      </c>
      <c r="E410" s="5" t="s">
        <v>37</v>
      </c>
      <c r="F410" s="5" t="s">
        <v>4942</v>
      </c>
      <c r="G410" s="5" t="s">
        <v>206</v>
      </c>
      <c r="H410" s="5" t="s">
        <v>4943</v>
      </c>
      <c r="I410" s="5" t="s">
        <v>55</v>
      </c>
      <c r="J410" s="5" t="s">
        <v>4944</v>
      </c>
      <c r="K410" s="5" t="s">
        <v>55</v>
      </c>
      <c r="L410" s="5" t="s">
        <v>4945</v>
      </c>
      <c r="M410" s="5">
        <v>629020</v>
      </c>
      <c r="N410" s="5">
        <v>1521000</v>
      </c>
      <c r="O410" s="5" t="s">
        <v>4946</v>
      </c>
      <c r="P410" s="6">
        <v>45694</v>
      </c>
      <c r="Q410" s="5" t="s">
        <v>4947</v>
      </c>
      <c r="R410" s="5" t="s">
        <v>4948</v>
      </c>
      <c r="S410" s="5" t="s">
        <v>54</v>
      </c>
      <c r="T410" s="5" t="s">
        <v>55</v>
      </c>
      <c r="U410" s="5" t="s">
        <v>873</v>
      </c>
      <c r="V410" s="5" t="s">
        <v>57</v>
      </c>
      <c r="W410" s="6">
        <v>44438</v>
      </c>
      <c r="X410" s="5" t="s">
        <v>4311</v>
      </c>
      <c r="Y410" s="5" t="s">
        <v>4446</v>
      </c>
      <c r="Z410" s="5" t="s">
        <v>4949</v>
      </c>
      <c r="AA410" s="5">
        <v>5</v>
      </c>
      <c r="AB410" s="5" t="s">
        <v>76</v>
      </c>
      <c r="AC410" s="5" t="s">
        <v>4950</v>
      </c>
      <c r="AD410" s="5" t="s">
        <v>4641</v>
      </c>
      <c r="AE410" s="5">
        <v>2</v>
      </c>
      <c r="AF410" s="5">
        <v>1216800</v>
      </c>
      <c r="AG410" s="5">
        <v>24336</v>
      </c>
      <c r="AH410" s="5"/>
      <c r="AI410" s="5"/>
      <c r="AJ410" s="5" t="s">
        <v>37</v>
      </c>
      <c r="AK410" s="2" t="s">
        <v>5434</v>
      </c>
      <c r="AL410" s="3">
        <v>22815</v>
      </c>
      <c r="AM410" s="8">
        <v>45713</v>
      </c>
      <c r="AN410" s="2" t="s">
        <v>5603</v>
      </c>
      <c r="AO410" s="7">
        <f t="shared" si="6"/>
        <v>1521</v>
      </c>
    </row>
    <row r="411" spans="1:41" x14ac:dyDescent="0.25">
      <c r="A411" s="2">
        <v>435</v>
      </c>
      <c r="B411" s="2" t="s">
        <v>61</v>
      </c>
      <c r="C411" s="2" t="s">
        <v>4951</v>
      </c>
      <c r="D411" s="2" t="s">
        <v>36</v>
      </c>
      <c r="E411" s="2" t="s">
        <v>37</v>
      </c>
      <c r="F411" s="2" t="s">
        <v>4952</v>
      </c>
      <c r="G411" s="2" t="s">
        <v>53</v>
      </c>
      <c r="H411" s="2" t="s">
        <v>4953</v>
      </c>
      <c r="I411" s="2" t="s">
        <v>4954</v>
      </c>
      <c r="J411" s="2" t="s">
        <v>4955</v>
      </c>
      <c r="K411" s="2" t="s">
        <v>55</v>
      </c>
      <c r="L411" s="2" t="s">
        <v>4956</v>
      </c>
      <c r="M411" s="2">
        <v>618024</v>
      </c>
      <c r="N411" s="2">
        <v>1505000</v>
      </c>
      <c r="O411" s="2" t="s">
        <v>4957</v>
      </c>
      <c r="P411" s="8">
        <v>45694</v>
      </c>
      <c r="Q411" s="2" t="s">
        <v>4958</v>
      </c>
      <c r="R411" s="2" t="s">
        <v>4959</v>
      </c>
      <c r="S411" s="2" t="s">
        <v>48</v>
      </c>
      <c r="T411" s="2" t="s">
        <v>4960</v>
      </c>
      <c r="U411" s="2" t="s">
        <v>728</v>
      </c>
      <c r="V411" s="2" t="s">
        <v>40</v>
      </c>
      <c r="W411" s="8">
        <v>44600</v>
      </c>
      <c r="X411" s="2" t="s">
        <v>4311</v>
      </c>
      <c r="Y411" s="2" t="s">
        <v>4446</v>
      </c>
      <c r="Z411" s="2" t="s">
        <v>4961</v>
      </c>
      <c r="AA411" s="2">
        <v>5</v>
      </c>
      <c r="AB411" s="2" t="s">
        <v>76</v>
      </c>
      <c r="AC411" s="2" t="s">
        <v>4962</v>
      </c>
      <c r="AD411" s="2" t="s">
        <v>4835</v>
      </c>
      <c r="AE411" s="2">
        <v>1.5</v>
      </c>
      <c r="AF411" s="2">
        <v>1204000</v>
      </c>
      <c r="AG411" s="2">
        <v>18060</v>
      </c>
      <c r="AH411" s="2"/>
      <c r="AI411" s="2"/>
      <c r="AJ411" s="2" t="s">
        <v>37</v>
      </c>
      <c r="AK411" s="2" t="s">
        <v>5435</v>
      </c>
      <c r="AL411" s="3">
        <v>16931</v>
      </c>
      <c r="AM411" s="8">
        <v>45713</v>
      </c>
      <c r="AN411" s="2" t="s">
        <v>5604</v>
      </c>
      <c r="AO411" s="7">
        <f t="shared" si="6"/>
        <v>1129</v>
      </c>
    </row>
    <row r="412" spans="1:41" x14ac:dyDescent="0.25">
      <c r="A412" s="5">
        <v>436</v>
      </c>
      <c r="B412" s="5" t="s">
        <v>61</v>
      </c>
      <c r="C412" s="5" t="s">
        <v>4963</v>
      </c>
      <c r="D412" s="5" t="s">
        <v>36</v>
      </c>
      <c r="E412" s="5" t="s">
        <v>37</v>
      </c>
      <c r="F412" s="5" t="s">
        <v>4964</v>
      </c>
      <c r="G412" s="5" t="s">
        <v>47</v>
      </c>
      <c r="H412" s="5" t="s">
        <v>4965</v>
      </c>
      <c r="I412" s="5" t="s">
        <v>4966</v>
      </c>
      <c r="J412" s="5" t="s">
        <v>4967</v>
      </c>
      <c r="K412" s="5" t="s">
        <v>4966</v>
      </c>
      <c r="L412" s="5" t="s">
        <v>4968</v>
      </c>
      <c r="M412" s="5">
        <v>1590575</v>
      </c>
      <c r="N412" s="5">
        <v>4150000</v>
      </c>
      <c r="O412" s="5" t="s">
        <v>4969</v>
      </c>
      <c r="P412" s="6">
        <v>45691</v>
      </c>
      <c r="Q412" s="5" t="s">
        <v>4970</v>
      </c>
      <c r="R412" s="5" t="s">
        <v>4971</v>
      </c>
      <c r="S412" s="5" t="s">
        <v>48</v>
      </c>
      <c r="T412" s="5" t="s">
        <v>4972</v>
      </c>
      <c r="U412" s="5" t="s">
        <v>157</v>
      </c>
      <c r="V412" s="5" t="s">
        <v>60</v>
      </c>
      <c r="W412" s="6">
        <v>44599</v>
      </c>
      <c r="X412" s="5" t="s">
        <v>4311</v>
      </c>
      <c r="Y412" s="5" t="s">
        <v>4446</v>
      </c>
      <c r="Z412" s="5" t="s">
        <v>4973</v>
      </c>
      <c r="AA412" s="5">
        <v>5</v>
      </c>
      <c r="AB412" s="5" t="s">
        <v>44</v>
      </c>
      <c r="AC412" s="5" t="s">
        <v>4974</v>
      </c>
      <c r="AD412" s="5" t="s">
        <v>4835</v>
      </c>
      <c r="AE412" s="5">
        <v>1.5</v>
      </c>
      <c r="AF412" s="5">
        <v>3320000</v>
      </c>
      <c r="AG412" s="5">
        <v>49800</v>
      </c>
      <c r="AH412" s="5"/>
      <c r="AI412" s="5"/>
      <c r="AJ412" s="5" t="s">
        <v>37</v>
      </c>
      <c r="AK412" s="2" t="s">
        <v>5436</v>
      </c>
      <c r="AL412" s="3">
        <v>46688</v>
      </c>
      <c r="AM412" s="8">
        <v>45713</v>
      </c>
      <c r="AN412" s="2" t="s">
        <v>5605</v>
      </c>
      <c r="AO412" s="7">
        <f t="shared" si="6"/>
        <v>3112</v>
      </c>
    </row>
    <row r="413" spans="1:41" x14ac:dyDescent="0.25">
      <c r="A413" s="2">
        <v>437</v>
      </c>
      <c r="B413" s="2" t="s">
        <v>61</v>
      </c>
      <c r="C413" s="2" t="s">
        <v>4975</v>
      </c>
      <c r="D413" s="2" t="s">
        <v>36</v>
      </c>
      <c r="E413" s="2" t="s">
        <v>37</v>
      </c>
      <c r="F413" s="2" t="s">
        <v>4976</v>
      </c>
      <c r="G413" s="2" t="s">
        <v>111</v>
      </c>
      <c r="H413" s="2" t="s">
        <v>4977</v>
      </c>
      <c r="I413" s="2" t="s">
        <v>55</v>
      </c>
      <c r="J413" s="2" t="s">
        <v>4978</v>
      </c>
      <c r="K413" s="2" t="s">
        <v>55</v>
      </c>
      <c r="L413" s="2" t="s">
        <v>4979</v>
      </c>
      <c r="M413" s="2">
        <v>561179</v>
      </c>
      <c r="N413" s="2">
        <v>1530000</v>
      </c>
      <c r="O413" s="2" t="s">
        <v>4980</v>
      </c>
      <c r="P413" s="8">
        <v>45694</v>
      </c>
      <c r="Q413" s="2" t="s">
        <v>4981</v>
      </c>
      <c r="R413" s="2" t="s">
        <v>4982</v>
      </c>
      <c r="S413" s="2" t="s">
        <v>48</v>
      </c>
      <c r="T413" s="2" t="s">
        <v>4983</v>
      </c>
      <c r="U413" s="2" t="s">
        <v>1816</v>
      </c>
      <c r="V413" s="2" t="s">
        <v>158</v>
      </c>
      <c r="W413" s="8">
        <v>44601</v>
      </c>
      <c r="X413" s="2" t="s">
        <v>4311</v>
      </c>
      <c r="Y413" s="2" t="s">
        <v>4446</v>
      </c>
      <c r="Z413" s="2" t="s">
        <v>4984</v>
      </c>
      <c r="AA413" s="2">
        <v>5</v>
      </c>
      <c r="AB413" s="2" t="s">
        <v>76</v>
      </c>
      <c r="AC413" s="2" t="s">
        <v>4985</v>
      </c>
      <c r="AD413" s="2" t="s">
        <v>4835</v>
      </c>
      <c r="AE413" s="2">
        <v>1.5</v>
      </c>
      <c r="AF413" s="2">
        <v>1224000</v>
      </c>
      <c r="AG413" s="2">
        <v>18360</v>
      </c>
      <c r="AH413" s="2"/>
      <c r="AI413" s="2"/>
      <c r="AJ413" s="2" t="s">
        <v>37</v>
      </c>
      <c r="AK413" s="2" t="s">
        <v>5437</v>
      </c>
      <c r="AL413" s="3">
        <v>17213</v>
      </c>
      <c r="AM413" s="8">
        <v>45713</v>
      </c>
      <c r="AN413" s="2" t="s">
        <v>5606</v>
      </c>
      <c r="AO413" s="7">
        <f t="shared" si="6"/>
        <v>1147</v>
      </c>
    </row>
    <row r="414" spans="1:41" x14ac:dyDescent="0.25">
      <c r="A414" s="5">
        <v>438</v>
      </c>
      <c r="B414" s="5" t="s">
        <v>61</v>
      </c>
      <c r="C414" s="5" t="s">
        <v>4986</v>
      </c>
      <c r="D414" s="5" t="s">
        <v>36</v>
      </c>
      <c r="E414" s="5" t="s">
        <v>37</v>
      </c>
      <c r="F414" s="5" t="s">
        <v>4987</v>
      </c>
      <c r="G414" s="5" t="s">
        <v>82</v>
      </c>
      <c r="H414" s="5" t="s">
        <v>4988</v>
      </c>
      <c r="I414" s="5" t="s">
        <v>4989</v>
      </c>
      <c r="J414" s="5" t="s">
        <v>55</v>
      </c>
      <c r="K414" s="5" t="s">
        <v>67</v>
      </c>
      <c r="L414" s="5" t="s">
        <v>4990</v>
      </c>
      <c r="M414" s="5">
        <v>406751</v>
      </c>
      <c r="N414" s="5">
        <v>1000000</v>
      </c>
      <c r="O414" s="5" t="s">
        <v>4991</v>
      </c>
      <c r="P414" s="6">
        <v>45694</v>
      </c>
      <c r="Q414" s="5" t="s">
        <v>4992</v>
      </c>
      <c r="R414" s="5" t="s">
        <v>4993</v>
      </c>
      <c r="S414" s="5" t="s">
        <v>48</v>
      </c>
      <c r="T414" s="5" t="s">
        <v>4994</v>
      </c>
      <c r="U414" s="5" t="s">
        <v>4995</v>
      </c>
      <c r="V414" s="5" t="s">
        <v>230</v>
      </c>
      <c r="W414" s="6">
        <v>44600</v>
      </c>
      <c r="X414" s="5" t="s">
        <v>4311</v>
      </c>
      <c r="Y414" s="5" t="s">
        <v>4446</v>
      </c>
      <c r="Z414" s="5" t="s">
        <v>4996</v>
      </c>
      <c r="AA414" s="5">
        <v>5</v>
      </c>
      <c r="AB414" s="5" t="s">
        <v>76</v>
      </c>
      <c r="AC414" s="5" t="s">
        <v>4997</v>
      </c>
      <c r="AD414" s="5" t="s">
        <v>4835</v>
      </c>
      <c r="AE414" s="5">
        <v>1.5</v>
      </c>
      <c r="AF414" s="5">
        <v>800000</v>
      </c>
      <c r="AG414" s="5">
        <v>12000</v>
      </c>
      <c r="AH414" s="5"/>
      <c r="AI414" s="5"/>
      <c r="AJ414" s="5" t="s">
        <v>37</v>
      </c>
      <c r="AK414" s="2" t="s">
        <v>5438</v>
      </c>
      <c r="AL414" s="3">
        <v>11250</v>
      </c>
      <c r="AM414" s="8">
        <v>45713</v>
      </c>
      <c r="AN414" s="2" t="s">
        <v>5607</v>
      </c>
      <c r="AO414" s="7">
        <f t="shared" si="6"/>
        <v>750</v>
      </c>
    </row>
    <row r="415" spans="1:41" hidden="1" x14ac:dyDescent="0.25">
      <c r="A415" s="2">
        <v>439</v>
      </c>
      <c r="B415" s="2" t="s">
        <v>61</v>
      </c>
      <c r="C415" s="2" t="s">
        <v>4998</v>
      </c>
      <c r="D415" s="2" t="s">
        <v>36</v>
      </c>
      <c r="E415" s="2" t="s">
        <v>37</v>
      </c>
      <c r="F415" s="2" t="s">
        <v>4999</v>
      </c>
      <c r="G415" s="2" t="s">
        <v>47</v>
      </c>
      <c r="H415" s="2" t="s">
        <v>5000</v>
      </c>
      <c r="I415" s="2" t="s">
        <v>5001</v>
      </c>
      <c r="J415" s="2" t="s">
        <v>5002</v>
      </c>
      <c r="K415" s="2" t="s">
        <v>5002</v>
      </c>
      <c r="L415" s="2" t="s">
        <v>5003</v>
      </c>
      <c r="M415" s="2">
        <v>465982</v>
      </c>
      <c r="N415" s="2">
        <v>2449000</v>
      </c>
      <c r="O415" s="2" t="s">
        <v>5004</v>
      </c>
      <c r="P415" s="8">
        <v>45693</v>
      </c>
      <c r="Q415" s="2" t="s">
        <v>5005</v>
      </c>
      <c r="R415" s="2" t="s">
        <v>5006</v>
      </c>
      <c r="S415" s="2" t="s">
        <v>54</v>
      </c>
      <c r="T415" s="2" t="s">
        <v>5007</v>
      </c>
      <c r="U415" s="2" t="s">
        <v>5008</v>
      </c>
      <c r="V415" s="2" t="s">
        <v>158</v>
      </c>
      <c r="W415" s="8">
        <v>43508</v>
      </c>
      <c r="X415" s="2" t="s">
        <v>5009</v>
      </c>
      <c r="Y415" s="2" t="s">
        <v>4469</v>
      </c>
      <c r="Z415" s="2" t="s">
        <v>5010</v>
      </c>
      <c r="AA415" s="2">
        <v>7</v>
      </c>
      <c r="AB415" s="2" t="s">
        <v>44</v>
      </c>
      <c r="AC415" s="2" t="s">
        <v>5011</v>
      </c>
      <c r="AD415" s="2" t="s">
        <v>5012</v>
      </c>
      <c r="AE415" s="2">
        <v>3.1</v>
      </c>
      <c r="AF415" s="2">
        <v>1591850</v>
      </c>
      <c r="AG415" s="2">
        <v>49347</v>
      </c>
      <c r="AH415" s="2"/>
      <c r="AI415" s="2"/>
      <c r="AJ415" s="2" t="s">
        <v>37</v>
      </c>
      <c r="AK415" s="2" t="s">
        <v>5439</v>
      </c>
      <c r="AL415" s="3">
        <v>49347</v>
      </c>
      <c r="AM415" s="8">
        <v>45713</v>
      </c>
      <c r="AN415" s="2"/>
      <c r="AO415" s="7">
        <f t="shared" si="6"/>
        <v>0</v>
      </c>
    </row>
    <row r="416" spans="1:41" x14ac:dyDescent="0.25">
      <c r="A416" s="5">
        <v>440</v>
      </c>
      <c r="B416" s="5" t="s">
        <v>61</v>
      </c>
      <c r="C416" s="5" t="s">
        <v>5013</v>
      </c>
      <c r="D416" s="5" t="s">
        <v>36</v>
      </c>
      <c r="E416" s="5" t="s">
        <v>37</v>
      </c>
      <c r="F416" s="5" t="s">
        <v>4325</v>
      </c>
      <c r="G416" s="5" t="s">
        <v>5014</v>
      </c>
      <c r="H416" s="5" t="s">
        <v>5015</v>
      </c>
      <c r="I416" s="5" t="s">
        <v>5016</v>
      </c>
      <c r="J416" s="5" t="s">
        <v>5016</v>
      </c>
      <c r="K416" s="5" t="s">
        <v>5016</v>
      </c>
      <c r="L416" s="5" t="s">
        <v>5017</v>
      </c>
      <c r="M416" s="5">
        <v>676201</v>
      </c>
      <c r="N416" s="5">
        <v>1900000</v>
      </c>
      <c r="O416" s="5" t="s">
        <v>5018</v>
      </c>
      <c r="P416" s="6">
        <v>45691</v>
      </c>
      <c r="Q416" s="5" t="s">
        <v>5019</v>
      </c>
      <c r="R416" s="5" t="s">
        <v>5020</v>
      </c>
      <c r="S416" s="5" t="s">
        <v>48</v>
      </c>
      <c r="T416" s="5" t="s">
        <v>5021</v>
      </c>
      <c r="U416" s="5" t="s">
        <v>2719</v>
      </c>
      <c r="V416" s="5" t="s">
        <v>49</v>
      </c>
      <c r="W416" s="6">
        <v>44602</v>
      </c>
      <c r="X416" s="5" t="s">
        <v>4311</v>
      </c>
      <c r="Y416" s="5" t="s">
        <v>4446</v>
      </c>
      <c r="Z416" s="5" t="s">
        <v>5022</v>
      </c>
      <c r="AA416" s="5">
        <v>5</v>
      </c>
      <c r="AB416" s="5" t="s">
        <v>76</v>
      </c>
      <c r="AC416" s="5" t="s">
        <v>5023</v>
      </c>
      <c r="AD416" s="5" t="s">
        <v>4641</v>
      </c>
      <c r="AE416" s="5">
        <v>1.5</v>
      </c>
      <c r="AF416" s="5">
        <v>1520000</v>
      </c>
      <c r="AG416" s="5">
        <v>22800</v>
      </c>
      <c r="AH416" s="5"/>
      <c r="AI416" s="5"/>
      <c r="AJ416" s="5" t="s">
        <v>37</v>
      </c>
      <c r="AK416" s="2" t="s">
        <v>5440</v>
      </c>
      <c r="AL416" s="3">
        <v>21375</v>
      </c>
      <c r="AM416" s="8">
        <v>45713</v>
      </c>
      <c r="AN416" s="2" t="s">
        <v>5608</v>
      </c>
      <c r="AO416" s="7">
        <f t="shared" si="6"/>
        <v>1425</v>
      </c>
    </row>
    <row r="417" spans="1:41" x14ac:dyDescent="0.25">
      <c r="A417" s="2">
        <v>441</v>
      </c>
      <c r="B417" s="2" t="s">
        <v>61</v>
      </c>
      <c r="C417" s="2" t="s">
        <v>5024</v>
      </c>
      <c r="D417" s="2" t="s">
        <v>36</v>
      </c>
      <c r="E417" s="2" t="s">
        <v>37</v>
      </c>
      <c r="F417" s="2" t="s">
        <v>5025</v>
      </c>
      <c r="G417" s="2" t="s">
        <v>2828</v>
      </c>
      <c r="H417" s="2" t="s">
        <v>5026</v>
      </c>
      <c r="I417" s="2" t="s">
        <v>5027</v>
      </c>
      <c r="J417" s="2" t="s">
        <v>5028</v>
      </c>
      <c r="K417" s="2" t="s">
        <v>5027</v>
      </c>
      <c r="L417" s="2" t="s">
        <v>5029</v>
      </c>
      <c r="M417" s="2">
        <v>435813</v>
      </c>
      <c r="N417" s="2">
        <v>1500000</v>
      </c>
      <c r="O417" s="2" t="s">
        <v>5030</v>
      </c>
      <c r="P417" s="8">
        <v>45691</v>
      </c>
      <c r="Q417" s="2" t="s">
        <v>5031</v>
      </c>
      <c r="R417" s="2" t="s">
        <v>5032</v>
      </c>
      <c r="S417" s="2" t="s">
        <v>48</v>
      </c>
      <c r="T417" s="2" t="s">
        <v>5033</v>
      </c>
      <c r="U417" s="2" t="s">
        <v>39</v>
      </c>
      <c r="V417" s="2" t="s">
        <v>158</v>
      </c>
      <c r="W417" s="8">
        <v>44601</v>
      </c>
      <c r="X417" s="2" t="s">
        <v>4311</v>
      </c>
      <c r="Y417" s="2" t="s">
        <v>4446</v>
      </c>
      <c r="Z417" s="2" t="s">
        <v>5034</v>
      </c>
      <c r="AA417" s="2">
        <v>5</v>
      </c>
      <c r="AB417" s="2" t="s">
        <v>44</v>
      </c>
      <c r="AC417" s="2" t="s">
        <v>5035</v>
      </c>
      <c r="AD417" s="2" t="s">
        <v>4835</v>
      </c>
      <c r="AE417" s="2">
        <v>1.5</v>
      </c>
      <c r="AF417" s="2">
        <v>1200000</v>
      </c>
      <c r="AG417" s="2">
        <v>18000</v>
      </c>
      <c r="AH417" s="2"/>
      <c r="AI417" s="2"/>
      <c r="AJ417" s="2" t="s">
        <v>37</v>
      </c>
      <c r="AK417" s="2" t="s">
        <v>5441</v>
      </c>
      <c r="AL417" s="3">
        <v>16875</v>
      </c>
      <c r="AM417" s="8">
        <v>45713</v>
      </c>
      <c r="AN417" s="2" t="s">
        <v>5609</v>
      </c>
      <c r="AO417" s="7">
        <f t="shared" si="6"/>
        <v>1125</v>
      </c>
    </row>
    <row r="419" spans="1:41" x14ac:dyDescent="0.25">
      <c r="AG419" s="1">
        <f>SUBTOTAL(9,AG2:AG417)</f>
        <v>5618075</v>
      </c>
      <c r="AL419" s="1">
        <f>SUBTOTAL(9,AL2:AL417)</f>
        <v>5390044</v>
      </c>
      <c r="AO419" s="1">
        <f>SUBTOTAL(9,AO2:AO417)</f>
        <v>228031</v>
      </c>
    </row>
  </sheetData>
  <autoFilter ref="A1:AO417" xr:uid="{00000000-0001-0000-0000-000000000000}">
    <filterColumn colId="3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F80E-D510-41C6-878E-B8C6398C628B}">
  <dimension ref="A1:J416"/>
  <sheetViews>
    <sheetView topLeftCell="A180" workbookViewId="0">
      <selection activeCell="A182" sqref="A182"/>
    </sheetView>
  </sheetViews>
  <sheetFormatPr defaultRowHeight="15" x14ac:dyDescent="0.25"/>
  <cols>
    <col min="1" max="1" width="44.28515625" bestFit="1" customWidth="1"/>
  </cols>
  <sheetData>
    <row r="1" spans="1:10" x14ac:dyDescent="0.25">
      <c r="A1" s="2" t="s">
        <v>5040</v>
      </c>
      <c r="B1" t="s">
        <v>5625</v>
      </c>
      <c r="H1">
        <v>108044</v>
      </c>
      <c r="I1" t="s">
        <v>5628</v>
      </c>
      <c r="J1" t="str">
        <f>"ia.assorted_string like '%"&amp;H1&amp;"-"&amp;I1&amp;B1&amp;"%' or"</f>
        <v>ia.assorted_string like '%108044-00005-03-2025%' or</v>
      </c>
    </row>
    <row r="2" spans="1:10" x14ac:dyDescent="0.25">
      <c r="A2" s="2" t="s">
        <v>5047</v>
      </c>
      <c r="B2" t="s">
        <v>5625</v>
      </c>
      <c r="H2">
        <v>108044</v>
      </c>
      <c r="I2" t="s">
        <v>5629</v>
      </c>
      <c r="J2" t="str">
        <f t="shared" ref="J2:J65" si="0">"ia.assorted_string like '%"&amp;H2&amp;"-"&amp;I2&amp;B2&amp;"%' or"</f>
        <v>ia.assorted_string like '%108044-00006-03-2025%' or</v>
      </c>
    </row>
    <row r="3" spans="1:10" x14ac:dyDescent="0.25">
      <c r="A3" s="2" t="s">
        <v>5048</v>
      </c>
      <c r="B3" t="s">
        <v>5625</v>
      </c>
      <c r="H3">
        <v>108044</v>
      </c>
      <c r="I3" t="s">
        <v>5630</v>
      </c>
      <c r="J3" t="str">
        <f t="shared" si="0"/>
        <v>ia.assorted_string like '%108044-00020-03-2025%' or</v>
      </c>
    </row>
    <row r="4" spans="1:10" x14ac:dyDescent="0.25">
      <c r="A4" s="2" t="s">
        <v>5049</v>
      </c>
      <c r="B4" t="s">
        <v>5625</v>
      </c>
      <c r="H4">
        <v>108044</v>
      </c>
      <c r="I4" t="s">
        <v>5631</v>
      </c>
      <c r="J4" t="str">
        <f t="shared" si="0"/>
        <v>ia.assorted_string like '%108044-00022-03-2025%' or</v>
      </c>
    </row>
    <row r="5" spans="1:10" x14ac:dyDescent="0.25">
      <c r="A5" s="2" t="s">
        <v>5050</v>
      </c>
      <c r="B5" t="s">
        <v>5625</v>
      </c>
      <c r="H5">
        <v>108044</v>
      </c>
      <c r="I5" t="s">
        <v>5632</v>
      </c>
      <c r="J5" t="str">
        <f t="shared" si="0"/>
        <v>ia.assorted_string like '%108044-00030-03-2025%' or</v>
      </c>
    </row>
    <row r="6" spans="1:10" x14ac:dyDescent="0.25">
      <c r="A6" s="2" t="s">
        <v>5051</v>
      </c>
      <c r="B6" t="s">
        <v>5626</v>
      </c>
      <c r="H6">
        <v>106590</v>
      </c>
      <c r="I6" t="s">
        <v>5633</v>
      </c>
      <c r="J6" t="str">
        <f t="shared" si="0"/>
        <v>ia.assorted_string like '%106590-00214-01-2025%' or</v>
      </c>
    </row>
    <row r="7" spans="1:10" x14ac:dyDescent="0.25">
      <c r="A7" s="2" t="s">
        <v>5052</v>
      </c>
      <c r="B7" t="s">
        <v>5625</v>
      </c>
      <c r="H7">
        <v>108044</v>
      </c>
      <c r="I7" t="s">
        <v>5634</v>
      </c>
      <c r="J7" t="str">
        <f t="shared" si="0"/>
        <v>ia.assorted_string like '%108044-00032-03-2025%' or</v>
      </c>
    </row>
    <row r="8" spans="1:10" x14ac:dyDescent="0.25">
      <c r="A8" s="9" t="s">
        <v>5610</v>
      </c>
      <c r="B8" t="s">
        <v>5625</v>
      </c>
      <c r="H8">
        <v>108413</v>
      </c>
      <c r="I8" t="s">
        <v>5635</v>
      </c>
      <c r="J8" t="str">
        <f t="shared" si="0"/>
        <v>ia.assorted_string like '%108413-00001-03-2025%' or</v>
      </c>
    </row>
    <row r="9" spans="1:10" x14ac:dyDescent="0.25">
      <c r="A9" s="2" t="s">
        <v>5053</v>
      </c>
      <c r="B9" t="s">
        <v>5626</v>
      </c>
      <c r="H9">
        <v>106590</v>
      </c>
      <c r="I9" t="s">
        <v>5636</v>
      </c>
      <c r="J9" t="str">
        <f t="shared" si="0"/>
        <v>ia.assorted_string like '%106590-00007-01-2025%' or</v>
      </c>
    </row>
    <row r="10" spans="1:10" x14ac:dyDescent="0.25">
      <c r="A10" s="2" t="s">
        <v>5054</v>
      </c>
      <c r="B10" t="s">
        <v>5626</v>
      </c>
      <c r="H10">
        <v>106590</v>
      </c>
      <c r="I10" t="s">
        <v>5637</v>
      </c>
      <c r="J10" t="str">
        <f t="shared" si="0"/>
        <v>ia.assorted_string like '%106590-00197-01-2025%' or</v>
      </c>
    </row>
    <row r="11" spans="1:10" x14ac:dyDescent="0.25">
      <c r="A11" s="2" t="s">
        <v>5055</v>
      </c>
      <c r="B11" t="s">
        <v>5626</v>
      </c>
      <c r="H11">
        <v>106590</v>
      </c>
      <c r="I11" t="s">
        <v>5638</v>
      </c>
      <c r="J11" t="str">
        <f t="shared" si="0"/>
        <v>ia.assorted_string like '%106590-00200-01-2025%' or</v>
      </c>
    </row>
    <row r="12" spans="1:10" x14ac:dyDescent="0.25">
      <c r="A12" s="2" t="s">
        <v>5056</v>
      </c>
      <c r="B12" t="s">
        <v>5626</v>
      </c>
      <c r="H12">
        <v>106590</v>
      </c>
      <c r="I12" t="s">
        <v>5639</v>
      </c>
      <c r="J12" t="str">
        <f t="shared" si="0"/>
        <v>ia.assorted_string like '%106590-00268-01-2025%' or</v>
      </c>
    </row>
    <row r="13" spans="1:10" x14ac:dyDescent="0.25">
      <c r="A13" s="2" t="s">
        <v>5057</v>
      </c>
      <c r="B13" t="s">
        <v>5625</v>
      </c>
      <c r="H13">
        <v>108044</v>
      </c>
      <c r="I13" t="s">
        <v>5640</v>
      </c>
      <c r="J13" t="str">
        <f t="shared" si="0"/>
        <v>ia.assorted_string like '%108044-00039-03-2025%' or</v>
      </c>
    </row>
    <row r="14" spans="1:10" x14ac:dyDescent="0.25">
      <c r="A14" s="2" t="s">
        <v>5058</v>
      </c>
      <c r="B14" t="s">
        <v>5626</v>
      </c>
      <c r="H14">
        <v>106590</v>
      </c>
      <c r="I14" t="s">
        <v>5641</v>
      </c>
      <c r="J14" t="str">
        <f t="shared" si="0"/>
        <v>ia.assorted_string like '%106590-00281-01-2025%' or</v>
      </c>
    </row>
    <row r="15" spans="1:10" x14ac:dyDescent="0.25">
      <c r="A15" s="2" t="s">
        <v>5059</v>
      </c>
      <c r="B15" t="s">
        <v>5626</v>
      </c>
      <c r="H15">
        <v>106590</v>
      </c>
      <c r="I15" t="s">
        <v>5642</v>
      </c>
      <c r="J15" t="str">
        <f t="shared" si="0"/>
        <v>ia.assorted_string like '%106590-00003-01-2025%' or</v>
      </c>
    </row>
    <row r="16" spans="1:10" x14ac:dyDescent="0.25">
      <c r="A16" s="2" t="s">
        <v>5060</v>
      </c>
      <c r="B16" t="s">
        <v>5625</v>
      </c>
      <c r="H16">
        <v>108044</v>
      </c>
      <c r="I16" t="s">
        <v>5643</v>
      </c>
      <c r="J16" t="str">
        <f t="shared" si="0"/>
        <v>ia.assorted_string like '%108044-00042-03-2025%' or</v>
      </c>
    </row>
    <row r="17" spans="1:10" x14ac:dyDescent="0.25">
      <c r="A17" s="2" t="s">
        <v>5061</v>
      </c>
      <c r="B17" t="s">
        <v>5626</v>
      </c>
      <c r="H17">
        <v>106590</v>
      </c>
      <c r="I17" t="s">
        <v>5628</v>
      </c>
      <c r="J17" t="str">
        <f t="shared" si="0"/>
        <v>ia.assorted_string like '%106590-00005-01-2025%' or</v>
      </c>
    </row>
    <row r="18" spans="1:10" x14ac:dyDescent="0.25">
      <c r="A18" s="2" t="s">
        <v>5062</v>
      </c>
      <c r="B18" t="s">
        <v>5626</v>
      </c>
      <c r="H18">
        <v>106590</v>
      </c>
      <c r="I18" t="s">
        <v>5629</v>
      </c>
      <c r="J18" t="str">
        <f t="shared" si="0"/>
        <v>ia.assorted_string like '%106590-00006-01-2025%' or</v>
      </c>
    </row>
    <row r="19" spans="1:10" x14ac:dyDescent="0.25">
      <c r="A19" s="9" t="s">
        <v>5611</v>
      </c>
      <c r="B19" t="s">
        <v>5625</v>
      </c>
      <c r="H19">
        <v>108413</v>
      </c>
      <c r="I19" t="s">
        <v>5644</v>
      </c>
      <c r="J19" t="str">
        <f t="shared" si="0"/>
        <v>ia.assorted_string like '%108413-00002-03-2025%' or</v>
      </c>
    </row>
    <row r="20" spans="1:10" x14ac:dyDescent="0.25">
      <c r="A20" s="9" t="s">
        <v>5612</v>
      </c>
      <c r="B20" t="s">
        <v>5625</v>
      </c>
      <c r="H20">
        <v>108413</v>
      </c>
      <c r="I20" t="s">
        <v>5642</v>
      </c>
      <c r="J20" t="str">
        <f t="shared" si="0"/>
        <v>ia.assorted_string like '%108413-00003-03-2025%' or</v>
      </c>
    </row>
    <row r="21" spans="1:10" x14ac:dyDescent="0.25">
      <c r="A21" s="9" t="s">
        <v>5613</v>
      </c>
      <c r="B21" t="s">
        <v>5625</v>
      </c>
      <c r="H21">
        <v>108413</v>
      </c>
      <c r="I21" t="s">
        <v>5645</v>
      </c>
      <c r="J21" t="str">
        <f t="shared" si="0"/>
        <v>ia.assorted_string like '%108413-00004-03-2025%' or</v>
      </c>
    </row>
    <row r="22" spans="1:10" x14ac:dyDescent="0.25">
      <c r="A22" s="9" t="s">
        <v>5614</v>
      </c>
      <c r="B22" t="s">
        <v>5625</v>
      </c>
      <c r="H22">
        <v>108413</v>
      </c>
      <c r="I22" t="s">
        <v>5628</v>
      </c>
      <c r="J22" t="str">
        <f t="shared" si="0"/>
        <v>ia.assorted_string like '%108413-00005-03-2025%' or</v>
      </c>
    </row>
    <row r="23" spans="1:10" x14ac:dyDescent="0.25">
      <c r="A23" s="2" t="s">
        <v>5063</v>
      </c>
      <c r="B23" t="s">
        <v>5626</v>
      </c>
      <c r="H23">
        <v>106590</v>
      </c>
      <c r="I23" t="s">
        <v>5646</v>
      </c>
      <c r="J23" t="str">
        <f t="shared" si="0"/>
        <v>ia.assorted_string like '%106590-00056-01-2025%' or</v>
      </c>
    </row>
    <row r="24" spans="1:10" x14ac:dyDescent="0.25">
      <c r="A24" s="2" t="s">
        <v>5064</v>
      </c>
      <c r="B24" t="s">
        <v>5626</v>
      </c>
      <c r="H24">
        <v>106590</v>
      </c>
      <c r="I24" t="s">
        <v>5647</v>
      </c>
      <c r="J24" t="str">
        <f t="shared" si="0"/>
        <v>ia.assorted_string like '%106590-00058-01-2025%' or</v>
      </c>
    </row>
    <row r="25" spans="1:10" x14ac:dyDescent="0.25">
      <c r="A25" s="2" t="s">
        <v>5065</v>
      </c>
      <c r="B25" t="s">
        <v>5625</v>
      </c>
      <c r="H25">
        <v>108044</v>
      </c>
      <c r="I25" t="s">
        <v>5648</v>
      </c>
      <c r="J25" t="str">
        <f t="shared" si="0"/>
        <v>ia.assorted_string like '%108044-00049-03-2025%' or</v>
      </c>
    </row>
    <row r="26" spans="1:10" x14ac:dyDescent="0.25">
      <c r="A26" s="2" t="s">
        <v>5066</v>
      </c>
      <c r="B26" t="s">
        <v>5626</v>
      </c>
      <c r="H26">
        <v>106590</v>
      </c>
      <c r="I26" t="s">
        <v>5649</v>
      </c>
      <c r="J26" t="str">
        <f t="shared" si="0"/>
        <v>ia.assorted_string like '%106590-00068-01-2025%' or</v>
      </c>
    </row>
    <row r="27" spans="1:10" x14ac:dyDescent="0.25">
      <c r="A27" s="2" t="s">
        <v>5067</v>
      </c>
      <c r="B27" t="s">
        <v>5626</v>
      </c>
      <c r="H27">
        <v>106590</v>
      </c>
      <c r="I27" t="s">
        <v>5650</v>
      </c>
      <c r="J27" t="str">
        <f t="shared" si="0"/>
        <v>ia.assorted_string like '%106590-00093-01-2025%' or</v>
      </c>
    </row>
    <row r="28" spans="1:10" x14ac:dyDescent="0.25">
      <c r="A28" s="2" t="s">
        <v>5068</v>
      </c>
      <c r="B28" t="s">
        <v>5626</v>
      </c>
      <c r="H28">
        <v>106590</v>
      </c>
      <c r="I28" t="s">
        <v>5651</v>
      </c>
      <c r="J28" t="str">
        <f t="shared" si="0"/>
        <v>ia.assorted_string like '%106590-00096-01-2025%' or</v>
      </c>
    </row>
    <row r="29" spans="1:10" x14ac:dyDescent="0.25">
      <c r="A29" s="2" t="s">
        <v>5069</v>
      </c>
      <c r="B29" t="s">
        <v>5625</v>
      </c>
      <c r="H29">
        <v>108044</v>
      </c>
      <c r="I29" t="s">
        <v>5652</v>
      </c>
      <c r="J29" t="str">
        <f t="shared" si="0"/>
        <v>ia.assorted_string like '%108044-00055-03-2025%' or</v>
      </c>
    </row>
    <row r="30" spans="1:10" x14ac:dyDescent="0.25">
      <c r="A30" s="2" t="s">
        <v>5070</v>
      </c>
      <c r="B30" t="s">
        <v>5626</v>
      </c>
      <c r="H30">
        <v>106590</v>
      </c>
      <c r="I30" t="s">
        <v>5653</v>
      </c>
      <c r="J30" t="str">
        <f t="shared" si="0"/>
        <v>ia.assorted_string like '%106590-00099-01-2025%' or</v>
      </c>
    </row>
    <row r="31" spans="1:10" x14ac:dyDescent="0.25">
      <c r="A31" s="2" t="s">
        <v>5071</v>
      </c>
      <c r="B31" t="s">
        <v>5626</v>
      </c>
      <c r="H31">
        <v>106590</v>
      </c>
      <c r="I31" t="s">
        <v>5654</v>
      </c>
      <c r="J31" t="str">
        <f t="shared" si="0"/>
        <v>ia.assorted_string like '%106590-00102-01-2025%' or</v>
      </c>
    </row>
    <row r="32" spans="1:10" x14ac:dyDescent="0.25">
      <c r="A32" s="2" t="s">
        <v>5072</v>
      </c>
      <c r="B32" t="s">
        <v>5625</v>
      </c>
      <c r="H32">
        <v>108044</v>
      </c>
      <c r="I32" t="s">
        <v>5655</v>
      </c>
      <c r="J32" t="str">
        <f t="shared" si="0"/>
        <v>ia.assorted_string like '%108044-00059-03-2025%' or</v>
      </c>
    </row>
    <row r="33" spans="1:10" x14ac:dyDescent="0.25">
      <c r="A33" s="2" t="s">
        <v>5073</v>
      </c>
      <c r="B33" t="s">
        <v>5625</v>
      </c>
      <c r="H33">
        <v>108044</v>
      </c>
      <c r="I33" t="s">
        <v>5656</v>
      </c>
      <c r="J33" t="str">
        <f t="shared" si="0"/>
        <v>ia.assorted_string like '%108044-00060-03-2025%' or</v>
      </c>
    </row>
    <row r="34" spans="1:10" x14ac:dyDescent="0.25">
      <c r="A34" s="2" t="s">
        <v>5074</v>
      </c>
      <c r="B34" t="s">
        <v>5626</v>
      </c>
      <c r="H34">
        <v>106590</v>
      </c>
      <c r="I34" t="s">
        <v>5657</v>
      </c>
      <c r="J34" t="str">
        <f t="shared" si="0"/>
        <v>ia.assorted_string like '%106590-00116-01-2025%' or</v>
      </c>
    </row>
    <row r="35" spans="1:10" x14ac:dyDescent="0.25">
      <c r="A35" s="2" t="s">
        <v>5075</v>
      </c>
      <c r="B35" t="s">
        <v>5626</v>
      </c>
      <c r="H35">
        <v>106590</v>
      </c>
      <c r="I35" t="s">
        <v>5658</v>
      </c>
      <c r="J35" t="str">
        <f t="shared" si="0"/>
        <v>ia.assorted_string like '%106590-00130-01-2025%' or</v>
      </c>
    </row>
    <row r="36" spans="1:10" x14ac:dyDescent="0.25">
      <c r="A36" s="2" t="s">
        <v>5076</v>
      </c>
      <c r="B36" t="s">
        <v>5626</v>
      </c>
      <c r="H36">
        <v>106590</v>
      </c>
      <c r="I36" t="s">
        <v>5659</v>
      </c>
      <c r="J36" t="str">
        <f t="shared" si="0"/>
        <v>ia.assorted_string like '%106590-00140-01-2025%' or</v>
      </c>
    </row>
    <row r="37" spans="1:10" x14ac:dyDescent="0.25">
      <c r="A37" s="2" t="s">
        <v>5077</v>
      </c>
      <c r="B37" t="s">
        <v>5626</v>
      </c>
      <c r="H37">
        <v>106590</v>
      </c>
      <c r="I37" t="s">
        <v>5660</v>
      </c>
      <c r="J37" t="str">
        <f t="shared" si="0"/>
        <v>ia.assorted_string like '%106590-00141-01-2025%' or</v>
      </c>
    </row>
    <row r="38" spans="1:10" x14ac:dyDescent="0.25">
      <c r="A38" s="2" t="s">
        <v>5078</v>
      </c>
      <c r="B38" t="s">
        <v>5626</v>
      </c>
      <c r="H38">
        <v>106590</v>
      </c>
      <c r="I38" t="s">
        <v>5661</v>
      </c>
      <c r="J38" t="str">
        <f t="shared" si="0"/>
        <v>ia.assorted_string like '%106590-00151-01-2025%' or</v>
      </c>
    </row>
    <row r="39" spans="1:10" x14ac:dyDescent="0.25">
      <c r="A39" s="2" t="s">
        <v>5079</v>
      </c>
      <c r="B39" t="s">
        <v>5625</v>
      </c>
      <c r="H39">
        <v>108044</v>
      </c>
      <c r="I39" t="s">
        <v>5662</v>
      </c>
      <c r="J39" t="str">
        <f t="shared" si="0"/>
        <v>ia.assorted_string like '%108044-00066-03-2025%' or</v>
      </c>
    </row>
    <row r="40" spans="1:10" x14ac:dyDescent="0.25">
      <c r="A40" s="2" t="s">
        <v>5080</v>
      </c>
      <c r="B40" t="s">
        <v>5626</v>
      </c>
      <c r="H40">
        <v>106590</v>
      </c>
      <c r="I40" t="s">
        <v>5663</v>
      </c>
      <c r="J40" t="str">
        <f t="shared" si="0"/>
        <v>ia.assorted_string like '%106590-00156-01-2025%' or</v>
      </c>
    </row>
    <row r="41" spans="1:10" x14ac:dyDescent="0.25">
      <c r="A41" s="2" t="s">
        <v>5081</v>
      </c>
      <c r="B41" t="s">
        <v>5625</v>
      </c>
      <c r="H41">
        <v>108044</v>
      </c>
      <c r="I41" t="s">
        <v>5649</v>
      </c>
      <c r="J41" t="str">
        <f t="shared" si="0"/>
        <v>ia.assorted_string like '%108044-00068-03-2025%' or</v>
      </c>
    </row>
    <row r="42" spans="1:10" x14ac:dyDescent="0.25">
      <c r="A42" s="2" t="s">
        <v>5082</v>
      </c>
      <c r="B42" t="s">
        <v>5626</v>
      </c>
      <c r="H42">
        <v>106590</v>
      </c>
      <c r="I42" t="s">
        <v>5664</v>
      </c>
      <c r="J42" t="str">
        <f t="shared" si="0"/>
        <v>ia.assorted_string like '%106590-00162-01-2025%' or</v>
      </c>
    </row>
    <row r="43" spans="1:10" x14ac:dyDescent="0.25">
      <c r="A43" s="2" t="s">
        <v>5083</v>
      </c>
      <c r="B43" t="s">
        <v>5626</v>
      </c>
      <c r="H43">
        <v>106590</v>
      </c>
      <c r="I43" t="s">
        <v>5665</v>
      </c>
      <c r="J43" t="str">
        <f t="shared" si="0"/>
        <v>ia.assorted_string like '%106590-00165-01-2025%' or</v>
      </c>
    </row>
    <row r="44" spans="1:10" x14ac:dyDescent="0.25">
      <c r="A44" s="2" t="s">
        <v>5084</v>
      </c>
      <c r="B44" t="s">
        <v>5625</v>
      </c>
      <c r="H44">
        <v>108044</v>
      </c>
      <c r="I44" t="s">
        <v>5666</v>
      </c>
      <c r="J44" t="str">
        <f t="shared" si="0"/>
        <v>ia.assorted_string like '%108044-00071-03-2025%' or</v>
      </c>
    </row>
    <row r="45" spans="1:10" x14ac:dyDescent="0.25">
      <c r="A45" s="2" t="s">
        <v>5085</v>
      </c>
      <c r="B45" t="s">
        <v>5626</v>
      </c>
      <c r="H45">
        <v>106590</v>
      </c>
      <c r="I45" t="s">
        <v>5667</v>
      </c>
      <c r="J45" t="str">
        <f t="shared" si="0"/>
        <v>ia.assorted_string like '%106590-00168-01-2025%' or</v>
      </c>
    </row>
    <row r="46" spans="1:10" x14ac:dyDescent="0.25">
      <c r="A46" s="2" t="s">
        <v>5086</v>
      </c>
      <c r="B46" t="s">
        <v>5625</v>
      </c>
      <c r="H46">
        <v>108044</v>
      </c>
      <c r="I46" t="s">
        <v>5668</v>
      </c>
      <c r="J46" t="str">
        <f t="shared" si="0"/>
        <v>ia.assorted_string like '%108044-00073-03-2025%' or</v>
      </c>
    </row>
    <row r="47" spans="1:10" x14ac:dyDescent="0.25">
      <c r="A47" s="2" t="s">
        <v>5087</v>
      </c>
      <c r="B47" t="s">
        <v>5626</v>
      </c>
      <c r="H47">
        <v>106590</v>
      </c>
      <c r="I47" t="s">
        <v>5669</v>
      </c>
      <c r="J47" t="str">
        <f t="shared" si="0"/>
        <v>ia.assorted_string like '%106590-00187-01-2025%' or</v>
      </c>
    </row>
    <row r="48" spans="1:10" x14ac:dyDescent="0.25">
      <c r="A48" s="2" t="s">
        <v>5088</v>
      </c>
      <c r="B48" t="s">
        <v>5625</v>
      </c>
      <c r="H48">
        <v>108044</v>
      </c>
      <c r="I48" t="s">
        <v>5670</v>
      </c>
      <c r="J48" t="str">
        <f t="shared" si="0"/>
        <v>ia.assorted_string like '%108044-00079-03-2025%' or</v>
      </c>
    </row>
    <row r="49" spans="1:10" x14ac:dyDescent="0.25">
      <c r="A49" s="2" t="s">
        <v>5089</v>
      </c>
      <c r="B49" t="s">
        <v>5626</v>
      </c>
      <c r="H49">
        <v>106590</v>
      </c>
      <c r="I49" t="s">
        <v>5671</v>
      </c>
      <c r="J49" t="str">
        <f t="shared" si="0"/>
        <v>ia.assorted_string like '%106590-00189-01-2025%' or</v>
      </c>
    </row>
    <row r="50" spans="1:10" x14ac:dyDescent="0.25">
      <c r="A50" s="9" t="s">
        <v>5615</v>
      </c>
      <c r="B50" t="s">
        <v>5625</v>
      </c>
      <c r="H50">
        <v>108413</v>
      </c>
      <c r="I50" t="s">
        <v>5629</v>
      </c>
      <c r="J50" t="str">
        <f t="shared" si="0"/>
        <v>ia.assorted_string like '%108413-00006-03-2025%' or</v>
      </c>
    </row>
    <row r="51" spans="1:10" x14ac:dyDescent="0.25">
      <c r="A51" s="2" t="s">
        <v>5090</v>
      </c>
      <c r="B51" t="s">
        <v>5626</v>
      </c>
      <c r="H51">
        <v>106590</v>
      </c>
      <c r="I51" t="s">
        <v>5672</v>
      </c>
      <c r="J51" t="str">
        <f t="shared" si="0"/>
        <v>ia.assorted_string like '%106590-00198-01-2025%' or</v>
      </c>
    </row>
    <row r="52" spans="1:10" x14ac:dyDescent="0.25">
      <c r="A52" s="2" t="s">
        <v>5091</v>
      </c>
      <c r="B52" t="s">
        <v>5626</v>
      </c>
      <c r="H52">
        <v>106590</v>
      </c>
      <c r="I52" t="s">
        <v>5673</v>
      </c>
      <c r="J52" t="str">
        <f t="shared" si="0"/>
        <v>ia.assorted_string like '%106590-00219-01-2025%' or</v>
      </c>
    </row>
    <row r="53" spans="1:10" x14ac:dyDescent="0.25">
      <c r="A53" s="2" t="s">
        <v>5092</v>
      </c>
      <c r="B53" t="s">
        <v>5626</v>
      </c>
      <c r="H53">
        <v>106590</v>
      </c>
      <c r="I53" t="s">
        <v>5674</v>
      </c>
      <c r="J53" t="str">
        <f t="shared" si="0"/>
        <v>ia.assorted_string like '%106590-00235-01-2025%' or</v>
      </c>
    </row>
    <row r="54" spans="1:10" x14ac:dyDescent="0.25">
      <c r="A54" s="2" t="s">
        <v>5093</v>
      </c>
      <c r="B54" t="s">
        <v>5626</v>
      </c>
      <c r="H54">
        <v>106590</v>
      </c>
      <c r="I54" t="s">
        <v>5675</v>
      </c>
      <c r="J54" t="str">
        <f t="shared" si="0"/>
        <v>ia.assorted_string like '%106590-00242-01-2025%' or</v>
      </c>
    </row>
    <row r="55" spans="1:10" x14ac:dyDescent="0.25">
      <c r="A55" s="2" t="s">
        <v>5094</v>
      </c>
      <c r="B55" t="s">
        <v>5626</v>
      </c>
      <c r="H55">
        <v>106590</v>
      </c>
      <c r="I55" t="s">
        <v>5676</v>
      </c>
      <c r="J55" t="str">
        <f t="shared" si="0"/>
        <v>ia.assorted_string like '%106590-00248-01-2025%' or</v>
      </c>
    </row>
    <row r="56" spans="1:10" x14ac:dyDescent="0.25">
      <c r="A56" s="2" t="s">
        <v>5095</v>
      </c>
      <c r="B56" t="s">
        <v>5626</v>
      </c>
      <c r="H56">
        <v>106590</v>
      </c>
      <c r="I56" t="s">
        <v>5677</v>
      </c>
      <c r="J56" t="str">
        <f t="shared" si="0"/>
        <v>ia.assorted_string like '%106590-00251-01-2025%' or</v>
      </c>
    </row>
    <row r="57" spans="1:10" x14ac:dyDescent="0.25">
      <c r="A57" s="2" t="s">
        <v>5096</v>
      </c>
      <c r="B57" t="s">
        <v>5626</v>
      </c>
      <c r="H57">
        <v>106590</v>
      </c>
      <c r="I57" t="s">
        <v>5678</v>
      </c>
      <c r="J57" t="str">
        <f t="shared" si="0"/>
        <v>ia.assorted_string like '%106590-00252-01-2025%' or</v>
      </c>
    </row>
    <row r="58" spans="1:10" x14ac:dyDescent="0.25">
      <c r="A58" s="2" t="s">
        <v>5097</v>
      </c>
      <c r="B58" t="s">
        <v>5626</v>
      </c>
      <c r="H58">
        <v>106590</v>
      </c>
      <c r="I58" t="s">
        <v>5679</v>
      </c>
      <c r="J58" t="str">
        <f t="shared" si="0"/>
        <v>ia.assorted_string like '%106590-00285-01-2025%' or</v>
      </c>
    </row>
    <row r="59" spans="1:10" x14ac:dyDescent="0.25">
      <c r="A59" s="2" t="s">
        <v>5098</v>
      </c>
      <c r="B59" t="s">
        <v>5626</v>
      </c>
      <c r="H59">
        <v>106590</v>
      </c>
      <c r="I59" t="s">
        <v>5680</v>
      </c>
      <c r="J59" t="str">
        <f t="shared" si="0"/>
        <v>ia.assorted_string like '%106590-00293-01-2025%' or</v>
      </c>
    </row>
    <row r="60" spans="1:10" x14ac:dyDescent="0.25">
      <c r="A60" s="2" t="s">
        <v>5099</v>
      </c>
      <c r="B60" t="s">
        <v>5626</v>
      </c>
      <c r="H60">
        <v>106590</v>
      </c>
      <c r="I60" t="s">
        <v>5681</v>
      </c>
      <c r="J60" t="str">
        <f t="shared" si="0"/>
        <v>ia.assorted_string like '%106590-00269-01-2025%' or</v>
      </c>
    </row>
    <row r="61" spans="1:10" x14ac:dyDescent="0.25">
      <c r="A61" s="2" t="s">
        <v>5100</v>
      </c>
      <c r="B61" t="s">
        <v>5626</v>
      </c>
      <c r="H61">
        <v>106590</v>
      </c>
      <c r="I61" t="s">
        <v>5682</v>
      </c>
      <c r="J61" t="str">
        <f t="shared" si="0"/>
        <v>ia.assorted_string like '%106590-00191-01-2025%' or</v>
      </c>
    </row>
    <row r="62" spans="1:10" x14ac:dyDescent="0.25">
      <c r="A62" s="2" t="s">
        <v>5101</v>
      </c>
      <c r="B62" t="s">
        <v>5625</v>
      </c>
      <c r="H62">
        <v>108044</v>
      </c>
      <c r="I62" t="s">
        <v>5683</v>
      </c>
      <c r="J62" t="str">
        <f t="shared" si="0"/>
        <v>ia.assorted_string like '%108044-00090-03-2025%' or</v>
      </c>
    </row>
    <row r="63" spans="1:10" x14ac:dyDescent="0.25">
      <c r="A63" s="2" t="s">
        <v>5102</v>
      </c>
      <c r="B63" t="s">
        <v>5626</v>
      </c>
      <c r="H63">
        <v>106590</v>
      </c>
      <c r="I63" t="s">
        <v>5684</v>
      </c>
      <c r="J63" t="str">
        <f t="shared" si="0"/>
        <v>ia.assorted_string like '%106590-00175-01-2025%' or</v>
      </c>
    </row>
    <row r="64" spans="1:10" x14ac:dyDescent="0.25">
      <c r="A64" s="2" t="s">
        <v>5103</v>
      </c>
      <c r="B64" t="s">
        <v>5626</v>
      </c>
      <c r="H64">
        <v>106590</v>
      </c>
      <c r="I64" t="s">
        <v>5685</v>
      </c>
      <c r="J64" t="str">
        <f t="shared" si="0"/>
        <v>ia.assorted_string like '%106590-00069-01-2025%' or</v>
      </c>
    </row>
    <row r="65" spans="1:10" x14ac:dyDescent="0.25">
      <c r="A65" s="2" t="s">
        <v>5442</v>
      </c>
      <c r="B65" t="s">
        <v>5626</v>
      </c>
      <c r="H65">
        <v>106590</v>
      </c>
      <c r="I65" t="s">
        <v>5686</v>
      </c>
      <c r="J65" t="str">
        <f t="shared" si="0"/>
        <v>ia.assorted_string like '%106590-00037-01-2025%' or</v>
      </c>
    </row>
    <row r="66" spans="1:10" x14ac:dyDescent="0.25">
      <c r="A66" s="2" t="s">
        <v>5104</v>
      </c>
      <c r="B66" t="s">
        <v>5627</v>
      </c>
      <c r="H66">
        <v>107623</v>
      </c>
      <c r="I66" t="s">
        <v>5635</v>
      </c>
      <c r="J66" t="str">
        <f t="shared" ref="J66:J129" si="1">"ia.assorted_string like '%"&amp;H66&amp;"-"&amp;I66&amp;B66&amp;"%' or"</f>
        <v>ia.assorted_string like '%107623-00001-02-2025%' or</v>
      </c>
    </row>
    <row r="67" spans="1:10" x14ac:dyDescent="0.25">
      <c r="A67" s="2" t="s">
        <v>5105</v>
      </c>
      <c r="B67" t="s">
        <v>5627</v>
      </c>
      <c r="H67">
        <v>107623</v>
      </c>
      <c r="I67" t="s">
        <v>5644</v>
      </c>
      <c r="J67" t="str">
        <f t="shared" si="1"/>
        <v>ia.assorted_string like '%107623-00002-02-2025%' or</v>
      </c>
    </row>
    <row r="68" spans="1:10" x14ac:dyDescent="0.25">
      <c r="A68" s="2" t="s">
        <v>5106</v>
      </c>
      <c r="B68" t="s">
        <v>5627</v>
      </c>
      <c r="H68">
        <v>107623</v>
      </c>
      <c r="I68" t="s">
        <v>5642</v>
      </c>
      <c r="J68" t="str">
        <f t="shared" si="1"/>
        <v>ia.assorted_string like '%107623-00003-02-2025%' or</v>
      </c>
    </row>
    <row r="69" spans="1:10" x14ac:dyDescent="0.25">
      <c r="A69" s="2" t="s">
        <v>5107</v>
      </c>
      <c r="B69" t="s">
        <v>5627</v>
      </c>
      <c r="H69">
        <v>107623</v>
      </c>
      <c r="I69" t="s">
        <v>5628</v>
      </c>
      <c r="J69" t="str">
        <f t="shared" si="1"/>
        <v>ia.assorted_string like '%107623-00005-02-2025%' or</v>
      </c>
    </row>
    <row r="70" spans="1:10" x14ac:dyDescent="0.25">
      <c r="A70" s="2" t="s">
        <v>5108</v>
      </c>
      <c r="B70" t="s">
        <v>5627</v>
      </c>
      <c r="H70">
        <v>107623</v>
      </c>
      <c r="I70" t="s">
        <v>5636</v>
      </c>
      <c r="J70" t="str">
        <f t="shared" si="1"/>
        <v>ia.assorted_string like '%107623-00007-02-2025%' or</v>
      </c>
    </row>
    <row r="71" spans="1:10" x14ac:dyDescent="0.25">
      <c r="A71" s="2" t="s">
        <v>5109</v>
      </c>
      <c r="B71" t="s">
        <v>5627</v>
      </c>
      <c r="H71">
        <v>107623</v>
      </c>
      <c r="I71" t="s">
        <v>5687</v>
      </c>
      <c r="J71" t="str">
        <f t="shared" si="1"/>
        <v>ia.assorted_string like '%107623-00008-02-2025%' or</v>
      </c>
    </row>
    <row r="72" spans="1:10" x14ac:dyDescent="0.25">
      <c r="A72" s="2" t="s">
        <v>5110</v>
      </c>
      <c r="B72" t="s">
        <v>5627</v>
      </c>
      <c r="H72">
        <v>107623</v>
      </c>
      <c r="I72" t="s">
        <v>5688</v>
      </c>
      <c r="J72" t="str">
        <f t="shared" si="1"/>
        <v>ia.assorted_string like '%107623-00009-02-2025%' or</v>
      </c>
    </row>
    <row r="73" spans="1:10" x14ac:dyDescent="0.25">
      <c r="A73" s="2" t="s">
        <v>5111</v>
      </c>
      <c r="B73" t="s">
        <v>5627</v>
      </c>
      <c r="H73">
        <v>107623</v>
      </c>
      <c r="I73" t="s">
        <v>5689</v>
      </c>
      <c r="J73" t="str">
        <f t="shared" si="1"/>
        <v>ia.assorted_string like '%107623-00010-02-2025%' or</v>
      </c>
    </row>
    <row r="74" spans="1:10" x14ac:dyDescent="0.25">
      <c r="A74" s="2" t="s">
        <v>5112</v>
      </c>
      <c r="B74" t="s">
        <v>5627</v>
      </c>
      <c r="H74">
        <v>107623</v>
      </c>
      <c r="I74" t="s">
        <v>5690</v>
      </c>
      <c r="J74" t="str">
        <f t="shared" si="1"/>
        <v>ia.assorted_string like '%107623-00012-02-2025%' or</v>
      </c>
    </row>
    <row r="75" spans="1:10" x14ac:dyDescent="0.25">
      <c r="A75" s="2" t="s">
        <v>5113</v>
      </c>
      <c r="B75" t="s">
        <v>5627</v>
      </c>
      <c r="H75">
        <v>107623</v>
      </c>
      <c r="I75" t="s">
        <v>5691</v>
      </c>
      <c r="J75" t="str">
        <f t="shared" si="1"/>
        <v>ia.assorted_string like '%107623-00017-02-2025%' or</v>
      </c>
    </row>
    <row r="76" spans="1:10" x14ac:dyDescent="0.25">
      <c r="A76" s="2" t="s">
        <v>5114</v>
      </c>
      <c r="B76" t="s">
        <v>5625</v>
      </c>
      <c r="H76">
        <v>108044</v>
      </c>
      <c r="I76" t="s">
        <v>5692</v>
      </c>
      <c r="J76" t="str">
        <f t="shared" si="1"/>
        <v>ia.assorted_string like '%108044-00105-03-2025%' or</v>
      </c>
    </row>
    <row r="77" spans="1:10" x14ac:dyDescent="0.25">
      <c r="A77" s="2" t="s">
        <v>5115</v>
      </c>
      <c r="B77" t="s">
        <v>5627</v>
      </c>
      <c r="H77">
        <v>107623</v>
      </c>
      <c r="I77" t="s">
        <v>5693</v>
      </c>
      <c r="J77" t="str">
        <f t="shared" si="1"/>
        <v>ia.assorted_string like '%107623-00018-02-2025%' or</v>
      </c>
    </row>
    <row r="78" spans="1:10" x14ac:dyDescent="0.25">
      <c r="A78" s="2" t="s">
        <v>5116</v>
      </c>
      <c r="B78" t="s">
        <v>5625</v>
      </c>
      <c r="H78">
        <v>108044</v>
      </c>
      <c r="I78" t="s">
        <v>5694</v>
      </c>
      <c r="J78" t="str">
        <f t="shared" si="1"/>
        <v>ia.assorted_string like '%108044-00108-03-2025%' or</v>
      </c>
    </row>
    <row r="79" spans="1:10" x14ac:dyDescent="0.25">
      <c r="A79" s="2" t="s">
        <v>5117</v>
      </c>
      <c r="B79" t="s">
        <v>5625</v>
      </c>
      <c r="H79">
        <v>108044</v>
      </c>
      <c r="I79" t="s">
        <v>5695</v>
      </c>
      <c r="J79" t="str">
        <f t="shared" si="1"/>
        <v>ia.assorted_string like '%108044-00109-03-2025%' or</v>
      </c>
    </row>
    <row r="80" spans="1:10" x14ac:dyDescent="0.25">
      <c r="A80" s="2" t="s">
        <v>5118</v>
      </c>
      <c r="B80" t="s">
        <v>5627</v>
      </c>
      <c r="H80">
        <v>107623</v>
      </c>
      <c r="I80" t="s">
        <v>5696</v>
      </c>
      <c r="J80" t="str">
        <f t="shared" si="1"/>
        <v>ia.assorted_string like '%107623-00019-02-2025%' or</v>
      </c>
    </row>
    <row r="81" spans="1:10" x14ac:dyDescent="0.25">
      <c r="A81" s="2" t="s">
        <v>5119</v>
      </c>
      <c r="B81" t="s">
        <v>5625</v>
      </c>
      <c r="H81">
        <v>108044</v>
      </c>
      <c r="I81" t="s">
        <v>5697</v>
      </c>
      <c r="J81" t="str">
        <f t="shared" si="1"/>
        <v>ia.assorted_string like '%108044-00111-03-2025%' or</v>
      </c>
    </row>
    <row r="82" spans="1:10" x14ac:dyDescent="0.25">
      <c r="A82" s="2" t="s">
        <v>5120</v>
      </c>
      <c r="B82" t="s">
        <v>5625</v>
      </c>
      <c r="H82">
        <v>108044</v>
      </c>
      <c r="I82" t="s">
        <v>5698</v>
      </c>
      <c r="J82" t="str">
        <f t="shared" si="1"/>
        <v>ia.assorted_string like '%108044-00112-03-2025%' or</v>
      </c>
    </row>
    <row r="83" spans="1:10" x14ac:dyDescent="0.25">
      <c r="A83" s="2" t="s">
        <v>5121</v>
      </c>
      <c r="B83" t="s">
        <v>5625</v>
      </c>
      <c r="H83">
        <v>108044</v>
      </c>
      <c r="I83" t="s">
        <v>5699</v>
      </c>
      <c r="J83" t="str">
        <f t="shared" si="1"/>
        <v>ia.assorted_string like '%108044-00113-03-2025%' or</v>
      </c>
    </row>
    <row r="84" spans="1:10" x14ac:dyDescent="0.25">
      <c r="A84" s="2" t="s">
        <v>5122</v>
      </c>
      <c r="B84" t="s">
        <v>5627</v>
      </c>
      <c r="H84">
        <v>107623</v>
      </c>
      <c r="I84" t="s">
        <v>5630</v>
      </c>
      <c r="J84" t="str">
        <f t="shared" si="1"/>
        <v>ia.assorted_string like '%107623-00020-02-2025%' or</v>
      </c>
    </row>
    <row r="85" spans="1:10" x14ac:dyDescent="0.25">
      <c r="A85" s="2" t="s">
        <v>5123</v>
      </c>
      <c r="B85" t="s">
        <v>5627</v>
      </c>
      <c r="H85">
        <v>107623</v>
      </c>
      <c r="I85" t="s">
        <v>5700</v>
      </c>
      <c r="J85" t="str">
        <f t="shared" si="1"/>
        <v>ia.assorted_string like '%107623-00021-02-2025%' or</v>
      </c>
    </row>
    <row r="86" spans="1:10" x14ac:dyDescent="0.25">
      <c r="A86" s="2" t="s">
        <v>5124</v>
      </c>
      <c r="B86" t="s">
        <v>5625</v>
      </c>
      <c r="H86">
        <v>108044</v>
      </c>
      <c r="I86" t="s">
        <v>5657</v>
      </c>
      <c r="J86" t="str">
        <f t="shared" si="1"/>
        <v>ia.assorted_string like '%108044-00116-03-2025%' or</v>
      </c>
    </row>
    <row r="87" spans="1:10" x14ac:dyDescent="0.25">
      <c r="A87" s="2" t="s">
        <v>5125</v>
      </c>
      <c r="B87" t="s">
        <v>5625</v>
      </c>
      <c r="H87">
        <v>108044</v>
      </c>
      <c r="I87" t="s">
        <v>5701</v>
      </c>
      <c r="J87" t="str">
        <f t="shared" si="1"/>
        <v>ia.assorted_string like '%108044-00117-03-2025%' or</v>
      </c>
    </row>
    <row r="88" spans="1:10" x14ac:dyDescent="0.25">
      <c r="A88" s="2" t="s">
        <v>5126</v>
      </c>
      <c r="B88" t="s">
        <v>5625</v>
      </c>
      <c r="H88">
        <v>108044</v>
      </c>
      <c r="I88" t="s">
        <v>5702</v>
      </c>
      <c r="J88" t="str">
        <f t="shared" si="1"/>
        <v>ia.assorted_string like '%108044-00118-03-2025%' or</v>
      </c>
    </row>
    <row r="89" spans="1:10" x14ac:dyDescent="0.25">
      <c r="A89" s="2" t="s">
        <v>5127</v>
      </c>
      <c r="B89" t="s">
        <v>5627</v>
      </c>
      <c r="H89">
        <v>107623</v>
      </c>
      <c r="I89" t="s">
        <v>5703</v>
      </c>
      <c r="J89" t="str">
        <f t="shared" si="1"/>
        <v>ia.assorted_string like '%107623-00024-02-2025%' or</v>
      </c>
    </row>
    <row r="90" spans="1:10" x14ac:dyDescent="0.25">
      <c r="A90" s="2" t="s">
        <v>5128</v>
      </c>
      <c r="B90" t="s">
        <v>5627</v>
      </c>
      <c r="H90">
        <v>107623</v>
      </c>
      <c r="I90" t="s">
        <v>5704</v>
      </c>
      <c r="J90" t="str">
        <f t="shared" si="1"/>
        <v>ia.assorted_string like '%107623-00025-02-2025%' or</v>
      </c>
    </row>
    <row r="91" spans="1:10" x14ac:dyDescent="0.25">
      <c r="A91" s="2" t="s">
        <v>5129</v>
      </c>
      <c r="B91" t="s">
        <v>5627</v>
      </c>
      <c r="H91">
        <v>107623</v>
      </c>
      <c r="I91" t="s">
        <v>5705</v>
      </c>
      <c r="J91" t="str">
        <f t="shared" si="1"/>
        <v>ia.assorted_string like '%107623-00026-02-2025%' or</v>
      </c>
    </row>
    <row r="92" spans="1:10" x14ac:dyDescent="0.25">
      <c r="A92" s="2" t="s">
        <v>5130</v>
      </c>
      <c r="B92" t="s">
        <v>5627</v>
      </c>
      <c r="H92">
        <v>107623</v>
      </c>
      <c r="I92" t="s">
        <v>5706</v>
      </c>
      <c r="J92" t="str">
        <f t="shared" si="1"/>
        <v>ia.assorted_string like '%107623-00027-02-2025%' or</v>
      </c>
    </row>
    <row r="93" spans="1:10" x14ac:dyDescent="0.25">
      <c r="A93" s="2" t="s">
        <v>5131</v>
      </c>
      <c r="B93" t="s">
        <v>5627</v>
      </c>
      <c r="H93">
        <v>107623</v>
      </c>
      <c r="I93" t="s">
        <v>5707</v>
      </c>
      <c r="J93" t="str">
        <f t="shared" si="1"/>
        <v>ia.assorted_string like '%107623-00028-02-2025%' or</v>
      </c>
    </row>
    <row r="94" spans="1:10" x14ac:dyDescent="0.25">
      <c r="A94" s="2" t="s">
        <v>5132</v>
      </c>
      <c r="B94" t="s">
        <v>5627</v>
      </c>
      <c r="H94">
        <v>107623</v>
      </c>
      <c r="I94" t="s">
        <v>5632</v>
      </c>
      <c r="J94" t="str">
        <f t="shared" si="1"/>
        <v>ia.assorted_string like '%107623-00030-02-2025%' or</v>
      </c>
    </row>
    <row r="95" spans="1:10" x14ac:dyDescent="0.25">
      <c r="A95" s="2" t="s">
        <v>5133</v>
      </c>
      <c r="B95" t="s">
        <v>5627</v>
      </c>
      <c r="H95">
        <v>107623</v>
      </c>
      <c r="I95" t="s">
        <v>5708</v>
      </c>
      <c r="J95" t="str">
        <f t="shared" si="1"/>
        <v>ia.assorted_string like '%107623-00031-02-2025%' or</v>
      </c>
    </row>
    <row r="96" spans="1:10" x14ac:dyDescent="0.25">
      <c r="A96" s="2" t="s">
        <v>5134</v>
      </c>
      <c r="B96" t="s">
        <v>5627</v>
      </c>
      <c r="H96">
        <v>107623</v>
      </c>
      <c r="I96" t="s">
        <v>5634</v>
      </c>
      <c r="J96" t="str">
        <f t="shared" si="1"/>
        <v>ia.assorted_string like '%107623-00032-02-2025%' or</v>
      </c>
    </row>
    <row r="97" spans="1:10" x14ac:dyDescent="0.25">
      <c r="A97" s="2" t="s">
        <v>5135</v>
      </c>
      <c r="B97" t="s">
        <v>5627</v>
      </c>
      <c r="H97">
        <v>107623</v>
      </c>
      <c r="I97" t="s">
        <v>5709</v>
      </c>
      <c r="J97" t="str">
        <f t="shared" si="1"/>
        <v>ia.assorted_string like '%107623-00033-02-2025%' or</v>
      </c>
    </row>
    <row r="98" spans="1:10" x14ac:dyDescent="0.25">
      <c r="A98" s="2" t="s">
        <v>5136</v>
      </c>
      <c r="B98" t="s">
        <v>5627</v>
      </c>
      <c r="H98">
        <v>107623</v>
      </c>
      <c r="I98" t="s">
        <v>5710</v>
      </c>
      <c r="J98" t="str">
        <f t="shared" si="1"/>
        <v>ia.assorted_string like '%107623-00034-02-2025%' or</v>
      </c>
    </row>
    <row r="99" spans="1:10" x14ac:dyDescent="0.25">
      <c r="A99" s="2" t="s">
        <v>5137</v>
      </c>
      <c r="B99" t="s">
        <v>5627</v>
      </c>
      <c r="H99">
        <v>107623</v>
      </c>
      <c r="I99" t="s">
        <v>5711</v>
      </c>
      <c r="J99" t="str">
        <f t="shared" si="1"/>
        <v>ia.assorted_string like '%107623-00035-02-2025%' or</v>
      </c>
    </row>
    <row r="100" spans="1:10" x14ac:dyDescent="0.25">
      <c r="A100" s="2" t="s">
        <v>5138</v>
      </c>
      <c r="B100" t="s">
        <v>5627</v>
      </c>
      <c r="H100">
        <v>107623</v>
      </c>
      <c r="I100" t="s">
        <v>5712</v>
      </c>
      <c r="J100" t="str">
        <f t="shared" si="1"/>
        <v>ia.assorted_string like '%107623-00036-02-2025%' or</v>
      </c>
    </row>
    <row r="101" spans="1:10" x14ac:dyDescent="0.25">
      <c r="A101" s="2" t="s">
        <v>5139</v>
      </c>
      <c r="B101" t="s">
        <v>5625</v>
      </c>
      <c r="H101">
        <v>108044</v>
      </c>
      <c r="I101" t="s">
        <v>5713</v>
      </c>
      <c r="J101" t="str">
        <f t="shared" si="1"/>
        <v>ia.assorted_string like '%108044-00132-03-2025%' or</v>
      </c>
    </row>
    <row r="102" spans="1:10" x14ac:dyDescent="0.25">
      <c r="A102" s="2" t="s">
        <v>5140</v>
      </c>
      <c r="B102" t="s">
        <v>5627</v>
      </c>
      <c r="H102">
        <v>107623</v>
      </c>
      <c r="I102" t="s">
        <v>5686</v>
      </c>
      <c r="J102" t="str">
        <f t="shared" si="1"/>
        <v>ia.assorted_string like '%107623-00037-02-2025%' or</v>
      </c>
    </row>
    <row r="103" spans="1:10" x14ac:dyDescent="0.25">
      <c r="A103" s="2" t="s">
        <v>5141</v>
      </c>
      <c r="B103" t="s">
        <v>5625</v>
      </c>
      <c r="H103">
        <v>108044</v>
      </c>
      <c r="I103" t="s">
        <v>5714</v>
      </c>
      <c r="J103" t="str">
        <f t="shared" si="1"/>
        <v>ia.assorted_string like '%108044-00133-03-2025%' or</v>
      </c>
    </row>
    <row r="104" spans="1:10" x14ac:dyDescent="0.25">
      <c r="A104" s="2" t="s">
        <v>5142</v>
      </c>
      <c r="B104" t="s">
        <v>5625</v>
      </c>
      <c r="H104">
        <v>108044</v>
      </c>
      <c r="I104" t="s">
        <v>5715</v>
      </c>
      <c r="J104" t="str">
        <f t="shared" si="1"/>
        <v>ia.assorted_string like '%108044-00134-03-2025%' or</v>
      </c>
    </row>
    <row r="105" spans="1:10" x14ac:dyDescent="0.25">
      <c r="A105" s="2" t="s">
        <v>5143</v>
      </c>
      <c r="B105" t="s">
        <v>5627</v>
      </c>
      <c r="H105">
        <v>107623</v>
      </c>
      <c r="I105" t="s">
        <v>5716</v>
      </c>
      <c r="J105" t="str">
        <f t="shared" si="1"/>
        <v>ia.assorted_string like '%107623-00038-02-2025%' or</v>
      </c>
    </row>
    <row r="106" spans="1:10" x14ac:dyDescent="0.25">
      <c r="A106" s="2" t="s">
        <v>5144</v>
      </c>
      <c r="B106" t="s">
        <v>5627</v>
      </c>
      <c r="H106">
        <v>107623</v>
      </c>
      <c r="I106" t="s">
        <v>5640</v>
      </c>
      <c r="J106" t="str">
        <f t="shared" si="1"/>
        <v>ia.assorted_string like '%107623-00039-02-2025%' or</v>
      </c>
    </row>
    <row r="107" spans="1:10" x14ac:dyDescent="0.25">
      <c r="A107" s="2" t="s">
        <v>5145</v>
      </c>
      <c r="B107" t="s">
        <v>5627</v>
      </c>
      <c r="H107">
        <v>107623</v>
      </c>
      <c r="I107" t="s">
        <v>5717</v>
      </c>
      <c r="J107" t="str">
        <f t="shared" si="1"/>
        <v>ia.assorted_string like '%107623-00041-02-2025%' or</v>
      </c>
    </row>
    <row r="108" spans="1:10" x14ac:dyDescent="0.25">
      <c r="A108" s="2" t="s">
        <v>5146</v>
      </c>
      <c r="B108" t="s">
        <v>5627</v>
      </c>
      <c r="H108">
        <v>107623</v>
      </c>
      <c r="I108" t="s">
        <v>5643</v>
      </c>
      <c r="J108" t="str">
        <f t="shared" si="1"/>
        <v>ia.assorted_string like '%107623-00042-02-2025%' or</v>
      </c>
    </row>
    <row r="109" spans="1:10" x14ac:dyDescent="0.25">
      <c r="A109" s="2" t="s">
        <v>5147</v>
      </c>
      <c r="B109" t="s">
        <v>5627</v>
      </c>
      <c r="H109">
        <v>107623</v>
      </c>
      <c r="I109" t="s">
        <v>5718</v>
      </c>
      <c r="J109" t="str">
        <f t="shared" si="1"/>
        <v>ia.assorted_string like '%107623-00044-02-2025%' or</v>
      </c>
    </row>
    <row r="110" spans="1:10" x14ac:dyDescent="0.25">
      <c r="A110" s="2" t="s">
        <v>5148</v>
      </c>
      <c r="B110" t="s">
        <v>5627</v>
      </c>
      <c r="H110">
        <v>107623</v>
      </c>
      <c r="I110" t="s">
        <v>5719</v>
      </c>
      <c r="J110" t="str">
        <f t="shared" si="1"/>
        <v>ia.assorted_string like '%107623-00046-02-2025%' or</v>
      </c>
    </row>
    <row r="111" spans="1:10" x14ac:dyDescent="0.25">
      <c r="A111" s="2" t="s">
        <v>5149</v>
      </c>
      <c r="B111" t="s">
        <v>5627</v>
      </c>
      <c r="H111">
        <v>107623</v>
      </c>
      <c r="I111" t="s">
        <v>5720</v>
      </c>
      <c r="J111" t="str">
        <f t="shared" si="1"/>
        <v>ia.assorted_string like '%107623-00047-02-2025%' or</v>
      </c>
    </row>
    <row r="112" spans="1:10" x14ac:dyDescent="0.25">
      <c r="A112" s="2" t="s">
        <v>5150</v>
      </c>
      <c r="B112" t="s">
        <v>5627</v>
      </c>
      <c r="H112">
        <v>107623</v>
      </c>
      <c r="I112" t="s">
        <v>5648</v>
      </c>
      <c r="J112" t="str">
        <f t="shared" si="1"/>
        <v>ia.assorted_string like '%107623-00049-02-2025%' or</v>
      </c>
    </row>
    <row r="113" spans="1:10" x14ac:dyDescent="0.25">
      <c r="A113" s="2" t="s">
        <v>5151</v>
      </c>
      <c r="B113" t="s">
        <v>5625</v>
      </c>
      <c r="H113">
        <v>108044</v>
      </c>
      <c r="I113" t="s">
        <v>5721</v>
      </c>
      <c r="J113" t="str">
        <f t="shared" si="1"/>
        <v>ia.assorted_string like '%108044-00143-03-2025%' or</v>
      </c>
    </row>
    <row r="114" spans="1:10" x14ac:dyDescent="0.25">
      <c r="A114" s="2" t="s">
        <v>5152</v>
      </c>
      <c r="B114" t="s">
        <v>5625</v>
      </c>
      <c r="H114">
        <v>108044</v>
      </c>
      <c r="I114" t="s">
        <v>5722</v>
      </c>
      <c r="J114" t="str">
        <f t="shared" si="1"/>
        <v>ia.assorted_string like '%108044-00144-03-2025%' or</v>
      </c>
    </row>
    <row r="115" spans="1:10" x14ac:dyDescent="0.25">
      <c r="A115" s="2" t="s">
        <v>5153</v>
      </c>
      <c r="B115" t="s">
        <v>5627</v>
      </c>
      <c r="H115">
        <v>107623</v>
      </c>
      <c r="I115" t="s">
        <v>5723</v>
      </c>
      <c r="J115" t="str">
        <f t="shared" si="1"/>
        <v>ia.assorted_string like '%107623-00050-02-2025%' or</v>
      </c>
    </row>
    <row r="116" spans="1:10" x14ac:dyDescent="0.25">
      <c r="A116" s="2" t="s">
        <v>5154</v>
      </c>
      <c r="B116" t="s">
        <v>5625</v>
      </c>
      <c r="H116">
        <v>108044</v>
      </c>
      <c r="I116" t="s">
        <v>5724</v>
      </c>
      <c r="J116" t="str">
        <f t="shared" si="1"/>
        <v>ia.assorted_string like '%108044-00146-03-2025%' or</v>
      </c>
    </row>
    <row r="117" spans="1:10" x14ac:dyDescent="0.25">
      <c r="A117" s="2" t="s">
        <v>5155</v>
      </c>
      <c r="B117" t="s">
        <v>5625</v>
      </c>
      <c r="H117">
        <v>108044</v>
      </c>
      <c r="I117" t="s">
        <v>5725</v>
      </c>
      <c r="J117" t="str">
        <f t="shared" si="1"/>
        <v>ia.assorted_string like '%108044-00147-03-2025%' or</v>
      </c>
    </row>
    <row r="118" spans="1:10" x14ac:dyDescent="0.25">
      <c r="A118" s="2" t="s">
        <v>5156</v>
      </c>
      <c r="B118" t="s">
        <v>5625</v>
      </c>
      <c r="H118">
        <v>108044</v>
      </c>
      <c r="I118" t="s">
        <v>5726</v>
      </c>
      <c r="J118" t="str">
        <f t="shared" si="1"/>
        <v>ia.assorted_string like '%108044-00148-03-2025%' or</v>
      </c>
    </row>
    <row r="119" spans="1:10" x14ac:dyDescent="0.25">
      <c r="A119" s="9" t="s">
        <v>5616</v>
      </c>
      <c r="B119" t="s">
        <v>5625</v>
      </c>
      <c r="H119">
        <v>108413</v>
      </c>
      <c r="I119" t="s">
        <v>5636</v>
      </c>
      <c r="J119" t="str">
        <f t="shared" si="1"/>
        <v>ia.assorted_string like '%108413-00007-03-2025%' or</v>
      </c>
    </row>
    <row r="120" spans="1:10" x14ac:dyDescent="0.25">
      <c r="A120" s="2" t="s">
        <v>5157</v>
      </c>
      <c r="B120" t="s">
        <v>5625</v>
      </c>
      <c r="H120">
        <v>108044</v>
      </c>
      <c r="I120" t="s">
        <v>5727</v>
      </c>
      <c r="J120" t="str">
        <f t="shared" si="1"/>
        <v>ia.assorted_string like '%108044-00150-03-2025%' or</v>
      </c>
    </row>
    <row r="121" spans="1:10" x14ac:dyDescent="0.25">
      <c r="A121" s="2" t="s">
        <v>5158</v>
      </c>
      <c r="B121" t="s">
        <v>5627</v>
      </c>
      <c r="H121">
        <v>107623</v>
      </c>
      <c r="I121" t="s">
        <v>5728</v>
      </c>
      <c r="J121" t="str">
        <f t="shared" si="1"/>
        <v>ia.assorted_string like '%107623-00051-02-2025%' or</v>
      </c>
    </row>
    <row r="122" spans="1:10" x14ac:dyDescent="0.25">
      <c r="A122" s="2" t="s">
        <v>5159</v>
      </c>
      <c r="B122" t="s">
        <v>5625</v>
      </c>
      <c r="H122">
        <v>108044</v>
      </c>
      <c r="I122" t="s">
        <v>5661</v>
      </c>
      <c r="J122" t="str">
        <f t="shared" si="1"/>
        <v>ia.assorted_string like '%108044-00151-03-2025%' or</v>
      </c>
    </row>
    <row r="123" spans="1:10" x14ac:dyDescent="0.25">
      <c r="A123" s="2" t="s">
        <v>5160</v>
      </c>
      <c r="B123" t="s">
        <v>5627</v>
      </c>
      <c r="H123">
        <v>107623</v>
      </c>
      <c r="I123" t="s">
        <v>5729</v>
      </c>
      <c r="J123" t="str">
        <f t="shared" si="1"/>
        <v>ia.assorted_string like '%107623-00052-02-2025%' or</v>
      </c>
    </row>
    <row r="124" spans="1:10" x14ac:dyDescent="0.25">
      <c r="A124" s="2" t="s">
        <v>5161</v>
      </c>
      <c r="B124" t="s">
        <v>5625</v>
      </c>
      <c r="H124">
        <v>108044</v>
      </c>
      <c r="I124" t="s">
        <v>5730</v>
      </c>
      <c r="J124" t="str">
        <f t="shared" si="1"/>
        <v>ia.assorted_string like '%108044-00153-03-2025%' or</v>
      </c>
    </row>
    <row r="125" spans="1:10" x14ac:dyDescent="0.25">
      <c r="A125" s="2" t="s">
        <v>5162</v>
      </c>
      <c r="B125" t="s">
        <v>5627</v>
      </c>
      <c r="H125">
        <v>107623</v>
      </c>
      <c r="I125" t="s">
        <v>5731</v>
      </c>
      <c r="J125" t="str">
        <f t="shared" si="1"/>
        <v>ia.assorted_string like '%107623-00053-02-2025%' or</v>
      </c>
    </row>
    <row r="126" spans="1:10" x14ac:dyDescent="0.25">
      <c r="A126" s="2" t="s">
        <v>5163</v>
      </c>
      <c r="B126" t="s">
        <v>5627</v>
      </c>
      <c r="H126">
        <v>107623</v>
      </c>
      <c r="I126" t="s">
        <v>5732</v>
      </c>
      <c r="J126" t="str">
        <f t="shared" si="1"/>
        <v>ia.assorted_string like '%107623-00054-02-2025%' or</v>
      </c>
    </row>
    <row r="127" spans="1:10" x14ac:dyDescent="0.25">
      <c r="A127" s="2" t="s">
        <v>5164</v>
      </c>
      <c r="B127" t="s">
        <v>5627</v>
      </c>
      <c r="H127">
        <v>107623</v>
      </c>
      <c r="I127" t="s">
        <v>5646</v>
      </c>
      <c r="J127" t="str">
        <f t="shared" si="1"/>
        <v>ia.assorted_string like '%107623-00056-02-2025%' or</v>
      </c>
    </row>
    <row r="128" spans="1:10" x14ac:dyDescent="0.25">
      <c r="A128" s="2" t="s">
        <v>5165</v>
      </c>
      <c r="B128" t="s">
        <v>5627</v>
      </c>
      <c r="H128">
        <v>107623</v>
      </c>
      <c r="I128" t="s">
        <v>5733</v>
      </c>
      <c r="J128" t="str">
        <f t="shared" si="1"/>
        <v>ia.assorted_string like '%107623-00061-02-2025%' or</v>
      </c>
    </row>
    <row r="129" spans="1:10" x14ac:dyDescent="0.25">
      <c r="A129" s="2" t="s">
        <v>5166</v>
      </c>
      <c r="B129" t="s">
        <v>5625</v>
      </c>
      <c r="H129">
        <v>108044</v>
      </c>
      <c r="I129" t="s">
        <v>5734</v>
      </c>
      <c r="J129" t="str">
        <f t="shared" si="1"/>
        <v>ia.assorted_string like '%108044-00160-03-2025%' or</v>
      </c>
    </row>
    <row r="130" spans="1:10" x14ac:dyDescent="0.25">
      <c r="A130" s="2" t="s">
        <v>5167</v>
      </c>
      <c r="B130" t="s">
        <v>5627</v>
      </c>
      <c r="H130">
        <v>107623</v>
      </c>
      <c r="I130" t="s">
        <v>5735</v>
      </c>
      <c r="J130" t="str">
        <f t="shared" ref="J130:J193" si="2">"ia.assorted_string like '%"&amp;H130&amp;"-"&amp;I130&amp;B130&amp;"%' or"</f>
        <v>ia.assorted_string like '%107623-00063-02-2025%' or</v>
      </c>
    </row>
    <row r="131" spans="1:10" x14ac:dyDescent="0.25">
      <c r="A131" s="2" t="s">
        <v>5168</v>
      </c>
      <c r="B131" t="s">
        <v>5625</v>
      </c>
      <c r="H131">
        <v>108044</v>
      </c>
      <c r="I131" t="s">
        <v>5736</v>
      </c>
      <c r="J131" t="str">
        <f t="shared" si="2"/>
        <v>ia.assorted_string like '%108044-00161-03-2025%' or</v>
      </c>
    </row>
    <row r="132" spans="1:10" x14ac:dyDescent="0.25">
      <c r="A132" s="2" t="s">
        <v>5169</v>
      </c>
      <c r="B132" t="s">
        <v>5627</v>
      </c>
      <c r="H132">
        <v>107623</v>
      </c>
      <c r="I132" t="s">
        <v>5737</v>
      </c>
      <c r="J132" t="str">
        <f t="shared" si="2"/>
        <v>ia.assorted_string like '%107623-00064-02-2025%' or</v>
      </c>
    </row>
    <row r="133" spans="1:10" x14ac:dyDescent="0.25">
      <c r="A133" s="2" t="s">
        <v>5170</v>
      </c>
      <c r="B133" t="s">
        <v>5625</v>
      </c>
      <c r="H133">
        <v>108044</v>
      </c>
      <c r="I133" t="s">
        <v>5738</v>
      </c>
      <c r="J133" t="str">
        <f t="shared" si="2"/>
        <v>ia.assorted_string like '%108044-00163-03-2025%' or</v>
      </c>
    </row>
    <row r="134" spans="1:10" x14ac:dyDescent="0.25">
      <c r="A134" s="2" t="s">
        <v>5171</v>
      </c>
      <c r="B134" t="s">
        <v>5627</v>
      </c>
      <c r="H134">
        <v>107623</v>
      </c>
      <c r="I134" t="s">
        <v>5739</v>
      </c>
      <c r="J134" t="str">
        <f t="shared" si="2"/>
        <v>ia.assorted_string like '%107623-00065-02-2025%' or</v>
      </c>
    </row>
    <row r="135" spans="1:10" x14ac:dyDescent="0.25">
      <c r="A135" s="2" t="s">
        <v>5172</v>
      </c>
      <c r="B135" t="s">
        <v>5627</v>
      </c>
      <c r="H135">
        <v>107623</v>
      </c>
      <c r="I135" t="s">
        <v>5662</v>
      </c>
      <c r="J135" t="str">
        <f t="shared" si="2"/>
        <v>ia.assorted_string like '%107623-00066-02-2025%' or</v>
      </c>
    </row>
    <row r="136" spans="1:10" x14ac:dyDescent="0.25">
      <c r="A136" s="9" t="s">
        <v>5617</v>
      </c>
      <c r="B136" t="s">
        <v>5625</v>
      </c>
      <c r="H136">
        <v>108413</v>
      </c>
      <c r="I136" t="s">
        <v>5687</v>
      </c>
      <c r="J136" t="str">
        <f t="shared" si="2"/>
        <v>ia.assorted_string like '%108413-00008-03-2025%' or</v>
      </c>
    </row>
    <row r="137" spans="1:10" x14ac:dyDescent="0.25">
      <c r="A137" s="2" t="s">
        <v>5173</v>
      </c>
      <c r="B137" t="s">
        <v>5627</v>
      </c>
      <c r="H137">
        <v>107623</v>
      </c>
      <c r="I137" t="s">
        <v>5740</v>
      </c>
      <c r="J137" t="str">
        <f t="shared" si="2"/>
        <v>ia.assorted_string like '%107623-00067-02-2025%' or</v>
      </c>
    </row>
    <row r="138" spans="1:10" x14ac:dyDescent="0.25">
      <c r="A138" s="2" t="s">
        <v>5174</v>
      </c>
      <c r="B138" t="s">
        <v>5627</v>
      </c>
      <c r="H138">
        <v>107623</v>
      </c>
      <c r="I138" t="s">
        <v>5649</v>
      </c>
      <c r="J138" t="str">
        <f t="shared" si="2"/>
        <v>ia.assorted_string like '%107623-00068-02-2025%' or</v>
      </c>
    </row>
    <row r="139" spans="1:10" x14ac:dyDescent="0.25">
      <c r="A139" s="2" t="s">
        <v>5175</v>
      </c>
      <c r="B139" t="s">
        <v>5625</v>
      </c>
      <c r="H139">
        <v>108044</v>
      </c>
      <c r="I139" t="s">
        <v>5741</v>
      </c>
      <c r="J139" t="str">
        <f t="shared" si="2"/>
        <v>ia.assorted_string like '%108044-00169-03-2025%' or</v>
      </c>
    </row>
    <row r="140" spans="1:10" x14ac:dyDescent="0.25">
      <c r="A140" s="2" t="s">
        <v>5176</v>
      </c>
      <c r="B140" t="s">
        <v>5627</v>
      </c>
      <c r="H140">
        <v>107623</v>
      </c>
      <c r="I140" t="s">
        <v>5685</v>
      </c>
      <c r="J140" t="str">
        <f t="shared" si="2"/>
        <v>ia.assorted_string like '%107623-00069-02-2025%' or</v>
      </c>
    </row>
    <row r="141" spans="1:10" x14ac:dyDescent="0.25">
      <c r="A141" s="2" t="s">
        <v>5177</v>
      </c>
      <c r="B141" t="s">
        <v>5627</v>
      </c>
      <c r="H141">
        <v>107623</v>
      </c>
      <c r="I141" t="s">
        <v>5742</v>
      </c>
      <c r="J141" t="str">
        <f t="shared" si="2"/>
        <v>ia.assorted_string like '%107623-00070-02-2025%' or</v>
      </c>
    </row>
    <row r="142" spans="1:10" x14ac:dyDescent="0.25">
      <c r="A142" s="2" t="s">
        <v>5178</v>
      </c>
      <c r="B142" t="s">
        <v>5627</v>
      </c>
      <c r="H142">
        <v>107623</v>
      </c>
      <c r="I142" t="s">
        <v>5666</v>
      </c>
      <c r="J142" t="str">
        <f t="shared" si="2"/>
        <v>ia.assorted_string like '%107623-00071-02-2025%' or</v>
      </c>
    </row>
    <row r="143" spans="1:10" x14ac:dyDescent="0.25">
      <c r="A143" s="2" t="s">
        <v>5179</v>
      </c>
      <c r="B143" t="s">
        <v>5627</v>
      </c>
      <c r="H143">
        <v>107623</v>
      </c>
      <c r="I143" t="s">
        <v>5668</v>
      </c>
      <c r="J143" t="str">
        <f t="shared" si="2"/>
        <v>ia.assorted_string like '%107623-00073-02-2025%' or</v>
      </c>
    </row>
    <row r="144" spans="1:10" x14ac:dyDescent="0.25">
      <c r="A144" s="2" t="s">
        <v>5180</v>
      </c>
      <c r="B144" t="s">
        <v>5625</v>
      </c>
      <c r="H144">
        <v>108044</v>
      </c>
      <c r="I144" t="s">
        <v>5743</v>
      </c>
      <c r="J144" t="str">
        <f t="shared" si="2"/>
        <v>ia.assorted_string like '%108044-00173-03-2025%' or</v>
      </c>
    </row>
    <row r="145" spans="1:10" x14ac:dyDescent="0.25">
      <c r="A145" s="2" t="s">
        <v>5181</v>
      </c>
      <c r="B145" t="s">
        <v>5625</v>
      </c>
      <c r="H145">
        <v>108044</v>
      </c>
      <c r="I145" t="s">
        <v>5744</v>
      </c>
      <c r="J145" t="str">
        <f t="shared" si="2"/>
        <v>ia.assorted_string like '%108044-00174-03-2025%' or</v>
      </c>
    </row>
    <row r="146" spans="1:10" x14ac:dyDescent="0.25">
      <c r="A146" s="2" t="s">
        <v>5182</v>
      </c>
      <c r="B146" t="s">
        <v>5625</v>
      </c>
      <c r="H146">
        <v>108044</v>
      </c>
      <c r="I146" t="s">
        <v>5684</v>
      </c>
      <c r="J146" t="str">
        <f t="shared" si="2"/>
        <v>ia.assorted_string like '%108044-00175-03-2025%' or</v>
      </c>
    </row>
    <row r="147" spans="1:10" x14ac:dyDescent="0.25">
      <c r="A147" s="2" t="s">
        <v>5183</v>
      </c>
      <c r="B147" t="s">
        <v>5627</v>
      </c>
      <c r="H147">
        <v>107623</v>
      </c>
      <c r="I147" t="s">
        <v>5745</v>
      </c>
      <c r="J147" t="str">
        <f t="shared" si="2"/>
        <v>ia.assorted_string like '%107623-00074-02-2025%' or</v>
      </c>
    </row>
    <row r="148" spans="1:10" x14ac:dyDescent="0.25">
      <c r="A148" s="2" t="s">
        <v>5184</v>
      </c>
      <c r="B148" t="s">
        <v>5625</v>
      </c>
      <c r="H148">
        <v>108044</v>
      </c>
      <c r="I148" t="s">
        <v>5746</v>
      </c>
      <c r="J148" t="str">
        <f t="shared" si="2"/>
        <v>ia.assorted_string like '%108044-00178-03-2025%' or</v>
      </c>
    </row>
    <row r="149" spans="1:10" x14ac:dyDescent="0.25">
      <c r="A149" s="9" t="s">
        <v>5618</v>
      </c>
      <c r="B149" t="s">
        <v>5625</v>
      </c>
      <c r="H149">
        <v>108413</v>
      </c>
      <c r="I149" t="s">
        <v>5688</v>
      </c>
      <c r="J149" t="str">
        <f t="shared" si="2"/>
        <v>ia.assorted_string like '%108413-00009-03-2025%' or</v>
      </c>
    </row>
    <row r="150" spans="1:10" x14ac:dyDescent="0.25">
      <c r="A150" s="2" t="s">
        <v>5185</v>
      </c>
      <c r="B150" t="s">
        <v>5625</v>
      </c>
      <c r="H150">
        <v>108044</v>
      </c>
      <c r="I150" t="s">
        <v>5747</v>
      </c>
      <c r="J150" t="str">
        <f t="shared" si="2"/>
        <v>ia.assorted_string like '%108044-00180-03-2025%' or</v>
      </c>
    </row>
    <row r="151" spans="1:10" x14ac:dyDescent="0.25">
      <c r="A151" s="2" t="s">
        <v>5186</v>
      </c>
      <c r="B151" t="s">
        <v>5627</v>
      </c>
      <c r="H151">
        <v>107623</v>
      </c>
      <c r="I151" t="s">
        <v>5748</v>
      </c>
      <c r="J151" t="str">
        <f t="shared" si="2"/>
        <v>ia.assorted_string like '%107623-00075-02-2025%' or</v>
      </c>
    </row>
    <row r="152" spans="1:10" x14ac:dyDescent="0.25">
      <c r="A152" s="2" t="s">
        <v>5187</v>
      </c>
      <c r="B152" t="s">
        <v>5625</v>
      </c>
      <c r="H152">
        <v>108044</v>
      </c>
      <c r="I152" t="s">
        <v>5749</v>
      </c>
      <c r="J152" t="str">
        <f t="shared" si="2"/>
        <v>ia.assorted_string like '%108044-00181-03-2025%' or</v>
      </c>
    </row>
    <row r="153" spans="1:10" x14ac:dyDescent="0.25">
      <c r="A153" s="2" t="s">
        <v>5188</v>
      </c>
      <c r="B153" t="s">
        <v>5625</v>
      </c>
      <c r="H153">
        <v>108044</v>
      </c>
      <c r="I153" t="s">
        <v>5750</v>
      </c>
      <c r="J153" t="str">
        <f t="shared" si="2"/>
        <v>ia.assorted_string like '%108044-00182-03-2025%' or</v>
      </c>
    </row>
    <row r="154" spans="1:10" x14ac:dyDescent="0.25">
      <c r="A154" s="2" t="s">
        <v>5189</v>
      </c>
      <c r="B154" t="s">
        <v>5627</v>
      </c>
      <c r="H154">
        <v>107623</v>
      </c>
      <c r="I154" t="s">
        <v>5751</v>
      </c>
      <c r="J154" t="str">
        <f t="shared" si="2"/>
        <v>ia.assorted_string like '%107623-00076-02-2025%' or</v>
      </c>
    </row>
    <row r="155" spans="1:10" x14ac:dyDescent="0.25">
      <c r="A155" s="2" t="s">
        <v>5190</v>
      </c>
      <c r="B155" t="s">
        <v>5627</v>
      </c>
      <c r="H155">
        <v>107623</v>
      </c>
      <c r="I155" t="s">
        <v>5752</v>
      </c>
      <c r="J155" t="str">
        <f t="shared" si="2"/>
        <v>ia.assorted_string like '%107623-00077-02-2025%' or</v>
      </c>
    </row>
    <row r="156" spans="1:10" x14ac:dyDescent="0.25">
      <c r="A156" s="2" t="s">
        <v>5191</v>
      </c>
      <c r="B156" t="s">
        <v>5627</v>
      </c>
      <c r="H156">
        <v>107623</v>
      </c>
      <c r="I156" t="s">
        <v>5753</v>
      </c>
      <c r="J156" t="str">
        <f t="shared" si="2"/>
        <v>ia.assorted_string like '%107623-00078-02-2025%' or</v>
      </c>
    </row>
    <row r="157" spans="1:10" x14ac:dyDescent="0.25">
      <c r="A157" s="2" t="s">
        <v>5192</v>
      </c>
      <c r="B157" t="s">
        <v>5627</v>
      </c>
      <c r="H157">
        <v>107623</v>
      </c>
      <c r="I157" t="s">
        <v>5670</v>
      </c>
      <c r="J157" t="str">
        <f t="shared" si="2"/>
        <v>ia.assorted_string like '%107623-00079-02-2025%' or</v>
      </c>
    </row>
    <row r="158" spans="1:10" x14ac:dyDescent="0.25">
      <c r="A158" s="2" t="s">
        <v>5193</v>
      </c>
      <c r="B158" t="s">
        <v>5627</v>
      </c>
      <c r="H158">
        <v>107623</v>
      </c>
      <c r="I158" t="s">
        <v>5754</v>
      </c>
      <c r="J158" t="str">
        <f t="shared" si="2"/>
        <v>ia.assorted_string like '%107623-00080-02-2025%' or</v>
      </c>
    </row>
    <row r="159" spans="1:10" x14ac:dyDescent="0.25">
      <c r="A159" s="2" t="s">
        <v>5194</v>
      </c>
      <c r="B159" t="s">
        <v>5627</v>
      </c>
      <c r="H159">
        <v>107623</v>
      </c>
      <c r="I159" t="s">
        <v>5755</v>
      </c>
      <c r="J159" t="str">
        <f t="shared" si="2"/>
        <v>ia.assorted_string like '%107623-00081-02-2025%' or</v>
      </c>
    </row>
    <row r="160" spans="1:10" x14ac:dyDescent="0.25">
      <c r="A160" s="2" t="s">
        <v>5195</v>
      </c>
      <c r="B160" t="s">
        <v>5627</v>
      </c>
      <c r="H160">
        <v>107623</v>
      </c>
      <c r="I160" t="s">
        <v>5756</v>
      </c>
      <c r="J160" t="str">
        <f t="shared" si="2"/>
        <v>ia.assorted_string like '%107623-00082-02-2025%' or</v>
      </c>
    </row>
    <row r="161" spans="1:10" x14ac:dyDescent="0.25">
      <c r="A161" s="2" t="s">
        <v>5196</v>
      </c>
      <c r="B161" t="s">
        <v>5625</v>
      </c>
      <c r="H161">
        <v>108044</v>
      </c>
      <c r="I161" t="s">
        <v>5682</v>
      </c>
      <c r="J161" t="str">
        <f t="shared" si="2"/>
        <v>ia.assorted_string like '%108044-00191-03-2025%' or</v>
      </c>
    </row>
    <row r="162" spans="1:10" x14ac:dyDescent="0.25">
      <c r="A162" s="2" t="s">
        <v>5197</v>
      </c>
      <c r="B162" t="s">
        <v>5625</v>
      </c>
      <c r="H162">
        <v>108044</v>
      </c>
      <c r="I162" t="s">
        <v>5757</v>
      </c>
      <c r="J162" t="str">
        <f t="shared" si="2"/>
        <v>ia.assorted_string like '%108044-00192-03-2025%' or</v>
      </c>
    </row>
    <row r="163" spans="1:10" x14ac:dyDescent="0.25">
      <c r="A163" s="2" t="s">
        <v>5198</v>
      </c>
      <c r="B163" t="s">
        <v>5625</v>
      </c>
      <c r="H163">
        <v>108044</v>
      </c>
      <c r="I163" t="s">
        <v>5758</v>
      </c>
      <c r="J163" t="str">
        <f t="shared" si="2"/>
        <v>ia.assorted_string like '%108044-00193-03-2025%' or</v>
      </c>
    </row>
    <row r="164" spans="1:10" x14ac:dyDescent="0.25">
      <c r="A164" s="2" t="s">
        <v>5199</v>
      </c>
      <c r="B164" t="s">
        <v>5627</v>
      </c>
      <c r="H164">
        <v>107623</v>
      </c>
      <c r="I164" t="s">
        <v>5759</v>
      </c>
      <c r="J164" t="str">
        <f t="shared" si="2"/>
        <v>ia.assorted_string like '%107623-00083-02-2025%' or</v>
      </c>
    </row>
    <row r="165" spans="1:10" x14ac:dyDescent="0.25">
      <c r="A165" s="2" t="s">
        <v>5200</v>
      </c>
      <c r="B165" t="s">
        <v>5627</v>
      </c>
      <c r="H165">
        <v>107623</v>
      </c>
      <c r="I165" t="s">
        <v>5760</v>
      </c>
      <c r="J165" t="str">
        <f t="shared" si="2"/>
        <v>ia.assorted_string like '%107623-00084-02-2025%' or</v>
      </c>
    </row>
    <row r="166" spans="1:10" x14ac:dyDescent="0.25">
      <c r="A166" s="2" t="s">
        <v>5201</v>
      </c>
      <c r="B166" t="s">
        <v>5627</v>
      </c>
      <c r="H166">
        <v>107623</v>
      </c>
      <c r="I166" t="s">
        <v>5761</v>
      </c>
      <c r="J166" t="str">
        <f t="shared" si="2"/>
        <v>ia.assorted_string like '%107623-00085-02-2025%' or</v>
      </c>
    </row>
    <row r="167" spans="1:10" x14ac:dyDescent="0.25">
      <c r="A167" s="2" t="s">
        <v>5202</v>
      </c>
      <c r="B167" t="s">
        <v>5625</v>
      </c>
      <c r="H167">
        <v>108044</v>
      </c>
      <c r="I167" t="s">
        <v>5638</v>
      </c>
      <c r="J167" t="str">
        <f t="shared" si="2"/>
        <v>ia.assorted_string like '%108044-00200-03-2025%' or</v>
      </c>
    </row>
    <row r="168" spans="1:10" x14ac:dyDescent="0.25">
      <c r="A168" s="2" t="s">
        <v>5203</v>
      </c>
      <c r="B168" t="s">
        <v>5625</v>
      </c>
      <c r="H168">
        <v>108044</v>
      </c>
      <c r="I168" t="s">
        <v>5762</v>
      </c>
      <c r="J168" t="str">
        <f t="shared" si="2"/>
        <v>ia.assorted_string like '%108044-00201-03-2025%' or</v>
      </c>
    </row>
    <row r="169" spans="1:10" x14ac:dyDescent="0.25">
      <c r="A169" s="2" t="s">
        <v>5204</v>
      </c>
      <c r="B169" t="s">
        <v>5627</v>
      </c>
      <c r="H169">
        <v>107623</v>
      </c>
      <c r="I169" t="s">
        <v>5763</v>
      </c>
      <c r="J169" t="str">
        <f t="shared" si="2"/>
        <v>ia.assorted_string like '%107623-00087-02-2025%' or</v>
      </c>
    </row>
    <row r="170" spans="1:10" x14ac:dyDescent="0.25">
      <c r="A170" s="2" t="s">
        <v>5205</v>
      </c>
      <c r="B170" t="s">
        <v>5627</v>
      </c>
      <c r="H170">
        <v>107623</v>
      </c>
      <c r="I170" t="s">
        <v>5764</v>
      </c>
      <c r="J170" t="str">
        <f t="shared" si="2"/>
        <v>ia.assorted_string like '%107623-00088-02-2025%' or</v>
      </c>
    </row>
    <row r="171" spans="1:10" x14ac:dyDescent="0.25">
      <c r="A171" s="2" t="s">
        <v>5206</v>
      </c>
      <c r="B171" t="s">
        <v>5627</v>
      </c>
      <c r="H171">
        <v>107623</v>
      </c>
      <c r="I171" t="s">
        <v>5683</v>
      </c>
      <c r="J171" t="str">
        <f t="shared" si="2"/>
        <v>ia.assorted_string like '%107623-00090-02-2025%' or</v>
      </c>
    </row>
    <row r="172" spans="1:10" x14ac:dyDescent="0.25">
      <c r="A172" s="2" t="s">
        <v>5207</v>
      </c>
      <c r="B172" t="s">
        <v>5627</v>
      </c>
      <c r="H172">
        <v>107623</v>
      </c>
      <c r="I172" t="s">
        <v>5765</v>
      </c>
      <c r="J172" t="str">
        <f t="shared" si="2"/>
        <v>ia.assorted_string like '%107623-00091-02-2025%' or</v>
      </c>
    </row>
    <row r="173" spans="1:10" x14ac:dyDescent="0.25">
      <c r="A173" s="2" t="s">
        <v>5208</v>
      </c>
      <c r="B173" t="s">
        <v>5627</v>
      </c>
      <c r="H173">
        <v>107623</v>
      </c>
      <c r="I173" t="s">
        <v>5766</v>
      </c>
      <c r="J173" t="str">
        <f t="shared" si="2"/>
        <v>ia.assorted_string like '%107623-00094-02-2025%' or</v>
      </c>
    </row>
    <row r="174" spans="1:10" x14ac:dyDescent="0.25">
      <c r="A174" s="2" t="s">
        <v>5209</v>
      </c>
      <c r="B174" t="s">
        <v>5627</v>
      </c>
      <c r="H174">
        <v>107623</v>
      </c>
      <c r="I174" t="s">
        <v>5651</v>
      </c>
      <c r="J174" t="str">
        <f t="shared" si="2"/>
        <v>ia.assorted_string like '%107623-00096-02-2025%' or</v>
      </c>
    </row>
    <row r="175" spans="1:10" x14ac:dyDescent="0.25">
      <c r="A175" s="2" t="s">
        <v>5210</v>
      </c>
      <c r="B175" t="s">
        <v>5627</v>
      </c>
      <c r="H175">
        <v>107623</v>
      </c>
      <c r="I175" t="s">
        <v>5653</v>
      </c>
      <c r="J175" t="str">
        <f t="shared" si="2"/>
        <v>ia.assorted_string like '%107623-00099-02-2025%' or</v>
      </c>
    </row>
    <row r="176" spans="1:10" x14ac:dyDescent="0.25">
      <c r="A176" s="2" t="s">
        <v>5211</v>
      </c>
      <c r="B176" t="s">
        <v>5625</v>
      </c>
      <c r="H176">
        <v>108044</v>
      </c>
      <c r="I176" t="s">
        <v>5767</v>
      </c>
      <c r="J176" t="str">
        <f t="shared" si="2"/>
        <v>ia.assorted_string like '%108044-00205-03-2025%' or</v>
      </c>
    </row>
    <row r="177" spans="1:10" x14ac:dyDescent="0.25">
      <c r="A177" s="2" t="s">
        <v>5212</v>
      </c>
      <c r="B177" t="s">
        <v>5627</v>
      </c>
      <c r="H177">
        <v>107623</v>
      </c>
      <c r="I177" t="s">
        <v>5768</v>
      </c>
      <c r="J177" t="str">
        <f t="shared" si="2"/>
        <v>ia.assorted_string like '%107623-00100-02-2025%' or</v>
      </c>
    </row>
    <row r="178" spans="1:10" x14ac:dyDescent="0.25">
      <c r="A178" s="9" t="s">
        <v>5619</v>
      </c>
      <c r="B178" t="s">
        <v>5625</v>
      </c>
      <c r="H178">
        <v>108413</v>
      </c>
      <c r="I178" t="s">
        <v>5689</v>
      </c>
      <c r="J178" t="str">
        <f t="shared" si="2"/>
        <v>ia.assorted_string like '%108413-00010-03-2025%' or</v>
      </c>
    </row>
    <row r="179" spans="1:10" x14ac:dyDescent="0.25">
      <c r="A179" s="2" t="s">
        <v>5213</v>
      </c>
      <c r="B179" t="s">
        <v>5627</v>
      </c>
      <c r="H179">
        <v>107623</v>
      </c>
      <c r="I179" t="s">
        <v>5769</v>
      </c>
      <c r="J179" t="str">
        <f t="shared" si="2"/>
        <v>ia.assorted_string like '%107623-00101-02-2025%' or</v>
      </c>
    </row>
    <row r="180" spans="1:10" x14ac:dyDescent="0.25">
      <c r="A180" s="2" t="s">
        <v>5214</v>
      </c>
      <c r="B180" t="s">
        <v>5625</v>
      </c>
      <c r="H180">
        <v>108044</v>
      </c>
      <c r="I180" t="s">
        <v>5770</v>
      </c>
      <c r="J180" t="str">
        <f t="shared" si="2"/>
        <v>ia.assorted_string like '%108044-00209-03-2025%' or</v>
      </c>
    </row>
    <row r="181" spans="1:10" x14ac:dyDescent="0.25">
      <c r="A181" s="2" t="s">
        <v>5215</v>
      </c>
      <c r="B181" t="s">
        <v>5627</v>
      </c>
      <c r="H181">
        <v>107623</v>
      </c>
      <c r="I181" t="s">
        <v>5654</v>
      </c>
      <c r="J181" t="str">
        <f t="shared" si="2"/>
        <v>ia.assorted_string like '%107623-00102-02-2025%' or</v>
      </c>
    </row>
    <row r="182" spans="1:10" x14ac:dyDescent="0.25">
      <c r="A182" s="2" t="s">
        <v>5216</v>
      </c>
      <c r="B182" t="s">
        <v>5627</v>
      </c>
      <c r="H182">
        <v>107623</v>
      </c>
      <c r="I182" t="s">
        <v>5771</v>
      </c>
      <c r="J182" t="str">
        <f t="shared" si="2"/>
        <v>ia.assorted_string like '%107623-00103-02-2025%' or</v>
      </c>
    </row>
    <row r="183" spans="1:10" x14ac:dyDescent="0.25">
      <c r="A183" s="2" t="s">
        <v>5217</v>
      </c>
      <c r="B183" t="s">
        <v>5627</v>
      </c>
      <c r="H183">
        <v>107623</v>
      </c>
      <c r="I183" t="s">
        <v>5772</v>
      </c>
      <c r="J183" t="str">
        <f t="shared" si="2"/>
        <v>ia.assorted_string like '%107623-00104-02-2025%' or</v>
      </c>
    </row>
    <row r="184" spans="1:10" x14ac:dyDescent="0.25">
      <c r="A184" s="2" t="s">
        <v>5218</v>
      </c>
      <c r="B184" t="s">
        <v>5625</v>
      </c>
      <c r="H184">
        <v>108044</v>
      </c>
      <c r="I184" t="s">
        <v>5773</v>
      </c>
      <c r="J184" t="str">
        <f t="shared" si="2"/>
        <v>ia.assorted_string like '%108044-00213-03-2025%' or</v>
      </c>
    </row>
    <row r="185" spans="1:10" x14ac:dyDescent="0.25">
      <c r="A185" s="2" t="s">
        <v>5219</v>
      </c>
      <c r="B185" t="s">
        <v>5627</v>
      </c>
      <c r="H185">
        <v>107623</v>
      </c>
      <c r="I185" t="s">
        <v>5774</v>
      </c>
      <c r="J185" t="str">
        <f t="shared" si="2"/>
        <v>ia.assorted_string like '%107623-00106-02-2025%' or</v>
      </c>
    </row>
    <row r="186" spans="1:10" x14ac:dyDescent="0.25">
      <c r="A186" s="2" t="s">
        <v>5220</v>
      </c>
      <c r="B186" t="s">
        <v>5627</v>
      </c>
      <c r="H186">
        <v>107623</v>
      </c>
      <c r="I186" t="s">
        <v>5775</v>
      </c>
      <c r="J186" t="str">
        <f t="shared" si="2"/>
        <v>ia.assorted_string like '%107623-00107-02-2025%' or</v>
      </c>
    </row>
    <row r="187" spans="1:10" x14ac:dyDescent="0.25">
      <c r="A187" s="2" t="s">
        <v>5221</v>
      </c>
      <c r="B187" t="s">
        <v>5627</v>
      </c>
      <c r="H187">
        <v>107623</v>
      </c>
      <c r="I187" t="s">
        <v>5695</v>
      </c>
      <c r="J187" t="str">
        <f t="shared" si="2"/>
        <v>ia.assorted_string like '%107623-00109-02-2025%' or</v>
      </c>
    </row>
    <row r="188" spans="1:10" x14ac:dyDescent="0.25">
      <c r="A188" s="2" t="s">
        <v>5222</v>
      </c>
      <c r="B188" t="s">
        <v>5625</v>
      </c>
      <c r="H188">
        <v>108044</v>
      </c>
      <c r="I188" t="s">
        <v>5776</v>
      </c>
      <c r="J188" t="str">
        <f t="shared" si="2"/>
        <v>ia.assorted_string like '%108044-00217-03-2025%' or</v>
      </c>
    </row>
    <row r="189" spans="1:10" x14ac:dyDescent="0.25">
      <c r="A189" s="2" t="s">
        <v>5223</v>
      </c>
      <c r="B189" t="s">
        <v>5627</v>
      </c>
      <c r="H189">
        <v>107623</v>
      </c>
      <c r="I189" t="s">
        <v>5698</v>
      </c>
      <c r="J189" t="str">
        <f t="shared" si="2"/>
        <v>ia.assorted_string like '%107623-00112-02-2025%' or</v>
      </c>
    </row>
    <row r="190" spans="1:10" x14ac:dyDescent="0.25">
      <c r="A190" s="2" t="s">
        <v>5224</v>
      </c>
      <c r="B190" t="s">
        <v>5627</v>
      </c>
      <c r="H190">
        <v>107623</v>
      </c>
      <c r="I190" t="s">
        <v>5777</v>
      </c>
      <c r="J190" t="str">
        <f t="shared" si="2"/>
        <v>ia.assorted_string like '%107623-00114-02-2025%' or</v>
      </c>
    </row>
    <row r="191" spans="1:10" x14ac:dyDescent="0.25">
      <c r="A191" s="2" t="s">
        <v>5225</v>
      </c>
      <c r="B191" t="s">
        <v>5625</v>
      </c>
      <c r="H191">
        <v>108044</v>
      </c>
      <c r="I191" t="s">
        <v>5778</v>
      </c>
      <c r="J191" t="str">
        <f t="shared" si="2"/>
        <v>ia.assorted_string like '%108044-00220-03-2025%' or</v>
      </c>
    </row>
    <row r="192" spans="1:10" x14ac:dyDescent="0.25">
      <c r="A192" s="2" t="s">
        <v>5226</v>
      </c>
      <c r="B192" t="s">
        <v>5625</v>
      </c>
      <c r="H192">
        <v>108044</v>
      </c>
      <c r="I192" t="s">
        <v>5779</v>
      </c>
      <c r="J192" t="str">
        <f t="shared" si="2"/>
        <v>ia.assorted_string like '%108044-00221-03-2025%' or</v>
      </c>
    </row>
    <row r="193" spans="1:10" x14ac:dyDescent="0.25">
      <c r="A193" s="2" t="s">
        <v>5227</v>
      </c>
      <c r="B193" t="s">
        <v>5627</v>
      </c>
      <c r="H193">
        <v>107623</v>
      </c>
      <c r="I193" t="s">
        <v>5657</v>
      </c>
      <c r="J193" t="str">
        <f t="shared" si="2"/>
        <v>ia.assorted_string like '%107623-00116-02-2025%' or</v>
      </c>
    </row>
    <row r="194" spans="1:10" x14ac:dyDescent="0.25">
      <c r="A194" s="2" t="s">
        <v>5228</v>
      </c>
      <c r="B194" t="s">
        <v>5625</v>
      </c>
      <c r="H194">
        <v>108044</v>
      </c>
      <c r="I194" t="s">
        <v>5780</v>
      </c>
      <c r="J194" t="str">
        <f t="shared" ref="J194:J257" si="3">"ia.assorted_string like '%"&amp;H194&amp;"-"&amp;I194&amp;B194&amp;"%' or"</f>
        <v>ia.assorted_string like '%108044-00223-03-2025%' or</v>
      </c>
    </row>
    <row r="195" spans="1:10" x14ac:dyDescent="0.25">
      <c r="A195" s="2" t="s">
        <v>5229</v>
      </c>
      <c r="B195" t="s">
        <v>5627</v>
      </c>
      <c r="H195">
        <v>107623</v>
      </c>
      <c r="I195" t="s">
        <v>5702</v>
      </c>
      <c r="J195" t="str">
        <f t="shared" si="3"/>
        <v>ia.assorted_string like '%107623-00118-02-2025%' or</v>
      </c>
    </row>
    <row r="196" spans="1:10" x14ac:dyDescent="0.25">
      <c r="A196" s="2" t="s">
        <v>5041</v>
      </c>
      <c r="B196" t="s">
        <v>5625</v>
      </c>
      <c r="H196">
        <v>108044</v>
      </c>
      <c r="I196" t="s">
        <v>5781</v>
      </c>
      <c r="J196" t="str">
        <f t="shared" si="3"/>
        <v>ia.assorted_string like '%108044-00227-03-2025%' or</v>
      </c>
    </row>
    <row r="197" spans="1:10" x14ac:dyDescent="0.25">
      <c r="A197" s="2" t="s">
        <v>5230</v>
      </c>
      <c r="B197" t="s">
        <v>5625</v>
      </c>
      <c r="H197">
        <v>108044</v>
      </c>
      <c r="I197" t="s">
        <v>5782</v>
      </c>
      <c r="J197" t="str">
        <f t="shared" si="3"/>
        <v>ia.assorted_string like '%108044-00228-03-2025%' or</v>
      </c>
    </row>
    <row r="198" spans="1:10" x14ac:dyDescent="0.25">
      <c r="A198" s="2" t="s">
        <v>5231</v>
      </c>
      <c r="B198" t="s">
        <v>5627</v>
      </c>
      <c r="H198">
        <v>107623</v>
      </c>
      <c r="I198" t="s">
        <v>5783</v>
      </c>
      <c r="J198" t="str">
        <f t="shared" si="3"/>
        <v>ia.assorted_string like '%107623-00119-02-2025%' or</v>
      </c>
    </row>
    <row r="199" spans="1:10" x14ac:dyDescent="0.25">
      <c r="A199" s="2" t="s">
        <v>5232</v>
      </c>
      <c r="B199" t="s">
        <v>5627</v>
      </c>
      <c r="H199">
        <v>107623</v>
      </c>
      <c r="I199" t="s">
        <v>5784</v>
      </c>
      <c r="J199" t="str">
        <f t="shared" si="3"/>
        <v>ia.assorted_string like '%107623-00120-02-2025%' or</v>
      </c>
    </row>
    <row r="200" spans="1:10" x14ac:dyDescent="0.25">
      <c r="A200" s="2" t="s">
        <v>5233</v>
      </c>
      <c r="B200" t="s">
        <v>5627</v>
      </c>
      <c r="H200">
        <v>107623</v>
      </c>
      <c r="I200" t="s">
        <v>5785</v>
      </c>
      <c r="J200" t="str">
        <f t="shared" si="3"/>
        <v>ia.assorted_string like '%107623-00123-02-2025%' or</v>
      </c>
    </row>
    <row r="201" spans="1:10" x14ac:dyDescent="0.25">
      <c r="A201" s="2" t="s">
        <v>5234</v>
      </c>
      <c r="B201" t="s">
        <v>5627</v>
      </c>
      <c r="H201">
        <v>107623</v>
      </c>
      <c r="I201" t="s">
        <v>5786</v>
      </c>
      <c r="J201" t="str">
        <f t="shared" si="3"/>
        <v>ia.assorted_string like '%107623-00124-02-2025%' or</v>
      </c>
    </row>
    <row r="202" spans="1:10" x14ac:dyDescent="0.25">
      <c r="A202" s="2" t="s">
        <v>5235</v>
      </c>
      <c r="B202" t="s">
        <v>5627</v>
      </c>
      <c r="H202">
        <v>107623</v>
      </c>
      <c r="I202" t="s">
        <v>5787</v>
      </c>
      <c r="J202" t="str">
        <f t="shared" si="3"/>
        <v>ia.assorted_string like '%107623-00125-02-2025%' or</v>
      </c>
    </row>
    <row r="203" spans="1:10" x14ac:dyDescent="0.25">
      <c r="A203" s="2" t="s">
        <v>5236</v>
      </c>
      <c r="B203" t="s">
        <v>5627</v>
      </c>
      <c r="H203">
        <v>107623</v>
      </c>
      <c r="I203" t="s">
        <v>5788</v>
      </c>
      <c r="J203" t="str">
        <f t="shared" si="3"/>
        <v>ia.assorted_string like '%107623-00127-02-2025%' or</v>
      </c>
    </row>
    <row r="204" spans="1:10" x14ac:dyDescent="0.25">
      <c r="A204" s="2" t="s">
        <v>5237</v>
      </c>
      <c r="B204" t="s">
        <v>5627</v>
      </c>
      <c r="H204">
        <v>107623</v>
      </c>
      <c r="I204" t="s">
        <v>5789</v>
      </c>
      <c r="J204" t="str">
        <f t="shared" si="3"/>
        <v>ia.assorted_string like '%107623-00128-02-2025%' or</v>
      </c>
    </row>
    <row r="205" spans="1:10" x14ac:dyDescent="0.25">
      <c r="A205" s="2" t="s">
        <v>5238</v>
      </c>
      <c r="B205" t="s">
        <v>5627</v>
      </c>
      <c r="H205">
        <v>107623</v>
      </c>
      <c r="I205" t="s">
        <v>5790</v>
      </c>
      <c r="J205" t="str">
        <f t="shared" si="3"/>
        <v>ia.assorted_string like '%107623-00129-02-2025%' or</v>
      </c>
    </row>
    <row r="206" spans="1:10" x14ac:dyDescent="0.25">
      <c r="A206" s="2" t="s">
        <v>5239</v>
      </c>
      <c r="B206" t="s">
        <v>5627</v>
      </c>
      <c r="H206">
        <v>107623</v>
      </c>
      <c r="I206" t="s">
        <v>5658</v>
      </c>
      <c r="J206" t="str">
        <f t="shared" si="3"/>
        <v>ia.assorted_string like '%107623-00130-02-2025%' or</v>
      </c>
    </row>
    <row r="207" spans="1:10" x14ac:dyDescent="0.25">
      <c r="A207" s="2" t="s">
        <v>5240</v>
      </c>
      <c r="B207" t="s">
        <v>5627</v>
      </c>
      <c r="H207">
        <v>107623</v>
      </c>
      <c r="I207" t="s">
        <v>5791</v>
      </c>
      <c r="J207" t="str">
        <f t="shared" si="3"/>
        <v>ia.assorted_string like '%107623-00131-02-2025%' or</v>
      </c>
    </row>
    <row r="208" spans="1:10" x14ac:dyDescent="0.25">
      <c r="A208" s="2" t="s">
        <v>5241</v>
      </c>
      <c r="B208" t="s">
        <v>5627</v>
      </c>
      <c r="H208">
        <v>107623</v>
      </c>
      <c r="I208" t="s">
        <v>5713</v>
      </c>
      <c r="J208" t="str">
        <f t="shared" si="3"/>
        <v>ia.assorted_string like '%107623-00132-02-2025%' or</v>
      </c>
    </row>
    <row r="209" spans="1:10" x14ac:dyDescent="0.25">
      <c r="A209" s="2" t="s">
        <v>5242</v>
      </c>
      <c r="B209" t="s">
        <v>5627</v>
      </c>
      <c r="H209">
        <v>107623</v>
      </c>
      <c r="I209" t="s">
        <v>5714</v>
      </c>
      <c r="J209" t="str">
        <f t="shared" si="3"/>
        <v>ia.assorted_string like '%107623-00133-02-2025%' or</v>
      </c>
    </row>
    <row r="210" spans="1:10" x14ac:dyDescent="0.25">
      <c r="A210" s="2" t="s">
        <v>5243</v>
      </c>
      <c r="B210" t="s">
        <v>5627</v>
      </c>
      <c r="H210">
        <v>107623</v>
      </c>
      <c r="I210" t="s">
        <v>5715</v>
      </c>
      <c r="J210" t="str">
        <f t="shared" si="3"/>
        <v>ia.assorted_string like '%107623-00134-02-2025%' or</v>
      </c>
    </row>
    <row r="211" spans="1:10" x14ac:dyDescent="0.25">
      <c r="A211" s="2" t="s">
        <v>5244</v>
      </c>
      <c r="B211" t="s">
        <v>5627</v>
      </c>
      <c r="H211">
        <v>107623</v>
      </c>
      <c r="I211" t="s">
        <v>5792</v>
      </c>
      <c r="J211" t="str">
        <f t="shared" si="3"/>
        <v>ia.assorted_string like '%107623-00136-02-2025%' or</v>
      </c>
    </row>
    <row r="212" spans="1:10" x14ac:dyDescent="0.25">
      <c r="A212" s="2" t="s">
        <v>5245</v>
      </c>
      <c r="B212" t="s">
        <v>5625</v>
      </c>
      <c r="H212">
        <v>108044</v>
      </c>
      <c r="I212" t="s">
        <v>5793</v>
      </c>
      <c r="J212" t="str">
        <f t="shared" si="3"/>
        <v>ia.assorted_string like '%108044-00246-03-2025%' or</v>
      </c>
    </row>
    <row r="213" spans="1:10" x14ac:dyDescent="0.25">
      <c r="A213" s="2" t="s">
        <v>5246</v>
      </c>
      <c r="B213" t="s">
        <v>5627</v>
      </c>
      <c r="H213">
        <v>107623</v>
      </c>
      <c r="I213" t="s">
        <v>5794</v>
      </c>
      <c r="J213" t="str">
        <f t="shared" si="3"/>
        <v>ia.assorted_string like '%107623-00139-02-2025%' or</v>
      </c>
    </row>
    <row r="214" spans="1:10" x14ac:dyDescent="0.25">
      <c r="A214" s="2" t="s">
        <v>5247</v>
      </c>
      <c r="B214" t="s">
        <v>5627</v>
      </c>
      <c r="H214">
        <v>107623</v>
      </c>
      <c r="I214" t="s">
        <v>5660</v>
      </c>
      <c r="J214" t="str">
        <f t="shared" si="3"/>
        <v>ia.assorted_string like '%107623-00141-02-2025%' or</v>
      </c>
    </row>
    <row r="215" spans="1:10" x14ac:dyDescent="0.25">
      <c r="A215" s="2" t="s">
        <v>5248</v>
      </c>
      <c r="B215" t="s">
        <v>5627</v>
      </c>
      <c r="H215">
        <v>107623</v>
      </c>
      <c r="I215" t="s">
        <v>5721</v>
      </c>
      <c r="J215" t="str">
        <f t="shared" si="3"/>
        <v>ia.assorted_string like '%107623-00143-02-2025%' or</v>
      </c>
    </row>
    <row r="216" spans="1:10" x14ac:dyDescent="0.25">
      <c r="A216" s="2" t="s">
        <v>5249</v>
      </c>
      <c r="B216" t="s">
        <v>5625</v>
      </c>
      <c r="H216">
        <v>108044</v>
      </c>
      <c r="I216" t="s">
        <v>5795</v>
      </c>
      <c r="J216" t="str">
        <f t="shared" si="3"/>
        <v>ia.assorted_string like '%108044-00250-03-2025%' or</v>
      </c>
    </row>
    <row r="217" spans="1:10" x14ac:dyDescent="0.25">
      <c r="A217" s="2" t="s">
        <v>5250</v>
      </c>
      <c r="B217" t="s">
        <v>5627</v>
      </c>
      <c r="H217">
        <v>107623</v>
      </c>
      <c r="I217" t="s">
        <v>5796</v>
      </c>
      <c r="J217" t="str">
        <f t="shared" si="3"/>
        <v>ia.assorted_string like '%107623-00145-02-2025%' or</v>
      </c>
    </row>
    <row r="218" spans="1:10" x14ac:dyDescent="0.25">
      <c r="A218" s="2" t="s">
        <v>5251</v>
      </c>
      <c r="B218" t="s">
        <v>5627</v>
      </c>
      <c r="H218">
        <v>107623</v>
      </c>
      <c r="I218" t="s">
        <v>5661</v>
      </c>
      <c r="J218" t="str">
        <f t="shared" si="3"/>
        <v>ia.assorted_string like '%107623-00151-02-2025%' or</v>
      </c>
    </row>
    <row r="219" spans="1:10" x14ac:dyDescent="0.25">
      <c r="A219" s="2" t="s">
        <v>5252</v>
      </c>
      <c r="B219" t="s">
        <v>5627</v>
      </c>
      <c r="H219">
        <v>107623</v>
      </c>
      <c r="I219" t="s">
        <v>5797</v>
      </c>
      <c r="J219" t="str">
        <f t="shared" si="3"/>
        <v>ia.assorted_string like '%107623-00152-02-2025%' or</v>
      </c>
    </row>
    <row r="220" spans="1:10" x14ac:dyDescent="0.25">
      <c r="A220" s="2" t="s">
        <v>5253</v>
      </c>
      <c r="B220" t="s">
        <v>5627</v>
      </c>
      <c r="H220">
        <v>107623</v>
      </c>
      <c r="I220" t="s">
        <v>5730</v>
      </c>
      <c r="J220" t="str">
        <f t="shared" si="3"/>
        <v>ia.assorted_string like '%107623-00153-02-2025%' or</v>
      </c>
    </row>
    <row r="221" spans="1:10" x14ac:dyDescent="0.25">
      <c r="A221" s="2" t="s">
        <v>5254</v>
      </c>
      <c r="B221" t="s">
        <v>5627</v>
      </c>
      <c r="H221">
        <v>107623</v>
      </c>
      <c r="I221" t="s">
        <v>5798</v>
      </c>
      <c r="J221" t="str">
        <f t="shared" si="3"/>
        <v>ia.assorted_string like '%107623-00154-02-2025%' or</v>
      </c>
    </row>
    <row r="222" spans="1:10" x14ac:dyDescent="0.25">
      <c r="A222" s="2" t="s">
        <v>5255</v>
      </c>
      <c r="B222" t="s">
        <v>5627</v>
      </c>
      <c r="H222">
        <v>107623</v>
      </c>
      <c r="I222" t="s">
        <v>5663</v>
      </c>
      <c r="J222" t="str">
        <f t="shared" si="3"/>
        <v>ia.assorted_string like '%107623-00156-02-2025%' or</v>
      </c>
    </row>
    <row r="223" spans="1:10" x14ac:dyDescent="0.25">
      <c r="A223" s="2" t="s">
        <v>5256</v>
      </c>
      <c r="B223" t="s">
        <v>5627</v>
      </c>
      <c r="H223">
        <v>107623</v>
      </c>
      <c r="I223" t="s">
        <v>5799</v>
      </c>
      <c r="J223" t="str">
        <f t="shared" si="3"/>
        <v>ia.assorted_string like '%107623-00158-02-2025%' or</v>
      </c>
    </row>
    <row r="224" spans="1:10" x14ac:dyDescent="0.25">
      <c r="A224" s="2" t="s">
        <v>5257</v>
      </c>
      <c r="B224" t="s">
        <v>5627</v>
      </c>
      <c r="H224">
        <v>107623</v>
      </c>
      <c r="I224" t="s">
        <v>5734</v>
      </c>
      <c r="J224" t="str">
        <f t="shared" si="3"/>
        <v>ia.assorted_string like '%107623-00160-02-2025%' or</v>
      </c>
    </row>
    <row r="225" spans="1:10" x14ac:dyDescent="0.25">
      <c r="A225" s="2" t="s">
        <v>5258</v>
      </c>
      <c r="B225" t="s">
        <v>5627</v>
      </c>
      <c r="H225">
        <v>107623</v>
      </c>
      <c r="I225" t="s">
        <v>5738</v>
      </c>
      <c r="J225" t="str">
        <f t="shared" si="3"/>
        <v>ia.assorted_string like '%107623-00163-02-2025%' or</v>
      </c>
    </row>
    <row r="226" spans="1:10" x14ac:dyDescent="0.25">
      <c r="A226" s="2" t="s">
        <v>5259</v>
      </c>
      <c r="B226" t="s">
        <v>5627</v>
      </c>
      <c r="H226">
        <v>107623</v>
      </c>
      <c r="I226" t="s">
        <v>5800</v>
      </c>
      <c r="J226" t="str">
        <f t="shared" si="3"/>
        <v>ia.assorted_string like '%107623-00164-02-2025%' or</v>
      </c>
    </row>
    <row r="227" spans="1:10" x14ac:dyDescent="0.25">
      <c r="A227" s="2" t="s">
        <v>5260</v>
      </c>
      <c r="B227" t="s">
        <v>5627</v>
      </c>
      <c r="H227">
        <v>107623</v>
      </c>
      <c r="I227" t="s">
        <v>5665</v>
      </c>
      <c r="J227" t="str">
        <f t="shared" si="3"/>
        <v>ia.assorted_string like '%107623-00165-02-2025%' or</v>
      </c>
    </row>
    <row r="228" spans="1:10" x14ac:dyDescent="0.25">
      <c r="A228" s="2" t="s">
        <v>5261</v>
      </c>
      <c r="B228" t="s">
        <v>5627</v>
      </c>
      <c r="H228">
        <v>107623</v>
      </c>
      <c r="I228" t="s">
        <v>5801</v>
      </c>
      <c r="J228" t="str">
        <f t="shared" si="3"/>
        <v>ia.assorted_string like '%107623-00166-02-2025%' or</v>
      </c>
    </row>
    <row r="229" spans="1:10" x14ac:dyDescent="0.25">
      <c r="A229" s="9" t="s">
        <v>5620</v>
      </c>
      <c r="B229" t="s">
        <v>5625</v>
      </c>
      <c r="H229">
        <v>108413</v>
      </c>
      <c r="I229" t="s">
        <v>5802</v>
      </c>
      <c r="J229" t="str">
        <f t="shared" si="3"/>
        <v>ia.assorted_string like '%108413-00011-03-2025%' or</v>
      </c>
    </row>
    <row r="230" spans="1:10" x14ac:dyDescent="0.25">
      <c r="A230" s="2" t="s">
        <v>5262</v>
      </c>
      <c r="B230" t="s">
        <v>5627</v>
      </c>
      <c r="H230">
        <v>107623</v>
      </c>
      <c r="I230" t="s">
        <v>5743</v>
      </c>
      <c r="J230" t="str">
        <f t="shared" si="3"/>
        <v>ia.assorted_string like '%107623-00173-02-2025%' or</v>
      </c>
    </row>
    <row r="231" spans="1:10" x14ac:dyDescent="0.25">
      <c r="A231" s="2" t="s">
        <v>5263</v>
      </c>
      <c r="B231" t="s">
        <v>5625</v>
      </c>
      <c r="H231">
        <v>108044</v>
      </c>
      <c r="I231" t="s">
        <v>5803</v>
      </c>
      <c r="J231" t="str">
        <f t="shared" si="3"/>
        <v>ia.assorted_string like '%108044-00254-03-2025%' or</v>
      </c>
    </row>
    <row r="232" spans="1:10" x14ac:dyDescent="0.25">
      <c r="A232" s="2" t="s">
        <v>5264</v>
      </c>
      <c r="B232" t="s">
        <v>5627</v>
      </c>
      <c r="H232">
        <v>107623</v>
      </c>
      <c r="I232" t="s">
        <v>5744</v>
      </c>
      <c r="J232" t="str">
        <f t="shared" si="3"/>
        <v>ia.assorted_string like '%107623-00174-02-2025%' or</v>
      </c>
    </row>
    <row r="233" spans="1:10" x14ac:dyDescent="0.25">
      <c r="A233" s="2" t="s">
        <v>5265</v>
      </c>
      <c r="B233" t="s">
        <v>5627</v>
      </c>
      <c r="H233">
        <v>107623</v>
      </c>
      <c r="I233" t="s">
        <v>5804</v>
      </c>
      <c r="J233" t="str">
        <f t="shared" si="3"/>
        <v>ia.assorted_string like '%107623-00176-02-2025%' or</v>
      </c>
    </row>
    <row r="234" spans="1:10" x14ac:dyDescent="0.25">
      <c r="A234" s="2" t="s">
        <v>5266</v>
      </c>
      <c r="B234" t="s">
        <v>5627</v>
      </c>
      <c r="H234">
        <v>107623</v>
      </c>
      <c r="I234" t="s">
        <v>5805</v>
      </c>
      <c r="J234" t="str">
        <f t="shared" si="3"/>
        <v>ia.assorted_string like '%107623-00177-02-2025%' or</v>
      </c>
    </row>
    <row r="235" spans="1:10" x14ac:dyDescent="0.25">
      <c r="A235" s="2" t="s">
        <v>5267</v>
      </c>
      <c r="B235" t="s">
        <v>5625</v>
      </c>
      <c r="H235">
        <v>108044</v>
      </c>
      <c r="I235" t="s">
        <v>5806</v>
      </c>
      <c r="J235" t="str">
        <f t="shared" si="3"/>
        <v>ia.assorted_string like '%108044-00253-03-2025%' or</v>
      </c>
    </row>
    <row r="236" spans="1:10" x14ac:dyDescent="0.25">
      <c r="A236" s="2" t="s">
        <v>5268</v>
      </c>
      <c r="B236" t="s">
        <v>5627</v>
      </c>
      <c r="H236">
        <v>107623</v>
      </c>
      <c r="I236" t="s">
        <v>5746</v>
      </c>
      <c r="J236" t="str">
        <f t="shared" si="3"/>
        <v>ia.assorted_string like '%107623-00178-02-2025%' or</v>
      </c>
    </row>
    <row r="237" spans="1:10" x14ac:dyDescent="0.25">
      <c r="A237" s="2" t="s">
        <v>5269</v>
      </c>
      <c r="B237" t="s">
        <v>5627</v>
      </c>
      <c r="H237">
        <v>107623</v>
      </c>
      <c r="I237" t="s">
        <v>5807</v>
      </c>
      <c r="J237" t="str">
        <f t="shared" si="3"/>
        <v>ia.assorted_string like '%107623-00179-02-2025%' or</v>
      </c>
    </row>
    <row r="238" spans="1:10" x14ac:dyDescent="0.25">
      <c r="A238" s="2" t="s">
        <v>5270</v>
      </c>
      <c r="B238" t="s">
        <v>5627</v>
      </c>
      <c r="H238">
        <v>107623</v>
      </c>
      <c r="I238" t="s">
        <v>5750</v>
      </c>
      <c r="J238" t="str">
        <f t="shared" si="3"/>
        <v>ia.assorted_string like '%107623-00182-02-2025%' or</v>
      </c>
    </row>
    <row r="239" spans="1:10" x14ac:dyDescent="0.25">
      <c r="A239" s="2" t="s">
        <v>5271</v>
      </c>
      <c r="B239" t="s">
        <v>5627</v>
      </c>
      <c r="H239">
        <v>107623</v>
      </c>
      <c r="I239" t="s">
        <v>5808</v>
      </c>
      <c r="J239" t="str">
        <f t="shared" si="3"/>
        <v>ia.assorted_string like '%107623-00183-02-2025%' or</v>
      </c>
    </row>
    <row r="240" spans="1:10" x14ac:dyDescent="0.25">
      <c r="A240" s="2" t="s">
        <v>5272</v>
      </c>
      <c r="B240" t="s">
        <v>5627</v>
      </c>
      <c r="H240">
        <v>107623</v>
      </c>
      <c r="I240" t="s">
        <v>5809</v>
      </c>
      <c r="J240" t="str">
        <f t="shared" si="3"/>
        <v>ia.assorted_string like '%107623-00184-02-2025%' or</v>
      </c>
    </row>
    <row r="241" spans="1:10" x14ac:dyDescent="0.25">
      <c r="A241" s="2" t="s">
        <v>5273</v>
      </c>
      <c r="B241" t="s">
        <v>5627</v>
      </c>
      <c r="H241">
        <v>107623</v>
      </c>
      <c r="I241" t="s">
        <v>5810</v>
      </c>
      <c r="J241" t="str">
        <f t="shared" si="3"/>
        <v>ia.assorted_string like '%107623-00185-02-2025%' or</v>
      </c>
    </row>
    <row r="242" spans="1:10" x14ac:dyDescent="0.25">
      <c r="A242" s="2" t="s">
        <v>5274</v>
      </c>
      <c r="B242" t="s">
        <v>5627</v>
      </c>
      <c r="H242">
        <v>107623</v>
      </c>
      <c r="I242" t="s">
        <v>5811</v>
      </c>
      <c r="J242" t="str">
        <f t="shared" si="3"/>
        <v>ia.assorted_string like '%107623-00186-02-2025%' or</v>
      </c>
    </row>
    <row r="243" spans="1:10" x14ac:dyDescent="0.25">
      <c r="A243" s="2" t="s">
        <v>5275</v>
      </c>
      <c r="B243" t="s">
        <v>5627</v>
      </c>
      <c r="H243">
        <v>107623</v>
      </c>
      <c r="I243" t="s">
        <v>5669</v>
      </c>
      <c r="J243" t="str">
        <f t="shared" si="3"/>
        <v>ia.assorted_string like '%107623-00187-02-2025%' or</v>
      </c>
    </row>
    <row r="244" spans="1:10" x14ac:dyDescent="0.25">
      <c r="A244" s="2" t="s">
        <v>5276</v>
      </c>
      <c r="B244" t="s">
        <v>5627</v>
      </c>
      <c r="H244">
        <v>107623</v>
      </c>
      <c r="I244" t="s">
        <v>5812</v>
      </c>
      <c r="J244" t="str">
        <f t="shared" si="3"/>
        <v>ia.assorted_string like '%107623-00188-02-2025%' or</v>
      </c>
    </row>
    <row r="245" spans="1:10" x14ac:dyDescent="0.25">
      <c r="A245" s="2" t="s">
        <v>5277</v>
      </c>
      <c r="B245" t="s">
        <v>5625</v>
      </c>
      <c r="H245">
        <v>108044</v>
      </c>
      <c r="I245" t="s">
        <v>5678</v>
      </c>
      <c r="J245" t="str">
        <f t="shared" si="3"/>
        <v>ia.assorted_string like '%108044-00252-03-2025%' or</v>
      </c>
    </row>
    <row r="246" spans="1:10" x14ac:dyDescent="0.25">
      <c r="A246" s="2" t="s">
        <v>5278</v>
      </c>
      <c r="B246" t="s">
        <v>5627</v>
      </c>
      <c r="H246">
        <v>107623</v>
      </c>
      <c r="I246" t="s">
        <v>5671</v>
      </c>
      <c r="J246" t="str">
        <f t="shared" si="3"/>
        <v>ia.assorted_string like '%107623-00189-02-2025%' or</v>
      </c>
    </row>
    <row r="247" spans="1:10" x14ac:dyDescent="0.25">
      <c r="A247" s="2" t="s">
        <v>5279</v>
      </c>
      <c r="B247" t="s">
        <v>5625</v>
      </c>
      <c r="H247">
        <v>108044</v>
      </c>
      <c r="I247" t="s">
        <v>5677</v>
      </c>
      <c r="J247" t="str">
        <f t="shared" si="3"/>
        <v>ia.assorted_string like '%108044-00251-03-2025%' or</v>
      </c>
    </row>
    <row r="248" spans="1:10" x14ac:dyDescent="0.25">
      <c r="A248" s="2" t="s">
        <v>5280</v>
      </c>
      <c r="B248" t="s">
        <v>5627</v>
      </c>
      <c r="H248">
        <v>107623</v>
      </c>
      <c r="I248" t="s">
        <v>5813</v>
      </c>
      <c r="J248" t="str">
        <f t="shared" si="3"/>
        <v>ia.assorted_string like '%107623-00190-02-2025%' or</v>
      </c>
    </row>
    <row r="249" spans="1:10" x14ac:dyDescent="0.25">
      <c r="A249" s="2" t="s">
        <v>5281</v>
      </c>
      <c r="B249" t="s">
        <v>5625</v>
      </c>
      <c r="H249">
        <v>108044</v>
      </c>
      <c r="I249" t="s">
        <v>5814</v>
      </c>
      <c r="J249" t="str">
        <f t="shared" si="3"/>
        <v>ia.assorted_string like '%108044-00249-03-2025%' or</v>
      </c>
    </row>
    <row r="250" spans="1:10" x14ac:dyDescent="0.25">
      <c r="A250" s="2" t="s">
        <v>5282</v>
      </c>
      <c r="B250" t="s">
        <v>5625</v>
      </c>
      <c r="H250">
        <v>108044</v>
      </c>
      <c r="I250" t="s">
        <v>5676</v>
      </c>
      <c r="J250" t="str">
        <f t="shared" si="3"/>
        <v>ia.assorted_string like '%108044-00248-03-2025%' or</v>
      </c>
    </row>
    <row r="251" spans="1:10" x14ac:dyDescent="0.25">
      <c r="A251" s="2" t="s">
        <v>5283</v>
      </c>
      <c r="B251" t="s">
        <v>5627</v>
      </c>
      <c r="H251">
        <v>107623</v>
      </c>
      <c r="I251" t="s">
        <v>5682</v>
      </c>
      <c r="J251" t="str">
        <f t="shared" si="3"/>
        <v>ia.assorted_string like '%107623-00191-02-2025%' or</v>
      </c>
    </row>
    <row r="252" spans="1:10" x14ac:dyDescent="0.25">
      <c r="A252" s="2" t="s">
        <v>5284</v>
      </c>
      <c r="B252" t="s">
        <v>5627</v>
      </c>
      <c r="H252">
        <v>107623</v>
      </c>
      <c r="I252" t="s">
        <v>5757</v>
      </c>
      <c r="J252" t="str">
        <f t="shared" si="3"/>
        <v>ia.assorted_string like '%107623-00192-02-2025%' or</v>
      </c>
    </row>
    <row r="253" spans="1:10" x14ac:dyDescent="0.25">
      <c r="A253" s="2" t="s">
        <v>5285</v>
      </c>
      <c r="B253" t="s">
        <v>5625</v>
      </c>
      <c r="H253">
        <v>108044</v>
      </c>
      <c r="I253" t="s">
        <v>5815</v>
      </c>
      <c r="J253" t="str">
        <f t="shared" si="3"/>
        <v>ia.assorted_string like '%108044-00247-03-2025%' or</v>
      </c>
    </row>
    <row r="254" spans="1:10" x14ac:dyDescent="0.25">
      <c r="A254" s="2" t="s">
        <v>5286</v>
      </c>
      <c r="B254" t="s">
        <v>5625</v>
      </c>
      <c r="H254">
        <v>108044</v>
      </c>
      <c r="I254" t="s">
        <v>5816</v>
      </c>
      <c r="J254" t="str">
        <f t="shared" si="3"/>
        <v>ia.assorted_string like '%108044-00245-03-2025%' or</v>
      </c>
    </row>
    <row r="255" spans="1:10" x14ac:dyDescent="0.25">
      <c r="A255" s="2" t="s">
        <v>5287</v>
      </c>
      <c r="B255" t="s">
        <v>5627</v>
      </c>
      <c r="H255">
        <v>107623</v>
      </c>
      <c r="I255" t="s">
        <v>5758</v>
      </c>
      <c r="J255" t="str">
        <f t="shared" si="3"/>
        <v>ia.assorted_string like '%107623-00193-02-2025%' or</v>
      </c>
    </row>
    <row r="256" spans="1:10" x14ac:dyDescent="0.25">
      <c r="A256" s="2" t="s">
        <v>5288</v>
      </c>
      <c r="B256" t="s">
        <v>5627</v>
      </c>
      <c r="H256">
        <v>107623</v>
      </c>
      <c r="I256" t="s">
        <v>5817</v>
      </c>
      <c r="J256" t="str">
        <f t="shared" si="3"/>
        <v>ia.assorted_string like '%107623-00194-02-2025%' or</v>
      </c>
    </row>
    <row r="257" spans="1:10" x14ac:dyDescent="0.25">
      <c r="A257" s="2" t="s">
        <v>5289</v>
      </c>
      <c r="B257" t="s">
        <v>5627</v>
      </c>
      <c r="H257">
        <v>107623</v>
      </c>
      <c r="I257" t="s">
        <v>5818</v>
      </c>
      <c r="J257" t="str">
        <f t="shared" si="3"/>
        <v>ia.assorted_string like '%107623-00196-02-2025%' or</v>
      </c>
    </row>
    <row r="258" spans="1:10" x14ac:dyDescent="0.25">
      <c r="A258" s="2" t="s">
        <v>5290</v>
      </c>
      <c r="B258" t="s">
        <v>5627</v>
      </c>
      <c r="H258">
        <v>107623</v>
      </c>
      <c r="I258" t="s">
        <v>5637</v>
      </c>
      <c r="J258" t="str">
        <f t="shared" ref="J258:J321" si="4">"ia.assorted_string like '%"&amp;H258&amp;"-"&amp;I258&amp;B258&amp;"%' or"</f>
        <v>ia.assorted_string like '%107623-00197-02-2025%' or</v>
      </c>
    </row>
    <row r="259" spans="1:10" x14ac:dyDescent="0.25">
      <c r="A259" s="2" t="s">
        <v>5291</v>
      </c>
      <c r="B259" t="s">
        <v>5625</v>
      </c>
      <c r="H259">
        <v>108044</v>
      </c>
      <c r="I259" t="s">
        <v>5819</v>
      </c>
      <c r="J259" t="str">
        <f t="shared" si="4"/>
        <v>ia.assorted_string like '%108044-00244-03-2025%' or</v>
      </c>
    </row>
    <row r="260" spans="1:10" x14ac:dyDescent="0.25">
      <c r="A260" s="2" t="s">
        <v>5292</v>
      </c>
      <c r="B260" t="s">
        <v>5627</v>
      </c>
      <c r="H260">
        <v>107623</v>
      </c>
      <c r="I260" t="s">
        <v>5672</v>
      </c>
      <c r="J260" t="str">
        <f t="shared" si="4"/>
        <v>ia.assorted_string like '%107623-00198-02-2025%' or</v>
      </c>
    </row>
    <row r="261" spans="1:10" x14ac:dyDescent="0.25">
      <c r="A261" s="2" t="s">
        <v>5293</v>
      </c>
      <c r="B261" t="s">
        <v>5627</v>
      </c>
      <c r="H261">
        <v>107623</v>
      </c>
      <c r="I261" t="s">
        <v>5820</v>
      </c>
      <c r="J261" t="str">
        <f t="shared" si="4"/>
        <v>ia.assorted_string like '%107623-00199-02-2025%' or</v>
      </c>
    </row>
    <row r="262" spans="1:10" x14ac:dyDescent="0.25">
      <c r="A262" s="2" t="s">
        <v>5294</v>
      </c>
      <c r="B262" t="s">
        <v>5625</v>
      </c>
      <c r="H262">
        <v>108044</v>
      </c>
      <c r="I262" t="s">
        <v>5821</v>
      </c>
      <c r="J262" t="str">
        <f t="shared" si="4"/>
        <v>ia.assorted_string like '%108044-00243-03-2025%' or</v>
      </c>
    </row>
    <row r="263" spans="1:10" x14ac:dyDescent="0.25">
      <c r="A263" s="2" t="s">
        <v>5295</v>
      </c>
      <c r="B263" t="s">
        <v>5627</v>
      </c>
      <c r="H263">
        <v>107623</v>
      </c>
      <c r="I263" t="s">
        <v>5762</v>
      </c>
      <c r="J263" t="str">
        <f t="shared" si="4"/>
        <v>ia.assorted_string like '%107623-00201-02-2025%' or</v>
      </c>
    </row>
    <row r="264" spans="1:10" x14ac:dyDescent="0.25">
      <c r="A264" s="2" t="s">
        <v>5296</v>
      </c>
      <c r="B264" t="s">
        <v>5627</v>
      </c>
      <c r="H264">
        <v>107623</v>
      </c>
      <c r="I264" t="s">
        <v>5822</v>
      </c>
      <c r="J264" t="str">
        <f t="shared" si="4"/>
        <v>ia.assorted_string like '%107623-00202-02-2025%' or</v>
      </c>
    </row>
    <row r="265" spans="1:10" x14ac:dyDescent="0.25">
      <c r="A265" s="2" t="s">
        <v>5297</v>
      </c>
      <c r="B265" t="s">
        <v>5627</v>
      </c>
      <c r="H265">
        <v>107623</v>
      </c>
      <c r="I265" t="s">
        <v>5823</v>
      </c>
      <c r="J265" t="str">
        <f t="shared" si="4"/>
        <v>ia.assorted_string like '%107623-00203-02-2025%' or</v>
      </c>
    </row>
    <row r="266" spans="1:10" x14ac:dyDescent="0.25">
      <c r="A266" s="2" t="s">
        <v>5298</v>
      </c>
      <c r="B266" t="s">
        <v>5625</v>
      </c>
      <c r="H266">
        <v>108044</v>
      </c>
      <c r="I266" t="s">
        <v>5675</v>
      </c>
      <c r="J266" t="str">
        <f t="shared" si="4"/>
        <v>ia.assorted_string like '%108044-00242-03-2025%' or</v>
      </c>
    </row>
    <row r="267" spans="1:10" x14ac:dyDescent="0.25">
      <c r="A267" s="2" t="s">
        <v>5299</v>
      </c>
      <c r="B267" t="s">
        <v>5627</v>
      </c>
      <c r="H267">
        <v>107623</v>
      </c>
      <c r="I267" t="s">
        <v>5824</v>
      </c>
      <c r="J267" t="str">
        <f t="shared" si="4"/>
        <v>ia.assorted_string like '%107623-00204-02-2025%' or</v>
      </c>
    </row>
    <row r="268" spans="1:10" x14ac:dyDescent="0.25">
      <c r="A268" s="2" t="s">
        <v>5300</v>
      </c>
      <c r="B268" t="s">
        <v>5627</v>
      </c>
      <c r="H268">
        <v>107623</v>
      </c>
      <c r="I268" t="s">
        <v>5767</v>
      </c>
      <c r="J268" t="str">
        <f t="shared" si="4"/>
        <v>ia.assorted_string like '%107623-00205-02-2025%' or</v>
      </c>
    </row>
    <row r="269" spans="1:10" x14ac:dyDescent="0.25">
      <c r="A269" s="2" t="s">
        <v>5301</v>
      </c>
      <c r="B269" t="s">
        <v>5627</v>
      </c>
      <c r="H269">
        <v>107623</v>
      </c>
      <c r="I269" t="s">
        <v>5825</v>
      </c>
      <c r="J269" t="str">
        <f t="shared" si="4"/>
        <v>ia.assorted_string like '%107623-00206-02-2025%' or</v>
      </c>
    </row>
    <row r="270" spans="1:10" x14ac:dyDescent="0.25">
      <c r="A270" s="9" t="s">
        <v>5621</v>
      </c>
      <c r="B270" s="10">
        <v>45717</v>
      </c>
      <c r="H270">
        <v>108422</v>
      </c>
      <c r="I270" t="s">
        <v>5642</v>
      </c>
      <c r="J270" t="str">
        <f t="shared" si="4"/>
        <v>ia.assorted_string like '%108422-0000345717%' or</v>
      </c>
    </row>
    <row r="271" spans="1:10" x14ac:dyDescent="0.25">
      <c r="A271" s="2" t="s">
        <v>5302</v>
      </c>
      <c r="B271" t="s">
        <v>5627</v>
      </c>
      <c r="H271">
        <v>107623</v>
      </c>
      <c r="I271" t="s">
        <v>5826</v>
      </c>
      <c r="J271" t="str">
        <f t="shared" si="4"/>
        <v>ia.assorted_string like '%107623-00207-02-2025%' or</v>
      </c>
    </row>
    <row r="272" spans="1:10" x14ac:dyDescent="0.25">
      <c r="A272" s="2" t="s">
        <v>5303</v>
      </c>
      <c r="B272" t="s">
        <v>5625</v>
      </c>
      <c r="H272">
        <v>108044</v>
      </c>
      <c r="I272" t="s">
        <v>5827</v>
      </c>
      <c r="J272" t="str">
        <f t="shared" si="4"/>
        <v>ia.assorted_string like '%108044-00241-03-2025%' or</v>
      </c>
    </row>
    <row r="273" spans="1:10" x14ac:dyDescent="0.25">
      <c r="A273" s="2" t="s">
        <v>5304</v>
      </c>
      <c r="B273" t="s">
        <v>5627</v>
      </c>
      <c r="H273">
        <v>107623</v>
      </c>
      <c r="I273" t="s">
        <v>5828</v>
      </c>
      <c r="J273" t="str">
        <f t="shared" si="4"/>
        <v>ia.assorted_string like '%107623-00208-02-2025%' or</v>
      </c>
    </row>
    <row r="274" spans="1:10" x14ac:dyDescent="0.25">
      <c r="A274" s="2" t="s">
        <v>5305</v>
      </c>
      <c r="B274" t="s">
        <v>5625</v>
      </c>
      <c r="H274">
        <v>108044</v>
      </c>
      <c r="I274" t="s">
        <v>5829</v>
      </c>
      <c r="J274" t="str">
        <f t="shared" si="4"/>
        <v>ia.assorted_string like '%108044-00240-03-2025%' or</v>
      </c>
    </row>
    <row r="275" spans="1:10" x14ac:dyDescent="0.25">
      <c r="A275" s="2" t="s">
        <v>5306</v>
      </c>
      <c r="B275" t="s">
        <v>5627</v>
      </c>
      <c r="H275">
        <v>107623</v>
      </c>
      <c r="I275" t="s">
        <v>5770</v>
      </c>
      <c r="J275" t="str">
        <f t="shared" si="4"/>
        <v>ia.assorted_string like '%107623-00209-02-2025%' or</v>
      </c>
    </row>
    <row r="276" spans="1:10" x14ac:dyDescent="0.25">
      <c r="A276" s="2" t="s">
        <v>5042</v>
      </c>
      <c r="B276" t="s">
        <v>5625</v>
      </c>
      <c r="H276">
        <v>108044</v>
      </c>
      <c r="I276" t="s">
        <v>5830</v>
      </c>
      <c r="J276" t="str">
        <f t="shared" si="4"/>
        <v>ia.assorted_string like '%108044-00238-03-2025%' or</v>
      </c>
    </row>
    <row r="277" spans="1:10" x14ac:dyDescent="0.25">
      <c r="A277" s="2" t="s">
        <v>5307</v>
      </c>
      <c r="B277" t="s">
        <v>5625</v>
      </c>
      <c r="H277">
        <v>108044</v>
      </c>
      <c r="I277" t="s">
        <v>5831</v>
      </c>
      <c r="J277" t="str">
        <f t="shared" si="4"/>
        <v>ia.assorted_string like '%108044-00237-03-2025%' or</v>
      </c>
    </row>
    <row r="278" spans="1:10" x14ac:dyDescent="0.25">
      <c r="A278" s="2" t="s">
        <v>5308</v>
      </c>
      <c r="B278" t="s">
        <v>5627</v>
      </c>
      <c r="H278">
        <v>107623</v>
      </c>
      <c r="I278" t="s">
        <v>5832</v>
      </c>
      <c r="J278" t="str">
        <f t="shared" si="4"/>
        <v>ia.assorted_string like '%107623-00210-02-2025%' or</v>
      </c>
    </row>
    <row r="279" spans="1:10" x14ac:dyDescent="0.25">
      <c r="A279" s="2" t="s">
        <v>5309</v>
      </c>
      <c r="B279" t="s">
        <v>5625</v>
      </c>
      <c r="H279">
        <v>108044</v>
      </c>
      <c r="I279" t="s">
        <v>5833</v>
      </c>
      <c r="J279" t="str">
        <f t="shared" si="4"/>
        <v>ia.assorted_string like '%108044-00236-03-2025%' or</v>
      </c>
    </row>
    <row r="280" spans="1:10" x14ac:dyDescent="0.25">
      <c r="A280" s="2" t="s">
        <v>5310</v>
      </c>
      <c r="B280" t="s">
        <v>5625</v>
      </c>
      <c r="H280">
        <v>108044</v>
      </c>
      <c r="I280" t="s">
        <v>5674</v>
      </c>
      <c r="J280" t="str">
        <f t="shared" si="4"/>
        <v>ia.assorted_string like '%108044-00235-03-2025%' or</v>
      </c>
    </row>
    <row r="281" spans="1:10" x14ac:dyDescent="0.25">
      <c r="A281" s="2" t="s">
        <v>5311</v>
      </c>
      <c r="B281" t="s">
        <v>5627</v>
      </c>
      <c r="H281">
        <v>107623</v>
      </c>
      <c r="I281" t="s">
        <v>5834</v>
      </c>
      <c r="J281" t="str">
        <f t="shared" si="4"/>
        <v>ia.assorted_string like '%107623-00211-02-2025%' or</v>
      </c>
    </row>
    <row r="282" spans="1:10" x14ac:dyDescent="0.25">
      <c r="A282" s="2" t="s">
        <v>5312</v>
      </c>
      <c r="B282" t="s">
        <v>5627</v>
      </c>
      <c r="H282">
        <v>107623</v>
      </c>
      <c r="I282" t="s">
        <v>5835</v>
      </c>
      <c r="J282" t="str">
        <f t="shared" si="4"/>
        <v>ia.assorted_string like '%107623-00212-02-2025%' or</v>
      </c>
    </row>
    <row r="283" spans="1:10" x14ac:dyDescent="0.25">
      <c r="A283" s="2" t="s">
        <v>5313</v>
      </c>
      <c r="B283" t="s">
        <v>5627</v>
      </c>
      <c r="H283">
        <v>107623</v>
      </c>
      <c r="I283" t="s">
        <v>5773</v>
      </c>
      <c r="J283" t="str">
        <f t="shared" si="4"/>
        <v>ia.assorted_string like '%107623-00213-02-2025%' or</v>
      </c>
    </row>
    <row r="284" spans="1:10" x14ac:dyDescent="0.25">
      <c r="A284" s="2" t="s">
        <v>5314</v>
      </c>
      <c r="B284" t="s">
        <v>5627</v>
      </c>
      <c r="H284">
        <v>107623</v>
      </c>
      <c r="I284" t="s">
        <v>5633</v>
      </c>
      <c r="J284" t="str">
        <f t="shared" si="4"/>
        <v>ia.assorted_string like '%107623-00214-02-2025%' or</v>
      </c>
    </row>
    <row r="285" spans="1:10" x14ac:dyDescent="0.25">
      <c r="A285" s="2" t="s">
        <v>5315</v>
      </c>
      <c r="B285" t="s">
        <v>5627</v>
      </c>
      <c r="H285">
        <v>107623</v>
      </c>
      <c r="I285" t="s">
        <v>5836</v>
      </c>
      <c r="J285" t="str">
        <f t="shared" si="4"/>
        <v>ia.assorted_string like '%107623-00215-02-2025%' or</v>
      </c>
    </row>
    <row r="286" spans="1:10" x14ac:dyDescent="0.25">
      <c r="A286" s="2" t="s">
        <v>5316</v>
      </c>
      <c r="B286" t="s">
        <v>5627</v>
      </c>
      <c r="H286">
        <v>107623</v>
      </c>
      <c r="I286" t="s">
        <v>5837</v>
      </c>
      <c r="J286" t="str">
        <f t="shared" si="4"/>
        <v>ia.assorted_string like '%107623-00216-02-2025%' or</v>
      </c>
    </row>
    <row r="287" spans="1:10" x14ac:dyDescent="0.25">
      <c r="A287" s="2" t="s">
        <v>5317</v>
      </c>
      <c r="B287" t="s">
        <v>5627</v>
      </c>
      <c r="H287">
        <v>107623</v>
      </c>
      <c r="I287" t="s">
        <v>5776</v>
      </c>
      <c r="J287" t="str">
        <f t="shared" si="4"/>
        <v>ia.assorted_string like '%107623-00217-02-2025%' or</v>
      </c>
    </row>
    <row r="288" spans="1:10" x14ac:dyDescent="0.25">
      <c r="A288" s="2" t="s">
        <v>5318</v>
      </c>
      <c r="B288" t="s">
        <v>5625</v>
      </c>
      <c r="H288">
        <v>108044</v>
      </c>
      <c r="I288" t="s">
        <v>5838</v>
      </c>
      <c r="J288" t="str">
        <f t="shared" si="4"/>
        <v>ia.assorted_string like '%108044-00234-03-2025%' or</v>
      </c>
    </row>
    <row r="289" spans="1:10" x14ac:dyDescent="0.25">
      <c r="A289" s="2" t="s">
        <v>5319</v>
      </c>
      <c r="B289" t="s">
        <v>5627</v>
      </c>
      <c r="H289">
        <v>107623</v>
      </c>
      <c r="I289" t="s">
        <v>5839</v>
      </c>
      <c r="J289" t="str">
        <f t="shared" si="4"/>
        <v>ia.assorted_string like '%107623-00218-02-2025%' or</v>
      </c>
    </row>
    <row r="290" spans="1:10" x14ac:dyDescent="0.25">
      <c r="A290" s="2" t="s">
        <v>5320</v>
      </c>
      <c r="B290" t="s">
        <v>5625</v>
      </c>
      <c r="H290">
        <v>108044</v>
      </c>
      <c r="I290" t="s">
        <v>5840</v>
      </c>
      <c r="J290" t="str">
        <f t="shared" si="4"/>
        <v>ia.assorted_string like '%108044-00233-03-2025%' or</v>
      </c>
    </row>
    <row r="291" spans="1:10" x14ac:dyDescent="0.25">
      <c r="A291" s="2" t="s">
        <v>5321</v>
      </c>
      <c r="B291" t="s">
        <v>5627</v>
      </c>
      <c r="H291">
        <v>107623</v>
      </c>
      <c r="I291" t="s">
        <v>5673</v>
      </c>
      <c r="J291" t="str">
        <f t="shared" si="4"/>
        <v>ia.assorted_string like '%107623-00219-02-2025%' or</v>
      </c>
    </row>
    <row r="292" spans="1:10" x14ac:dyDescent="0.25">
      <c r="A292" s="2" t="s">
        <v>5322</v>
      </c>
      <c r="B292" t="s">
        <v>5627</v>
      </c>
      <c r="H292">
        <v>107623</v>
      </c>
      <c r="I292" t="s">
        <v>5779</v>
      </c>
      <c r="J292" t="str">
        <f t="shared" si="4"/>
        <v>ia.assorted_string like '%107623-00221-02-2025%' or</v>
      </c>
    </row>
    <row r="293" spans="1:10" x14ac:dyDescent="0.25">
      <c r="A293" s="2" t="s">
        <v>5323</v>
      </c>
      <c r="B293" t="s">
        <v>5627</v>
      </c>
      <c r="H293">
        <v>107623</v>
      </c>
      <c r="I293" t="s">
        <v>5841</v>
      </c>
      <c r="J293" t="str">
        <f t="shared" si="4"/>
        <v>ia.assorted_string like '%107623-00222-02-2025%' or</v>
      </c>
    </row>
    <row r="294" spans="1:10" x14ac:dyDescent="0.25">
      <c r="A294" s="2" t="s">
        <v>5324</v>
      </c>
      <c r="B294" t="s">
        <v>5625</v>
      </c>
      <c r="H294">
        <v>108044</v>
      </c>
      <c r="I294" t="s">
        <v>5842</v>
      </c>
      <c r="J294" t="str">
        <f t="shared" si="4"/>
        <v>ia.assorted_string like '%108044-00232-03-2025%' or</v>
      </c>
    </row>
    <row r="295" spans="1:10" x14ac:dyDescent="0.25">
      <c r="A295" s="2" t="s">
        <v>5325</v>
      </c>
      <c r="B295" t="s">
        <v>5625</v>
      </c>
      <c r="H295">
        <v>108044</v>
      </c>
      <c r="I295" t="s">
        <v>5843</v>
      </c>
      <c r="J295" t="str">
        <f t="shared" si="4"/>
        <v>ia.assorted_string like '%108044-00231-03-2025%' or</v>
      </c>
    </row>
    <row r="296" spans="1:10" x14ac:dyDescent="0.25">
      <c r="A296" s="2" t="s">
        <v>5326</v>
      </c>
      <c r="B296" t="s">
        <v>5627</v>
      </c>
      <c r="H296">
        <v>107623</v>
      </c>
      <c r="I296" t="s">
        <v>5782</v>
      </c>
      <c r="J296" t="str">
        <f t="shared" si="4"/>
        <v>ia.assorted_string like '%107623-00228-02-2025%' or</v>
      </c>
    </row>
    <row r="297" spans="1:10" x14ac:dyDescent="0.25">
      <c r="A297" s="2" t="s">
        <v>5327</v>
      </c>
      <c r="B297" t="s">
        <v>5625</v>
      </c>
      <c r="H297">
        <v>108044</v>
      </c>
      <c r="I297" t="s">
        <v>5844</v>
      </c>
      <c r="J297" t="str">
        <f t="shared" si="4"/>
        <v>ia.assorted_string like '%108044-00230-03-2025%' or</v>
      </c>
    </row>
    <row r="298" spans="1:10" x14ac:dyDescent="0.25">
      <c r="A298" s="2" t="s">
        <v>5328</v>
      </c>
      <c r="B298" t="s">
        <v>5627</v>
      </c>
      <c r="H298">
        <v>107623</v>
      </c>
      <c r="I298" t="s">
        <v>5843</v>
      </c>
      <c r="J298" t="str">
        <f t="shared" si="4"/>
        <v>ia.assorted_string like '%107623-00231-02-2025%' or</v>
      </c>
    </row>
    <row r="299" spans="1:10" x14ac:dyDescent="0.25">
      <c r="A299" s="2" t="s">
        <v>5329</v>
      </c>
      <c r="B299" t="s">
        <v>5627</v>
      </c>
      <c r="H299">
        <v>107623</v>
      </c>
      <c r="I299" t="s">
        <v>5840</v>
      </c>
      <c r="J299" t="str">
        <f t="shared" si="4"/>
        <v>ia.assorted_string like '%107623-00233-02-2025%' or</v>
      </c>
    </row>
    <row r="300" spans="1:10" x14ac:dyDescent="0.25">
      <c r="A300" s="2" t="s">
        <v>5330</v>
      </c>
      <c r="B300" t="s">
        <v>5627</v>
      </c>
      <c r="H300">
        <v>107623</v>
      </c>
      <c r="I300" t="s">
        <v>5674</v>
      </c>
      <c r="J300" t="str">
        <f t="shared" si="4"/>
        <v>ia.assorted_string like '%107623-00235-02-2025%' or</v>
      </c>
    </row>
    <row r="301" spans="1:10" x14ac:dyDescent="0.25">
      <c r="A301" s="2" t="s">
        <v>5331</v>
      </c>
      <c r="B301" t="s">
        <v>5627</v>
      </c>
      <c r="H301">
        <v>107623</v>
      </c>
      <c r="I301" t="s">
        <v>5831</v>
      </c>
      <c r="J301" t="str">
        <f t="shared" si="4"/>
        <v>ia.assorted_string like '%107623-00237-02-2025%' or</v>
      </c>
    </row>
    <row r="302" spans="1:10" x14ac:dyDescent="0.25">
      <c r="A302" s="2" t="s">
        <v>5332</v>
      </c>
      <c r="B302" t="s">
        <v>5627</v>
      </c>
      <c r="H302">
        <v>107623</v>
      </c>
      <c r="I302" t="s">
        <v>5845</v>
      </c>
      <c r="J302" t="str">
        <f t="shared" si="4"/>
        <v>ia.assorted_string like '%107623-00239-02-2025%' or</v>
      </c>
    </row>
    <row r="303" spans="1:10" x14ac:dyDescent="0.25">
      <c r="A303" s="2" t="s">
        <v>5333</v>
      </c>
      <c r="B303" t="s">
        <v>5627</v>
      </c>
      <c r="H303">
        <v>107623</v>
      </c>
      <c r="I303" t="s">
        <v>5829</v>
      </c>
      <c r="J303" t="str">
        <f t="shared" si="4"/>
        <v>ia.assorted_string like '%107623-00240-02-2025%' or</v>
      </c>
    </row>
    <row r="304" spans="1:10" x14ac:dyDescent="0.25">
      <c r="A304" s="2" t="s">
        <v>5334</v>
      </c>
      <c r="B304" t="s">
        <v>5627</v>
      </c>
      <c r="H304">
        <v>107623</v>
      </c>
      <c r="I304" t="s">
        <v>5675</v>
      </c>
      <c r="J304" t="str">
        <f t="shared" si="4"/>
        <v>ia.assorted_string like '%107623-00242-02-2025%' or</v>
      </c>
    </row>
    <row r="305" spans="1:10" x14ac:dyDescent="0.25">
      <c r="A305" s="2" t="s">
        <v>5335</v>
      </c>
      <c r="B305" t="s">
        <v>5627</v>
      </c>
      <c r="H305">
        <v>107623</v>
      </c>
      <c r="I305" t="s">
        <v>5821</v>
      </c>
      <c r="J305" t="str">
        <f t="shared" si="4"/>
        <v>ia.assorted_string like '%107623-00243-02-2025%' or</v>
      </c>
    </row>
    <row r="306" spans="1:10" x14ac:dyDescent="0.25">
      <c r="A306" s="2" t="s">
        <v>5336</v>
      </c>
      <c r="B306" t="s">
        <v>5627</v>
      </c>
      <c r="H306">
        <v>107623</v>
      </c>
      <c r="I306" t="s">
        <v>5819</v>
      </c>
      <c r="J306" t="str">
        <f t="shared" si="4"/>
        <v>ia.assorted_string like '%107623-00244-02-2025%' or</v>
      </c>
    </row>
    <row r="307" spans="1:10" x14ac:dyDescent="0.25">
      <c r="A307" s="2" t="s">
        <v>5337</v>
      </c>
      <c r="B307" t="s">
        <v>5627</v>
      </c>
      <c r="H307">
        <v>107623</v>
      </c>
      <c r="I307" t="s">
        <v>5816</v>
      </c>
      <c r="J307" t="str">
        <f t="shared" si="4"/>
        <v>ia.assorted_string like '%107623-00245-02-2025%' or</v>
      </c>
    </row>
    <row r="308" spans="1:10" x14ac:dyDescent="0.25">
      <c r="A308" s="2" t="s">
        <v>5338</v>
      </c>
      <c r="B308" t="s">
        <v>5627</v>
      </c>
      <c r="H308">
        <v>107623</v>
      </c>
      <c r="I308" t="s">
        <v>5793</v>
      </c>
      <c r="J308" t="str">
        <f t="shared" si="4"/>
        <v>ia.assorted_string like '%107623-00246-02-2025%' or</v>
      </c>
    </row>
    <row r="309" spans="1:10" x14ac:dyDescent="0.25">
      <c r="A309" s="2" t="s">
        <v>5339</v>
      </c>
      <c r="B309" t="s">
        <v>5627</v>
      </c>
      <c r="H309">
        <v>107623</v>
      </c>
      <c r="I309" t="s">
        <v>5815</v>
      </c>
      <c r="J309" t="str">
        <f t="shared" si="4"/>
        <v>ia.assorted_string like '%107623-00247-02-2025%' or</v>
      </c>
    </row>
    <row r="310" spans="1:10" x14ac:dyDescent="0.25">
      <c r="A310" s="2" t="s">
        <v>5340</v>
      </c>
      <c r="B310" t="s">
        <v>5627</v>
      </c>
      <c r="H310">
        <v>107623</v>
      </c>
      <c r="I310" t="s">
        <v>5676</v>
      </c>
      <c r="J310" t="str">
        <f t="shared" si="4"/>
        <v>ia.assorted_string like '%107623-00248-02-2025%' or</v>
      </c>
    </row>
    <row r="311" spans="1:10" x14ac:dyDescent="0.25">
      <c r="A311" s="2" t="s">
        <v>5341</v>
      </c>
      <c r="B311" t="s">
        <v>5627</v>
      </c>
      <c r="H311">
        <v>107623</v>
      </c>
      <c r="I311" t="s">
        <v>5795</v>
      </c>
      <c r="J311" t="str">
        <f t="shared" si="4"/>
        <v>ia.assorted_string like '%107623-00250-02-2025%' or</v>
      </c>
    </row>
    <row r="312" spans="1:10" x14ac:dyDescent="0.25">
      <c r="A312" s="2" t="s">
        <v>5342</v>
      </c>
      <c r="B312" t="s">
        <v>5627</v>
      </c>
      <c r="H312">
        <v>107623</v>
      </c>
      <c r="I312" t="s">
        <v>5677</v>
      </c>
      <c r="J312" t="str">
        <f t="shared" si="4"/>
        <v>ia.assorted_string like '%107623-00251-02-2025%' or</v>
      </c>
    </row>
    <row r="313" spans="1:10" x14ac:dyDescent="0.25">
      <c r="A313" s="2" t="s">
        <v>5343</v>
      </c>
      <c r="B313" t="s">
        <v>5625</v>
      </c>
      <c r="H313">
        <v>108044</v>
      </c>
      <c r="I313" t="s">
        <v>5846</v>
      </c>
      <c r="J313" t="str">
        <f t="shared" si="4"/>
        <v>ia.assorted_string like '%108044-00224-03-2025%' or</v>
      </c>
    </row>
    <row r="314" spans="1:10" x14ac:dyDescent="0.25">
      <c r="A314" s="2" t="s">
        <v>5344</v>
      </c>
      <c r="B314" t="s">
        <v>5625</v>
      </c>
      <c r="H314">
        <v>108044</v>
      </c>
      <c r="I314" t="s">
        <v>5841</v>
      </c>
      <c r="J314" t="str">
        <f t="shared" si="4"/>
        <v>ia.assorted_string like '%108044-00222-03-2025%' or</v>
      </c>
    </row>
    <row r="315" spans="1:10" x14ac:dyDescent="0.25">
      <c r="A315" s="2" t="s">
        <v>5345</v>
      </c>
      <c r="B315" t="s">
        <v>5627</v>
      </c>
      <c r="H315">
        <v>107623</v>
      </c>
      <c r="I315" t="s">
        <v>5678</v>
      </c>
      <c r="J315" t="str">
        <f t="shared" si="4"/>
        <v>ia.assorted_string like '%107623-00252-02-2025%' or</v>
      </c>
    </row>
    <row r="316" spans="1:10" x14ac:dyDescent="0.25">
      <c r="A316" s="2" t="s">
        <v>5346</v>
      </c>
      <c r="B316" t="s">
        <v>5625</v>
      </c>
      <c r="H316">
        <v>108044</v>
      </c>
      <c r="I316" t="s">
        <v>5673</v>
      </c>
      <c r="J316" t="str">
        <f t="shared" si="4"/>
        <v>ia.assorted_string like '%108044-00219-03-2025%' or</v>
      </c>
    </row>
    <row r="317" spans="1:10" x14ac:dyDescent="0.25">
      <c r="A317" s="2" t="s">
        <v>5347</v>
      </c>
      <c r="B317" t="s">
        <v>5627</v>
      </c>
      <c r="H317">
        <v>107623</v>
      </c>
      <c r="I317" t="s">
        <v>5806</v>
      </c>
      <c r="J317" t="str">
        <f t="shared" si="4"/>
        <v>ia.assorted_string like '%107623-00253-02-2025%' or</v>
      </c>
    </row>
    <row r="318" spans="1:10" x14ac:dyDescent="0.25">
      <c r="A318" s="2" t="s">
        <v>5348</v>
      </c>
      <c r="B318" t="s">
        <v>5625</v>
      </c>
      <c r="H318">
        <v>108044</v>
      </c>
      <c r="I318" t="s">
        <v>5835</v>
      </c>
      <c r="J318" t="str">
        <f t="shared" si="4"/>
        <v>ia.assorted_string like '%108044-00212-03-2025%' or</v>
      </c>
    </row>
    <row r="319" spans="1:10" x14ac:dyDescent="0.25">
      <c r="A319" s="2" t="s">
        <v>5349</v>
      </c>
      <c r="B319" t="s">
        <v>5627</v>
      </c>
      <c r="H319">
        <v>107623</v>
      </c>
      <c r="I319" t="s">
        <v>5803</v>
      </c>
      <c r="J319" t="str">
        <f t="shared" si="4"/>
        <v>ia.assorted_string like '%107623-00254-02-2025%' or</v>
      </c>
    </row>
    <row r="320" spans="1:10" x14ac:dyDescent="0.25">
      <c r="A320" s="2" t="s">
        <v>5350</v>
      </c>
      <c r="B320" t="s">
        <v>5627</v>
      </c>
      <c r="H320">
        <v>107623</v>
      </c>
      <c r="I320" t="s">
        <v>5847</v>
      </c>
      <c r="J320" t="str">
        <f t="shared" si="4"/>
        <v>ia.assorted_string like '%107623-00255-02-2025%' or</v>
      </c>
    </row>
    <row r="321" spans="1:10" x14ac:dyDescent="0.25">
      <c r="A321" s="2" t="s">
        <v>5351</v>
      </c>
      <c r="B321" t="s">
        <v>5625</v>
      </c>
      <c r="H321">
        <v>108044</v>
      </c>
      <c r="I321" t="s">
        <v>5826</v>
      </c>
      <c r="J321" t="str">
        <f t="shared" si="4"/>
        <v>ia.assorted_string like '%108044-00207-03-2025%' or</v>
      </c>
    </row>
    <row r="322" spans="1:10" x14ac:dyDescent="0.25">
      <c r="A322" s="2" t="s">
        <v>5352</v>
      </c>
      <c r="B322" t="s">
        <v>5627</v>
      </c>
      <c r="H322">
        <v>107623</v>
      </c>
      <c r="I322" t="s">
        <v>5848</v>
      </c>
      <c r="J322" t="str">
        <f t="shared" ref="J322:J385" si="5">"ia.assorted_string like '%"&amp;H322&amp;"-"&amp;I322&amp;B322&amp;"%' or"</f>
        <v>ia.assorted_string like '%107623-00256-02-2025%' or</v>
      </c>
    </row>
    <row r="323" spans="1:10" x14ac:dyDescent="0.25">
      <c r="A323" s="2" t="s">
        <v>5353</v>
      </c>
      <c r="B323" t="s">
        <v>5627</v>
      </c>
      <c r="H323">
        <v>107623</v>
      </c>
      <c r="I323" t="s">
        <v>5849</v>
      </c>
      <c r="J323" t="str">
        <f t="shared" si="5"/>
        <v>ia.assorted_string like '%107623-00257-02-2025%' or</v>
      </c>
    </row>
    <row r="324" spans="1:10" x14ac:dyDescent="0.25">
      <c r="A324" s="2" t="s">
        <v>5354</v>
      </c>
      <c r="B324" t="s">
        <v>5627</v>
      </c>
      <c r="H324">
        <v>107623</v>
      </c>
      <c r="I324" t="s">
        <v>5850</v>
      </c>
      <c r="J324" t="str">
        <f t="shared" si="5"/>
        <v>ia.assorted_string like '%107623-00258-02-2025%' or</v>
      </c>
    </row>
    <row r="325" spans="1:10" x14ac:dyDescent="0.25">
      <c r="A325" s="2" t="s">
        <v>5355</v>
      </c>
      <c r="B325" t="s">
        <v>5627</v>
      </c>
      <c r="H325">
        <v>107623</v>
      </c>
      <c r="I325" t="s">
        <v>5814</v>
      </c>
      <c r="J325" t="str">
        <f t="shared" si="5"/>
        <v>ia.assorted_string like '%107623-00249-02-2025%' or</v>
      </c>
    </row>
    <row r="326" spans="1:10" x14ac:dyDescent="0.25">
      <c r="A326" s="2" t="s">
        <v>5356</v>
      </c>
      <c r="B326" t="s">
        <v>5625</v>
      </c>
      <c r="H326">
        <v>108044</v>
      </c>
      <c r="I326" t="s">
        <v>5823</v>
      </c>
      <c r="J326" t="str">
        <f t="shared" si="5"/>
        <v>ia.assorted_string like '%108044-00203-03-2025%' or</v>
      </c>
    </row>
    <row r="327" spans="1:10" x14ac:dyDescent="0.25">
      <c r="A327" s="2" t="s">
        <v>5357</v>
      </c>
      <c r="B327" t="s">
        <v>5627</v>
      </c>
      <c r="H327">
        <v>107623</v>
      </c>
      <c r="I327" t="s">
        <v>5827</v>
      </c>
      <c r="J327" t="str">
        <f t="shared" si="5"/>
        <v>ia.assorted_string like '%107623-00241-02-2025%' or</v>
      </c>
    </row>
    <row r="328" spans="1:10" x14ac:dyDescent="0.25">
      <c r="A328" s="2" t="s">
        <v>5358</v>
      </c>
      <c r="B328" t="s">
        <v>5627</v>
      </c>
      <c r="H328">
        <v>107623</v>
      </c>
      <c r="I328" t="s">
        <v>5830</v>
      </c>
      <c r="J328" t="str">
        <f t="shared" si="5"/>
        <v>ia.assorted_string like '%107623-00238-02-2025%' or</v>
      </c>
    </row>
    <row r="329" spans="1:10" x14ac:dyDescent="0.25">
      <c r="A329" s="2" t="s">
        <v>5359</v>
      </c>
      <c r="B329" t="s">
        <v>5627</v>
      </c>
      <c r="H329">
        <v>107623</v>
      </c>
      <c r="I329" t="s">
        <v>5833</v>
      </c>
      <c r="J329" t="str">
        <f t="shared" si="5"/>
        <v>ia.assorted_string like '%107623-00236-02-2025%' or</v>
      </c>
    </row>
    <row r="330" spans="1:10" x14ac:dyDescent="0.25">
      <c r="A330" s="2" t="s">
        <v>5360</v>
      </c>
      <c r="B330" t="s">
        <v>5627</v>
      </c>
      <c r="H330">
        <v>107623</v>
      </c>
      <c r="I330" t="s">
        <v>5838</v>
      </c>
      <c r="J330" t="str">
        <f t="shared" si="5"/>
        <v>ia.assorted_string like '%107623-00234-02-2025%' or</v>
      </c>
    </row>
    <row r="331" spans="1:10" x14ac:dyDescent="0.25">
      <c r="A331" s="2" t="s">
        <v>5361</v>
      </c>
      <c r="B331" t="s">
        <v>5627</v>
      </c>
      <c r="H331">
        <v>107623</v>
      </c>
      <c r="I331" t="s">
        <v>5842</v>
      </c>
      <c r="J331" t="str">
        <f t="shared" si="5"/>
        <v>ia.assorted_string like '%107623-00232-02-2025%' or</v>
      </c>
    </row>
    <row r="332" spans="1:10" x14ac:dyDescent="0.25">
      <c r="A332" s="2" t="s">
        <v>5043</v>
      </c>
      <c r="B332" t="s">
        <v>5625</v>
      </c>
      <c r="H332">
        <v>108044</v>
      </c>
      <c r="I332" t="s">
        <v>5822</v>
      </c>
      <c r="J332" t="str">
        <f t="shared" si="5"/>
        <v>ia.assorted_string like '%108044-00202-03-2025%' or</v>
      </c>
    </row>
    <row r="333" spans="1:10" x14ac:dyDescent="0.25">
      <c r="A333" s="2" t="s">
        <v>5362</v>
      </c>
      <c r="B333" t="s">
        <v>5625</v>
      </c>
      <c r="H333">
        <v>108044</v>
      </c>
      <c r="I333" t="s">
        <v>5820</v>
      </c>
      <c r="J333" t="str">
        <f t="shared" si="5"/>
        <v>ia.assorted_string like '%108044-00199-03-2025%' or</v>
      </c>
    </row>
    <row r="334" spans="1:10" x14ac:dyDescent="0.25">
      <c r="A334" s="2" t="s">
        <v>5363</v>
      </c>
      <c r="B334" t="s">
        <v>5627</v>
      </c>
      <c r="H334">
        <v>107623</v>
      </c>
      <c r="I334" t="s">
        <v>5844</v>
      </c>
      <c r="J334" t="str">
        <f t="shared" si="5"/>
        <v>ia.assorted_string like '%107623-00230-02-2025%' or</v>
      </c>
    </row>
    <row r="335" spans="1:10" x14ac:dyDescent="0.25">
      <c r="A335" s="2" t="s">
        <v>5044</v>
      </c>
      <c r="B335" t="s">
        <v>5625</v>
      </c>
      <c r="H335">
        <v>108044</v>
      </c>
      <c r="I335" t="s">
        <v>5672</v>
      </c>
      <c r="J335" t="str">
        <f t="shared" si="5"/>
        <v>ia.assorted_string like '%108044-00198-03-2025%' or</v>
      </c>
    </row>
    <row r="336" spans="1:10" x14ac:dyDescent="0.25">
      <c r="A336" s="2" t="s">
        <v>5045</v>
      </c>
      <c r="B336" t="s">
        <v>5625</v>
      </c>
      <c r="H336">
        <v>108044</v>
      </c>
      <c r="I336" t="s">
        <v>5637</v>
      </c>
      <c r="J336" t="str">
        <f t="shared" si="5"/>
        <v>ia.assorted_string like '%108044-00197-03-2025%' or</v>
      </c>
    </row>
    <row r="337" spans="1:10" x14ac:dyDescent="0.25">
      <c r="A337" s="2" t="s">
        <v>5364</v>
      </c>
      <c r="B337" t="s">
        <v>5627</v>
      </c>
      <c r="H337">
        <v>107623</v>
      </c>
      <c r="I337" t="s">
        <v>5851</v>
      </c>
      <c r="J337" t="str">
        <f t="shared" si="5"/>
        <v>ia.assorted_string like '%107623-00229-02-2025%' or</v>
      </c>
    </row>
    <row r="338" spans="1:10" x14ac:dyDescent="0.25">
      <c r="A338" s="2" t="s">
        <v>5365</v>
      </c>
      <c r="B338" t="s">
        <v>5625</v>
      </c>
      <c r="H338">
        <v>108044</v>
      </c>
      <c r="I338" t="s">
        <v>5818</v>
      </c>
      <c r="J338" t="str">
        <f t="shared" si="5"/>
        <v>ia.assorted_string like '%108044-00196-03-2025%' or</v>
      </c>
    </row>
    <row r="339" spans="1:10" x14ac:dyDescent="0.25">
      <c r="A339" s="2" t="s">
        <v>5366</v>
      </c>
      <c r="B339" t="s">
        <v>5627</v>
      </c>
      <c r="H339">
        <v>107623</v>
      </c>
      <c r="I339" t="s">
        <v>5781</v>
      </c>
      <c r="J339" t="str">
        <f t="shared" si="5"/>
        <v>ia.assorted_string like '%107623-00227-02-2025%' or</v>
      </c>
    </row>
    <row r="340" spans="1:10" x14ac:dyDescent="0.25">
      <c r="A340" s="2" t="s">
        <v>5367</v>
      </c>
      <c r="B340" t="s">
        <v>5625</v>
      </c>
      <c r="H340">
        <v>108044</v>
      </c>
      <c r="I340" t="s">
        <v>5813</v>
      </c>
      <c r="J340" t="str">
        <f t="shared" si="5"/>
        <v>ia.assorted_string like '%108044-00190-03-2025%' or</v>
      </c>
    </row>
    <row r="341" spans="1:10" x14ac:dyDescent="0.25">
      <c r="A341" s="2" t="s">
        <v>5368</v>
      </c>
      <c r="B341" t="s">
        <v>5627</v>
      </c>
      <c r="H341">
        <v>107623</v>
      </c>
      <c r="I341" t="s">
        <v>5852</v>
      </c>
      <c r="J341" t="str">
        <f t="shared" si="5"/>
        <v>ia.assorted_string like '%107623-00226-02-2025%' or</v>
      </c>
    </row>
    <row r="342" spans="1:10" x14ac:dyDescent="0.25">
      <c r="A342" s="2" t="s">
        <v>5369</v>
      </c>
      <c r="B342" t="s">
        <v>5627</v>
      </c>
      <c r="H342">
        <v>107623</v>
      </c>
      <c r="I342" t="s">
        <v>5853</v>
      </c>
      <c r="J342" t="str">
        <f t="shared" si="5"/>
        <v>ia.assorted_string like '%107623-00225-02-2025%' or</v>
      </c>
    </row>
    <row r="343" spans="1:10" x14ac:dyDescent="0.25">
      <c r="A343" s="2" t="s">
        <v>5039</v>
      </c>
      <c r="B343" t="s">
        <v>5625</v>
      </c>
      <c r="H343">
        <v>108044</v>
      </c>
      <c r="I343" t="s">
        <v>5671</v>
      </c>
      <c r="J343" t="str">
        <f t="shared" si="5"/>
        <v>ia.assorted_string like '%108044-00189-03-2025%' or</v>
      </c>
    </row>
    <row r="344" spans="1:10" x14ac:dyDescent="0.25">
      <c r="A344" s="2" t="s">
        <v>5046</v>
      </c>
      <c r="B344" t="s">
        <v>5625</v>
      </c>
      <c r="H344">
        <v>108044</v>
      </c>
      <c r="I344" t="s">
        <v>5812</v>
      </c>
      <c r="J344" t="str">
        <f t="shared" si="5"/>
        <v>ia.assorted_string like '%108044-00188-03-2025%' or</v>
      </c>
    </row>
    <row r="345" spans="1:10" x14ac:dyDescent="0.25">
      <c r="A345" s="2" t="s">
        <v>5370</v>
      </c>
      <c r="B345" t="s">
        <v>5625</v>
      </c>
      <c r="H345">
        <v>108044</v>
      </c>
      <c r="I345" t="s">
        <v>5669</v>
      </c>
      <c r="J345" t="str">
        <f t="shared" si="5"/>
        <v>ia.assorted_string like '%108044-00187-03-2025%' or</v>
      </c>
    </row>
    <row r="346" spans="1:10" x14ac:dyDescent="0.25">
      <c r="A346" s="2" t="s">
        <v>5371</v>
      </c>
      <c r="B346" t="s">
        <v>5627</v>
      </c>
      <c r="H346">
        <v>107623</v>
      </c>
      <c r="I346" t="s">
        <v>5846</v>
      </c>
      <c r="J346" t="str">
        <f t="shared" si="5"/>
        <v>ia.assorted_string like '%107623-00224-02-2025%' or</v>
      </c>
    </row>
    <row r="347" spans="1:10" x14ac:dyDescent="0.25">
      <c r="A347" s="2" t="s">
        <v>5372</v>
      </c>
      <c r="B347" t="s">
        <v>5625</v>
      </c>
      <c r="H347">
        <v>108044</v>
      </c>
      <c r="I347" t="s">
        <v>5811</v>
      </c>
      <c r="J347" t="str">
        <f t="shared" si="5"/>
        <v>ia.assorted_string like '%108044-00186-03-2025%' or</v>
      </c>
    </row>
    <row r="348" spans="1:10" x14ac:dyDescent="0.25">
      <c r="A348" s="2" t="s">
        <v>5373</v>
      </c>
      <c r="B348" t="s">
        <v>5627</v>
      </c>
      <c r="H348">
        <v>107623</v>
      </c>
      <c r="I348" t="s">
        <v>5780</v>
      </c>
      <c r="J348" t="str">
        <f t="shared" si="5"/>
        <v>ia.assorted_string like '%107623-00223-02-2025%' or</v>
      </c>
    </row>
    <row r="349" spans="1:10" x14ac:dyDescent="0.25">
      <c r="A349" s="2" t="s">
        <v>5374</v>
      </c>
      <c r="B349" t="s">
        <v>5627</v>
      </c>
      <c r="H349">
        <v>107623</v>
      </c>
      <c r="I349" t="s">
        <v>5778</v>
      </c>
      <c r="J349" t="str">
        <f t="shared" si="5"/>
        <v>ia.assorted_string like '%107623-00220-02-2025%' or</v>
      </c>
    </row>
    <row r="350" spans="1:10" x14ac:dyDescent="0.25">
      <c r="A350" s="2" t="s">
        <v>5375</v>
      </c>
      <c r="B350" t="s">
        <v>5625</v>
      </c>
      <c r="H350">
        <v>108044</v>
      </c>
      <c r="I350" t="s">
        <v>5805</v>
      </c>
      <c r="J350" t="str">
        <f t="shared" si="5"/>
        <v>ia.assorted_string like '%108044-00177-03-2025%' or</v>
      </c>
    </row>
    <row r="351" spans="1:10" x14ac:dyDescent="0.25">
      <c r="A351" s="2" t="s">
        <v>5376</v>
      </c>
      <c r="B351" t="s">
        <v>5627</v>
      </c>
      <c r="H351">
        <v>107623</v>
      </c>
      <c r="I351" t="s">
        <v>5638</v>
      </c>
      <c r="J351" t="str">
        <f t="shared" si="5"/>
        <v>ia.assorted_string like '%107623-00200-02-2025%' or</v>
      </c>
    </row>
    <row r="352" spans="1:10" x14ac:dyDescent="0.25">
      <c r="A352" s="2" t="s">
        <v>5377</v>
      </c>
      <c r="B352" t="s">
        <v>5627</v>
      </c>
      <c r="H352">
        <v>107623</v>
      </c>
      <c r="I352" t="s">
        <v>5749</v>
      </c>
      <c r="J352" t="str">
        <f t="shared" si="5"/>
        <v>ia.assorted_string like '%107623-00181-02-2025%' or</v>
      </c>
    </row>
    <row r="353" spans="1:10" x14ac:dyDescent="0.25">
      <c r="A353" s="2" t="s">
        <v>5378</v>
      </c>
      <c r="B353" t="s">
        <v>5627</v>
      </c>
      <c r="H353">
        <v>107623</v>
      </c>
      <c r="I353" t="s">
        <v>5747</v>
      </c>
      <c r="J353" t="str">
        <f t="shared" si="5"/>
        <v>ia.assorted_string like '%107623-00180-02-2025%' or</v>
      </c>
    </row>
    <row r="354" spans="1:10" x14ac:dyDescent="0.25">
      <c r="A354" s="2" t="s">
        <v>5379</v>
      </c>
      <c r="B354" t="s">
        <v>5627</v>
      </c>
      <c r="H354">
        <v>107623</v>
      </c>
      <c r="I354" t="s">
        <v>5684</v>
      </c>
      <c r="J354" t="str">
        <f t="shared" si="5"/>
        <v>ia.assorted_string like '%107623-00175-02-2025%' or</v>
      </c>
    </row>
    <row r="355" spans="1:10" x14ac:dyDescent="0.25">
      <c r="A355" s="2" t="s">
        <v>5380</v>
      </c>
      <c r="B355" t="s">
        <v>5627</v>
      </c>
      <c r="H355">
        <v>107623</v>
      </c>
      <c r="I355" t="s">
        <v>5854</v>
      </c>
      <c r="J355" t="str">
        <f t="shared" si="5"/>
        <v>ia.assorted_string like '%107623-00172-02-2025%' or</v>
      </c>
    </row>
    <row r="356" spans="1:10" x14ac:dyDescent="0.25">
      <c r="A356" s="2" t="s">
        <v>5381</v>
      </c>
      <c r="B356" t="s">
        <v>5627</v>
      </c>
      <c r="H356">
        <v>107623</v>
      </c>
      <c r="I356" t="s">
        <v>5855</v>
      </c>
      <c r="J356" t="str">
        <f t="shared" si="5"/>
        <v>ia.assorted_string like '%107623-00171-02-2025%' or</v>
      </c>
    </row>
    <row r="357" spans="1:10" x14ac:dyDescent="0.25">
      <c r="A357" s="2" t="s">
        <v>5382</v>
      </c>
      <c r="B357" t="s">
        <v>5627</v>
      </c>
      <c r="H357">
        <v>107623</v>
      </c>
      <c r="I357" t="s">
        <v>5856</v>
      </c>
      <c r="J357" t="str">
        <f t="shared" si="5"/>
        <v>ia.assorted_string like '%107623-00170-02-2025%' or</v>
      </c>
    </row>
    <row r="358" spans="1:10" x14ac:dyDescent="0.25">
      <c r="A358" s="2" t="s">
        <v>5383</v>
      </c>
      <c r="B358" t="s">
        <v>5627</v>
      </c>
      <c r="H358">
        <v>107623</v>
      </c>
      <c r="I358" t="s">
        <v>5741</v>
      </c>
      <c r="J358" t="str">
        <f t="shared" si="5"/>
        <v>ia.assorted_string like '%107623-00169-02-2025%' or</v>
      </c>
    </row>
    <row r="359" spans="1:10" x14ac:dyDescent="0.25">
      <c r="A359" s="2" t="s">
        <v>5384</v>
      </c>
      <c r="B359" t="s">
        <v>5627</v>
      </c>
      <c r="H359">
        <v>107623</v>
      </c>
      <c r="I359" t="s">
        <v>5667</v>
      </c>
      <c r="J359" t="str">
        <f t="shared" si="5"/>
        <v>ia.assorted_string like '%107623-00168-02-2025%' or</v>
      </c>
    </row>
    <row r="360" spans="1:10" x14ac:dyDescent="0.25">
      <c r="A360" s="2" t="s">
        <v>5385</v>
      </c>
      <c r="B360" t="s">
        <v>5627</v>
      </c>
      <c r="H360">
        <v>107623</v>
      </c>
      <c r="I360" t="s">
        <v>5857</v>
      </c>
      <c r="J360" t="str">
        <f t="shared" si="5"/>
        <v>ia.assorted_string like '%107623-00167-02-2025%' or</v>
      </c>
    </row>
    <row r="361" spans="1:10" x14ac:dyDescent="0.25">
      <c r="A361" s="2" t="s">
        <v>5386</v>
      </c>
      <c r="B361" t="s">
        <v>5627</v>
      </c>
      <c r="H361">
        <v>107623</v>
      </c>
      <c r="I361" t="s">
        <v>5664</v>
      </c>
      <c r="J361" t="str">
        <f t="shared" si="5"/>
        <v>ia.assorted_string like '%107623-00162-02-2025%' or</v>
      </c>
    </row>
    <row r="362" spans="1:10" x14ac:dyDescent="0.25">
      <c r="A362" s="2" t="s">
        <v>5387</v>
      </c>
      <c r="B362" t="s">
        <v>5627</v>
      </c>
      <c r="H362">
        <v>107351</v>
      </c>
      <c r="I362" t="s">
        <v>5644</v>
      </c>
      <c r="J362" t="str">
        <f t="shared" si="5"/>
        <v>ia.assorted_string like '%107351-00002-02-2025%' or</v>
      </c>
    </row>
    <row r="363" spans="1:10" x14ac:dyDescent="0.25">
      <c r="A363" s="2" t="s">
        <v>5388</v>
      </c>
      <c r="B363" t="s">
        <v>5627</v>
      </c>
      <c r="H363">
        <v>107623</v>
      </c>
      <c r="I363" t="s">
        <v>5736</v>
      </c>
      <c r="J363" t="str">
        <f t="shared" si="5"/>
        <v>ia.assorted_string like '%107623-00161-02-2025%' or</v>
      </c>
    </row>
    <row r="364" spans="1:10" x14ac:dyDescent="0.25">
      <c r="A364" s="2" t="s">
        <v>5389</v>
      </c>
      <c r="B364" t="s">
        <v>5627</v>
      </c>
      <c r="H364">
        <v>107623</v>
      </c>
      <c r="I364" t="s">
        <v>5858</v>
      </c>
      <c r="J364" t="str">
        <f t="shared" si="5"/>
        <v>ia.assorted_string like '%107623-00159-02-2025%' or</v>
      </c>
    </row>
    <row r="365" spans="1:10" x14ac:dyDescent="0.25">
      <c r="A365" s="2" t="s">
        <v>5390</v>
      </c>
      <c r="B365" t="s">
        <v>5627</v>
      </c>
      <c r="H365">
        <v>107623</v>
      </c>
      <c r="I365" t="s">
        <v>5645</v>
      </c>
      <c r="J365" t="str">
        <f t="shared" si="5"/>
        <v>ia.assorted_string like '%107623-00004-02-2025%' or</v>
      </c>
    </row>
    <row r="366" spans="1:10" x14ac:dyDescent="0.25">
      <c r="A366" s="2" t="s">
        <v>5391</v>
      </c>
      <c r="B366" t="s">
        <v>5627</v>
      </c>
      <c r="H366">
        <v>107623</v>
      </c>
      <c r="I366" t="s">
        <v>5859</v>
      </c>
      <c r="J366" t="str">
        <f t="shared" si="5"/>
        <v>ia.assorted_string like '%107623-00157-02-2025%' or</v>
      </c>
    </row>
    <row r="367" spans="1:10" x14ac:dyDescent="0.25">
      <c r="A367" s="2" t="s">
        <v>5392</v>
      </c>
      <c r="B367" t="s">
        <v>5627</v>
      </c>
      <c r="H367">
        <v>107623</v>
      </c>
      <c r="I367" t="s">
        <v>5629</v>
      </c>
      <c r="J367" t="str">
        <f t="shared" si="5"/>
        <v>ia.assorted_string like '%107623-00006-02-2025%' or</v>
      </c>
    </row>
    <row r="368" spans="1:10" x14ac:dyDescent="0.25">
      <c r="A368" s="2" t="s">
        <v>5393</v>
      </c>
      <c r="B368" t="s">
        <v>5627</v>
      </c>
      <c r="H368">
        <v>107623</v>
      </c>
      <c r="I368" t="s">
        <v>5860</v>
      </c>
      <c r="J368" t="str">
        <f t="shared" si="5"/>
        <v>ia.assorted_string like '%107623-00155-02-2025%' or</v>
      </c>
    </row>
    <row r="369" spans="1:10" x14ac:dyDescent="0.25">
      <c r="A369" s="2" t="s">
        <v>5394</v>
      </c>
      <c r="B369" t="s">
        <v>5627</v>
      </c>
      <c r="H369">
        <v>107623</v>
      </c>
      <c r="I369" t="s">
        <v>5727</v>
      </c>
      <c r="J369" t="str">
        <f t="shared" si="5"/>
        <v>ia.assorted_string like '%107623-00150-02-2025%' or</v>
      </c>
    </row>
    <row r="370" spans="1:10" x14ac:dyDescent="0.25">
      <c r="A370" s="2" t="s">
        <v>5395</v>
      </c>
      <c r="B370" t="s">
        <v>5627</v>
      </c>
      <c r="H370">
        <v>107623</v>
      </c>
      <c r="I370" t="s">
        <v>5861</v>
      </c>
      <c r="J370" t="str">
        <f t="shared" si="5"/>
        <v>ia.assorted_string like '%107623-00149-02-2025%' or</v>
      </c>
    </row>
    <row r="371" spans="1:10" x14ac:dyDescent="0.25">
      <c r="A371" s="2" t="s">
        <v>5396</v>
      </c>
      <c r="B371" t="s">
        <v>5627</v>
      </c>
      <c r="H371">
        <v>107623</v>
      </c>
      <c r="I371" t="s">
        <v>5726</v>
      </c>
      <c r="J371" t="str">
        <f t="shared" si="5"/>
        <v>ia.assorted_string like '%107623-00148-02-2025%' or</v>
      </c>
    </row>
    <row r="372" spans="1:10" x14ac:dyDescent="0.25">
      <c r="A372" s="2" t="s">
        <v>5397</v>
      </c>
      <c r="B372" t="s">
        <v>5627</v>
      </c>
      <c r="H372">
        <v>107623</v>
      </c>
      <c r="I372" t="s">
        <v>5725</v>
      </c>
      <c r="J372" t="str">
        <f t="shared" si="5"/>
        <v>ia.assorted_string like '%107623-00147-02-2025%' or</v>
      </c>
    </row>
    <row r="373" spans="1:10" x14ac:dyDescent="0.25">
      <c r="A373" s="2" t="s">
        <v>5398</v>
      </c>
      <c r="B373" t="s">
        <v>5627</v>
      </c>
      <c r="H373">
        <v>107623</v>
      </c>
      <c r="I373" t="s">
        <v>5724</v>
      </c>
      <c r="J373" t="str">
        <f t="shared" si="5"/>
        <v>ia.assorted_string like '%107623-00146-02-2025%' or</v>
      </c>
    </row>
    <row r="374" spans="1:10" x14ac:dyDescent="0.25">
      <c r="A374" s="2" t="s">
        <v>5399</v>
      </c>
      <c r="B374" t="s">
        <v>5627</v>
      </c>
      <c r="H374">
        <v>107623</v>
      </c>
      <c r="I374" t="s">
        <v>5722</v>
      </c>
      <c r="J374" t="str">
        <f t="shared" si="5"/>
        <v>ia.assorted_string like '%107623-00144-02-2025%' or</v>
      </c>
    </row>
    <row r="375" spans="1:10" x14ac:dyDescent="0.25">
      <c r="A375" s="2" t="s">
        <v>5400</v>
      </c>
      <c r="B375" t="s">
        <v>5627</v>
      </c>
      <c r="H375">
        <v>107623</v>
      </c>
      <c r="I375" t="s">
        <v>5862</v>
      </c>
      <c r="J375" t="str">
        <f t="shared" si="5"/>
        <v>ia.assorted_string like '%107623-00142-02-2025%' or</v>
      </c>
    </row>
    <row r="376" spans="1:10" x14ac:dyDescent="0.25">
      <c r="A376" s="2" t="s">
        <v>5401</v>
      </c>
      <c r="B376" t="s">
        <v>5627</v>
      </c>
      <c r="H376">
        <v>107623</v>
      </c>
      <c r="I376" t="s">
        <v>5659</v>
      </c>
      <c r="J376" t="str">
        <f t="shared" si="5"/>
        <v>ia.assorted_string like '%107623-00140-02-2025%' or</v>
      </c>
    </row>
    <row r="377" spans="1:10" x14ac:dyDescent="0.25">
      <c r="A377" s="2" t="s">
        <v>5402</v>
      </c>
      <c r="B377" t="s">
        <v>5627</v>
      </c>
      <c r="H377">
        <v>107623</v>
      </c>
      <c r="I377" t="s">
        <v>5863</v>
      </c>
      <c r="J377" t="str">
        <f t="shared" si="5"/>
        <v>ia.assorted_string like '%107623-00138-02-2025%' or</v>
      </c>
    </row>
    <row r="378" spans="1:10" x14ac:dyDescent="0.25">
      <c r="A378" s="2" t="s">
        <v>5403</v>
      </c>
      <c r="B378" t="s">
        <v>5627</v>
      </c>
      <c r="H378">
        <v>107623</v>
      </c>
      <c r="I378" t="s">
        <v>5864</v>
      </c>
      <c r="J378" t="str">
        <f t="shared" si="5"/>
        <v>ia.assorted_string like '%107623-00137-02-2025%' or</v>
      </c>
    </row>
    <row r="379" spans="1:10" x14ac:dyDescent="0.25">
      <c r="A379" s="2" t="s">
        <v>5404</v>
      </c>
      <c r="B379" t="s">
        <v>5627</v>
      </c>
      <c r="H379">
        <v>107623</v>
      </c>
      <c r="I379" t="s">
        <v>5802</v>
      </c>
      <c r="J379" t="str">
        <f t="shared" si="5"/>
        <v>ia.assorted_string like '%107623-00011-02-2025%' or</v>
      </c>
    </row>
    <row r="380" spans="1:10" x14ac:dyDescent="0.25">
      <c r="A380" s="2" t="s">
        <v>5405</v>
      </c>
      <c r="B380" t="s">
        <v>5627</v>
      </c>
      <c r="H380">
        <v>107623</v>
      </c>
      <c r="I380" t="s">
        <v>5865</v>
      </c>
      <c r="J380" t="str">
        <f t="shared" si="5"/>
        <v>ia.assorted_string like '%107623-00135-02-2025%' or</v>
      </c>
    </row>
    <row r="381" spans="1:10" x14ac:dyDescent="0.25">
      <c r="A381" s="2" t="s">
        <v>5406</v>
      </c>
      <c r="B381" t="s">
        <v>5627</v>
      </c>
      <c r="H381">
        <v>107623</v>
      </c>
      <c r="I381" t="s">
        <v>5866</v>
      </c>
      <c r="J381" t="str">
        <f t="shared" si="5"/>
        <v>ia.assorted_string like '%107623-00013-02-2025%' or</v>
      </c>
    </row>
    <row r="382" spans="1:10" x14ac:dyDescent="0.25">
      <c r="A382" s="2" t="s">
        <v>5407</v>
      </c>
      <c r="B382" t="s">
        <v>5627</v>
      </c>
      <c r="H382">
        <v>107623</v>
      </c>
      <c r="I382" t="s">
        <v>5867</v>
      </c>
      <c r="J382" t="str">
        <f t="shared" si="5"/>
        <v>ia.assorted_string like '%107623-00014-02-2025%' or</v>
      </c>
    </row>
    <row r="383" spans="1:10" x14ac:dyDescent="0.25">
      <c r="A383" s="2" t="s">
        <v>5408</v>
      </c>
      <c r="B383" t="s">
        <v>5627</v>
      </c>
      <c r="H383">
        <v>107623</v>
      </c>
      <c r="I383" t="s">
        <v>5868</v>
      </c>
      <c r="J383" t="str">
        <f t="shared" si="5"/>
        <v>ia.assorted_string like '%107623-00015-02-2025%' or</v>
      </c>
    </row>
    <row r="384" spans="1:10" x14ac:dyDescent="0.25">
      <c r="A384" s="2" t="s">
        <v>5409</v>
      </c>
      <c r="B384" t="s">
        <v>5627</v>
      </c>
      <c r="H384">
        <v>107623</v>
      </c>
      <c r="I384" t="s">
        <v>5869</v>
      </c>
      <c r="J384" t="str">
        <f t="shared" si="5"/>
        <v>ia.assorted_string like '%107623-00016-02-2025%' or</v>
      </c>
    </row>
    <row r="385" spans="1:10" x14ac:dyDescent="0.25">
      <c r="A385" s="2" t="s">
        <v>5410</v>
      </c>
      <c r="B385" t="s">
        <v>5627</v>
      </c>
      <c r="H385">
        <v>107623</v>
      </c>
      <c r="I385" t="s">
        <v>5870</v>
      </c>
      <c r="J385" t="str">
        <f t="shared" si="5"/>
        <v>ia.assorted_string like '%107623-00126-02-2025%' or</v>
      </c>
    </row>
    <row r="386" spans="1:10" x14ac:dyDescent="0.25">
      <c r="A386" s="2" t="s">
        <v>5411</v>
      </c>
      <c r="B386" t="s">
        <v>5627</v>
      </c>
      <c r="H386">
        <v>107623</v>
      </c>
      <c r="I386" t="s">
        <v>5871</v>
      </c>
      <c r="J386" t="str">
        <f t="shared" ref="J386:J416" si="6">"ia.assorted_string like '%"&amp;H386&amp;"-"&amp;I386&amp;B386&amp;"%' or"</f>
        <v>ia.assorted_string like '%107623-00122-02-2025%' or</v>
      </c>
    </row>
    <row r="387" spans="1:10" x14ac:dyDescent="0.25">
      <c r="A387" s="2" t="s">
        <v>5412</v>
      </c>
      <c r="B387" t="s">
        <v>5627</v>
      </c>
      <c r="H387">
        <v>107623</v>
      </c>
      <c r="I387" t="s">
        <v>5872</v>
      </c>
      <c r="J387" t="str">
        <f t="shared" si="6"/>
        <v>ia.assorted_string like '%107623-00121-02-2025%' or</v>
      </c>
    </row>
    <row r="388" spans="1:10" x14ac:dyDescent="0.25">
      <c r="A388" s="2" t="s">
        <v>5413</v>
      </c>
      <c r="B388" t="s">
        <v>5627</v>
      </c>
      <c r="H388">
        <v>107623</v>
      </c>
      <c r="I388" t="s">
        <v>5701</v>
      </c>
      <c r="J388" t="str">
        <f t="shared" si="6"/>
        <v>ia.assorted_string like '%107623-00117-02-2025%' or</v>
      </c>
    </row>
    <row r="389" spans="1:10" x14ac:dyDescent="0.25">
      <c r="A389" s="2" t="s">
        <v>5414</v>
      </c>
      <c r="B389" t="s">
        <v>5627</v>
      </c>
      <c r="H389">
        <v>107623</v>
      </c>
      <c r="I389" t="s">
        <v>5873</v>
      </c>
      <c r="J389" t="str">
        <f t="shared" si="6"/>
        <v>ia.assorted_string like '%107623-00115-02-2025%' or</v>
      </c>
    </row>
    <row r="390" spans="1:10" x14ac:dyDescent="0.25">
      <c r="A390" s="2" t="s">
        <v>5415</v>
      </c>
      <c r="B390" t="s">
        <v>5627</v>
      </c>
      <c r="H390">
        <v>107623</v>
      </c>
      <c r="I390" t="s">
        <v>5631</v>
      </c>
      <c r="J390" t="str">
        <f t="shared" si="6"/>
        <v>ia.assorted_string like '%107623-00022-02-2025%' or</v>
      </c>
    </row>
    <row r="391" spans="1:10" x14ac:dyDescent="0.25">
      <c r="A391" s="2" t="s">
        <v>5416</v>
      </c>
      <c r="B391" t="s">
        <v>5627</v>
      </c>
      <c r="H391">
        <v>107623</v>
      </c>
      <c r="I391" t="s">
        <v>5874</v>
      </c>
      <c r="J391" t="str">
        <f t="shared" si="6"/>
        <v>ia.assorted_string like '%107623-00023-02-2025%' or</v>
      </c>
    </row>
    <row r="392" spans="1:10" x14ac:dyDescent="0.25">
      <c r="A392" s="2" t="s">
        <v>5417</v>
      </c>
      <c r="B392" t="s">
        <v>5627</v>
      </c>
      <c r="H392">
        <v>107623</v>
      </c>
      <c r="I392" t="s">
        <v>5699</v>
      </c>
      <c r="J392" t="str">
        <f t="shared" si="6"/>
        <v>ia.assorted_string like '%107623-00113-02-2025%' or</v>
      </c>
    </row>
    <row r="393" spans="1:10" x14ac:dyDescent="0.25">
      <c r="A393" s="2" t="s">
        <v>5418</v>
      </c>
      <c r="B393" t="s">
        <v>5627</v>
      </c>
      <c r="H393">
        <v>107623</v>
      </c>
      <c r="I393" t="s">
        <v>5697</v>
      </c>
      <c r="J393" t="str">
        <f t="shared" si="6"/>
        <v>ia.assorted_string like '%107623-00111-02-2025%' or</v>
      </c>
    </row>
    <row r="394" spans="1:10" x14ac:dyDescent="0.25">
      <c r="A394" s="2" t="s">
        <v>5419</v>
      </c>
      <c r="B394" t="s">
        <v>5627</v>
      </c>
      <c r="H394">
        <v>107623</v>
      </c>
      <c r="I394" t="s">
        <v>5875</v>
      </c>
      <c r="J394" t="str">
        <f t="shared" si="6"/>
        <v>ia.assorted_string like '%107623-00110-02-2025%' or</v>
      </c>
    </row>
    <row r="395" spans="1:10" x14ac:dyDescent="0.25">
      <c r="A395" s="2" t="s">
        <v>5420</v>
      </c>
      <c r="B395" t="s">
        <v>5627</v>
      </c>
      <c r="H395">
        <v>107623</v>
      </c>
      <c r="I395" t="s">
        <v>5694</v>
      </c>
      <c r="J395" t="str">
        <f t="shared" si="6"/>
        <v>ia.assorted_string like '%107623-00108-02-2025%' or</v>
      </c>
    </row>
    <row r="396" spans="1:10" x14ac:dyDescent="0.25">
      <c r="A396" s="2" t="s">
        <v>5421</v>
      </c>
      <c r="B396" t="s">
        <v>5627</v>
      </c>
      <c r="H396">
        <v>107623</v>
      </c>
      <c r="I396" t="s">
        <v>5692</v>
      </c>
      <c r="J396" t="str">
        <f t="shared" si="6"/>
        <v>ia.assorted_string like '%107623-00105-02-2025%' or</v>
      </c>
    </row>
    <row r="397" spans="1:10" x14ac:dyDescent="0.25">
      <c r="A397" s="2" t="s">
        <v>5422</v>
      </c>
      <c r="B397" t="s">
        <v>5627</v>
      </c>
      <c r="H397">
        <v>107623</v>
      </c>
      <c r="I397" t="s">
        <v>5876</v>
      </c>
      <c r="J397" t="str">
        <f t="shared" si="6"/>
        <v>ia.assorted_string like '%107623-00098-02-2025%' or</v>
      </c>
    </row>
    <row r="398" spans="1:10" x14ac:dyDescent="0.25">
      <c r="A398" s="2" t="s">
        <v>5423</v>
      </c>
      <c r="B398" t="s">
        <v>5627</v>
      </c>
      <c r="H398">
        <v>107623</v>
      </c>
      <c r="I398" t="s">
        <v>5877</v>
      </c>
      <c r="J398" t="str">
        <f t="shared" si="6"/>
        <v>ia.assorted_string like '%107623-00097-02-2025%' or</v>
      </c>
    </row>
    <row r="399" spans="1:10" x14ac:dyDescent="0.25">
      <c r="A399" s="2" t="s">
        <v>5424</v>
      </c>
      <c r="B399" t="s">
        <v>5627</v>
      </c>
      <c r="H399">
        <v>107623</v>
      </c>
      <c r="I399" t="s">
        <v>5878</v>
      </c>
      <c r="J399" t="str">
        <f t="shared" si="6"/>
        <v>ia.assorted_string like '%107623-00029-02-2025%' or</v>
      </c>
    </row>
    <row r="400" spans="1:10" x14ac:dyDescent="0.25">
      <c r="A400" s="2" t="s">
        <v>5425</v>
      </c>
      <c r="B400" t="s">
        <v>5627</v>
      </c>
      <c r="H400">
        <v>107351</v>
      </c>
      <c r="I400" t="s">
        <v>5635</v>
      </c>
      <c r="J400" t="str">
        <f t="shared" si="6"/>
        <v>ia.assorted_string like '%107351-00001-02-2025%' or</v>
      </c>
    </row>
    <row r="401" spans="1:10" x14ac:dyDescent="0.25">
      <c r="A401" s="2" t="s">
        <v>5426</v>
      </c>
      <c r="B401" t="s">
        <v>5627</v>
      </c>
      <c r="H401">
        <v>107623</v>
      </c>
      <c r="I401" t="s">
        <v>5879</v>
      </c>
      <c r="J401" t="str">
        <f t="shared" si="6"/>
        <v>ia.assorted_string like '%107623-00095-02-2025%' or</v>
      </c>
    </row>
    <row r="402" spans="1:10" x14ac:dyDescent="0.25">
      <c r="A402" s="2" t="s">
        <v>5427</v>
      </c>
      <c r="B402" t="s">
        <v>5627</v>
      </c>
      <c r="H402">
        <v>107623</v>
      </c>
      <c r="I402" t="s">
        <v>5650</v>
      </c>
      <c r="J402" t="str">
        <f t="shared" si="6"/>
        <v>ia.assorted_string like '%107623-00093-02-2025%' or</v>
      </c>
    </row>
    <row r="403" spans="1:10" x14ac:dyDescent="0.25">
      <c r="A403" s="2" t="s">
        <v>5428</v>
      </c>
      <c r="B403" t="s">
        <v>5627</v>
      </c>
      <c r="H403">
        <v>107623</v>
      </c>
      <c r="I403" t="s">
        <v>5880</v>
      </c>
      <c r="J403" t="str">
        <f t="shared" si="6"/>
        <v>ia.assorted_string like '%107623-00092-02-2025%' or</v>
      </c>
    </row>
    <row r="404" spans="1:10" x14ac:dyDescent="0.25">
      <c r="A404" s="2" t="s">
        <v>5429</v>
      </c>
      <c r="B404" t="s">
        <v>5627</v>
      </c>
      <c r="H404">
        <v>107623</v>
      </c>
      <c r="I404" t="s">
        <v>5881</v>
      </c>
      <c r="J404" t="str">
        <f t="shared" si="6"/>
        <v>ia.assorted_string like '%107623-00089-02-2025%' or</v>
      </c>
    </row>
    <row r="405" spans="1:10" x14ac:dyDescent="0.25">
      <c r="A405" s="2" t="s">
        <v>5430</v>
      </c>
      <c r="B405" t="s">
        <v>5627</v>
      </c>
      <c r="H405">
        <v>107623</v>
      </c>
      <c r="I405" t="s">
        <v>5882</v>
      </c>
      <c r="J405" t="str">
        <f t="shared" si="6"/>
        <v>ia.assorted_string like '%107623-00086-02-2025%' or</v>
      </c>
    </row>
    <row r="406" spans="1:10" x14ac:dyDescent="0.25">
      <c r="A406" s="2" t="s">
        <v>5431</v>
      </c>
      <c r="B406" t="s">
        <v>5627</v>
      </c>
      <c r="H406">
        <v>107623</v>
      </c>
      <c r="I406" t="s">
        <v>5883</v>
      </c>
      <c r="J406" t="str">
        <f t="shared" si="6"/>
        <v>ia.assorted_string like '%107623-00072-02-2025%' or</v>
      </c>
    </row>
    <row r="407" spans="1:10" x14ac:dyDescent="0.25">
      <c r="A407" s="2" t="s">
        <v>5432</v>
      </c>
      <c r="B407" t="s">
        <v>5627</v>
      </c>
      <c r="H407">
        <v>107623</v>
      </c>
      <c r="I407" t="s">
        <v>5884</v>
      </c>
      <c r="J407" t="str">
        <f t="shared" si="6"/>
        <v>ia.assorted_string like '%107623-00062-02-2025%' or</v>
      </c>
    </row>
    <row r="408" spans="1:10" x14ac:dyDescent="0.25">
      <c r="A408" s="2" t="s">
        <v>5433</v>
      </c>
      <c r="B408" t="s">
        <v>5627</v>
      </c>
      <c r="H408">
        <v>107623</v>
      </c>
      <c r="I408" t="s">
        <v>5656</v>
      </c>
      <c r="J408" t="str">
        <f t="shared" si="6"/>
        <v>ia.assorted_string like '%107623-00060-02-2025%' or</v>
      </c>
    </row>
    <row r="409" spans="1:10" x14ac:dyDescent="0.25">
      <c r="A409" s="2" t="s">
        <v>5434</v>
      </c>
      <c r="B409" t="s">
        <v>5627</v>
      </c>
      <c r="H409">
        <v>107623</v>
      </c>
      <c r="I409" t="s">
        <v>5655</v>
      </c>
      <c r="J409" t="str">
        <f t="shared" si="6"/>
        <v>ia.assorted_string like '%107623-00059-02-2025%' or</v>
      </c>
    </row>
    <row r="410" spans="1:10" x14ac:dyDescent="0.25">
      <c r="A410" s="2" t="s">
        <v>5435</v>
      </c>
      <c r="B410" t="s">
        <v>5627</v>
      </c>
      <c r="H410">
        <v>107623</v>
      </c>
      <c r="I410" t="s">
        <v>5647</v>
      </c>
      <c r="J410" t="str">
        <f t="shared" si="6"/>
        <v>ia.assorted_string like '%107623-00058-02-2025%' or</v>
      </c>
    </row>
    <row r="411" spans="1:10" x14ac:dyDescent="0.25">
      <c r="A411" s="2" t="s">
        <v>5436</v>
      </c>
      <c r="B411" t="s">
        <v>5627</v>
      </c>
      <c r="H411">
        <v>107623</v>
      </c>
      <c r="I411" t="s">
        <v>5885</v>
      </c>
      <c r="J411" t="str">
        <f t="shared" si="6"/>
        <v>ia.assorted_string like '%107623-00040-02-2025%' or</v>
      </c>
    </row>
    <row r="412" spans="1:10" x14ac:dyDescent="0.25">
      <c r="A412" s="2" t="s">
        <v>5437</v>
      </c>
      <c r="B412" t="s">
        <v>5627</v>
      </c>
      <c r="H412">
        <v>107623</v>
      </c>
      <c r="I412" t="s">
        <v>5886</v>
      </c>
      <c r="J412" t="str">
        <f t="shared" si="6"/>
        <v>ia.assorted_string like '%107623-00057-02-2025%' or</v>
      </c>
    </row>
    <row r="413" spans="1:10" x14ac:dyDescent="0.25">
      <c r="A413" s="2" t="s">
        <v>5438</v>
      </c>
      <c r="B413" t="s">
        <v>5627</v>
      </c>
      <c r="H413">
        <v>107623</v>
      </c>
      <c r="I413" t="s">
        <v>5652</v>
      </c>
      <c r="J413" t="str">
        <f t="shared" si="6"/>
        <v>ia.assorted_string like '%107623-00055-02-2025%' or</v>
      </c>
    </row>
    <row r="414" spans="1:10" x14ac:dyDescent="0.25">
      <c r="A414" s="2" t="s">
        <v>5439</v>
      </c>
      <c r="B414" t="s">
        <v>5627</v>
      </c>
      <c r="H414">
        <v>107623</v>
      </c>
      <c r="I414" t="s">
        <v>5887</v>
      </c>
      <c r="J414" t="str">
        <f t="shared" si="6"/>
        <v>ia.assorted_string like '%107623-00048-02-2025%' or</v>
      </c>
    </row>
    <row r="415" spans="1:10" x14ac:dyDescent="0.25">
      <c r="A415" s="2" t="s">
        <v>5440</v>
      </c>
      <c r="B415" t="s">
        <v>5627</v>
      </c>
      <c r="H415">
        <v>107623</v>
      </c>
      <c r="I415" t="s">
        <v>5888</v>
      </c>
      <c r="J415" t="str">
        <f t="shared" si="6"/>
        <v>ia.assorted_string like '%107623-00043-02-2025%' or</v>
      </c>
    </row>
    <row r="416" spans="1:10" x14ac:dyDescent="0.25">
      <c r="A416" s="2" t="s">
        <v>5441</v>
      </c>
      <c r="B416" t="s">
        <v>5627</v>
      </c>
      <c r="H416">
        <v>107623</v>
      </c>
      <c r="I416" t="s">
        <v>5889</v>
      </c>
      <c r="J416" t="str">
        <f t="shared" si="6"/>
        <v>ia.assorted_string like '%107623-00045-02-2025%' or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28ED-BA94-4D13-9AC8-C4130381D04F}">
  <sheetPr filterMode="1"/>
  <dimension ref="A1:H426"/>
  <sheetViews>
    <sheetView topLeftCell="G1" workbookViewId="0">
      <selection sqref="A1:H2"/>
    </sheetView>
  </sheetViews>
  <sheetFormatPr defaultRowHeight="15" x14ac:dyDescent="0.25"/>
  <cols>
    <col min="1" max="1" width="44.28515625" bestFit="1" customWidth="1"/>
    <col min="2" max="2" width="14.28515625" bestFit="1" customWidth="1"/>
    <col min="3" max="3" width="13.28515625" bestFit="1" customWidth="1"/>
    <col min="4" max="4" width="11.5703125" bestFit="1" customWidth="1"/>
    <col min="5" max="5" width="13.7109375" bestFit="1" customWidth="1"/>
    <col min="6" max="6" width="95.85546875" customWidth="1"/>
    <col min="7" max="7" width="87" customWidth="1"/>
    <col min="8" max="8" width="77.42578125" customWidth="1"/>
  </cols>
  <sheetData>
    <row r="1" spans="1:8" x14ac:dyDescent="0.25">
      <c r="A1" s="11" t="s">
        <v>5890</v>
      </c>
      <c r="B1" t="s">
        <v>5891</v>
      </c>
      <c r="D1" s="12" t="s">
        <v>32</v>
      </c>
      <c r="E1" s="19" t="s">
        <v>6323</v>
      </c>
    </row>
    <row r="2" spans="1:8" ht="89.25" customHeight="1" x14ac:dyDescent="0.25">
      <c r="A2" s="2" t="s">
        <v>5040</v>
      </c>
      <c r="B2" s="13" t="str">
        <f>VLOOKUP(A2,policy!B:C,2,0)</f>
        <v>070000178695</v>
      </c>
      <c r="C2" s="3">
        <v>57840</v>
      </c>
      <c r="D2" s="14">
        <f>ROUND(C2,0)</f>
        <v>57840</v>
      </c>
      <c r="E2" s="19" t="s">
        <v>6323</v>
      </c>
      <c r="F2" s="15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6" t="str">
        <f>"('"&amp;E2&amp;"','"&amp;B2&amp;"','"&amp;D2&amp;"',(select max(to_number(i.premium_rcv_detail_code))+1
from ins_premium_det i),'"&amp;D2&amp;"','"&amp;D2&amp;"','02', '11000003','00','Request by Mr. Saqib Saleem 28-Mar-2025');"</f>
        <v>('27Mar250028','070000178695','57840',(select max(to_number(i.premium_rcv_detail_code))+1
from ins_premium_det i),'57840','57840','02', '11000003','00','Request by Mr. Saqib Saleem 28-Mar-2025');</v>
      </c>
      <c r="H2" s="17" t="str">
        <f>F2&amp;G2</f>
        <v>insert into ins_premium_det (premium_rcv_code,assorted_code, rec_amount,premium_rcv_detail_code,remaining_amt, payrec, mode_code,coinsurance_code,class_cd,it_remarks) values('27Mar250028','070000178695','57840',(select max(to_number(i.premium_rcv_detail_code))+1
from ins_premium_det i),'57840','57840','02', '11000003','00','Request by Mr. Saqib Saleem 28-Mar-2025');</v>
      </c>
    </row>
    <row r="3" spans="1:8" ht="105" x14ac:dyDescent="0.25">
      <c r="A3" s="2" t="s">
        <v>5047</v>
      </c>
      <c r="B3" s="13" t="str">
        <f>VLOOKUP(A3,policy!B:C,2,0)</f>
        <v>070000178696</v>
      </c>
      <c r="C3" s="3">
        <v>65936</v>
      </c>
      <c r="D3" s="14">
        <f t="shared" ref="D3:D66" si="1">ROUND(C3,0)</f>
        <v>65936</v>
      </c>
      <c r="E3" s="19" t="s">
        <v>6323</v>
      </c>
      <c r="F3" s="15" t="str">
        <f t="shared" si="0"/>
        <v>insert into ins_premium_det (premium_rcv_code,assorted_code, rec_amount,premium_rcv_detail_code,remaining_amt, payrec, mode_code,coinsurance_code,class_cd,it_remarks) values</v>
      </c>
      <c r="G3" s="16" t="str">
        <f t="shared" ref="G3:G66" si="2">"('"&amp;E3&amp;"','"&amp;B3&amp;"','"&amp;D3&amp;"',(select max(to_number(i.premium_rcv_detail_code))+1
from ins_premium_det i),'"&amp;D3&amp;"','"&amp;D3&amp;"','02', '11000003','00','Request by Mr. Saqib Saleem 28-Mar-2025');"</f>
        <v>('27Mar250028','070000178696','65936',(select max(to_number(i.premium_rcv_detail_code))+1
from ins_premium_det i),'65936','65936','02', '11000003','00','Request by Mr. Saqib Saleem 28-Mar-2025');</v>
      </c>
      <c r="H3" s="17" t="str">
        <f t="shared" ref="H3:H66" si="3">F3&amp;G3</f>
        <v>insert into ins_premium_det (premium_rcv_code,assorted_code, rec_amount,premium_rcv_detail_code,remaining_amt, payrec, mode_code,coinsurance_code,class_cd,it_remarks) values('27Mar250028','070000178696','65936',(select max(to_number(i.premium_rcv_detail_code))+1
from ins_premium_det i),'65936','65936','02', '11000003','00','Request by Mr. Saqib Saleem 28-Mar-2025');</v>
      </c>
    </row>
    <row r="4" spans="1:8" ht="105" x14ac:dyDescent="0.25">
      <c r="A4" s="2" t="s">
        <v>5048</v>
      </c>
      <c r="B4" s="13" t="str">
        <f>VLOOKUP(A4,policy!B:C,2,0)</f>
        <v>070000178710</v>
      </c>
      <c r="C4" s="3">
        <v>25760</v>
      </c>
      <c r="D4" s="14">
        <f t="shared" si="1"/>
        <v>25760</v>
      </c>
      <c r="E4" s="19" t="s">
        <v>6323</v>
      </c>
      <c r="F4" s="15" t="str">
        <f t="shared" si="0"/>
        <v>insert into ins_premium_det (premium_rcv_code,assorted_code, rec_amount,premium_rcv_detail_code,remaining_amt, payrec, mode_code,coinsurance_code,class_cd,it_remarks) values</v>
      </c>
      <c r="G4" s="16" t="str">
        <f t="shared" si="2"/>
        <v>('27Mar250028','070000178710','25760',(select max(to_number(i.premium_rcv_detail_code))+1
from ins_premium_det i),'25760','25760','02', '11000003','00','Request by Mr. Saqib Saleem 28-Mar-2025');</v>
      </c>
      <c r="H4" s="17" t="str">
        <f t="shared" si="3"/>
        <v>insert into ins_premium_det (premium_rcv_code,assorted_code, rec_amount,premium_rcv_detail_code,remaining_amt, payrec, mode_code,coinsurance_code,class_cd,it_remarks) values('27Mar250028','070000178710','25760',(select max(to_number(i.premium_rcv_detail_code))+1
from ins_premium_det i),'25760','25760','02', '11000003','00','Request by Mr. Saqib Saleem 28-Mar-2025');</v>
      </c>
    </row>
    <row r="5" spans="1:8" ht="105" x14ac:dyDescent="0.25">
      <c r="A5" s="2" t="s">
        <v>5049</v>
      </c>
      <c r="B5" s="13" t="str">
        <f>VLOOKUP(A5,policy!B:C,2,0)</f>
        <v>070000178712</v>
      </c>
      <c r="C5" s="3">
        <v>24000</v>
      </c>
      <c r="D5" s="14">
        <f t="shared" si="1"/>
        <v>24000</v>
      </c>
      <c r="E5" s="19" t="s">
        <v>6323</v>
      </c>
      <c r="F5" s="15" t="str">
        <f t="shared" si="0"/>
        <v>insert into ins_premium_det (premium_rcv_code,assorted_code, rec_amount,premium_rcv_detail_code,remaining_amt, payrec, mode_code,coinsurance_code,class_cd,it_remarks) values</v>
      </c>
      <c r="G5" s="16" t="str">
        <f t="shared" si="2"/>
        <v>('27Mar250028','070000178712','24000',(select max(to_number(i.premium_rcv_detail_code))+1
from ins_premium_det i),'24000','24000','02', '11000003','00','Request by Mr. Saqib Saleem 28-Mar-2025');</v>
      </c>
      <c r="H5" s="17" t="str">
        <f t="shared" si="3"/>
        <v>insert into ins_premium_det (premium_rcv_code,assorted_code, rec_amount,premium_rcv_detail_code,remaining_amt, payrec, mode_code,coinsurance_code,class_cd,it_remarks) values('27Mar250028','070000178712','24000',(select max(to_number(i.premium_rcv_detail_code))+1
from ins_premium_det i),'24000','24000','02', '11000003','00','Request by Mr. Saqib Saleem 28-Mar-2025');</v>
      </c>
    </row>
    <row r="6" spans="1:8" ht="105" x14ac:dyDescent="0.25">
      <c r="A6" s="2" t="s">
        <v>5050</v>
      </c>
      <c r="B6" s="13" t="str">
        <f>VLOOKUP(A6,policy!B:C,2,0)</f>
        <v>070000178720</v>
      </c>
      <c r="C6" s="3">
        <v>49680</v>
      </c>
      <c r="D6" s="14">
        <f t="shared" si="1"/>
        <v>49680</v>
      </c>
      <c r="E6" s="19" t="s">
        <v>6323</v>
      </c>
      <c r="F6" s="15" t="str">
        <f t="shared" si="0"/>
        <v>insert into ins_premium_det (premium_rcv_code,assorted_code, rec_amount,premium_rcv_detail_code,remaining_amt, payrec, mode_code,coinsurance_code,class_cd,it_remarks) values</v>
      </c>
      <c r="G6" s="16" t="str">
        <f t="shared" si="2"/>
        <v>('27Mar250028','070000178720','49680',(select max(to_number(i.premium_rcv_detail_code))+1
from ins_premium_det i),'49680','49680','02', '11000003','00','Request by Mr. Saqib Saleem 28-Mar-2025');</v>
      </c>
      <c r="H6" s="17" t="str">
        <f t="shared" si="3"/>
        <v>insert into ins_premium_det (premium_rcv_code,assorted_code, rec_amount,premium_rcv_detail_code,remaining_amt, payrec, mode_code,coinsurance_code,class_cd,it_remarks) values('27Mar250028','070000178720','49680',(select max(to_number(i.premium_rcv_detail_code))+1
from ins_premium_det i),'49680','49680','02', '11000003','00','Request by Mr. Saqib Saleem 28-Mar-2025');</v>
      </c>
    </row>
    <row r="7" spans="1:8" ht="105" x14ac:dyDescent="0.25">
      <c r="A7" s="2" t="s">
        <v>5051</v>
      </c>
      <c r="B7" s="13" t="str">
        <f>VLOOKUP(A7,policy!B:C,2,0)</f>
        <v>070000174720</v>
      </c>
      <c r="C7" s="3">
        <v>41445</v>
      </c>
      <c r="D7" s="14">
        <f t="shared" si="1"/>
        <v>41445</v>
      </c>
      <c r="E7" s="19" t="s">
        <v>6323</v>
      </c>
      <c r="F7" s="15" t="str">
        <f t="shared" si="0"/>
        <v>insert into ins_premium_det (premium_rcv_code,assorted_code, rec_amount,premium_rcv_detail_code,remaining_amt, payrec, mode_code,coinsurance_code,class_cd,it_remarks) values</v>
      </c>
      <c r="G7" s="16" t="str">
        <f t="shared" si="2"/>
        <v>('27Mar250028','070000174720','41445',(select max(to_number(i.premium_rcv_detail_code))+1
from ins_premium_det i),'41445','41445','02', '11000003','00','Request by Mr. Saqib Saleem 28-Mar-2025');</v>
      </c>
      <c r="H7" s="17" t="str">
        <f t="shared" si="3"/>
        <v>insert into ins_premium_det (premium_rcv_code,assorted_code, rec_amount,premium_rcv_detail_code,remaining_amt, payrec, mode_code,coinsurance_code,class_cd,it_remarks) values('27Mar250028','070000174720','41445',(select max(to_number(i.premium_rcv_detail_code))+1
from ins_premium_det i),'41445','41445','02', '11000003','00','Request by Mr. Saqib Saleem 28-Mar-2025');</v>
      </c>
    </row>
    <row r="8" spans="1:8" ht="105" x14ac:dyDescent="0.25">
      <c r="A8" s="2" t="s">
        <v>5052</v>
      </c>
      <c r="B8" s="13" t="str">
        <f>VLOOKUP(A8,policy!B:C,2,0)</f>
        <v>070000178722</v>
      </c>
      <c r="C8" s="3">
        <v>61815</v>
      </c>
      <c r="D8" s="14">
        <f t="shared" si="1"/>
        <v>61815</v>
      </c>
      <c r="E8" s="19" t="s">
        <v>6323</v>
      </c>
      <c r="F8" s="15" t="str">
        <f t="shared" si="0"/>
        <v>insert into ins_premium_det (premium_rcv_code,assorted_code, rec_amount,premium_rcv_detail_code,remaining_amt, payrec, mode_code,coinsurance_code,class_cd,it_remarks) values</v>
      </c>
      <c r="G8" s="16" t="str">
        <f t="shared" si="2"/>
        <v>('27Mar250028','070000178722','61815',(select max(to_number(i.premium_rcv_detail_code))+1
from ins_premium_det i),'61815','61815','02', '11000003','00','Request by Mr. Saqib Saleem 28-Mar-2025');</v>
      </c>
      <c r="H8" s="17" t="str">
        <f t="shared" si="3"/>
        <v>insert into ins_premium_det (premium_rcv_code,assorted_code, rec_amount,premium_rcv_detail_code,remaining_amt, payrec, mode_code,coinsurance_code,class_cd,it_remarks) values('27Mar250028','070000178722','61815',(select max(to_number(i.premium_rcv_detail_code))+1
from ins_premium_det i),'61815','61815','02', '11000003','00','Request by Mr. Saqib Saleem 28-Mar-2025');</v>
      </c>
    </row>
    <row r="9" spans="1:8" ht="45" hidden="1" x14ac:dyDescent="0.25">
      <c r="A9" s="9" t="s">
        <v>5610</v>
      </c>
      <c r="B9" s="13" t="e">
        <f>VLOOKUP(A9,policy!B:C,2,0)</f>
        <v>#N/A</v>
      </c>
      <c r="C9" s="3"/>
      <c r="D9" s="14"/>
      <c r="E9" s="19" t="s">
        <v>6323</v>
      </c>
      <c r="F9" s="15" t="str">
        <f t="shared" si="0"/>
        <v>insert into ins_premium_det (premium_rcv_code,assorted_code, rec_amount,premium_rcv_detail_code,remaining_amt, payrec, mode_code,coinsurance_code,class_cd,it_remarks) values</v>
      </c>
      <c r="G9" s="16" t="e">
        <f t="shared" si="2"/>
        <v>#N/A</v>
      </c>
      <c r="H9" s="17" t="e">
        <f t="shared" si="3"/>
        <v>#N/A</v>
      </c>
    </row>
    <row r="10" spans="1:8" ht="105" x14ac:dyDescent="0.25">
      <c r="A10" s="2" t="s">
        <v>5053</v>
      </c>
      <c r="B10" s="13" t="str">
        <f>VLOOKUP(A10,policy!B:C,2,0)</f>
        <v>070000174513</v>
      </c>
      <c r="C10" s="3">
        <v>23696</v>
      </c>
      <c r="D10" s="14">
        <f t="shared" si="1"/>
        <v>23696</v>
      </c>
      <c r="E10" s="19" t="s">
        <v>6323</v>
      </c>
      <c r="F10" s="15" t="str">
        <f t="shared" si="0"/>
        <v>insert into ins_premium_det (premium_rcv_code,assorted_code, rec_amount,premium_rcv_detail_code,remaining_amt, payrec, mode_code,coinsurance_code,class_cd,it_remarks) values</v>
      </c>
      <c r="G10" s="16" t="str">
        <f t="shared" si="2"/>
        <v>('27Mar250028','070000174513','23696',(select max(to_number(i.premium_rcv_detail_code))+1
from ins_premium_det i),'23696','23696','02', '11000003','00','Request by Mr. Saqib Saleem 28-Mar-2025');</v>
      </c>
      <c r="H10" s="17" t="str">
        <f t="shared" si="3"/>
        <v>insert into ins_premium_det (premium_rcv_code,assorted_code, rec_amount,premium_rcv_detail_code,remaining_amt, payrec, mode_code,coinsurance_code,class_cd,it_remarks) values('27Mar250028','070000174513','23696',(select max(to_number(i.premium_rcv_detail_code))+1
from ins_premium_det i),'23696','23696','02', '11000003','00','Request by Mr. Saqib Saleem 28-Mar-2025');</v>
      </c>
    </row>
    <row r="11" spans="1:8" ht="105" x14ac:dyDescent="0.25">
      <c r="A11" s="2" t="s">
        <v>5054</v>
      </c>
      <c r="B11" s="13" t="str">
        <f>VLOOKUP(A11,policy!B:C,2,0)</f>
        <v>070000174703</v>
      </c>
      <c r="C11" s="3">
        <v>76993</v>
      </c>
      <c r="D11" s="14">
        <f t="shared" si="1"/>
        <v>76993</v>
      </c>
      <c r="E11" s="19" t="s">
        <v>6323</v>
      </c>
      <c r="F11" s="15" t="str">
        <f t="shared" si="0"/>
        <v>insert into ins_premium_det (premium_rcv_code,assorted_code, rec_amount,premium_rcv_detail_code,remaining_amt, payrec, mode_code,coinsurance_code,class_cd,it_remarks) values</v>
      </c>
      <c r="G11" s="16" t="str">
        <f t="shared" si="2"/>
        <v>('27Mar250028','070000174703','76993',(select max(to_number(i.premium_rcv_detail_code))+1
from ins_premium_det i),'76993','76993','02', '11000003','00','Request by Mr. Saqib Saleem 28-Mar-2025');</v>
      </c>
      <c r="H11" s="17" t="str">
        <f t="shared" si="3"/>
        <v>insert into ins_premium_det (premium_rcv_code,assorted_code, rec_amount,premium_rcv_detail_code,remaining_amt, payrec, mode_code,coinsurance_code,class_cd,it_remarks) values('27Mar250028','070000174703','76993',(select max(to_number(i.premium_rcv_detail_code))+1
from ins_premium_det i),'76993','76993','02', '11000003','00','Request by Mr. Saqib Saleem 28-Mar-2025');</v>
      </c>
    </row>
    <row r="12" spans="1:8" ht="105" x14ac:dyDescent="0.25">
      <c r="A12" s="2" t="s">
        <v>5055</v>
      </c>
      <c r="B12" s="13" t="str">
        <f>VLOOKUP(A12,policy!B:C,2,0)</f>
        <v>070000174706</v>
      </c>
      <c r="C12" s="3">
        <v>32745</v>
      </c>
      <c r="D12" s="14">
        <f t="shared" si="1"/>
        <v>32745</v>
      </c>
      <c r="E12" s="19" t="s">
        <v>6323</v>
      </c>
      <c r="F12" s="15" t="str">
        <f t="shared" si="0"/>
        <v>insert into ins_premium_det (premium_rcv_code,assorted_code, rec_amount,premium_rcv_detail_code,remaining_amt, payrec, mode_code,coinsurance_code,class_cd,it_remarks) values</v>
      </c>
      <c r="G12" s="16" t="str">
        <f t="shared" si="2"/>
        <v>('27Mar250028','070000174706','32745',(select max(to_number(i.premium_rcv_detail_code))+1
from ins_premium_det i),'32745','32745','02', '11000003','00','Request by Mr. Saqib Saleem 28-Mar-2025');</v>
      </c>
      <c r="H12" s="17" t="str">
        <f t="shared" si="3"/>
        <v>insert into ins_premium_det (premium_rcv_code,assorted_code, rec_amount,premium_rcv_detail_code,remaining_amt, payrec, mode_code,coinsurance_code,class_cd,it_remarks) values('27Mar250028','070000174706','32745',(select max(to_number(i.premium_rcv_detail_code))+1
from ins_premium_det i),'32745','32745','02', '11000003','00','Request by Mr. Saqib Saleem 28-Mar-2025');</v>
      </c>
    </row>
    <row r="13" spans="1:8" ht="105" x14ac:dyDescent="0.25">
      <c r="A13" s="2" t="s">
        <v>5056</v>
      </c>
      <c r="B13" s="13" t="str">
        <f>VLOOKUP(A13,policy!B:C,2,0)</f>
        <v>070000174774</v>
      </c>
      <c r="C13" s="3">
        <v>68410</v>
      </c>
      <c r="D13" s="14">
        <f t="shared" si="1"/>
        <v>68410</v>
      </c>
      <c r="E13" s="19" t="s">
        <v>6323</v>
      </c>
      <c r="F13" s="15" t="str">
        <f t="shared" si="0"/>
        <v>insert into ins_premium_det (premium_rcv_code,assorted_code, rec_amount,premium_rcv_detail_code,remaining_amt, payrec, mode_code,coinsurance_code,class_cd,it_remarks) values</v>
      </c>
      <c r="G13" s="16" t="str">
        <f t="shared" si="2"/>
        <v>('27Mar250028','070000174774','68410',(select max(to_number(i.premium_rcv_detail_code))+1
from ins_premium_det i),'68410','68410','02', '11000003','00','Request by Mr. Saqib Saleem 28-Mar-2025');</v>
      </c>
      <c r="H13" s="17" t="str">
        <f t="shared" si="3"/>
        <v>insert into ins_premium_det (premium_rcv_code,assorted_code, rec_amount,premium_rcv_detail_code,remaining_amt, payrec, mode_code,coinsurance_code,class_cd,it_remarks) values('27Mar250028','070000174774','68410',(select max(to_number(i.premium_rcv_detail_code))+1
from ins_premium_det i),'68410','68410','02', '11000003','00','Request by Mr. Saqib Saleem 28-Mar-2025');</v>
      </c>
    </row>
    <row r="14" spans="1:8" ht="105" x14ac:dyDescent="0.25">
      <c r="A14" s="2" t="s">
        <v>5057</v>
      </c>
      <c r="B14" s="13" t="str">
        <f>VLOOKUP(A14,policy!B:C,2,0)</f>
        <v>070000178729</v>
      </c>
      <c r="C14" s="3">
        <v>39600</v>
      </c>
      <c r="D14" s="14">
        <f t="shared" si="1"/>
        <v>39600</v>
      </c>
      <c r="E14" s="19" t="s">
        <v>6323</v>
      </c>
      <c r="F14" s="15" t="str">
        <f t="shared" si="0"/>
        <v>insert into ins_premium_det (premium_rcv_code,assorted_code, rec_amount,premium_rcv_detail_code,remaining_amt, payrec, mode_code,coinsurance_code,class_cd,it_remarks) values</v>
      </c>
      <c r="G14" s="16" t="str">
        <f t="shared" si="2"/>
        <v>('27Mar250028','070000178729','39600',(select max(to_number(i.premium_rcv_detail_code))+1
from ins_premium_det i),'39600','39600','02', '11000003','00','Request by Mr. Saqib Saleem 28-Mar-2025');</v>
      </c>
      <c r="H14" s="17" t="str">
        <f t="shared" si="3"/>
        <v>insert into ins_premium_det (premium_rcv_code,assorted_code, rec_amount,premium_rcv_detail_code,remaining_amt, payrec, mode_code,coinsurance_code,class_cd,it_remarks) values('27Mar250028','070000178729','39600',(select max(to_number(i.premium_rcv_detail_code))+1
from ins_premium_det i),'39600','39600','02', '11000003','00','Request by Mr. Saqib Saleem 28-Mar-2025');</v>
      </c>
    </row>
    <row r="15" spans="1:8" ht="105" x14ac:dyDescent="0.25">
      <c r="A15" s="2" t="s">
        <v>5058</v>
      </c>
      <c r="B15" s="13" t="str">
        <f>VLOOKUP(A15,policy!B:C,2,0)</f>
        <v>070000174787</v>
      </c>
      <c r="C15" s="3">
        <v>24825</v>
      </c>
      <c r="D15" s="14">
        <f t="shared" si="1"/>
        <v>24825</v>
      </c>
      <c r="E15" s="19" t="s">
        <v>6323</v>
      </c>
      <c r="F15" s="15" t="str">
        <f t="shared" si="0"/>
        <v>insert into ins_premium_det (premium_rcv_code,assorted_code, rec_amount,premium_rcv_detail_code,remaining_amt, payrec, mode_code,coinsurance_code,class_cd,it_remarks) values</v>
      </c>
      <c r="G15" s="16" t="str">
        <f t="shared" si="2"/>
        <v>('27Mar250028','070000174787','24825',(select max(to_number(i.premium_rcv_detail_code))+1
from ins_premium_det i),'24825','24825','02', '11000003','00','Request by Mr. Saqib Saleem 28-Mar-2025');</v>
      </c>
      <c r="H15" s="17" t="str">
        <f t="shared" si="3"/>
        <v>insert into ins_premium_det (premium_rcv_code,assorted_code, rec_amount,premium_rcv_detail_code,remaining_amt, payrec, mode_code,coinsurance_code,class_cd,it_remarks) values('27Mar250028','070000174787','24825',(select max(to_number(i.premium_rcv_detail_code))+1
from ins_premium_det i),'24825','24825','02', '11000003','00','Request by Mr. Saqib Saleem 28-Mar-2025');</v>
      </c>
    </row>
    <row r="16" spans="1:8" ht="105" x14ac:dyDescent="0.25">
      <c r="A16" s="2" t="s">
        <v>5059</v>
      </c>
      <c r="B16" s="13" t="str">
        <f>VLOOKUP(A16,policy!B:C,2,0)</f>
        <v>070000174509</v>
      </c>
      <c r="C16" s="3">
        <v>34781</v>
      </c>
      <c r="D16" s="14">
        <f t="shared" si="1"/>
        <v>34781</v>
      </c>
      <c r="E16" s="19" t="s">
        <v>6323</v>
      </c>
      <c r="F16" s="15" t="str">
        <f t="shared" si="0"/>
        <v>insert into ins_premium_det (premium_rcv_code,assorted_code, rec_amount,premium_rcv_detail_code,remaining_amt, payrec, mode_code,coinsurance_code,class_cd,it_remarks) values</v>
      </c>
      <c r="G16" s="16" t="str">
        <f t="shared" si="2"/>
        <v>('27Mar250028','070000174509','34781',(select max(to_number(i.premium_rcv_detail_code))+1
from ins_premium_det i),'34781','34781','02', '11000003','00','Request by Mr. Saqib Saleem 28-Mar-2025');</v>
      </c>
      <c r="H16" s="17" t="str">
        <f t="shared" si="3"/>
        <v>insert into ins_premium_det (premium_rcv_code,assorted_code, rec_amount,premium_rcv_detail_code,remaining_amt, payrec, mode_code,coinsurance_code,class_cd,it_remarks) values('27Mar250028','070000174509','34781',(select max(to_number(i.premium_rcv_detail_code))+1
from ins_premium_det i),'34781','34781','02', '11000003','00','Request by Mr. Saqib Saleem 28-Mar-2025');</v>
      </c>
    </row>
    <row r="17" spans="1:8" ht="105" x14ac:dyDescent="0.25">
      <c r="A17" s="2" t="s">
        <v>5060</v>
      </c>
      <c r="B17" s="13" t="str">
        <f>VLOOKUP(A17,policy!B:C,2,0)</f>
        <v>070000178732</v>
      </c>
      <c r="C17" s="3">
        <v>21360</v>
      </c>
      <c r="D17" s="14">
        <f t="shared" si="1"/>
        <v>21360</v>
      </c>
      <c r="E17" s="19" t="s">
        <v>6323</v>
      </c>
      <c r="F17" s="15" t="str">
        <f t="shared" si="0"/>
        <v>insert into ins_premium_det (premium_rcv_code,assorted_code, rec_amount,premium_rcv_detail_code,remaining_amt, payrec, mode_code,coinsurance_code,class_cd,it_remarks) values</v>
      </c>
      <c r="G17" s="16" t="str">
        <f t="shared" si="2"/>
        <v>('27Mar250028','070000178732','21360',(select max(to_number(i.premium_rcv_detail_code))+1
from ins_premium_det i),'21360','21360','02', '11000003','00','Request by Mr. Saqib Saleem 28-Mar-2025');</v>
      </c>
      <c r="H17" s="17" t="str">
        <f t="shared" si="3"/>
        <v>insert into ins_premium_det (premium_rcv_code,assorted_code, rec_amount,premium_rcv_detail_code,remaining_amt, payrec, mode_code,coinsurance_code,class_cd,it_remarks) values('27Mar250028','070000178732','21360',(select max(to_number(i.premium_rcv_detail_code))+1
from ins_premium_det i),'21360','21360','02', '11000003','00','Request by Mr. Saqib Saleem 28-Mar-2025');</v>
      </c>
    </row>
    <row r="18" spans="1:8" ht="105" x14ac:dyDescent="0.25">
      <c r="A18" s="2" t="s">
        <v>5061</v>
      </c>
      <c r="B18" s="13" t="str">
        <f>VLOOKUP(A18,policy!B:C,2,0)</f>
        <v>070000174511</v>
      </c>
      <c r="C18" s="3">
        <v>18647</v>
      </c>
      <c r="D18" s="14">
        <f t="shared" si="1"/>
        <v>18647</v>
      </c>
      <c r="E18" s="19" t="s">
        <v>6323</v>
      </c>
      <c r="F18" s="15" t="str">
        <f t="shared" si="0"/>
        <v>insert into ins_premium_det (premium_rcv_code,assorted_code, rec_amount,premium_rcv_detail_code,remaining_amt, payrec, mode_code,coinsurance_code,class_cd,it_remarks) values</v>
      </c>
      <c r="G18" s="16" t="str">
        <f t="shared" si="2"/>
        <v>('27Mar250028','070000174511','18647',(select max(to_number(i.premium_rcv_detail_code))+1
from ins_premium_det i),'18647','18647','02', '11000003','00','Request by Mr. Saqib Saleem 28-Mar-2025');</v>
      </c>
      <c r="H18" s="17" t="str">
        <f t="shared" si="3"/>
        <v>insert into ins_premium_det (premium_rcv_code,assorted_code, rec_amount,premium_rcv_detail_code,remaining_amt, payrec, mode_code,coinsurance_code,class_cd,it_remarks) values('27Mar250028','070000174511','18647',(select max(to_number(i.premium_rcv_detail_code))+1
from ins_premium_det i),'18647','18647','02', '11000003','00','Request by Mr. Saqib Saleem 28-Mar-2025');</v>
      </c>
    </row>
    <row r="19" spans="1:8" ht="105" x14ac:dyDescent="0.25">
      <c r="A19" s="2" t="s">
        <v>5062</v>
      </c>
      <c r="B19" s="13" t="str">
        <f>VLOOKUP(A19,policy!B:C,2,0)</f>
        <v>070000174512</v>
      </c>
      <c r="C19" s="3">
        <v>39852</v>
      </c>
      <c r="D19" s="14">
        <f t="shared" si="1"/>
        <v>39852</v>
      </c>
      <c r="E19" s="19" t="s">
        <v>6323</v>
      </c>
      <c r="F19" s="15" t="str">
        <f t="shared" si="0"/>
        <v>insert into ins_premium_det (premium_rcv_code,assorted_code, rec_amount,premium_rcv_detail_code,remaining_amt, payrec, mode_code,coinsurance_code,class_cd,it_remarks) values</v>
      </c>
      <c r="G19" s="16" t="str">
        <f t="shared" si="2"/>
        <v>('27Mar250028','070000174512','39852',(select max(to_number(i.premium_rcv_detail_code))+1
from ins_premium_det i),'39852','39852','02', '11000003','00','Request by Mr. Saqib Saleem 28-Mar-2025');</v>
      </c>
      <c r="H19" s="17" t="str">
        <f t="shared" si="3"/>
        <v>insert into ins_premium_det (premium_rcv_code,assorted_code, rec_amount,premium_rcv_detail_code,remaining_amt, payrec, mode_code,coinsurance_code,class_cd,it_remarks) values('27Mar250028','070000174512','39852',(select max(to_number(i.premium_rcv_detail_code))+1
from ins_premium_det i),'39852','39852','02', '11000003','00','Request by Mr. Saqib Saleem 28-Mar-2025');</v>
      </c>
    </row>
    <row r="20" spans="1:8" ht="45" hidden="1" x14ac:dyDescent="0.25">
      <c r="A20" s="9" t="s">
        <v>5611</v>
      </c>
      <c r="B20" s="13" t="e">
        <f>VLOOKUP(A20,policy!B:C,2,0)</f>
        <v>#N/A</v>
      </c>
      <c r="C20" s="3"/>
      <c r="D20" s="14"/>
      <c r="E20" s="19" t="s">
        <v>6323</v>
      </c>
      <c r="F20" s="15" t="str">
        <f t="shared" si="0"/>
        <v>insert into ins_premium_det (premium_rcv_code,assorted_code, rec_amount,premium_rcv_detail_code,remaining_amt, payrec, mode_code,coinsurance_code,class_cd,it_remarks) values</v>
      </c>
      <c r="G20" s="16" t="e">
        <f t="shared" si="2"/>
        <v>#N/A</v>
      </c>
      <c r="H20" s="17" t="e">
        <f t="shared" si="3"/>
        <v>#N/A</v>
      </c>
    </row>
    <row r="21" spans="1:8" ht="45" hidden="1" x14ac:dyDescent="0.25">
      <c r="A21" s="9" t="s">
        <v>5612</v>
      </c>
      <c r="B21" s="13" t="e">
        <f>VLOOKUP(A21,policy!B:C,2,0)</f>
        <v>#N/A</v>
      </c>
      <c r="C21" s="3"/>
      <c r="D21" s="14"/>
      <c r="E21" s="19" t="s">
        <v>6323</v>
      </c>
      <c r="F21" s="15" t="str">
        <f t="shared" si="0"/>
        <v>insert into ins_premium_det (premium_rcv_code,assorted_code, rec_amount,premium_rcv_detail_code,remaining_amt, payrec, mode_code,coinsurance_code,class_cd,it_remarks) values</v>
      </c>
      <c r="G21" s="16" t="e">
        <f t="shared" si="2"/>
        <v>#N/A</v>
      </c>
      <c r="H21" s="17" t="e">
        <f t="shared" si="3"/>
        <v>#N/A</v>
      </c>
    </row>
    <row r="22" spans="1:8" ht="45" hidden="1" x14ac:dyDescent="0.25">
      <c r="A22" s="9" t="s">
        <v>5613</v>
      </c>
      <c r="B22" s="13" t="e">
        <f>VLOOKUP(A22,policy!B:C,2,0)</f>
        <v>#N/A</v>
      </c>
      <c r="C22" s="3"/>
      <c r="D22" s="14"/>
      <c r="E22" s="19" t="s">
        <v>6323</v>
      </c>
      <c r="F22" s="15" t="str">
        <f t="shared" si="0"/>
        <v>insert into ins_premium_det (premium_rcv_code,assorted_code, rec_amount,premium_rcv_detail_code,remaining_amt, payrec, mode_code,coinsurance_code,class_cd,it_remarks) values</v>
      </c>
      <c r="G22" s="16" t="e">
        <f t="shared" si="2"/>
        <v>#N/A</v>
      </c>
      <c r="H22" s="17" t="e">
        <f t="shared" si="3"/>
        <v>#N/A</v>
      </c>
    </row>
    <row r="23" spans="1:8" ht="45" hidden="1" x14ac:dyDescent="0.25">
      <c r="A23" s="9" t="s">
        <v>5614</v>
      </c>
      <c r="B23" s="13" t="e">
        <f>VLOOKUP(A23,policy!B:C,2,0)</f>
        <v>#N/A</v>
      </c>
      <c r="C23" s="3"/>
      <c r="D23" s="14"/>
      <c r="E23" s="19" t="s">
        <v>6323</v>
      </c>
      <c r="F23" s="15" t="str">
        <f t="shared" si="0"/>
        <v>insert into ins_premium_det (premium_rcv_code,assorted_code, rec_amount,premium_rcv_detail_code,remaining_amt, payrec, mode_code,coinsurance_code,class_cd,it_remarks) values</v>
      </c>
      <c r="G23" s="16" t="e">
        <f t="shared" si="2"/>
        <v>#N/A</v>
      </c>
      <c r="H23" s="17" t="e">
        <f t="shared" si="3"/>
        <v>#N/A</v>
      </c>
    </row>
    <row r="24" spans="1:8" ht="105" x14ac:dyDescent="0.25">
      <c r="A24" s="2" t="s">
        <v>5063</v>
      </c>
      <c r="B24" s="13" t="str">
        <f>VLOOKUP(A24,policy!B:C,2,0)</f>
        <v>070000174562</v>
      </c>
      <c r="C24" s="3">
        <v>21484</v>
      </c>
      <c r="D24" s="14">
        <f t="shared" si="1"/>
        <v>21484</v>
      </c>
      <c r="E24" s="19" t="s">
        <v>6323</v>
      </c>
      <c r="F24" s="15" t="str">
        <f t="shared" si="0"/>
        <v>insert into ins_premium_det (premium_rcv_code,assorted_code, rec_amount,premium_rcv_detail_code,remaining_amt, payrec, mode_code,coinsurance_code,class_cd,it_remarks) values</v>
      </c>
      <c r="G24" s="16" t="str">
        <f t="shared" si="2"/>
        <v>('27Mar250028','070000174562','21484',(select max(to_number(i.premium_rcv_detail_code))+1
from ins_premium_det i),'21484','21484','02', '11000003','00','Request by Mr. Saqib Saleem 28-Mar-2025');</v>
      </c>
      <c r="H24" s="17" t="str">
        <f t="shared" si="3"/>
        <v>insert into ins_premium_det (premium_rcv_code,assorted_code, rec_amount,premium_rcv_detail_code,remaining_amt, payrec, mode_code,coinsurance_code,class_cd,it_remarks) values('27Mar250028','070000174562','21484',(select max(to_number(i.premium_rcv_detail_code))+1
from ins_premium_det i),'21484','21484','02', '11000003','00','Request by Mr. Saqib Saleem 28-Mar-2025');</v>
      </c>
    </row>
    <row r="25" spans="1:8" ht="105" x14ac:dyDescent="0.25">
      <c r="A25" s="2" t="s">
        <v>5064</v>
      </c>
      <c r="B25" s="13" t="str">
        <f>VLOOKUP(A25,policy!B:C,2,0)</f>
        <v>070000174564</v>
      </c>
      <c r="C25" s="3">
        <v>23333</v>
      </c>
      <c r="D25" s="14">
        <f t="shared" si="1"/>
        <v>23333</v>
      </c>
      <c r="E25" s="19" t="s">
        <v>6323</v>
      </c>
      <c r="F25" s="15" t="str">
        <f t="shared" si="0"/>
        <v>insert into ins_premium_det (premium_rcv_code,assorted_code, rec_amount,premium_rcv_detail_code,remaining_amt, payrec, mode_code,coinsurance_code,class_cd,it_remarks) values</v>
      </c>
      <c r="G25" s="16" t="str">
        <f t="shared" si="2"/>
        <v>('27Mar250028','070000174564','23333',(select max(to_number(i.premium_rcv_detail_code))+1
from ins_premium_det i),'23333','23333','02', '11000003','00','Request by Mr. Saqib Saleem 28-Mar-2025');</v>
      </c>
      <c r="H25" s="17" t="str">
        <f t="shared" si="3"/>
        <v>insert into ins_premium_det (premium_rcv_code,assorted_code, rec_amount,premium_rcv_detail_code,remaining_amt, payrec, mode_code,coinsurance_code,class_cd,it_remarks) values('27Mar250028','070000174564','23333',(select max(to_number(i.premium_rcv_detail_code))+1
from ins_premium_det i),'23333','23333','02', '11000003','00','Request by Mr. Saqib Saleem 28-Mar-2025');</v>
      </c>
    </row>
    <row r="26" spans="1:8" ht="105" x14ac:dyDescent="0.25">
      <c r="A26" s="2" t="s">
        <v>5065</v>
      </c>
      <c r="B26" s="13" t="str">
        <f>VLOOKUP(A26,policy!B:C,2,0)</f>
        <v>070000178739</v>
      </c>
      <c r="C26" s="3">
        <v>21360</v>
      </c>
      <c r="D26" s="14">
        <f t="shared" si="1"/>
        <v>21360</v>
      </c>
      <c r="E26" s="19" t="s">
        <v>6323</v>
      </c>
      <c r="F26" s="15" t="str">
        <f t="shared" si="0"/>
        <v>insert into ins_premium_det (premium_rcv_code,assorted_code, rec_amount,premium_rcv_detail_code,remaining_amt, payrec, mode_code,coinsurance_code,class_cd,it_remarks) values</v>
      </c>
      <c r="G26" s="16" t="str">
        <f t="shared" si="2"/>
        <v>('27Mar250028','070000178739','21360',(select max(to_number(i.premium_rcv_detail_code))+1
from ins_premium_det i),'21360','21360','02', '11000003','00','Request by Mr. Saqib Saleem 28-Mar-2025');</v>
      </c>
      <c r="H26" s="17" t="str">
        <f t="shared" si="3"/>
        <v>insert into ins_premium_det (premium_rcv_code,assorted_code, rec_amount,premium_rcv_detail_code,remaining_amt, payrec, mode_code,coinsurance_code,class_cd,it_remarks) values('27Mar250028','070000178739','21360',(select max(to_number(i.premium_rcv_detail_code))+1
from ins_premium_det i),'21360','21360','02', '11000003','00','Request by Mr. Saqib Saleem 28-Mar-2025');</v>
      </c>
    </row>
    <row r="27" spans="1:8" ht="105" x14ac:dyDescent="0.25">
      <c r="A27" s="2" t="s">
        <v>5066</v>
      </c>
      <c r="B27" s="13" t="str">
        <f>VLOOKUP(A27,policy!B:C,2,0)</f>
        <v>070000174574</v>
      </c>
      <c r="C27" s="3">
        <v>11475</v>
      </c>
      <c r="D27" s="14">
        <f t="shared" si="1"/>
        <v>11475</v>
      </c>
      <c r="E27" s="19" t="s">
        <v>6323</v>
      </c>
      <c r="F27" s="15" t="str">
        <f t="shared" si="0"/>
        <v>insert into ins_premium_det (premium_rcv_code,assorted_code, rec_amount,premium_rcv_detail_code,remaining_amt, payrec, mode_code,coinsurance_code,class_cd,it_remarks) values</v>
      </c>
      <c r="G27" s="16" t="str">
        <f t="shared" si="2"/>
        <v>('27Mar250028','070000174574','11475',(select max(to_number(i.premium_rcv_detail_code))+1
from ins_premium_det i),'11475','11475','02', '11000003','00','Request by Mr. Saqib Saleem 28-Mar-2025');</v>
      </c>
      <c r="H27" s="17" t="str">
        <f t="shared" si="3"/>
        <v>insert into ins_premium_det (premium_rcv_code,assorted_code, rec_amount,premium_rcv_detail_code,remaining_amt, payrec, mode_code,coinsurance_code,class_cd,it_remarks) values('27Mar250028','070000174574','11475',(select max(to_number(i.premium_rcv_detail_code))+1
from ins_premium_det i),'11475','11475','02', '11000003','00','Request by Mr. Saqib Saleem 28-Mar-2025');</v>
      </c>
    </row>
    <row r="28" spans="1:8" ht="105" x14ac:dyDescent="0.25">
      <c r="A28" s="2" t="s">
        <v>5067</v>
      </c>
      <c r="B28" s="13" t="str">
        <f>VLOOKUP(A28,policy!B:C,2,0)</f>
        <v>070000174599</v>
      </c>
      <c r="C28" s="3">
        <v>65160</v>
      </c>
      <c r="D28" s="14">
        <f t="shared" si="1"/>
        <v>65160</v>
      </c>
      <c r="E28" s="19" t="s">
        <v>6323</v>
      </c>
      <c r="F28" s="15" t="str">
        <f t="shared" si="0"/>
        <v>insert into ins_premium_det (premium_rcv_code,assorted_code, rec_amount,premium_rcv_detail_code,remaining_amt, payrec, mode_code,coinsurance_code,class_cd,it_remarks) values</v>
      </c>
      <c r="G28" s="16" t="str">
        <f t="shared" si="2"/>
        <v>('27Mar250028','070000174599','65160',(select max(to_number(i.premium_rcv_detail_code))+1
from ins_premium_det i),'65160','65160','02', '11000003','00','Request by Mr. Saqib Saleem 28-Mar-2025');</v>
      </c>
      <c r="H28" s="17" t="str">
        <f t="shared" si="3"/>
        <v>insert into ins_premium_det (premium_rcv_code,assorted_code, rec_amount,premium_rcv_detail_code,remaining_amt, payrec, mode_code,coinsurance_code,class_cd,it_remarks) values('27Mar250028','070000174599','65160',(select max(to_number(i.premium_rcv_detail_code))+1
from ins_premium_det i),'65160','65160','02', '11000003','00','Request by Mr. Saqib Saleem 28-Mar-2025');</v>
      </c>
    </row>
    <row r="29" spans="1:8" ht="105" x14ac:dyDescent="0.25">
      <c r="A29" s="2" t="s">
        <v>5068</v>
      </c>
      <c r="B29" s="13" t="str">
        <f>VLOOKUP(A29,policy!B:C,2,0)</f>
        <v>070000174602</v>
      </c>
      <c r="C29" s="3">
        <v>49712</v>
      </c>
      <c r="D29" s="14">
        <f t="shared" si="1"/>
        <v>49712</v>
      </c>
      <c r="E29" s="19" t="s">
        <v>6323</v>
      </c>
      <c r="F29" s="15" t="str">
        <f t="shared" si="0"/>
        <v>insert into ins_premium_det (premium_rcv_code,assorted_code, rec_amount,premium_rcv_detail_code,remaining_amt, payrec, mode_code,coinsurance_code,class_cd,it_remarks) values</v>
      </c>
      <c r="G29" s="16" t="str">
        <f t="shared" si="2"/>
        <v>('27Mar250028','070000174602','49712',(select max(to_number(i.premium_rcv_detail_code))+1
from ins_premium_det i),'49712','49712','02', '11000003','00','Request by Mr. Saqib Saleem 28-Mar-2025');</v>
      </c>
      <c r="H29" s="17" t="str">
        <f t="shared" si="3"/>
        <v>insert into ins_premium_det (premium_rcv_code,assorted_code, rec_amount,premium_rcv_detail_code,remaining_amt, payrec, mode_code,coinsurance_code,class_cd,it_remarks) values('27Mar250028','070000174602','49712',(select max(to_number(i.premium_rcv_detail_code))+1
from ins_premium_det i),'49712','49712','02', '11000003','00','Request by Mr. Saqib Saleem 28-Mar-2025');</v>
      </c>
    </row>
    <row r="30" spans="1:8" ht="105" x14ac:dyDescent="0.25">
      <c r="A30" s="2" t="s">
        <v>5069</v>
      </c>
      <c r="B30" s="13" t="str">
        <f>VLOOKUP(A30,policy!B:C,2,0)</f>
        <v>070000178745</v>
      </c>
      <c r="C30" s="3">
        <v>21360</v>
      </c>
      <c r="D30" s="14">
        <f t="shared" si="1"/>
        <v>21360</v>
      </c>
      <c r="E30" s="19" t="s">
        <v>6323</v>
      </c>
      <c r="F30" s="15" t="str">
        <f t="shared" si="0"/>
        <v>insert into ins_premium_det (premium_rcv_code,assorted_code, rec_amount,premium_rcv_detail_code,remaining_amt, payrec, mode_code,coinsurance_code,class_cd,it_remarks) values</v>
      </c>
      <c r="G30" s="16" t="str">
        <f t="shared" si="2"/>
        <v>('27Mar250028','070000178745','21360',(select max(to_number(i.premium_rcv_detail_code))+1
from ins_premium_det i),'21360','21360','02', '11000003','00','Request by Mr. Saqib Saleem 28-Mar-2025');</v>
      </c>
      <c r="H30" s="17" t="str">
        <f t="shared" si="3"/>
        <v>insert into ins_premium_det (premium_rcv_code,assorted_code, rec_amount,premium_rcv_detail_code,remaining_amt, payrec, mode_code,coinsurance_code,class_cd,it_remarks) values('27Mar250028','070000178745','21360',(select max(to_number(i.premium_rcv_detail_code))+1
from ins_premium_det i),'21360','21360','02', '11000003','00','Request by Mr. Saqib Saleem 28-Mar-2025');</v>
      </c>
    </row>
    <row r="31" spans="1:8" ht="105" x14ac:dyDescent="0.25">
      <c r="A31" s="2" t="s">
        <v>5070</v>
      </c>
      <c r="B31" s="13" t="str">
        <f>VLOOKUP(A31,policy!B:C,2,0)</f>
        <v>070000174605</v>
      </c>
      <c r="C31" s="3">
        <v>38400</v>
      </c>
      <c r="D31" s="14">
        <f t="shared" si="1"/>
        <v>38400</v>
      </c>
      <c r="E31" s="19" t="s">
        <v>6323</v>
      </c>
      <c r="F31" s="15" t="str">
        <f t="shared" si="0"/>
        <v>insert into ins_premium_det (premium_rcv_code,assorted_code, rec_amount,premium_rcv_detail_code,remaining_amt, payrec, mode_code,coinsurance_code,class_cd,it_remarks) values</v>
      </c>
      <c r="G31" s="16" t="str">
        <f t="shared" si="2"/>
        <v>('27Mar250028','070000174605','38400',(select max(to_number(i.premium_rcv_detail_code))+1
from ins_premium_det i),'38400','38400','02', '11000003','00','Request by Mr. Saqib Saleem 28-Mar-2025');</v>
      </c>
      <c r="H31" s="17" t="str">
        <f t="shared" si="3"/>
        <v>insert into ins_premium_det (premium_rcv_code,assorted_code, rec_amount,premium_rcv_detail_code,remaining_amt, payrec, mode_code,coinsurance_code,class_cd,it_remarks) values('27Mar250028','070000174605','38400',(select max(to_number(i.premium_rcv_detail_code))+1
from ins_premium_det i),'38400','38400','02', '11000003','00','Request by Mr. Saqib Saleem 28-Mar-2025');</v>
      </c>
    </row>
    <row r="32" spans="1:8" ht="105" x14ac:dyDescent="0.25">
      <c r="A32" s="2" t="s">
        <v>5071</v>
      </c>
      <c r="B32" s="13" t="str">
        <f>VLOOKUP(A32,policy!B:C,2,0)</f>
        <v>070000174608</v>
      </c>
      <c r="C32" s="3">
        <v>36000</v>
      </c>
      <c r="D32" s="14">
        <f t="shared" si="1"/>
        <v>36000</v>
      </c>
      <c r="E32" s="19" t="s">
        <v>6323</v>
      </c>
      <c r="F32" s="15" t="str">
        <f t="shared" si="0"/>
        <v>insert into ins_premium_det (premium_rcv_code,assorted_code, rec_amount,premium_rcv_detail_code,remaining_amt, payrec, mode_code,coinsurance_code,class_cd,it_remarks) values</v>
      </c>
      <c r="G32" s="16" t="str">
        <f t="shared" si="2"/>
        <v>('27Mar250028','070000174608','36000',(select max(to_number(i.premium_rcv_detail_code))+1
from ins_premium_det i),'36000','36000','02', '11000003','00','Request by Mr. Saqib Saleem 28-Mar-2025');</v>
      </c>
      <c r="H32" s="17" t="str">
        <f t="shared" si="3"/>
        <v>insert into ins_premium_det (premium_rcv_code,assorted_code, rec_amount,premium_rcv_detail_code,remaining_amt, payrec, mode_code,coinsurance_code,class_cd,it_remarks) values('27Mar250028','070000174608','36000',(select max(to_number(i.premium_rcv_detail_code))+1
from ins_premium_det i),'36000','36000','02', '11000003','00','Request by Mr. Saqib Saleem 28-Mar-2025');</v>
      </c>
    </row>
    <row r="33" spans="1:8" ht="105" x14ac:dyDescent="0.25">
      <c r="A33" s="2" t="s">
        <v>5072</v>
      </c>
      <c r="B33" s="13" t="str">
        <f>VLOOKUP(A33,policy!B:C,2,0)</f>
        <v>070000178749</v>
      </c>
      <c r="C33" s="3">
        <v>21360</v>
      </c>
      <c r="D33" s="14">
        <f t="shared" si="1"/>
        <v>21360</v>
      </c>
      <c r="E33" s="19" t="s">
        <v>6323</v>
      </c>
      <c r="F33" s="15" t="str">
        <f t="shared" si="0"/>
        <v>insert into ins_premium_det (premium_rcv_code,assorted_code, rec_amount,premium_rcv_detail_code,remaining_amt, payrec, mode_code,coinsurance_code,class_cd,it_remarks) values</v>
      </c>
      <c r="G33" s="16" t="str">
        <f t="shared" si="2"/>
        <v>('27Mar250028','070000178749','21360',(select max(to_number(i.premium_rcv_detail_code))+1
from ins_premium_det i),'21360','21360','02', '11000003','00','Request by Mr. Saqib Saleem 28-Mar-2025');</v>
      </c>
      <c r="H33" s="17" t="str">
        <f t="shared" si="3"/>
        <v>insert into ins_premium_det (premium_rcv_code,assorted_code, rec_amount,premium_rcv_detail_code,remaining_amt, payrec, mode_code,coinsurance_code,class_cd,it_remarks) values('27Mar250028','070000178749','21360',(select max(to_number(i.premium_rcv_detail_code))+1
from ins_premium_det i),'21360','21360','02', '11000003','00','Request by Mr. Saqib Saleem 28-Mar-2025');</v>
      </c>
    </row>
    <row r="34" spans="1:8" ht="105" x14ac:dyDescent="0.25">
      <c r="A34" s="2" t="s">
        <v>5073</v>
      </c>
      <c r="B34" s="13" t="str">
        <f>VLOOKUP(A34,policy!B:C,2,0)</f>
        <v>070000178750</v>
      </c>
      <c r="C34" s="3">
        <v>19800</v>
      </c>
      <c r="D34" s="14">
        <f t="shared" si="1"/>
        <v>19800</v>
      </c>
      <c r="E34" s="19" t="s">
        <v>6323</v>
      </c>
      <c r="F34" s="15" t="str">
        <f t="shared" si="0"/>
        <v>insert into ins_premium_det (premium_rcv_code,assorted_code, rec_amount,premium_rcv_detail_code,remaining_amt, payrec, mode_code,coinsurance_code,class_cd,it_remarks) values</v>
      </c>
      <c r="G34" s="16" t="str">
        <f t="shared" si="2"/>
        <v>('27Mar250028','070000178750','19800',(select max(to_number(i.premium_rcv_detail_code))+1
from ins_premium_det i),'19800','19800','02', '11000003','00','Request by Mr. Saqib Saleem 28-Mar-2025');</v>
      </c>
      <c r="H34" s="17" t="str">
        <f t="shared" si="3"/>
        <v>insert into ins_premium_det (premium_rcv_code,assorted_code, rec_amount,premium_rcv_detail_code,remaining_amt, payrec, mode_code,coinsurance_code,class_cd,it_remarks) values('27Mar250028','070000178750','19800',(select max(to_number(i.premium_rcv_detail_code))+1
from ins_premium_det i),'19800','19800','02', '11000003','00','Request by Mr. Saqib Saleem 28-Mar-2025');</v>
      </c>
    </row>
    <row r="35" spans="1:8" ht="105" x14ac:dyDescent="0.25">
      <c r="A35" s="2" t="s">
        <v>5074</v>
      </c>
      <c r="B35" s="13" t="str">
        <f>VLOOKUP(A35,policy!B:C,2,0)</f>
        <v>070000174622</v>
      </c>
      <c r="C35" s="3">
        <v>22000</v>
      </c>
      <c r="D35" s="14">
        <f t="shared" si="1"/>
        <v>22000</v>
      </c>
      <c r="E35" s="19" t="s">
        <v>6323</v>
      </c>
      <c r="F35" s="15" t="str">
        <f t="shared" si="0"/>
        <v>insert into ins_premium_det (premium_rcv_code,assorted_code, rec_amount,premium_rcv_detail_code,remaining_amt, payrec, mode_code,coinsurance_code,class_cd,it_remarks) values</v>
      </c>
      <c r="G35" s="16" t="str">
        <f t="shared" si="2"/>
        <v>('27Mar250028','070000174622','22000',(select max(to_number(i.premium_rcv_detail_code))+1
from ins_premium_det i),'22000','22000','02', '11000003','00','Request by Mr. Saqib Saleem 28-Mar-2025');</v>
      </c>
      <c r="H35" s="17" t="str">
        <f t="shared" si="3"/>
        <v>insert into ins_premium_det (premium_rcv_code,assorted_code, rec_amount,premium_rcv_detail_code,remaining_amt, payrec, mode_code,coinsurance_code,class_cd,it_remarks) values('27Mar250028','070000174622','22000',(select max(to_number(i.premium_rcv_detail_code))+1
from ins_premium_det i),'22000','22000','02', '11000003','00','Request by Mr. Saqib Saleem 28-Mar-2025');</v>
      </c>
    </row>
    <row r="36" spans="1:8" ht="105" x14ac:dyDescent="0.25">
      <c r="A36" s="2" t="s">
        <v>5075</v>
      </c>
      <c r="B36" s="13" t="str">
        <f>VLOOKUP(A36,policy!B:C,2,0)</f>
        <v>070000174636</v>
      </c>
      <c r="C36" s="3">
        <v>17340</v>
      </c>
      <c r="D36" s="14">
        <f t="shared" si="1"/>
        <v>17340</v>
      </c>
      <c r="E36" s="19" t="s">
        <v>6323</v>
      </c>
      <c r="F36" s="15" t="str">
        <f t="shared" si="0"/>
        <v>insert into ins_premium_det (premium_rcv_code,assorted_code, rec_amount,premium_rcv_detail_code,remaining_amt, payrec, mode_code,coinsurance_code,class_cd,it_remarks) values</v>
      </c>
      <c r="G36" s="16" t="str">
        <f t="shared" si="2"/>
        <v>('27Mar250028','070000174636','17340',(select max(to_number(i.premium_rcv_detail_code))+1
from ins_premium_det i),'17340','17340','02', '11000003','00','Request by Mr. Saqib Saleem 28-Mar-2025');</v>
      </c>
      <c r="H36" s="17" t="str">
        <f t="shared" si="3"/>
        <v>insert into ins_premium_det (premium_rcv_code,assorted_code, rec_amount,premium_rcv_detail_code,remaining_amt, payrec, mode_code,coinsurance_code,class_cd,it_remarks) values('27Mar250028','070000174636','17340',(select max(to_number(i.premium_rcv_detail_code))+1
from ins_premium_det i),'17340','17340','02', '11000003','00','Request by Mr. Saqib Saleem 28-Mar-2025');</v>
      </c>
    </row>
    <row r="37" spans="1:8" ht="105" x14ac:dyDescent="0.25">
      <c r="A37" s="2" t="s">
        <v>5076</v>
      </c>
      <c r="B37" s="13" t="str">
        <f>VLOOKUP(A37,policy!B:C,2,0)</f>
        <v>070000174646</v>
      </c>
      <c r="C37" s="3">
        <v>65160</v>
      </c>
      <c r="D37" s="14">
        <f t="shared" si="1"/>
        <v>65160</v>
      </c>
      <c r="E37" s="19" t="s">
        <v>6323</v>
      </c>
      <c r="F37" s="15" t="str">
        <f t="shared" si="0"/>
        <v>insert into ins_premium_det (premium_rcv_code,assorted_code, rec_amount,premium_rcv_detail_code,remaining_amt, payrec, mode_code,coinsurance_code,class_cd,it_remarks) values</v>
      </c>
      <c r="G37" s="16" t="str">
        <f t="shared" si="2"/>
        <v>('27Mar250028','070000174646','65160',(select max(to_number(i.premium_rcv_detail_code))+1
from ins_premium_det i),'65160','65160','02', '11000003','00','Request by Mr. Saqib Saleem 28-Mar-2025');</v>
      </c>
      <c r="H37" s="17" t="str">
        <f t="shared" si="3"/>
        <v>insert into ins_premium_det (premium_rcv_code,assorted_code, rec_amount,premium_rcv_detail_code,remaining_amt, payrec, mode_code,coinsurance_code,class_cd,it_remarks) values('27Mar250028','070000174646','65160',(select max(to_number(i.premium_rcv_detail_code))+1
from ins_premium_det i),'65160','65160','02', '11000003','00','Request by Mr. Saqib Saleem 28-Mar-2025');</v>
      </c>
    </row>
    <row r="38" spans="1:8" ht="105" x14ac:dyDescent="0.25">
      <c r="A38" s="2" t="s">
        <v>5077</v>
      </c>
      <c r="B38" s="13" t="str">
        <f>VLOOKUP(A38,policy!B:C,2,0)</f>
        <v>070000174647</v>
      </c>
      <c r="C38" s="3">
        <v>65160</v>
      </c>
      <c r="D38" s="14">
        <f t="shared" si="1"/>
        <v>65160</v>
      </c>
      <c r="E38" s="19" t="s">
        <v>6323</v>
      </c>
      <c r="F38" s="15" t="str">
        <f t="shared" si="0"/>
        <v>insert into ins_premium_det (premium_rcv_code,assorted_code, rec_amount,premium_rcv_detail_code,remaining_amt, payrec, mode_code,coinsurance_code,class_cd,it_remarks) values</v>
      </c>
      <c r="G38" s="16" t="str">
        <f t="shared" si="2"/>
        <v>('27Mar250028','070000174647','65160',(select max(to_number(i.premium_rcv_detail_code))+1
from ins_premium_det i),'65160','65160','02', '11000003','00','Request by Mr. Saqib Saleem 28-Mar-2025');</v>
      </c>
      <c r="H38" s="17" t="str">
        <f t="shared" si="3"/>
        <v>insert into ins_premium_det (premium_rcv_code,assorted_code, rec_amount,premium_rcv_detail_code,remaining_amt, payrec, mode_code,coinsurance_code,class_cd,it_remarks) values('27Mar250028','070000174647','65160',(select max(to_number(i.premium_rcv_detail_code))+1
from ins_premium_det i),'65160','65160','02', '11000003','00','Request by Mr. Saqib Saleem 28-Mar-2025');</v>
      </c>
    </row>
    <row r="39" spans="1:8" ht="105" x14ac:dyDescent="0.25">
      <c r="A39" s="2" t="s">
        <v>5078</v>
      </c>
      <c r="B39" s="13" t="str">
        <f>VLOOKUP(A39,policy!B:C,2,0)</f>
        <v>070000174657</v>
      </c>
      <c r="C39" s="3">
        <v>49963</v>
      </c>
      <c r="D39" s="14">
        <f t="shared" si="1"/>
        <v>49963</v>
      </c>
      <c r="E39" s="19" t="s">
        <v>6323</v>
      </c>
      <c r="F39" s="15" t="str">
        <f t="shared" si="0"/>
        <v>insert into ins_premium_det (premium_rcv_code,assorted_code, rec_amount,premium_rcv_detail_code,remaining_amt, payrec, mode_code,coinsurance_code,class_cd,it_remarks) values</v>
      </c>
      <c r="G39" s="16" t="str">
        <f t="shared" si="2"/>
        <v>('27Mar250028','070000174657','49963',(select max(to_number(i.premium_rcv_detail_code))+1
from ins_premium_det i),'49963','49963','02', '11000003','00','Request by Mr. Saqib Saleem 28-Mar-2025');</v>
      </c>
      <c r="H39" s="17" t="str">
        <f t="shared" si="3"/>
        <v>insert into ins_premium_det (premium_rcv_code,assorted_code, rec_amount,premium_rcv_detail_code,remaining_amt, payrec, mode_code,coinsurance_code,class_cd,it_remarks) values('27Mar250028','070000174657','49963',(select max(to_number(i.premium_rcv_detail_code))+1
from ins_premium_det i),'49963','49963','02', '11000003','00','Request by Mr. Saqib Saleem 28-Mar-2025');</v>
      </c>
    </row>
    <row r="40" spans="1:8" ht="105" x14ac:dyDescent="0.25">
      <c r="A40" s="2" t="s">
        <v>5079</v>
      </c>
      <c r="B40" s="13" t="str">
        <f>VLOOKUP(A40,policy!B:C,2,0)</f>
        <v>070000178756</v>
      </c>
      <c r="C40" s="3">
        <v>40800</v>
      </c>
      <c r="D40" s="14">
        <f t="shared" si="1"/>
        <v>40800</v>
      </c>
      <c r="E40" s="19" t="s">
        <v>6323</v>
      </c>
      <c r="F40" s="15" t="str">
        <f t="shared" si="0"/>
        <v>insert into ins_premium_det (premium_rcv_code,assorted_code, rec_amount,premium_rcv_detail_code,remaining_amt, payrec, mode_code,coinsurance_code,class_cd,it_remarks) values</v>
      </c>
      <c r="G40" s="16" t="str">
        <f t="shared" si="2"/>
        <v>('27Mar250028','070000178756','40800',(select max(to_number(i.premium_rcv_detail_code))+1
from ins_premium_det i),'40800','40800','02', '11000003','00','Request by Mr. Saqib Saleem 28-Mar-2025');</v>
      </c>
      <c r="H40" s="17" t="str">
        <f t="shared" si="3"/>
        <v>insert into ins_premium_det (premium_rcv_code,assorted_code, rec_amount,premium_rcv_detail_code,remaining_amt, payrec, mode_code,coinsurance_code,class_cd,it_remarks) values('27Mar250028','070000178756','40800',(select max(to_number(i.premium_rcv_detail_code))+1
from ins_premium_det i),'40800','40800','02', '11000003','00','Request by Mr. Saqib Saleem 28-Mar-2025');</v>
      </c>
    </row>
    <row r="41" spans="1:8" ht="105" x14ac:dyDescent="0.25">
      <c r="A41" s="2" t="s">
        <v>5080</v>
      </c>
      <c r="B41" s="13" t="str">
        <f>VLOOKUP(A41,policy!B:C,2,0)</f>
        <v>070000174662</v>
      </c>
      <c r="C41" s="3">
        <v>27200</v>
      </c>
      <c r="D41" s="14">
        <f t="shared" si="1"/>
        <v>27200</v>
      </c>
      <c r="E41" s="19" t="s">
        <v>6323</v>
      </c>
      <c r="F41" s="15" t="str">
        <f t="shared" si="0"/>
        <v>insert into ins_premium_det (premium_rcv_code,assorted_code, rec_amount,premium_rcv_detail_code,remaining_amt, payrec, mode_code,coinsurance_code,class_cd,it_remarks) values</v>
      </c>
      <c r="G41" s="16" t="str">
        <f t="shared" si="2"/>
        <v>('27Mar250028','070000174662','27200',(select max(to_number(i.premium_rcv_detail_code))+1
from ins_premium_det i),'27200','27200','02', '11000003','00','Request by Mr. Saqib Saleem 28-Mar-2025');</v>
      </c>
      <c r="H41" s="17" t="str">
        <f t="shared" si="3"/>
        <v>insert into ins_premium_det (premium_rcv_code,assorted_code, rec_amount,premium_rcv_detail_code,remaining_amt, payrec, mode_code,coinsurance_code,class_cd,it_remarks) values('27Mar250028','070000174662','27200',(select max(to_number(i.premium_rcv_detail_code))+1
from ins_premium_det i),'27200','27200','02', '11000003','00','Request by Mr. Saqib Saleem 28-Mar-2025');</v>
      </c>
    </row>
    <row r="42" spans="1:8" ht="105" x14ac:dyDescent="0.25">
      <c r="A42" s="2" t="s">
        <v>5081</v>
      </c>
      <c r="B42" s="13" t="str">
        <f>VLOOKUP(A42,policy!B:C,2,0)</f>
        <v>070000178758</v>
      </c>
      <c r="C42" s="3">
        <v>36000</v>
      </c>
      <c r="D42" s="14">
        <f t="shared" si="1"/>
        <v>36000</v>
      </c>
      <c r="E42" s="19" t="s">
        <v>6323</v>
      </c>
      <c r="F42" s="15" t="str">
        <f t="shared" si="0"/>
        <v>insert into ins_premium_det (premium_rcv_code,assorted_code, rec_amount,premium_rcv_detail_code,remaining_amt, payrec, mode_code,coinsurance_code,class_cd,it_remarks) values</v>
      </c>
      <c r="G42" s="16" t="str">
        <f t="shared" si="2"/>
        <v>('27Mar250028','070000178758','36000',(select max(to_number(i.premium_rcv_detail_code))+1
from ins_premium_det i),'36000','36000','02', '11000003','00','Request by Mr. Saqib Saleem 28-Mar-2025');</v>
      </c>
      <c r="H42" s="17" t="str">
        <f t="shared" si="3"/>
        <v>insert into ins_premium_det (premium_rcv_code,assorted_code, rec_amount,premium_rcv_detail_code,remaining_amt, payrec, mode_code,coinsurance_code,class_cd,it_remarks) values('27Mar250028','070000178758','36000',(select max(to_number(i.premium_rcv_detail_code))+1
from ins_premium_det i),'36000','36000','02', '11000003','00','Request by Mr. Saqib Saleem 28-Mar-2025');</v>
      </c>
    </row>
    <row r="43" spans="1:8" ht="105" x14ac:dyDescent="0.25">
      <c r="A43" s="2" t="s">
        <v>5082</v>
      </c>
      <c r="B43" s="13" t="str">
        <f>VLOOKUP(A43,policy!B:C,2,0)</f>
        <v>070000174668</v>
      </c>
      <c r="C43" s="3">
        <v>65160</v>
      </c>
      <c r="D43" s="14">
        <f t="shared" si="1"/>
        <v>65160</v>
      </c>
      <c r="E43" s="19" t="s">
        <v>6323</v>
      </c>
      <c r="F43" s="15" t="str">
        <f t="shared" si="0"/>
        <v>insert into ins_premium_det (premium_rcv_code,assorted_code, rec_amount,premium_rcv_detail_code,remaining_amt, payrec, mode_code,coinsurance_code,class_cd,it_remarks) values</v>
      </c>
      <c r="G43" s="16" t="str">
        <f t="shared" si="2"/>
        <v>('27Mar250028','070000174668','65160',(select max(to_number(i.premium_rcv_detail_code))+1
from ins_premium_det i),'65160','65160','02', '11000003','00','Request by Mr. Saqib Saleem 28-Mar-2025');</v>
      </c>
      <c r="H43" s="17" t="str">
        <f t="shared" si="3"/>
        <v>insert into ins_premium_det (premium_rcv_code,assorted_code, rec_amount,premium_rcv_detail_code,remaining_amt, payrec, mode_code,coinsurance_code,class_cd,it_remarks) values('27Mar250028','070000174668','65160',(select max(to_number(i.premium_rcv_detail_code))+1
from ins_premium_det i),'65160','65160','02', '11000003','00','Request by Mr. Saqib Saleem 28-Mar-2025');</v>
      </c>
    </row>
    <row r="44" spans="1:8" ht="105" x14ac:dyDescent="0.25">
      <c r="A44" s="2" t="s">
        <v>5083</v>
      </c>
      <c r="B44" s="13" t="str">
        <f>VLOOKUP(A44,policy!B:C,2,0)</f>
        <v>070000174671</v>
      </c>
      <c r="C44" s="3">
        <v>21101</v>
      </c>
      <c r="D44" s="14">
        <f t="shared" si="1"/>
        <v>21101</v>
      </c>
      <c r="E44" s="19" t="s">
        <v>6323</v>
      </c>
      <c r="F44" s="15" t="str">
        <f t="shared" si="0"/>
        <v>insert into ins_premium_det (premium_rcv_code,assorted_code, rec_amount,premium_rcv_detail_code,remaining_amt, payrec, mode_code,coinsurance_code,class_cd,it_remarks) values</v>
      </c>
      <c r="G44" s="16" t="str">
        <f t="shared" si="2"/>
        <v>('27Mar250028','070000174671','21101',(select max(to_number(i.premium_rcv_detail_code))+1
from ins_premium_det i),'21101','21101','02', '11000003','00','Request by Mr. Saqib Saleem 28-Mar-2025');</v>
      </c>
      <c r="H44" s="17" t="str">
        <f t="shared" si="3"/>
        <v>insert into ins_premium_det (premium_rcv_code,assorted_code, rec_amount,premium_rcv_detail_code,remaining_amt, payrec, mode_code,coinsurance_code,class_cd,it_remarks) values('27Mar250028','070000174671','21101',(select max(to_number(i.premium_rcv_detail_code))+1
from ins_premium_det i),'21101','21101','02', '11000003','00','Request by Mr. Saqib Saleem 28-Mar-2025');</v>
      </c>
    </row>
    <row r="45" spans="1:8" ht="105" x14ac:dyDescent="0.25">
      <c r="A45" s="2" t="s">
        <v>5084</v>
      </c>
      <c r="B45" s="13" t="str">
        <f>VLOOKUP(A45,policy!B:C,2,0)</f>
        <v>070000178761</v>
      </c>
      <c r="C45" s="3">
        <v>57480</v>
      </c>
      <c r="D45" s="14">
        <f t="shared" si="1"/>
        <v>57480</v>
      </c>
      <c r="E45" s="19" t="s">
        <v>6323</v>
      </c>
      <c r="F45" s="15" t="str">
        <f t="shared" si="0"/>
        <v>insert into ins_premium_det (premium_rcv_code,assorted_code, rec_amount,premium_rcv_detail_code,remaining_amt, payrec, mode_code,coinsurance_code,class_cd,it_remarks) values</v>
      </c>
      <c r="G45" s="16" t="str">
        <f t="shared" si="2"/>
        <v>('27Mar250028','070000178761','57480',(select max(to_number(i.premium_rcv_detail_code))+1
from ins_premium_det i),'57480','57480','02', '11000003','00','Request by Mr. Saqib Saleem 28-Mar-2025');</v>
      </c>
      <c r="H45" s="17" t="str">
        <f t="shared" si="3"/>
        <v>insert into ins_premium_det (premium_rcv_code,assorted_code, rec_amount,premium_rcv_detail_code,remaining_amt, payrec, mode_code,coinsurance_code,class_cd,it_remarks) values('27Mar250028','070000178761','57480',(select max(to_number(i.premium_rcv_detail_code))+1
from ins_premium_det i),'57480','57480','02', '11000003','00','Request by Mr. Saqib Saleem 28-Mar-2025');</v>
      </c>
    </row>
    <row r="46" spans="1:8" ht="105" x14ac:dyDescent="0.25">
      <c r="A46" s="2" t="s">
        <v>5085</v>
      </c>
      <c r="B46" s="13" t="str">
        <f>VLOOKUP(A46,policy!B:C,2,0)</f>
        <v>070000174674</v>
      </c>
      <c r="C46" s="3">
        <v>12750</v>
      </c>
      <c r="D46" s="14">
        <f t="shared" si="1"/>
        <v>12750</v>
      </c>
      <c r="E46" s="19" t="s">
        <v>6323</v>
      </c>
      <c r="F46" s="15" t="str">
        <f t="shared" si="0"/>
        <v>insert into ins_premium_det (premium_rcv_code,assorted_code, rec_amount,premium_rcv_detail_code,remaining_amt, payrec, mode_code,coinsurance_code,class_cd,it_remarks) values</v>
      </c>
      <c r="G46" s="16" t="str">
        <f t="shared" si="2"/>
        <v>('27Mar250028','070000174674','12750',(select max(to_number(i.premium_rcv_detail_code))+1
from ins_premium_det i),'12750','12750','02', '11000003','00','Request by Mr. Saqib Saleem 28-Mar-2025');</v>
      </c>
      <c r="H46" s="17" t="str">
        <f t="shared" si="3"/>
        <v>insert into ins_premium_det (premium_rcv_code,assorted_code, rec_amount,premium_rcv_detail_code,remaining_amt, payrec, mode_code,coinsurance_code,class_cd,it_remarks) values('27Mar250028','070000174674','12750',(select max(to_number(i.premium_rcv_detail_code))+1
from ins_premium_det i),'12750','12750','02', '11000003','00','Request by Mr. Saqib Saleem 28-Mar-2025');</v>
      </c>
    </row>
    <row r="47" spans="1:8" ht="105" x14ac:dyDescent="0.25">
      <c r="A47" s="2" t="s">
        <v>5086</v>
      </c>
      <c r="B47" s="13" t="str">
        <f>VLOOKUP(A47,policy!B:C,2,0)</f>
        <v>070000178763</v>
      </c>
      <c r="C47" s="3">
        <v>70875</v>
      </c>
      <c r="D47" s="14">
        <f t="shared" si="1"/>
        <v>70875</v>
      </c>
      <c r="E47" s="19" t="s">
        <v>6323</v>
      </c>
      <c r="F47" s="15" t="str">
        <f t="shared" si="0"/>
        <v>insert into ins_premium_det (premium_rcv_code,assorted_code, rec_amount,premium_rcv_detail_code,remaining_amt, payrec, mode_code,coinsurance_code,class_cd,it_remarks) values</v>
      </c>
      <c r="G47" s="16" t="str">
        <f t="shared" si="2"/>
        <v>('27Mar250028','070000178763','70875',(select max(to_number(i.premium_rcv_detail_code))+1
from ins_premium_det i),'70875','70875','02', '11000003','00','Request by Mr. Saqib Saleem 28-Mar-2025');</v>
      </c>
      <c r="H47" s="17" t="str">
        <f t="shared" si="3"/>
        <v>insert into ins_premium_det (premium_rcv_code,assorted_code, rec_amount,premium_rcv_detail_code,remaining_amt, payrec, mode_code,coinsurance_code,class_cd,it_remarks) values('27Mar250028','070000178763','70875',(select max(to_number(i.premium_rcv_detail_code))+1
from ins_premium_det i),'70875','70875','02', '11000003','00','Request by Mr. Saqib Saleem 28-Mar-2025');</v>
      </c>
    </row>
    <row r="48" spans="1:8" ht="105" x14ac:dyDescent="0.25">
      <c r="A48" s="2" t="s">
        <v>5087</v>
      </c>
      <c r="B48" s="13" t="str">
        <f>VLOOKUP(A48,policy!B:C,2,0)</f>
        <v>070000174693</v>
      </c>
      <c r="C48" s="3">
        <v>32513</v>
      </c>
      <c r="D48" s="14">
        <f t="shared" si="1"/>
        <v>32513</v>
      </c>
      <c r="E48" s="19" t="s">
        <v>6323</v>
      </c>
      <c r="F48" s="15" t="str">
        <f t="shared" si="0"/>
        <v>insert into ins_premium_det (premium_rcv_code,assorted_code, rec_amount,premium_rcv_detail_code,remaining_amt, payrec, mode_code,coinsurance_code,class_cd,it_remarks) values</v>
      </c>
      <c r="G48" s="16" t="str">
        <f t="shared" si="2"/>
        <v>('27Mar250028','070000174693','32513',(select max(to_number(i.premium_rcv_detail_code))+1
from ins_premium_det i),'32513','32513','02', '11000003','00','Request by Mr. Saqib Saleem 28-Mar-2025');</v>
      </c>
      <c r="H48" s="17" t="str">
        <f t="shared" si="3"/>
        <v>insert into ins_premium_det (premium_rcv_code,assorted_code, rec_amount,premium_rcv_detail_code,remaining_amt, payrec, mode_code,coinsurance_code,class_cd,it_remarks) values('27Mar250028','070000174693','32513',(select max(to_number(i.premium_rcv_detail_code))+1
from ins_premium_det i),'32513','32513','02', '11000003','00','Request by Mr. Saqib Saleem 28-Mar-2025');</v>
      </c>
    </row>
    <row r="49" spans="1:8" ht="105" x14ac:dyDescent="0.25">
      <c r="A49" s="2" t="s">
        <v>5088</v>
      </c>
      <c r="B49" s="13" t="str">
        <f>VLOOKUP(A49,policy!B:C,2,0)</f>
        <v>070000178769</v>
      </c>
      <c r="C49" s="3">
        <v>32638</v>
      </c>
      <c r="D49" s="14">
        <f t="shared" si="1"/>
        <v>32638</v>
      </c>
      <c r="E49" s="19" t="s">
        <v>6323</v>
      </c>
      <c r="F49" s="15" t="str">
        <f t="shared" si="0"/>
        <v>insert into ins_premium_det (premium_rcv_code,assorted_code, rec_amount,premium_rcv_detail_code,remaining_amt, payrec, mode_code,coinsurance_code,class_cd,it_remarks) values</v>
      </c>
      <c r="G49" s="16" t="str">
        <f t="shared" si="2"/>
        <v>('27Mar250028','070000178769','32638',(select max(to_number(i.premium_rcv_detail_code))+1
from ins_premium_det i),'32638','32638','02', '11000003','00','Request by Mr. Saqib Saleem 28-Mar-2025');</v>
      </c>
      <c r="H49" s="17" t="str">
        <f t="shared" si="3"/>
        <v>insert into ins_premium_det (premium_rcv_code,assorted_code, rec_amount,premium_rcv_detail_code,remaining_amt, payrec, mode_code,coinsurance_code,class_cd,it_remarks) values('27Mar250028','070000178769','32638',(select max(to_number(i.premium_rcv_detail_code))+1
from ins_premium_det i),'32638','32638','02', '11000003','00','Request by Mr. Saqib Saleem 28-Mar-2025');</v>
      </c>
    </row>
    <row r="50" spans="1:8" ht="105" x14ac:dyDescent="0.25">
      <c r="A50" s="2" t="s">
        <v>5089</v>
      </c>
      <c r="B50" s="13" t="str">
        <f>VLOOKUP(A50,policy!B:C,2,0)</f>
        <v>070000174695</v>
      </c>
      <c r="C50" s="3">
        <v>33575</v>
      </c>
      <c r="D50" s="14">
        <f t="shared" si="1"/>
        <v>33575</v>
      </c>
      <c r="E50" s="19" t="s">
        <v>6323</v>
      </c>
      <c r="F50" s="15" t="str">
        <f t="shared" si="0"/>
        <v>insert into ins_premium_det (premium_rcv_code,assorted_code, rec_amount,premium_rcv_detail_code,remaining_amt, payrec, mode_code,coinsurance_code,class_cd,it_remarks) values</v>
      </c>
      <c r="G50" s="16" t="str">
        <f t="shared" si="2"/>
        <v>('27Mar250028','070000174695','33575',(select max(to_number(i.premium_rcv_detail_code))+1
from ins_premium_det i),'33575','33575','02', '11000003','00','Request by Mr. Saqib Saleem 28-Mar-2025');</v>
      </c>
      <c r="H50" s="17" t="str">
        <f t="shared" si="3"/>
        <v>insert into ins_premium_det (premium_rcv_code,assorted_code, rec_amount,premium_rcv_detail_code,remaining_amt, payrec, mode_code,coinsurance_code,class_cd,it_remarks) values('27Mar250028','070000174695','33575',(select max(to_number(i.premium_rcv_detail_code))+1
from ins_premium_det i),'33575','33575','02', '11000003','00','Request by Mr. Saqib Saleem 28-Mar-2025');</v>
      </c>
    </row>
    <row r="51" spans="1:8" ht="45" hidden="1" x14ac:dyDescent="0.25">
      <c r="A51" s="9" t="s">
        <v>5615</v>
      </c>
      <c r="B51" s="13" t="e">
        <f>VLOOKUP(A51,policy!B:C,2,0)</f>
        <v>#N/A</v>
      </c>
      <c r="C51" s="3"/>
      <c r="D51" s="14"/>
      <c r="E51" s="19" t="s">
        <v>6323</v>
      </c>
      <c r="F51" s="15" t="str">
        <f t="shared" si="0"/>
        <v>insert into ins_premium_det (premium_rcv_code,assorted_code, rec_amount,premium_rcv_detail_code,remaining_amt, payrec, mode_code,coinsurance_code,class_cd,it_remarks) values</v>
      </c>
      <c r="G51" s="16" t="e">
        <f t="shared" si="2"/>
        <v>#N/A</v>
      </c>
      <c r="H51" s="17" t="e">
        <f t="shared" si="3"/>
        <v>#N/A</v>
      </c>
    </row>
    <row r="52" spans="1:8" ht="105" x14ac:dyDescent="0.25">
      <c r="A52" s="2" t="s">
        <v>5090</v>
      </c>
      <c r="B52" s="13" t="str">
        <f>VLOOKUP(A52,policy!B:C,2,0)</f>
        <v>070000174704</v>
      </c>
      <c r="C52" s="3">
        <v>17850</v>
      </c>
      <c r="D52" s="14">
        <f t="shared" si="1"/>
        <v>17850</v>
      </c>
      <c r="E52" s="19" t="s">
        <v>6323</v>
      </c>
      <c r="F52" s="15" t="str">
        <f t="shared" si="0"/>
        <v>insert into ins_premium_det (premium_rcv_code,assorted_code, rec_amount,premium_rcv_detail_code,remaining_amt, payrec, mode_code,coinsurance_code,class_cd,it_remarks) values</v>
      </c>
      <c r="G52" s="16" t="str">
        <f t="shared" si="2"/>
        <v>('27Mar250028','070000174704','17850',(select max(to_number(i.premium_rcv_detail_code))+1
from ins_premium_det i),'17850','17850','02', '11000003','00','Request by Mr. Saqib Saleem 28-Mar-2025');</v>
      </c>
      <c r="H52" s="17" t="str">
        <f t="shared" si="3"/>
        <v>insert into ins_premium_det (premium_rcv_code,assorted_code, rec_amount,premium_rcv_detail_code,remaining_amt, payrec, mode_code,coinsurance_code,class_cd,it_remarks) values('27Mar250028','070000174704','17850',(select max(to_number(i.premium_rcv_detail_code))+1
from ins_premium_det i),'17850','17850','02', '11000003','00','Request by Mr. Saqib Saleem 28-Mar-2025');</v>
      </c>
    </row>
    <row r="53" spans="1:8" ht="105" x14ac:dyDescent="0.25">
      <c r="A53" s="2" t="s">
        <v>5091</v>
      </c>
      <c r="B53" s="13" t="str">
        <f>VLOOKUP(A53,policy!B:C,2,0)</f>
        <v>070000174725</v>
      </c>
      <c r="C53" s="3">
        <v>48080</v>
      </c>
      <c r="D53" s="14">
        <f t="shared" si="1"/>
        <v>48080</v>
      </c>
      <c r="E53" s="19" t="s">
        <v>6323</v>
      </c>
      <c r="F53" s="15" t="str">
        <f t="shared" si="0"/>
        <v>insert into ins_premium_det (premium_rcv_code,assorted_code, rec_amount,premium_rcv_detail_code,remaining_amt, payrec, mode_code,coinsurance_code,class_cd,it_remarks) values</v>
      </c>
      <c r="G53" s="16" t="str">
        <f t="shared" si="2"/>
        <v>('27Mar250028','070000174725','48080',(select max(to_number(i.premium_rcv_detail_code))+1
from ins_premium_det i),'48080','48080','02', '11000003','00','Request by Mr. Saqib Saleem 28-Mar-2025');</v>
      </c>
      <c r="H53" s="17" t="str">
        <f t="shared" si="3"/>
        <v>insert into ins_premium_det (premium_rcv_code,assorted_code, rec_amount,premium_rcv_detail_code,remaining_amt, payrec, mode_code,coinsurance_code,class_cd,it_remarks) values('27Mar250028','070000174725','48080',(select max(to_number(i.premium_rcv_detail_code))+1
from ins_premium_det i),'48080','48080','02', '11000003','00','Request by Mr. Saqib Saleem 28-Mar-2025');</v>
      </c>
    </row>
    <row r="54" spans="1:8" ht="105" x14ac:dyDescent="0.25">
      <c r="A54" s="2" t="s">
        <v>5092</v>
      </c>
      <c r="B54" s="13" t="str">
        <f>VLOOKUP(A54,policy!B:C,2,0)</f>
        <v>070000174741</v>
      </c>
      <c r="C54" s="3">
        <v>26213</v>
      </c>
      <c r="D54" s="14">
        <f t="shared" si="1"/>
        <v>26213</v>
      </c>
      <c r="E54" s="19" t="s">
        <v>6323</v>
      </c>
      <c r="F54" s="15" t="str">
        <f t="shared" si="0"/>
        <v>insert into ins_premium_det (premium_rcv_code,assorted_code, rec_amount,premium_rcv_detail_code,remaining_amt, payrec, mode_code,coinsurance_code,class_cd,it_remarks) values</v>
      </c>
      <c r="G54" s="16" t="str">
        <f t="shared" si="2"/>
        <v>('27Mar250028','070000174741','26213',(select max(to_number(i.premium_rcv_detail_code))+1
from ins_premium_det i),'26213','26213','02', '11000003','00','Request by Mr. Saqib Saleem 28-Mar-2025');</v>
      </c>
      <c r="H54" s="17" t="str">
        <f t="shared" si="3"/>
        <v>insert into ins_premium_det (premium_rcv_code,assorted_code, rec_amount,premium_rcv_detail_code,remaining_amt, payrec, mode_code,coinsurance_code,class_cd,it_remarks) values('27Mar250028','070000174741','26213',(select max(to_number(i.premium_rcv_detail_code))+1
from ins_premium_det i),'26213','26213','02', '11000003','00','Request by Mr. Saqib Saleem 28-Mar-2025');</v>
      </c>
    </row>
    <row r="55" spans="1:8" ht="105" x14ac:dyDescent="0.25">
      <c r="A55" s="2" t="s">
        <v>5093</v>
      </c>
      <c r="B55" s="13" t="str">
        <f>VLOOKUP(A55,policy!B:C,2,0)</f>
        <v>070000174748</v>
      </c>
      <c r="C55" s="3">
        <v>25181</v>
      </c>
      <c r="D55" s="14">
        <f t="shared" si="1"/>
        <v>25181</v>
      </c>
      <c r="E55" s="19" t="s">
        <v>6323</v>
      </c>
      <c r="F55" s="15" t="str">
        <f t="shared" si="0"/>
        <v>insert into ins_premium_det (premium_rcv_code,assorted_code, rec_amount,premium_rcv_detail_code,remaining_amt, payrec, mode_code,coinsurance_code,class_cd,it_remarks) values</v>
      </c>
      <c r="G55" s="16" t="str">
        <f t="shared" si="2"/>
        <v>('27Mar250028','070000174748','25181',(select max(to_number(i.premium_rcv_detail_code))+1
from ins_premium_det i),'25181','25181','02', '11000003','00','Request by Mr. Saqib Saleem 28-Mar-2025');</v>
      </c>
      <c r="H55" s="17" t="str">
        <f t="shared" si="3"/>
        <v>insert into ins_premium_det (premium_rcv_code,assorted_code, rec_amount,premium_rcv_detail_code,remaining_amt, payrec, mode_code,coinsurance_code,class_cd,it_remarks) values('27Mar250028','070000174748','25181',(select max(to_number(i.premium_rcv_detail_code))+1
from ins_premium_det i),'25181','25181','02', '11000003','00','Request by Mr. Saqib Saleem 28-Mar-2025');</v>
      </c>
    </row>
    <row r="56" spans="1:8" ht="105" x14ac:dyDescent="0.25">
      <c r="A56" s="2" t="s">
        <v>5094</v>
      </c>
      <c r="B56" s="13" t="str">
        <f>VLOOKUP(A56,policy!B:C,2,0)</f>
        <v>070000174754</v>
      </c>
      <c r="C56" s="3">
        <v>20400</v>
      </c>
      <c r="D56" s="14">
        <f t="shared" si="1"/>
        <v>20400</v>
      </c>
      <c r="E56" s="19" t="s">
        <v>6323</v>
      </c>
      <c r="F56" s="15" t="str">
        <f t="shared" si="0"/>
        <v>insert into ins_premium_det (premium_rcv_code,assorted_code, rec_amount,premium_rcv_detail_code,remaining_amt, payrec, mode_code,coinsurance_code,class_cd,it_remarks) values</v>
      </c>
      <c r="G56" s="16" t="str">
        <f t="shared" si="2"/>
        <v>('27Mar250028','070000174754','20400',(select max(to_number(i.premium_rcv_detail_code))+1
from ins_premium_det i),'20400','20400','02', '11000003','00','Request by Mr. Saqib Saleem 28-Mar-2025');</v>
      </c>
      <c r="H56" s="17" t="str">
        <f t="shared" si="3"/>
        <v>insert into ins_premium_det (premium_rcv_code,assorted_code, rec_amount,premium_rcv_detail_code,remaining_amt, payrec, mode_code,coinsurance_code,class_cd,it_remarks) values('27Mar250028','070000174754','20400',(select max(to_number(i.premium_rcv_detail_code))+1
from ins_premium_det i),'20400','20400','02', '11000003','00','Request by Mr. Saqib Saleem 28-Mar-2025');</v>
      </c>
    </row>
    <row r="57" spans="1:8" ht="105" x14ac:dyDescent="0.25">
      <c r="A57" s="2" t="s">
        <v>5095</v>
      </c>
      <c r="B57" s="13" t="str">
        <f>VLOOKUP(A57,policy!B:C,2,0)</f>
        <v>070000174757</v>
      </c>
      <c r="C57" s="3">
        <v>70672</v>
      </c>
      <c r="D57" s="14">
        <f t="shared" si="1"/>
        <v>70672</v>
      </c>
      <c r="E57" s="19" t="s">
        <v>6323</v>
      </c>
      <c r="F57" s="15" t="str">
        <f t="shared" si="0"/>
        <v>insert into ins_premium_det (premium_rcv_code,assorted_code, rec_amount,premium_rcv_detail_code,remaining_amt, payrec, mode_code,coinsurance_code,class_cd,it_remarks) values</v>
      </c>
      <c r="G57" s="16" t="str">
        <f t="shared" si="2"/>
        <v>('27Mar250028','070000174757','70672',(select max(to_number(i.premium_rcv_detail_code))+1
from ins_premium_det i),'70672','70672','02', '11000003','00','Request by Mr. Saqib Saleem 28-Mar-2025');</v>
      </c>
      <c r="H57" s="17" t="str">
        <f t="shared" si="3"/>
        <v>insert into ins_premium_det (premium_rcv_code,assorted_code, rec_amount,premium_rcv_detail_code,remaining_amt, payrec, mode_code,coinsurance_code,class_cd,it_remarks) values('27Mar250028','070000174757','70672',(select max(to_number(i.premium_rcv_detail_code))+1
from ins_premium_det i),'70672','70672','02', '11000003','00','Request by Mr. Saqib Saleem 28-Mar-2025');</v>
      </c>
    </row>
    <row r="58" spans="1:8" ht="105" x14ac:dyDescent="0.25">
      <c r="A58" s="2" t="s">
        <v>5096</v>
      </c>
      <c r="B58" s="13" t="str">
        <f>VLOOKUP(A58,policy!B:C,2,0)</f>
        <v>070000174758</v>
      </c>
      <c r="C58" s="3">
        <v>54240</v>
      </c>
      <c r="D58" s="14">
        <f t="shared" si="1"/>
        <v>54240</v>
      </c>
      <c r="E58" s="19" t="s">
        <v>6323</v>
      </c>
      <c r="F58" s="15" t="str">
        <f t="shared" si="0"/>
        <v>insert into ins_premium_det (premium_rcv_code,assorted_code, rec_amount,premium_rcv_detail_code,remaining_amt, payrec, mode_code,coinsurance_code,class_cd,it_remarks) values</v>
      </c>
      <c r="G58" s="16" t="str">
        <f t="shared" si="2"/>
        <v>('27Mar250028','070000174758','54240',(select max(to_number(i.premium_rcv_detail_code))+1
from ins_premium_det i),'54240','54240','02', '11000003','00','Request by Mr. Saqib Saleem 28-Mar-2025');</v>
      </c>
      <c r="H58" s="17" t="str">
        <f t="shared" si="3"/>
        <v>insert into ins_premium_det (premium_rcv_code,assorted_code, rec_amount,premium_rcv_detail_code,remaining_amt, payrec, mode_code,coinsurance_code,class_cd,it_remarks) values('27Mar250028','070000174758','54240',(select max(to_number(i.premium_rcv_detail_code))+1
from ins_premium_det i),'54240','54240','02', '11000003','00','Request by Mr. Saqib Saleem 28-Mar-2025');</v>
      </c>
    </row>
    <row r="59" spans="1:8" ht="105" x14ac:dyDescent="0.25">
      <c r="A59" s="2" t="s">
        <v>5097</v>
      </c>
      <c r="B59" s="13" t="str">
        <f>VLOOKUP(A59,policy!B:C,2,0)</f>
        <v>070000174791</v>
      </c>
      <c r="C59" s="3">
        <v>19125</v>
      </c>
      <c r="D59" s="14">
        <f t="shared" si="1"/>
        <v>19125</v>
      </c>
      <c r="E59" s="19" t="s">
        <v>6323</v>
      </c>
      <c r="F59" s="15" t="str">
        <f t="shared" si="0"/>
        <v>insert into ins_premium_det (premium_rcv_code,assorted_code, rec_amount,premium_rcv_detail_code,remaining_amt, payrec, mode_code,coinsurance_code,class_cd,it_remarks) values</v>
      </c>
      <c r="G59" s="16" t="str">
        <f t="shared" si="2"/>
        <v>('27Mar250028','070000174791','19125',(select max(to_number(i.premium_rcv_detail_code))+1
from ins_premium_det i),'19125','19125','02', '11000003','00','Request by Mr. Saqib Saleem 28-Mar-2025');</v>
      </c>
      <c r="H59" s="17" t="str">
        <f t="shared" si="3"/>
        <v>insert into ins_premium_det (premium_rcv_code,assorted_code, rec_amount,premium_rcv_detail_code,remaining_amt, payrec, mode_code,coinsurance_code,class_cd,it_remarks) values('27Mar250028','070000174791','19125',(select max(to_number(i.premium_rcv_detail_code))+1
from ins_premium_det i),'19125','19125','02', '11000003','00','Request by Mr. Saqib Saleem 28-Mar-2025');</v>
      </c>
    </row>
    <row r="60" spans="1:8" ht="105" x14ac:dyDescent="0.25">
      <c r="A60" s="2" t="s">
        <v>5098</v>
      </c>
      <c r="B60" s="13" t="str">
        <f>VLOOKUP(A60,policy!B:C,2,0)</f>
        <v>070000174799</v>
      </c>
      <c r="C60" s="3">
        <v>21675</v>
      </c>
      <c r="D60" s="14">
        <f t="shared" si="1"/>
        <v>21675</v>
      </c>
      <c r="E60" s="19" t="s">
        <v>6323</v>
      </c>
      <c r="F60" s="15" t="str">
        <f t="shared" si="0"/>
        <v>insert into ins_premium_det (premium_rcv_code,assorted_code, rec_amount,premium_rcv_detail_code,remaining_amt, payrec, mode_code,coinsurance_code,class_cd,it_remarks) values</v>
      </c>
      <c r="G60" s="16" t="str">
        <f t="shared" si="2"/>
        <v>('27Mar250028','070000174799','21675',(select max(to_number(i.premium_rcv_detail_code))+1
from ins_premium_det i),'21675','21675','02', '11000003','00','Request by Mr. Saqib Saleem 28-Mar-2025');</v>
      </c>
      <c r="H60" s="17" t="str">
        <f t="shared" si="3"/>
        <v>insert into ins_premium_det (premium_rcv_code,assorted_code, rec_amount,premium_rcv_detail_code,remaining_amt, payrec, mode_code,coinsurance_code,class_cd,it_remarks) values('27Mar250028','070000174799','21675',(select max(to_number(i.premium_rcv_detail_code))+1
from ins_premium_det i),'21675','21675','02', '11000003','00','Request by Mr. Saqib Saleem 28-Mar-2025');</v>
      </c>
    </row>
    <row r="61" spans="1:8" ht="105" x14ac:dyDescent="0.25">
      <c r="A61" s="2" t="s">
        <v>5099</v>
      </c>
      <c r="B61" s="13" t="str">
        <f>VLOOKUP(A61,policy!B:C,2,0)</f>
        <v>070000174775</v>
      </c>
      <c r="C61" s="3">
        <v>72229</v>
      </c>
      <c r="D61" s="14">
        <f t="shared" si="1"/>
        <v>72229</v>
      </c>
      <c r="E61" s="19" t="s">
        <v>6323</v>
      </c>
      <c r="F61" s="15" t="str">
        <f t="shared" si="0"/>
        <v>insert into ins_premium_det (premium_rcv_code,assorted_code, rec_amount,premium_rcv_detail_code,remaining_amt, payrec, mode_code,coinsurance_code,class_cd,it_remarks) values</v>
      </c>
      <c r="G61" s="16" t="str">
        <f t="shared" si="2"/>
        <v>('27Mar250028','070000174775','72229',(select max(to_number(i.premium_rcv_detail_code))+1
from ins_premium_det i),'72229','72229','02', '11000003','00','Request by Mr. Saqib Saleem 28-Mar-2025');</v>
      </c>
      <c r="H61" s="17" t="str">
        <f t="shared" si="3"/>
        <v>insert into ins_premium_det (premium_rcv_code,assorted_code, rec_amount,premium_rcv_detail_code,remaining_amt, payrec, mode_code,coinsurance_code,class_cd,it_remarks) values('27Mar250028','070000174775','72229',(select max(to_number(i.premium_rcv_detail_code))+1
from ins_premium_det i),'72229','72229','02', '11000003','00','Request by Mr. Saqib Saleem 28-Mar-2025');</v>
      </c>
    </row>
    <row r="62" spans="1:8" ht="105" x14ac:dyDescent="0.25">
      <c r="A62" s="2" t="s">
        <v>5100</v>
      </c>
      <c r="B62" s="13" t="str">
        <f>VLOOKUP(A62,policy!B:C,2,0)</f>
        <v>070000174697</v>
      </c>
      <c r="C62" s="3">
        <v>22950</v>
      </c>
      <c r="D62" s="14">
        <f t="shared" si="1"/>
        <v>22950</v>
      </c>
      <c r="E62" s="19" t="s">
        <v>6323</v>
      </c>
      <c r="F62" s="15" t="str">
        <f t="shared" si="0"/>
        <v>insert into ins_premium_det (premium_rcv_code,assorted_code, rec_amount,premium_rcv_detail_code,remaining_amt, payrec, mode_code,coinsurance_code,class_cd,it_remarks) values</v>
      </c>
      <c r="G62" s="16" t="str">
        <f t="shared" si="2"/>
        <v>('27Mar250028','070000174697','22950',(select max(to_number(i.premium_rcv_detail_code))+1
from ins_premium_det i),'22950','22950','02', '11000003','00','Request by Mr. Saqib Saleem 28-Mar-2025');</v>
      </c>
      <c r="H62" s="17" t="str">
        <f t="shared" si="3"/>
        <v>insert into ins_premium_det (premium_rcv_code,assorted_code, rec_amount,premium_rcv_detail_code,remaining_amt, payrec, mode_code,coinsurance_code,class_cd,it_remarks) values('27Mar250028','070000174697','22950',(select max(to_number(i.premium_rcv_detail_code))+1
from ins_premium_det i),'22950','22950','02', '11000003','00','Request by Mr. Saqib Saleem 28-Mar-2025');</v>
      </c>
    </row>
    <row r="63" spans="1:8" ht="105" x14ac:dyDescent="0.25">
      <c r="A63" s="2" t="s">
        <v>5101</v>
      </c>
      <c r="B63" s="13" t="str">
        <f>VLOOKUP(A63,policy!B:C,2,0)</f>
        <v>070000178780</v>
      </c>
      <c r="C63" s="3">
        <v>90720</v>
      </c>
      <c r="D63" s="14">
        <f t="shared" si="1"/>
        <v>90720</v>
      </c>
      <c r="E63" s="19" t="s">
        <v>6323</v>
      </c>
      <c r="F63" s="15" t="str">
        <f t="shared" si="0"/>
        <v>insert into ins_premium_det (premium_rcv_code,assorted_code, rec_amount,premium_rcv_detail_code,remaining_amt, payrec, mode_code,coinsurance_code,class_cd,it_remarks) values</v>
      </c>
      <c r="G63" s="16" t="str">
        <f t="shared" si="2"/>
        <v>('27Mar250028','070000178780','90720',(select max(to_number(i.premium_rcv_detail_code))+1
from ins_premium_det i),'90720','90720','02', '11000003','00','Request by Mr. Saqib Saleem 28-Mar-2025');</v>
      </c>
      <c r="H63" s="17" t="str">
        <f t="shared" si="3"/>
        <v>insert into ins_premium_det (premium_rcv_code,assorted_code, rec_amount,premium_rcv_detail_code,remaining_amt, payrec, mode_code,coinsurance_code,class_cd,it_remarks) values('27Mar250028','070000178780','90720',(select max(to_number(i.premium_rcv_detail_code))+1
from ins_premium_det i),'90720','90720','02', '11000003','00','Request by Mr. Saqib Saleem 28-Mar-2025');</v>
      </c>
    </row>
    <row r="64" spans="1:8" ht="105" x14ac:dyDescent="0.25">
      <c r="A64" s="2" t="s">
        <v>5102</v>
      </c>
      <c r="B64" s="13" t="str">
        <f>VLOOKUP(A64,policy!B:C,2,0)</f>
        <v>070000174681</v>
      </c>
      <c r="C64" s="3">
        <v>40800</v>
      </c>
      <c r="D64" s="14">
        <f t="shared" si="1"/>
        <v>40800</v>
      </c>
      <c r="E64" s="19" t="s">
        <v>6323</v>
      </c>
      <c r="F64" s="15" t="str">
        <f t="shared" si="0"/>
        <v>insert into ins_premium_det (premium_rcv_code,assorted_code, rec_amount,premium_rcv_detail_code,remaining_amt, payrec, mode_code,coinsurance_code,class_cd,it_remarks) values</v>
      </c>
      <c r="G64" s="16" t="str">
        <f t="shared" si="2"/>
        <v>('27Mar250028','070000174681','40800',(select max(to_number(i.premium_rcv_detail_code))+1
from ins_premium_det i),'40800','40800','02', '11000003','00','Request by Mr. Saqib Saleem 28-Mar-2025');</v>
      </c>
      <c r="H64" s="17" t="str">
        <f t="shared" si="3"/>
        <v>insert into ins_premium_det (premium_rcv_code,assorted_code, rec_amount,premium_rcv_detail_code,remaining_amt, payrec, mode_code,coinsurance_code,class_cd,it_remarks) values('27Mar250028','070000174681','40800',(select max(to_number(i.premium_rcv_detail_code))+1
from ins_premium_det i),'40800','40800','02', '11000003','00','Request by Mr. Saqib Saleem 28-Mar-2025');</v>
      </c>
    </row>
    <row r="65" spans="1:8" ht="105" x14ac:dyDescent="0.25">
      <c r="A65" s="2" t="s">
        <v>5103</v>
      </c>
      <c r="B65" s="13" t="str">
        <f>VLOOKUP(A65,policy!B:C,2,0)</f>
        <v>070000174575</v>
      </c>
      <c r="C65" s="3">
        <v>18384</v>
      </c>
      <c r="D65" s="14">
        <f t="shared" si="1"/>
        <v>18384</v>
      </c>
      <c r="E65" s="19" t="s">
        <v>6323</v>
      </c>
      <c r="F65" s="15" t="str">
        <f t="shared" si="0"/>
        <v>insert into ins_premium_det (premium_rcv_code,assorted_code, rec_amount,premium_rcv_detail_code,remaining_amt, payrec, mode_code,coinsurance_code,class_cd,it_remarks) values</v>
      </c>
      <c r="G65" s="16" t="str">
        <f t="shared" si="2"/>
        <v>('27Mar250028','070000174575','18384',(select max(to_number(i.premium_rcv_detail_code))+1
from ins_premium_det i),'18384','18384','02', '11000003','00','Request by Mr. Saqib Saleem 28-Mar-2025');</v>
      </c>
      <c r="H65" s="17" t="str">
        <f t="shared" si="3"/>
        <v>insert into ins_premium_det (premium_rcv_code,assorted_code, rec_amount,premium_rcv_detail_code,remaining_amt, payrec, mode_code,coinsurance_code,class_cd,it_remarks) values('27Mar250028','070000174575','18384',(select max(to_number(i.premium_rcv_detail_code))+1
from ins_premium_det i),'18384','18384','02', '11000003','00','Request by Mr. Saqib Saleem 28-Mar-2025');</v>
      </c>
    </row>
    <row r="66" spans="1:8" ht="105" x14ac:dyDescent="0.25">
      <c r="A66" s="2" t="s">
        <v>5442</v>
      </c>
      <c r="B66" s="13" t="str">
        <f>VLOOKUP(A66,policy!B:C,2,0)</f>
        <v>070000174543</v>
      </c>
      <c r="C66" s="3">
        <v>26128</v>
      </c>
      <c r="D66" s="14">
        <f t="shared" si="1"/>
        <v>26128</v>
      </c>
      <c r="E66" s="19" t="s">
        <v>6323</v>
      </c>
      <c r="F66" s="15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6" t="str">
        <f t="shared" si="2"/>
        <v>('27Mar250028','070000174543','26128',(select max(to_number(i.premium_rcv_detail_code))+1
from ins_premium_det i),'26128','26128','02', '11000003','00','Request by Mr. Saqib Saleem 28-Mar-2025');</v>
      </c>
      <c r="H66" s="17" t="str">
        <f t="shared" si="3"/>
        <v>insert into ins_premium_det (premium_rcv_code,assorted_code, rec_amount,premium_rcv_detail_code,remaining_amt, payrec, mode_code,coinsurance_code,class_cd,it_remarks) values('27Mar250028','070000174543','26128',(select max(to_number(i.premium_rcv_detail_code))+1
from ins_premium_det i),'26128','26128','02', '11000003','00','Request by Mr. Saqib Saleem 28-Mar-2025');</v>
      </c>
    </row>
    <row r="67" spans="1:8" ht="105" x14ac:dyDescent="0.25">
      <c r="A67" s="2" t="s">
        <v>5104</v>
      </c>
      <c r="B67" s="13" t="str">
        <f>VLOOKUP(A67,policy!B:C,2,0)</f>
        <v>070000177369</v>
      </c>
      <c r="C67" s="3">
        <v>65625</v>
      </c>
      <c r="D67" s="14">
        <f t="shared" ref="D67:D130" si="5">ROUND(C67,0)</f>
        <v>65625</v>
      </c>
      <c r="E67" s="19" t="s">
        <v>6323</v>
      </c>
      <c r="F67" s="15" t="str">
        <f t="shared" si="4"/>
        <v>insert into ins_premium_det (premium_rcv_code,assorted_code, rec_amount,premium_rcv_detail_code,remaining_amt, payrec, mode_code,coinsurance_code,class_cd,it_remarks) values</v>
      </c>
      <c r="G67" s="16" t="str">
        <f t="shared" ref="G67:G130" si="6">"('"&amp;E67&amp;"','"&amp;B67&amp;"','"&amp;D67&amp;"',(select max(to_number(i.premium_rcv_detail_code))+1
from ins_premium_det i),'"&amp;D67&amp;"','"&amp;D67&amp;"','02', '11000003','00','Request by Mr. Saqib Saleem 28-Mar-2025');"</f>
        <v>('27Mar250028','070000177369','65625',(select max(to_number(i.premium_rcv_detail_code))+1
from ins_premium_det i),'65625','65625','02', '11000003','00','Request by Mr. Saqib Saleem 28-Mar-2025');</v>
      </c>
      <c r="H67" s="17" t="str">
        <f t="shared" ref="H67:H130" si="7">F67&amp;G67</f>
        <v>insert into ins_premium_det (premium_rcv_code,assorted_code, rec_amount,premium_rcv_detail_code,remaining_amt, payrec, mode_code,coinsurance_code,class_cd,it_remarks) values('27Mar250028','070000177369','65625',(select max(to_number(i.premium_rcv_detail_code))+1
from ins_premium_det i),'65625','65625','02', '11000003','00','Request by Mr. Saqib Saleem 28-Mar-2025');</v>
      </c>
    </row>
    <row r="68" spans="1:8" ht="105" x14ac:dyDescent="0.25">
      <c r="A68" s="2" t="s">
        <v>5105</v>
      </c>
      <c r="B68" s="13" t="str">
        <f>VLOOKUP(A68,policy!B:C,2,0)</f>
        <v>070000177370</v>
      </c>
      <c r="C68" s="3">
        <v>14613</v>
      </c>
      <c r="D68" s="14">
        <f t="shared" si="5"/>
        <v>14613</v>
      </c>
      <c r="E68" s="19" t="s">
        <v>6323</v>
      </c>
      <c r="F68" s="15" t="str">
        <f t="shared" si="4"/>
        <v>insert into ins_premium_det (premium_rcv_code,assorted_code, rec_amount,premium_rcv_detail_code,remaining_amt, payrec, mode_code,coinsurance_code,class_cd,it_remarks) values</v>
      </c>
      <c r="G68" s="16" t="str">
        <f t="shared" si="6"/>
        <v>('27Mar250028','070000177370','14613',(select max(to_number(i.premium_rcv_detail_code))+1
from ins_premium_det i),'14613','14613','02', '11000003','00','Request by Mr. Saqib Saleem 28-Mar-2025');</v>
      </c>
      <c r="H68" s="17" t="str">
        <f t="shared" si="7"/>
        <v>insert into ins_premium_det (premium_rcv_code,assorted_code, rec_amount,premium_rcv_detail_code,remaining_amt, payrec, mode_code,coinsurance_code,class_cd,it_remarks) values('27Mar250028','070000177370','14613',(select max(to_number(i.premium_rcv_detail_code))+1
from ins_premium_det i),'14613','14613','02', '11000003','00','Request by Mr. Saqib Saleem 28-Mar-2025');</v>
      </c>
    </row>
    <row r="69" spans="1:8" ht="105" x14ac:dyDescent="0.25">
      <c r="A69" s="2" t="s">
        <v>5106</v>
      </c>
      <c r="B69" s="13" t="str">
        <f>VLOOKUP(A69,policy!B:C,2,0)</f>
        <v>070000177371</v>
      </c>
      <c r="C69" s="3">
        <v>32550</v>
      </c>
      <c r="D69" s="14">
        <f t="shared" si="5"/>
        <v>32550</v>
      </c>
      <c r="E69" s="19" t="s">
        <v>6323</v>
      </c>
      <c r="F69" s="15" t="str">
        <f t="shared" si="4"/>
        <v>insert into ins_premium_det (premium_rcv_code,assorted_code, rec_amount,premium_rcv_detail_code,remaining_amt, payrec, mode_code,coinsurance_code,class_cd,it_remarks) values</v>
      </c>
      <c r="G69" s="16" t="str">
        <f t="shared" si="6"/>
        <v>('27Mar250028','070000177371','32550',(select max(to_number(i.premium_rcv_detail_code))+1
from ins_premium_det i),'32550','32550','02', '11000003','00','Request by Mr. Saqib Saleem 28-Mar-2025');</v>
      </c>
      <c r="H69" s="17" t="str">
        <f t="shared" si="7"/>
        <v>insert into ins_premium_det (premium_rcv_code,assorted_code, rec_amount,premium_rcv_detail_code,remaining_amt, payrec, mode_code,coinsurance_code,class_cd,it_remarks) values('27Mar250028','070000177371','32550',(select max(to_number(i.premium_rcv_detail_code))+1
from ins_premium_det i),'32550','32550','02', '11000003','00','Request by Mr. Saqib Saleem 28-Mar-2025');</v>
      </c>
    </row>
    <row r="70" spans="1:8" ht="105" x14ac:dyDescent="0.25">
      <c r="A70" s="2" t="s">
        <v>5107</v>
      </c>
      <c r="B70" s="13" t="str">
        <f>VLOOKUP(A70,policy!B:C,2,0)</f>
        <v>070000177373</v>
      </c>
      <c r="C70" s="3">
        <v>56850</v>
      </c>
      <c r="D70" s="14">
        <f t="shared" si="5"/>
        <v>56850</v>
      </c>
      <c r="E70" s="19" t="s">
        <v>6323</v>
      </c>
      <c r="F70" s="15" t="str">
        <f t="shared" si="4"/>
        <v>insert into ins_premium_det (premium_rcv_code,assorted_code, rec_amount,premium_rcv_detail_code,remaining_amt, payrec, mode_code,coinsurance_code,class_cd,it_remarks) values</v>
      </c>
      <c r="G70" s="16" t="str">
        <f t="shared" si="6"/>
        <v>('27Mar250028','070000177373','56850',(select max(to_number(i.premium_rcv_detail_code))+1
from ins_premium_det i),'56850','56850','02', '11000003','00','Request by Mr. Saqib Saleem 28-Mar-2025');</v>
      </c>
      <c r="H70" s="17" t="str">
        <f t="shared" si="7"/>
        <v>insert into ins_premium_det (premium_rcv_code,assorted_code, rec_amount,premium_rcv_detail_code,remaining_amt, payrec, mode_code,coinsurance_code,class_cd,it_remarks) values('27Mar250028','070000177373','56850',(select max(to_number(i.premium_rcv_detail_code))+1
from ins_premium_det i),'56850','56850','02', '11000003','00','Request by Mr. Saqib Saleem 28-Mar-2025');</v>
      </c>
    </row>
    <row r="71" spans="1:8" ht="105" x14ac:dyDescent="0.25">
      <c r="A71" s="2" t="s">
        <v>5108</v>
      </c>
      <c r="B71" s="13" t="str">
        <f>VLOOKUP(A71,policy!B:C,2,0)</f>
        <v>070000177375</v>
      </c>
      <c r="C71" s="3">
        <v>25760</v>
      </c>
      <c r="D71" s="14">
        <f t="shared" si="5"/>
        <v>25760</v>
      </c>
      <c r="E71" s="19" t="s">
        <v>6323</v>
      </c>
      <c r="F71" s="15" t="str">
        <f t="shared" si="4"/>
        <v>insert into ins_premium_det (premium_rcv_code,assorted_code, rec_amount,premium_rcv_detail_code,remaining_amt, payrec, mode_code,coinsurance_code,class_cd,it_remarks) values</v>
      </c>
      <c r="G71" s="16" t="str">
        <f t="shared" si="6"/>
        <v>('27Mar250028','070000177375','25760',(select max(to_number(i.premium_rcv_detail_code))+1
from ins_premium_det i),'25760','25760','02', '11000003','00','Request by Mr. Saqib Saleem 28-Mar-2025');</v>
      </c>
      <c r="H71" s="17" t="str">
        <f t="shared" si="7"/>
        <v>insert into ins_premium_det (premium_rcv_code,assorted_code, rec_amount,premium_rcv_detail_code,remaining_amt, payrec, mode_code,coinsurance_code,class_cd,it_remarks) values('27Mar250028','070000177375','25760',(select max(to_number(i.premium_rcv_detail_code))+1
from ins_premium_det i),'25760','25760','02', '11000003','00','Request by Mr. Saqib Saleem 28-Mar-2025');</v>
      </c>
    </row>
    <row r="72" spans="1:8" ht="105" x14ac:dyDescent="0.25">
      <c r="A72" s="2" t="s">
        <v>5109</v>
      </c>
      <c r="B72" s="13" t="str">
        <f>VLOOKUP(A72,policy!B:C,2,0)</f>
        <v>070000177376</v>
      </c>
      <c r="C72" s="3">
        <v>21495</v>
      </c>
      <c r="D72" s="14">
        <f t="shared" si="5"/>
        <v>21495</v>
      </c>
      <c r="E72" s="19" t="s">
        <v>6323</v>
      </c>
      <c r="F72" s="15" t="str">
        <f t="shared" si="4"/>
        <v>insert into ins_premium_det (premium_rcv_code,assorted_code, rec_amount,premium_rcv_detail_code,remaining_amt, payrec, mode_code,coinsurance_code,class_cd,it_remarks) values</v>
      </c>
      <c r="G72" s="16" t="str">
        <f t="shared" si="6"/>
        <v>('27Mar250028','070000177376','21495',(select max(to_number(i.premium_rcv_detail_code))+1
from ins_premium_det i),'21495','21495','02', '11000003','00','Request by Mr. Saqib Saleem 28-Mar-2025');</v>
      </c>
      <c r="H72" s="17" t="str">
        <f t="shared" si="7"/>
        <v>insert into ins_premium_det (premium_rcv_code,assorted_code, rec_amount,premium_rcv_detail_code,remaining_amt, payrec, mode_code,coinsurance_code,class_cd,it_remarks) values('27Mar250028','070000177376','21495',(select max(to_number(i.premium_rcv_detail_code))+1
from ins_premium_det i),'21495','21495','02', '11000003','00','Request by Mr. Saqib Saleem 28-Mar-2025');</v>
      </c>
    </row>
    <row r="73" spans="1:8" ht="105" x14ac:dyDescent="0.25">
      <c r="A73" s="2" t="s">
        <v>5110</v>
      </c>
      <c r="B73" s="13" t="str">
        <f>VLOOKUP(A73,policy!B:C,2,0)</f>
        <v>070000177377</v>
      </c>
      <c r="C73" s="3">
        <v>34313</v>
      </c>
      <c r="D73" s="14">
        <f t="shared" si="5"/>
        <v>34313</v>
      </c>
      <c r="E73" s="19" t="s">
        <v>6323</v>
      </c>
      <c r="F73" s="15" t="str">
        <f t="shared" si="4"/>
        <v>insert into ins_premium_det (premium_rcv_code,assorted_code, rec_amount,premium_rcv_detail_code,remaining_amt, payrec, mode_code,coinsurance_code,class_cd,it_remarks) values</v>
      </c>
      <c r="G73" s="16" t="str">
        <f t="shared" si="6"/>
        <v>('27Mar250028','070000177377','34313',(select max(to_number(i.premium_rcv_detail_code))+1
from ins_premium_det i),'34313','34313','02', '11000003','00','Request by Mr. Saqib Saleem 28-Mar-2025');</v>
      </c>
      <c r="H73" s="17" t="str">
        <f t="shared" si="7"/>
        <v>insert into ins_premium_det (premium_rcv_code,assorted_code, rec_amount,premium_rcv_detail_code,remaining_amt, payrec, mode_code,coinsurance_code,class_cd,it_remarks) values('27Mar250028','070000177377','34313',(select max(to_number(i.premium_rcv_detail_code))+1
from ins_premium_det i),'34313','34313','02', '11000003','00','Request by Mr. Saqib Saleem 28-Mar-2025');</v>
      </c>
    </row>
    <row r="74" spans="1:8" ht="105" x14ac:dyDescent="0.25">
      <c r="A74" s="2" t="s">
        <v>5111</v>
      </c>
      <c r="B74" s="13" t="str">
        <f>VLOOKUP(A74,policy!B:C,2,0)</f>
        <v>070000177378</v>
      </c>
      <c r="C74" s="3">
        <v>37485</v>
      </c>
      <c r="D74" s="14">
        <f t="shared" si="5"/>
        <v>37485</v>
      </c>
      <c r="E74" s="19" t="s">
        <v>6323</v>
      </c>
      <c r="F74" s="15" t="str">
        <f t="shared" si="4"/>
        <v>insert into ins_premium_det (premium_rcv_code,assorted_code, rec_amount,premium_rcv_detail_code,remaining_amt, payrec, mode_code,coinsurance_code,class_cd,it_remarks) values</v>
      </c>
      <c r="G74" s="16" t="str">
        <f t="shared" si="6"/>
        <v>('27Mar250028','070000177378','37485',(select max(to_number(i.premium_rcv_detail_code))+1
from ins_premium_det i),'37485','37485','02', '11000003','00','Request by Mr. Saqib Saleem 28-Mar-2025');</v>
      </c>
      <c r="H74" s="17" t="str">
        <f t="shared" si="7"/>
        <v>insert into ins_premium_det (premium_rcv_code,assorted_code, rec_amount,premium_rcv_detail_code,remaining_amt, payrec, mode_code,coinsurance_code,class_cd,it_remarks) values('27Mar250028','070000177378','37485',(select max(to_number(i.premium_rcv_detail_code))+1
from ins_premium_det i),'37485','37485','02', '11000003','00','Request by Mr. Saqib Saleem 28-Mar-2025');</v>
      </c>
    </row>
    <row r="75" spans="1:8" ht="105" x14ac:dyDescent="0.25">
      <c r="A75" s="2" t="s">
        <v>5112</v>
      </c>
      <c r="B75" s="13" t="str">
        <f>VLOOKUP(A75,policy!B:C,2,0)</f>
        <v>070000177380</v>
      </c>
      <c r="C75" s="3">
        <v>79380</v>
      </c>
      <c r="D75" s="14">
        <f t="shared" si="5"/>
        <v>79380</v>
      </c>
      <c r="E75" s="19" t="s">
        <v>6323</v>
      </c>
      <c r="F75" s="15" t="str">
        <f t="shared" si="4"/>
        <v>insert into ins_premium_det (premium_rcv_code,assorted_code, rec_amount,premium_rcv_detail_code,remaining_amt, payrec, mode_code,coinsurance_code,class_cd,it_remarks) values</v>
      </c>
      <c r="G75" s="16" t="str">
        <f t="shared" si="6"/>
        <v>('27Mar250028','070000177380','79380',(select max(to_number(i.premium_rcv_detail_code))+1
from ins_premium_det i),'79380','79380','02', '11000003','00','Request by Mr. Saqib Saleem 28-Mar-2025');</v>
      </c>
      <c r="H75" s="17" t="str">
        <f t="shared" si="7"/>
        <v>insert into ins_premium_det (premium_rcv_code,assorted_code, rec_amount,premium_rcv_detail_code,remaining_amt, payrec, mode_code,coinsurance_code,class_cd,it_remarks) values('27Mar250028','070000177380','79380',(select max(to_number(i.premium_rcv_detail_code))+1
from ins_premium_det i),'79380','79380','02', '11000003','00','Request by Mr. Saqib Saleem 28-Mar-2025');</v>
      </c>
    </row>
    <row r="76" spans="1:8" ht="105" x14ac:dyDescent="0.25">
      <c r="A76" s="2" t="s">
        <v>5113</v>
      </c>
      <c r="B76" s="13" t="str">
        <f>VLOOKUP(A76,policy!B:C,2,0)</f>
        <v>070000177385</v>
      </c>
      <c r="C76" s="3">
        <v>35453</v>
      </c>
      <c r="D76" s="14">
        <f t="shared" si="5"/>
        <v>35453</v>
      </c>
      <c r="E76" s="19" t="s">
        <v>6323</v>
      </c>
      <c r="F76" s="15" t="str">
        <f t="shared" si="4"/>
        <v>insert into ins_premium_det (premium_rcv_code,assorted_code, rec_amount,premium_rcv_detail_code,remaining_amt, payrec, mode_code,coinsurance_code,class_cd,it_remarks) values</v>
      </c>
      <c r="G76" s="16" t="str">
        <f t="shared" si="6"/>
        <v>('27Mar250028','070000177385','35453',(select max(to_number(i.premium_rcv_detail_code))+1
from ins_premium_det i),'35453','35453','02', '11000003','00','Request by Mr. Saqib Saleem 28-Mar-2025');</v>
      </c>
      <c r="H76" s="17" t="str">
        <f t="shared" si="7"/>
        <v>insert into ins_premium_det (premium_rcv_code,assorted_code, rec_amount,premium_rcv_detail_code,remaining_amt, payrec, mode_code,coinsurance_code,class_cd,it_remarks) values('27Mar250028','070000177385','35453',(select max(to_number(i.premium_rcv_detail_code))+1
from ins_premium_det i),'35453','35453','02', '11000003','00','Request by Mr. Saqib Saleem 28-Mar-2025');</v>
      </c>
    </row>
    <row r="77" spans="1:8" ht="105" x14ac:dyDescent="0.25">
      <c r="A77" s="2" t="s">
        <v>5114</v>
      </c>
      <c r="B77" s="13" t="str">
        <f>VLOOKUP(A77,policy!B:C,2,0)</f>
        <v>070000178795</v>
      </c>
      <c r="C77" s="3">
        <v>20784</v>
      </c>
      <c r="D77" s="14">
        <f t="shared" si="5"/>
        <v>20784</v>
      </c>
      <c r="E77" s="19" t="s">
        <v>6323</v>
      </c>
      <c r="F77" s="15" t="str">
        <f t="shared" si="4"/>
        <v>insert into ins_premium_det (premium_rcv_code,assorted_code, rec_amount,premium_rcv_detail_code,remaining_amt, payrec, mode_code,coinsurance_code,class_cd,it_remarks) values</v>
      </c>
      <c r="G77" s="16" t="str">
        <f t="shared" si="6"/>
        <v>('27Mar250028','070000178795','20784',(select max(to_number(i.premium_rcv_detail_code))+1
from ins_premium_det i),'20784','20784','02', '11000003','00','Request by Mr. Saqib Saleem 28-Mar-2025');</v>
      </c>
      <c r="H77" s="17" t="str">
        <f t="shared" si="7"/>
        <v>insert into ins_premium_det (premium_rcv_code,assorted_code, rec_amount,premium_rcv_detail_code,remaining_amt, payrec, mode_code,coinsurance_code,class_cd,it_remarks) values('27Mar250028','070000178795','20784',(select max(to_number(i.premium_rcv_detail_code))+1
from ins_premium_det i),'20784','20784','02', '11000003','00','Request by Mr. Saqib Saleem 28-Mar-2025');</v>
      </c>
    </row>
    <row r="78" spans="1:8" ht="105" x14ac:dyDescent="0.25">
      <c r="A78" s="2" t="s">
        <v>5115</v>
      </c>
      <c r="B78" s="13" t="str">
        <f>VLOOKUP(A78,policy!B:C,2,0)</f>
        <v>070000177386</v>
      </c>
      <c r="C78" s="3">
        <v>41139</v>
      </c>
      <c r="D78" s="14">
        <f t="shared" si="5"/>
        <v>41139</v>
      </c>
      <c r="E78" s="19" t="s">
        <v>6323</v>
      </c>
      <c r="F78" s="15" t="str">
        <f t="shared" si="4"/>
        <v>insert into ins_premium_det (premium_rcv_code,assorted_code, rec_amount,premium_rcv_detail_code,remaining_amt, payrec, mode_code,coinsurance_code,class_cd,it_remarks) values</v>
      </c>
      <c r="G78" s="16" t="str">
        <f t="shared" si="6"/>
        <v>('27Mar250028','070000177386','41139',(select max(to_number(i.premium_rcv_detail_code))+1
from ins_premium_det i),'41139','41139','02', '11000003','00','Request by Mr. Saqib Saleem 28-Mar-2025');</v>
      </c>
      <c r="H78" s="17" t="str">
        <f t="shared" si="7"/>
        <v>insert into ins_premium_det (premium_rcv_code,assorted_code, rec_amount,premium_rcv_detail_code,remaining_amt, payrec, mode_code,coinsurance_code,class_cd,it_remarks) values('27Mar250028','070000177386','41139',(select max(to_number(i.premium_rcv_detail_code))+1
from ins_premium_det i),'41139','41139','02', '11000003','00','Request by Mr. Saqib Saleem 28-Mar-2025');</v>
      </c>
    </row>
    <row r="79" spans="1:8" ht="105" x14ac:dyDescent="0.25">
      <c r="A79" s="2" t="s">
        <v>5116</v>
      </c>
      <c r="B79" s="13" t="str">
        <f>VLOOKUP(A79,policy!B:C,2,0)</f>
        <v>070000178798</v>
      </c>
      <c r="C79" s="3">
        <v>21360</v>
      </c>
      <c r="D79" s="14">
        <f t="shared" si="5"/>
        <v>21360</v>
      </c>
      <c r="E79" s="19" t="s">
        <v>6323</v>
      </c>
      <c r="F79" s="15" t="str">
        <f t="shared" si="4"/>
        <v>insert into ins_premium_det (premium_rcv_code,assorted_code, rec_amount,premium_rcv_detail_code,remaining_amt, payrec, mode_code,coinsurance_code,class_cd,it_remarks) values</v>
      </c>
      <c r="G79" s="16" t="str">
        <f t="shared" si="6"/>
        <v>('27Mar250028','070000178798','21360',(select max(to_number(i.premium_rcv_detail_code))+1
from ins_premium_det i),'21360','21360','02', '11000003','00','Request by Mr. Saqib Saleem 28-Mar-2025');</v>
      </c>
      <c r="H79" s="17" t="str">
        <f t="shared" si="7"/>
        <v>insert into ins_premium_det (premium_rcv_code,assorted_code, rec_amount,premium_rcv_detail_code,remaining_amt, payrec, mode_code,coinsurance_code,class_cd,it_remarks) values('27Mar250028','070000178798','21360',(select max(to_number(i.premium_rcv_detail_code))+1
from ins_premium_det i),'21360','21360','02', '11000003','00','Request by Mr. Saqib Saleem 28-Mar-2025');</v>
      </c>
    </row>
    <row r="80" spans="1:8" ht="105" x14ac:dyDescent="0.25">
      <c r="A80" s="2" t="s">
        <v>5117</v>
      </c>
      <c r="B80" s="13" t="str">
        <f>VLOOKUP(A80,policy!B:C,2,0)</f>
        <v>070000178799</v>
      </c>
      <c r="C80" s="3">
        <v>19200</v>
      </c>
      <c r="D80" s="14">
        <f t="shared" si="5"/>
        <v>19200</v>
      </c>
      <c r="E80" s="19" t="s">
        <v>6323</v>
      </c>
      <c r="F80" s="15" t="str">
        <f t="shared" si="4"/>
        <v>insert into ins_premium_det (premium_rcv_code,assorted_code, rec_amount,premium_rcv_detail_code,remaining_amt, payrec, mode_code,coinsurance_code,class_cd,it_remarks) values</v>
      </c>
      <c r="G80" s="16" t="str">
        <f t="shared" si="6"/>
        <v>('27Mar250028','070000178799','19200',(select max(to_number(i.premium_rcv_detail_code))+1
from ins_premium_det i),'19200','19200','02', '11000003','00','Request by Mr. Saqib Saleem 28-Mar-2025');</v>
      </c>
      <c r="H80" s="17" t="str">
        <f t="shared" si="7"/>
        <v>insert into ins_premium_det (premium_rcv_code,assorted_code, rec_amount,premium_rcv_detail_code,remaining_amt, payrec, mode_code,coinsurance_code,class_cd,it_remarks) values('27Mar250028','070000178799','19200',(select max(to_number(i.premium_rcv_detail_code))+1
from ins_premium_det i),'19200','19200','02', '11000003','00','Request by Mr. Saqib Saleem 28-Mar-2025');</v>
      </c>
    </row>
    <row r="81" spans="1:8" ht="105" x14ac:dyDescent="0.25">
      <c r="A81" s="2" t="s">
        <v>5118</v>
      </c>
      <c r="B81" s="13" t="str">
        <f>VLOOKUP(A81,policy!B:C,2,0)</f>
        <v>070000177387</v>
      </c>
      <c r="C81" s="3">
        <v>36225</v>
      </c>
      <c r="D81" s="14">
        <f t="shared" si="5"/>
        <v>36225</v>
      </c>
      <c r="E81" s="19" t="s">
        <v>6323</v>
      </c>
      <c r="F81" s="15" t="str">
        <f t="shared" si="4"/>
        <v>insert into ins_premium_det (premium_rcv_code,assorted_code, rec_amount,premium_rcv_detail_code,remaining_amt, payrec, mode_code,coinsurance_code,class_cd,it_remarks) values</v>
      </c>
      <c r="G81" s="16" t="str">
        <f t="shared" si="6"/>
        <v>('27Mar250028','070000177387','36225',(select max(to_number(i.premium_rcv_detail_code))+1
from ins_premium_det i),'36225','36225','02', '11000003','00','Request by Mr. Saqib Saleem 28-Mar-2025');</v>
      </c>
      <c r="H81" s="17" t="str">
        <f t="shared" si="7"/>
        <v>insert into ins_premium_det (premium_rcv_code,assorted_code, rec_amount,premium_rcv_detail_code,remaining_amt, payrec, mode_code,coinsurance_code,class_cd,it_remarks) values('27Mar250028','070000177387','36225',(select max(to_number(i.premium_rcv_detail_code))+1
from ins_premium_det i),'36225','36225','02', '11000003','00','Request by Mr. Saqib Saleem 28-Mar-2025');</v>
      </c>
    </row>
    <row r="82" spans="1:8" ht="105" x14ac:dyDescent="0.25">
      <c r="A82" s="2" t="s">
        <v>5119</v>
      </c>
      <c r="B82" s="13" t="str">
        <f>VLOOKUP(A82,policy!B:C,2,0)</f>
        <v>070000178808</v>
      </c>
      <c r="C82" s="3">
        <v>21360</v>
      </c>
      <c r="D82" s="14">
        <f t="shared" si="5"/>
        <v>21360</v>
      </c>
      <c r="E82" s="19" t="s">
        <v>6323</v>
      </c>
      <c r="F82" s="15" t="str">
        <f t="shared" si="4"/>
        <v>insert into ins_premium_det (premium_rcv_code,assorted_code, rec_amount,premium_rcv_detail_code,remaining_amt, payrec, mode_code,coinsurance_code,class_cd,it_remarks) values</v>
      </c>
      <c r="G82" s="16" t="str">
        <f t="shared" si="6"/>
        <v>('27Mar250028','070000178808','21360',(select max(to_number(i.premium_rcv_detail_code))+1
from ins_premium_det i),'21360','21360','02', '11000003','00','Request by Mr. Saqib Saleem 28-Mar-2025');</v>
      </c>
      <c r="H82" s="17" t="str">
        <f t="shared" si="7"/>
        <v>insert into ins_premium_det (premium_rcv_code,assorted_code, rec_amount,premium_rcv_detail_code,remaining_amt, payrec, mode_code,coinsurance_code,class_cd,it_remarks) values('27Mar250028','070000178808','21360',(select max(to_number(i.premium_rcv_detail_code))+1
from ins_premium_det i),'21360','21360','02', '11000003','00','Request by Mr. Saqib Saleem 28-Mar-2025');</v>
      </c>
    </row>
    <row r="83" spans="1:8" ht="105" x14ac:dyDescent="0.25">
      <c r="A83" s="2" t="s">
        <v>5120</v>
      </c>
      <c r="B83" s="13" t="str">
        <f>VLOOKUP(A83,policy!B:C,2,0)</f>
        <v>070000178809</v>
      </c>
      <c r="C83" s="3">
        <v>18840</v>
      </c>
      <c r="D83" s="14">
        <f t="shared" si="5"/>
        <v>18840</v>
      </c>
      <c r="E83" s="19" t="s">
        <v>6323</v>
      </c>
      <c r="F83" s="15" t="str">
        <f t="shared" si="4"/>
        <v>insert into ins_premium_det (premium_rcv_code,assorted_code, rec_amount,premium_rcv_detail_code,remaining_amt, payrec, mode_code,coinsurance_code,class_cd,it_remarks) values</v>
      </c>
      <c r="G83" s="16" t="str">
        <f t="shared" si="6"/>
        <v>('27Mar250028','070000178809','18840',(select max(to_number(i.premium_rcv_detail_code))+1
from ins_premium_det i),'18840','18840','02', '11000003','00','Request by Mr. Saqib Saleem 28-Mar-2025');</v>
      </c>
      <c r="H83" s="17" t="str">
        <f t="shared" si="7"/>
        <v>insert into ins_premium_det (premium_rcv_code,assorted_code, rec_amount,premium_rcv_detail_code,remaining_amt, payrec, mode_code,coinsurance_code,class_cd,it_remarks) values('27Mar250028','070000178809','18840',(select max(to_number(i.premium_rcv_detail_code))+1
from ins_premium_det i),'18840','18840','02', '11000003','00','Request by Mr. Saqib Saleem 28-Mar-2025');</v>
      </c>
    </row>
    <row r="84" spans="1:8" ht="105" x14ac:dyDescent="0.25">
      <c r="A84" s="2" t="s">
        <v>5121</v>
      </c>
      <c r="B84" s="13" t="str">
        <f>VLOOKUP(A84,policy!B:C,2,0)</f>
        <v>070000178810</v>
      </c>
      <c r="C84" s="3">
        <v>25920</v>
      </c>
      <c r="D84" s="14">
        <f t="shared" si="5"/>
        <v>25920</v>
      </c>
      <c r="E84" s="19" t="s">
        <v>6323</v>
      </c>
      <c r="F84" s="15" t="str">
        <f t="shared" si="4"/>
        <v>insert into ins_premium_det (premium_rcv_code,assorted_code, rec_amount,premium_rcv_detail_code,remaining_amt, payrec, mode_code,coinsurance_code,class_cd,it_remarks) values</v>
      </c>
      <c r="G84" s="16" t="str">
        <f t="shared" si="6"/>
        <v>('27Mar250028','070000178810','25920',(select max(to_number(i.premium_rcv_detail_code))+1
from ins_premium_det i),'25920','25920','02', '11000003','00','Request by Mr. Saqib Saleem 28-Mar-2025');</v>
      </c>
      <c r="H84" s="17" t="str">
        <f t="shared" si="7"/>
        <v>insert into ins_premium_det (premium_rcv_code,assorted_code, rec_amount,premium_rcv_detail_code,remaining_amt, payrec, mode_code,coinsurance_code,class_cd,it_remarks) values('27Mar250028','070000178810','25920',(select max(to_number(i.premium_rcv_detail_code))+1
from ins_premium_det i),'25920','25920','02', '11000003','00','Request by Mr. Saqib Saleem 28-Mar-2025');</v>
      </c>
    </row>
    <row r="85" spans="1:8" ht="105" x14ac:dyDescent="0.25">
      <c r="A85" s="2" t="s">
        <v>5122</v>
      </c>
      <c r="B85" s="13" t="str">
        <f>VLOOKUP(A85,policy!B:C,2,0)</f>
        <v>070000177388</v>
      </c>
      <c r="C85" s="3">
        <v>35453</v>
      </c>
      <c r="D85" s="14">
        <f t="shared" si="5"/>
        <v>35453</v>
      </c>
      <c r="E85" s="19" t="s">
        <v>6323</v>
      </c>
      <c r="F85" s="15" t="str">
        <f t="shared" si="4"/>
        <v>insert into ins_premium_det (premium_rcv_code,assorted_code, rec_amount,premium_rcv_detail_code,remaining_amt, payrec, mode_code,coinsurance_code,class_cd,it_remarks) values</v>
      </c>
      <c r="G85" s="16" t="str">
        <f t="shared" si="6"/>
        <v>('27Mar250028','070000177388','35453',(select max(to_number(i.premium_rcv_detail_code))+1
from ins_premium_det i),'35453','35453','02', '11000003','00','Request by Mr. Saqib Saleem 28-Mar-2025');</v>
      </c>
      <c r="H85" s="17" t="str">
        <f t="shared" si="7"/>
        <v>insert into ins_premium_det (premium_rcv_code,assorted_code, rec_amount,premium_rcv_detail_code,remaining_amt, payrec, mode_code,coinsurance_code,class_cd,it_remarks) values('27Mar250028','070000177388','35453',(select max(to_number(i.premium_rcv_detail_code))+1
from ins_premium_det i),'35453','35453','02', '11000003','00','Request by Mr. Saqib Saleem 28-Mar-2025');</v>
      </c>
    </row>
    <row r="86" spans="1:8" ht="105" x14ac:dyDescent="0.25">
      <c r="A86" s="2" t="s">
        <v>5123</v>
      </c>
      <c r="B86" s="13" t="str">
        <f>VLOOKUP(A86,policy!B:C,2,0)</f>
        <v>070000177389</v>
      </c>
      <c r="C86" s="3">
        <v>34650</v>
      </c>
      <c r="D86" s="14">
        <f t="shared" si="5"/>
        <v>34650</v>
      </c>
      <c r="E86" s="19" t="s">
        <v>6323</v>
      </c>
      <c r="F86" s="15" t="str">
        <f t="shared" si="4"/>
        <v>insert into ins_premium_det (premium_rcv_code,assorted_code, rec_amount,premium_rcv_detail_code,remaining_amt, payrec, mode_code,coinsurance_code,class_cd,it_remarks) values</v>
      </c>
      <c r="G86" s="16" t="str">
        <f t="shared" si="6"/>
        <v>('27Mar250028','070000177389','34650',(select max(to_number(i.premium_rcv_detail_code))+1
from ins_premium_det i),'34650','34650','02', '11000003','00','Request by Mr. Saqib Saleem 28-Mar-2025');</v>
      </c>
      <c r="H86" s="17" t="str">
        <f t="shared" si="7"/>
        <v>insert into ins_premium_det (premium_rcv_code,assorted_code, rec_amount,premium_rcv_detail_code,remaining_amt, payrec, mode_code,coinsurance_code,class_cd,it_remarks) values('27Mar250028','070000177389','34650',(select max(to_number(i.premium_rcv_detail_code))+1
from ins_premium_det i),'34650','34650','02', '11000003','00','Request by Mr. Saqib Saleem 28-Mar-2025');</v>
      </c>
    </row>
    <row r="87" spans="1:8" ht="105" x14ac:dyDescent="0.25">
      <c r="A87" s="2" t="s">
        <v>5124</v>
      </c>
      <c r="B87" s="13" t="str">
        <f>VLOOKUP(A87,policy!B:C,2,0)</f>
        <v>070000178813</v>
      </c>
      <c r="C87" s="3">
        <v>28920</v>
      </c>
      <c r="D87" s="14">
        <f t="shared" si="5"/>
        <v>28920</v>
      </c>
      <c r="E87" s="19" t="s">
        <v>6323</v>
      </c>
      <c r="F87" s="15" t="str">
        <f t="shared" si="4"/>
        <v>insert into ins_premium_det (premium_rcv_code,assorted_code, rec_amount,premium_rcv_detail_code,remaining_amt, payrec, mode_code,coinsurance_code,class_cd,it_remarks) values</v>
      </c>
      <c r="G87" s="16" t="str">
        <f t="shared" si="6"/>
        <v>('27Mar250028','070000178813','28920',(select max(to_number(i.premium_rcv_detail_code))+1
from ins_premium_det i),'28920','28920','02', '11000003','00','Request by Mr. Saqib Saleem 28-Mar-2025');</v>
      </c>
      <c r="H87" s="17" t="str">
        <f t="shared" si="7"/>
        <v>insert into ins_premium_det (premium_rcv_code,assorted_code, rec_amount,premium_rcv_detail_code,remaining_amt, payrec, mode_code,coinsurance_code,class_cd,it_remarks) values('27Mar250028','070000178813','28920',(select max(to_number(i.premium_rcv_detail_code))+1
from ins_premium_det i),'28920','28920','02', '11000003','00','Request by Mr. Saqib Saleem 28-Mar-2025');</v>
      </c>
    </row>
    <row r="88" spans="1:8" ht="105" x14ac:dyDescent="0.25">
      <c r="A88" s="2" t="s">
        <v>5125</v>
      </c>
      <c r="B88" s="13" t="str">
        <f>VLOOKUP(A88,policy!B:C,2,0)</f>
        <v>070000178814</v>
      </c>
      <c r="C88" s="3">
        <v>44984</v>
      </c>
      <c r="D88" s="14">
        <f t="shared" si="5"/>
        <v>44984</v>
      </c>
      <c r="E88" s="19" t="s">
        <v>6323</v>
      </c>
      <c r="F88" s="15" t="str">
        <f t="shared" si="4"/>
        <v>insert into ins_premium_det (premium_rcv_code,assorted_code, rec_amount,premium_rcv_detail_code,remaining_amt, payrec, mode_code,coinsurance_code,class_cd,it_remarks) values</v>
      </c>
      <c r="G88" s="16" t="str">
        <f t="shared" si="6"/>
        <v>('27Mar250028','070000178814','44984',(select max(to_number(i.premium_rcv_detail_code))+1
from ins_premium_det i),'44984','44984','02', '11000003','00','Request by Mr. Saqib Saleem 28-Mar-2025');</v>
      </c>
      <c r="H88" s="17" t="str">
        <f t="shared" si="7"/>
        <v>insert into ins_premium_det (premium_rcv_code,assorted_code, rec_amount,premium_rcv_detail_code,remaining_amt, payrec, mode_code,coinsurance_code,class_cd,it_remarks) values('27Mar250028','070000178814','44984',(select max(to_number(i.premium_rcv_detail_code))+1
from ins_premium_det i),'44984','44984','02', '11000003','00','Request by Mr. Saqib Saleem 28-Mar-2025');</v>
      </c>
    </row>
    <row r="89" spans="1:8" ht="105" x14ac:dyDescent="0.25">
      <c r="A89" s="2" t="s">
        <v>5126</v>
      </c>
      <c r="B89" s="13" t="str">
        <f>VLOOKUP(A89,policy!B:C,2,0)</f>
        <v>070000178815</v>
      </c>
      <c r="C89" s="3">
        <v>32725</v>
      </c>
      <c r="D89" s="14">
        <f t="shared" si="5"/>
        <v>32725</v>
      </c>
      <c r="E89" s="19" t="s">
        <v>6323</v>
      </c>
      <c r="F89" s="15" t="str">
        <f t="shared" si="4"/>
        <v>insert into ins_premium_det (premium_rcv_code,assorted_code, rec_amount,premium_rcv_detail_code,remaining_amt, payrec, mode_code,coinsurance_code,class_cd,it_remarks) values</v>
      </c>
      <c r="G89" s="16" t="str">
        <f t="shared" si="6"/>
        <v>('27Mar250028','070000178815','32725',(select max(to_number(i.premium_rcv_detail_code))+1
from ins_premium_det i),'32725','32725','02', '11000003','00','Request by Mr. Saqib Saleem 28-Mar-2025');</v>
      </c>
      <c r="H89" s="17" t="str">
        <f t="shared" si="7"/>
        <v>insert into ins_premium_det (premium_rcv_code,assorted_code, rec_amount,premium_rcv_detail_code,remaining_amt, payrec, mode_code,coinsurance_code,class_cd,it_remarks) values('27Mar250028','070000178815','32725',(select max(to_number(i.premium_rcv_detail_code))+1
from ins_premium_det i),'32725','32725','02', '11000003','00','Request by Mr. Saqib Saleem 28-Mar-2025');</v>
      </c>
    </row>
    <row r="90" spans="1:8" ht="105" x14ac:dyDescent="0.25">
      <c r="A90" s="2" t="s">
        <v>5127</v>
      </c>
      <c r="B90" s="13" t="str">
        <f>VLOOKUP(A90,policy!B:C,2,0)</f>
        <v>070000177392</v>
      </c>
      <c r="C90" s="3">
        <v>16313</v>
      </c>
      <c r="D90" s="14">
        <f t="shared" si="5"/>
        <v>16313</v>
      </c>
      <c r="E90" s="19" t="s">
        <v>6323</v>
      </c>
      <c r="F90" s="15" t="str">
        <f t="shared" si="4"/>
        <v>insert into ins_premium_det (premium_rcv_code,assorted_code, rec_amount,premium_rcv_detail_code,remaining_amt, payrec, mode_code,coinsurance_code,class_cd,it_remarks) values</v>
      </c>
      <c r="G90" s="16" t="str">
        <f t="shared" si="6"/>
        <v>('27Mar250028','070000177392','16313',(select max(to_number(i.premium_rcv_detail_code))+1
from ins_premium_det i),'16313','16313','02', '11000003','00','Request by Mr. Saqib Saleem 28-Mar-2025');</v>
      </c>
      <c r="H90" s="17" t="str">
        <f t="shared" si="7"/>
        <v>insert into ins_premium_det (premium_rcv_code,assorted_code, rec_amount,premium_rcv_detail_code,remaining_amt, payrec, mode_code,coinsurance_code,class_cd,it_remarks) values('27Mar250028','070000177392','16313',(select max(to_number(i.premium_rcv_detail_code))+1
from ins_premium_det i),'16313','16313','02', '11000003','00','Request by Mr. Saqib Saleem 28-Mar-2025');</v>
      </c>
    </row>
    <row r="91" spans="1:8" ht="105" x14ac:dyDescent="0.25">
      <c r="A91" s="2" t="s">
        <v>5128</v>
      </c>
      <c r="B91" s="13" t="str">
        <f>VLOOKUP(A91,policy!B:C,2,0)</f>
        <v>070000177393</v>
      </c>
      <c r="C91" s="3">
        <v>36600</v>
      </c>
      <c r="D91" s="14">
        <f t="shared" si="5"/>
        <v>36600</v>
      </c>
      <c r="E91" s="19" t="s">
        <v>6323</v>
      </c>
      <c r="F91" s="15" t="str">
        <f t="shared" si="4"/>
        <v>insert into ins_premium_det (premium_rcv_code,assorted_code, rec_amount,premium_rcv_detail_code,remaining_amt, payrec, mode_code,coinsurance_code,class_cd,it_remarks) values</v>
      </c>
      <c r="G91" s="16" t="str">
        <f t="shared" si="6"/>
        <v>('27Mar250028','070000177393','36600',(select max(to_number(i.premium_rcv_detail_code))+1
from ins_premium_det i),'36600','36600','02', '11000003','00','Request by Mr. Saqib Saleem 28-Mar-2025');</v>
      </c>
      <c r="H91" s="17" t="str">
        <f t="shared" si="7"/>
        <v>insert into ins_premium_det (premium_rcv_code,assorted_code, rec_amount,premium_rcv_detail_code,remaining_amt, payrec, mode_code,coinsurance_code,class_cd,it_remarks) values('27Mar250028','070000177393','36600',(select max(to_number(i.premium_rcv_detail_code))+1
from ins_premium_det i),'36600','36600','02', '11000003','00','Request by Mr. Saqib Saleem 28-Mar-2025');</v>
      </c>
    </row>
    <row r="92" spans="1:8" ht="105" x14ac:dyDescent="0.25">
      <c r="A92" s="2" t="s">
        <v>5129</v>
      </c>
      <c r="B92" s="13" t="str">
        <f>VLOOKUP(A92,policy!B:C,2,0)</f>
        <v>070000177394</v>
      </c>
      <c r="C92" s="3">
        <v>39375</v>
      </c>
      <c r="D92" s="14">
        <f t="shared" si="5"/>
        <v>39375</v>
      </c>
      <c r="E92" s="19" t="s">
        <v>6323</v>
      </c>
      <c r="F92" s="15" t="str">
        <f t="shared" si="4"/>
        <v>insert into ins_premium_det (premium_rcv_code,assorted_code, rec_amount,premium_rcv_detail_code,remaining_amt, payrec, mode_code,coinsurance_code,class_cd,it_remarks) values</v>
      </c>
      <c r="G92" s="16" t="str">
        <f t="shared" si="6"/>
        <v>('27Mar250028','070000177394','39375',(select max(to_number(i.premium_rcv_detail_code))+1
from ins_premium_det i),'39375','39375','02', '11000003','00','Request by Mr. Saqib Saleem 28-Mar-2025');</v>
      </c>
      <c r="H92" s="17" t="str">
        <f t="shared" si="7"/>
        <v>insert into ins_premium_det (premium_rcv_code,assorted_code, rec_amount,premium_rcv_detail_code,remaining_amt, payrec, mode_code,coinsurance_code,class_cd,it_remarks) values('27Mar250028','070000177394','39375',(select max(to_number(i.premium_rcv_detail_code))+1
from ins_premium_det i),'39375','39375','02', '11000003','00','Request by Mr. Saqib Saleem 28-Mar-2025');</v>
      </c>
    </row>
    <row r="93" spans="1:8" ht="105" x14ac:dyDescent="0.25">
      <c r="A93" s="2" t="s">
        <v>5130</v>
      </c>
      <c r="B93" s="13" t="str">
        <f>VLOOKUP(A93,policy!B:C,2,0)</f>
        <v>070000177395</v>
      </c>
      <c r="C93" s="3">
        <v>18552</v>
      </c>
      <c r="D93" s="14">
        <f t="shared" si="5"/>
        <v>18552</v>
      </c>
      <c r="E93" s="19" t="s">
        <v>6323</v>
      </c>
      <c r="F93" s="15" t="str">
        <f t="shared" si="4"/>
        <v>insert into ins_premium_det (premium_rcv_code,assorted_code, rec_amount,premium_rcv_detail_code,remaining_amt, payrec, mode_code,coinsurance_code,class_cd,it_remarks) values</v>
      </c>
      <c r="G93" s="16" t="str">
        <f t="shared" si="6"/>
        <v>('27Mar250028','070000177395','18552',(select max(to_number(i.premium_rcv_detail_code))+1
from ins_premium_det i),'18552','18552','02', '11000003','00','Request by Mr. Saqib Saleem 28-Mar-2025');</v>
      </c>
      <c r="H93" s="17" t="str">
        <f t="shared" si="7"/>
        <v>insert into ins_premium_det (premium_rcv_code,assorted_code, rec_amount,premium_rcv_detail_code,remaining_amt, payrec, mode_code,coinsurance_code,class_cd,it_remarks) values('27Mar250028','070000177395','18552',(select max(to_number(i.premium_rcv_detail_code))+1
from ins_premium_det i),'18552','18552','02', '11000003','00','Request by Mr. Saqib Saleem 28-Mar-2025');</v>
      </c>
    </row>
    <row r="94" spans="1:8" ht="105" x14ac:dyDescent="0.25">
      <c r="A94" s="2" t="s">
        <v>5131</v>
      </c>
      <c r="B94" s="13" t="str">
        <f>VLOOKUP(A94,policy!B:C,2,0)</f>
        <v>070000177396</v>
      </c>
      <c r="C94" s="3">
        <v>34106</v>
      </c>
      <c r="D94" s="14">
        <f t="shared" si="5"/>
        <v>34106</v>
      </c>
      <c r="E94" s="19" t="s">
        <v>6323</v>
      </c>
      <c r="F94" s="15" t="str">
        <f t="shared" si="4"/>
        <v>insert into ins_premium_det (premium_rcv_code,assorted_code, rec_amount,premium_rcv_detail_code,remaining_amt, payrec, mode_code,coinsurance_code,class_cd,it_remarks) values</v>
      </c>
      <c r="G94" s="16" t="str">
        <f t="shared" si="6"/>
        <v>('27Mar250028','070000177396','34106',(select max(to_number(i.premium_rcv_detail_code))+1
from ins_premium_det i),'34106','34106','02', '11000003','00','Request by Mr. Saqib Saleem 28-Mar-2025');</v>
      </c>
      <c r="H94" s="17" t="str">
        <f t="shared" si="7"/>
        <v>insert into ins_premium_det (premium_rcv_code,assorted_code, rec_amount,premium_rcv_detail_code,remaining_amt, payrec, mode_code,coinsurance_code,class_cd,it_remarks) values('27Mar250028','070000177396','34106',(select max(to_number(i.premium_rcv_detail_code))+1
from ins_premium_det i),'34106','34106','02', '11000003','00','Request by Mr. Saqib Saleem 28-Mar-2025');</v>
      </c>
    </row>
    <row r="95" spans="1:8" ht="105" x14ac:dyDescent="0.25">
      <c r="A95" s="2" t="s">
        <v>5132</v>
      </c>
      <c r="B95" s="13" t="str">
        <f>VLOOKUP(A95,policy!B:C,2,0)</f>
        <v>070000177399</v>
      </c>
      <c r="C95" s="3">
        <v>49500</v>
      </c>
      <c r="D95" s="14">
        <f t="shared" si="5"/>
        <v>49500</v>
      </c>
      <c r="E95" s="19" t="s">
        <v>6323</v>
      </c>
      <c r="F95" s="15" t="str">
        <f t="shared" si="4"/>
        <v>insert into ins_premium_det (premium_rcv_code,assorted_code, rec_amount,premium_rcv_detail_code,remaining_amt, payrec, mode_code,coinsurance_code,class_cd,it_remarks) values</v>
      </c>
      <c r="G95" s="16" t="str">
        <f t="shared" si="6"/>
        <v>('27Mar250028','070000177399','49500',(select max(to_number(i.premium_rcv_detail_code))+1
from ins_premium_det i),'49500','49500','02', '11000003','00','Request by Mr. Saqib Saleem 28-Mar-2025');</v>
      </c>
      <c r="H95" s="17" t="str">
        <f t="shared" si="7"/>
        <v>insert into ins_premium_det (premium_rcv_code,assorted_code, rec_amount,premium_rcv_detail_code,remaining_amt, payrec, mode_code,coinsurance_code,class_cd,it_remarks) values('27Mar250028','070000177399','49500',(select max(to_number(i.premium_rcv_detail_code))+1
from ins_premium_det i),'49500','49500','02', '11000003','00','Request by Mr. Saqib Saleem 28-Mar-2025');</v>
      </c>
    </row>
    <row r="96" spans="1:8" ht="105" x14ac:dyDescent="0.25">
      <c r="A96" s="2" t="s">
        <v>5133</v>
      </c>
      <c r="B96" s="13" t="str">
        <f>VLOOKUP(A96,policy!B:C,2,0)</f>
        <v>070000177400</v>
      </c>
      <c r="C96" s="3">
        <v>45000</v>
      </c>
      <c r="D96" s="14">
        <f t="shared" si="5"/>
        <v>45000</v>
      </c>
      <c r="E96" s="19" t="s">
        <v>6323</v>
      </c>
      <c r="F96" s="15" t="str">
        <f t="shared" si="4"/>
        <v>insert into ins_premium_det (premium_rcv_code,assorted_code, rec_amount,premium_rcv_detail_code,remaining_amt, payrec, mode_code,coinsurance_code,class_cd,it_remarks) values</v>
      </c>
      <c r="G96" s="16" t="str">
        <f t="shared" si="6"/>
        <v>('27Mar250028','070000177400','45000',(select max(to_number(i.premium_rcv_detail_code))+1
from ins_premium_det i),'45000','45000','02', '11000003','00','Request by Mr. Saqib Saleem 28-Mar-2025');</v>
      </c>
      <c r="H96" s="17" t="str">
        <f t="shared" si="7"/>
        <v>insert into ins_premium_det (premium_rcv_code,assorted_code, rec_amount,premium_rcv_detail_code,remaining_amt, payrec, mode_code,coinsurance_code,class_cd,it_remarks) values('27Mar250028','070000177400','45000',(select max(to_number(i.premium_rcv_detail_code))+1
from ins_premium_det i),'45000','45000','02', '11000003','00','Request by Mr. Saqib Saleem 28-Mar-2025');</v>
      </c>
    </row>
    <row r="97" spans="1:8" ht="105" x14ac:dyDescent="0.25">
      <c r="A97" s="2" t="s">
        <v>5134</v>
      </c>
      <c r="B97" s="13" t="str">
        <f>VLOOKUP(A97,policy!B:C,2,0)</f>
        <v>070000177401</v>
      </c>
      <c r="C97" s="3">
        <v>53115</v>
      </c>
      <c r="D97" s="14">
        <f t="shared" si="5"/>
        <v>53115</v>
      </c>
      <c r="E97" s="19" t="s">
        <v>6323</v>
      </c>
      <c r="F97" s="15" t="str">
        <f t="shared" si="4"/>
        <v>insert into ins_premium_det (premium_rcv_code,assorted_code, rec_amount,premium_rcv_detail_code,remaining_amt, payrec, mode_code,coinsurance_code,class_cd,it_remarks) values</v>
      </c>
      <c r="G97" s="16" t="str">
        <f t="shared" si="6"/>
        <v>('27Mar250028','070000177401','53115',(select max(to_number(i.premium_rcv_detail_code))+1
from ins_premium_det i),'53115','53115','02', '11000003','00','Request by Mr. Saqib Saleem 28-Mar-2025');</v>
      </c>
      <c r="H97" s="17" t="str">
        <f t="shared" si="7"/>
        <v>insert into ins_premium_det (premium_rcv_code,assorted_code, rec_amount,premium_rcv_detail_code,remaining_amt, payrec, mode_code,coinsurance_code,class_cd,it_remarks) values('27Mar250028','070000177401','53115',(select max(to_number(i.premium_rcv_detail_code))+1
from ins_premium_det i),'53115','53115','02', '11000003','00','Request by Mr. Saqib Saleem 28-Mar-2025');</v>
      </c>
    </row>
    <row r="98" spans="1:8" ht="105" x14ac:dyDescent="0.25">
      <c r="A98" s="2" t="s">
        <v>5135</v>
      </c>
      <c r="B98" s="13" t="str">
        <f>VLOOKUP(A98,policy!B:C,2,0)</f>
        <v>070000177402</v>
      </c>
      <c r="C98" s="3">
        <v>36000</v>
      </c>
      <c r="D98" s="14">
        <f t="shared" si="5"/>
        <v>36000</v>
      </c>
      <c r="E98" s="19" t="s">
        <v>6323</v>
      </c>
      <c r="F98" s="15" t="str">
        <f t="shared" si="4"/>
        <v>insert into ins_premium_det (premium_rcv_code,assorted_code, rec_amount,premium_rcv_detail_code,remaining_amt, payrec, mode_code,coinsurance_code,class_cd,it_remarks) values</v>
      </c>
      <c r="G98" s="16" t="str">
        <f t="shared" si="6"/>
        <v>('27Mar250028','070000177402','36000',(select max(to_number(i.premium_rcv_detail_code))+1
from ins_premium_det i),'36000','36000','02', '11000003','00','Request by Mr. Saqib Saleem 28-Mar-2025');</v>
      </c>
      <c r="H98" s="17" t="str">
        <f t="shared" si="7"/>
        <v>insert into ins_premium_det (premium_rcv_code,assorted_code, rec_amount,premium_rcv_detail_code,remaining_amt, payrec, mode_code,coinsurance_code,class_cd,it_remarks) values('27Mar250028','070000177402','36000',(select max(to_number(i.premium_rcv_detail_code))+1
from ins_premium_det i),'36000','36000','02', '11000003','00','Request by Mr. Saqib Saleem 28-Mar-2025');</v>
      </c>
    </row>
    <row r="99" spans="1:8" ht="105" x14ac:dyDescent="0.25">
      <c r="A99" s="2" t="s">
        <v>5136</v>
      </c>
      <c r="B99" s="13" t="str">
        <f>VLOOKUP(A99,policy!B:C,2,0)</f>
        <v>070000177403</v>
      </c>
      <c r="C99" s="3">
        <v>34031</v>
      </c>
      <c r="D99" s="14">
        <f t="shared" si="5"/>
        <v>34031</v>
      </c>
      <c r="E99" s="19" t="s">
        <v>6323</v>
      </c>
      <c r="F99" s="15" t="str">
        <f t="shared" si="4"/>
        <v>insert into ins_premium_det (premium_rcv_code,assorted_code, rec_amount,premium_rcv_detail_code,remaining_amt, payrec, mode_code,coinsurance_code,class_cd,it_remarks) values</v>
      </c>
      <c r="G99" s="16" t="str">
        <f t="shared" si="6"/>
        <v>('27Mar250028','070000177403','34031',(select max(to_number(i.premium_rcv_detail_code))+1
from ins_premium_det i),'34031','34031','02', '11000003','00','Request by Mr. Saqib Saleem 28-Mar-2025');</v>
      </c>
      <c r="H99" s="17" t="str">
        <f t="shared" si="7"/>
        <v>insert into ins_premium_det (premium_rcv_code,assorted_code, rec_amount,premium_rcv_detail_code,remaining_amt, payrec, mode_code,coinsurance_code,class_cd,it_remarks) values('27Mar250028','070000177403','34031',(select max(to_number(i.premium_rcv_detail_code))+1
from ins_premium_det i),'34031','34031','02', '11000003','00','Request by Mr. Saqib Saleem 28-Mar-2025');</v>
      </c>
    </row>
    <row r="100" spans="1:8" ht="105" x14ac:dyDescent="0.25">
      <c r="A100" s="2" t="s">
        <v>5137</v>
      </c>
      <c r="B100" s="13" t="str">
        <f>VLOOKUP(A100,policy!B:C,2,0)</f>
        <v>070000177404</v>
      </c>
      <c r="C100" s="3">
        <v>31894</v>
      </c>
      <c r="D100" s="14">
        <f t="shared" si="5"/>
        <v>31894</v>
      </c>
      <c r="E100" s="19" t="s">
        <v>6323</v>
      </c>
      <c r="F100" s="15" t="str">
        <f t="shared" si="4"/>
        <v>insert into ins_premium_det (premium_rcv_code,assorted_code, rec_amount,premium_rcv_detail_code,remaining_amt, payrec, mode_code,coinsurance_code,class_cd,it_remarks) values</v>
      </c>
      <c r="G100" s="16" t="str">
        <f t="shared" si="6"/>
        <v>('27Mar250028','070000177404','31894',(select max(to_number(i.premium_rcv_detail_code))+1
from ins_premium_det i),'31894','31894','02', '11000003','00','Request by Mr. Saqib Saleem 28-Mar-2025');</v>
      </c>
      <c r="H100" s="17" t="str">
        <f t="shared" si="7"/>
        <v>insert into ins_premium_det (premium_rcv_code,assorted_code, rec_amount,premium_rcv_detail_code,remaining_amt, payrec, mode_code,coinsurance_code,class_cd,it_remarks) values('27Mar250028','070000177404','31894',(select max(to_number(i.premium_rcv_detail_code))+1
from ins_premium_det i),'31894','31894','02', '11000003','00','Request by Mr. Saqib Saleem 28-Mar-2025');</v>
      </c>
    </row>
    <row r="101" spans="1:8" ht="105" x14ac:dyDescent="0.25">
      <c r="A101" s="2" t="s">
        <v>5138</v>
      </c>
      <c r="B101" s="13" t="str">
        <f>VLOOKUP(A101,policy!B:C,2,0)</f>
        <v>070000177405</v>
      </c>
      <c r="C101" s="3">
        <v>31691</v>
      </c>
      <c r="D101" s="14">
        <f t="shared" si="5"/>
        <v>31691</v>
      </c>
      <c r="E101" s="19" t="s">
        <v>6323</v>
      </c>
      <c r="F101" s="15" t="str">
        <f t="shared" si="4"/>
        <v>insert into ins_premium_det (premium_rcv_code,assorted_code, rec_amount,premium_rcv_detail_code,remaining_amt, payrec, mode_code,coinsurance_code,class_cd,it_remarks) values</v>
      </c>
      <c r="G101" s="16" t="str">
        <f t="shared" si="6"/>
        <v>('27Mar250028','070000177405','31691',(select max(to_number(i.premium_rcv_detail_code))+1
from ins_premium_det i),'31691','31691','02', '11000003','00','Request by Mr. Saqib Saleem 28-Mar-2025');</v>
      </c>
      <c r="H101" s="17" t="str">
        <f t="shared" si="7"/>
        <v>insert into ins_premium_det (premium_rcv_code,assorted_code, rec_amount,premium_rcv_detail_code,remaining_amt, payrec, mode_code,coinsurance_code,class_cd,it_remarks) values('27Mar250028','070000177405','31691',(select max(to_number(i.premium_rcv_detail_code))+1
from ins_premium_det i),'31691','31691','02', '11000003','00','Request by Mr. Saqib Saleem 28-Mar-2025');</v>
      </c>
    </row>
    <row r="102" spans="1:8" ht="105" x14ac:dyDescent="0.25">
      <c r="A102" s="2" t="s">
        <v>5139</v>
      </c>
      <c r="B102" s="13" t="str">
        <f>VLOOKUP(A102,policy!B:C,2,0)</f>
        <v>070000178829</v>
      </c>
      <c r="C102" s="3">
        <v>34528</v>
      </c>
      <c r="D102" s="14">
        <f t="shared" si="5"/>
        <v>34528</v>
      </c>
      <c r="E102" s="19" t="s">
        <v>6323</v>
      </c>
      <c r="F102" s="15" t="str">
        <f t="shared" si="4"/>
        <v>insert into ins_premium_det (premium_rcv_code,assorted_code, rec_amount,premium_rcv_detail_code,remaining_amt, payrec, mode_code,coinsurance_code,class_cd,it_remarks) values</v>
      </c>
      <c r="G102" s="16" t="str">
        <f t="shared" si="6"/>
        <v>('27Mar250028','070000178829','34528',(select max(to_number(i.premium_rcv_detail_code))+1
from ins_premium_det i),'34528','34528','02', '11000003','00','Request by Mr. Saqib Saleem 28-Mar-2025');</v>
      </c>
      <c r="H102" s="17" t="str">
        <f t="shared" si="7"/>
        <v>insert into ins_premium_det (premium_rcv_code,assorted_code, rec_amount,premium_rcv_detail_code,remaining_amt, payrec, mode_code,coinsurance_code,class_cd,it_remarks) values('27Mar250028','070000178829','34528',(select max(to_number(i.premium_rcv_detail_code))+1
from ins_premium_det i),'34528','34528','02', '11000003','00','Request by Mr. Saqib Saleem 28-Mar-2025');</v>
      </c>
    </row>
    <row r="103" spans="1:8" ht="105" x14ac:dyDescent="0.25">
      <c r="A103" s="2" t="s">
        <v>5140</v>
      </c>
      <c r="B103" s="13" t="str">
        <f>VLOOKUP(A103,policy!B:C,2,0)</f>
        <v>070000177406</v>
      </c>
      <c r="C103" s="3">
        <v>28013</v>
      </c>
      <c r="D103" s="14">
        <f t="shared" si="5"/>
        <v>28013</v>
      </c>
      <c r="E103" s="19" t="s">
        <v>6323</v>
      </c>
      <c r="F103" s="15" t="str">
        <f t="shared" si="4"/>
        <v>insert into ins_premium_det (premium_rcv_code,assorted_code, rec_amount,premium_rcv_detail_code,remaining_amt, payrec, mode_code,coinsurance_code,class_cd,it_remarks) values</v>
      </c>
      <c r="G103" s="16" t="str">
        <f t="shared" si="6"/>
        <v>('27Mar250028','070000177406','28013',(select max(to_number(i.premium_rcv_detail_code))+1
from ins_premium_det i),'28013','28013','02', '11000003','00','Request by Mr. Saqib Saleem 28-Mar-2025');</v>
      </c>
      <c r="H103" s="17" t="str">
        <f t="shared" si="7"/>
        <v>insert into ins_premium_det (premium_rcv_code,assorted_code, rec_amount,premium_rcv_detail_code,remaining_amt, payrec, mode_code,coinsurance_code,class_cd,it_remarks) values('27Mar250028','070000177406','28013',(select max(to_number(i.premium_rcv_detail_code))+1
from ins_premium_det i),'28013','28013','02', '11000003','00','Request by Mr. Saqib Saleem 28-Mar-2025');</v>
      </c>
    </row>
    <row r="104" spans="1:8" ht="105" x14ac:dyDescent="0.25">
      <c r="A104" s="2" t="s">
        <v>5141</v>
      </c>
      <c r="B104" s="13" t="str">
        <f>VLOOKUP(A104,policy!B:C,2,0)</f>
        <v>070000178830</v>
      </c>
      <c r="C104" s="3">
        <v>44476</v>
      </c>
      <c r="D104" s="14">
        <f t="shared" si="5"/>
        <v>44476</v>
      </c>
      <c r="E104" s="19" t="s">
        <v>6323</v>
      </c>
      <c r="F104" s="15" t="str">
        <f t="shared" si="4"/>
        <v>insert into ins_premium_det (premium_rcv_code,assorted_code, rec_amount,premium_rcv_detail_code,remaining_amt, payrec, mode_code,coinsurance_code,class_cd,it_remarks) values</v>
      </c>
      <c r="G104" s="16" t="str">
        <f t="shared" si="6"/>
        <v>('27Mar250028','070000178830','44476',(select max(to_number(i.premium_rcv_detail_code))+1
from ins_premium_det i),'44476','44476','02', '11000003','00','Request by Mr. Saqib Saleem 28-Mar-2025');</v>
      </c>
      <c r="H104" s="17" t="str">
        <f t="shared" si="7"/>
        <v>insert into ins_premium_det (premium_rcv_code,assorted_code, rec_amount,premium_rcv_detail_code,remaining_amt, payrec, mode_code,coinsurance_code,class_cd,it_remarks) values('27Mar250028','070000178830','44476',(select max(to_number(i.premium_rcv_detail_code))+1
from ins_premium_det i),'44476','44476','02', '11000003','00','Request by Mr. Saqib Saleem 28-Mar-2025');</v>
      </c>
    </row>
    <row r="105" spans="1:8" ht="105" x14ac:dyDescent="0.25">
      <c r="A105" s="2" t="s">
        <v>5142</v>
      </c>
      <c r="B105" s="13" t="str">
        <f>VLOOKUP(A105,policy!B:C,2,0)</f>
        <v>070000178831</v>
      </c>
      <c r="C105" s="3">
        <v>24900</v>
      </c>
      <c r="D105" s="14">
        <f t="shared" si="5"/>
        <v>24900</v>
      </c>
      <c r="E105" s="19" t="s">
        <v>6323</v>
      </c>
      <c r="F105" s="15" t="str">
        <f t="shared" si="4"/>
        <v>insert into ins_premium_det (premium_rcv_code,assorted_code, rec_amount,premium_rcv_detail_code,remaining_amt, payrec, mode_code,coinsurance_code,class_cd,it_remarks) values</v>
      </c>
      <c r="G105" s="16" t="str">
        <f t="shared" si="6"/>
        <v>('27Mar250028','070000178831','24900',(select max(to_number(i.premium_rcv_detail_code))+1
from ins_premium_det i),'24900','24900','02', '11000003','00','Request by Mr. Saqib Saleem 28-Mar-2025');</v>
      </c>
      <c r="H105" s="17" t="str">
        <f t="shared" si="7"/>
        <v>insert into ins_premium_det (premium_rcv_code,assorted_code, rec_amount,premium_rcv_detail_code,remaining_amt, payrec, mode_code,coinsurance_code,class_cd,it_remarks) values('27Mar250028','070000178831','24900',(select max(to_number(i.premium_rcv_detail_code))+1
from ins_premium_det i),'24900','24900','02', '11000003','00','Request by Mr. Saqib Saleem 28-Mar-2025');</v>
      </c>
    </row>
    <row r="106" spans="1:8" ht="105" x14ac:dyDescent="0.25">
      <c r="A106" s="2" t="s">
        <v>5143</v>
      </c>
      <c r="B106" s="13" t="str">
        <f>VLOOKUP(A106,policy!B:C,2,0)</f>
        <v>070000177407</v>
      </c>
      <c r="C106" s="3">
        <v>25875</v>
      </c>
      <c r="D106" s="14">
        <f t="shared" si="5"/>
        <v>25875</v>
      </c>
      <c r="E106" s="19" t="s">
        <v>6323</v>
      </c>
      <c r="F106" s="15" t="str">
        <f t="shared" si="4"/>
        <v>insert into ins_premium_det (premium_rcv_code,assorted_code, rec_amount,premium_rcv_detail_code,remaining_amt, payrec, mode_code,coinsurance_code,class_cd,it_remarks) values</v>
      </c>
      <c r="G106" s="16" t="str">
        <f t="shared" si="6"/>
        <v>('27Mar250028','070000177407','25875',(select max(to_number(i.premium_rcv_detail_code))+1
from ins_premium_det i),'25875','25875','02', '11000003','00','Request by Mr. Saqib Saleem 28-Mar-2025');</v>
      </c>
      <c r="H106" s="17" t="str">
        <f t="shared" si="7"/>
        <v>insert into ins_premium_det (premium_rcv_code,assorted_code, rec_amount,premium_rcv_detail_code,remaining_amt, payrec, mode_code,coinsurance_code,class_cd,it_remarks) values('27Mar250028','070000177407','25875',(select max(to_number(i.premium_rcv_detail_code))+1
from ins_premium_det i),'25875','25875','02', '11000003','00','Request by Mr. Saqib Saleem 28-Mar-2025');</v>
      </c>
    </row>
    <row r="107" spans="1:8" ht="105" x14ac:dyDescent="0.25">
      <c r="A107" s="2" t="s">
        <v>5144</v>
      </c>
      <c r="B107" s="13" t="str">
        <f>VLOOKUP(A107,policy!B:C,2,0)</f>
        <v>070000177408</v>
      </c>
      <c r="C107" s="3">
        <v>30375</v>
      </c>
      <c r="D107" s="14">
        <f t="shared" si="5"/>
        <v>30375</v>
      </c>
      <c r="E107" s="19" t="s">
        <v>6323</v>
      </c>
      <c r="F107" s="15" t="str">
        <f t="shared" si="4"/>
        <v>insert into ins_premium_det (premium_rcv_code,assorted_code, rec_amount,premium_rcv_detail_code,remaining_amt, payrec, mode_code,coinsurance_code,class_cd,it_remarks) values</v>
      </c>
      <c r="G107" s="16" t="str">
        <f t="shared" si="6"/>
        <v>('27Mar250028','070000177408','30375',(select max(to_number(i.premium_rcv_detail_code))+1
from ins_premium_det i),'30375','30375','02', '11000003','00','Request by Mr. Saqib Saleem 28-Mar-2025');</v>
      </c>
      <c r="H107" s="17" t="str">
        <f t="shared" si="7"/>
        <v>insert into ins_premium_det (premium_rcv_code,assorted_code, rec_amount,premium_rcv_detail_code,remaining_amt, payrec, mode_code,coinsurance_code,class_cd,it_remarks) values('27Mar250028','070000177408','30375',(select max(to_number(i.premium_rcv_detail_code))+1
from ins_premium_det i),'30375','30375','02', '11000003','00','Request by Mr. Saqib Saleem 28-Mar-2025');</v>
      </c>
    </row>
    <row r="108" spans="1:8" ht="105" x14ac:dyDescent="0.25">
      <c r="A108" s="2" t="s">
        <v>5145</v>
      </c>
      <c r="B108" s="13" t="str">
        <f>VLOOKUP(A108,policy!B:C,2,0)</f>
        <v>070000177410</v>
      </c>
      <c r="C108" s="3">
        <v>34800</v>
      </c>
      <c r="D108" s="14">
        <f t="shared" si="5"/>
        <v>34800</v>
      </c>
      <c r="E108" s="19" t="s">
        <v>6323</v>
      </c>
      <c r="F108" s="15" t="str">
        <f t="shared" si="4"/>
        <v>insert into ins_premium_det (premium_rcv_code,assorted_code, rec_amount,premium_rcv_detail_code,remaining_amt, payrec, mode_code,coinsurance_code,class_cd,it_remarks) values</v>
      </c>
      <c r="G108" s="16" t="str">
        <f t="shared" si="6"/>
        <v>('27Mar250028','070000177410','34800',(select max(to_number(i.premium_rcv_detail_code))+1
from ins_premium_det i),'34800','34800','02', '11000003','00','Request by Mr. Saqib Saleem 28-Mar-2025');</v>
      </c>
      <c r="H108" s="17" t="str">
        <f t="shared" si="7"/>
        <v>insert into ins_premium_det (premium_rcv_code,assorted_code, rec_amount,premium_rcv_detail_code,remaining_amt, payrec, mode_code,coinsurance_code,class_cd,it_remarks) values('27Mar250028','070000177410','34800',(select max(to_number(i.premium_rcv_detail_code))+1
from ins_premium_det i),'34800','34800','02', '11000003','00','Request by Mr. Saqib Saleem 28-Mar-2025');</v>
      </c>
    </row>
    <row r="109" spans="1:8" ht="105" x14ac:dyDescent="0.25">
      <c r="A109" s="2" t="s">
        <v>5146</v>
      </c>
      <c r="B109" s="13" t="str">
        <f>VLOOKUP(A109,policy!B:C,2,0)</f>
        <v>070000177411</v>
      </c>
      <c r="C109" s="3">
        <v>32625</v>
      </c>
      <c r="D109" s="14">
        <f t="shared" si="5"/>
        <v>32625</v>
      </c>
      <c r="E109" s="19" t="s">
        <v>6323</v>
      </c>
      <c r="F109" s="15" t="str">
        <f t="shared" si="4"/>
        <v>insert into ins_premium_det (premium_rcv_code,assorted_code, rec_amount,premium_rcv_detail_code,remaining_amt, payrec, mode_code,coinsurance_code,class_cd,it_remarks) values</v>
      </c>
      <c r="G109" s="16" t="str">
        <f t="shared" si="6"/>
        <v>('27Mar250028','070000177411','32625',(select max(to_number(i.premium_rcv_detail_code))+1
from ins_premium_det i),'32625','32625','02', '11000003','00','Request by Mr. Saqib Saleem 28-Mar-2025');</v>
      </c>
      <c r="H109" s="17" t="str">
        <f t="shared" si="7"/>
        <v>insert into ins_premium_det (premium_rcv_code,assorted_code, rec_amount,premium_rcv_detail_code,remaining_amt, payrec, mode_code,coinsurance_code,class_cd,it_remarks) values('27Mar250028','070000177411','32625',(select max(to_number(i.premium_rcv_detail_code))+1
from ins_premium_det i),'32625','32625','02', '11000003','00','Request by Mr. Saqib Saleem 28-Mar-2025');</v>
      </c>
    </row>
    <row r="110" spans="1:8" ht="105" x14ac:dyDescent="0.25">
      <c r="A110" s="2" t="s">
        <v>5147</v>
      </c>
      <c r="B110" s="13" t="str">
        <f>VLOOKUP(A110,policy!B:C,2,0)</f>
        <v>070000177413</v>
      </c>
      <c r="C110" s="3">
        <v>29625</v>
      </c>
      <c r="D110" s="14">
        <f t="shared" si="5"/>
        <v>29625</v>
      </c>
      <c r="E110" s="19" t="s">
        <v>6323</v>
      </c>
      <c r="F110" s="15" t="str">
        <f t="shared" si="4"/>
        <v>insert into ins_premium_det (premium_rcv_code,assorted_code, rec_amount,premium_rcv_detail_code,remaining_amt, payrec, mode_code,coinsurance_code,class_cd,it_remarks) values</v>
      </c>
      <c r="G110" s="16" t="str">
        <f t="shared" si="6"/>
        <v>('27Mar250028','070000177413','29625',(select max(to_number(i.premium_rcv_detail_code))+1
from ins_premium_det i),'29625','29625','02', '11000003','00','Request by Mr. Saqib Saleem 28-Mar-2025');</v>
      </c>
      <c r="H110" s="17" t="str">
        <f t="shared" si="7"/>
        <v>insert into ins_premium_det (premium_rcv_code,assorted_code, rec_amount,premium_rcv_detail_code,remaining_amt, payrec, mode_code,coinsurance_code,class_cd,it_remarks) values('27Mar250028','070000177413','29625',(select max(to_number(i.premium_rcv_detail_code))+1
from ins_premium_det i),'29625','29625','02', '11000003','00','Request by Mr. Saqib Saleem 28-Mar-2025');</v>
      </c>
    </row>
    <row r="111" spans="1:8" ht="105" x14ac:dyDescent="0.25">
      <c r="A111" s="2" t="s">
        <v>5148</v>
      </c>
      <c r="B111" s="13" t="str">
        <f>VLOOKUP(A111,policy!B:C,2,0)</f>
        <v>070000177415</v>
      </c>
      <c r="C111" s="3">
        <v>35438</v>
      </c>
      <c r="D111" s="14">
        <f t="shared" si="5"/>
        <v>35438</v>
      </c>
      <c r="E111" s="19" t="s">
        <v>6323</v>
      </c>
      <c r="F111" s="15" t="str">
        <f t="shared" si="4"/>
        <v>insert into ins_premium_det (premium_rcv_code,assorted_code, rec_amount,premium_rcv_detail_code,remaining_amt, payrec, mode_code,coinsurance_code,class_cd,it_remarks) values</v>
      </c>
      <c r="G111" s="16" t="str">
        <f t="shared" si="6"/>
        <v>('27Mar250028','070000177415','35438',(select max(to_number(i.premium_rcv_detail_code))+1
from ins_premium_det i),'35438','35438','02', '11000003','00','Request by Mr. Saqib Saleem 28-Mar-2025');</v>
      </c>
      <c r="H111" s="17" t="str">
        <f t="shared" si="7"/>
        <v>insert into ins_premium_det (premium_rcv_code,assorted_code, rec_amount,premium_rcv_detail_code,remaining_amt, payrec, mode_code,coinsurance_code,class_cd,it_remarks) values('27Mar250028','070000177415','35438',(select max(to_number(i.premium_rcv_detail_code))+1
from ins_premium_det i),'35438','35438','02', '11000003','00','Request by Mr. Saqib Saleem 28-Mar-2025');</v>
      </c>
    </row>
    <row r="112" spans="1:8" ht="105" x14ac:dyDescent="0.25">
      <c r="A112" s="2" t="s">
        <v>5149</v>
      </c>
      <c r="B112" s="13" t="str">
        <f>VLOOKUP(A112,policy!B:C,2,0)</f>
        <v>070000177416</v>
      </c>
      <c r="C112" s="3">
        <v>28125</v>
      </c>
      <c r="D112" s="14">
        <f t="shared" si="5"/>
        <v>28125</v>
      </c>
      <c r="E112" s="19" t="s">
        <v>6323</v>
      </c>
      <c r="F112" s="15" t="str">
        <f t="shared" si="4"/>
        <v>insert into ins_premium_det (premium_rcv_code,assorted_code, rec_amount,premium_rcv_detail_code,remaining_amt, payrec, mode_code,coinsurance_code,class_cd,it_remarks) values</v>
      </c>
      <c r="G112" s="16" t="str">
        <f t="shared" si="6"/>
        <v>('27Mar250028','070000177416','28125',(select max(to_number(i.premium_rcv_detail_code))+1
from ins_premium_det i),'28125','28125','02', '11000003','00','Request by Mr. Saqib Saleem 28-Mar-2025');</v>
      </c>
      <c r="H112" s="17" t="str">
        <f t="shared" si="7"/>
        <v>insert into ins_premium_det (premium_rcv_code,assorted_code, rec_amount,premium_rcv_detail_code,remaining_amt, payrec, mode_code,coinsurance_code,class_cd,it_remarks) values('27Mar250028','070000177416','28125',(select max(to_number(i.premium_rcv_detail_code))+1
from ins_premium_det i),'28125','28125','02', '11000003','00','Request by Mr. Saqib Saleem 28-Mar-2025');</v>
      </c>
    </row>
    <row r="113" spans="1:8" ht="105" x14ac:dyDescent="0.25">
      <c r="A113" s="2" t="s">
        <v>5150</v>
      </c>
      <c r="B113" s="13" t="str">
        <f>VLOOKUP(A113,policy!B:C,2,0)</f>
        <v>070000177418</v>
      </c>
      <c r="C113" s="3">
        <v>28125</v>
      </c>
      <c r="D113" s="14">
        <f t="shared" si="5"/>
        <v>28125</v>
      </c>
      <c r="E113" s="19" t="s">
        <v>6323</v>
      </c>
      <c r="F113" s="15" t="str">
        <f t="shared" si="4"/>
        <v>insert into ins_premium_det (premium_rcv_code,assorted_code, rec_amount,premium_rcv_detail_code,remaining_amt, payrec, mode_code,coinsurance_code,class_cd,it_remarks) values</v>
      </c>
      <c r="G113" s="16" t="str">
        <f t="shared" si="6"/>
        <v>('27Mar250028','070000177418','28125',(select max(to_number(i.premium_rcv_detail_code))+1
from ins_premium_det i),'28125','28125','02', '11000003','00','Request by Mr. Saqib Saleem 28-Mar-2025');</v>
      </c>
      <c r="H113" s="17" t="str">
        <f t="shared" si="7"/>
        <v>insert into ins_premium_det (premium_rcv_code,assorted_code, rec_amount,premium_rcv_detail_code,remaining_amt, payrec, mode_code,coinsurance_code,class_cd,it_remarks) values('27Mar250028','070000177418','28125',(select max(to_number(i.premium_rcv_detail_code))+1
from ins_premium_det i),'28125','28125','02', '11000003','00','Request by Mr. Saqib Saleem 28-Mar-2025');</v>
      </c>
    </row>
    <row r="114" spans="1:8" ht="105" x14ac:dyDescent="0.25">
      <c r="A114" s="2" t="s">
        <v>5151</v>
      </c>
      <c r="B114" s="13" t="str">
        <f>VLOOKUP(A114,policy!B:C,2,0)</f>
        <v>070000178840</v>
      </c>
      <c r="C114" s="3">
        <v>26863</v>
      </c>
      <c r="D114" s="14">
        <f t="shared" si="5"/>
        <v>26863</v>
      </c>
      <c r="E114" s="19" t="s">
        <v>6323</v>
      </c>
      <c r="F114" s="15" t="str">
        <f t="shared" si="4"/>
        <v>insert into ins_premium_det (premium_rcv_code,assorted_code, rec_amount,premium_rcv_detail_code,remaining_amt, payrec, mode_code,coinsurance_code,class_cd,it_remarks) values</v>
      </c>
      <c r="G114" s="16" t="str">
        <f t="shared" si="6"/>
        <v>('27Mar250028','070000178840','26863',(select max(to_number(i.premium_rcv_detail_code))+1
from ins_premium_det i),'26863','26863','02', '11000003','00','Request by Mr. Saqib Saleem 28-Mar-2025');</v>
      </c>
      <c r="H114" s="17" t="str">
        <f t="shared" si="7"/>
        <v>insert into ins_premium_det (premium_rcv_code,assorted_code, rec_amount,premium_rcv_detail_code,remaining_amt, payrec, mode_code,coinsurance_code,class_cd,it_remarks) values('27Mar250028','070000178840','26863',(select max(to_number(i.premium_rcv_detail_code))+1
from ins_premium_det i),'26863','26863','02', '11000003','00','Request by Mr. Saqib Saleem 28-Mar-2025');</v>
      </c>
    </row>
    <row r="115" spans="1:8" ht="105" x14ac:dyDescent="0.25">
      <c r="A115" s="2" t="s">
        <v>5152</v>
      </c>
      <c r="B115" s="13" t="str">
        <f>VLOOKUP(A115,policy!B:C,2,0)</f>
        <v>070000178841</v>
      </c>
      <c r="C115" s="3">
        <v>25760</v>
      </c>
      <c r="D115" s="14">
        <f t="shared" si="5"/>
        <v>25760</v>
      </c>
      <c r="E115" s="19" t="s">
        <v>6323</v>
      </c>
      <c r="F115" s="15" t="str">
        <f t="shared" si="4"/>
        <v>insert into ins_premium_det (premium_rcv_code,assorted_code, rec_amount,premium_rcv_detail_code,remaining_amt, payrec, mode_code,coinsurance_code,class_cd,it_remarks) values</v>
      </c>
      <c r="G115" s="16" t="str">
        <f t="shared" si="6"/>
        <v>('27Mar250028','070000178841','25760',(select max(to_number(i.premium_rcv_detail_code))+1
from ins_premium_det i),'25760','25760','02', '11000003','00','Request by Mr. Saqib Saleem 28-Mar-2025');</v>
      </c>
      <c r="H115" s="17" t="str">
        <f t="shared" si="7"/>
        <v>insert into ins_premium_det (premium_rcv_code,assorted_code, rec_amount,premium_rcv_detail_code,remaining_amt, payrec, mode_code,coinsurance_code,class_cd,it_remarks) values('27Mar250028','070000178841','25760',(select max(to_number(i.premium_rcv_detail_code))+1
from ins_premium_det i),'25760','25760','02', '11000003','00','Request by Mr. Saqib Saleem 28-Mar-2025');</v>
      </c>
    </row>
    <row r="116" spans="1:8" ht="105" x14ac:dyDescent="0.25">
      <c r="A116" s="2" t="s">
        <v>5153</v>
      </c>
      <c r="B116" s="13" t="str">
        <f>VLOOKUP(A116,policy!B:C,2,0)</f>
        <v>070000177419</v>
      </c>
      <c r="C116" s="3">
        <v>27000</v>
      </c>
      <c r="D116" s="14">
        <f t="shared" si="5"/>
        <v>27000</v>
      </c>
      <c r="E116" s="19" t="s">
        <v>6323</v>
      </c>
      <c r="F116" s="15" t="str">
        <f t="shared" si="4"/>
        <v>insert into ins_premium_det (premium_rcv_code,assorted_code, rec_amount,premium_rcv_detail_code,remaining_amt, payrec, mode_code,coinsurance_code,class_cd,it_remarks) values</v>
      </c>
      <c r="G116" s="16" t="str">
        <f t="shared" si="6"/>
        <v>('27Mar250028','070000177419','27000',(select max(to_number(i.premium_rcv_detail_code))+1
from ins_premium_det i),'27000','27000','02', '11000003','00','Request by Mr. Saqib Saleem 28-Mar-2025');</v>
      </c>
      <c r="H116" s="17" t="str">
        <f t="shared" si="7"/>
        <v>insert into ins_premium_det (premium_rcv_code,assorted_code, rec_amount,premium_rcv_detail_code,remaining_amt, payrec, mode_code,coinsurance_code,class_cd,it_remarks) values('27Mar250028','070000177419','27000',(select max(to_number(i.premium_rcv_detail_code))+1
from ins_premium_det i),'27000','27000','02', '11000003','00','Request by Mr. Saqib Saleem 28-Mar-2025');</v>
      </c>
    </row>
    <row r="117" spans="1:8" ht="105" x14ac:dyDescent="0.25">
      <c r="A117" s="2" t="s">
        <v>5154</v>
      </c>
      <c r="B117" s="13" t="str">
        <f>VLOOKUP(A117,policy!B:C,2,0)</f>
        <v>070000178843</v>
      </c>
      <c r="C117" s="3">
        <v>21360</v>
      </c>
      <c r="D117" s="14">
        <f t="shared" si="5"/>
        <v>21360</v>
      </c>
      <c r="E117" s="19" t="s">
        <v>6323</v>
      </c>
      <c r="F117" s="15" t="str">
        <f t="shared" si="4"/>
        <v>insert into ins_premium_det (premium_rcv_code,assorted_code, rec_amount,premium_rcv_detail_code,remaining_amt, payrec, mode_code,coinsurance_code,class_cd,it_remarks) values</v>
      </c>
      <c r="G117" s="16" t="str">
        <f t="shared" si="6"/>
        <v>('27Mar250028','070000178843','21360',(select max(to_number(i.premium_rcv_detail_code))+1
from ins_premium_det i),'21360','21360','02', '11000003','00','Request by Mr. Saqib Saleem 28-Mar-2025');</v>
      </c>
      <c r="H117" s="17" t="str">
        <f t="shared" si="7"/>
        <v>insert into ins_premium_det (premium_rcv_code,assorted_code, rec_amount,premium_rcv_detail_code,remaining_amt, payrec, mode_code,coinsurance_code,class_cd,it_remarks) values('27Mar250028','070000178843','21360',(select max(to_number(i.premium_rcv_detail_code))+1
from ins_premium_det i),'21360','21360','02', '11000003','00','Request by Mr. Saqib Saleem 28-Mar-2025');</v>
      </c>
    </row>
    <row r="118" spans="1:8" ht="105" x14ac:dyDescent="0.25">
      <c r="A118" s="2" t="s">
        <v>5155</v>
      </c>
      <c r="B118" s="13" t="str">
        <f>VLOOKUP(A118,policy!B:C,2,0)</f>
        <v>070000178844</v>
      </c>
      <c r="C118" s="3">
        <v>16800</v>
      </c>
      <c r="D118" s="14">
        <f t="shared" si="5"/>
        <v>16800</v>
      </c>
      <c r="E118" s="19" t="s">
        <v>6323</v>
      </c>
      <c r="F118" s="15" t="str">
        <f t="shared" si="4"/>
        <v>insert into ins_premium_det (premium_rcv_code,assorted_code, rec_amount,premium_rcv_detail_code,remaining_amt, payrec, mode_code,coinsurance_code,class_cd,it_remarks) values</v>
      </c>
      <c r="G118" s="16" t="str">
        <f t="shared" si="6"/>
        <v>('27Mar250028','070000178844','16800',(select max(to_number(i.premium_rcv_detail_code))+1
from ins_premium_det i),'16800','16800','02', '11000003','00','Request by Mr. Saqib Saleem 28-Mar-2025');</v>
      </c>
      <c r="H118" s="17" t="str">
        <f t="shared" si="7"/>
        <v>insert into ins_premium_det (premium_rcv_code,assorted_code, rec_amount,premium_rcv_detail_code,remaining_amt, payrec, mode_code,coinsurance_code,class_cd,it_remarks) values('27Mar250028','070000178844','16800',(select max(to_number(i.premium_rcv_detail_code))+1
from ins_premium_det i),'16800','16800','02', '11000003','00','Request by Mr. Saqib Saleem 28-Mar-2025');</v>
      </c>
    </row>
    <row r="119" spans="1:8" ht="105" x14ac:dyDescent="0.25">
      <c r="A119" s="2" t="s">
        <v>5156</v>
      </c>
      <c r="B119" s="13" t="str">
        <f>VLOOKUP(A119,policy!B:C,2,0)</f>
        <v>070000178845</v>
      </c>
      <c r="C119" s="3">
        <v>25760</v>
      </c>
      <c r="D119" s="14">
        <f t="shared" si="5"/>
        <v>25760</v>
      </c>
      <c r="E119" s="19" t="s">
        <v>6323</v>
      </c>
      <c r="F119" s="15" t="str">
        <f t="shared" si="4"/>
        <v>insert into ins_premium_det (premium_rcv_code,assorted_code, rec_amount,premium_rcv_detail_code,remaining_amt, payrec, mode_code,coinsurance_code,class_cd,it_remarks) values</v>
      </c>
      <c r="G119" s="16" t="str">
        <f t="shared" si="6"/>
        <v>('27Mar250028','070000178845','25760',(select max(to_number(i.premium_rcv_detail_code))+1
from ins_premium_det i),'25760','25760','02', '11000003','00','Request by Mr. Saqib Saleem 28-Mar-2025');</v>
      </c>
      <c r="H119" s="17" t="str">
        <f t="shared" si="7"/>
        <v>insert into ins_premium_det (premium_rcv_code,assorted_code, rec_amount,premium_rcv_detail_code,remaining_amt, payrec, mode_code,coinsurance_code,class_cd,it_remarks) values('27Mar250028','070000178845','25760',(select max(to_number(i.premium_rcv_detail_code))+1
from ins_premium_det i),'25760','25760','02', '11000003','00','Request by Mr. Saqib Saleem 28-Mar-2025');</v>
      </c>
    </row>
    <row r="120" spans="1:8" ht="45" hidden="1" x14ac:dyDescent="0.25">
      <c r="A120" s="9" t="s">
        <v>5616</v>
      </c>
      <c r="B120" s="13" t="e">
        <f>VLOOKUP(A120,policy!B:C,2,0)</f>
        <v>#N/A</v>
      </c>
      <c r="C120" s="3"/>
      <c r="D120" s="14"/>
      <c r="E120" s="19" t="s">
        <v>6323</v>
      </c>
      <c r="F120" s="15" t="str">
        <f t="shared" si="4"/>
        <v>insert into ins_premium_det (premium_rcv_code,assorted_code, rec_amount,premium_rcv_detail_code,remaining_amt, payrec, mode_code,coinsurance_code,class_cd,it_remarks) values</v>
      </c>
      <c r="G120" s="16" t="e">
        <f t="shared" si="6"/>
        <v>#N/A</v>
      </c>
      <c r="H120" s="17" t="e">
        <f t="shared" si="7"/>
        <v>#N/A</v>
      </c>
    </row>
    <row r="121" spans="1:8" ht="105" x14ac:dyDescent="0.25">
      <c r="A121" s="2" t="s">
        <v>5157</v>
      </c>
      <c r="B121" s="13" t="str">
        <f>VLOOKUP(A121,policy!B:C,2,0)</f>
        <v>070000178847</v>
      </c>
      <c r="C121" s="3">
        <v>27264</v>
      </c>
      <c r="D121" s="14">
        <f t="shared" si="5"/>
        <v>27264</v>
      </c>
      <c r="E121" s="19" t="s">
        <v>6323</v>
      </c>
      <c r="F121" s="15" t="str">
        <f t="shared" si="4"/>
        <v>insert into ins_premium_det (premium_rcv_code,assorted_code, rec_amount,premium_rcv_detail_code,remaining_amt, payrec, mode_code,coinsurance_code,class_cd,it_remarks) values</v>
      </c>
      <c r="G121" s="16" t="str">
        <f t="shared" si="6"/>
        <v>('27Mar250028','070000178847','27264',(select max(to_number(i.premium_rcv_detail_code))+1
from ins_premium_det i),'27264','27264','02', '11000003','00','Request by Mr. Saqib Saleem 28-Mar-2025');</v>
      </c>
      <c r="H121" s="17" t="str">
        <f t="shared" si="7"/>
        <v>insert into ins_premium_det (premium_rcv_code,assorted_code, rec_amount,premium_rcv_detail_code,remaining_amt, payrec, mode_code,coinsurance_code,class_cd,it_remarks) values('27Mar250028','070000178847','27264',(select max(to_number(i.premium_rcv_detail_code))+1
from ins_premium_det i),'27264','27264','02', '11000003','00','Request by Mr. Saqib Saleem 28-Mar-2025');</v>
      </c>
    </row>
    <row r="122" spans="1:8" ht="105" x14ac:dyDescent="0.25">
      <c r="A122" s="2" t="s">
        <v>5158</v>
      </c>
      <c r="B122" s="13" t="str">
        <f>VLOOKUP(A122,policy!B:C,2,0)</f>
        <v>070000177420</v>
      </c>
      <c r="C122" s="3">
        <v>24000</v>
      </c>
      <c r="D122" s="14">
        <f t="shared" si="5"/>
        <v>24000</v>
      </c>
      <c r="E122" s="19" t="s">
        <v>6323</v>
      </c>
      <c r="F122" s="15" t="str">
        <f t="shared" si="4"/>
        <v>insert into ins_premium_det (premium_rcv_code,assorted_code, rec_amount,premium_rcv_detail_code,remaining_amt, payrec, mode_code,coinsurance_code,class_cd,it_remarks) values</v>
      </c>
      <c r="G122" s="16" t="str">
        <f t="shared" si="6"/>
        <v>('27Mar250028','070000177420','24000',(select max(to_number(i.premium_rcv_detail_code))+1
from ins_premium_det i),'24000','24000','02', '11000003','00','Request by Mr. Saqib Saleem 28-Mar-2025');</v>
      </c>
      <c r="H122" s="17" t="str">
        <f t="shared" si="7"/>
        <v>insert into ins_premium_det (premium_rcv_code,assorted_code, rec_amount,premium_rcv_detail_code,remaining_amt, payrec, mode_code,coinsurance_code,class_cd,it_remarks) values('27Mar250028','070000177420','24000',(select max(to_number(i.premium_rcv_detail_code))+1
from ins_premium_det i),'24000','24000','02', '11000003','00','Request by Mr. Saqib Saleem 28-Mar-2025');</v>
      </c>
    </row>
    <row r="123" spans="1:8" ht="105" x14ac:dyDescent="0.25">
      <c r="A123" s="2" t="s">
        <v>5159</v>
      </c>
      <c r="B123" s="13" t="str">
        <f>VLOOKUP(A123,policy!B:C,2,0)</f>
        <v>070000178848</v>
      </c>
      <c r="C123" s="3">
        <v>25760</v>
      </c>
      <c r="D123" s="14">
        <f t="shared" si="5"/>
        <v>25760</v>
      </c>
      <c r="E123" s="19" t="s">
        <v>6323</v>
      </c>
      <c r="F123" s="15" t="str">
        <f t="shared" si="4"/>
        <v>insert into ins_premium_det (premium_rcv_code,assorted_code, rec_amount,premium_rcv_detail_code,remaining_amt, payrec, mode_code,coinsurance_code,class_cd,it_remarks) values</v>
      </c>
      <c r="G123" s="16" t="str">
        <f t="shared" si="6"/>
        <v>('27Mar250028','070000178848','25760',(select max(to_number(i.premium_rcv_detail_code))+1
from ins_premium_det i),'25760','25760','02', '11000003','00','Request by Mr. Saqib Saleem 28-Mar-2025');</v>
      </c>
      <c r="H123" s="17" t="str">
        <f t="shared" si="7"/>
        <v>insert into ins_premium_det (premium_rcv_code,assorted_code, rec_amount,premium_rcv_detail_code,remaining_amt, payrec, mode_code,coinsurance_code,class_cd,it_remarks) values('27Mar250028','070000178848','25760',(select max(to_number(i.premium_rcv_detail_code))+1
from ins_premium_det i),'25760','25760','02', '11000003','00','Request by Mr. Saqib Saleem 28-Mar-2025');</v>
      </c>
    </row>
    <row r="124" spans="1:8" ht="105" x14ac:dyDescent="0.25">
      <c r="A124" s="2" t="s">
        <v>5160</v>
      </c>
      <c r="B124" s="13" t="str">
        <f>VLOOKUP(A124,policy!B:C,2,0)</f>
        <v>070000177421</v>
      </c>
      <c r="C124" s="3">
        <v>16313</v>
      </c>
      <c r="D124" s="14">
        <f t="shared" si="5"/>
        <v>16313</v>
      </c>
      <c r="E124" s="19" t="s">
        <v>6323</v>
      </c>
      <c r="F124" s="15" t="str">
        <f t="shared" si="4"/>
        <v>insert into ins_premium_det (premium_rcv_code,assorted_code, rec_amount,premium_rcv_detail_code,remaining_amt, payrec, mode_code,coinsurance_code,class_cd,it_remarks) values</v>
      </c>
      <c r="G124" s="16" t="str">
        <f t="shared" si="6"/>
        <v>('27Mar250028','070000177421','16313',(select max(to_number(i.premium_rcv_detail_code))+1
from ins_premium_det i),'16313','16313','02', '11000003','00','Request by Mr. Saqib Saleem 28-Mar-2025');</v>
      </c>
      <c r="H124" s="17" t="str">
        <f t="shared" si="7"/>
        <v>insert into ins_premium_det (premium_rcv_code,assorted_code, rec_amount,premium_rcv_detail_code,remaining_amt, payrec, mode_code,coinsurance_code,class_cd,it_remarks) values('27Mar250028','070000177421','16313',(select max(to_number(i.premium_rcv_detail_code))+1
from ins_premium_det i),'16313','16313','02', '11000003','00','Request by Mr. Saqib Saleem 28-Mar-2025');</v>
      </c>
    </row>
    <row r="125" spans="1:8" ht="105" x14ac:dyDescent="0.25">
      <c r="A125" s="2" t="s">
        <v>5161</v>
      </c>
      <c r="B125" s="13" t="str">
        <f>VLOOKUP(A125,policy!B:C,2,0)</f>
        <v>070000178850</v>
      </c>
      <c r="C125" s="3">
        <v>51630</v>
      </c>
      <c r="D125" s="14">
        <f t="shared" si="5"/>
        <v>51630</v>
      </c>
      <c r="E125" s="19" t="s">
        <v>6323</v>
      </c>
      <c r="F125" s="15" t="str">
        <f t="shared" si="4"/>
        <v>insert into ins_premium_det (premium_rcv_code,assorted_code, rec_amount,premium_rcv_detail_code,remaining_amt, payrec, mode_code,coinsurance_code,class_cd,it_remarks) values</v>
      </c>
      <c r="G125" s="16" t="str">
        <f t="shared" si="6"/>
        <v>('27Mar250028','070000178850','51630',(select max(to_number(i.premium_rcv_detail_code))+1
from ins_premium_det i),'51630','51630','02', '11000003','00','Request by Mr. Saqib Saleem 28-Mar-2025');</v>
      </c>
      <c r="H125" s="17" t="str">
        <f t="shared" si="7"/>
        <v>insert into ins_premium_det (premium_rcv_code,assorted_code, rec_amount,premium_rcv_detail_code,remaining_amt, payrec, mode_code,coinsurance_code,class_cd,it_remarks) values('27Mar250028','070000178850','51630',(select max(to_number(i.premium_rcv_detail_code))+1
from ins_premium_det i),'51630','51630','02', '11000003','00','Request by Mr. Saqib Saleem 28-Mar-2025');</v>
      </c>
    </row>
    <row r="126" spans="1:8" ht="105" x14ac:dyDescent="0.25">
      <c r="A126" s="2" t="s">
        <v>5162</v>
      </c>
      <c r="B126" s="13" t="str">
        <f>VLOOKUP(A126,policy!B:C,2,0)</f>
        <v>070000177422</v>
      </c>
      <c r="C126" s="3">
        <v>22815</v>
      </c>
      <c r="D126" s="14">
        <f t="shared" si="5"/>
        <v>22815</v>
      </c>
      <c r="E126" s="19" t="s">
        <v>6323</v>
      </c>
      <c r="F126" s="15" t="str">
        <f t="shared" si="4"/>
        <v>insert into ins_premium_det (premium_rcv_code,assorted_code, rec_amount,premium_rcv_detail_code,remaining_amt, payrec, mode_code,coinsurance_code,class_cd,it_remarks) values</v>
      </c>
      <c r="G126" s="16" t="str">
        <f t="shared" si="6"/>
        <v>('27Mar250028','070000177422','22815',(select max(to_number(i.premium_rcv_detail_code))+1
from ins_premium_det i),'22815','22815','02', '11000003','00','Request by Mr. Saqib Saleem 28-Mar-2025');</v>
      </c>
      <c r="H126" s="17" t="str">
        <f t="shared" si="7"/>
        <v>insert into ins_premium_det (premium_rcv_code,assorted_code, rec_amount,premium_rcv_detail_code,remaining_amt, payrec, mode_code,coinsurance_code,class_cd,it_remarks) values('27Mar250028','070000177422','22815',(select max(to_number(i.premium_rcv_detail_code))+1
from ins_premium_det i),'22815','22815','02', '11000003','00','Request by Mr. Saqib Saleem 28-Mar-2025');</v>
      </c>
    </row>
    <row r="127" spans="1:8" ht="105" x14ac:dyDescent="0.25">
      <c r="A127" s="2" t="s">
        <v>5163</v>
      </c>
      <c r="B127" s="13" t="str">
        <f>VLOOKUP(A127,policy!B:C,2,0)</f>
        <v>070000177423</v>
      </c>
      <c r="C127" s="3">
        <v>24150</v>
      </c>
      <c r="D127" s="14">
        <f t="shared" si="5"/>
        <v>24150</v>
      </c>
      <c r="E127" s="19" t="s">
        <v>6323</v>
      </c>
      <c r="F127" s="15" t="str">
        <f t="shared" si="4"/>
        <v>insert into ins_premium_det (premium_rcv_code,assorted_code, rec_amount,premium_rcv_detail_code,remaining_amt, payrec, mode_code,coinsurance_code,class_cd,it_remarks) values</v>
      </c>
      <c r="G127" s="16" t="str">
        <f t="shared" si="6"/>
        <v>('27Mar250028','070000177423','24150',(select max(to_number(i.premium_rcv_detail_code))+1
from ins_premium_det i),'24150','24150','02', '11000003','00','Request by Mr. Saqib Saleem 28-Mar-2025');</v>
      </c>
      <c r="H127" s="17" t="str">
        <f t="shared" si="7"/>
        <v>insert into ins_premium_det (premium_rcv_code,assorted_code, rec_amount,premium_rcv_detail_code,remaining_amt, payrec, mode_code,coinsurance_code,class_cd,it_remarks) values('27Mar250028','070000177423','24150',(select max(to_number(i.premium_rcv_detail_code))+1
from ins_premium_det i),'24150','24150','02', '11000003','00','Request by Mr. Saqib Saleem 28-Mar-2025');</v>
      </c>
    </row>
    <row r="128" spans="1:8" ht="105" x14ac:dyDescent="0.25">
      <c r="A128" s="2" t="s">
        <v>5164</v>
      </c>
      <c r="B128" s="13" t="str">
        <f>VLOOKUP(A128,policy!B:C,2,0)</f>
        <v>070000177425</v>
      </c>
      <c r="C128" s="3">
        <v>18480</v>
      </c>
      <c r="D128" s="14">
        <f t="shared" si="5"/>
        <v>18480</v>
      </c>
      <c r="E128" s="19" t="s">
        <v>6323</v>
      </c>
      <c r="F128" s="15" t="str">
        <f t="shared" si="4"/>
        <v>insert into ins_premium_det (premium_rcv_code,assorted_code, rec_amount,premium_rcv_detail_code,remaining_amt, payrec, mode_code,coinsurance_code,class_cd,it_remarks) values</v>
      </c>
      <c r="G128" s="16" t="str">
        <f t="shared" si="6"/>
        <v>('27Mar250028','070000177425','18480',(select max(to_number(i.premium_rcv_detail_code))+1
from ins_premium_det i),'18480','18480','02', '11000003','00','Request by Mr. Saqib Saleem 28-Mar-2025');</v>
      </c>
      <c r="H128" s="17" t="str">
        <f t="shared" si="7"/>
        <v>insert into ins_premium_det (premium_rcv_code,assorted_code, rec_amount,premium_rcv_detail_code,remaining_amt, payrec, mode_code,coinsurance_code,class_cd,it_remarks) values('27Mar250028','070000177425','18480',(select max(to_number(i.premium_rcv_detail_code))+1
from ins_premium_det i),'18480','18480','02', '11000003','00','Request by Mr. Saqib Saleem 28-Mar-2025');</v>
      </c>
    </row>
    <row r="129" spans="1:8" ht="105" x14ac:dyDescent="0.25">
      <c r="A129" s="2" t="s">
        <v>5165</v>
      </c>
      <c r="B129" s="13" t="str">
        <f>VLOOKUP(A129,policy!B:C,2,0)</f>
        <v>070000177430</v>
      </c>
      <c r="C129" s="3">
        <v>41139</v>
      </c>
      <c r="D129" s="14">
        <f t="shared" si="5"/>
        <v>41139</v>
      </c>
      <c r="E129" s="19" t="s">
        <v>6323</v>
      </c>
      <c r="F129" s="15" t="str">
        <f t="shared" si="4"/>
        <v>insert into ins_premium_det (premium_rcv_code,assorted_code, rec_amount,premium_rcv_detail_code,remaining_amt, payrec, mode_code,coinsurance_code,class_cd,it_remarks) values</v>
      </c>
      <c r="G129" s="16" t="str">
        <f t="shared" si="6"/>
        <v>('27Mar250028','070000177430','41139',(select max(to_number(i.premium_rcv_detail_code))+1
from ins_premium_det i),'41139','41139','02', '11000003','00','Request by Mr. Saqib Saleem 28-Mar-2025');</v>
      </c>
      <c r="H129" s="17" t="str">
        <f t="shared" si="7"/>
        <v>insert into ins_premium_det (premium_rcv_code,assorted_code, rec_amount,premium_rcv_detail_code,remaining_amt, payrec, mode_code,coinsurance_code,class_cd,it_remarks) values('27Mar250028','070000177430','41139',(select max(to_number(i.premium_rcv_detail_code))+1
from ins_premium_det i),'41139','41139','02', '11000003','00','Request by Mr. Saqib Saleem 28-Mar-2025');</v>
      </c>
    </row>
    <row r="130" spans="1:8" ht="105" x14ac:dyDescent="0.25">
      <c r="A130" s="2" t="s">
        <v>5166</v>
      </c>
      <c r="B130" s="13" t="str">
        <f>VLOOKUP(A130,policy!B:C,2,0)</f>
        <v>070000178857</v>
      </c>
      <c r="C130" s="3">
        <v>31200</v>
      </c>
      <c r="D130" s="14">
        <f t="shared" si="5"/>
        <v>31200</v>
      </c>
      <c r="E130" s="19" t="s">
        <v>6323</v>
      </c>
      <c r="F130" s="15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6" t="str">
        <f t="shared" si="6"/>
        <v>('27Mar250028','070000178857','31200',(select max(to_number(i.premium_rcv_detail_code))+1
from ins_premium_det i),'31200','31200','02', '11000003','00','Request by Mr. Saqib Saleem 28-Mar-2025');</v>
      </c>
      <c r="H130" s="17" t="str">
        <f t="shared" si="7"/>
        <v>insert into ins_premium_det (premium_rcv_code,assorted_code, rec_amount,premium_rcv_detail_code,remaining_amt, payrec, mode_code,coinsurance_code,class_cd,it_remarks) values('27Mar250028','070000178857','31200',(select max(to_number(i.premium_rcv_detail_code))+1
from ins_premium_det i),'31200','31200','02', '11000003','00','Request by Mr. Saqib Saleem 28-Mar-2025');</v>
      </c>
    </row>
    <row r="131" spans="1:8" ht="105" x14ac:dyDescent="0.25">
      <c r="A131" s="2" t="s">
        <v>5167</v>
      </c>
      <c r="B131" s="13" t="str">
        <f>VLOOKUP(A131,policy!B:C,2,0)</f>
        <v>070000177432</v>
      </c>
      <c r="C131" s="3">
        <v>46226</v>
      </c>
      <c r="D131" s="14">
        <f t="shared" ref="D131:D194" si="9">ROUND(C131,0)</f>
        <v>46226</v>
      </c>
      <c r="E131" s="19" t="s">
        <v>6323</v>
      </c>
      <c r="F131" s="15" t="str">
        <f t="shared" si="8"/>
        <v>insert into ins_premium_det (premium_rcv_code,assorted_code, rec_amount,premium_rcv_detail_code,remaining_amt, payrec, mode_code,coinsurance_code,class_cd,it_remarks) values</v>
      </c>
      <c r="G131" s="16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28-Mar-2025');"</f>
        <v>('27Mar250028','070000177432','46226',(select max(to_number(i.premium_rcv_detail_code))+1
from ins_premium_det i),'46226','46226','02', '11000003','00','Request by Mr. Saqib Saleem 28-Mar-2025');</v>
      </c>
      <c r="H131" s="17" t="str">
        <f t="shared" ref="H131:H194" si="11">F131&amp;G131</f>
        <v>insert into ins_premium_det (premium_rcv_code,assorted_code, rec_amount,premium_rcv_detail_code,remaining_amt, payrec, mode_code,coinsurance_code,class_cd,it_remarks) values('27Mar250028','070000177432','46226',(select max(to_number(i.premium_rcv_detail_code))+1
from ins_premium_det i),'46226','46226','02', '11000003','00','Request by Mr. Saqib Saleem 28-Mar-2025');</v>
      </c>
    </row>
    <row r="132" spans="1:8" ht="105" x14ac:dyDescent="0.25">
      <c r="A132" s="2" t="s">
        <v>5168</v>
      </c>
      <c r="B132" s="13" t="str">
        <f>VLOOKUP(A132,policy!B:C,2,0)</f>
        <v>070000178858</v>
      </c>
      <c r="C132" s="3">
        <v>51000</v>
      </c>
      <c r="D132" s="14">
        <f t="shared" si="9"/>
        <v>51000</v>
      </c>
      <c r="E132" s="19" t="s">
        <v>6323</v>
      </c>
      <c r="F132" s="15" t="str">
        <f t="shared" si="8"/>
        <v>insert into ins_premium_det (premium_rcv_code,assorted_code, rec_amount,premium_rcv_detail_code,remaining_amt, payrec, mode_code,coinsurance_code,class_cd,it_remarks) values</v>
      </c>
      <c r="G132" s="16" t="str">
        <f t="shared" si="10"/>
        <v>('27Mar250028','070000178858','51000',(select max(to_number(i.premium_rcv_detail_code))+1
from ins_premium_det i),'51000','51000','02', '11000003','00','Request by Mr. Saqib Saleem 28-Mar-2025');</v>
      </c>
      <c r="H132" s="17" t="str">
        <f t="shared" si="11"/>
        <v>insert into ins_premium_det (premium_rcv_code,assorted_code, rec_amount,premium_rcv_detail_code,remaining_amt, payrec, mode_code,coinsurance_code,class_cd,it_remarks) values('27Mar250028','070000178858','51000',(select max(to_number(i.premium_rcv_detail_code))+1
from ins_premium_det i),'51000','51000','02', '11000003','00','Request by Mr. Saqib Saleem 28-Mar-2025');</v>
      </c>
    </row>
    <row r="133" spans="1:8" ht="105" x14ac:dyDescent="0.25">
      <c r="A133" s="2" t="s">
        <v>5169</v>
      </c>
      <c r="B133" s="13" t="str">
        <f>VLOOKUP(A133,policy!B:C,2,0)</f>
        <v>070000177433</v>
      </c>
      <c r="C133" s="3">
        <v>46226</v>
      </c>
      <c r="D133" s="14">
        <f t="shared" si="9"/>
        <v>46226</v>
      </c>
      <c r="E133" s="19" t="s">
        <v>6323</v>
      </c>
      <c r="F133" s="15" t="str">
        <f t="shared" si="8"/>
        <v>insert into ins_premium_det (premium_rcv_code,assorted_code, rec_amount,premium_rcv_detail_code,remaining_amt, payrec, mode_code,coinsurance_code,class_cd,it_remarks) values</v>
      </c>
      <c r="G133" s="16" t="str">
        <f t="shared" si="10"/>
        <v>('27Mar250028','070000177433','46226',(select max(to_number(i.premium_rcv_detail_code))+1
from ins_premium_det i),'46226','46226','02', '11000003','00','Request by Mr. Saqib Saleem 28-Mar-2025');</v>
      </c>
      <c r="H133" s="17" t="str">
        <f t="shared" si="11"/>
        <v>insert into ins_premium_det (premium_rcv_code,assorted_code, rec_amount,premium_rcv_detail_code,remaining_amt, payrec, mode_code,coinsurance_code,class_cd,it_remarks) values('27Mar250028','070000177433','46226',(select max(to_number(i.premium_rcv_detail_code))+1
from ins_premium_det i),'46226','46226','02', '11000003','00','Request by Mr. Saqib Saleem 28-Mar-2025');</v>
      </c>
    </row>
    <row r="134" spans="1:8" ht="105" x14ac:dyDescent="0.25">
      <c r="A134" s="2" t="s">
        <v>5170</v>
      </c>
      <c r="B134" s="13" t="str">
        <f>VLOOKUP(A134,policy!B:C,2,0)</f>
        <v>070000178860</v>
      </c>
      <c r="C134" s="3">
        <v>40800</v>
      </c>
      <c r="D134" s="14">
        <f t="shared" si="9"/>
        <v>40800</v>
      </c>
      <c r="E134" s="19" t="s">
        <v>6323</v>
      </c>
      <c r="F134" s="15" t="str">
        <f t="shared" si="8"/>
        <v>insert into ins_premium_det (premium_rcv_code,assorted_code, rec_amount,premium_rcv_detail_code,remaining_amt, payrec, mode_code,coinsurance_code,class_cd,it_remarks) values</v>
      </c>
      <c r="G134" s="16" t="str">
        <f t="shared" si="10"/>
        <v>('27Mar250028','070000178860','40800',(select max(to_number(i.premium_rcv_detail_code))+1
from ins_premium_det i),'40800','40800','02', '11000003','00','Request by Mr. Saqib Saleem 28-Mar-2025');</v>
      </c>
      <c r="H134" s="17" t="str">
        <f t="shared" si="11"/>
        <v>insert into ins_premium_det (premium_rcv_code,assorted_code, rec_amount,premium_rcv_detail_code,remaining_amt, payrec, mode_code,coinsurance_code,class_cd,it_remarks) values('27Mar250028','070000178860','40800',(select max(to_number(i.premium_rcv_detail_code))+1
from ins_premium_det i),'40800','40800','02', '11000003','00','Request by Mr. Saqib Saleem 28-Mar-2025');</v>
      </c>
    </row>
    <row r="135" spans="1:8" ht="105" x14ac:dyDescent="0.25">
      <c r="A135" s="2" t="s">
        <v>5171</v>
      </c>
      <c r="B135" s="13" t="str">
        <f>VLOOKUP(A135,policy!B:C,2,0)</f>
        <v>070000177434</v>
      </c>
      <c r="C135" s="3">
        <v>24495</v>
      </c>
      <c r="D135" s="14">
        <f t="shared" si="9"/>
        <v>24495</v>
      </c>
      <c r="E135" s="19" t="s">
        <v>6323</v>
      </c>
      <c r="F135" s="15" t="str">
        <f t="shared" si="8"/>
        <v>insert into ins_premium_det (premium_rcv_code,assorted_code, rec_amount,premium_rcv_detail_code,remaining_amt, payrec, mode_code,coinsurance_code,class_cd,it_remarks) values</v>
      </c>
      <c r="G135" s="16" t="str">
        <f t="shared" si="10"/>
        <v>('27Mar250028','070000177434','24495',(select max(to_number(i.premium_rcv_detail_code))+1
from ins_premium_det i),'24495','24495','02', '11000003','00','Request by Mr. Saqib Saleem 28-Mar-2025');</v>
      </c>
      <c r="H135" s="17" t="str">
        <f t="shared" si="11"/>
        <v>insert into ins_premium_det (premium_rcv_code,assorted_code, rec_amount,premium_rcv_detail_code,remaining_amt, payrec, mode_code,coinsurance_code,class_cd,it_remarks) values('27Mar250028','070000177434','24495',(select max(to_number(i.premium_rcv_detail_code))+1
from ins_premium_det i),'24495','24495','02', '11000003','00','Request by Mr. Saqib Saleem 28-Mar-2025');</v>
      </c>
    </row>
    <row r="136" spans="1:8" ht="105" x14ac:dyDescent="0.25">
      <c r="A136" s="2" t="s">
        <v>5172</v>
      </c>
      <c r="B136" s="13" t="str">
        <f>VLOOKUP(A136,policy!B:C,2,0)</f>
        <v>070000177435</v>
      </c>
      <c r="C136" s="3">
        <v>48716</v>
      </c>
      <c r="D136" s="14">
        <f t="shared" si="9"/>
        <v>48716</v>
      </c>
      <c r="E136" s="19" t="s">
        <v>6323</v>
      </c>
      <c r="F136" s="15" t="str">
        <f t="shared" si="8"/>
        <v>insert into ins_premium_det (premium_rcv_code,assorted_code, rec_amount,premium_rcv_detail_code,remaining_amt, payrec, mode_code,coinsurance_code,class_cd,it_remarks) values</v>
      </c>
      <c r="G136" s="16" t="str">
        <f t="shared" si="10"/>
        <v>('27Mar250028','070000177435','48716',(select max(to_number(i.premium_rcv_detail_code))+1
from ins_premium_det i),'48716','48716','02', '11000003','00','Request by Mr. Saqib Saleem 28-Mar-2025');</v>
      </c>
      <c r="H136" s="17" t="str">
        <f t="shared" si="11"/>
        <v>insert into ins_premium_det (premium_rcv_code,assorted_code, rec_amount,premium_rcv_detail_code,remaining_amt, payrec, mode_code,coinsurance_code,class_cd,it_remarks) values('27Mar250028','070000177435','48716',(select max(to_number(i.premium_rcv_detail_code))+1
from ins_premium_det i),'48716','48716','02', '11000003','00','Request by Mr. Saqib Saleem 28-Mar-2025');</v>
      </c>
    </row>
    <row r="137" spans="1:8" ht="45" hidden="1" x14ac:dyDescent="0.25">
      <c r="A137" s="9" t="s">
        <v>5617</v>
      </c>
      <c r="B137" s="13" t="e">
        <f>VLOOKUP(A137,policy!B:C,2,0)</f>
        <v>#N/A</v>
      </c>
      <c r="C137" s="3"/>
      <c r="D137" s="14"/>
      <c r="E137" s="19" t="s">
        <v>6323</v>
      </c>
      <c r="F137" s="15" t="str">
        <f t="shared" si="8"/>
        <v>insert into ins_premium_det (premium_rcv_code,assorted_code, rec_amount,premium_rcv_detail_code,remaining_amt, payrec, mode_code,coinsurance_code,class_cd,it_remarks) values</v>
      </c>
      <c r="G137" s="16" t="e">
        <f t="shared" si="10"/>
        <v>#N/A</v>
      </c>
      <c r="H137" s="17" t="e">
        <f t="shared" si="11"/>
        <v>#N/A</v>
      </c>
    </row>
    <row r="138" spans="1:8" ht="105" x14ac:dyDescent="0.25">
      <c r="A138" s="2" t="s">
        <v>5173</v>
      </c>
      <c r="B138" s="13" t="str">
        <f>VLOOKUP(A138,policy!B:C,2,0)</f>
        <v>070000177436</v>
      </c>
      <c r="C138" s="3">
        <v>27489</v>
      </c>
      <c r="D138" s="14">
        <f t="shared" si="9"/>
        <v>27489</v>
      </c>
      <c r="E138" s="19" t="s">
        <v>6323</v>
      </c>
      <c r="F138" s="15" t="str">
        <f t="shared" si="8"/>
        <v>insert into ins_premium_det (premium_rcv_code,assorted_code, rec_amount,premium_rcv_detail_code,remaining_amt, payrec, mode_code,coinsurance_code,class_cd,it_remarks) values</v>
      </c>
      <c r="G138" s="16" t="str">
        <f t="shared" si="10"/>
        <v>('27Mar250028','070000177436','27489',(select max(to_number(i.premium_rcv_detail_code))+1
from ins_premium_det i),'27489','27489','02', '11000003','00','Request by Mr. Saqib Saleem 28-Mar-2025');</v>
      </c>
      <c r="H138" s="17" t="str">
        <f t="shared" si="11"/>
        <v>insert into ins_premium_det (premium_rcv_code,assorted_code, rec_amount,premium_rcv_detail_code,remaining_amt, payrec, mode_code,coinsurance_code,class_cd,it_remarks) values('27Mar250028','070000177436','27489',(select max(to_number(i.premium_rcv_detail_code))+1
from ins_premium_det i),'27489','27489','02', '11000003','00','Request by Mr. Saqib Saleem 28-Mar-2025');</v>
      </c>
    </row>
    <row r="139" spans="1:8" ht="105" x14ac:dyDescent="0.25">
      <c r="A139" s="2" t="s">
        <v>5174</v>
      </c>
      <c r="B139" s="13" t="str">
        <f>VLOOKUP(A139,policy!B:C,2,0)</f>
        <v>070000177437</v>
      </c>
      <c r="C139" s="3">
        <v>44895</v>
      </c>
      <c r="D139" s="14">
        <f t="shared" si="9"/>
        <v>44895</v>
      </c>
      <c r="E139" s="19" t="s">
        <v>6323</v>
      </c>
      <c r="F139" s="15" t="str">
        <f t="shared" si="8"/>
        <v>insert into ins_premium_det (premium_rcv_code,assorted_code, rec_amount,premium_rcv_detail_code,remaining_amt, payrec, mode_code,coinsurance_code,class_cd,it_remarks) values</v>
      </c>
      <c r="G139" s="16" t="str">
        <f t="shared" si="10"/>
        <v>('27Mar250028','070000177437','44895',(select max(to_number(i.premium_rcv_detail_code))+1
from ins_premium_det i),'44895','44895','02', '11000003','00','Request by Mr. Saqib Saleem 28-Mar-2025');</v>
      </c>
      <c r="H139" s="17" t="str">
        <f t="shared" si="11"/>
        <v>insert into ins_premium_det (premium_rcv_code,assorted_code, rec_amount,premium_rcv_detail_code,remaining_amt, payrec, mode_code,coinsurance_code,class_cd,it_remarks) values('27Mar250028','070000177437','44895',(select max(to_number(i.premium_rcv_detail_code))+1
from ins_premium_det i),'44895','44895','02', '11000003','00','Request by Mr. Saqib Saleem 28-Mar-2025');</v>
      </c>
    </row>
    <row r="140" spans="1:8" ht="105" x14ac:dyDescent="0.25">
      <c r="A140" s="2" t="s">
        <v>5175</v>
      </c>
      <c r="B140" s="13" t="str">
        <f>VLOOKUP(A140,policy!B:C,2,0)</f>
        <v>070000178866</v>
      </c>
      <c r="C140" s="3">
        <v>36994</v>
      </c>
      <c r="D140" s="14">
        <f t="shared" si="9"/>
        <v>36994</v>
      </c>
      <c r="E140" s="19" t="s">
        <v>6323</v>
      </c>
      <c r="F140" s="15" t="str">
        <f t="shared" si="8"/>
        <v>insert into ins_premium_det (premium_rcv_code,assorted_code, rec_amount,premium_rcv_detail_code,remaining_amt, payrec, mode_code,coinsurance_code,class_cd,it_remarks) values</v>
      </c>
      <c r="G140" s="16" t="str">
        <f t="shared" si="10"/>
        <v>('27Mar250028','070000178866','36994',(select max(to_number(i.premium_rcv_detail_code))+1
from ins_premium_det i),'36994','36994','02', '11000003','00','Request by Mr. Saqib Saleem 28-Mar-2025');</v>
      </c>
      <c r="H140" s="17" t="str">
        <f t="shared" si="11"/>
        <v>insert into ins_premium_det (premium_rcv_code,assorted_code, rec_amount,premium_rcv_detail_code,remaining_amt, payrec, mode_code,coinsurance_code,class_cd,it_remarks) values('27Mar250028','070000178866','36994',(select max(to_number(i.premium_rcv_detail_code))+1
from ins_premium_det i),'36994','36994','02', '11000003','00','Request by Mr. Saqib Saleem 28-Mar-2025');</v>
      </c>
    </row>
    <row r="141" spans="1:8" ht="105" x14ac:dyDescent="0.25">
      <c r="A141" s="2" t="s">
        <v>5176</v>
      </c>
      <c r="B141" s="13" t="str">
        <f>VLOOKUP(A141,policy!B:C,2,0)</f>
        <v>070000177438</v>
      </c>
      <c r="C141" s="3">
        <v>30450</v>
      </c>
      <c r="D141" s="14">
        <f t="shared" si="9"/>
        <v>30450</v>
      </c>
      <c r="E141" s="19" t="s">
        <v>6323</v>
      </c>
      <c r="F141" s="15" t="str">
        <f t="shared" si="8"/>
        <v>insert into ins_premium_det (premium_rcv_code,assorted_code, rec_amount,premium_rcv_detail_code,remaining_amt, payrec, mode_code,coinsurance_code,class_cd,it_remarks) values</v>
      </c>
      <c r="G141" s="16" t="str">
        <f t="shared" si="10"/>
        <v>('27Mar250028','070000177438','30450',(select max(to_number(i.premium_rcv_detail_code))+1
from ins_premium_det i),'30450','30450','02', '11000003','00','Request by Mr. Saqib Saleem 28-Mar-2025');</v>
      </c>
      <c r="H141" s="17" t="str">
        <f t="shared" si="11"/>
        <v>insert into ins_premium_det (premium_rcv_code,assorted_code, rec_amount,premium_rcv_detail_code,remaining_amt, payrec, mode_code,coinsurance_code,class_cd,it_remarks) values('27Mar250028','070000177438','30450',(select max(to_number(i.premium_rcv_detail_code))+1
from ins_premium_det i),'30450','30450','02', '11000003','00','Request by Mr. Saqib Saleem 28-Mar-2025');</v>
      </c>
    </row>
    <row r="142" spans="1:8" ht="105" x14ac:dyDescent="0.25">
      <c r="A142" s="2" t="s">
        <v>5177</v>
      </c>
      <c r="B142" s="13" t="str">
        <f>VLOOKUP(A142,policy!B:C,2,0)</f>
        <v>070000177439</v>
      </c>
      <c r="C142" s="3">
        <v>21000</v>
      </c>
      <c r="D142" s="14">
        <f t="shared" si="9"/>
        <v>21000</v>
      </c>
      <c r="E142" s="19" t="s">
        <v>6323</v>
      </c>
      <c r="F142" s="15" t="str">
        <f t="shared" si="8"/>
        <v>insert into ins_premium_det (premium_rcv_code,assorted_code, rec_amount,premium_rcv_detail_code,remaining_amt, payrec, mode_code,coinsurance_code,class_cd,it_remarks) values</v>
      </c>
      <c r="G142" s="16" t="str">
        <f t="shared" si="10"/>
        <v>('27Mar250028','070000177439','21000',(select max(to_number(i.premium_rcv_detail_code))+1
from ins_premium_det i),'21000','21000','02', '11000003','00','Request by Mr. Saqib Saleem 28-Mar-2025');</v>
      </c>
      <c r="H142" s="17" t="str">
        <f t="shared" si="11"/>
        <v>insert into ins_premium_det (premium_rcv_code,assorted_code, rec_amount,premium_rcv_detail_code,remaining_amt, payrec, mode_code,coinsurance_code,class_cd,it_remarks) values('27Mar250028','070000177439','21000',(select max(to_number(i.premium_rcv_detail_code))+1
from ins_premium_det i),'21000','21000','02', '11000003','00','Request by Mr. Saqib Saleem 28-Mar-2025');</v>
      </c>
    </row>
    <row r="143" spans="1:8" ht="105" x14ac:dyDescent="0.25">
      <c r="A143" s="2" t="s">
        <v>5178</v>
      </c>
      <c r="B143" s="13" t="str">
        <f>VLOOKUP(A143,policy!B:C,2,0)</f>
        <v>070000177440</v>
      </c>
      <c r="C143" s="3">
        <v>23700</v>
      </c>
      <c r="D143" s="14">
        <f t="shared" si="9"/>
        <v>23700</v>
      </c>
      <c r="E143" s="19" t="s">
        <v>6323</v>
      </c>
      <c r="F143" s="15" t="str">
        <f t="shared" si="8"/>
        <v>insert into ins_premium_det (premium_rcv_code,assorted_code, rec_amount,premium_rcv_detail_code,remaining_amt, payrec, mode_code,coinsurance_code,class_cd,it_remarks) values</v>
      </c>
      <c r="G143" s="16" t="str">
        <f t="shared" si="10"/>
        <v>('27Mar250028','070000177440','23700',(select max(to_number(i.premium_rcv_detail_code))+1
from ins_premium_det i),'23700','23700','02', '11000003','00','Request by Mr. Saqib Saleem 28-Mar-2025');</v>
      </c>
      <c r="H143" s="17" t="str">
        <f t="shared" si="11"/>
        <v>insert into ins_premium_det (premium_rcv_code,assorted_code, rec_amount,premium_rcv_detail_code,remaining_amt, payrec, mode_code,coinsurance_code,class_cd,it_remarks) values('27Mar250028','070000177440','23700',(select max(to_number(i.premium_rcv_detail_code))+1
from ins_premium_det i),'23700','23700','02', '11000003','00','Request by Mr. Saqib Saleem 28-Mar-2025');</v>
      </c>
    </row>
    <row r="144" spans="1:8" ht="105" x14ac:dyDescent="0.25">
      <c r="A144" s="2" t="s">
        <v>5179</v>
      </c>
      <c r="B144" s="13" t="str">
        <f>VLOOKUP(A144,policy!B:C,2,0)</f>
        <v>070000177442</v>
      </c>
      <c r="C144" s="3">
        <v>24495</v>
      </c>
      <c r="D144" s="14">
        <f t="shared" si="9"/>
        <v>24495</v>
      </c>
      <c r="E144" s="19" t="s">
        <v>6323</v>
      </c>
      <c r="F144" s="15" t="str">
        <f t="shared" si="8"/>
        <v>insert into ins_premium_det (premium_rcv_code,assorted_code, rec_amount,premium_rcv_detail_code,remaining_amt, payrec, mode_code,coinsurance_code,class_cd,it_remarks) values</v>
      </c>
      <c r="G144" s="16" t="str">
        <f t="shared" si="10"/>
        <v>('27Mar250028','070000177442','24495',(select max(to_number(i.premium_rcv_detail_code))+1
from ins_premium_det i),'24495','24495','02', '11000003','00','Request by Mr. Saqib Saleem 28-Mar-2025');</v>
      </c>
      <c r="H144" s="17" t="str">
        <f t="shared" si="11"/>
        <v>insert into ins_premium_det (premium_rcv_code,assorted_code, rec_amount,premium_rcv_detail_code,remaining_amt, payrec, mode_code,coinsurance_code,class_cd,it_remarks) values('27Mar250028','070000177442','24495',(select max(to_number(i.premium_rcv_detail_code))+1
from ins_premium_det i),'24495','24495','02', '11000003','00','Request by Mr. Saqib Saleem 28-Mar-2025');</v>
      </c>
    </row>
    <row r="145" spans="1:8" ht="105" x14ac:dyDescent="0.25">
      <c r="A145" s="2" t="s">
        <v>5180</v>
      </c>
      <c r="B145" s="13" t="str">
        <f>VLOOKUP(A145,policy!B:C,2,0)</f>
        <v>070000178870</v>
      </c>
      <c r="C145" s="3">
        <v>18848</v>
      </c>
      <c r="D145" s="14">
        <f t="shared" si="9"/>
        <v>18848</v>
      </c>
      <c r="E145" s="19" t="s">
        <v>6323</v>
      </c>
      <c r="F145" s="15" t="str">
        <f t="shared" si="8"/>
        <v>insert into ins_premium_det (premium_rcv_code,assorted_code, rec_amount,premium_rcv_detail_code,remaining_amt, payrec, mode_code,coinsurance_code,class_cd,it_remarks) values</v>
      </c>
      <c r="G145" s="16" t="str">
        <f t="shared" si="10"/>
        <v>('27Mar250028','070000178870','18848',(select max(to_number(i.premium_rcv_detail_code))+1
from ins_premium_det i),'18848','18848','02', '11000003','00','Request by Mr. Saqib Saleem 28-Mar-2025');</v>
      </c>
      <c r="H145" s="17" t="str">
        <f t="shared" si="11"/>
        <v>insert into ins_premium_det (premium_rcv_code,assorted_code, rec_amount,premium_rcv_detail_code,remaining_amt, payrec, mode_code,coinsurance_code,class_cd,it_remarks) values('27Mar250028','070000178870','18848',(select max(to_number(i.premium_rcv_detail_code))+1
from ins_premium_det i),'18848','18848','02', '11000003','00','Request by Mr. Saqib Saleem 28-Mar-2025');</v>
      </c>
    </row>
    <row r="146" spans="1:8" ht="105" x14ac:dyDescent="0.25">
      <c r="A146" s="2" t="s">
        <v>5181</v>
      </c>
      <c r="B146" s="13" t="str">
        <f>VLOOKUP(A146,policy!B:C,2,0)</f>
        <v>070000178871</v>
      </c>
      <c r="C146" s="3">
        <v>26240</v>
      </c>
      <c r="D146" s="14">
        <f t="shared" si="9"/>
        <v>26240</v>
      </c>
      <c r="E146" s="19" t="s">
        <v>6323</v>
      </c>
      <c r="F146" s="15" t="str">
        <f t="shared" si="8"/>
        <v>insert into ins_premium_det (premium_rcv_code,assorted_code, rec_amount,premium_rcv_detail_code,remaining_amt, payrec, mode_code,coinsurance_code,class_cd,it_remarks) values</v>
      </c>
      <c r="G146" s="16" t="str">
        <f t="shared" si="10"/>
        <v>('27Mar250028','070000178871','26240',(select max(to_number(i.premium_rcv_detail_code))+1
from ins_premium_det i),'26240','26240','02', '11000003','00','Request by Mr. Saqib Saleem 28-Mar-2025');</v>
      </c>
      <c r="H146" s="17" t="str">
        <f t="shared" si="11"/>
        <v>insert into ins_premium_det (premium_rcv_code,assorted_code, rec_amount,premium_rcv_detail_code,remaining_amt, payrec, mode_code,coinsurance_code,class_cd,it_remarks) values('27Mar250028','070000178871','26240',(select max(to_number(i.premium_rcv_detail_code))+1
from ins_premium_det i),'26240','26240','02', '11000003','00','Request by Mr. Saqib Saleem 28-Mar-2025');</v>
      </c>
    </row>
    <row r="147" spans="1:8" ht="105" x14ac:dyDescent="0.25">
      <c r="A147" s="2" t="s">
        <v>5182</v>
      </c>
      <c r="B147" s="13" t="str">
        <f>VLOOKUP(A147,policy!B:C,2,0)</f>
        <v>070000178872</v>
      </c>
      <c r="C147" s="3">
        <v>21360</v>
      </c>
      <c r="D147" s="14">
        <f t="shared" si="9"/>
        <v>21360</v>
      </c>
      <c r="E147" s="19" t="s">
        <v>6323</v>
      </c>
      <c r="F147" s="15" t="str">
        <f t="shared" si="8"/>
        <v>insert into ins_premium_det (premium_rcv_code,assorted_code, rec_amount,premium_rcv_detail_code,remaining_amt, payrec, mode_code,coinsurance_code,class_cd,it_remarks) values</v>
      </c>
      <c r="G147" s="16" t="str">
        <f t="shared" si="10"/>
        <v>('27Mar250028','070000178872','21360',(select max(to_number(i.premium_rcv_detail_code))+1
from ins_premium_det i),'21360','21360','02', '11000003','00','Request by Mr. Saqib Saleem 28-Mar-2025');</v>
      </c>
      <c r="H147" s="17" t="str">
        <f t="shared" si="11"/>
        <v>insert into ins_premium_det (premium_rcv_code,assorted_code, rec_amount,premium_rcv_detail_code,remaining_amt, payrec, mode_code,coinsurance_code,class_cd,it_remarks) values('27Mar250028','070000178872','21360',(select max(to_number(i.premium_rcv_detail_code))+1
from ins_premium_det i),'21360','21360','02', '11000003','00','Request by Mr. Saqib Saleem 28-Mar-2025');</v>
      </c>
    </row>
    <row r="148" spans="1:8" ht="105" x14ac:dyDescent="0.25">
      <c r="A148" s="2" t="s">
        <v>5183</v>
      </c>
      <c r="B148" s="13" t="str">
        <f>VLOOKUP(A148,policy!B:C,2,0)</f>
        <v>070000177443</v>
      </c>
      <c r="C148" s="3">
        <v>30375</v>
      </c>
      <c r="D148" s="14">
        <f t="shared" si="9"/>
        <v>30375</v>
      </c>
      <c r="E148" s="19" t="s">
        <v>6323</v>
      </c>
      <c r="F148" s="15" t="str">
        <f t="shared" si="8"/>
        <v>insert into ins_premium_det (premium_rcv_code,assorted_code, rec_amount,premium_rcv_detail_code,remaining_amt, payrec, mode_code,coinsurance_code,class_cd,it_remarks) values</v>
      </c>
      <c r="G148" s="16" t="str">
        <f t="shared" si="10"/>
        <v>('27Mar250028','070000177443','30375',(select max(to_number(i.premium_rcv_detail_code))+1
from ins_premium_det i),'30375','30375','02', '11000003','00','Request by Mr. Saqib Saleem 28-Mar-2025');</v>
      </c>
      <c r="H148" s="17" t="str">
        <f t="shared" si="11"/>
        <v>insert into ins_premium_det (premium_rcv_code,assorted_code, rec_amount,premium_rcv_detail_code,remaining_amt, payrec, mode_code,coinsurance_code,class_cd,it_remarks) values('27Mar250028','070000177443','30375',(select max(to_number(i.premium_rcv_detail_code))+1
from ins_premium_det i),'30375','30375','02', '11000003','00','Request by Mr. Saqib Saleem 28-Mar-2025');</v>
      </c>
    </row>
    <row r="149" spans="1:8" ht="105" x14ac:dyDescent="0.25">
      <c r="A149" s="2" t="s">
        <v>5184</v>
      </c>
      <c r="B149" s="13" t="str">
        <f>VLOOKUP(A149,policy!B:C,2,0)</f>
        <v>070000178875</v>
      </c>
      <c r="C149" s="3">
        <v>21360</v>
      </c>
      <c r="D149" s="14">
        <f t="shared" si="9"/>
        <v>21360</v>
      </c>
      <c r="E149" s="19" t="s">
        <v>6323</v>
      </c>
      <c r="F149" s="15" t="str">
        <f t="shared" si="8"/>
        <v>insert into ins_premium_det (premium_rcv_code,assorted_code, rec_amount,premium_rcv_detail_code,remaining_amt, payrec, mode_code,coinsurance_code,class_cd,it_remarks) values</v>
      </c>
      <c r="G149" s="16" t="str">
        <f t="shared" si="10"/>
        <v>('27Mar250028','070000178875','21360',(select max(to_number(i.premium_rcv_detail_code))+1
from ins_premium_det i),'21360','21360','02', '11000003','00','Request by Mr. Saqib Saleem 28-Mar-2025');</v>
      </c>
      <c r="H149" s="17" t="str">
        <f t="shared" si="11"/>
        <v>insert into ins_premium_det (premium_rcv_code,assorted_code, rec_amount,premium_rcv_detail_code,remaining_amt, payrec, mode_code,coinsurance_code,class_cd,it_remarks) values('27Mar250028','070000178875','21360',(select max(to_number(i.premium_rcv_detail_code))+1
from ins_premium_det i),'21360','21360','02', '11000003','00','Request by Mr. Saqib Saleem 28-Mar-2025');</v>
      </c>
    </row>
    <row r="150" spans="1:8" ht="45" hidden="1" x14ac:dyDescent="0.25">
      <c r="A150" s="9" t="s">
        <v>5618</v>
      </c>
      <c r="B150" s="13" t="e">
        <f>VLOOKUP(A150,policy!B:C,2,0)</f>
        <v>#N/A</v>
      </c>
      <c r="C150" s="3"/>
      <c r="D150" s="14"/>
      <c r="E150" s="19" t="s">
        <v>6323</v>
      </c>
      <c r="F150" s="15" t="str">
        <f t="shared" si="8"/>
        <v>insert into ins_premium_det (premium_rcv_code,assorted_code, rec_amount,premium_rcv_detail_code,remaining_amt, payrec, mode_code,coinsurance_code,class_cd,it_remarks) values</v>
      </c>
      <c r="G150" s="16" t="e">
        <f t="shared" si="10"/>
        <v>#N/A</v>
      </c>
      <c r="H150" s="17" t="e">
        <f t="shared" si="11"/>
        <v>#N/A</v>
      </c>
    </row>
    <row r="151" spans="1:8" ht="105" x14ac:dyDescent="0.25">
      <c r="A151" s="2" t="s">
        <v>5185</v>
      </c>
      <c r="B151" s="13" t="str">
        <f>VLOOKUP(A151,policy!B:C,2,0)</f>
        <v>070000178877</v>
      </c>
      <c r="C151" s="3">
        <v>28160</v>
      </c>
      <c r="D151" s="14">
        <f t="shared" si="9"/>
        <v>28160</v>
      </c>
      <c r="E151" s="19" t="s">
        <v>6323</v>
      </c>
      <c r="F151" s="15" t="str">
        <f t="shared" si="8"/>
        <v>insert into ins_premium_det (premium_rcv_code,assorted_code, rec_amount,premium_rcv_detail_code,remaining_amt, payrec, mode_code,coinsurance_code,class_cd,it_remarks) values</v>
      </c>
      <c r="G151" s="16" t="str">
        <f t="shared" si="10"/>
        <v>('27Mar250028','070000178877','28160',(select max(to_number(i.premium_rcv_detail_code))+1
from ins_premium_det i),'28160','28160','02', '11000003','00','Request by Mr. Saqib Saleem 28-Mar-2025');</v>
      </c>
      <c r="H151" s="17" t="str">
        <f t="shared" si="11"/>
        <v>insert into ins_premium_det (premium_rcv_code,assorted_code, rec_amount,premium_rcv_detail_code,remaining_amt, payrec, mode_code,coinsurance_code,class_cd,it_remarks) values('27Mar250028','070000178877','28160',(select max(to_number(i.premium_rcv_detail_code))+1
from ins_premium_det i),'28160','28160','02', '11000003','00','Request by Mr. Saqib Saleem 28-Mar-2025');</v>
      </c>
    </row>
    <row r="152" spans="1:8" ht="105" x14ac:dyDescent="0.25">
      <c r="A152" s="2" t="s">
        <v>5186</v>
      </c>
      <c r="B152" s="13" t="str">
        <f>VLOOKUP(A152,policy!B:C,2,0)</f>
        <v>070000177444</v>
      </c>
      <c r="C152" s="3">
        <v>31080</v>
      </c>
      <c r="D152" s="14">
        <f t="shared" si="9"/>
        <v>31080</v>
      </c>
      <c r="E152" s="19" t="s">
        <v>6323</v>
      </c>
      <c r="F152" s="15" t="str">
        <f t="shared" si="8"/>
        <v>insert into ins_premium_det (premium_rcv_code,assorted_code, rec_amount,premium_rcv_detail_code,remaining_amt, payrec, mode_code,coinsurance_code,class_cd,it_remarks) values</v>
      </c>
      <c r="G152" s="16" t="str">
        <f t="shared" si="10"/>
        <v>('27Mar250028','070000177444','31080',(select max(to_number(i.premium_rcv_detail_code))+1
from ins_premium_det i),'31080','31080','02', '11000003','00','Request by Mr. Saqib Saleem 28-Mar-2025');</v>
      </c>
      <c r="H152" s="17" t="str">
        <f t="shared" si="11"/>
        <v>insert into ins_premium_det (premium_rcv_code,assorted_code, rec_amount,premium_rcv_detail_code,remaining_amt, payrec, mode_code,coinsurance_code,class_cd,it_remarks) values('27Mar250028','070000177444','31080',(select max(to_number(i.premium_rcv_detail_code))+1
from ins_premium_det i),'31080','31080','02', '11000003','00','Request by Mr. Saqib Saleem 28-Mar-2025');</v>
      </c>
    </row>
    <row r="153" spans="1:8" ht="105" x14ac:dyDescent="0.25">
      <c r="A153" s="2" t="s">
        <v>5187</v>
      </c>
      <c r="B153" s="13" t="str">
        <f>VLOOKUP(A153,policy!B:C,2,0)</f>
        <v>070000178878</v>
      </c>
      <c r="C153" s="3">
        <v>37320</v>
      </c>
      <c r="D153" s="14">
        <f t="shared" si="9"/>
        <v>37320</v>
      </c>
      <c r="E153" s="19" t="s">
        <v>6323</v>
      </c>
      <c r="F153" s="15" t="str">
        <f t="shared" si="8"/>
        <v>insert into ins_premium_det (premium_rcv_code,assorted_code, rec_amount,premium_rcv_detail_code,remaining_amt, payrec, mode_code,coinsurance_code,class_cd,it_remarks) values</v>
      </c>
      <c r="G153" s="16" t="str">
        <f t="shared" si="10"/>
        <v>('27Mar250028','070000178878','37320',(select max(to_number(i.premium_rcv_detail_code))+1
from ins_premium_det i),'37320','37320','02', '11000003','00','Request by Mr. Saqib Saleem 28-Mar-2025');</v>
      </c>
      <c r="H153" s="17" t="str">
        <f t="shared" si="11"/>
        <v>insert into ins_premium_det (premium_rcv_code,assorted_code, rec_amount,premium_rcv_detail_code,remaining_amt, payrec, mode_code,coinsurance_code,class_cd,it_remarks) values('27Mar250028','070000178878','37320',(select max(to_number(i.premium_rcv_detail_code))+1
from ins_premium_det i),'37320','37320','02', '11000003','00','Request by Mr. Saqib Saleem 28-Mar-2025');</v>
      </c>
    </row>
    <row r="154" spans="1:8" ht="105" x14ac:dyDescent="0.25">
      <c r="A154" s="2" t="s">
        <v>5188</v>
      </c>
      <c r="B154" s="13" t="str">
        <f>VLOOKUP(A154,policy!B:C,2,0)</f>
        <v>070000178879</v>
      </c>
      <c r="C154" s="3">
        <v>23400</v>
      </c>
      <c r="D154" s="14">
        <f t="shared" si="9"/>
        <v>23400</v>
      </c>
      <c r="E154" s="19" t="s">
        <v>6323</v>
      </c>
      <c r="F154" s="15" t="str">
        <f t="shared" si="8"/>
        <v>insert into ins_premium_det (premium_rcv_code,assorted_code, rec_amount,premium_rcv_detail_code,remaining_amt, payrec, mode_code,coinsurance_code,class_cd,it_remarks) values</v>
      </c>
      <c r="G154" s="16" t="str">
        <f t="shared" si="10"/>
        <v>('27Mar250028','070000178879','23400',(select max(to_number(i.premium_rcv_detail_code))+1
from ins_premium_det i),'23400','23400','02', '11000003','00','Request by Mr. Saqib Saleem 28-Mar-2025');</v>
      </c>
      <c r="H154" s="17" t="str">
        <f t="shared" si="11"/>
        <v>insert into ins_premium_det (premium_rcv_code,assorted_code, rec_amount,premium_rcv_detail_code,remaining_amt, payrec, mode_code,coinsurance_code,class_cd,it_remarks) values('27Mar250028','070000178879','23400',(select max(to_number(i.premium_rcv_detail_code))+1
from ins_premium_det i),'23400','23400','02', '11000003','00','Request by Mr. Saqib Saleem 28-Mar-2025');</v>
      </c>
    </row>
    <row r="155" spans="1:8" ht="105" x14ac:dyDescent="0.25">
      <c r="A155" s="2" t="s">
        <v>5189</v>
      </c>
      <c r="B155" s="13" t="str">
        <f>VLOOKUP(A155,policy!B:C,2,0)</f>
        <v>070000177445</v>
      </c>
      <c r="C155" s="3">
        <v>24600</v>
      </c>
      <c r="D155" s="14">
        <f t="shared" si="9"/>
        <v>24600</v>
      </c>
      <c r="E155" s="19" t="s">
        <v>6323</v>
      </c>
      <c r="F155" s="15" t="str">
        <f t="shared" si="8"/>
        <v>insert into ins_premium_det (premium_rcv_code,assorted_code, rec_amount,premium_rcv_detail_code,remaining_amt, payrec, mode_code,coinsurance_code,class_cd,it_remarks) values</v>
      </c>
      <c r="G155" s="16" t="str">
        <f t="shared" si="10"/>
        <v>('27Mar250028','070000177445','24600',(select max(to_number(i.premium_rcv_detail_code))+1
from ins_premium_det i),'24600','24600','02', '11000003','00','Request by Mr. Saqib Saleem 28-Mar-2025');</v>
      </c>
      <c r="H155" s="17" t="str">
        <f t="shared" si="11"/>
        <v>insert into ins_premium_det (premium_rcv_code,assorted_code, rec_amount,premium_rcv_detail_code,remaining_amt, payrec, mode_code,coinsurance_code,class_cd,it_remarks) values('27Mar250028','070000177445','24600',(select max(to_number(i.premium_rcv_detail_code))+1
from ins_premium_det i),'24600','24600','02', '11000003','00','Request by Mr. Saqib Saleem 28-Mar-2025');</v>
      </c>
    </row>
    <row r="156" spans="1:8" ht="105" x14ac:dyDescent="0.25">
      <c r="A156" s="2" t="s">
        <v>5190</v>
      </c>
      <c r="B156" s="13" t="str">
        <f>VLOOKUP(A156,policy!B:C,2,0)</f>
        <v>070000177446</v>
      </c>
      <c r="C156" s="3">
        <v>15638</v>
      </c>
      <c r="D156" s="14">
        <f t="shared" si="9"/>
        <v>15638</v>
      </c>
      <c r="E156" s="19" t="s">
        <v>6323</v>
      </c>
      <c r="F156" s="15" t="str">
        <f t="shared" si="8"/>
        <v>insert into ins_premium_det (premium_rcv_code,assorted_code, rec_amount,premium_rcv_detail_code,remaining_amt, payrec, mode_code,coinsurance_code,class_cd,it_remarks) values</v>
      </c>
      <c r="G156" s="16" t="str">
        <f t="shared" si="10"/>
        <v>('27Mar250028','070000177446','15638',(select max(to_number(i.premium_rcv_detail_code))+1
from ins_premium_det i),'15638','15638','02', '11000003','00','Request by Mr. Saqib Saleem 28-Mar-2025');</v>
      </c>
      <c r="H156" s="17" t="str">
        <f t="shared" si="11"/>
        <v>insert into ins_premium_det (premium_rcv_code,assorted_code, rec_amount,premium_rcv_detail_code,remaining_amt, payrec, mode_code,coinsurance_code,class_cd,it_remarks) values('27Mar250028','070000177446','15638',(select max(to_number(i.premium_rcv_detail_code))+1
from ins_premium_det i),'15638','15638','02', '11000003','00','Request by Mr. Saqib Saleem 28-Mar-2025');</v>
      </c>
    </row>
    <row r="157" spans="1:8" ht="105" x14ac:dyDescent="0.25">
      <c r="A157" s="2" t="s">
        <v>5191</v>
      </c>
      <c r="B157" s="13" t="str">
        <f>VLOOKUP(A157,policy!B:C,2,0)</f>
        <v>070000177447</v>
      </c>
      <c r="C157" s="3">
        <v>38138</v>
      </c>
      <c r="D157" s="14">
        <f t="shared" si="9"/>
        <v>38138</v>
      </c>
      <c r="E157" s="19" t="s">
        <v>6323</v>
      </c>
      <c r="F157" s="15" t="str">
        <f t="shared" si="8"/>
        <v>insert into ins_premium_det (premium_rcv_code,assorted_code, rec_amount,premium_rcv_detail_code,remaining_amt, payrec, mode_code,coinsurance_code,class_cd,it_remarks) values</v>
      </c>
      <c r="G157" s="16" t="str">
        <f t="shared" si="10"/>
        <v>('27Mar250028','070000177447','38138',(select max(to_number(i.premium_rcv_detail_code))+1
from ins_premium_det i),'38138','38138','02', '11000003','00','Request by Mr. Saqib Saleem 28-Mar-2025');</v>
      </c>
      <c r="H157" s="17" t="str">
        <f t="shared" si="11"/>
        <v>insert into ins_premium_det (premium_rcv_code,assorted_code, rec_amount,premium_rcv_detail_code,remaining_amt, payrec, mode_code,coinsurance_code,class_cd,it_remarks) values('27Mar250028','070000177447','38138',(select max(to_number(i.premium_rcv_detail_code))+1
from ins_premium_det i),'38138','38138','02', '11000003','00','Request by Mr. Saqib Saleem 28-Mar-2025');</v>
      </c>
    </row>
    <row r="158" spans="1:8" ht="105" x14ac:dyDescent="0.25">
      <c r="A158" s="2" t="s">
        <v>5192</v>
      </c>
      <c r="B158" s="13" t="str">
        <f>VLOOKUP(A158,policy!B:C,2,0)</f>
        <v>070000177448</v>
      </c>
      <c r="C158" s="3">
        <v>54080</v>
      </c>
      <c r="D158" s="14">
        <f t="shared" si="9"/>
        <v>54080</v>
      </c>
      <c r="E158" s="19" t="s">
        <v>6323</v>
      </c>
      <c r="F158" s="15" t="str">
        <f t="shared" si="8"/>
        <v>insert into ins_premium_det (premium_rcv_code,assorted_code, rec_amount,premium_rcv_detail_code,remaining_amt, payrec, mode_code,coinsurance_code,class_cd,it_remarks) values</v>
      </c>
      <c r="G158" s="16" t="str">
        <f t="shared" si="10"/>
        <v>('27Mar250028','070000177448','54080',(select max(to_number(i.premium_rcv_detail_code))+1
from ins_premium_det i),'54080','54080','02', '11000003','00','Request by Mr. Saqib Saleem 28-Mar-2025');</v>
      </c>
      <c r="H158" s="17" t="str">
        <f t="shared" si="11"/>
        <v>insert into ins_premium_det (premium_rcv_code,assorted_code, rec_amount,premium_rcv_detail_code,remaining_amt, payrec, mode_code,coinsurance_code,class_cd,it_remarks) values('27Mar250028','070000177448','54080',(select max(to_number(i.premium_rcv_detail_code))+1
from ins_premium_det i),'54080','54080','02', '11000003','00','Request by Mr. Saqib Saleem 28-Mar-2025');</v>
      </c>
    </row>
    <row r="159" spans="1:8" ht="105" x14ac:dyDescent="0.25">
      <c r="A159" s="2" t="s">
        <v>5193</v>
      </c>
      <c r="B159" s="13" t="str">
        <f>VLOOKUP(A159,policy!B:C,2,0)</f>
        <v>070000177449</v>
      </c>
      <c r="C159" s="3">
        <v>50145</v>
      </c>
      <c r="D159" s="14">
        <f t="shared" si="9"/>
        <v>50145</v>
      </c>
      <c r="E159" s="19" t="s">
        <v>6323</v>
      </c>
      <c r="F159" s="15" t="str">
        <f t="shared" si="8"/>
        <v>insert into ins_premium_det (premium_rcv_code,assorted_code, rec_amount,premium_rcv_detail_code,remaining_amt, payrec, mode_code,coinsurance_code,class_cd,it_remarks) values</v>
      </c>
      <c r="G159" s="16" t="str">
        <f t="shared" si="10"/>
        <v>('27Mar250028','070000177449','50145',(select max(to_number(i.premium_rcv_detail_code))+1
from ins_premium_det i),'50145','50145','02', '11000003','00','Request by Mr. Saqib Saleem 28-Mar-2025');</v>
      </c>
      <c r="H159" s="17" t="str">
        <f t="shared" si="11"/>
        <v>insert into ins_premium_det (premium_rcv_code,assorted_code, rec_amount,premium_rcv_detail_code,remaining_amt, payrec, mode_code,coinsurance_code,class_cd,it_remarks) values('27Mar250028','070000177449','50145',(select max(to_number(i.premium_rcv_detail_code))+1
from ins_premium_det i),'50145','50145','02', '11000003','00','Request by Mr. Saqib Saleem 28-Mar-2025');</v>
      </c>
    </row>
    <row r="160" spans="1:8" ht="105" x14ac:dyDescent="0.25">
      <c r="A160" s="2" t="s">
        <v>5194</v>
      </c>
      <c r="B160" s="13" t="str">
        <f>VLOOKUP(A160,policy!B:C,2,0)</f>
        <v>070000177450</v>
      </c>
      <c r="C160" s="3">
        <v>33188</v>
      </c>
      <c r="D160" s="14">
        <f t="shared" si="9"/>
        <v>33188</v>
      </c>
      <c r="E160" s="19" t="s">
        <v>6323</v>
      </c>
      <c r="F160" s="15" t="str">
        <f t="shared" si="8"/>
        <v>insert into ins_premium_det (premium_rcv_code,assorted_code, rec_amount,premium_rcv_detail_code,remaining_amt, payrec, mode_code,coinsurance_code,class_cd,it_remarks) values</v>
      </c>
      <c r="G160" s="16" t="str">
        <f t="shared" si="10"/>
        <v>('27Mar250028','070000177450','33188',(select max(to_number(i.premium_rcv_detail_code))+1
from ins_premium_det i),'33188','33188','02', '11000003','00','Request by Mr. Saqib Saleem 28-Mar-2025');</v>
      </c>
      <c r="H160" s="17" t="str">
        <f t="shared" si="11"/>
        <v>insert into ins_premium_det (premium_rcv_code,assorted_code, rec_amount,premium_rcv_detail_code,remaining_amt, payrec, mode_code,coinsurance_code,class_cd,it_remarks) values('27Mar250028','070000177450','33188',(select max(to_number(i.premium_rcv_detail_code))+1
from ins_premium_det i),'33188','33188','02', '11000003','00','Request by Mr. Saqib Saleem 28-Mar-2025');</v>
      </c>
    </row>
    <row r="161" spans="1:8" ht="105" x14ac:dyDescent="0.25">
      <c r="A161" s="2" t="s">
        <v>5195</v>
      </c>
      <c r="B161" s="13" t="str">
        <f>VLOOKUP(A161,policy!B:C,2,0)</f>
        <v>070000177451</v>
      </c>
      <c r="C161" s="3">
        <v>24750</v>
      </c>
      <c r="D161" s="14">
        <f t="shared" si="9"/>
        <v>24750</v>
      </c>
      <c r="E161" s="19" t="s">
        <v>6323</v>
      </c>
      <c r="F161" s="15" t="str">
        <f t="shared" si="8"/>
        <v>insert into ins_premium_det (premium_rcv_code,assorted_code, rec_amount,premium_rcv_detail_code,remaining_amt, payrec, mode_code,coinsurance_code,class_cd,it_remarks) values</v>
      </c>
      <c r="G161" s="16" t="str">
        <f t="shared" si="10"/>
        <v>('27Mar250028','070000177451','24750',(select max(to_number(i.premium_rcv_detail_code))+1
from ins_premium_det i),'24750','24750','02', '11000003','00','Request by Mr. Saqib Saleem 28-Mar-2025');</v>
      </c>
      <c r="H161" s="17" t="str">
        <f t="shared" si="11"/>
        <v>insert into ins_premium_det (premium_rcv_code,assorted_code, rec_amount,premium_rcv_detail_code,remaining_amt, payrec, mode_code,coinsurance_code,class_cd,it_remarks) values('27Mar250028','070000177451','24750',(select max(to_number(i.premium_rcv_detail_code))+1
from ins_premium_det i),'24750','24750','02', '11000003','00','Request by Mr. Saqib Saleem 28-Mar-2025');</v>
      </c>
    </row>
    <row r="162" spans="1:8" ht="105" x14ac:dyDescent="0.25">
      <c r="A162" s="2" t="s">
        <v>5196</v>
      </c>
      <c r="B162" s="13" t="str">
        <f>VLOOKUP(A162,policy!B:C,2,0)</f>
        <v>070000178888</v>
      </c>
      <c r="C162" s="3">
        <v>62989</v>
      </c>
      <c r="D162" s="14">
        <f t="shared" si="9"/>
        <v>62989</v>
      </c>
      <c r="E162" s="19" t="s">
        <v>6323</v>
      </c>
      <c r="F162" s="15" t="str">
        <f t="shared" si="8"/>
        <v>insert into ins_premium_det (premium_rcv_code,assorted_code, rec_amount,premium_rcv_detail_code,remaining_amt, payrec, mode_code,coinsurance_code,class_cd,it_remarks) values</v>
      </c>
      <c r="G162" s="16" t="str">
        <f t="shared" si="10"/>
        <v>('27Mar250028','070000178888','62989',(select max(to_number(i.premium_rcv_detail_code))+1
from ins_premium_det i),'62989','62989','02', '11000003','00','Request by Mr. Saqib Saleem 28-Mar-2025');</v>
      </c>
      <c r="H162" s="17" t="str">
        <f t="shared" si="11"/>
        <v>insert into ins_premium_det (premium_rcv_code,assorted_code, rec_amount,premium_rcv_detail_code,remaining_amt, payrec, mode_code,coinsurance_code,class_cd,it_remarks) values('27Mar250028','070000178888','62989',(select max(to_number(i.premium_rcv_detail_code))+1
from ins_premium_det i),'62989','62989','02', '11000003','00','Request by Mr. Saqib Saleem 28-Mar-2025');</v>
      </c>
    </row>
    <row r="163" spans="1:8" ht="105" x14ac:dyDescent="0.25">
      <c r="A163" s="2" t="s">
        <v>5197</v>
      </c>
      <c r="B163" s="13" t="str">
        <f>VLOOKUP(A163,policy!B:C,2,0)</f>
        <v>070000178889</v>
      </c>
      <c r="C163" s="3">
        <v>55463</v>
      </c>
      <c r="D163" s="14">
        <f t="shared" si="9"/>
        <v>55463</v>
      </c>
      <c r="E163" s="19" t="s">
        <v>6323</v>
      </c>
      <c r="F163" s="15" t="str">
        <f t="shared" si="8"/>
        <v>insert into ins_premium_det (premium_rcv_code,assorted_code, rec_amount,premium_rcv_detail_code,remaining_amt, payrec, mode_code,coinsurance_code,class_cd,it_remarks) values</v>
      </c>
      <c r="G163" s="16" t="str">
        <f t="shared" si="10"/>
        <v>('27Mar250028','070000178889','55463',(select max(to_number(i.premium_rcv_detail_code))+1
from ins_premium_det i),'55463','55463','02', '11000003','00','Request by Mr. Saqib Saleem 28-Mar-2025');</v>
      </c>
      <c r="H163" s="17" t="str">
        <f t="shared" si="11"/>
        <v>insert into ins_premium_det (premium_rcv_code,assorted_code, rec_amount,premium_rcv_detail_code,remaining_amt, payrec, mode_code,coinsurance_code,class_cd,it_remarks) values('27Mar250028','070000178889','55463',(select max(to_number(i.premium_rcv_detail_code))+1
from ins_premium_det i),'55463','55463','02', '11000003','00','Request by Mr. Saqib Saleem 28-Mar-2025');</v>
      </c>
    </row>
    <row r="164" spans="1:8" ht="105" x14ac:dyDescent="0.25">
      <c r="A164" s="2" t="s">
        <v>5198</v>
      </c>
      <c r="B164" s="13" t="str">
        <f>VLOOKUP(A164,policy!B:C,2,0)</f>
        <v>070000178890</v>
      </c>
      <c r="C164" s="3">
        <v>26031</v>
      </c>
      <c r="D164" s="14">
        <f t="shared" si="9"/>
        <v>26031</v>
      </c>
      <c r="E164" s="19" t="s">
        <v>6323</v>
      </c>
      <c r="F164" s="15" t="str">
        <f t="shared" si="8"/>
        <v>insert into ins_premium_det (premium_rcv_code,assorted_code, rec_amount,premium_rcv_detail_code,remaining_amt, payrec, mode_code,coinsurance_code,class_cd,it_remarks) values</v>
      </c>
      <c r="G164" s="16" t="str">
        <f t="shared" si="10"/>
        <v>('27Mar250028','070000178890','26031',(select max(to_number(i.premium_rcv_detail_code))+1
from ins_premium_det i),'26031','26031','02', '11000003','00','Request by Mr. Saqib Saleem 28-Mar-2025');</v>
      </c>
      <c r="H164" s="17" t="str">
        <f t="shared" si="11"/>
        <v>insert into ins_premium_det (premium_rcv_code,assorted_code, rec_amount,premium_rcv_detail_code,remaining_amt, payrec, mode_code,coinsurance_code,class_cd,it_remarks) values('27Mar250028','070000178890','26031',(select max(to_number(i.premium_rcv_detail_code))+1
from ins_premium_det i),'26031','26031','02', '11000003','00','Request by Mr. Saqib Saleem 28-Mar-2025');</v>
      </c>
    </row>
    <row r="165" spans="1:8" ht="105" x14ac:dyDescent="0.25">
      <c r="A165" s="2" t="s">
        <v>5199</v>
      </c>
      <c r="B165" s="13" t="str">
        <f>VLOOKUP(A165,policy!B:C,2,0)</f>
        <v>070000177452</v>
      </c>
      <c r="C165" s="3">
        <v>29160</v>
      </c>
      <c r="D165" s="14">
        <f t="shared" si="9"/>
        <v>29160</v>
      </c>
      <c r="E165" s="19" t="s">
        <v>6323</v>
      </c>
      <c r="F165" s="15" t="str">
        <f t="shared" si="8"/>
        <v>insert into ins_premium_det (premium_rcv_code,assorted_code, rec_amount,premium_rcv_detail_code,remaining_amt, payrec, mode_code,coinsurance_code,class_cd,it_remarks) values</v>
      </c>
      <c r="G165" s="16" t="str">
        <f t="shared" si="10"/>
        <v>('27Mar250028','070000177452','29160',(select max(to_number(i.premium_rcv_detail_code))+1
from ins_premium_det i),'29160','29160','02', '11000003','00','Request by Mr. Saqib Saleem 28-Mar-2025');</v>
      </c>
      <c r="H165" s="17" t="str">
        <f t="shared" si="11"/>
        <v>insert into ins_premium_det (premium_rcv_code,assorted_code, rec_amount,premium_rcv_detail_code,remaining_amt, payrec, mode_code,coinsurance_code,class_cd,it_remarks) values('27Mar250028','070000177452','29160',(select max(to_number(i.premium_rcv_detail_code))+1
from ins_premium_det i),'29160','29160','02', '11000003','00','Request by Mr. Saqib Saleem 28-Mar-2025');</v>
      </c>
    </row>
    <row r="166" spans="1:8" ht="105" x14ac:dyDescent="0.25">
      <c r="A166" s="2" t="s">
        <v>5200</v>
      </c>
      <c r="B166" s="13" t="str">
        <f>VLOOKUP(A166,policy!B:C,2,0)</f>
        <v>070000177453</v>
      </c>
      <c r="C166" s="3">
        <v>19913</v>
      </c>
      <c r="D166" s="14">
        <f t="shared" si="9"/>
        <v>19913</v>
      </c>
      <c r="E166" s="19" t="s">
        <v>6323</v>
      </c>
      <c r="F166" s="15" t="str">
        <f t="shared" si="8"/>
        <v>insert into ins_premium_det (premium_rcv_code,assorted_code, rec_amount,premium_rcv_detail_code,remaining_amt, payrec, mode_code,coinsurance_code,class_cd,it_remarks) values</v>
      </c>
      <c r="G166" s="16" t="str">
        <f t="shared" si="10"/>
        <v>('27Mar250028','070000177453','19913',(select max(to_number(i.premium_rcv_detail_code))+1
from ins_premium_det i),'19913','19913','02', '11000003','00','Request by Mr. Saqib Saleem 28-Mar-2025');</v>
      </c>
      <c r="H166" s="17" t="str">
        <f t="shared" si="11"/>
        <v>insert into ins_premium_det (premium_rcv_code,assorted_code, rec_amount,premium_rcv_detail_code,remaining_amt, payrec, mode_code,coinsurance_code,class_cd,it_remarks) values('27Mar250028','070000177453','19913',(select max(to_number(i.premium_rcv_detail_code))+1
from ins_premium_det i),'19913','19913','02', '11000003','00','Request by Mr. Saqib Saleem 28-Mar-2025');</v>
      </c>
    </row>
    <row r="167" spans="1:8" ht="105" x14ac:dyDescent="0.25">
      <c r="A167" s="2" t="s">
        <v>5201</v>
      </c>
      <c r="B167" s="13" t="str">
        <f>VLOOKUP(A167,policy!B:C,2,0)</f>
        <v>070000177454</v>
      </c>
      <c r="C167" s="3">
        <v>28155</v>
      </c>
      <c r="D167" s="14">
        <f t="shared" si="9"/>
        <v>28155</v>
      </c>
      <c r="E167" s="19" t="s">
        <v>6323</v>
      </c>
      <c r="F167" s="15" t="str">
        <f t="shared" si="8"/>
        <v>insert into ins_premium_det (premium_rcv_code,assorted_code, rec_amount,premium_rcv_detail_code,remaining_amt, payrec, mode_code,coinsurance_code,class_cd,it_remarks) values</v>
      </c>
      <c r="G167" s="16" t="str">
        <f t="shared" si="10"/>
        <v>('27Mar250028','070000177454','28155',(select max(to_number(i.premium_rcv_detail_code))+1
from ins_premium_det i),'28155','28155','02', '11000003','00','Request by Mr. Saqib Saleem 28-Mar-2025');</v>
      </c>
      <c r="H167" s="17" t="str">
        <f t="shared" si="11"/>
        <v>insert into ins_premium_det (premium_rcv_code,assorted_code, rec_amount,premium_rcv_detail_code,remaining_amt, payrec, mode_code,coinsurance_code,class_cd,it_remarks) values('27Mar250028','070000177454','28155',(select max(to_number(i.premium_rcv_detail_code))+1
from ins_premium_det i),'28155','28155','02', '11000003','00','Request by Mr. Saqib Saleem 28-Mar-2025');</v>
      </c>
    </row>
    <row r="168" spans="1:8" ht="105" x14ac:dyDescent="0.25">
      <c r="A168" s="2" t="s">
        <v>5202</v>
      </c>
      <c r="B168" s="13" t="str">
        <f>VLOOKUP(A168,policy!B:C,2,0)</f>
        <v>070000178897</v>
      </c>
      <c r="C168" s="3">
        <v>30735</v>
      </c>
      <c r="D168" s="14">
        <f t="shared" si="9"/>
        <v>30735</v>
      </c>
      <c r="E168" s="19" t="s">
        <v>6323</v>
      </c>
      <c r="F168" s="15" t="str">
        <f t="shared" si="8"/>
        <v>insert into ins_premium_det (premium_rcv_code,assorted_code, rec_amount,premium_rcv_detail_code,remaining_amt, payrec, mode_code,coinsurance_code,class_cd,it_remarks) values</v>
      </c>
      <c r="G168" s="16" t="str">
        <f t="shared" si="10"/>
        <v>('27Mar250028','070000178897','30735',(select max(to_number(i.premium_rcv_detail_code))+1
from ins_premium_det i),'30735','30735','02', '11000003','00','Request by Mr. Saqib Saleem 28-Mar-2025');</v>
      </c>
      <c r="H168" s="17" t="str">
        <f t="shared" si="11"/>
        <v>insert into ins_premium_det (premium_rcv_code,assorted_code, rec_amount,premium_rcv_detail_code,remaining_amt, payrec, mode_code,coinsurance_code,class_cd,it_remarks) values('27Mar250028','070000178897','30735',(select max(to_number(i.premium_rcv_detail_code))+1
from ins_premium_det i),'30735','30735','02', '11000003','00','Request by Mr. Saqib Saleem 28-Mar-2025');</v>
      </c>
    </row>
    <row r="169" spans="1:8" ht="105" x14ac:dyDescent="0.25">
      <c r="A169" s="2" t="s">
        <v>5203</v>
      </c>
      <c r="B169" s="13" t="str">
        <f>VLOOKUP(A169,policy!B:C,2,0)</f>
        <v>070000178898</v>
      </c>
      <c r="C169" s="3">
        <v>15000</v>
      </c>
      <c r="D169" s="14">
        <f t="shared" si="9"/>
        <v>15000</v>
      </c>
      <c r="E169" s="19" t="s">
        <v>6323</v>
      </c>
      <c r="F169" s="15" t="str">
        <f t="shared" si="8"/>
        <v>insert into ins_premium_det (premium_rcv_code,assorted_code, rec_amount,premium_rcv_detail_code,remaining_amt, payrec, mode_code,coinsurance_code,class_cd,it_remarks) values</v>
      </c>
      <c r="G169" s="16" t="str">
        <f t="shared" si="10"/>
        <v>('27Mar250028','070000178898','15000',(select max(to_number(i.premium_rcv_detail_code))+1
from ins_premium_det i),'15000','15000','02', '11000003','00','Request by Mr. Saqib Saleem 28-Mar-2025');</v>
      </c>
      <c r="H169" s="17" t="str">
        <f t="shared" si="11"/>
        <v>insert into ins_premium_det (premium_rcv_code,assorted_code, rec_amount,premium_rcv_detail_code,remaining_amt, payrec, mode_code,coinsurance_code,class_cd,it_remarks) values('27Mar250028','070000178898','15000',(select max(to_number(i.premium_rcv_detail_code))+1
from ins_premium_det i),'15000','15000','02', '11000003','00','Request by Mr. Saqib Saleem 28-Mar-2025');</v>
      </c>
    </row>
    <row r="170" spans="1:8" ht="105" x14ac:dyDescent="0.25">
      <c r="A170" s="2" t="s">
        <v>5204</v>
      </c>
      <c r="B170" s="13" t="str">
        <f>VLOOKUP(A170,policy!B:C,2,0)</f>
        <v>070000177456</v>
      </c>
      <c r="C170" s="3">
        <v>17325</v>
      </c>
      <c r="D170" s="14">
        <f t="shared" si="9"/>
        <v>17325</v>
      </c>
      <c r="E170" s="19" t="s">
        <v>6323</v>
      </c>
      <c r="F170" s="15" t="str">
        <f t="shared" si="8"/>
        <v>insert into ins_premium_det (premium_rcv_code,assorted_code, rec_amount,premium_rcv_detail_code,remaining_amt, payrec, mode_code,coinsurance_code,class_cd,it_remarks) values</v>
      </c>
      <c r="G170" s="16" t="str">
        <f t="shared" si="10"/>
        <v>('27Mar250028','070000177456','17325',(select max(to_number(i.premium_rcv_detail_code))+1
from ins_premium_det i),'17325','17325','02', '11000003','00','Request by Mr. Saqib Saleem 28-Mar-2025');</v>
      </c>
      <c r="H170" s="17" t="str">
        <f t="shared" si="11"/>
        <v>insert into ins_premium_det (premium_rcv_code,assorted_code, rec_amount,premium_rcv_detail_code,remaining_amt, payrec, mode_code,coinsurance_code,class_cd,it_remarks) values('27Mar250028','070000177456','17325',(select max(to_number(i.premium_rcv_detail_code))+1
from ins_premium_det i),'17325','17325','02', '11000003','00','Request by Mr. Saqib Saleem 28-Mar-2025');</v>
      </c>
    </row>
    <row r="171" spans="1:8" ht="105" x14ac:dyDescent="0.25">
      <c r="A171" s="2" t="s">
        <v>5205</v>
      </c>
      <c r="B171" s="13" t="str">
        <f>VLOOKUP(A171,policy!B:C,2,0)</f>
        <v>070000177457</v>
      </c>
      <c r="C171" s="3">
        <v>25950</v>
      </c>
      <c r="D171" s="14">
        <f t="shared" si="9"/>
        <v>25950</v>
      </c>
      <c r="E171" s="19" t="s">
        <v>6323</v>
      </c>
      <c r="F171" s="15" t="str">
        <f t="shared" si="8"/>
        <v>insert into ins_premium_det (premium_rcv_code,assorted_code, rec_amount,premium_rcv_detail_code,remaining_amt, payrec, mode_code,coinsurance_code,class_cd,it_remarks) values</v>
      </c>
      <c r="G171" s="16" t="str">
        <f t="shared" si="10"/>
        <v>('27Mar250028','070000177457','25950',(select max(to_number(i.premium_rcv_detail_code))+1
from ins_premium_det i),'25950','25950','02', '11000003','00','Request by Mr. Saqib Saleem 28-Mar-2025');</v>
      </c>
      <c r="H171" s="17" t="str">
        <f t="shared" si="11"/>
        <v>insert into ins_premium_det (premium_rcv_code,assorted_code, rec_amount,premium_rcv_detail_code,remaining_amt, payrec, mode_code,coinsurance_code,class_cd,it_remarks) values('27Mar250028','070000177457','25950',(select max(to_number(i.premium_rcv_detail_code))+1
from ins_premium_det i),'25950','25950','02', '11000003','00','Request by Mr. Saqib Saleem 28-Mar-2025');</v>
      </c>
    </row>
    <row r="172" spans="1:8" ht="105" x14ac:dyDescent="0.25">
      <c r="A172" s="2" t="s">
        <v>5206</v>
      </c>
      <c r="B172" s="13" t="str">
        <f>VLOOKUP(A172,policy!B:C,2,0)</f>
        <v>070000177459</v>
      </c>
      <c r="C172" s="3">
        <v>20313</v>
      </c>
      <c r="D172" s="14">
        <f t="shared" si="9"/>
        <v>20313</v>
      </c>
      <c r="E172" s="19" t="s">
        <v>6323</v>
      </c>
      <c r="F172" s="15" t="str">
        <f t="shared" si="8"/>
        <v>insert into ins_premium_det (premium_rcv_code,assorted_code, rec_amount,premium_rcv_detail_code,remaining_amt, payrec, mode_code,coinsurance_code,class_cd,it_remarks) values</v>
      </c>
      <c r="G172" s="16" t="str">
        <f t="shared" si="10"/>
        <v>('27Mar250028','070000177459','20313',(select max(to_number(i.premium_rcv_detail_code))+1
from ins_premium_det i),'20313','20313','02', '11000003','00','Request by Mr. Saqib Saleem 28-Mar-2025');</v>
      </c>
      <c r="H172" s="17" t="str">
        <f t="shared" si="11"/>
        <v>insert into ins_premium_det (premium_rcv_code,assorted_code, rec_amount,premium_rcv_detail_code,remaining_amt, payrec, mode_code,coinsurance_code,class_cd,it_remarks) values('27Mar250028','070000177459','20313',(select max(to_number(i.premium_rcv_detail_code))+1
from ins_premium_det i),'20313','20313','02', '11000003','00','Request by Mr. Saqib Saleem 28-Mar-2025');</v>
      </c>
    </row>
    <row r="173" spans="1:8" ht="105" x14ac:dyDescent="0.25">
      <c r="A173" s="2" t="s">
        <v>5207</v>
      </c>
      <c r="B173" s="13" t="str">
        <f>VLOOKUP(A173,policy!B:C,2,0)</f>
        <v>070000177460</v>
      </c>
      <c r="C173" s="3">
        <v>10800</v>
      </c>
      <c r="D173" s="14">
        <f t="shared" si="9"/>
        <v>10800</v>
      </c>
      <c r="E173" s="19" t="s">
        <v>6323</v>
      </c>
      <c r="F173" s="15" t="str">
        <f t="shared" si="8"/>
        <v>insert into ins_premium_det (premium_rcv_code,assorted_code, rec_amount,premium_rcv_detail_code,remaining_amt, payrec, mode_code,coinsurance_code,class_cd,it_remarks) values</v>
      </c>
      <c r="G173" s="16" t="str">
        <f t="shared" si="10"/>
        <v>('27Mar250028','070000177460','10800',(select max(to_number(i.premium_rcv_detail_code))+1
from ins_premium_det i),'10800','10800','02', '11000003','00','Request by Mr. Saqib Saleem 28-Mar-2025');</v>
      </c>
      <c r="H173" s="17" t="str">
        <f t="shared" si="11"/>
        <v>insert into ins_premium_det (premium_rcv_code,assorted_code, rec_amount,premium_rcv_detail_code,remaining_amt, payrec, mode_code,coinsurance_code,class_cd,it_remarks) values('27Mar250028','070000177460','10800',(select max(to_number(i.premium_rcv_detail_code))+1
from ins_premium_det i),'10800','10800','02', '11000003','00','Request by Mr. Saqib Saleem 28-Mar-2025');</v>
      </c>
    </row>
    <row r="174" spans="1:8" ht="105" x14ac:dyDescent="0.25">
      <c r="A174" s="2" t="s">
        <v>5208</v>
      </c>
      <c r="B174" s="13" t="str">
        <f>VLOOKUP(A174,policy!B:C,2,0)</f>
        <v>070000177463</v>
      </c>
      <c r="C174" s="3">
        <v>15188</v>
      </c>
      <c r="D174" s="14">
        <f t="shared" si="9"/>
        <v>15188</v>
      </c>
      <c r="E174" s="19" t="s">
        <v>6323</v>
      </c>
      <c r="F174" s="15" t="str">
        <f t="shared" si="8"/>
        <v>insert into ins_premium_det (premium_rcv_code,assorted_code, rec_amount,premium_rcv_detail_code,remaining_amt, payrec, mode_code,coinsurance_code,class_cd,it_remarks) values</v>
      </c>
      <c r="G174" s="16" t="str">
        <f t="shared" si="10"/>
        <v>('27Mar250028','070000177463','15188',(select max(to_number(i.premium_rcv_detail_code))+1
from ins_premium_det i),'15188','15188','02', '11000003','00','Request by Mr. Saqib Saleem 28-Mar-2025');</v>
      </c>
      <c r="H174" s="17" t="str">
        <f t="shared" si="11"/>
        <v>insert into ins_premium_det (premium_rcv_code,assorted_code, rec_amount,premium_rcv_detail_code,remaining_amt, payrec, mode_code,coinsurance_code,class_cd,it_remarks) values('27Mar250028','070000177463','15188',(select max(to_number(i.premium_rcv_detail_code))+1
from ins_premium_det i),'15188','15188','02', '11000003','00','Request by Mr. Saqib Saleem 28-Mar-2025');</v>
      </c>
    </row>
    <row r="175" spans="1:8" ht="105" x14ac:dyDescent="0.25">
      <c r="A175" s="2" t="s">
        <v>5209</v>
      </c>
      <c r="B175" s="13" t="str">
        <f>VLOOKUP(A175,policy!B:C,2,0)</f>
        <v>070000177465</v>
      </c>
      <c r="C175" s="3">
        <v>22500</v>
      </c>
      <c r="D175" s="14">
        <f t="shared" si="9"/>
        <v>22500</v>
      </c>
      <c r="E175" s="19" t="s">
        <v>6323</v>
      </c>
      <c r="F175" s="15" t="str">
        <f t="shared" si="8"/>
        <v>insert into ins_premium_det (premium_rcv_code,assorted_code, rec_amount,premium_rcv_detail_code,remaining_amt, payrec, mode_code,coinsurance_code,class_cd,it_remarks) values</v>
      </c>
      <c r="G175" s="16" t="str">
        <f t="shared" si="10"/>
        <v>('27Mar250028','070000177465','22500',(select max(to_number(i.premium_rcv_detail_code))+1
from ins_premium_det i),'22500','22500','02', '11000003','00','Request by Mr. Saqib Saleem 28-Mar-2025');</v>
      </c>
      <c r="H175" s="17" t="str">
        <f t="shared" si="11"/>
        <v>insert into ins_premium_det (premium_rcv_code,assorted_code, rec_amount,premium_rcv_detail_code,remaining_amt, payrec, mode_code,coinsurance_code,class_cd,it_remarks) values('27Mar250028','070000177465','22500',(select max(to_number(i.premium_rcv_detail_code))+1
from ins_premium_det i),'22500','22500','02', '11000003','00','Request by Mr. Saqib Saleem 28-Mar-2025');</v>
      </c>
    </row>
    <row r="176" spans="1:8" ht="105" x14ac:dyDescent="0.25">
      <c r="A176" s="2" t="s">
        <v>5210</v>
      </c>
      <c r="B176" s="13" t="str">
        <f>VLOOKUP(A176,policy!B:C,2,0)</f>
        <v>070000177468</v>
      </c>
      <c r="C176" s="3">
        <v>125613</v>
      </c>
      <c r="D176" s="14">
        <f t="shared" si="9"/>
        <v>125613</v>
      </c>
      <c r="E176" s="19" t="s">
        <v>6323</v>
      </c>
      <c r="F176" s="15" t="str">
        <f t="shared" si="8"/>
        <v>insert into ins_premium_det (premium_rcv_code,assorted_code, rec_amount,premium_rcv_detail_code,remaining_amt, payrec, mode_code,coinsurance_code,class_cd,it_remarks) values</v>
      </c>
      <c r="G176" s="16" t="str">
        <f t="shared" si="10"/>
        <v>('27Mar250028','070000177468','125613',(select max(to_number(i.premium_rcv_detail_code))+1
from ins_premium_det i),'125613','125613','02', '11000003','00','Request by Mr. Saqib Saleem 28-Mar-2025');</v>
      </c>
      <c r="H176" s="17" t="str">
        <f t="shared" si="11"/>
        <v>insert into ins_premium_det (premium_rcv_code,assorted_code, rec_amount,premium_rcv_detail_code,remaining_amt, payrec, mode_code,coinsurance_code,class_cd,it_remarks) values('27Mar250028','070000177468','125613',(select max(to_number(i.premium_rcv_detail_code))+1
from ins_premium_det i),'125613','125613','02', '11000003','00','Request by Mr. Saqib Saleem 28-Mar-2025');</v>
      </c>
    </row>
    <row r="177" spans="1:8" ht="105" x14ac:dyDescent="0.25">
      <c r="A177" s="2" t="s">
        <v>5211</v>
      </c>
      <c r="B177" s="13" t="str">
        <f>VLOOKUP(A177,policy!B:C,2,0)</f>
        <v>070000178902</v>
      </c>
      <c r="C177" s="3">
        <v>30735</v>
      </c>
      <c r="D177" s="14">
        <f t="shared" si="9"/>
        <v>30735</v>
      </c>
      <c r="E177" s="19" t="s">
        <v>6323</v>
      </c>
      <c r="F177" s="15" t="str">
        <f t="shared" si="8"/>
        <v>insert into ins_premium_det (premium_rcv_code,assorted_code, rec_amount,premium_rcv_detail_code,remaining_amt, payrec, mode_code,coinsurance_code,class_cd,it_remarks) values</v>
      </c>
      <c r="G177" s="16" t="str">
        <f t="shared" si="10"/>
        <v>('27Mar250028','070000178902','30735',(select max(to_number(i.premium_rcv_detail_code))+1
from ins_premium_det i),'30735','30735','02', '11000003','00','Request by Mr. Saqib Saleem 28-Mar-2025');</v>
      </c>
      <c r="H177" s="17" t="str">
        <f t="shared" si="11"/>
        <v>insert into ins_premium_det (premium_rcv_code,assorted_code, rec_amount,premium_rcv_detail_code,remaining_amt, payrec, mode_code,coinsurance_code,class_cd,it_remarks) values('27Mar250028','070000178902','30735',(select max(to_number(i.premium_rcv_detail_code))+1
from ins_premium_det i),'30735','30735','02', '11000003','00','Request by Mr. Saqib Saleem 28-Mar-2025');</v>
      </c>
    </row>
    <row r="178" spans="1:8" ht="105" x14ac:dyDescent="0.25">
      <c r="A178" s="2" t="s">
        <v>5212</v>
      </c>
      <c r="B178" s="13" t="str">
        <f>VLOOKUP(A178,policy!B:C,2,0)</f>
        <v>070000177469</v>
      </c>
      <c r="C178" s="3">
        <v>78838</v>
      </c>
      <c r="D178" s="14">
        <f t="shared" si="9"/>
        <v>78838</v>
      </c>
      <c r="E178" s="19" t="s">
        <v>6323</v>
      </c>
      <c r="F178" s="15" t="str">
        <f t="shared" si="8"/>
        <v>insert into ins_premium_det (premium_rcv_code,assorted_code, rec_amount,premium_rcv_detail_code,remaining_amt, payrec, mode_code,coinsurance_code,class_cd,it_remarks) values</v>
      </c>
      <c r="G178" s="16" t="str">
        <f t="shared" si="10"/>
        <v>('27Mar250028','070000177469','78838',(select max(to_number(i.premium_rcv_detail_code))+1
from ins_premium_det i),'78838','78838','02', '11000003','00','Request by Mr. Saqib Saleem 28-Mar-2025');</v>
      </c>
      <c r="H178" s="17" t="str">
        <f t="shared" si="11"/>
        <v>insert into ins_premium_det (premium_rcv_code,assorted_code, rec_amount,premium_rcv_detail_code,remaining_amt, payrec, mode_code,coinsurance_code,class_cd,it_remarks) values('27Mar250028','070000177469','78838',(select max(to_number(i.premium_rcv_detail_code))+1
from ins_premium_det i),'78838','78838','02', '11000003','00','Request by Mr. Saqib Saleem 28-Mar-2025');</v>
      </c>
    </row>
    <row r="179" spans="1:8" ht="45" hidden="1" x14ac:dyDescent="0.25">
      <c r="A179" s="9" t="s">
        <v>5619</v>
      </c>
      <c r="B179" s="13" t="e">
        <f>VLOOKUP(A179,policy!B:C,2,0)</f>
        <v>#N/A</v>
      </c>
      <c r="C179" s="3"/>
      <c r="D179" s="14"/>
      <c r="E179" s="19" t="s">
        <v>6323</v>
      </c>
      <c r="F179" s="15" t="str">
        <f t="shared" si="8"/>
        <v>insert into ins_premium_det (premium_rcv_code,assorted_code, rec_amount,premium_rcv_detail_code,remaining_amt, payrec, mode_code,coinsurance_code,class_cd,it_remarks) values</v>
      </c>
      <c r="G179" s="16" t="e">
        <f t="shared" si="10"/>
        <v>#N/A</v>
      </c>
      <c r="H179" s="17" t="e">
        <f t="shared" si="11"/>
        <v>#N/A</v>
      </c>
    </row>
    <row r="180" spans="1:8" ht="105" x14ac:dyDescent="0.25">
      <c r="A180" s="2" t="s">
        <v>5213</v>
      </c>
      <c r="B180" s="13" t="str">
        <f>VLOOKUP(A180,policy!B:C,2,0)</f>
        <v>070000177470</v>
      </c>
      <c r="C180" s="3">
        <v>71269</v>
      </c>
      <c r="D180" s="14">
        <f t="shared" si="9"/>
        <v>71269</v>
      </c>
      <c r="E180" s="19" t="s">
        <v>6323</v>
      </c>
      <c r="F180" s="15" t="str">
        <f t="shared" si="8"/>
        <v>insert into ins_premium_det (premium_rcv_code,assorted_code, rec_amount,premium_rcv_detail_code,remaining_amt, payrec, mode_code,coinsurance_code,class_cd,it_remarks) values</v>
      </c>
      <c r="G180" s="16" t="str">
        <f t="shared" si="10"/>
        <v>('27Mar250028','070000177470','71269',(select max(to_number(i.premium_rcv_detail_code))+1
from ins_premium_det i),'71269','71269','02', '11000003','00','Request by Mr. Saqib Saleem 28-Mar-2025');</v>
      </c>
      <c r="H180" s="17" t="str">
        <f t="shared" si="11"/>
        <v>insert into ins_premium_det (premium_rcv_code,assorted_code, rec_amount,premium_rcv_detail_code,remaining_amt, payrec, mode_code,coinsurance_code,class_cd,it_remarks) values('27Mar250028','070000177470','71269',(select max(to_number(i.premium_rcv_detail_code))+1
from ins_premium_det i),'71269','71269','02', '11000003','00','Request by Mr. Saqib Saleem 28-Mar-2025');</v>
      </c>
    </row>
    <row r="181" spans="1:8" ht="105" x14ac:dyDescent="0.25">
      <c r="A181" s="2" t="s">
        <v>5214</v>
      </c>
      <c r="B181" s="13" t="str">
        <f>VLOOKUP(A181,policy!B:C,2,0)</f>
        <v>070000178906</v>
      </c>
      <c r="C181" s="3">
        <v>22080</v>
      </c>
      <c r="D181" s="14">
        <f t="shared" si="9"/>
        <v>22080</v>
      </c>
      <c r="E181" s="19" t="s">
        <v>6323</v>
      </c>
      <c r="F181" s="15" t="str">
        <f t="shared" si="8"/>
        <v>insert into ins_premium_det (premium_rcv_code,assorted_code, rec_amount,premium_rcv_detail_code,remaining_amt, payrec, mode_code,coinsurance_code,class_cd,it_remarks) values</v>
      </c>
      <c r="G181" s="16" t="str">
        <f t="shared" si="10"/>
        <v>('27Mar250028','070000178906','22080',(select max(to_number(i.premium_rcv_detail_code))+1
from ins_premium_det i),'22080','22080','02', '11000003','00','Request by Mr. Saqib Saleem 28-Mar-2025');</v>
      </c>
      <c r="H181" s="17" t="str">
        <f t="shared" si="11"/>
        <v>insert into ins_premium_det (premium_rcv_code,assorted_code, rec_amount,premium_rcv_detail_code,remaining_amt, payrec, mode_code,coinsurance_code,class_cd,it_remarks) values('27Mar250028','070000178906','22080',(select max(to_number(i.premium_rcv_detail_code))+1
from ins_premium_det i),'22080','22080','02', '11000003','00','Request by Mr. Saqib Saleem 28-Mar-2025');</v>
      </c>
    </row>
    <row r="182" spans="1:8" ht="105" x14ac:dyDescent="0.25">
      <c r="A182" s="2" t="s">
        <v>5215</v>
      </c>
      <c r="B182" s="13" t="str">
        <f>VLOOKUP(A182,policy!B:C,2,0)</f>
        <v>070000177471</v>
      </c>
      <c r="C182" s="3">
        <v>41625</v>
      </c>
      <c r="D182" s="14">
        <f t="shared" si="9"/>
        <v>41625</v>
      </c>
      <c r="E182" s="19" t="s">
        <v>6323</v>
      </c>
      <c r="F182" s="15" t="str">
        <f t="shared" si="8"/>
        <v>insert into ins_premium_det (premium_rcv_code,assorted_code, rec_amount,premium_rcv_detail_code,remaining_amt, payrec, mode_code,coinsurance_code,class_cd,it_remarks) values</v>
      </c>
      <c r="G182" s="16" t="str">
        <f t="shared" si="10"/>
        <v>('27Mar250028','070000177471','41625',(select max(to_number(i.premium_rcv_detail_code))+1
from ins_premium_det i),'41625','41625','02', '11000003','00','Request by Mr. Saqib Saleem 28-Mar-2025');</v>
      </c>
      <c r="H182" s="17" t="str">
        <f t="shared" si="11"/>
        <v>insert into ins_premium_det (premium_rcv_code,assorted_code, rec_amount,premium_rcv_detail_code,remaining_amt, payrec, mode_code,coinsurance_code,class_cd,it_remarks) values('27Mar250028','070000177471','41625',(select max(to_number(i.premium_rcv_detail_code))+1
from ins_premium_det i),'41625','41625','02', '11000003','00','Request by Mr. Saqib Saleem 28-Mar-2025');</v>
      </c>
    </row>
    <row r="183" spans="1:8" ht="105" x14ac:dyDescent="0.25">
      <c r="A183" s="2" t="s">
        <v>5216</v>
      </c>
      <c r="B183" s="13" t="str">
        <f>VLOOKUP(A183,policy!B:C,2,0)</f>
        <v>070000177472</v>
      </c>
      <c r="C183" s="3">
        <v>28125</v>
      </c>
      <c r="D183" s="14">
        <f t="shared" si="9"/>
        <v>28125</v>
      </c>
      <c r="E183" s="19" t="s">
        <v>6323</v>
      </c>
      <c r="F183" s="15" t="str">
        <f t="shared" si="8"/>
        <v>insert into ins_premium_det (premium_rcv_code,assorted_code, rec_amount,premium_rcv_detail_code,remaining_amt, payrec, mode_code,coinsurance_code,class_cd,it_remarks) values</v>
      </c>
      <c r="G183" s="16" t="str">
        <f t="shared" si="10"/>
        <v>('27Mar250028','070000177472','28125',(select max(to_number(i.premium_rcv_detail_code))+1
from ins_premium_det i),'28125','28125','02', '11000003','00','Request by Mr. Saqib Saleem 28-Mar-2025');</v>
      </c>
      <c r="H183" s="17" t="str">
        <f t="shared" si="11"/>
        <v>insert into ins_premium_det (premium_rcv_code,assorted_code, rec_amount,premium_rcv_detail_code,remaining_amt, payrec, mode_code,coinsurance_code,class_cd,it_remarks) values('27Mar250028','070000177472','28125',(select max(to_number(i.premium_rcv_detail_code))+1
from ins_premium_det i),'28125','28125','02', '11000003','00','Request by Mr. Saqib Saleem 28-Mar-2025');</v>
      </c>
    </row>
    <row r="184" spans="1:8" ht="105" x14ac:dyDescent="0.25">
      <c r="A184" s="2" t="s">
        <v>5217</v>
      </c>
      <c r="B184" s="13" t="str">
        <f>VLOOKUP(A184,policy!B:C,2,0)</f>
        <v>070000177473</v>
      </c>
      <c r="C184" s="3">
        <v>31500</v>
      </c>
      <c r="D184" s="14">
        <f t="shared" si="9"/>
        <v>31500</v>
      </c>
      <c r="E184" s="19" t="s">
        <v>6323</v>
      </c>
      <c r="F184" s="15" t="str">
        <f t="shared" si="8"/>
        <v>insert into ins_premium_det (premium_rcv_code,assorted_code, rec_amount,premium_rcv_detail_code,remaining_amt, payrec, mode_code,coinsurance_code,class_cd,it_remarks) values</v>
      </c>
      <c r="G184" s="16" t="str">
        <f t="shared" si="10"/>
        <v>('27Mar250028','070000177473','31500',(select max(to_number(i.premium_rcv_detail_code))+1
from ins_premium_det i),'31500','31500','02', '11000003','00','Request by Mr. Saqib Saleem 28-Mar-2025');</v>
      </c>
      <c r="H184" s="17" t="str">
        <f t="shared" si="11"/>
        <v>insert into ins_premium_det (premium_rcv_code,assorted_code, rec_amount,premium_rcv_detail_code,remaining_amt, payrec, mode_code,coinsurance_code,class_cd,it_remarks) values('27Mar250028','070000177473','31500',(select max(to_number(i.premium_rcv_detail_code))+1
from ins_premium_det i),'31500','31500','02', '11000003','00','Request by Mr. Saqib Saleem 28-Mar-2025');</v>
      </c>
    </row>
    <row r="185" spans="1:8" ht="105" x14ac:dyDescent="0.25">
      <c r="A185" s="2" t="s">
        <v>5218</v>
      </c>
      <c r="B185" s="13" t="str">
        <f>VLOOKUP(A185,policy!B:C,2,0)</f>
        <v>070000178910</v>
      </c>
      <c r="C185" s="3">
        <v>31800</v>
      </c>
      <c r="D185" s="14">
        <f t="shared" si="9"/>
        <v>31800</v>
      </c>
      <c r="E185" s="19" t="s">
        <v>6323</v>
      </c>
      <c r="F185" s="15" t="str">
        <f t="shared" si="8"/>
        <v>insert into ins_premium_det (premium_rcv_code,assorted_code, rec_amount,premium_rcv_detail_code,remaining_amt, payrec, mode_code,coinsurance_code,class_cd,it_remarks) values</v>
      </c>
      <c r="G185" s="16" t="str">
        <f t="shared" si="10"/>
        <v>('27Mar250028','070000178910','31800',(select max(to_number(i.premium_rcv_detail_code))+1
from ins_premium_det i),'31800','31800','02', '11000003','00','Request by Mr. Saqib Saleem 28-Mar-2025');</v>
      </c>
      <c r="H185" s="17" t="str">
        <f t="shared" si="11"/>
        <v>insert into ins_premium_det (premium_rcv_code,assorted_code, rec_amount,premium_rcv_detail_code,remaining_amt, payrec, mode_code,coinsurance_code,class_cd,it_remarks) values('27Mar250028','070000178910','31800',(select max(to_number(i.premium_rcv_detail_code))+1
from ins_premium_det i),'31800','31800','02', '11000003','00','Request by Mr. Saqib Saleem 28-Mar-2025');</v>
      </c>
    </row>
    <row r="186" spans="1:8" ht="105" x14ac:dyDescent="0.25">
      <c r="A186" s="2" t="s">
        <v>5219</v>
      </c>
      <c r="B186" s="13" t="str">
        <f>VLOOKUP(A186,policy!B:C,2,0)</f>
        <v>070000177475</v>
      </c>
      <c r="C186" s="3">
        <v>45898</v>
      </c>
      <c r="D186" s="14">
        <f t="shared" si="9"/>
        <v>45898</v>
      </c>
      <c r="E186" s="19" t="s">
        <v>6323</v>
      </c>
      <c r="F186" s="15" t="str">
        <f t="shared" si="8"/>
        <v>insert into ins_premium_det (premium_rcv_code,assorted_code, rec_amount,premium_rcv_detail_code,remaining_amt, payrec, mode_code,coinsurance_code,class_cd,it_remarks) values</v>
      </c>
      <c r="G186" s="16" t="str">
        <f t="shared" si="10"/>
        <v>('27Mar250028','070000177475','45898',(select max(to_number(i.premium_rcv_detail_code))+1
from ins_premium_det i),'45898','45898','02', '11000003','00','Request by Mr. Saqib Saleem 28-Mar-2025');</v>
      </c>
      <c r="H186" s="17" t="str">
        <f t="shared" si="11"/>
        <v>insert into ins_premium_det (premium_rcv_code,assorted_code, rec_amount,premium_rcv_detail_code,remaining_amt, payrec, mode_code,coinsurance_code,class_cd,it_remarks) values('27Mar250028','070000177475','45898',(select max(to_number(i.premium_rcv_detail_code))+1
from ins_premium_det i),'45898','45898','02', '11000003','00','Request by Mr. Saqib Saleem 28-Mar-2025');</v>
      </c>
    </row>
    <row r="187" spans="1:8" ht="105" x14ac:dyDescent="0.25">
      <c r="A187" s="2" t="s">
        <v>5220</v>
      </c>
      <c r="B187" s="13" t="str">
        <f>VLOOKUP(A187,policy!B:C,2,0)</f>
        <v>070000177476</v>
      </c>
      <c r="C187" s="3">
        <v>26480</v>
      </c>
      <c r="D187" s="14">
        <f t="shared" si="9"/>
        <v>26480</v>
      </c>
      <c r="E187" s="19" t="s">
        <v>6323</v>
      </c>
      <c r="F187" s="15" t="str">
        <f t="shared" si="8"/>
        <v>insert into ins_premium_det (premium_rcv_code,assorted_code, rec_amount,premium_rcv_detail_code,remaining_amt, payrec, mode_code,coinsurance_code,class_cd,it_remarks) values</v>
      </c>
      <c r="G187" s="16" t="str">
        <f t="shared" si="10"/>
        <v>('27Mar250028','070000177476','26480',(select max(to_number(i.premium_rcv_detail_code))+1
from ins_premium_det i),'26480','26480','02', '11000003','00','Request by Mr. Saqib Saleem 28-Mar-2025');</v>
      </c>
      <c r="H187" s="17" t="str">
        <f t="shared" si="11"/>
        <v>insert into ins_premium_det (premium_rcv_code,assorted_code, rec_amount,premium_rcv_detail_code,remaining_amt, payrec, mode_code,coinsurance_code,class_cd,it_remarks) values('27Mar250028','070000177476','26480',(select max(to_number(i.premium_rcv_detail_code))+1
from ins_premium_det i),'26480','26480','02', '11000003','00','Request by Mr. Saqib Saleem 28-Mar-2025');</v>
      </c>
    </row>
    <row r="188" spans="1:8" ht="105" x14ac:dyDescent="0.25">
      <c r="A188" s="2" t="s">
        <v>5221</v>
      </c>
      <c r="B188" s="13" t="str">
        <f>VLOOKUP(A188,policy!B:C,2,0)</f>
        <v>070000177478</v>
      </c>
      <c r="C188" s="3">
        <v>27600</v>
      </c>
      <c r="D188" s="14">
        <f t="shared" si="9"/>
        <v>27600</v>
      </c>
      <c r="E188" s="19" t="s">
        <v>6323</v>
      </c>
      <c r="F188" s="15" t="str">
        <f t="shared" si="8"/>
        <v>insert into ins_premium_det (premium_rcv_code,assorted_code, rec_amount,premium_rcv_detail_code,remaining_amt, payrec, mode_code,coinsurance_code,class_cd,it_remarks) values</v>
      </c>
      <c r="G188" s="16" t="str">
        <f t="shared" si="10"/>
        <v>('27Mar250028','070000177478','27600',(select max(to_number(i.premium_rcv_detail_code))+1
from ins_premium_det i),'27600','27600','02', '11000003','00','Request by Mr. Saqib Saleem 28-Mar-2025');</v>
      </c>
      <c r="H188" s="17" t="str">
        <f t="shared" si="11"/>
        <v>insert into ins_premium_det (premium_rcv_code,assorted_code, rec_amount,premium_rcv_detail_code,remaining_amt, payrec, mode_code,coinsurance_code,class_cd,it_remarks) values('27Mar250028','070000177478','27600',(select max(to_number(i.premium_rcv_detail_code))+1
from ins_premium_det i),'27600','27600','02', '11000003','00','Request by Mr. Saqib Saleem 28-Mar-2025');</v>
      </c>
    </row>
    <row r="189" spans="1:8" ht="105" x14ac:dyDescent="0.25">
      <c r="A189" s="2" t="s">
        <v>5222</v>
      </c>
      <c r="B189" s="13" t="str">
        <f>VLOOKUP(A189,policy!B:C,2,0)</f>
        <v>070000178914</v>
      </c>
      <c r="C189" s="3">
        <v>46928</v>
      </c>
      <c r="D189" s="14">
        <f t="shared" si="9"/>
        <v>46928</v>
      </c>
      <c r="E189" s="19" t="s">
        <v>6323</v>
      </c>
      <c r="F189" s="15" t="str">
        <f t="shared" si="8"/>
        <v>insert into ins_premium_det (premium_rcv_code,assorted_code, rec_amount,premium_rcv_detail_code,remaining_amt, payrec, mode_code,coinsurance_code,class_cd,it_remarks) values</v>
      </c>
      <c r="G189" s="16" t="str">
        <f t="shared" si="10"/>
        <v>('27Mar250028','070000178914','46928',(select max(to_number(i.premium_rcv_detail_code))+1
from ins_premium_det i),'46928','46928','02', '11000003','00','Request by Mr. Saqib Saleem 28-Mar-2025');</v>
      </c>
      <c r="H189" s="17" t="str">
        <f t="shared" si="11"/>
        <v>insert into ins_premium_det (premium_rcv_code,assorted_code, rec_amount,premium_rcv_detail_code,remaining_amt, payrec, mode_code,coinsurance_code,class_cd,it_remarks) values('27Mar250028','070000178914','46928',(select max(to_number(i.premium_rcv_detail_code))+1
from ins_premium_det i),'46928','46928','02', '11000003','00','Request by Mr. Saqib Saleem 28-Mar-2025');</v>
      </c>
    </row>
    <row r="190" spans="1:8" ht="105" x14ac:dyDescent="0.25">
      <c r="A190" s="2" t="s">
        <v>5223</v>
      </c>
      <c r="B190" s="13" t="str">
        <f>VLOOKUP(A190,policy!B:C,2,0)</f>
        <v>070000177481</v>
      </c>
      <c r="C190" s="3">
        <v>28896</v>
      </c>
      <c r="D190" s="14">
        <f t="shared" si="9"/>
        <v>28896</v>
      </c>
      <c r="E190" s="19" t="s">
        <v>6323</v>
      </c>
      <c r="F190" s="15" t="str">
        <f t="shared" si="8"/>
        <v>insert into ins_premium_det (premium_rcv_code,assorted_code, rec_amount,premium_rcv_detail_code,remaining_amt, payrec, mode_code,coinsurance_code,class_cd,it_remarks) values</v>
      </c>
      <c r="G190" s="16" t="str">
        <f t="shared" si="10"/>
        <v>('27Mar250028','070000177481','28896',(select max(to_number(i.premium_rcv_detail_code))+1
from ins_premium_det i),'28896','28896','02', '11000003','00','Request by Mr. Saqib Saleem 28-Mar-2025');</v>
      </c>
      <c r="H190" s="17" t="str">
        <f t="shared" si="11"/>
        <v>insert into ins_premium_det (premium_rcv_code,assorted_code, rec_amount,premium_rcv_detail_code,remaining_amt, payrec, mode_code,coinsurance_code,class_cd,it_remarks) values('27Mar250028','070000177481','28896',(select max(to_number(i.premium_rcv_detail_code))+1
from ins_premium_det i),'28896','28896','02', '11000003','00','Request by Mr. Saqib Saleem 28-Mar-2025');</v>
      </c>
    </row>
    <row r="191" spans="1:8" ht="105" x14ac:dyDescent="0.25">
      <c r="A191" s="2" t="s">
        <v>5224</v>
      </c>
      <c r="B191" s="13" t="str">
        <f>VLOOKUP(A191,policy!B:C,2,0)</f>
        <v>070000177483</v>
      </c>
      <c r="C191" s="3">
        <v>23190</v>
      </c>
      <c r="D191" s="14">
        <f t="shared" si="9"/>
        <v>23190</v>
      </c>
      <c r="E191" s="19" t="s">
        <v>6323</v>
      </c>
      <c r="F191" s="15" t="str">
        <f t="shared" si="8"/>
        <v>insert into ins_premium_det (premium_rcv_code,assorted_code, rec_amount,premium_rcv_detail_code,remaining_amt, payrec, mode_code,coinsurance_code,class_cd,it_remarks) values</v>
      </c>
      <c r="G191" s="16" t="str">
        <f t="shared" si="10"/>
        <v>('27Mar250028','070000177483','23190',(select max(to_number(i.premium_rcv_detail_code))+1
from ins_premium_det i),'23190','23190','02', '11000003','00','Request by Mr. Saqib Saleem 28-Mar-2025');</v>
      </c>
      <c r="H191" s="17" t="str">
        <f t="shared" si="11"/>
        <v>insert into ins_premium_det (premium_rcv_code,assorted_code, rec_amount,premium_rcv_detail_code,remaining_amt, payrec, mode_code,coinsurance_code,class_cd,it_remarks) values('27Mar250028','070000177483','23190',(select max(to_number(i.premium_rcv_detail_code))+1
from ins_premium_det i),'23190','23190','02', '11000003','00','Request by Mr. Saqib Saleem 28-Mar-2025');</v>
      </c>
    </row>
    <row r="192" spans="1:8" ht="105" x14ac:dyDescent="0.25">
      <c r="A192" s="2" t="s">
        <v>5225</v>
      </c>
      <c r="B192" s="13" t="str">
        <f>VLOOKUP(A192,policy!B:C,2,0)</f>
        <v>070000178917</v>
      </c>
      <c r="C192" s="3">
        <v>88640</v>
      </c>
      <c r="D192" s="14">
        <f t="shared" si="9"/>
        <v>88640</v>
      </c>
      <c r="E192" s="19" t="s">
        <v>6323</v>
      </c>
      <c r="F192" s="15" t="str">
        <f t="shared" si="8"/>
        <v>insert into ins_premium_det (premium_rcv_code,assorted_code, rec_amount,premium_rcv_detail_code,remaining_amt, payrec, mode_code,coinsurance_code,class_cd,it_remarks) values</v>
      </c>
      <c r="G192" s="16" t="str">
        <f t="shared" si="10"/>
        <v>('27Mar250028','070000178917','88640',(select max(to_number(i.premium_rcv_detail_code))+1
from ins_premium_det i),'88640','88640','02', '11000003','00','Request by Mr. Saqib Saleem 28-Mar-2025');</v>
      </c>
      <c r="H192" s="17" t="str">
        <f t="shared" si="11"/>
        <v>insert into ins_premium_det (premium_rcv_code,assorted_code, rec_amount,premium_rcv_detail_code,remaining_amt, payrec, mode_code,coinsurance_code,class_cd,it_remarks) values('27Mar250028','070000178917','88640',(select max(to_number(i.premium_rcv_detail_code))+1
from ins_premium_det i),'88640','88640','02', '11000003','00','Request by Mr. Saqib Saleem 28-Mar-2025');</v>
      </c>
    </row>
    <row r="193" spans="1:8" ht="105" x14ac:dyDescent="0.25">
      <c r="A193" s="2" t="s">
        <v>5226</v>
      </c>
      <c r="B193" s="13" t="str">
        <f>VLOOKUP(A193,policy!B:C,2,0)</f>
        <v>070000178918</v>
      </c>
      <c r="C193" s="3">
        <v>15750</v>
      </c>
      <c r="D193" s="14">
        <f t="shared" si="9"/>
        <v>15750</v>
      </c>
      <c r="E193" s="19" t="s">
        <v>6323</v>
      </c>
      <c r="F193" s="15" t="str">
        <f t="shared" si="8"/>
        <v>insert into ins_premium_det (premium_rcv_code,assorted_code, rec_amount,premium_rcv_detail_code,remaining_amt, payrec, mode_code,coinsurance_code,class_cd,it_remarks) values</v>
      </c>
      <c r="G193" s="16" t="str">
        <f t="shared" si="10"/>
        <v>('27Mar250028','070000178918','15750',(select max(to_number(i.premium_rcv_detail_code))+1
from ins_premium_det i),'15750','15750','02', '11000003','00','Request by Mr. Saqib Saleem 28-Mar-2025');</v>
      </c>
      <c r="H193" s="17" t="str">
        <f t="shared" si="11"/>
        <v>insert into ins_premium_det (premium_rcv_code,assorted_code, rec_amount,premium_rcv_detail_code,remaining_amt, payrec, mode_code,coinsurance_code,class_cd,it_remarks) values('27Mar250028','070000178918','15750',(select max(to_number(i.premium_rcv_detail_code))+1
from ins_premium_det i),'15750','15750','02', '11000003','00','Request by Mr. Saqib Saleem 28-Mar-2025');</v>
      </c>
    </row>
    <row r="194" spans="1:8" ht="105" x14ac:dyDescent="0.25">
      <c r="A194" s="2" t="s">
        <v>5227</v>
      </c>
      <c r="B194" s="13" t="str">
        <f>VLOOKUP(A194,policy!B:C,2,0)</f>
        <v>070000177485</v>
      </c>
      <c r="C194" s="3">
        <v>22815</v>
      </c>
      <c r="D194" s="14">
        <f t="shared" si="9"/>
        <v>22815</v>
      </c>
      <c r="E194" s="19" t="s">
        <v>6323</v>
      </c>
      <c r="F194" s="15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16" t="str">
        <f t="shared" si="10"/>
        <v>('27Mar250028','070000177485','22815',(select max(to_number(i.premium_rcv_detail_code))+1
from ins_premium_det i),'22815','22815','02', '11000003','00','Request by Mr. Saqib Saleem 28-Mar-2025');</v>
      </c>
      <c r="H194" s="17" t="str">
        <f t="shared" si="11"/>
        <v>insert into ins_premium_det (premium_rcv_code,assorted_code, rec_amount,premium_rcv_detail_code,remaining_amt, payrec, mode_code,coinsurance_code,class_cd,it_remarks) values('27Mar250028','070000177485','22815',(select max(to_number(i.premium_rcv_detail_code))+1
from ins_premium_det i),'22815','22815','02', '11000003','00','Request by Mr. Saqib Saleem 28-Mar-2025');</v>
      </c>
    </row>
    <row r="195" spans="1:8" ht="105" x14ac:dyDescent="0.25">
      <c r="A195" s="2" t="s">
        <v>5228</v>
      </c>
      <c r="B195" s="13" t="str">
        <f>VLOOKUP(A195,policy!B:C,2,0)</f>
        <v>070000178920</v>
      </c>
      <c r="C195" s="3">
        <v>9600</v>
      </c>
      <c r="D195" s="14">
        <f t="shared" ref="D195:D258" si="13">ROUND(C195,0)</f>
        <v>9600</v>
      </c>
      <c r="E195" s="19" t="s">
        <v>6323</v>
      </c>
      <c r="F195" s="15" t="str">
        <f t="shared" si="12"/>
        <v>insert into ins_premium_det (premium_rcv_code,assorted_code, rec_amount,premium_rcv_detail_code,remaining_amt, payrec, mode_code,coinsurance_code,class_cd,it_remarks) values</v>
      </c>
      <c r="G195" s="16" t="str">
        <f t="shared" ref="G195:G258" si="14">"('"&amp;E195&amp;"','"&amp;B195&amp;"','"&amp;D195&amp;"',(select max(to_number(i.premium_rcv_detail_code))+1
from ins_premium_det i),'"&amp;D195&amp;"','"&amp;D195&amp;"','02', '11000003','00','Request by Mr. Saqib Saleem 28-Mar-2025');"</f>
        <v>('27Mar250028','070000178920','9600',(select max(to_number(i.premium_rcv_detail_code))+1
from ins_premium_det i),'9600','9600','02', '11000003','00','Request by Mr. Saqib Saleem 28-Mar-2025');</v>
      </c>
      <c r="H195" s="17" t="str">
        <f t="shared" ref="H195:H258" si="15">F195&amp;G195</f>
        <v>insert into ins_premium_det (premium_rcv_code,assorted_code, rec_amount,premium_rcv_detail_code,remaining_amt, payrec, mode_code,coinsurance_code,class_cd,it_remarks) values('27Mar250028','070000178920','9600',(select max(to_number(i.premium_rcv_detail_code))+1
from ins_premium_det i),'9600','9600','02', '11000003','00','Request by Mr. Saqib Saleem 28-Mar-2025');</v>
      </c>
    </row>
    <row r="196" spans="1:8" ht="105" x14ac:dyDescent="0.25">
      <c r="A196" s="2" t="s">
        <v>5229</v>
      </c>
      <c r="B196" s="13" t="str">
        <f>VLOOKUP(A196,policy!B:C,2,0)</f>
        <v>070000177487</v>
      </c>
      <c r="C196" s="3">
        <v>23190</v>
      </c>
      <c r="D196" s="14">
        <f t="shared" si="13"/>
        <v>23190</v>
      </c>
      <c r="E196" s="19" t="s">
        <v>6323</v>
      </c>
      <c r="F196" s="15" t="str">
        <f t="shared" si="12"/>
        <v>insert into ins_premium_det (premium_rcv_code,assorted_code, rec_amount,premium_rcv_detail_code,remaining_amt, payrec, mode_code,coinsurance_code,class_cd,it_remarks) values</v>
      </c>
      <c r="G196" s="16" t="str">
        <f t="shared" si="14"/>
        <v>('27Mar250028','070000177487','23190',(select max(to_number(i.premium_rcv_detail_code))+1
from ins_premium_det i),'23190','23190','02', '11000003','00','Request by Mr. Saqib Saleem 28-Mar-2025');</v>
      </c>
      <c r="H196" s="17" t="str">
        <f t="shared" si="15"/>
        <v>insert into ins_premium_det (premium_rcv_code,assorted_code, rec_amount,premium_rcv_detail_code,remaining_amt, payrec, mode_code,coinsurance_code,class_cd,it_remarks) values('27Mar250028','070000177487','23190',(select max(to_number(i.premium_rcv_detail_code))+1
from ins_premium_det i),'23190','23190','02', '11000003','00','Request by Mr. Saqib Saleem 28-Mar-2025');</v>
      </c>
    </row>
    <row r="197" spans="1:8" ht="105" x14ac:dyDescent="0.25">
      <c r="A197" s="2" t="s">
        <v>5041</v>
      </c>
      <c r="B197" s="13" t="str">
        <f>VLOOKUP(A197,policy!B:C,2,0)</f>
        <v>070000178924</v>
      </c>
      <c r="C197" s="3">
        <v>47250</v>
      </c>
      <c r="D197" s="14">
        <f t="shared" si="13"/>
        <v>47250</v>
      </c>
      <c r="E197" s="19" t="s">
        <v>6323</v>
      </c>
      <c r="F197" s="15" t="str">
        <f t="shared" si="12"/>
        <v>insert into ins_premium_det (premium_rcv_code,assorted_code, rec_amount,premium_rcv_detail_code,remaining_amt, payrec, mode_code,coinsurance_code,class_cd,it_remarks) values</v>
      </c>
      <c r="G197" s="16" t="str">
        <f t="shared" si="14"/>
        <v>('27Mar250028','070000178924','47250',(select max(to_number(i.premium_rcv_detail_code))+1
from ins_premium_det i),'47250','47250','02', '11000003','00','Request by Mr. Saqib Saleem 28-Mar-2025');</v>
      </c>
      <c r="H197" s="17" t="str">
        <f t="shared" si="15"/>
        <v>insert into ins_premium_det (premium_rcv_code,assorted_code, rec_amount,premium_rcv_detail_code,remaining_amt, payrec, mode_code,coinsurance_code,class_cd,it_remarks) values('27Mar250028','070000178924','47250',(select max(to_number(i.premium_rcv_detail_code))+1
from ins_premium_det i),'47250','47250','02', '11000003','00','Request by Mr. Saqib Saleem 28-Mar-2025');</v>
      </c>
    </row>
    <row r="198" spans="1:8" ht="105" x14ac:dyDescent="0.25">
      <c r="A198" s="2" t="s">
        <v>5230</v>
      </c>
      <c r="B198" s="13" t="str">
        <f>VLOOKUP(A198,policy!B:C,2,0)</f>
        <v>070000178925</v>
      </c>
      <c r="C198" s="3">
        <v>42635</v>
      </c>
      <c r="D198" s="14">
        <f t="shared" si="13"/>
        <v>42635</v>
      </c>
      <c r="E198" s="19" t="s">
        <v>6323</v>
      </c>
      <c r="F198" s="15" t="str">
        <f t="shared" si="12"/>
        <v>insert into ins_premium_det (premium_rcv_code,assorted_code, rec_amount,premium_rcv_detail_code,remaining_amt, payrec, mode_code,coinsurance_code,class_cd,it_remarks) values</v>
      </c>
      <c r="G198" s="16" t="str">
        <f t="shared" si="14"/>
        <v>('27Mar250028','070000178925','42635',(select max(to_number(i.premium_rcv_detail_code))+1
from ins_premium_det i),'42635','42635','02', '11000003','00','Request by Mr. Saqib Saleem 28-Mar-2025');</v>
      </c>
      <c r="H198" s="17" t="str">
        <f t="shared" si="15"/>
        <v>insert into ins_premium_det (premium_rcv_code,assorted_code, rec_amount,premium_rcv_detail_code,remaining_amt, payrec, mode_code,coinsurance_code,class_cd,it_remarks) values('27Mar250028','070000178925','42635',(select max(to_number(i.premium_rcv_detail_code))+1
from ins_premium_det i),'42635','42635','02', '11000003','00','Request by Mr. Saqib Saleem 28-Mar-2025');</v>
      </c>
    </row>
    <row r="199" spans="1:8" ht="105" x14ac:dyDescent="0.25">
      <c r="A199" s="2" t="s">
        <v>5231</v>
      </c>
      <c r="B199" s="13" t="str">
        <f>VLOOKUP(A199,policy!B:C,2,0)</f>
        <v>070000177488</v>
      </c>
      <c r="C199" s="3">
        <v>21000</v>
      </c>
      <c r="D199" s="14">
        <f t="shared" si="13"/>
        <v>21000</v>
      </c>
      <c r="E199" s="19" t="s">
        <v>6323</v>
      </c>
      <c r="F199" s="15" t="str">
        <f t="shared" si="12"/>
        <v>insert into ins_premium_det (premium_rcv_code,assorted_code, rec_amount,premium_rcv_detail_code,remaining_amt, payrec, mode_code,coinsurance_code,class_cd,it_remarks) values</v>
      </c>
      <c r="G199" s="16" t="str">
        <f t="shared" si="14"/>
        <v>('27Mar250028','070000177488','21000',(select max(to_number(i.premium_rcv_detail_code))+1
from ins_premium_det i),'21000','21000','02', '11000003','00','Request by Mr. Saqib Saleem 28-Mar-2025');</v>
      </c>
      <c r="H199" s="17" t="str">
        <f t="shared" si="15"/>
        <v>insert into ins_premium_det (premium_rcv_code,assorted_code, rec_amount,premium_rcv_detail_code,remaining_amt, payrec, mode_code,coinsurance_code,class_cd,it_remarks) values('27Mar250028','070000177488','21000',(select max(to_number(i.premium_rcv_detail_code))+1
from ins_premium_det i),'21000','21000','02', '11000003','00','Request by Mr. Saqib Saleem 28-Mar-2025');</v>
      </c>
    </row>
    <row r="200" spans="1:8" ht="105" x14ac:dyDescent="0.25">
      <c r="A200" s="2" t="s">
        <v>5232</v>
      </c>
      <c r="B200" s="13" t="str">
        <f>VLOOKUP(A200,policy!B:C,2,0)</f>
        <v>070000177489</v>
      </c>
      <c r="C200" s="3">
        <v>18563</v>
      </c>
      <c r="D200" s="14">
        <f t="shared" si="13"/>
        <v>18563</v>
      </c>
      <c r="E200" s="19" t="s">
        <v>6323</v>
      </c>
      <c r="F200" s="15" t="str">
        <f t="shared" si="12"/>
        <v>insert into ins_premium_det (premium_rcv_code,assorted_code, rec_amount,premium_rcv_detail_code,remaining_amt, payrec, mode_code,coinsurance_code,class_cd,it_remarks) values</v>
      </c>
      <c r="G200" s="16" t="str">
        <f t="shared" si="14"/>
        <v>('27Mar250028','070000177489','18563',(select max(to_number(i.premium_rcv_detail_code))+1
from ins_premium_det i),'18563','18563','02', '11000003','00','Request by Mr. Saqib Saleem 28-Mar-2025');</v>
      </c>
      <c r="H200" s="17" t="str">
        <f t="shared" si="15"/>
        <v>insert into ins_premium_det (premium_rcv_code,assorted_code, rec_amount,premium_rcv_detail_code,remaining_amt, payrec, mode_code,coinsurance_code,class_cd,it_remarks) values('27Mar250028','070000177489','18563',(select max(to_number(i.premium_rcv_detail_code))+1
from ins_premium_det i),'18563','18563','02', '11000003','00','Request by Mr. Saqib Saleem 28-Mar-2025');</v>
      </c>
    </row>
    <row r="201" spans="1:8" ht="105" x14ac:dyDescent="0.25">
      <c r="A201" s="2" t="s">
        <v>5233</v>
      </c>
      <c r="B201" s="13" t="str">
        <f>VLOOKUP(A201,policy!B:C,2,0)</f>
        <v>070000177492</v>
      </c>
      <c r="C201" s="3">
        <v>262500</v>
      </c>
      <c r="D201" s="14">
        <f t="shared" si="13"/>
        <v>262500</v>
      </c>
      <c r="E201" s="19" t="s">
        <v>6323</v>
      </c>
      <c r="F201" s="15" t="str">
        <f t="shared" si="12"/>
        <v>insert into ins_premium_det (premium_rcv_code,assorted_code, rec_amount,premium_rcv_detail_code,remaining_amt, payrec, mode_code,coinsurance_code,class_cd,it_remarks) values</v>
      </c>
      <c r="G201" s="16" t="str">
        <f t="shared" si="14"/>
        <v>('27Mar250028','070000177492','262500',(select max(to_number(i.premium_rcv_detail_code))+1
from ins_premium_det i),'262500','262500','02', '11000003','00','Request by Mr. Saqib Saleem 28-Mar-2025');</v>
      </c>
      <c r="H201" s="17" t="str">
        <f t="shared" si="15"/>
        <v>insert into ins_premium_det (premium_rcv_code,assorted_code, rec_amount,premium_rcv_detail_code,remaining_amt, payrec, mode_code,coinsurance_code,class_cd,it_remarks) values('27Mar250028','070000177492','262500',(select max(to_number(i.premium_rcv_detail_code))+1
from ins_premium_det i),'262500','262500','02', '11000003','00','Request by Mr. Saqib Saleem 28-Mar-2025');</v>
      </c>
    </row>
    <row r="202" spans="1:8" ht="105" x14ac:dyDescent="0.25">
      <c r="A202" s="2" t="s">
        <v>5234</v>
      </c>
      <c r="B202" s="13" t="str">
        <f>VLOOKUP(A202,policy!B:C,2,0)</f>
        <v>070000177493</v>
      </c>
      <c r="C202" s="3">
        <v>60188</v>
      </c>
      <c r="D202" s="14">
        <f t="shared" si="13"/>
        <v>60188</v>
      </c>
      <c r="E202" s="19" t="s">
        <v>6323</v>
      </c>
      <c r="F202" s="15" t="str">
        <f t="shared" si="12"/>
        <v>insert into ins_premium_det (premium_rcv_code,assorted_code, rec_amount,premium_rcv_detail_code,remaining_amt, payrec, mode_code,coinsurance_code,class_cd,it_remarks) values</v>
      </c>
      <c r="G202" s="16" t="str">
        <f t="shared" si="14"/>
        <v>('27Mar250028','070000177493','60188',(select max(to_number(i.premium_rcv_detail_code))+1
from ins_premium_det i),'60188','60188','02', '11000003','00','Request by Mr. Saqib Saleem 28-Mar-2025');</v>
      </c>
      <c r="H202" s="17" t="str">
        <f t="shared" si="15"/>
        <v>insert into ins_premium_det (premium_rcv_code,assorted_code, rec_amount,premium_rcv_detail_code,remaining_amt, payrec, mode_code,coinsurance_code,class_cd,it_remarks) values('27Mar250028','070000177493','60188',(select max(to_number(i.premium_rcv_detail_code))+1
from ins_premium_det i),'60188','60188','02', '11000003','00','Request by Mr. Saqib Saleem 28-Mar-2025');</v>
      </c>
    </row>
    <row r="203" spans="1:8" ht="105" x14ac:dyDescent="0.25">
      <c r="A203" s="2" t="s">
        <v>5235</v>
      </c>
      <c r="B203" s="13" t="str">
        <f>VLOOKUP(A203,policy!B:C,2,0)</f>
        <v>070000177494</v>
      </c>
      <c r="C203" s="3">
        <v>43200</v>
      </c>
      <c r="D203" s="14">
        <f t="shared" si="13"/>
        <v>43200</v>
      </c>
      <c r="E203" s="19" t="s">
        <v>6323</v>
      </c>
      <c r="F203" s="15" t="str">
        <f t="shared" si="12"/>
        <v>insert into ins_premium_det (premium_rcv_code,assorted_code, rec_amount,premium_rcv_detail_code,remaining_amt, payrec, mode_code,coinsurance_code,class_cd,it_remarks) values</v>
      </c>
      <c r="G203" s="16" t="str">
        <f t="shared" si="14"/>
        <v>('27Mar250028','070000177494','43200',(select max(to_number(i.premium_rcv_detail_code))+1
from ins_premium_det i),'43200','43200','02', '11000003','00','Request by Mr. Saqib Saleem 28-Mar-2025');</v>
      </c>
      <c r="H203" s="17" t="str">
        <f t="shared" si="15"/>
        <v>insert into ins_premium_det (premium_rcv_code,assorted_code, rec_amount,premium_rcv_detail_code,remaining_amt, payrec, mode_code,coinsurance_code,class_cd,it_remarks) values('27Mar250028','070000177494','43200',(select max(to_number(i.premium_rcv_detail_code))+1
from ins_premium_det i),'43200','43200','02', '11000003','00','Request by Mr. Saqib Saleem 28-Mar-2025');</v>
      </c>
    </row>
    <row r="204" spans="1:8" ht="105" x14ac:dyDescent="0.25">
      <c r="A204" s="2" t="s">
        <v>5236</v>
      </c>
      <c r="B204" s="13" t="str">
        <f>VLOOKUP(A204,policy!B:C,2,0)</f>
        <v>070000177496</v>
      </c>
      <c r="C204" s="3">
        <v>32344</v>
      </c>
      <c r="D204" s="14">
        <f t="shared" si="13"/>
        <v>32344</v>
      </c>
      <c r="E204" s="19" t="s">
        <v>6323</v>
      </c>
      <c r="F204" s="15" t="str">
        <f t="shared" si="12"/>
        <v>insert into ins_premium_det (premium_rcv_code,assorted_code, rec_amount,premium_rcv_detail_code,remaining_amt, payrec, mode_code,coinsurance_code,class_cd,it_remarks) values</v>
      </c>
      <c r="G204" s="16" t="str">
        <f t="shared" si="14"/>
        <v>('27Mar250028','070000177496','32344',(select max(to_number(i.premium_rcv_detail_code))+1
from ins_premium_det i),'32344','32344','02', '11000003','00','Request by Mr. Saqib Saleem 28-Mar-2025');</v>
      </c>
      <c r="H204" s="17" t="str">
        <f t="shared" si="15"/>
        <v>insert into ins_premium_det (premium_rcv_code,assorted_code, rec_amount,premium_rcv_detail_code,remaining_amt, payrec, mode_code,coinsurance_code,class_cd,it_remarks) values('27Mar250028','070000177496','32344',(select max(to_number(i.premium_rcv_detail_code))+1
from ins_premium_det i),'32344','32344','02', '11000003','00','Request by Mr. Saqib Saleem 28-Mar-2025');</v>
      </c>
    </row>
    <row r="205" spans="1:8" ht="105" x14ac:dyDescent="0.25">
      <c r="A205" s="2" t="s">
        <v>5237</v>
      </c>
      <c r="B205" s="13" t="str">
        <f>VLOOKUP(A205,policy!B:C,2,0)</f>
        <v>070000177497</v>
      </c>
      <c r="C205" s="3">
        <v>32063</v>
      </c>
      <c r="D205" s="14">
        <f t="shared" si="13"/>
        <v>32063</v>
      </c>
      <c r="E205" s="19" t="s">
        <v>6323</v>
      </c>
      <c r="F205" s="15" t="str">
        <f t="shared" si="12"/>
        <v>insert into ins_premium_det (premium_rcv_code,assorted_code, rec_amount,premium_rcv_detail_code,remaining_amt, payrec, mode_code,coinsurance_code,class_cd,it_remarks) values</v>
      </c>
      <c r="G205" s="16" t="str">
        <f t="shared" si="14"/>
        <v>('27Mar250028','070000177497','32063',(select max(to_number(i.premium_rcv_detail_code))+1
from ins_premium_det i),'32063','32063','02', '11000003','00','Request by Mr. Saqib Saleem 28-Mar-2025');</v>
      </c>
      <c r="H205" s="17" t="str">
        <f t="shared" si="15"/>
        <v>insert into ins_premium_det (premium_rcv_code,assorted_code, rec_amount,premium_rcv_detail_code,remaining_amt, payrec, mode_code,coinsurance_code,class_cd,it_remarks) values('27Mar250028','070000177497','32063',(select max(to_number(i.premium_rcv_detail_code))+1
from ins_premium_det i),'32063','32063','02', '11000003','00','Request by Mr. Saqib Saleem 28-Mar-2025');</v>
      </c>
    </row>
    <row r="206" spans="1:8" ht="105" x14ac:dyDescent="0.25">
      <c r="A206" s="2" t="s">
        <v>5238</v>
      </c>
      <c r="B206" s="13" t="str">
        <f>VLOOKUP(A206,policy!B:C,2,0)</f>
        <v>070000177498</v>
      </c>
      <c r="C206" s="3">
        <v>31500</v>
      </c>
      <c r="D206" s="14">
        <f t="shared" si="13"/>
        <v>31500</v>
      </c>
      <c r="E206" s="19" t="s">
        <v>6323</v>
      </c>
      <c r="F206" s="15" t="str">
        <f t="shared" si="12"/>
        <v>insert into ins_premium_det (premium_rcv_code,assorted_code, rec_amount,premium_rcv_detail_code,remaining_amt, payrec, mode_code,coinsurance_code,class_cd,it_remarks) values</v>
      </c>
      <c r="G206" s="16" t="str">
        <f t="shared" si="14"/>
        <v>('27Mar250028','070000177498','31500',(select max(to_number(i.premium_rcv_detail_code))+1
from ins_premium_det i),'31500','31500','02', '11000003','00','Request by Mr. Saqib Saleem 28-Mar-2025');</v>
      </c>
      <c r="H206" s="17" t="str">
        <f t="shared" si="15"/>
        <v>insert into ins_premium_det (premium_rcv_code,assorted_code, rec_amount,premium_rcv_detail_code,remaining_amt, payrec, mode_code,coinsurance_code,class_cd,it_remarks) values('27Mar250028','070000177498','31500',(select max(to_number(i.premium_rcv_detail_code))+1
from ins_premium_det i),'31500','31500','02', '11000003','00','Request by Mr. Saqib Saleem 28-Mar-2025');</v>
      </c>
    </row>
    <row r="207" spans="1:8" ht="105" x14ac:dyDescent="0.25">
      <c r="A207" s="2" t="s">
        <v>5239</v>
      </c>
      <c r="B207" s="13" t="str">
        <f>VLOOKUP(A207,policy!B:C,2,0)</f>
        <v>070000177499</v>
      </c>
      <c r="C207" s="3">
        <v>51000</v>
      </c>
      <c r="D207" s="14">
        <f t="shared" si="13"/>
        <v>51000</v>
      </c>
      <c r="E207" s="19" t="s">
        <v>6323</v>
      </c>
      <c r="F207" s="15" t="str">
        <f t="shared" si="12"/>
        <v>insert into ins_premium_det (premium_rcv_code,assorted_code, rec_amount,premium_rcv_detail_code,remaining_amt, payrec, mode_code,coinsurance_code,class_cd,it_remarks) values</v>
      </c>
      <c r="G207" s="16" t="str">
        <f t="shared" si="14"/>
        <v>('27Mar250028','070000177499','51000',(select max(to_number(i.premium_rcv_detail_code))+1
from ins_premium_det i),'51000','51000','02', '11000003','00','Request by Mr. Saqib Saleem 28-Mar-2025');</v>
      </c>
      <c r="H207" s="17" t="str">
        <f t="shared" si="15"/>
        <v>insert into ins_premium_det (premium_rcv_code,assorted_code, rec_amount,premium_rcv_detail_code,remaining_amt, payrec, mode_code,coinsurance_code,class_cd,it_remarks) values('27Mar250028','070000177499','51000',(select max(to_number(i.premium_rcv_detail_code))+1
from ins_premium_det i),'51000','51000','02', '11000003','00','Request by Mr. Saqib Saleem 28-Mar-2025');</v>
      </c>
    </row>
    <row r="208" spans="1:8" ht="105" x14ac:dyDescent="0.25">
      <c r="A208" s="2" t="s">
        <v>5240</v>
      </c>
      <c r="B208" s="13" t="str">
        <f>VLOOKUP(A208,policy!B:C,2,0)</f>
        <v>070000177500</v>
      </c>
      <c r="C208" s="3">
        <v>20813</v>
      </c>
      <c r="D208" s="14">
        <f t="shared" si="13"/>
        <v>20813</v>
      </c>
      <c r="E208" s="19" t="s">
        <v>6323</v>
      </c>
      <c r="F208" s="15" t="str">
        <f t="shared" si="12"/>
        <v>insert into ins_premium_det (premium_rcv_code,assorted_code, rec_amount,premium_rcv_detail_code,remaining_amt, payrec, mode_code,coinsurance_code,class_cd,it_remarks) values</v>
      </c>
      <c r="G208" s="16" t="str">
        <f t="shared" si="14"/>
        <v>('27Mar250028','070000177500','20813',(select max(to_number(i.premium_rcv_detail_code))+1
from ins_premium_det i),'20813','20813','02', '11000003','00','Request by Mr. Saqib Saleem 28-Mar-2025');</v>
      </c>
      <c r="H208" s="17" t="str">
        <f t="shared" si="15"/>
        <v>insert into ins_premium_det (premium_rcv_code,assorted_code, rec_amount,premium_rcv_detail_code,remaining_amt, payrec, mode_code,coinsurance_code,class_cd,it_remarks) values('27Mar250028','070000177500','20813',(select max(to_number(i.premium_rcv_detail_code))+1
from ins_premium_det i),'20813','20813','02', '11000003','00','Request by Mr. Saqib Saleem 28-Mar-2025');</v>
      </c>
    </row>
    <row r="209" spans="1:8" ht="105" x14ac:dyDescent="0.25">
      <c r="A209" s="2" t="s">
        <v>5241</v>
      </c>
      <c r="B209" s="13" t="str">
        <f>VLOOKUP(A209,policy!B:C,2,0)</f>
        <v>070000177501</v>
      </c>
      <c r="C209" s="3">
        <v>24336</v>
      </c>
      <c r="D209" s="14">
        <f t="shared" si="13"/>
        <v>24336</v>
      </c>
      <c r="E209" s="19" t="s">
        <v>6323</v>
      </c>
      <c r="F209" s="15" t="str">
        <f t="shared" si="12"/>
        <v>insert into ins_premium_det (premium_rcv_code,assorted_code, rec_amount,premium_rcv_detail_code,remaining_amt, payrec, mode_code,coinsurance_code,class_cd,it_remarks) values</v>
      </c>
      <c r="G209" s="16" t="str">
        <f t="shared" si="14"/>
        <v>('27Mar250028','070000177501','24336',(select max(to_number(i.premium_rcv_detail_code))+1
from ins_premium_det i),'24336','24336','02', '11000003','00','Request by Mr. Saqib Saleem 28-Mar-2025');</v>
      </c>
      <c r="H209" s="17" t="str">
        <f t="shared" si="15"/>
        <v>insert into ins_premium_det (premium_rcv_code,assorted_code, rec_amount,premium_rcv_detail_code,remaining_amt, payrec, mode_code,coinsurance_code,class_cd,it_remarks) values('27Mar250028','070000177501','24336',(select max(to_number(i.premium_rcv_detail_code))+1
from ins_premium_det i),'24336','24336','02', '11000003','00','Request by Mr. Saqib Saleem 28-Mar-2025');</v>
      </c>
    </row>
    <row r="210" spans="1:8" ht="105" x14ac:dyDescent="0.25">
      <c r="A210" s="2" t="s">
        <v>5242</v>
      </c>
      <c r="B210" s="13" t="str">
        <f>VLOOKUP(A210,policy!B:C,2,0)</f>
        <v>070000177502</v>
      </c>
      <c r="C210" s="3">
        <v>16313</v>
      </c>
      <c r="D210" s="14">
        <f t="shared" si="13"/>
        <v>16313</v>
      </c>
      <c r="E210" s="19" t="s">
        <v>6323</v>
      </c>
      <c r="F210" s="15" t="str">
        <f t="shared" si="12"/>
        <v>insert into ins_premium_det (premium_rcv_code,assorted_code, rec_amount,premium_rcv_detail_code,remaining_amt, payrec, mode_code,coinsurance_code,class_cd,it_remarks) values</v>
      </c>
      <c r="G210" s="16" t="str">
        <f t="shared" si="14"/>
        <v>('27Mar250028','070000177502','16313',(select max(to_number(i.premium_rcv_detail_code))+1
from ins_premium_det i),'16313','16313','02', '11000003','00','Request by Mr. Saqib Saleem 28-Mar-2025');</v>
      </c>
      <c r="H210" s="17" t="str">
        <f t="shared" si="15"/>
        <v>insert into ins_premium_det (premium_rcv_code,assorted_code, rec_amount,premium_rcv_detail_code,remaining_amt, payrec, mode_code,coinsurance_code,class_cd,it_remarks) values('27Mar250028','070000177502','16313',(select max(to_number(i.premium_rcv_detail_code))+1
from ins_premium_det i),'16313','16313','02', '11000003','00','Request by Mr. Saqib Saleem 28-Mar-2025');</v>
      </c>
    </row>
    <row r="211" spans="1:8" ht="105" x14ac:dyDescent="0.25">
      <c r="A211" s="2" t="s">
        <v>5243</v>
      </c>
      <c r="B211" s="13" t="str">
        <f>VLOOKUP(A211,policy!B:C,2,0)</f>
        <v>070000177503</v>
      </c>
      <c r="C211" s="3">
        <v>18000</v>
      </c>
      <c r="D211" s="14">
        <f t="shared" si="13"/>
        <v>18000</v>
      </c>
      <c r="E211" s="19" t="s">
        <v>6323</v>
      </c>
      <c r="F211" s="15" t="str">
        <f t="shared" si="12"/>
        <v>insert into ins_premium_det (premium_rcv_code,assorted_code, rec_amount,premium_rcv_detail_code,remaining_amt, payrec, mode_code,coinsurance_code,class_cd,it_remarks) values</v>
      </c>
      <c r="G211" s="16" t="str">
        <f t="shared" si="14"/>
        <v>('27Mar250028','070000177503','18000',(select max(to_number(i.premium_rcv_detail_code))+1
from ins_premium_det i),'18000','18000','02', '11000003','00','Request by Mr. Saqib Saleem 28-Mar-2025');</v>
      </c>
      <c r="H211" s="17" t="str">
        <f t="shared" si="15"/>
        <v>insert into ins_premium_det (premium_rcv_code,assorted_code, rec_amount,premium_rcv_detail_code,remaining_amt, payrec, mode_code,coinsurance_code,class_cd,it_remarks) values('27Mar250028','070000177503','18000',(select max(to_number(i.premium_rcv_detail_code))+1
from ins_premium_det i),'18000','18000','02', '11000003','00','Request by Mr. Saqib Saleem 28-Mar-2025');</v>
      </c>
    </row>
    <row r="212" spans="1:8" ht="105" x14ac:dyDescent="0.25">
      <c r="A212" s="2" t="s">
        <v>5244</v>
      </c>
      <c r="B212" s="13" t="str">
        <f>VLOOKUP(A212,policy!B:C,2,0)</f>
        <v>070000177505</v>
      </c>
      <c r="C212" s="3">
        <v>52830</v>
      </c>
      <c r="D212" s="14">
        <f t="shared" si="13"/>
        <v>52830</v>
      </c>
      <c r="E212" s="19" t="s">
        <v>6323</v>
      </c>
      <c r="F212" s="15" t="str">
        <f t="shared" si="12"/>
        <v>insert into ins_premium_det (premium_rcv_code,assorted_code, rec_amount,premium_rcv_detail_code,remaining_amt, payrec, mode_code,coinsurance_code,class_cd,it_remarks) values</v>
      </c>
      <c r="G212" s="16" t="str">
        <f t="shared" si="14"/>
        <v>('27Mar250028','070000177505','52830',(select max(to_number(i.premium_rcv_detail_code))+1
from ins_premium_det i),'52830','52830','02', '11000003','00','Request by Mr. Saqib Saleem 28-Mar-2025');</v>
      </c>
      <c r="H212" s="17" t="str">
        <f t="shared" si="15"/>
        <v>insert into ins_premium_det (premium_rcv_code,assorted_code, rec_amount,premium_rcv_detail_code,remaining_amt, payrec, mode_code,coinsurance_code,class_cd,it_remarks) values('27Mar250028','070000177505','52830',(select max(to_number(i.premium_rcv_detail_code))+1
from ins_premium_det i),'52830','52830','02', '11000003','00','Request by Mr. Saqib Saleem 28-Mar-2025');</v>
      </c>
    </row>
    <row r="213" spans="1:8" ht="105" x14ac:dyDescent="0.25">
      <c r="A213" s="2" t="s">
        <v>5245</v>
      </c>
      <c r="B213" s="13" t="str">
        <f>VLOOKUP(A213,policy!B:C,2,0)</f>
        <v>070000178943</v>
      </c>
      <c r="C213" s="3">
        <v>55213</v>
      </c>
      <c r="D213" s="14">
        <f t="shared" si="13"/>
        <v>55213</v>
      </c>
      <c r="E213" s="19" t="s">
        <v>6323</v>
      </c>
      <c r="F213" s="15" t="str">
        <f t="shared" si="12"/>
        <v>insert into ins_premium_det (premium_rcv_code,assorted_code, rec_amount,premium_rcv_detail_code,remaining_amt, payrec, mode_code,coinsurance_code,class_cd,it_remarks) values</v>
      </c>
      <c r="G213" s="16" t="str">
        <f t="shared" si="14"/>
        <v>('27Mar250028','070000178943','55213',(select max(to_number(i.premium_rcv_detail_code))+1
from ins_premium_det i),'55213','55213','02', '11000003','00','Request by Mr. Saqib Saleem 28-Mar-2025');</v>
      </c>
      <c r="H213" s="17" t="str">
        <f t="shared" si="15"/>
        <v>insert into ins_premium_det (premium_rcv_code,assorted_code, rec_amount,premium_rcv_detail_code,remaining_amt, payrec, mode_code,coinsurance_code,class_cd,it_remarks) values('27Mar250028','070000178943','55213',(select max(to_number(i.premium_rcv_detail_code))+1
from ins_premium_det i),'55213','55213','02', '11000003','00','Request by Mr. Saqib Saleem 28-Mar-2025');</v>
      </c>
    </row>
    <row r="214" spans="1:8" ht="105" x14ac:dyDescent="0.25">
      <c r="A214" s="2" t="s">
        <v>5246</v>
      </c>
      <c r="B214" s="13" t="str">
        <f>VLOOKUP(A214,policy!B:C,2,0)</f>
        <v>070000177508</v>
      </c>
      <c r="C214" s="3">
        <v>209903</v>
      </c>
      <c r="D214" s="14">
        <f t="shared" si="13"/>
        <v>209903</v>
      </c>
      <c r="E214" s="19" t="s">
        <v>6323</v>
      </c>
      <c r="F214" s="15" t="str">
        <f t="shared" si="12"/>
        <v>insert into ins_premium_det (premium_rcv_code,assorted_code, rec_amount,premium_rcv_detail_code,remaining_amt, payrec, mode_code,coinsurance_code,class_cd,it_remarks) values</v>
      </c>
      <c r="G214" s="16" t="str">
        <f t="shared" si="14"/>
        <v>('27Mar250028','070000177508','209903',(select max(to_number(i.premium_rcv_detail_code))+1
from ins_premium_det i),'209903','209903','02', '11000003','00','Request by Mr. Saqib Saleem 28-Mar-2025');</v>
      </c>
      <c r="H214" s="17" t="str">
        <f t="shared" si="15"/>
        <v>insert into ins_premium_det (premium_rcv_code,assorted_code, rec_amount,premium_rcv_detail_code,remaining_amt, payrec, mode_code,coinsurance_code,class_cd,it_remarks) values('27Mar250028','070000177508','209903',(select max(to_number(i.premium_rcv_detail_code))+1
from ins_premium_det i),'209903','209903','02', '11000003','00','Request by Mr. Saqib Saleem 28-Mar-2025');</v>
      </c>
    </row>
    <row r="215" spans="1:8" ht="105" x14ac:dyDescent="0.25">
      <c r="A215" s="2" t="s">
        <v>5247</v>
      </c>
      <c r="B215" s="13" t="str">
        <f>VLOOKUP(A215,policy!B:C,2,0)</f>
        <v>070000177510</v>
      </c>
      <c r="C215" s="3">
        <v>36572</v>
      </c>
      <c r="D215" s="14">
        <f t="shared" si="13"/>
        <v>36572</v>
      </c>
      <c r="E215" s="19" t="s">
        <v>6323</v>
      </c>
      <c r="F215" s="15" t="str">
        <f t="shared" si="12"/>
        <v>insert into ins_premium_det (premium_rcv_code,assorted_code, rec_amount,premium_rcv_detail_code,remaining_amt, payrec, mode_code,coinsurance_code,class_cd,it_remarks) values</v>
      </c>
      <c r="G215" s="16" t="str">
        <f t="shared" si="14"/>
        <v>('27Mar250028','070000177510','36572',(select max(to_number(i.premium_rcv_detail_code))+1
from ins_premium_det i),'36572','36572','02', '11000003','00','Request by Mr. Saqib Saleem 28-Mar-2025');</v>
      </c>
      <c r="H215" s="17" t="str">
        <f t="shared" si="15"/>
        <v>insert into ins_premium_det (premium_rcv_code,assorted_code, rec_amount,premium_rcv_detail_code,remaining_amt, payrec, mode_code,coinsurance_code,class_cd,it_remarks) values('27Mar250028','070000177510','36572',(select max(to_number(i.premium_rcv_detail_code))+1
from ins_premium_det i),'36572','36572','02', '11000003','00','Request by Mr. Saqib Saleem 28-Mar-2025');</v>
      </c>
    </row>
    <row r="216" spans="1:8" ht="105" x14ac:dyDescent="0.25">
      <c r="A216" s="2" t="s">
        <v>5248</v>
      </c>
      <c r="B216" s="13" t="str">
        <f>VLOOKUP(A216,policy!B:C,2,0)</f>
        <v>070000177512</v>
      </c>
      <c r="C216" s="3">
        <v>25200</v>
      </c>
      <c r="D216" s="14">
        <f t="shared" si="13"/>
        <v>25200</v>
      </c>
      <c r="E216" s="19" t="s">
        <v>6323</v>
      </c>
      <c r="F216" s="15" t="str">
        <f t="shared" si="12"/>
        <v>insert into ins_premium_det (premium_rcv_code,assorted_code, rec_amount,premium_rcv_detail_code,remaining_amt, payrec, mode_code,coinsurance_code,class_cd,it_remarks) values</v>
      </c>
      <c r="G216" s="16" t="str">
        <f t="shared" si="14"/>
        <v>('27Mar250028','070000177512','25200',(select max(to_number(i.premium_rcv_detail_code))+1
from ins_premium_det i),'25200','25200','02', '11000003','00','Request by Mr. Saqib Saleem 28-Mar-2025');</v>
      </c>
      <c r="H216" s="17" t="str">
        <f t="shared" si="15"/>
        <v>insert into ins_premium_det (premium_rcv_code,assorted_code, rec_amount,premium_rcv_detail_code,remaining_amt, payrec, mode_code,coinsurance_code,class_cd,it_remarks) values('27Mar250028','070000177512','25200',(select max(to_number(i.premium_rcv_detail_code))+1
from ins_premium_det i),'25200','25200','02', '11000003','00','Request by Mr. Saqib Saleem 28-Mar-2025');</v>
      </c>
    </row>
    <row r="217" spans="1:8" ht="105" x14ac:dyDescent="0.25">
      <c r="A217" s="2" t="s">
        <v>5249</v>
      </c>
      <c r="B217" s="13" t="str">
        <f>VLOOKUP(A217,policy!B:C,2,0)</f>
        <v>070000178947</v>
      </c>
      <c r="C217" s="3">
        <v>54320</v>
      </c>
      <c r="D217" s="14">
        <f t="shared" si="13"/>
        <v>54320</v>
      </c>
      <c r="E217" s="19" t="s">
        <v>6323</v>
      </c>
      <c r="F217" s="15" t="str">
        <f t="shared" si="12"/>
        <v>insert into ins_premium_det (premium_rcv_code,assorted_code, rec_amount,premium_rcv_detail_code,remaining_amt, payrec, mode_code,coinsurance_code,class_cd,it_remarks) values</v>
      </c>
      <c r="G217" s="16" t="str">
        <f t="shared" si="14"/>
        <v>('27Mar250028','070000178947','54320',(select max(to_number(i.premium_rcv_detail_code))+1
from ins_premium_det i),'54320','54320','02', '11000003','00','Request by Mr. Saqib Saleem 28-Mar-2025');</v>
      </c>
      <c r="H217" s="17" t="str">
        <f t="shared" si="15"/>
        <v>insert into ins_premium_det (premium_rcv_code,assorted_code, rec_amount,premium_rcv_detail_code,remaining_amt, payrec, mode_code,coinsurance_code,class_cd,it_remarks) values('27Mar250028','070000178947','54320',(select max(to_number(i.premium_rcv_detail_code))+1
from ins_premium_det i),'54320','54320','02', '11000003','00','Request by Mr. Saqib Saleem 28-Mar-2025');</v>
      </c>
    </row>
    <row r="218" spans="1:8" ht="105" x14ac:dyDescent="0.25">
      <c r="A218" s="2" t="s">
        <v>5250</v>
      </c>
      <c r="B218" s="13" t="str">
        <f>VLOOKUP(A218,policy!B:C,2,0)</f>
        <v>070000177514</v>
      </c>
      <c r="C218" s="3">
        <v>25313</v>
      </c>
      <c r="D218" s="14">
        <f t="shared" si="13"/>
        <v>25313</v>
      </c>
      <c r="E218" s="19" t="s">
        <v>6323</v>
      </c>
      <c r="F218" s="15" t="str">
        <f t="shared" si="12"/>
        <v>insert into ins_premium_det (premium_rcv_code,assorted_code, rec_amount,premium_rcv_detail_code,remaining_amt, payrec, mode_code,coinsurance_code,class_cd,it_remarks) values</v>
      </c>
      <c r="G218" s="16" t="str">
        <f t="shared" si="14"/>
        <v>('27Mar250028','070000177514','25313',(select max(to_number(i.premium_rcv_detail_code))+1
from ins_premium_det i),'25313','25313','02', '11000003','00','Request by Mr. Saqib Saleem 28-Mar-2025');</v>
      </c>
      <c r="H218" s="17" t="str">
        <f t="shared" si="15"/>
        <v>insert into ins_premium_det (premium_rcv_code,assorted_code, rec_amount,premium_rcv_detail_code,remaining_amt, payrec, mode_code,coinsurance_code,class_cd,it_remarks) values('27Mar250028','070000177514','25313',(select max(to_number(i.premium_rcv_detail_code))+1
from ins_premium_det i),'25313','25313','02', '11000003','00','Request by Mr. Saqib Saleem 28-Mar-2025');</v>
      </c>
    </row>
    <row r="219" spans="1:8" ht="105" x14ac:dyDescent="0.25">
      <c r="A219" s="2" t="s">
        <v>5251</v>
      </c>
      <c r="B219" s="13" t="str">
        <f>VLOOKUP(A219,policy!B:C,2,0)</f>
        <v>070000177520</v>
      </c>
      <c r="C219" s="3">
        <v>28125</v>
      </c>
      <c r="D219" s="14">
        <f t="shared" si="13"/>
        <v>28125</v>
      </c>
      <c r="E219" s="19" t="s">
        <v>6323</v>
      </c>
      <c r="F219" s="15" t="str">
        <f t="shared" si="12"/>
        <v>insert into ins_premium_det (premium_rcv_code,assorted_code, rec_amount,premium_rcv_detail_code,remaining_amt, payrec, mode_code,coinsurance_code,class_cd,it_remarks) values</v>
      </c>
      <c r="G219" s="16" t="str">
        <f t="shared" si="14"/>
        <v>('27Mar250028','070000177520','28125',(select max(to_number(i.premium_rcv_detail_code))+1
from ins_premium_det i),'28125','28125','02', '11000003','00','Request by Mr. Saqib Saleem 28-Mar-2025');</v>
      </c>
      <c r="H219" s="17" t="str">
        <f t="shared" si="15"/>
        <v>insert into ins_premium_det (premium_rcv_code,assorted_code, rec_amount,premium_rcv_detail_code,remaining_amt, payrec, mode_code,coinsurance_code,class_cd,it_remarks) values('27Mar250028','070000177520','28125',(select max(to_number(i.premium_rcv_detail_code))+1
from ins_premium_det i),'28125','28125','02', '11000003','00','Request by Mr. Saqib Saleem 28-Mar-2025');</v>
      </c>
    </row>
    <row r="220" spans="1:8" ht="105" x14ac:dyDescent="0.25">
      <c r="A220" s="2" t="s">
        <v>5252</v>
      </c>
      <c r="B220" s="13" t="str">
        <f>VLOOKUP(A220,policy!B:C,2,0)</f>
        <v>070000177521</v>
      </c>
      <c r="C220" s="3">
        <v>30032</v>
      </c>
      <c r="D220" s="14">
        <f t="shared" si="13"/>
        <v>30032</v>
      </c>
      <c r="E220" s="19" t="s">
        <v>6323</v>
      </c>
      <c r="F220" s="15" t="str">
        <f t="shared" si="12"/>
        <v>insert into ins_premium_det (premium_rcv_code,assorted_code, rec_amount,premium_rcv_detail_code,remaining_amt, payrec, mode_code,coinsurance_code,class_cd,it_remarks) values</v>
      </c>
      <c r="G220" s="16" t="str">
        <f t="shared" si="14"/>
        <v>('27Mar250028','070000177521','30032',(select max(to_number(i.premium_rcv_detail_code))+1
from ins_premium_det i),'30032','30032','02', '11000003','00','Request by Mr. Saqib Saleem 28-Mar-2025');</v>
      </c>
      <c r="H220" s="17" t="str">
        <f t="shared" si="15"/>
        <v>insert into ins_premium_det (premium_rcv_code,assorted_code, rec_amount,premium_rcv_detail_code,remaining_amt, payrec, mode_code,coinsurance_code,class_cd,it_remarks) values('27Mar250028','070000177521','30032',(select max(to_number(i.premium_rcv_detail_code))+1
from ins_premium_det i),'30032','30032','02', '11000003','00','Request by Mr. Saqib Saleem 28-Mar-2025');</v>
      </c>
    </row>
    <row r="221" spans="1:8" ht="105" x14ac:dyDescent="0.25">
      <c r="A221" s="2" t="s">
        <v>5253</v>
      </c>
      <c r="B221" s="13" t="str">
        <f>VLOOKUP(A221,policy!B:C,2,0)</f>
        <v>070000177522</v>
      </c>
      <c r="C221" s="3">
        <v>22815</v>
      </c>
      <c r="D221" s="14">
        <f t="shared" si="13"/>
        <v>22815</v>
      </c>
      <c r="E221" s="19" t="s">
        <v>6323</v>
      </c>
      <c r="F221" s="15" t="str">
        <f t="shared" si="12"/>
        <v>insert into ins_premium_det (premium_rcv_code,assorted_code, rec_amount,premium_rcv_detail_code,remaining_amt, payrec, mode_code,coinsurance_code,class_cd,it_remarks) values</v>
      </c>
      <c r="G221" s="16" t="str">
        <f t="shared" si="14"/>
        <v>('27Mar250028','070000177522','22815',(select max(to_number(i.premium_rcv_detail_code))+1
from ins_premium_det i),'22815','22815','02', '11000003','00','Request by Mr. Saqib Saleem 28-Mar-2025');</v>
      </c>
      <c r="H221" s="17" t="str">
        <f t="shared" si="15"/>
        <v>insert into ins_premium_det (premium_rcv_code,assorted_code, rec_amount,premium_rcv_detail_code,remaining_amt, payrec, mode_code,coinsurance_code,class_cd,it_remarks) values('27Mar250028','070000177522','22815',(select max(to_number(i.premium_rcv_detail_code))+1
from ins_premium_det i),'22815','22815','02', '11000003','00','Request by Mr. Saqib Saleem 28-Mar-2025');</v>
      </c>
    </row>
    <row r="222" spans="1:8" ht="105" x14ac:dyDescent="0.25">
      <c r="A222" s="2" t="s">
        <v>5254</v>
      </c>
      <c r="B222" s="13" t="str">
        <f>VLOOKUP(A222,policy!B:C,2,0)</f>
        <v>070000177523</v>
      </c>
      <c r="C222" s="3">
        <v>19125</v>
      </c>
      <c r="D222" s="14">
        <f t="shared" si="13"/>
        <v>19125</v>
      </c>
      <c r="E222" s="19" t="s">
        <v>6323</v>
      </c>
      <c r="F222" s="15" t="str">
        <f t="shared" si="12"/>
        <v>insert into ins_premium_det (premium_rcv_code,assorted_code, rec_amount,premium_rcv_detail_code,remaining_amt, payrec, mode_code,coinsurance_code,class_cd,it_remarks) values</v>
      </c>
      <c r="G222" s="16" t="str">
        <f t="shared" si="14"/>
        <v>('27Mar250028','070000177523','19125',(select max(to_number(i.premium_rcv_detail_code))+1
from ins_premium_det i),'19125','19125','02', '11000003','00','Request by Mr. Saqib Saleem 28-Mar-2025');</v>
      </c>
      <c r="H222" s="17" t="str">
        <f t="shared" si="15"/>
        <v>insert into ins_premium_det (premium_rcv_code,assorted_code, rec_amount,premium_rcv_detail_code,remaining_amt, payrec, mode_code,coinsurance_code,class_cd,it_remarks) values('27Mar250028','070000177523','19125',(select max(to_number(i.premium_rcv_detail_code))+1
from ins_premium_det i),'19125','19125','02', '11000003','00','Request by Mr. Saqib Saleem 28-Mar-2025');</v>
      </c>
    </row>
    <row r="223" spans="1:8" ht="105" x14ac:dyDescent="0.25">
      <c r="A223" s="2" t="s">
        <v>5255</v>
      </c>
      <c r="B223" s="13" t="str">
        <f>VLOOKUP(A223,policy!B:C,2,0)</f>
        <v>070000177525</v>
      </c>
      <c r="C223" s="3">
        <v>30032</v>
      </c>
      <c r="D223" s="14">
        <f t="shared" si="13"/>
        <v>30032</v>
      </c>
      <c r="E223" s="19" t="s">
        <v>6323</v>
      </c>
      <c r="F223" s="15" t="str">
        <f t="shared" si="12"/>
        <v>insert into ins_premium_det (premium_rcv_code,assorted_code, rec_amount,premium_rcv_detail_code,remaining_amt, payrec, mode_code,coinsurance_code,class_cd,it_remarks) values</v>
      </c>
      <c r="G223" s="16" t="str">
        <f t="shared" si="14"/>
        <v>('27Mar250028','070000177525','30032',(select max(to_number(i.premium_rcv_detail_code))+1
from ins_premium_det i),'30032','30032','02', '11000003','00','Request by Mr. Saqib Saleem 28-Mar-2025');</v>
      </c>
      <c r="H223" s="17" t="str">
        <f t="shared" si="15"/>
        <v>insert into ins_premium_det (premium_rcv_code,assorted_code, rec_amount,premium_rcv_detail_code,remaining_amt, payrec, mode_code,coinsurance_code,class_cd,it_remarks) values('27Mar250028','070000177525','30032',(select max(to_number(i.premium_rcv_detail_code))+1
from ins_premium_det i),'30032','30032','02', '11000003','00','Request by Mr. Saqib Saleem 28-Mar-2025');</v>
      </c>
    </row>
    <row r="224" spans="1:8" ht="105" x14ac:dyDescent="0.25">
      <c r="A224" s="2" t="s">
        <v>5256</v>
      </c>
      <c r="B224" s="13" t="str">
        <f>VLOOKUP(A224,policy!B:C,2,0)</f>
        <v>070000177527</v>
      </c>
      <c r="C224" s="3">
        <v>24495</v>
      </c>
      <c r="D224" s="14">
        <f t="shared" si="13"/>
        <v>24495</v>
      </c>
      <c r="E224" s="19" t="s">
        <v>6323</v>
      </c>
      <c r="F224" s="15" t="str">
        <f t="shared" si="12"/>
        <v>insert into ins_premium_det (premium_rcv_code,assorted_code, rec_amount,premium_rcv_detail_code,remaining_amt, payrec, mode_code,coinsurance_code,class_cd,it_remarks) values</v>
      </c>
      <c r="G224" s="16" t="str">
        <f t="shared" si="14"/>
        <v>('27Mar250028','070000177527','24495',(select max(to_number(i.premium_rcv_detail_code))+1
from ins_premium_det i),'24495','24495','02', '11000003','00','Request by Mr. Saqib Saleem 28-Mar-2025');</v>
      </c>
      <c r="H224" s="17" t="str">
        <f t="shared" si="15"/>
        <v>insert into ins_premium_det (premium_rcv_code,assorted_code, rec_amount,premium_rcv_detail_code,remaining_amt, payrec, mode_code,coinsurance_code,class_cd,it_remarks) values('27Mar250028','070000177527','24495',(select max(to_number(i.premium_rcv_detail_code))+1
from ins_premium_det i),'24495','24495','02', '11000003','00','Request by Mr. Saqib Saleem 28-Mar-2025');</v>
      </c>
    </row>
    <row r="225" spans="1:8" ht="105" x14ac:dyDescent="0.25">
      <c r="A225" s="2" t="s">
        <v>5257</v>
      </c>
      <c r="B225" s="13" t="str">
        <f>VLOOKUP(A225,policy!B:C,2,0)</f>
        <v>070000177529</v>
      </c>
      <c r="C225" s="3">
        <v>17808</v>
      </c>
      <c r="D225" s="14">
        <f t="shared" si="13"/>
        <v>17808</v>
      </c>
      <c r="E225" s="19" t="s">
        <v>6323</v>
      </c>
      <c r="F225" s="15" t="str">
        <f t="shared" si="12"/>
        <v>insert into ins_premium_det (premium_rcv_code,assorted_code, rec_amount,premium_rcv_detail_code,remaining_amt, payrec, mode_code,coinsurance_code,class_cd,it_remarks) values</v>
      </c>
      <c r="G225" s="16" t="str">
        <f t="shared" si="14"/>
        <v>('27Mar250028','070000177529','17808',(select max(to_number(i.premium_rcv_detail_code))+1
from ins_premium_det i),'17808','17808','02', '11000003','00','Request by Mr. Saqib Saleem 28-Mar-2025');</v>
      </c>
      <c r="H225" s="17" t="str">
        <f t="shared" si="15"/>
        <v>insert into ins_premium_det (premium_rcv_code,assorted_code, rec_amount,premium_rcv_detail_code,remaining_amt, payrec, mode_code,coinsurance_code,class_cd,it_remarks) values('27Mar250028','070000177529','17808',(select max(to_number(i.premium_rcv_detail_code))+1
from ins_premium_det i),'17808','17808','02', '11000003','00','Request by Mr. Saqib Saleem 28-Mar-2025');</v>
      </c>
    </row>
    <row r="226" spans="1:8" ht="105" x14ac:dyDescent="0.25">
      <c r="A226" s="2" t="s">
        <v>5258</v>
      </c>
      <c r="B226" s="13" t="str">
        <f>VLOOKUP(A226,policy!B:C,2,0)</f>
        <v>070000177533</v>
      </c>
      <c r="C226" s="3">
        <v>12000</v>
      </c>
      <c r="D226" s="14">
        <f t="shared" si="13"/>
        <v>12000</v>
      </c>
      <c r="E226" s="19" t="s">
        <v>6323</v>
      </c>
      <c r="F226" s="15" t="str">
        <f t="shared" si="12"/>
        <v>insert into ins_premium_det (premium_rcv_code,assorted_code, rec_amount,premium_rcv_detail_code,remaining_amt, payrec, mode_code,coinsurance_code,class_cd,it_remarks) values</v>
      </c>
      <c r="G226" s="16" t="str">
        <f t="shared" si="14"/>
        <v>('27Mar250028','070000177533','12000',(select max(to_number(i.premium_rcv_detail_code))+1
from ins_premium_det i),'12000','12000','02', '11000003','00','Request by Mr. Saqib Saleem 28-Mar-2025');</v>
      </c>
      <c r="H226" s="17" t="str">
        <f t="shared" si="15"/>
        <v>insert into ins_premium_det (premium_rcv_code,assorted_code, rec_amount,premium_rcv_detail_code,remaining_amt, payrec, mode_code,coinsurance_code,class_cd,it_remarks) values('27Mar250028','070000177533','12000',(select max(to_number(i.premium_rcv_detail_code))+1
from ins_premium_det i),'12000','12000','02', '11000003','00','Request by Mr. Saqib Saleem 28-Mar-2025');</v>
      </c>
    </row>
    <row r="227" spans="1:8" ht="105" x14ac:dyDescent="0.25">
      <c r="A227" s="2" t="s">
        <v>5259</v>
      </c>
      <c r="B227" s="13" t="str">
        <f>VLOOKUP(A227,policy!B:C,2,0)</f>
        <v>070000177534</v>
      </c>
      <c r="C227" s="3">
        <v>46226</v>
      </c>
      <c r="D227" s="14">
        <f t="shared" si="13"/>
        <v>46226</v>
      </c>
      <c r="E227" s="19" t="s">
        <v>6323</v>
      </c>
      <c r="F227" s="15" t="str">
        <f t="shared" si="12"/>
        <v>insert into ins_premium_det (premium_rcv_code,assorted_code, rec_amount,premium_rcv_detail_code,remaining_amt, payrec, mode_code,coinsurance_code,class_cd,it_remarks) values</v>
      </c>
      <c r="G227" s="16" t="str">
        <f t="shared" si="14"/>
        <v>('27Mar250028','070000177534','46226',(select max(to_number(i.premium_rcv_detail_code))+1
from ins_premium_det i),'46226','46226','02', '11000003','00','Request by Mr. Saqib Saleem 28-Mar-2025');</v>
      </c>
      <c r="H227" s="17" t="str">
        <f t="shared" si="15"/>
        <v>insert into ins_premium_det (premium_rcv_code,assorted_code, rec_amount,premium_rcv_detail_code,remaining_amt, payrec, mode_code,coinsurance_code,class_cd,it_remarks) values('27Mar250028','070000177534','46226',(select max(to_number(i.premium_rcv_detail_code))+1
from ins_premium_det i),'46226','46226','02', '11000003','00','Request by Mr. Saqib Saleem 28-Mar-2025');</v>
      </c>
    </row>
    <row r="228" spans="1:8" ht="105" x14ac:dyDescent="0.25">
      <c r="A228" s="2" t="s">
        <v>5260</v>
      </c>
      <c r="B228" s="13" t="str">
        <f>VLOOKUP(A228,policy!B:C,2,0)</f>
        <v>070000177535</v>
      </c>
      <c r="C228" s="3">
        <v>19406</v>
      </c>
      <c r="D228" s="14">
        <f t="shared" si="13"/>
        <v>19406</v>
      </c>
      <c r="E228" s="19" t="s">
        <v>6323</v>
      </c>
      <c r="F228" s="15" t="str">
        <f t="shared" si="12"/>
        <v>insert into ins_premium_det (premium_rcv_code,assorted_code, rec_amount,premium_rcv_detail_code,remaining_amt, payrec, mode_code,coinsurance_code,class_cd,it_remarks) values</v>
      </c>
      <c r="G228" s="16" t="str">
        <f t="shared" si="14"/>
        <v>('27Mar250028','070000177535','19406',(select max(to_number(i.premium_rcv_detail_code))+1
from ins_premium_det i),'19406','19406','02', '11000003','00','Request by Mr. Saqib Saleem 28-Mar-2025');</v>
      </c>
      <c r="H228" s="17" t="str">
        <f t="shared" si="15"/>
        <v>insert into ins_premium_det (premium_rcv_code,assorted_code, rec_amount,premium_rcv_detail_code,remaining_amt, payrec, mode_code,coinsurance_code,class_cd,it_remarks) values('27Mar250028','070000177535','19406',(select max(to_number(i.premium_rcv_detail_code))+1
from ins_premium_det i),'19406','19406','02', '11000003','00','Request by Mr. Saqib Saleem 28-Mar-2025');</v>
      </c>
    </row>
    <row r="229" spans="1:8" ht="105" x14ac:dyDescent="0.25">
      <c r="A229" s="2" t="s">
        <v>5261</v>
      </c>
      <c r="B229" s="13" t="str">
        <f>VLOOKUP(A229,policy!B:C,2,0)</f>
        <v>070000177536</v>
      </c>
      <c r="C229" s="3">
        <v>47250</v>
      </c>
      <c r="D229" s="14">
        <f t="shared" si="13"/>
        <v>47250</v>
      </c>
      <c r="E229" s="19" t="s">
        <v>6323</v>
      </c>
      <c r="F229" s="15" t="str">
        <f t="shared" si="12"/>
        <v>insert into ins_premium_det (premium_rcv_code,assorted_code, rec_amount,premium_rcv_detail_code,remaining_amt, payrec, mode_code,coinsurance_code,class_cd,it_remarks) values</v>
      </c>
      <c r="G229" s="16" t="str">
        <f t="shared" si="14"/>
        <v>('27Mar250028','070000177536','47250',(select max(to_number(i.premium_rcv_detail_code))+1
from ins_premium_det i),'47250','47250','02', '11000003','00','Request by Mr. Saqib Saleem 28-Mar-2025');</v>
      </c>
      <c r="H229" s="17" t="str">
        <f t="shared" si="15"/>
        <v>insert into ins_premium_det (premium_rcv_code,assorted_code, rec_amount,premium_rcv_detail_code,remaining_amt, payrec, mode_code,coinsurance_code,class_cd,it_remarks) values('27Mar250028','070000177536','47250',(select max(to_number(i.premium_rcv_detail_code))+1
from ins_premium_det i),'47250','47250','02', '11000003','00','Request by Mr. Saqib Saleem 28-Mar-2025');</v>
      </c>
    </row>
    <row r="230" spans="1:8" ht="45" hidden="1" x14ac:dyDescent="0.25">
      <c r="A230" s="9" t="s">
        <v>5620</v>
      </c>
      <c r="B230" s="13" t="e">
        <f>VLOOKUP(A230,policy!B:C,2,0)</f>
        <v>#N/A</v>
      </c>
      <c r="C230" s="3"/>
      <c r="D230" s="14"/>
      <c r="E230" s="19" t="s">
        <v>6323</v>
      </c>
      <c r="F230" s="15" t="str">
        <f t="shared" si="12"/>
        <v>insert into ins_premium_det (premium_rcv_code,assorted_code, rec_amount,premium_rcv_detail_code,remaining_amt, payrec, mode_code,coinsurance_code,class_cd,it_remarks) values</v>
      </c>
      <c r="G230" s="16" t="e">
        <f t="shared" si="14"/>
        <v>#N/A</v>
      </c>
      <c r="H230" s="17" t="e">
        <f t="shared" si="15"/>
        <v>#N/A</v>
      </c>
    </row>
    <row r="231" spans="1:8" ht="105" x14ac:dyDescent="0.25">
      <c r="A231" s="2" t="s">
        <v>5262</v>
      </c>
      <c r="B231" s="13" t="str">
        <f>VLOOKUP(A231,policy!B:C,2,0)</f>
        <v>070000177543</v>
      </c>
      <c r="C231" s="3">
        <v>64155</v>
      </c>
      <c r="D231" s="14">
        <f t="shared" si="13"/>
        <v>64155</v>
      </c>
      <c r="E231" s="19" t="s">
        <v>6323</v>
      </c>
      <c r="F231" s="15" t="str">
        <f t="shared" si="12"/>
        <v>insert into ins_premium_det (premium_rcv_code,assorted_code, rec_amount,premium_rcv_detail_code,remaining_amt, payrec, mode_code,coinsurance_code,class_cd,it_remarks) values</v>
      </c>
      <c r="G231" s="16" t="str">
        <f t="shared" si="14"/>
        <v>('27Mar250028','070000177543','64155',(select max(to_number(i.premium_rcv_detail_code))+1
from ins_premium_det i),'64155','64155','02', '11000003','00','Request by Mr. Saqib Saleem 28-Mar-2025');</v>
      </c>
      <c r="H231" s="17" t="str">
        <f t="shared" si="15"/>
        <v>insert into ins_premium_det (premium_rcv_code,assorted_code, rec_amount,premium_rcv_detail_code,remaining_amt, payrec, mode_code,coinsurance_code,class_cd,it_remarks) values('27Mar250028','070000177543','64155',(select max(to_number(i.premium_rcv_detail_code))+1
from ins_premium_det i),'64155','64155','02', '11000003','00','Request by Mr. Saqib Saleem 28-Mar-2025');</v>
      </c>
    </row>
    <row r="232" spans="1:8" ht="105" x14ac:dyDescent="0.25">
      <c r="A232" s="2" t="s">
        <v>5263</v>
      </c>
      <c r="B232" s="13" t="str">
        <f>VLOOKUP(A232,policy!B:C,2,0)</f>
        <v>070000178951</v>
      </c>
      <c r="C232" s="3">
        <v>33000</v>
      </c>
      <c r="D232" s="14">
        <f t="shared" si="13"/>
        <v>33000</v>
      </c>
      <c r="E232" s="19" t="s">
        <v>6323</v>
      </c>
      <c r="F232" s="15" t="str">
        <f t="shared" si="12"/>
        <v>insert into ins_premium_det (premium_rcv_code,assorted_code, rec_amount,premium_rcv_detail_code,remaining_amt, payrec, mode_code,coinsurance_code,class_cd,it_remarks) values</v>
      </c>
      <c r="G232" s="16" t="str">
        <f t="shared" si="14"/>
        <v>('27Mar250028','070000178951','33000',(select max(to_number(i.premium_rcv_detail_code))+1
from ins_premium_det i),'33000','33000','02', '11000003','00','Request by Mr. Saqib Saleem 28-Mar-2025');</v>
      </c>
      <c r="H232" s="17" t="str">
        <f t="shared" si="15"/>
        <v>insert into ins_premium_det (premium_rcv_code,assorted_code, rec_amount,premium_rcv_detail_code,remaining_amt, payrec, mode_code,coinsurance_code,class_cd,it_remarks) values('27Mar250028','070000178951','33000',(select max(to_number(i.premium_rcv_detail_code))+1
from ins_premium_det i),'33000','33000','02', '11000003','00','Request by Mr. Saqib Saleem 28-Mar-2025');</v>
      </c>
    </row>
    <row r="233" spans="1:8" ht="105" x14ac:dyDescent="0.25">
      <c r="A233" s="2" t="s">
        <v>5264</v>
      </c>
      <c r="B233" s="13" t="str">
        <f>VLOOKUP(A233,policy!B:C,2,0)</f>
        <v>070000177544</v>
      </c>
      <c r="C233" s="3">
        <v>49725</v>
      </c>
      <c r="D233" s="14">
        <f t="shared" si="13"/>
        <v>49725</v>
      </c>
      <c r="E233" s="19" t="s">
        <v>6323</v>
      </c>
      <c r="F233" s="15" t="str">
        <f t="shared" si="12"/>
        <v>insert into ins_premium_det (premium_rcv_code,assorted_code, rec_amount,premium_rcv_detail_code,remaining_amt, payrec, mode_code,coinsurance_code,class_cd,it_remarks) values</v>
      </c>
      <c r="G233" s="16" t="str">
        <f t="shared" si="14"/>
        <v>('27Mar250028','070000177544','49725',(select max(to_number(i.premium_rcv_detail_code))+1
from ins_premium_det i),'49725','49725','02', '11000003','00','Request by Mr. Saqib Saleem 28-Mar-2025');</v>
      </c>
      <c r="H233" s="17" t="str">
        <f t="shared" si="15"/>
        <v>insert into ins_premium_det (premium_rcv_code,assorted_code, rec_amount,premium_rcv_detail_code,remaining_amt, payrec, mode_code,coinsurance_code,class_cd,it_remarks) values('27Mar250028','070000177544','49725',(select max(to_number(i.premium_rcv_detail_code))+1
from ins_premium_det i),'49725','49725','02', '11000003','00','Request by Mr. Saqib Saleem 28-Mar-2025');</v>
      </c>
    </row>
    <row r="234" spans="1:8" ht="105" x14ac:dyDescent="0.25">
      <c r="A234" s="2" t="s">
        <v>5265</v>
      </c>
      <c r="B234" s="13" t="str">
        <f>VLOOKUP(A234,policy!B:C,2,0)</f>
        <v>070000177546</v>
      </c>
      <c r="C234" s="3">
        <v>50625</v>
      </c>
      <c r="D234" s="14">
        <f t="shared" si="13"/>
        <v>50625</v>
      </c>
      <c r="E234" s="19" t="s">
        <v>6323</v>
      </c>
      <c r="F234" s="15" t="str">
        <f t="shared" si="12"/>
        <v>insert into ins_premium_det (premium_rcv_code,assorted_code, rec_amount,premium_rcv_detail_code,remaining_amt, payrec, mode_code,coinsurance_code,class_cd,it_remarks) values</v>
      </c>
      <c r="G234" s="16" t="str">
        <f t="shared" si="14"/>
        <v>('27Mar250028','070000177546','50625',(select max(to_number(i.premium_rcv_detail_code))+1
from ins_premium_det i),'50625','50625','02', '11000003','00','Request by Mr. Saqib Saleem 28-Mar-2025');</v>
      </c>
      <c r="H234" s="17" t="str">
        <f t="shared" si="15"/>
        <v>insert into ins_premium_det (premium_rcv_code,assorted_code, rec_amount,premium_rcv_detail_code,remaining_amt, payrec, mode_code,coinsurance_code,class_cd,it_remarks) values('27Mar250028','070000177546','50625',(select max(to_number(i.premium_rcv_detail_code))+1
from ins_premium_det i),'50625','50625','02', '11000003','00','Request by Mr. Saqib Saleem 28-Mar-2025');</v>
      </c>
    </row>
    <row r="235" spans="1:8" ht="105" x14ac:dyDescent="0.25">
      <c r="A235" s="2" t="s">
        <v>5266</v>
      </c>
      <c r="B235" s="13" t="str">
        <f>VLOOKUP(A235,policy!B:C,2,0)</f>
        <v>070000177547</v>
      </c>
      <c r="C235" s="3">
        <v>51900</v>
      </c>
      <c r="D235" s="14">
        <f t="shared" si="13"/>
        <v>51900</v>
      </c>
      <c r="E235" s="19" t="s">
        <v>6323</v>
      </c>
      <c r="F235" s="15" t="str">
        <f t="shared" si="12"/>
        <v>insert into ins_premium_det (premium_rcv_code,assorted_code, rec_amount,premium_rcv_detail_code,remaining_amt, payrec, mode_code,coinsurance_code,class_cd,it_remarks) values</v>
      </c>
      <c r="G235" s="16" t="str">
        <f t="shared" si="14"/>
        <v>('27Mar250028','070000177547','51900',(select max(to_number(i.premium_rcv_detail_code))+1
from ins_premium_det i),'51900','51900','02', '11000003','00','Request by Mr. Saqib Saleem 28-Mar-2025');</v>
      </c>
      <c r="H235" s="17" t="str">
        <f t="shared" si="15"/>
        <v>insert into ins_premium_det (premium_rcv_code,assorted_code, rec_amount,premium_rcv_detail_code,remaining_amt, payrec, mode_code,coinsurance_code,class_cd,it_remarks) values('27Mar250028','070000177547','51900',(select max(to_number(i.premium_rcv_detail_code))+1
from ins_premium_det i),'51900','51900','02', '11000003','00','Request by Mr. Saqib Saleem 28-Mar-2025');</v>
      </c>
    </row>
    <row r="236" spans="1:8" ht="105" x14ac:dyDescent="0.25">
      <c r="A236" s="2" t="s">
        <v>5267</v>
      </c>
      <c r="B236" s="13" t="str">
        <f>VLOOKUP(A236,policy!B:C,2,0)</f>
        <v>070000178950</v>
      </c>
      <c r="C236" s="3">
        <v>27489</v>
      </c>
      <c r="D236" s="14">
        <f t="shared" si="13"/>
        <v>27489</v>
      </c>
      <c r="E236" s="19" t="s">
        <v>6323</v>
      </c>
      <c r="F236" s="15" t="str">
        <f t="shared" si="12"/>
        <v>insert into ins_premium_det (premium_rcv_code,assorted_code, rec_amount,premium_rcv_detail_code,remaining_amt, payrec, mode_code,coinsurance_code,class_cd,it_remarks) values</v>
      </c>
      <c r="G236" s="16" t="str">
        <f t="shared" si="14"/>
        <v>('27Mar250028','070000178950','27489',(select max(to_number(i.premium_rcv_detail_code))+1
from ins_premium_det i),'27489','27489','02', '11000003','00','Request by Mr. Saqib Saleem 28-Mar-2025');</v>
      </c>
      <c r="H236" s="17" t="str">
        <f t="shared" si="15"/>
        <v>insert into ins_premium_det (premium_rcv_code,assorted_code, rec_amount,premium_rcv_detail_code,remaining_amt, payrec, mode_code,coinsurance_code,class_cd,it_remarks) values('27Mar250028','070000178950','27489',(select max(to_number(i.premium_rcv_detail_code))+1
from ins_premium_det i),'27489','27489','02', '11000003','00','Request by Mr. Saqib Saleem 28-Mar-2025');</v>
      </c>
    </row>
    <row r="237" spans="1:8" ht="105" x14ac:dyDescent="0.25">
      <c r="A237" s="2" t="s">
        <v>5268</v>
      </c>
      <c r="B237" s="13" t="str">
        <f>VLOOKUP(A237,policy!B:C,2,0)</f>
        <v>070000177548</v>
      </c>
      <c r="C237" s="3">
        <v>29640</v>
      </c>
      <c r="D237" s="14">
        <f t="shared" si="13"/>
        <v>29640</v>
      </c>
      <c r="E237" s="19" t="s">
        <v>6323</v>
      </c>
      <c r="F237" s="15" t="str">
        <f t="shared" si="12"/>
        <v>insert into ins_premium_det (premium_rcv_code,assorted_code, rec_amount,premium_rcv_detail_code,remaining_amt, payrec, mode_code,coinsurance_code,class_cd,it_remarks) values</v>
      </c>
      <c r="G237" s="16" t="str">
        <f t="shared" si="14"/>
        <v>('27Mar250028','070000177548','29640',(select max(to_number(i.premium_rcv_detail_code))+1
from ins_premium_det i),'29640','29640','02', '11000003','00','Request by Mr. Saqib Saleem 28-Mar-2025');</v>
      </c>
      <c r="H237" s="17" t="str">
        <f t="shared" si="15"/>
        <v>insert into ins_premium_det (premium_rcv_code,assorted_code, rec_amount,premium_rcv_detail_code,remaining_amt, payrec, mode_code,coinsurance_code,class_cd,it_remarks) values('27Mar250028','070000177548','29640',(select max(to_number(i.premium_rcv_detail_code))+1
from ins_premium_det i),'29640','29640','02', '11000003','00','Request by Mr. Saqib Saleem 28-Mar-2025');</v>
      </c>
    </row>
    <row r="238" spans="1:8" ht="105" x14ac:dyDescent="0.25">
      <c r="A238" s="2" t="s">
        <v>5269</v>
      </c>
      <c r="B238" s="13" t="str">
        <f>VLOOKUP(A238,policy!B:C,2,0)</f>
        <v>070000177549</v>
      </c>
      <c r="C238" s="3">
        <v>49725</v>
      </c>
      <c r="D238" s="14">
        <f t="shared" si="13"/>
        <v>49725</v>
      </c>
      <c r="E238" s="19" t="s">
        <v>6323</v>
      </c>
      <c r="F238" s="15" t="str">
        <f t="shared" si="12"/>
        <v>insert into ins_premium_det (premium_rcv_code,assorted_code, rec_amount,premium_rcv_detail_code,remaining_amt, payrec, mode_code,coinsurance_code,class_cd,it_remarks) values</v>
      </c>
      <c r="G238" s="16" t="str">
        <f t="shared" si="14"/>
        <v>('27Mar250028','070000177549','49725',(select max(to_number(i.premium_rcv_detail_code))+1
from ins_premium_det i),'49725','49725','02', '11000003','00','Request by Mr. Saqib Saleem 28-Mar-2025');</v>
      </c>
      <c r="H238" s="17" t="str">
        <f t="shared" si="15"/>
        <v>insert into ins_premium_det (premium_rcv_code,assorted_code, rec_amount,premium_rcv_detail_code,remaining_amt, payrec, mode_code,coinsurance_code,class_cd,it_remarks) values('27Mar250028','070000177549','49725',(select max(to_number(i.premium_rcv_detail_code))+1
from ins_premium_det i),'49725','49725','02', '11000003','00','Request by Mr. Saqib Saleem 28-Mar-2025');</v>
      </c>
    </row>
    <row r="239" spans="1:8" ht="105" x14ac:dyDescent="0.25">
      <c r="A239" s="2" t="s">
        <v>5270</v>
      </c>
      <c r="B239" s="13" t="str">
        <f>VLOOKUP(A239,policy!B:C,2,0)</f>
        <v>070000177552</v>
      </c>
      <c r="C239" s="3">
        <v>43200</v>
      </c>
      <c r="D239" s="14">
        <f t="shared" si="13"/>
        <v>43200</v>
      </c>
      <c r="E239" s="19" t="s">
        <v>6323</v>
      </c>
      <c r="F239" s="15" t="str">
        <f t="shared" si="12"/>
        <v>insert into ins_premium_det (premium_rcv_code,assorted_code, rec_amount,premium_rcv_detail_code,remaining_amt, payrec, mode_code,coinsurance_code,class_cd,it_remarks) values</v>
      </c>
      <c r="G239" s="16" t="str">
        <f t="shared" si="14"/>
        <v>('27Mar250028','070000177552','43200',(select max(to_number(i.premium_rcv_detail_code))+1
from ins_premium_det i),'43200','43200','02', '11000003','00','Request by Mr. Saqib Saleem 28-Mar-2025');</v>
      </c>
      <c r="H239" s="17" t="str">
        <f t="shared" si="15"/>
        <v>insert into ins_premium_det (premium_rcv_code,assorted_code, rec_amount,premium_rcv_detail_code,remaining_amt, payrec, mode_code,coinsurance_code,class_cd,it_remarks) values('27Mar250028','070000177552','43200',(select max(to_number(i.premium_rcv_detail_code))+1
from ins_premium_det i),'43200','43200','02', '11000003','00','Request by Mr. Saqib Saleem 28-Mar-2025');</v>
      </c>
    </row>
    <row r="240" spans="1:8" ht="105" x14ac:dyDescent="0.25">
      <c r="A240" s="2" t="s">
        <v>5271</v>
      </c>
      <c r="B240" s="13" t="str">
        <f>VLOOKUP(A240,policy!B:C,2,0)</f>
        <v>070000177553</v>
      </c>
      <c r="C240" s="3">
        <v>28125</v>
      </c>
      <c r="D240" s="14">
        <f t="shared" si="13"/>
        <v>28125</v>
      </c>
      <c r="E240" s="19" t="s">
        <v>6323</v>
      </c>
      <c r="F240" s="15" t="str">
        <f t="shared" si="12"/>
        <v>insert into ins_premium_det (premium_rcv_code,assorted_code, rec_amount,premium_rcv_detail_code,remaining_amt, payrec, mode_code,coinsurance_code,class_cd,it_remarks) values</v>
      </c>
      <c r="G240" s="16" t="str">
        <f t="shared" si="14"/>
        <v>('27Mar250028','070000177553','28125',(select max(to_number(i.premium_rcv_detail_code))+1
from ins_premium_det i),'28125','28125','02', '11000003','00','Request by Mr. Saqib Saleem 28-Mar-2025');</v>
      </c>
      <c r="H240" s="17" t="str">
        <f t="shared" si="15"/>
        <v>insert into ins_premium_det (premium_rcv_code,assorted_code, rec_amount,premium_rcv_detail_code,remaining_amt, payrec, mode_code,coinsurance_code,class_cd,it_remarks) values('27Mar250028','070000177553','28125',(select max(to_number(i.premium_rcv_detail_code))+1
from ins_premium_det i),'28125','28125','02', '11000003','00','Request by Mr. Saqib Saleem 28-Mar-2025');</v>
      </c>
    </row>
    <row r="241" spans="1:8" ht="105" x14ac:dyDescent="0.25">
      <c r="A241" s="2" t="s">
        <v>5272</v>
      </c>
      <c r="B241" s="13" t="str">
        <f>VLOOKUP(A241,policy!B:C,2,0)</f>
        <v>070000177554</v>
      </c>
      <c r="C241" s="3">
        <v>26480</v>
      </c>
      <c r="D241" s="14">
        <f t="shared" si="13"/>
        <v>26480</v>
      </c>
      <c r="E241" s="19" t="s">
        <v>6323</v>
      </c>
      <c r="F241" s="15" t="str">
        <f t="shared" si="12"/>
        <v>insert into ins_premium_det (premium_rcv_code,assorted_code, rec_amount,premium_rcv_detail_code,remaining_amt, payrec, mode_code,coinsurance_code,class_cd,it_remarks) values</v>
      </c>
      <c r="G241" s="16" t="str">
        <f t="shared" si="14"/>
        <v>('27Mar250028','070000177554','26480',(select max(to_number(i.premium_rcv_detail_code))+1
from ins_premium_det i),'26480','26480','02', '11000003','00','Request by Mr. Saqib Saleem 28-Mar-2025');</v>
      </c>
      <c r="H241" s="17" t="str">
        <f t="shared" si="15"/>
        <v>insert into ins_premium_det (premium_rcv_code,assorted_code, rec_amount,premium_rcv_detail_code,remaining_amt, payrec, mode_code,coinsurance_code,class_cd,it_remarks) values('27Mar250028','070000177554','26480',(select max(to_number(i.premium_rcv_detail_code))+1
from ins_premium_det i),'26480','26480','02', '11000003','00','Request by Mr. Saqib Saleem 28-Mar-2025');</v>
      </c>
    </row>
    <row r="242" spans="1:8" ht="105" x14ac:dyDescent="0.25">
      <c r="A242" s="2" t="s">
        <v>5273</v>
      </c>
      <c r="B242" s="13" t="str">
        <f>VLOOKUP(A242,policy!B:C,2,0)</f>
        <v>070000177555</v>
      </c>
      <c r="C242" s="3">
        <v>32625</v>
      </c>
      <c r="D242" s="14">
        <f t="shared" si="13"/>
        <v>32625</v>
      </c>
      <c r="E242" s="19" t="s">
        <v>6323</v>
      </c>
      <c r="F242" s="15" t="str">
        <f t="shared" si="12"/>
        <v>insert into ins_premium_det (premium_rcv_code,assorted_code, rec_amount,premium_rcv_detail_code,remaining_amt, payrec, mode_code,coinsurance_code,class_cd,it_remarks) values</v>
      </c>
      <c r="G242" s="16" t="str">
        <f t="shared" si="14"/>
        <v>('27Mar250028','070000177555','32625',(select max(to_number(i.premium_rcv_detail_code))+1
from ins_premium_det i),'32625','32625','02', '11000003','00','Request by Mr. Saqib Saleem 28-Mar-2025');</v>
      </c>
      <c r="H242" s="17" t="str">
        <f t="shared" si="15"/>
        <v>insert into ins_premium_det (premium_rcv_code,assorted_code, rec_amount,premium_rcv_detail_code,remaining_amt, payrec, mode_code,coinsurance_code,class_cd,it_remarks) values('27Mar250028','070000177555','32625',(select max(to_number(i.premium_rcv_detail_code))+1
from ins_premium_det i),'32625','32625','02', '11000003','00','Request by Mr. Saqib Saleem 28-Mar-2025');</v>
      </c>
    </row>
    <row r="243" spans="1:8" ht="105" x14ac:dyDescent="0.25">
      <c r="A243" s="2" t="s">
        <v>5274</v>
      </c>
      <c r="B243" s="13" t="str">
        <f>VLOOKUP(A243,policy!B:C,2,0)</f>
        <v>070000177556</v>
      </c>
      <c r="C243" s="3">
        <v>27210</v>
      </c>
      <c r="D243" s="14">
        <f t="shared" si="13"/>
        <v>27210</v>
      </c>
      <c r="E243" s="19" t="s">
        <v>6323</v>
      </c>
      <c r="F243" s="15" t="str">
        <f t="shared" si="12"/>
        <v>insert into ins_premium_det (premium_rcv_code,assorted_code, rec_amount,premium_rcv_detail_code,remaining_amt, payrec, mode_code,coinsurance_code,class_cd,it_remarks) values</v>
      </c>
      <c r="G243" s="16" t="str">
        <f t="shared" si="14"/>
        <v>('27Mar250028','070000177556','27210',(select max(to_number(i.premium_rcv_detail_code))+1
from ins_premium_det i),'27210','27210','02', '11000003','00','Request by Mr. Saqib Saleem 28-Mar-2025');</v>
      </c>
      <c r="H243" s="17" t="str">
        <f t="shared" si="15"/>
        <v>insert into ins_premium_det (premium_rcv_code,assorted_code, rec_amount,premium_rcv_detail_code,remaining_amt, payrec, mode_code,coinsurance_code,class_cd,it_remarks) values('27Mar250028','070000177556','27210',(select max(to_number(i.premium_rcv_detail_code))+1
from ins_premium_det i),'27210','27210','02', '11000003','00','Request by Mr. Saqib Saleem 28-Mar-2025');</v>
      </c>
    </row>
    <row r="244" spans="1:8" ht="105" x14ac:dyDescent="0.25">
      <c r="A244" s="2" t="s">
        <v>5275</v>
      </c>
      <c r="B244" s="13" t="str">
        <f>VLOOKUP(A244,policy!B:C,2,0)</f>
        <v>070000177557</v>
      </c>
      <c r="C244" s="3">
        <v>24825</v>
      </c>
      <c r="D244" s="14">
        <f t="shared" si="13"/>
        <v>24825</v>
      </c>
      <c r="E244" s="19" t="s">
        <v>6323</v>
      </c>
      <c r="F244" s="15" t="str">
        <f t="shared" si="12"/>
        <v>insert into ins_premium_det (premium_rcv_code,assorted_code, rec_amount,premium_rcv_detail_code,remaining_amt, payrec, mode_code,coinsurance_code,class_cd,it_remarks) values</v>
      </c>
      <c r="G244" s="16" t="str">
        <f t="shared" si="14"/>
        <v>('27Mar250028','070000177557','24825',(select max(to_number(i.premium_rcv_detail_code))+1
from ins_premium_det i),'24825','24825','02', '11000003','00','Request by Mr. Saqib Saleem 28-Mar-2025');</v>
      </c>
      <c r="H244" s="17" t="str">
        <f t="shared" si="15"/>
        <v>insert into ins_premium_det (premium_rcv_code,assorted_code, rec_amount,premium_rcv_detail_code,remaining_amt, payrec, mode_code,coinsurance_code,class_cd,it_remarks) values('27Mar250028','070000177557','24825',(select max(to_number(i.premium_rcv_detail_code))+1
from ins_premium_det i),'24825','24825','02', '11000003','00','Request by Mr. Saqib Saleem 28-Mar-2025');</v>
      </c>
    </row>
    <row r="245" spans="1:8" ht="105" x14ac:dyDescent="0.25">
      <c r="A245" s="2" t="s">
        <v>5276</v>
      </c>
      <c r="B245" s="13" t="str">
        <f>VLOOKUP(A245,policy!B:C,2,0)</f>
        <v>070000177558</v>
      </c>
      <c r="C245" s="3">
        <v>17775</v>
      </c>
      <c r="D245" s="14">
        <f t="shared" si="13"/>
        <v>17775</v>
      </c>
      <c r="E245" s="19" t="s">
        <v>6323</v>
      </c>
      <c r="F245" s="15" t="str">
        <f t="shared" si="12"/>
        <v>insert into ins_premium_det (premium_rcv_code,assorted_code, rec_amount,premium_rcv_detail_code,remaining_amt, payrec, mode_code,coinsurance_code,class_cd,it_remarks) values</v>
      </c>
      <c r="G245" s="16" t="str">
        <f t="shared" si="14"/>
        <v>('27Mar250028','070000177558','17775',(select max(to_number(i.premium_rcv_detail_code))+1
from ins_premium_det i),'17775','17775','02', '11000003','00','Request by Mr. Saqib Saleem 28-Mar-2025');</v>
      </c>
      <c r="H245" s="17" t="str">
        <f t="shared" si="15"/>
        <v>insert into ins_premium_det (premium_rcv_code,assorted_code, rec_amount,premium_rcv_detail_code,remaining_amt, payrec, mode_code,coinsurance_code,class_cd,it_remarks) values('27Mar250028','070000177558','17775',(select max(to_number(i.premium_rcv_detail_code))+1
from ins_premium_det i),'17775','17775','02', '11000003','00','Request by Mr. Saqib Saleem 28-Mar-2025');</v>
      </c>
    </row>
    <row r="246" spans="1:8" ht="105" x14ac:dyDescent="0.25">
      <c r="A246" s="2" t="s">
        <v>5277</v>
      </c>
      <c r="B246" s="13" t="str">
        <f>VLOOKUP(A246,policy!B:C,2,0)</f>
        <v>070000178949</v>
      </c>
      <c r="C246" s="3">
        <v>24336</v>
      </c>
      <c r="D246" s="14">
        <f t="shared" si="13"/>
        <v>24336</v>
      </c>
      <c r="E246" s="19" t="s">
        <v>6323</v>
      </c>
      <c r="F246" s="15" t="str">
        <f t="shared" si="12"/>
        <v>insert into ins_premium_det (premium_rcv_code,assorted_code, rec_amount,premium_rcv_detail_code,remaining_amt, payrec, mode_code,coinsurance_code,class_cd,it_remarks) values</v>
      </c>
      <c r="G246" s="16" t="str">
        <f t="shared" si="14"/>
        <v>('27Mar250028','070000178949','24336',(select max(to_number(i.premium_rcv_detail_code))+1
from ins_premium_det i),'24336','24336','02', '11000003','00','Request by Mr. Saqib Saleem 28-Mar-2025');</v>
      </c>
      <c r="H246" s="17" t="str">
        <f t="shared" si="15"/>
        <v>insert into ins_premium_det (premium_rcv_code,assorted_code, rec_amount,premium_rcv_detail_code,remaining_amt, payrec, mode_code,coinsurance_code,class_cd,it_remarks) values('27Mar250028','070000178949','24336',(select max(to_number(i.premium_rcv_detail_code))+1
from ins_premium_det i),'24336','24336','02', '11000003','00','Request by Mr. Saqib Saleem 28-Mar-2025');</v>
      </c>
    </row>
    <row r="247" spans="1:8" ht="105" x14ac:dyDescent="0.25">
      <c r="A247" s="2" t="s">
        <v>5278</v>
      </c>
      <c r="B247" s="13" t="str">
        <f>VLOOKUP(A247,policy!B:C,2,0)</f>
        <v>070000177559</v>
      </c>
      <c r="C247" s="3">
        <v>28500</v>
      </c>
      <c r="D247" s="14">
        <f t="shared" si="13"/>
        <v>28500</v>
      </c>
      <c r="E247" s="19" t="s">
        <v>6323</v>
      </c>
      <c r="F247" s="15" t="str">
        <f t="shared" si="12"/>
        <v>insert into ins_premium_det (premium_rcv_code,assorted_code, rec_amount,premium_rcv_detail_code,remaining_amt, payrec, mode_code,coinsurance_code,class_cd,it_remarks) values</v>
      </c>
      <c r="G247" s="16" t="str">
        <f t="shared" si="14"/>
        <v>('27Mar250028','070000177559','28500',(select max(to_number(i.premium_rcv_detail_code))+1
from ins_premium_det i),'28500','28500','02', '11000003','00','Request by Mr. Saqib Saleem 28-Mar-2025');</v>
      </c>
      <c r="H247" s="17" t="str">
        <f t="shared" si="15"/>
        <v>insert into ins_premium_det (premium_rcv_code,assorted_code, rec_amount,premium_rcv_detail_code,remaining_amt, payrec, mode_code,coinsurance_code,class_cd,it_remarks) values('27Mar250028','070000177559','28500',(select max(to_number(i.premium_rcv_detail_code))+1
from ins_premium_det i),'28500','28500','02', '11000003','00','Request by Mr. Saqib Saleem 28-Mar-2025');</v>
      </c>
    </row>
    <row r="248" spans="1:8" ht="105" x14ac:dyDescent="0.25">
      <c r="A248" s="2" t="s">
        <v>5279</v>
      </c>
      <c r="B248" s="13" t="str">
        <f>VLOOKUP(A248,policy!B:C,2,0)</f>
        <v>070000178948</v>
      </c>
      <c r="C248" s="3">
        <v>16800</v>
      </c>
      <c r="D248" s="14">
        <f t="shared" si="13"/>
        <v>16800</v>
      </c>
      <c r="E248" s="19" t="s">
        <v>6323</v>
      </c>
      <c r="F248" s="15" t="str">
        <f t="shared" si="12"/>
        <v>insert into ins_premium_det (premium_rcv_code,assorted_code, rec_amount,premium_rcv_detail_code,remaining_amt, payrec, mode_code,coinsurance_code,class_cd,it_remarks) values</v>
      </c>
      <c r="G248" s="16" t="str">
        <f t="shared" si="14"/>
        <v>('27Mar250028','070000178948','16800',(select max(to_number(i.premium_rcv_detail_code))+1
from ins_premium_det i),'16800','16800','02', '11000003','00','Request by Mr. Saqib Saleem 28-Mar-2025');</v>
      </c>
      <c r="H248" s="17" t="str">
        <f t="shared" si="15"/>
        <v>insert into ins_premium_det (premium_rcv_code,assorted_code, rec_amount,premium_rcv_detail_code,remaining_amt, payrec, mode_code,coinsurance_code,class_cd,it_remarks) values('27Mar250028','070000178948','16800',(select max(to_number(i.premium_rcv_detail_code))+1
from ins_premium_det i),'16800','16800','02', '11000003','00','Request by Mr. Saqib Saleem 28-Mar-2025');</v>
      </c>
    </row>
    <row r="249" spans="1:8" ht="105" x14ac:dyDescent="0.25">
      <c r="A249" s="2" t="s">
        <v>5280</v>
      </c>
      <c r="B249" s="13" t="str">
        <f>VLOOKUP(A249,policy!B:C,2,0)</f>
        <v>070000177560</v>
      </c>
      <c r="C249" s="3">
        <v>33150</v>
      </c>
      <c r="D249" s="14">
        <f t="shared" si="13"/>
        <v>33150</v>
      </c>
      <c r="E249" s="19" t="s">
        <v>6323</v>
      </c>
      <c r="F249" s="15" t="str">
        <f t="shared" si="12"/>
        <v>insert into ins_premium_det (premium_rcv_code,assorted_code, rec_amount,premium_rcv_detail_code,remaining_amt, payrec, mode_code,coinsurance_code,class_cd,it_remarks) values</v>
      </c>
      <c r="G249" s="16" t="str">
        <f t="shared" si="14"/>
        <v>('27Mar250028','070000177560','33150',(select max(to_number(i.premium_rcv_detail_code))+1
from ins_premium_det i),'33150','33150','02', '11000003','00','Request by Mr. Saqib Saleem 28-Mar-2025');</v>
      </c>
      <c r="H249" s="17" t="str">
        <f t="shared" si="15"/>
        <v>insert into ins_premium_det (premium_rcv_code,assorted_code, rec_amount,premium_rcv_detail_code,remaining_amt, payrec, mode_code,coinsurance_code,class_cd,it_remarks) values('27Mar250028','070000177560','33150',(select max(to_number(i.premium_rcv_detail_code))+1
from ins_premium_det i),'33150','33150','02', '11000003','00','Request by Mr. Saqib Saleem 28-Mar-2025');</v>
      </c>
    </row>
    <row r="250" spans="1:8" ht="105" x14ac:dyDescent="0.25">
      <c r="A250" s="2" t="s">
        <v>5281</v>
      </c>
      <c r="B250" s="13" t="str">
        <f>VLOOKUP(A250,policy!B:C,2,0)</f>
        <v>070000178946</v>
      </c>
      <c r="C250" s="3">
        <v>26480</v>
      </c>
      <c r="D250" s="14">
        <f t="shared" si="13"/>
        <v>26480</v>
      </c>
      <c r="E250" s="19" t="s">
        <v>6323</v>
      </c>
      <c r="F250" s="15" t="str">
        <f t="shared" si="12"/>
        <v>insert into ins_premium_det (premium_rcv_code,assorted_code, rec_amount,premium_rcv_detail_code,remaining_amt, payrec, mode_code,coinsurance_code,class_cd,it_remarks) values</v>
      </c>
      <c r="G250" s="16" t="str">
        <f t="shared" si="14"/>
        <v>('27Mar250028','070000178946','26480',(select max(to_number(i.premium_rcv_detail_code))+1
from ins_premium_det i),'26480','26480','02', '11000003','00','Request by Mr. Saqib Saleem 28-Mar-2025');</v>
      </c>
      <c r="H250" s="17" t="str">
        <f t="shared" si="15"/>
        <v>insert into ins_premium_det (premium_rcv_code,assorted_code, rec_amount,premium_rcv_detail_code,remaining_amt, payrec, mode_code,coinsurance_code,class_cd,it_remarks) values('27Mar250028','070000178946','26480',(select max(to_number(i.premium_rcv_detail_code))+1
from ins_premium_det i),'26480','26480','02', '11000003','00','Request by Mr. Saqib Saleem 28-Mar-2025');</v>
      </c>
    </row>
    <row r="251" spans="1:8" ht="105" x14ac:dyDescent="0.25">
      <c r="A251" s="2" t="s">
        <v>5282</v>
      </c>
      <c r="B251" s="13" t="str">
        <f>VLOOKUP(A251,policy!B:C,2,0)</f>
        <v>070000178945</v>
      </c>
      <c r="C251" s="3">
        <v>24000</v>
      </c>
      <c r="D251" s="14">
        <f t="shared" si="13"/>
        <v>24000</v>
      </c>
      <c r="E251" s="19" t="s">
        <v>6323</v>
      </c>
      <c r="F251" s="15" t="str">
        <f t="shared" si="12"/>
        <v>insert into ins_premium_det (premium_rcv_code,assorted_code, rec_amount,premium_rcv_detail_code,remaining_amt, payrec, mode_code,coinsurance_code,class_cd,it_remarks) values</v>
      </c>
      <c r="G251" s="16" t="str">
        <f t="shared" si="14"/>
        <v>('27Mar250028','070000178945','24000',(select max(to_number(i.premium_rcv_detail_code))+1
from ins_premium_det i),'24000','24000','02', '11000003','00','Request by Mr. Saqib Saleem 28-Mar-2025');</v>
      </c>
      <c r="H251" s="17" t="str">
        <f t="shared" si="15"/>
        <v>insert into ins_premium_det (premium_rcv_code,assorted_code, rec_amount,premium_rcv_detail_code,remaining_amt, payrec, mode_code,coinsurance_code,class_cd,it_remarks) values('27Mar250028','070000178945','24000',(select max(to_number(i.premium_rcv_detail_code))+1
from ins_premium_det i),'24000','24000','02', '11000003','00','Request by Mr. Saqib Saleem 28-Mar-2025');</v>
      </c>
    </row>
    <row r="252" spans="1:8" ht="105" x14ac:dyDescent="0.25">
      <c r="A252" s="2" t="s">
        <v>5283</v>
      </c>
      <c r="B252" s="13" t="str">
        <f>VLOOKUP(A252,policy!B:C,2,0)</f>
        <v>070000177561</v>
      </c>
      <c r="C252" s="3">
        <v>24000</v>
      </c>
      <c r="D252" s="14">
        <f t="shared" si="13"/>
        <v>24000</v>
      </c>
      <c r="E252" s="19" t="s">
        <v>6323</v>
      </c>
      <c r="F252" s="15" t="str">
        <f t="shared" si="12"/>
        <v>insert into ins_premium_det (premium_rcv_code,assorted_code, rec_amount,premium_rcv_detail_code,remaining_amt, payrec, mode_code,coinsurance_code,class_cd,it_remarks) values</v>
      </c>
      <c r="G252" s="16" t="str">
        <f t="shared" si="14"/>
        <v>('27Mar250028','070000177561','24000',(select max(to_number(i.premium_rcv_detail_code))+1
from ins_premium_det i),'24000','24000','02', '11000003','00','Request by Mr. Saqib Saleem 28-Mar-2025');</v>
      </c>
      <c r="H252" s="17" t="str">
        <f t="shared" si="15"/>
        <v>insert into ins_premium_det (premium_rcv_code,assorted_code, rec_amount,premium_rcv_detail_code,remaining_amt, payrec, mode_code,coinsurance_code,class_cd,it_remarks) values('27Mar250028','070000177561','24000',(select max(to_number(i.premium_rcv_detail_code))+1
from ins_premium_det i),'24000','24000','02', '11000003','00','Request by Mr. Saqib Saleem 28-Mar-2025');</v>
      </c>
    </row>
    <row r="253" spans="1:8" ht="105" x14ac:dyDescent="0.25">
      <c r="A253" s="2" t="s">
        <v>5284</v>
      </c>
      <c r="B253" s="13" t="str">
        <f>VLOOKUP(A253,policy!B:C,2,0)</f>
        <v>070000177562</v>
      </c>
      <c r="C253" s="3">
        <v>75089</v>
      </c>
      <c r="D253" s="14">
        <f t="shared" si="13"/>
        <v>75089</v>
      </c>
      <c r="E253" s="19" t="s">
        <v>6323</v>
      </c>
      <c r="F253" s="15" t="str">
        <f t="shared" si="12"/>
        <v>insert into ins_premium_det (premium_rcv_code,assorted_code, rec_amount,premium_rcv_detail_code,remaining_amt, payrec, mode_code,coinsurance_code,class_cd,it_remarks) values</v>
      </c>
      <c r="G253" s="16" t="str">
        <f t="shared" si="14"/>
        <v>('27Mar250028','070000177562','75089',(select max(to_number(i.premium_rcv_detail_code))+1
from ins_premium_det i),'75089','75089','02', '11000003','00','Request by Mr. Saqib Saleem 28-Mar-2025');</v>
      </c>
      <c r="H253" s="17" t="str">
        <f t="shared" si="15"/>
        <v>insert into ins_premium_det (premium_rcv_code,assorted_code, rec_amount,premium_rcv_detail_code,remaining_amt, payrec, mode_code,coinsurance_code,class_cd,it_remarks) values('27Mar250028','070000177562','75089',(select max(to_number(i.premium_rcv_detail_code))+1
from ins_premium_det i),'75089','75089','02', '11000003','00','Request by Mr. Saqib Saleem 28-Mar-2025');</v>
      </c>
    </row>
    <row r="254" spans="1:8" ht="105" x14ac:dyDescent="0.25">
      <c r="A254" s="2" t="s">
        <v>5285</v>
      </c>
      <c r="B254" s="13" t="str">
        <f>VLOOKUP(A254,policy!B:C,2,0)</f>
        <v>070000178944</v>
      </c>
      <c r="C254" s="3">
        <v>29400</v>
      </c>
      <c r="D254" s="14">
        <f t="shared" si="13"/>
        <v>29400</v>
      </c>
      <c r="E254" s="19" t="s">
        <v>6323</v>
      </c>
      <c r="F254" s="15" t="str">
        <f t="shared" si="12"/>
        <v>insert into ins_premium_det (premium_rcv_code,assorted_code, rec_amount,premium_rcv_detail_code,remaining_amt, payrec, mode_code,coinsurance_code,class_cd,it_remarks) values</v>
      </c>
      <c r="G254" s="16" t="str">
        <f t="shared" si="14"/>
        <v>('27Mar250028','070000178944','29400',(select max(to_number(i.premium_rcv_detail_code))+1
from ins_premium_det i),'29400','29400','02', '11000003','00','Request by Mr. Saqib Saleem 28-Mar-2025');</v>
      </c>
      <c r="H254" s="17" t="str">
        <f t="shared" si="15"/>
        <v>insert into ins_premium_det (premium_rcv_code,assorted_code, rec_amount,premium_rcv_detail_code,remaining_amt, payrec, mode_code,coinsurance_code,class_cd,it_remarks) values('27Mar250028','070000178944','29400',(select max(to_number(i.premium_rcv_detail_code))+1
from ins_premium_det i),'29400','29400','02', '11000003','00','Request by Mr. Saqib Saleem 28-Mar-2025');</v>
      </c>
    </row>
    <row r="255" spans="1:8" ht="105" x14ac:dyDescent="0.25">
      <c r="A255" s="2" t="s">
        <v>5286</v>
      </c>
      <c r="B255" s="13" t="str">
        <f>VLOOKUP(A255,policy!B:C,2,0)</f>
        <v>070000178942</v>
      </c>
      <c r="C255" s="3">
        <v>29820</v>
      </c>
      <c r="D255" s="14">
        <f t="shared" si="13"/>
        <v>29820</v>
      </c>
      <c r="E255" s="19" t="s">
        <v>6323</v>
      </c>
      <c r="F255" s="15" t="str">
        <f t="shared" si="12"/>
        <v>insert into ins_premium_det (premium_rcv_code,assorted_code, rec_amount,premium_rcv_detail_code,remaining_amt, payrec, mode_code,coinsurance_code,class_cd,it_remarks) values</v>
      </c>
      <c r="G255" s="16" t="str">
        <f t="shared" si="14"/>
        <v>('27Mar250028','070000178942','29820',(select max(to_number(i.premium_rcv_detail_code))+1
from ins_premium_det i),'29820','29820','02', '11000003','00','Request by Mr. Saqib Saleem 28-Mar-2025');</v>
      </c>
      <c r="H255" s="17" t="str">
        <f t="shared" si="15"/>
        <v>insert into ins_premium_det (premium_rcv_code,assorted_code, rec_amount,premium_rcv_detail_code,remaining_amt, payrec, mode_code,coinsurance_code,class_cd,it_remarks) values('27Mar250028','070000178942','29820',(select max(to_number(i.premium_rcv_detail_code))+1
from ins_premium_det i),'29820','29820','02', '11000003','00','Request by Mr. Saqib Saleem 28-Mar-2025');</v>
      </c>
    </row>
    <row r="256" spans="1:8" ht="105" x14ac:dyDescent="0.25">
      <c r="A256" s="2" t="s">
        <v>5287</v>
      </c>
      <c r="B256" s="13" t="str">
        <f>VLOOKUP(A256,policy!B:C,2,0)</f>
        <v>070000177563</v>
      </c>
      <c r="C256" s="3">
        <v>39375</v>
      </c>
      <c r="D256" s="14">
        <f t="shared" si="13"/>
        <v>39375</v>
      </c>
      <c r="E256" s="19" t="s">
        <v>6323</v>
      </c>
      <c r="F256" s="15" t="str">
        <f t="shared" si="12"/>
        <v>insert into ins_premium_det (premium_rcv_code,assorted_code, rec_amount,premium_rcv_detail_code,remaining_amt, payrec, mode_code,coinsurance_code,class_cd,it_remarks) values</v>
      </c>
      <c r="G256" s="16" t="str">
        <f t="shared" si="14"/>
        <v>('27Mar250028','070000177563','39375',(select max(to_number(i.premium_rcv_detail_code))+1
from ins_premium_det i),'39375','39375','02', '11000003','00','Request by Mr. Saqib Saleem 28-Mar-2025');</v>
      </c>
      <c r="H256" s="17" t="str">
        <f t="shared" si="15"/>
        <v>insert into ins_premium_det (premium_rcv_code,assorted_code, rec_amount,premium_rcv_detail_code,remaining_amt, payrec, mode_code,coinsurance_code,class_cd,it_remarks) values('27Mar250028','070000177563','39375',(select max(to_number(i.premium_rcv_detail_code))+1
from ins_premium_det i),'39375','39375','02', '11000003','00','Request by Mr. Saqib Saleem 28-Mar-2025');</v>
      </c>
    </row>
    <row r="257" spans="1:8" ht="105" x14ac:dyDescent="0.25">
      <c r="A257" s="2" t="s">
        <v>5288</v>
      </c>
      <c r="B257" s="13" t="str">
        <f>VLOOKUP(A257,policy!B:C,2,0)</f>
        <v>070000177564</v>
      </c>
      <c r="C257" s="3">
        <v>29509</v>
      </c>
      <c r="D257" s="14">
        <f t="shared" si="13"/>
        <v>29509</v>
      </c>
      <c r="E257" s="19" t="s">
        <v>6323</v>
      </c>
      <c r="F257" s="15" t="str">
        <f t="shared" si="12"/>
        <v>insert into ins_premium_det (premium_rcv_code,assorted_code, rec_amount,premium_rcv_detail_code,remaining_amt, payrec, mode_code,coinsurance_code,class_cd,it_remarks) values</v>
      </c>
      <c r="G257" s="16" t="str">
        <f t="shared" si="14"/>
        <v>('27Mar250028','070000177564','29509',(select max(to_number(i.premium_rcv_detail_code))+1
from ins_premium_det i),'29509','29509','02', '11000003','00','Request by Mr. Saqib Saleem 28-Mar-2025');</v>
      </c>
      <c r="H257" s="17" t="str">
        <f t="shared" si="15"/>
        <v>insert into ins_premium_det (premium_rcv_code,assorted_code, rec_amount,premium_rcv_detail_code,remaining_amt, payrec, mode_code,coinsurance_code,class_cd,it_remarks) values('27Mar250028','070000177564','29509',(select max(to_number(i.premium_rcv_detail_code))+1
from ins_premium_det i),'29509','29509','02', '11000003','00','Request by Mr. Saqib Saleem 28-Mar-2025');</v>
      </c>
    </row>
    <row r="258" spans="1:8" ht="105" x14ac:dyDescent="0.25">
      <c r="A258" s="2" t="s">
        <v>5289</v>
      </c>
      <c r="B258" s="13" t="str">
        <f>VLOOKUP(A258,policy!B:C,2,0)</f>
        <v>070000177566</v>
      </c>
      <c r="C258" s="3">
        <v>33000</v>
      </c>
      <c r="D258" s="14">
        <f t="shared" si="13"/>
        <v>33000</v>
      </c>
      <c r="E258" s="19" t="s">
        <v>6323</v>
      </c>
      <c r="F258" s="15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16" t="str">
        <f t="shared" si="14"/>
        <v>('27Mar250028','070000177566','33000',(select max(to_number(i.premium_rcv_detail_code))+1
from ins_premium_det i),'33000','33000','02', '11000003','00','Request by Mr. Saqib Saleem 28-Mar-2025');</v>
      </c>
      <c r="H258" s="17" t="str">
        <f t="shared" si="15"/>
        <v>insert into ins_premium_det (premium_rcv_code,assorted_code, rec_amount,premium_rcv_detail_code,remaining_amt, payrec, mode_code,coinsurance_code,class_cd,it_remarks) values('27Mar250028','070000177566','33000',(select max(to_number(i.premium_rcv_detail_code))+1
from ins_premium_det i),'33000','33000','02', '11000003','00','Request by Mr. Saqib Saleem 28-Mar-2025');</v>
      </c>
    </row>
    <row r="259" spans="1:8" ht="105" x14ac:dyDescent="0.25">
      <c r="A259" s="2" t="s">
        <v>5290</v>
      </c>
      <c r="B259" s="13" t="str">
        <f>VLOOKUP(A259,policy!B:C,2,0)</f>
        <v>070000177567</v>
      </c>
      <c r="C259" s="3">
        <v>32400</v>
      </c>
      <c r="D259" s="14">
        <f t="shared" ref="D259:D322" si="17">ROUND(C259,0)</f>
        <v>32400</v>
      </c>
      <c r="E259" s="19" t="s">
        <v>6323</v>
      </c>
      <c r="F259" s="15" t="str">
        <f t="shared" si="16"/>
        <v>insert into ins_premium_det (premium_rcv_code,assorted_code, rec_amount,premium_rcv_detail_code,remaining_amt, payrec, mode_code,coinsurance_code,class_cd,it_remarks) values</v>
      </c>
      <c r="G259" s="16" t="str">
        <f t="shared" ref="G259:G322" si="18">"('"&amp;E259&amp;"','"&amp;B259&amp;"','"&amp;D259&amp;"',(select max(to_number(i.premium_rcv_detail_code))+1
from ins_premium_det i),'"&amp;D259&amp;"','"&amp;D259&amp;"','02', '11000003','00','Request by Mr. Saqib Saleem 28-Mar-2025');"</f>
        <v>('27Mar250028','070000177567','32400',(select max(to_number(i.premium_rcv_detail_code))+1
from ins_premium_det i),'32400','32400','02', '11000003','00','Request by Mr. Saqib Saleem 28-Mar-2025');</v>
      </c>
      <c r="H259" s="17" t="str">
        <f t="shared" ref="H259:H322" si="19">F259&amp;G259</f>
        <v>insert into ins_premium_det (premium_rcv_code,assorted_code, rec_amount,premium_rcv_detail_code,remaining_amt, payrec, mode_code,coinsurance_code,class_cd,it_remarks) values('27Mar250028','070000177567','32400',(select max(to_number(i.premium_rcv_detail_code))+1
from ins_premium_det i),'32400','32400','02', '11000003','00','Request by Mr. Saqib Saleem 28-Mar-2025');</v>
      </c>
    </row>
    <row r="260" spans="1:8" ht="105" x14ac:dyDescent="0.25">
      <c r="A260" s="2" t="s">
        <v>5291</v>
      </c>
      <c r="B260" s="13" t="str">
        <f>VLOOKUP(A260,policy!B:C,2,0)</f>
        <v>070000178941</v>
      </c>
      <c r="C260" s="3">
        <v>43200</v>
      </c>
      <c r="D260" s="14">
        <f t="shared" si="17"/>
        <v>43200</v>
      </c>
      <c r="E260" s="19" t="s">
        <v>6323</v>
      </c>
      <c r="F260" s="15" t="str">
        <f t="shared" si="16"/>
        <v>insert into ins_premium_det (premium_rcv_code,assorted_code, rec_amount,premium_rcv_detail_code,remaining_amt, payrec, mode_code,coinsurance_code,class_cd,it_remarks) values</v>
      </c>
      <c r="G260" s="16" t="str">
        <f t="shared" si="18"/>
        <v>('27Mar250028','070000178941','43200',(select max(to_number(i.premium_rcv_detail_code))+1
from ins_premium_det i),'43200','43200','02', '11000003','00','Request by Mr. Saqib Saleem 28-Mar-2025');</v>
      </c>
      <c r="H260" s="17" t="str">
        <f t="shared" si="19"/>
        <v>insert into ins_premium_det (premium_rcv_code,assorted_code, rec_amount,premium_rcv_detail_code,remaining_amt, payrec, mode_code,coinsurance_code,class_cd,it_remarks) values('27Mar250028','070000178941','43200',(select max(to_number(i.premium_rcv_detail_code))+1
from ins_premium_det i),'43200','43200','02', '11000003','00','Request by Mr. Saqib Saleem 28-Mar-2025');</v>
      </c>
    </row>
    <row r="261" spans="1:8" ht="105" x14ac:dyDescent="0.25">
      <c r="A261" s="2" t="s">
        <v>5292</v>
      </c>
      <c r="B261" s="13" t="str">
        <f>VLOOKUP(A261,policy!B:C,2,0)</f>
        <v>070000177568</v>
      </c>
      <c r="C261" s="3">
        <v>24000</v>
      </c>
      <c r="D261" s="14">
        <f t="shared" si="17"/>
        <v>24000</v>
      </c>
      <c r="E261" s="19" t="s">
        <v>6323</v>
      </c>
      <c r="F261" s="15" t="str">
        <f t="shared" si="16"/>
        <v>insert into ins_premium_det (premium_rcv_code,assorted_code, rec_amount,premium_rcv_detail_code,remaining_amt, payrec, mode_code,coinsurance_code,class_cd,it_remarks) values</v>
      </c>
      <c r="G261" s="16" t="str">
        <f t="shared" si="18"/>
        <v>('27Mar250028','070000177568','24000',(select max(to_number(i.premium_rcv_detail_code))+1
from ins_premium_det i),'24000','24000','02', '11000003','00','Request by Mr. Saqib Saleem 28-Mar-2025');</v>
      </c>
      <c r="H261" s="17" t="str">
        <f t="shared" si="19"/>
        <v>insert into ins_premium_det (premium_rcv_code,assorted_code, rec_amount,premium_rcv_detail_code,remaining_amt, payrec, mode_code,coinsurance_code,class_cd,it_remarks) values('27Mar250028','070000177568','24000',(select max(to_number(i.premium_rcv_detail_code))+1
from ins_premium_det i),'24000','24000','02', '11000003','00','Request by Mr. Saqib Saleem 28-Mar-2025');</v>
      </c>
    </row>
    <row r="262" spans="1:8" ht="105" x14ac:dyDescent="0.25">
      <c r="A262" s="2" t="s">
        <v>5293</v>
      </c>
      <c r="B262" s="13" t="str">
        <f>VLOOKUP(A262,policy!B:C,2,0)</f>
        <v>070000177569</v>
      </c>
      <c r="C262" s="3">
        <v>22815</v>
      </c>
      <c r="D262" s="14">
        <f t="shared" si="17"/>
        <v>22815</v>
      </c>
      <c r="E262" s="19" t="s">
        <v>6323</v>
      </c>
      <c r="F262" s="15" t="str">
        <f t="shared" si="16"/>
        <v>insert into ins_premium_det (premium_rcv_code,assorted_code, rec_amount,premium_rcv_detail_code,remaining_amt, payrec, mode_code,coinsurance_code,class_cd,it_remarks) values</v>
      </c>
      <c r="G262" s="16" t="str">
        <f t="shared" si="18"/>
        <v>('27Mar250028','070000177569','22815',(select max(to_number(i.premium_rcv_detail_code))+1
from ins_premium_det i),'22815','22815','02', '11000003','00','Request by Mr. Saqib Saleem 28-Mar-2025');</v>
      </c>
      <c r="H262" s="17" t="str">
        <f t="shared" si="19"/>
        <v>insert into ins_premium_det (premium_rcv_code,assorted_code, rec_amount,premium_rcv_detail_code,remaining_amt, payrec, mode_code,coinsurance_code,class_cd,it_remarks) values('27Mar250028','070000177569','22815',(select max(to_number(i.premium_rcv_detail_code))+1
from ins_premium_det i),'22815','22815','02', '11000003','00','Request by Mr. Saqib Saleem 28-Mar-2025');</v>
      </c>
    </row>
    <row r="263" spans="1:8" ht="105" x14ac:dyDescent="0.25">
      <c r="A263" s="2" t="s">
        <v>5294</v>
      </c>
      <c r="B263" s="13" t="str">
        <f>VLOOKUP(A263,policy!B:C,2,0)</f>
        <v>070000178940</v>
      </c>
      <c r="C263" s="3">
        <v>70800</v>
      </c>
      <c r="D263" s="14">
        <f t="shared" si="17"/>
        <v>70800</v>
      </c>
      <c r="E263" s="19" t="s">
        <v>6323</v>
      </c>
      <c r="F263" s="15" t="str">
        <f t="shared" si="16"/>
        <v>insert into ins_premium_det (premium_rcv_code,assorted_code, rec_amount,premium_rcv_detail_code,remaining_amt, payrec, mode_code,coinsurance_code,class_cd,it_remarks) values</v>
      </c>
      <c r="G263" s="16" t="str">
        <f t="shared" si="18"/>
        <v>('27Mar250028','070000178940','70800',(select max(to_number(i.premium_rcv_detail_code))+1
from ins_premium_det i),'70800','70800','02', '11000003','00','Request by Mr. Saqib Saleem 28-Mar-2025');</v>
      </c>
      <c r="H263" s="17" t="str">
        <f t="shared" si="19"/>
        <v>insert into ins_premium_det (premium_rcv_code,assorted_code, rec_amount,premium_rcv_detail_code,remaining_amt, payrec, mode_code,coinsurance_code,class_cd,it_remarks) values('27Mar250028','070000178940','70800',(select max(to_number(i.premium_rcv_detail_code))+1
from ins_premium_det i),'70800','70800','02', '11000003','00','Request by Mr. Saqib Saleem 28-Mar-2025');</v>
      </c>
    </row>
    <row r="264" spans="1:8" ht="105" x14ac:dyDescent="0.25">
      <c r="A264" s="2" t="s">
        <v>5295</v>
      </c>
      <c r="B264" s="13" t="str">
        <f>VLOOKUP(A264,policy!B:C,2,0)</f>
        <v>070000177571</v>
      </c>
      <c r="C264" s="3">
        <v>43995</v>
      </c>
      <c r="D264" s="14">
        <f t="shared" si="17"/>
        <v>43995</v>
      </c>
      <c r="E264" s="19" t="s">
        <v>6323</v>
      </c>
      <c r="F264" s="15" t="str">
        <f t="shared" si="16"/>
        <v>insert into ins_premium_det (premium_rcv_code,assorted_code, rec_amount,premium_rcv_detail_code,remaining_amt, payrec, mode_code,coinsurance_code,class_cd,it_remarks) values</v>
      </c>
      <c r="G264" s="16" t="str">
        <f t="shared" si="18"/>
        <v>('27Mar250028','070000177571','43995',(select max(to_number(i.premium_rcv_detail_code))+1
from ins_premium_det i),'43995','43995','02', '11000003','00','Request by Mr. Saqib Saleem 28-Mar-2025');</v>
      </c>
      <c r="H264" s="17" t="str">
        <f t="shared" si="19"/>
        <v>insert into ins_premium_det (premium_rcv_code,assorted_code, rec_amount,premium_rcv_detail_code,remaining_amt, payrec, mode_code,coinsurance_code,class_cd,it_remarks) values('27Mar250028','070000177571','43995',(select max(to_number(i.premium_rcv_detail_code))+1
from ins_premium_det i),'43995','43995','02', '11000003','00','Request by Mr. Saqib Saleem 28-Mar-2025');</v>
      </c>
    </row>
    <row r="265" spans="1:8" ht="105" x14ac:dyDescent="0.25">
      <c r="A265" s="2" t="s">
        <v>5296</v>
      </c>
      <c r="B265" s="13" t="str">
        <f>VLOOKUP(A265,policy!B:C,2,0)</f>
        <v>070000177572</v>
      </c>
      <c r="C265" s="3">
        <v>21360</v>
      </c>
      <c r="D265" s="14">
        <f t="shared" si="17"/>
        <v>21360</v>
      </c>
      <c r="E265" s="19" t="s">
        <v>6323</v>
      </c>
      <c r="F265" s="15" t="str">
        <f t="shared" si="16"/>
        <v>insert into ins_premium_det (premium_rcv_code,assorted_code, rec_amount,premium_rcv_detail_code,remaining_amt, payrec, mode_code,coinsurance_code,class_cd,it_remarks) values</v>
      </c>
      <c r="G265" s="16" t="str">
        <f t="shared" si="18"/>
        <v>('27Mar250028','070000177572','21360',(select max(to_number(i.premium_rcv_detail_code))+1
from ins_premium_det i),'21360','21360','02', '11000003','00','Request by Mr. Saqib Saleem 28-Mar-2025');</v>
      </c>
      <c r="H265" s="17" t="str">
        <f t="shared" si="19"/>
        <v>insert into ins_premium_det (premium_rcv_code,assorted_code, rec_amount,premium_rcv_detail_code,remaining_amt, payrec, mode_code,coinsurance_code,class_cd,it_remarks) values('27Mar250028','070000177572','21360',(select max(to_number(i.premium_rcv_detail_code))+1
from ins_premium_det i),'21360','21360','02', '11000003','00','Request by Mr. Saqib Saleem 28-Mar-2025');</v>
      </c>
    </row>
    <row r="266" spans="1:8" ht="105" x14ac:dyDescent="0.25">
      <c r="A266" s="2" t="s">
        <v>5297</v>
      </c>
      <c r="B266" s="13" t="str">
        <f>VLOOKUP(A266,policy!B:C,2,0)</f>
        <v>070000177573</v>
      </c>
      <c r="C266" s="3">
        <v>35700</v>
      </c>
      <c r="D266" s="14">
        <f t="shared" si="17"/>
        <v>35700</v>
      </c>
      <c r="E266" s="19" t="s">
        <v>6323</v>
      </c>
      <c r="F266" s="15" t="str">
        <f t="shared" si="16"/>
        <v>insert into ins_premium_det (premium_rcv_code,assorted_code, rec_amount,premium_rcv_detail_code,remaining_amt, payrec, mode_code,coinsurance_code,class_cd,it_remarks) values</v>
      </c>
      <c r="G266" s="16" t="str">
        <f t="shared" si="18"/>
        <v>('27Mar250028','070000177573','35700',(select max(to_number(i.premium_rcv_detail_code))+1
from ins_premium_det i),'35700','35700','02', '11000003','00','Request by Mr. Saqib Saleem 28-Mar-2025');</v>
      </c>
      <c r="H266" s="17" t="str">
        <f t="shared" si="19"/>
        <v>insert into ins_premium_det (premium_rcv_code,assorted_code, rec_amount,premium_rcv_detail_code,remaining_amt, payrec, mode_code,coinsurance_code,class_cd,it_remarks) values('27Mar250028','070000177573','35700',(select max(to_number(i.premium_rcv_detail_code))+1
from ins_premium_det i),'35700','35700','02', '11000003','00','Request by Mr. Saqib Saleem 28-Mar-2025');</v>
      </c>
    </row>
    <row r="267" spans="1:8" ht="105" x14ac:dyDescent="0.25">
      <c r="A267" s="2" t="s">
        <v>5298</v>
      </c>
      <c r="B267" s="13" t="str">
        <f>VLOOKUP(A267,policy!B:C,2,0)</f>
        <v>070000178939</v>
      </c>
      <c r="C267" s="3">
        <v>36994</v>
      </c>
      <c r="D267" s="14">
        <f t="shared" si="17"/>
        <v>36994</v>
      </c>
      <c r="E267" s="19" t="s">
        <v>6323</v>
      </c>
      <c r="F267" s="15" t="str">
        <f t="shared" si="16"/>
        <v>insert into ins_premium_det (premium_rcv_code,assorted_code, rec_amount,premium_rcv_detail_code,remaining_amt, payrec, mode_code,coinsurance_code,class_cd,it_remarks) values</v>
      </c>
      <c r="G267" s="16" t="str">
        <f t="shared" si="18"/>
        <v>('27Mar250028','070000178939','36994',(select max(to_number(i.premium_rcv_detail_code))+1
from ins_premium_det i),'36994','36994','02', '11000003','00','Request by Mr. Saqib Saleem 28-Mar-2025');</v>
      </c>
      <c r="H267" s="17" t="str">
        <f t="shared" si="19"/>
        <v>insert into ins_premium_det (premium_rcv_code,assorted_code, rec_amount,premium_rcv_detail_code,remaining_amt, payrec, mode_code,coinsurance_code,class_cd,it_remarks) values('27Mar250028','070000178939','36994',(select max(to_number(i.premium_rcv_detail_code))+1
from ins_premium_det i),'36994','36994','02', '11000003','00','Request by Mr. Saqib Saleem 28-Mar-2025');</v>
      </c>
    </row>
    <row r="268" spans="1:8" ht="105" x14ac:dyDescent="0.25">
      <c r="A268" s="2" t="s">
        <v>5299</v>
      </c>
      <c r="B268" s="13" t="str">
        <f>VLOOKUP(A268,policy!B:C,2,0)</f>
        <v>070000177574</v>
      </c>
      <c r="C268" s="3">
        <v>29453</v>
      </c>
      <c r="D268" s="14">
        <f t="shared" si="17"/>
        <v>29453</v>
      </c>
      <c r="E268" s="19" t="s">
        <v>6323</v>
      </c>
      <c r="F268" s="15" t="str">
        <f t="shared" si="16"/>
        <v>insert into ins_premium_det (premium_rcv_code,assorted_code, rec_amount,premium_rcv_detail_code,remaining_amt, payrec, mode_code,coinsurance_code,class_cd,it_remarks) values</v>
      </c>
      <c r="G268" s="16" t="str">
        <f t="shared" si="18"/>
        <v>('27Mar250028','070000177574','29453',(select max(to_number(i.premium_rcv_detail_code))+1
from ins_premium_det i),'29453','29453','02', '11000003','00','Request by Mr. Saqib Saleem 28-Mar-2025');</v>
      </c>
      <c r="H268" s="17" t="str">
        <f t="shared" si="19"/>
        <v>insert into ins_premium_det (premium_rcv_code,assorted_code, rec_amount,premium_rcv_detail_code,remaining_amt, payrec, mode_code,coinsurance_code,class_cd,it_remarks) values('27Mar250028','070000177574','29453',(select max(to_number(i.premium_rcv_detail_code))+1
from ins_premium_det i),'29453','29453','02', '11000003','00','Request by Mr. Saqib Saleem 28-Mar-2025');</v>
      </c>
    </row>
    <row r="269" spans="1:8" ht="105" x14ac:dyDescent="0.25">
      <c r="A269" s="2" t="s">
        <v>5300</v>
      </c>
      <c r="B269" s="13" t="str">
        <f>VLOOKUP(A269,policy!B:C,2,0)</f>
        <v>070000177575</v>
      </c>
      <c r="C269" s="3">
        <v>44625</v>
      </c>
      <c r="D269" s="14">
        <f t="shared" si="17"/>
        <v>44625</v>
      </c>
      <c r="E269" s="19" t="s">
        <v>6323</v>
      </c>
      <c r="F269" s="15" t="str">
        <f t="shared" si="16"/>
        <v>insert into ins_premium_det (premium_rcv_code,assorted_code, rec_amount,premium_rcv_detail_code,remaining_amt, payrec, mode_code,coinsurance_code,class_cd,it_remarks) values</v>
      </c>
      <c r="G269" s="16" t="str">
        <f t="shared" si="18"/>
        <v>('27Mar250028','070000177575','44625',(select max(to_number(i.premium_rcv_detail_code))+1
from ins_premium_det i),'44625','44625','02', '11000003','00','Request by Mr. Saqib Saleem 28-Mar-2025');</v>
      </c>
      <c r="H269" s="17" t="str">
        <f t="shared" si="19"/>
        <v>insert into ins_premium_det (premium_rcv_code,assorted_code, rec_amount,premium_rcv_detail_code,remaining_amt, payrec, mode_code,coinsurance_code,class_cd,it_remarks) values('27Mar250028','070000177575','44625',(select max(to_number(i.premium_rcv_detail_code))+1
from ins_premium_det i),'44625','44625','02', '11000003','00','Request by Mr. Saqib Saleem 28-Mar-2025');</v>
      </c>
    </row>
    <row r="270" spans="1:8" ht="105" x14ac:dyDescent="0.25">
      <c r="A270" s="2" t="s">
        <v>5301</v>
      </c>
      <c r="B270" s="13" t="str">
        <f>VLOOKUP(A270,policy!B:C,2,0)</f>
        <v>070000177576</v>
      </c>
      <c r="C270" s="3">
        <v>31950</v>
      </c>
      <c r="D270" s="14">
        <f t="shared" si="17"/>
        <v>31950</v>
      </c>
      <c r="E270" s="19" t="s">
        <v>6323</v>
      </c>
      <c r="F270" s="15" t="str">
        <f t="shared" si="16"/>
        <v>insert into ins_premium_det (premium_rcv_code,assorted_code, rec_amount,premium_rcv_detail_code,remaining_amt, payrec, mode_code,coinsurance_code,class_cd,it_remarks) values</v>
      </c>
      <c r="G270" s="16" t="str">
        <f t="shared" si="18"/>
        <v>('27Mar250028','070000177576','31950',(select max(to_number(i.premium_rcv_detail_code))+1
from ins_premium_det i),'31950','31950','02', '11000003','00','Request by Mr. Saqib Saleem 28-Mar-2025');</v>
      </c>
      <c r="H270" s="17" t="str">
        <f t="shared" si="19"/>
        <v>insert into ins_premium_det (premium_rcv_code,assorted_code, rec_amount,premium_rcv_detail_code,remaining_amt, payrec, mode_code,coinsurance_code,class_cd,it_remarks) values('27Mar250028','070000177576','31950',(select max(to_number(i.premium_rcv_detail_code))+1
from ins_premium_det i),'31950','31950','02', '11000003','00','Request by Mr. Saqib Saleem 28-Mar-2025');</v>
      </c>
    </row>
    <row r="271" spans="1:8" ht="45" hidden="1" x14ac:dyDescent="0.25">
      <c r="A271" s="9" t="s">
        <v>5621</v>
      </c>
      <c r="B271" s="13" t="e">
        <f>VLOOKUP(A271,policy!B:C,2,0)</f>
        <v>#N/A</v>
      </c>
      <c r="C271" s="3"/>
      <c r="D271" s="14"/>
      <c r="E271" s="19" t="s">
        <v>6323</v>
      </c>
      <c r="F271" s="15" t="str">
        <f t="shared" si="16"/>
        <v>insert into ins_premium_det (premium_rcv_code,assorted_code, rec_amount,premium_rcv_detail_code,remaining_amt, payrec, mode_code,coinsurance_code,class_cd,it_remarks) values</v>
      </c>
      <c r="G271" s="16" t="e">
        <f t="shared" si="18"/>
        <v>#N/A</v>
      </c>
      <c r="H271" s="17" t="e">
        <f t="shared" si="19"/>
        <v>#N/A</v>
      </c>
    </row>
    <row r="272" spans="1:8" ht="105" x14ac:dyDescent="0.25">
      <c r="A272" s="2" t="s">
        <v>5302</v>
      </c>
      <c r="B272" s="13" t="str">
        <f>VLOOKUP(A272,policy!B:C,2,0)</f>
        <v>070000177577</v>
      </c>
      <c r="C272" s="3">
        <v>46500</v>
      </c>
      <c r="D272" s="14">
        <f t="shared" si="17"/>
        <v>46500</v>
      </c>
      <c r="E272" s="19" t="s">
        <v>6323</v>
      </c>
      <c r="F272" s="15" t="str">
        <f t="shared" si="16"/>
        <v>insert into ins_premium_det (premium_rcv_code,assorted_code, rec_amount,premium_rcv_detail_code,remaining_amt, payrec, mode_code,coinsurance_code,class_cd,it_remarks) values</v>
      </c>
      <c r="G272" s="16" t="str">
        <f t="shared" si="18"/>
        <v>('27Mar250028','070000177577','46500',(select max(to_number(i.premium_rcv_detail_code))+1
from ins_premium_det i),'46500','46500','02', '11000003','00','Request by Mr. Saqib Saleem 28-Mar-2025');</v>
      </c>
      <c r="H272" s="17" t="str">
        <f t="shared" si="19"/>
        <v>insert into ins_premium_det (premium_rcv_code,assorted_code, rec_amount,premium_rcv_detail_code,remaining_amt, payrec, mode_code,coinsurance_code,class_cd,it_remarks) values('27Mar250028','070000177577','46500',(select max(to_number(i.premium_rcv_detail_code))+1
from ins_premium_det i),'46500','46500','02', '11000003','00','Request by Mr. Saqib Saleem 28-Mar-2025');</v>
      </c>
    </row>
    <row r="273" spans="1:8" ht="105" x14ac:dyDescent="0.25">
      <c r="A273" s="2" t="s">
        <v>5303</v>
      </c>
      <c r="B273" s="13" t="str">
        <f>VLOOKUP(A273,policy!B:C,2,0)</f>
        <v>070000178938</v>
      </c>
      <c r="C273" s="3">
        <v>10140</v>
      </c>
      <c r="D273" s="14">
        <f t="shared" si="17"/>
        <v>10140</v>
      </c>
      <c r="E273" s="19" t="s">
        <v>6323</v>
      </c>
      <c r="F273" s="15" t="str">
        <f t="shared" si="16"/>
        <v>insert into ins_premium_det (premium_rcv_code,assorted_code, rec_amount,premium_rcv_detail_code,remaining_amt, payrec, mode_code,coinsurance_code,class_cd,it_remarks) values</v>
      </c>
      <c r="G273" s="16" t="str">
        <f t="shared" si="18"/>
        <v>('27Mar250028','070000178938','10140',(select max(to_number(i.premium_rcv_detail_code))+1
from ins_premium_det i),'10140','10140','02', '11000003','00','Request by Mr. Saqib Saleem 28-Mar-2025');</v>
      </c>
      <c r="H273" s="17" t="str">
        <f t="shared" si="19"/>
        <v>insert into ins_premium_det (premium_rcv_code,assorted_code, rec_amount,premium_rcv_detail_code,remaining_amt, payrec, mode_code,coinsurance_code,class_cd,it_remarks) values('27Mar250028','070000178938','10140',(select max(to_number(i.premium_rcv_detail_code))+1
from ins_premium_det i),'10140','10140','02', '11000003','00','Request by Mr. Saqib Saleem 28-Mar-2025');</v>
      </c>
    </row>
    <row r="274" spans="1:8" ht="105" x14ac:dyDescent="0.25">
      <c r="A274" s="2" t="s">
        <v>5304</v>
      </c>
      <c r="B274" s="13" t="str">
        <f>VLOOKUP(A274,policy!B:C,2,0)</f>
        <v>070000177578</v>
      </c>
      <c r="C274" s="3">
        <v>35250</v>
      </c>
      <c r="D274" s="14">
        <f t="shared" si="17"/>
        <v>35250</v>
      </c>
      <c r="E274" s="19" t="s">
        <v>6323</v>
      </c>
      <c r="F274" s="15" t="str">
        <f t="shared" si="16"/>
        <v>insert into ins_premium_det (premium_rcv_code,assorted_code, rec_amount,premium_rcv_detail_code,remaining_amt, payrec, mode_code,coinsurance_code,class_cd,it_remarks) values</v>
      </c>
      <c r="G274" s="16" t="str">
        <f t="shared" si="18"/>
        <v>('27Mar250028','070000177578','35250',(select max(to_number(i.premium_rcv_detail_code))+1
from ins_premium_det i),'35250','35250','02', '11000003','00','Request by Mr. Saqib Saleem 28-Mar-2025');</v>
      </c>
      <c r="H274" s="17" t="str">
        <f t="shared" si="19"/>
        <v>insert into ins_premium_det (premium_rcv_code,assorted_code, rec_amount,premium_rcv_detail_code,remaining_amt, payrec, mode_code,coinsurance_code,class_cd,it_remarks) values('27Mar250028','070000177578','35250',(select max(to_number(i.premium_rcv_detail_code))+1
from ins_premium_det i),'35250','35250','02', '11000003','00','Request by Mr. Saqib Saleem 28-Mar-2025');</v>
      </c>
    </row>
    <row r="275" spans="1:8" ht="105" x14ac:dyDescent="0.25">
      <c r="A275" s="2" t="s">
        <v>5305</v>
      </c>
      <c r="B275" s="13" t="str">
        <f>VLOOKUP(A275,policy!B:C,2,0)</f>
        <v>070000178937</v>
      </c>
      <c r="C275" s="3">
        <v>92894</v>
      </c>
      <c r="D275" s="14">
        <f t="shared" si="17"/>
        <v>92894</v>
      </c>
      <c r="E275" s="19" t="s">
        <v>6323</v>
      </c>
      <c r="F275" s="15" t="str">
        <f t="shared" si="16"/>
        <v>insert into ins_premium_det (premium_rcv_code,assorted_code, rec_amount,premium_rcv_detail_code,remaining_amt, payrec, mode_code,coinsurance_code,class_cd,it_remarks) values</v>
      </c>
      <c r="G275" s="16" t="str">
        <f t="shared" si="18"/>
        <v>('27Mar250028','070000178937','92894',(select max(to_number(i.premium_rcv_detail_code))+1
from ins_premium_det i),'92894','92894','02', '11000003','00','Request by Mr. Saqib Saleem 28-Mar-2025');</v>
      </c>
      <c r="H275" s="17" t="str">
        <f t="shared" si="19"/>
        <v>insert into ins_premium_det (premium_rcv_code,assorted_code, rec_amount,premium_rcv_detail_code,remaining_amt, payrec, mode_code,coinsurance_code,class_cd,it_remarks) values('27Mar250028','070000178937','92894',(select max(to_number(i.premium_rcv_detail_code))+1
from ins_premium_det i),'92894','92894','02', '11000003','00','Request by Mr. Saqib Saleem 28-Mar-2025');</v>
      </c>
    </row>
    <row r="276" spans="1:8" ht="105" x14ac:dyDescent="0.25">
      <c r="A276" s="2" t="s">
        <v>5306</v>
      </c>
      <c r="B276" s="13" t="str">
        <f>VLOOKUP(A276,policy!B:C,2,0)</f>
        <v>070000177579</v>
      </c>
      <c r="C276" s="3">
        <v>28860</v>
      </c>
      <c r="D276" s="14">
        <f t="shared" si="17"/>
        <v>28860</v>
      </c>
      <c r="E276" s="19" t="s">
        <v>6323</v>
      </c>
      <c r="F276" s="15" t="str">
        <f t="shared" si="16"/>
        <v>insert into ins_premium_det (premium_rcv_code,assorted_code, rec_amount,premium_rcv_detail_code,remaining_amt, payrec, mode_code,coinsurance_code,class_cd,it_remarks) values</v>
      </c>
      <c r="G276" s="16" t="str">
        <f t="shared" si="18"/>
        <v>('27Mar250028','070000177579','28860',(select max(to_number(i.premium_rcv_detail_code))+1
from ins_premium_det i),'28860','28860','02', '11000003','00','Request by Mr. Saqib Saleem 28-Mar-2025');</v>
      </c>
      <c r="H276" s="17" t="str">
        <f t="shared" si="19"/>
        <v>insert into ins_premium_det (premium_rcv_code,assorted_code, rec_amount,premium_rcv_detail_code,remaining_amt, payrec, mode_code,coinsurance_code,class_cd,it_remarks) values('27Mar250028','070000177579','28860',(select max(to_number(i.premium_rcv_detail_code))+1
from ins_premium_det i),'28860','28860','02', '11000003','00','Request by Mr. Saqib Saleem 28-Mar-2025');</v>
      </c>
    </row>
    <row r="277" spans="1:8" ht="105" x14ac:dyDescent="0.25">
      <c r="A277" s="2" t="s">
        <v>5042</v>
      </c>
      <c r="B277" s="13" t="str">
        <f>VLOOKUP(A277,policy!B:C,2,0)</f>
        <v>070000178935</v>
      </c>
      <c r="C277" s="3">
        <v>94500</v>
      </c>
      <c r="D277" s="14">
        <f t="shared" si="17"/>
        <v>94500</v>
      </c>
      <c r="E277" s="19" t="s">
        <v>6323</v>
      </c>
      <c r="F277" s="15" t="str">
        <f t="shared" si="16"/>
        <v>insert into ins_premium_det (premium_rcv_code,assorted_code, rec_amount,premium_rcv_detail_code,remaining_amt, payrec, mode_code,coinsurance_code,class_cd,it_remarks) values</v>
      </c>
      <c r="G277" s="16" t="str">
        <f t="shared" si="18"/>
        <v>('27Mar250028','070000178935','94500',(select max(to_number(i.premium_rcv_detail_code))+1
from ins_premium_det i),'94500','94500','02', '11000003','00','Request by Mr. Saqib Saleem 28-Mar-2025');</v>
      </c>
      <c r="H277" s="17" t="str">
        <f t="shared" si="19"/>
        <v>insert into ins_premium_det (premium_rcv_code,assorted_code, rec_amount,premium_rcv_detail_code,remaining_amt, payrec, mode_code,coinsurance_code,class_cd,it_remarks) values('27Mar250028','070000178935','94500',(select max(to_number(i.premium_rcv_detail_code))+1
from ins_premium_det i),'94500','94500','02', '11000003','00','Request by Mr. Saqib Saleem 28-Mar-2025');</v>
      </c>
    </row>
    <row r="278" spans="1:8" ht="105" x14ac:dyDescent="0.25">
      <c r="A278" s="2" t="s">
        <v>5307</v>
      </c>
      <c r="B278" s="13" t="str">
        <f>VLOOKUP(A278,policy!B:C,2,0)</f>
        <v>070000178934</v>
      </c>
      <c r="C278" s="3">
        <v>88988</v>
      </c>
      <c r="D278" s="14">
        <f t="shared" si="17"/>
        <v>88988</v>
      </c>
      <c r="E278" s="19" t="s">
        <v>6323</v>
      </c>
      <c r="F278" s="15" t="str">
        <f t="shared" si="16"/>
        <v>insert into ins_premium_det (premium_rcv_code,assorted_code, rec_amount,premium_rcv_detail_code,remaining_amt, payrec, mode_code,coinsurance_code,class_cd,it_remarks) values</v>
      </c>
      <c r="G278" s="16" t="str">
        <f t="shared" si="18"/>
        <v>('27Mar250028','070000178934','88988',(select max(to_number(i.premium_rcv_detail_code))+1
from ins_premium_det i),'88988','88988','02', '11000003','00','Request by Mr. Saqib Saleem 28-Mar-2025');</v>
      </c>
      <c r="H278" s="17" t="str">
        <f t="shared" si="19"/>
        <v>insert into ins_premium_det (premium_rcv_code,assorted_code, rec_amount,premium_rcv_detail_code,remaining_amt, payrec, mode_code,coinsurance_code,class_cd,it_remarks) values('27Mar250028','070000178934','88988',(select max(to_number(i.premium_rcv_detail_code))+1
from ins_premium_det i),'88988','88988','02', '11000003','00','Request by Mr. Saqib Saleem 28-Mar-2025');</v>
      </c>
    </row>
    <row r="279" spans="1:8" ht="105" x14ac:dyDescent="0.25">
      <c r="A279" s="2" t="s">
        <v>5308</v>
      </c>
      <c r="B279" s="13" t="str">
        <f>VLOOKUP(A279,policy!B:C,2,0)</f>
        <v>070000177580</v>
      </c>
      <c r="C279" s="3">
        <v>20250</v>
      </c>
      <c r="D279" s="14">
        <f t="shared" si="17"/>
        <v>20250</v>
      </c>
      <c r="E279" s="19" t="s">
        <v>6323</v>
      </c>
      <c r="F279" s="15" t="str">
        <f t="shared" si="16"/>
        <v>insert into ins_premium_det (premium_rcv_code,assorted_code, rec_amount,premium_rcv_detail_code,remaining_amt, payrec, mode_code,coinsurance_code,class_cd,it_remarks) values</v>
      </c>
      <c r="G279" s="16" t="str">
        <f t="shared" si="18"/>
        <v>('27Mar250028','070000177580','20250',(select max(to_number(i.premium_rcv_detail_code))+1
from ins_premium_det i),'20250','20250','02', '11000003','00','Request by Mr. Saqib Saleem 28-Mar-2025');</v>
      </c>
      <c r="H279" s="17" t="str">
        <f t="shared" si="19"/>
        <v>insert into ins_premium_det (premium_rcv_code,assorted_code, rec_amount,premium_rcv_detail_code,remaining_amt, payrec, mode_code,coinsurance_code,class_cd,it_remarks) values('27Mar250028','070000177580','20250',(select max(to_number(i.premium_rcv_detail_code))+1
from ins_premium_det i),'20250','20250','02', '11000003','00','Request by Mr. Saqib Saleem 28-Mar-2025');</v>
      </c>
    </row>
    <row r="280" spans="1:8" ht="105" x14ac:dyDescent="0.25">
      <c r="A280" s="2" t="s">
        <v>5309</v>
      </c>
      <c r="B280" s="13" t="str">
        <f>VLOOKUP(A280,policy!B:C,2,0)</f>
        <v>070000178933</v>
      </c>
      <c r="C280" s="3">
        <v>70875</v>
      </c>
      <c r="D280" s="14">
        <f t="shared" si="17"/>
        <v>70875</v>
      </c>
      <c r="E280" s="19" t="s">
        <v>6323</v>
      </c>
      <c r="F280" s="15" t="str">
        <f t="shared" si="16"/>
        <v>insert into ins_premium_det (premium_rcv_code,assorted_code, rec_amount,premium_rcv_detail_code,remaining_amt, payrec, mode_code,coinsurance_code,class_cd,it_remarks) values</v>
      </c>
      <c r="G280" s="16" t="str">
        <f t="shared" si="18"/>
        <v>('27Mar250028','070000178933','70875',(select max(to_number(i.premium_rcv_detail_code))+1
from ins_premium_det i),'70875','70875','02', '11000003','00','Request by Mr. Saqib Saleem 28-Mar-2025');</v>
      </c>
      <c r="H280" s="17" t="str">
        <f t="shared" si="19"/>
        <v>insert into ins_premium_det (premium_rcv_code,assorted_code, rec_amount,premium_rcv_detail_code,remaining_amt, payrec, mode_code,coinsurance_code,class_cd,it_remarks) values('27Mar250028','070000178933','70875',(select max(to_number(i.premium_rcv_detail_code))+1
from ins_premium_det i),'70875','70875','02', '11000003','00','Request by Mr. Saqib Saleem 28-Mar-2025');</v>
      </c>
    </row>
    <row r="281" spans="1:8" ht="105" x14ac:dyDescent="0.25">
      <c r="A281" s="2" t="s">
        <v>5310</v>
      </c>
      <c r="B281" s="13" t="str">
        <f>VLOOKUP(A281,policy!B:C,2,0)</f>
        <v>070000178932</v>
      </c>
      <c r="C281" s="3">
        <v>52830</v>
      </c>
      <c r="D281" s="14">
        <f t="shared" si="17"/>
        <v>52830</v>
      </c>
      <c r="E281" s="19" t="s">
        <v>6323</v>
      </c>
      <c r="F281" s="15" t="str">
        <f t="shared" si="16"/>
        <v>insert into ins_premium_det (premium_rcv_code,assorted_code, rec_amount,premium_rcv_detail_code,remaining_amt, payrec, mode_code,coinsurance_code,class_cd,it_remarks) values</v>
      </c>
      <c r="G281" s="16" t="str">
        <f t="shared" si="18"/>
        <v>('27Mar250028','070000178932','52830',(select max(to_number(i.premium_rcv_detail_code))+1
from ins_premium_det i),'52830','52830','02', '11000003','00','Request by Mr. Saqib Saleem 28-Mar-2025');</v>
      </c>
      <c r="H281" s="17" t="str">
        <f t="shared" si="19"/>
        <v>insert into ins_premium_det (premium_rcv_code,assorted_code, rec_amount,premium_rcv_detail_code,remaining_amt, payrec, mode_code,coinsurance_code,class_cd,it_remarks) values('27Mar250028','070000178932','52830',(select max(to_number(i.premium_rcv_detail_code))+1
from ins_premium_det i),'52830','52830','02', '11000003','00','Request by Mr. Saqib Saleem 28-Mar-2025');</v>
      </c>
    </row>
    <row r="282" spans="1:8" ht="105" x14ac:dyDescent="0.25">
      <c r="A282" s="2" t="s">
        <v>5311</v>
      </c>
      <c r="B282" s="13" t="str">
        <f>VLOOKUP(A282,policy!B:C,2,0)</f>
        <v>070000177581</v>
      </c>
      <c r="C282" s="3">
        <v>29250</v>
      </c>
      <c r="D282" s="14">
        <f t="shared" si="17"/>
        <v>29250</v>
      </c>
      <c r="E282" s="19" t="s">
        <v>6323</v>
      </c>
      <c r="F282" s="15" t="str">
        <f t="shared" si="16"/>
        <v>insert into ins_premium_det (premium_rcv_code,assorted_code, rec_amount,premium_rcv_detail_code,remaining_amt, payrec, mode_code,coinsurance_code,class_cd,it_remarks) values</v>
      </c>
      <c r="G282" s="16" t="str">
        <f t="shared" si="18"/>
        <v>('27Mar250028','070000177581','29250',(select max(to_number(i.premium_rcv_detail_code))+1
from ins_premium_det i),'29250','29250','02', '11000003','00','Request by Mr. Saqib Saleem 28-Mar-2025');</v>
      </c>
      <c r="H282" s="17" t="str">
        <f t="shared" si="19"/>
        <v>insert into ins_premium_det (premium_rcv_code,assorted_code, rec_amount,premium_rcv_detail_code,remaining_amt, payrec, mode_code,coinsurance_code,class_cd,it_remarks) values('27Mar250028','070000177581','29250',(select max(to_number(i.premium_rcv_detail_code))+1
from ins_premium_det i),'29250','29250','02', '11000003','00','Request by Mr. Saqib Saleem 28-Mar-2025');</v>
      </c>
    </row>
    <row r="283" spans="1:8" ht="105" x14ac:dyDescent="0.25">
      <c r="A283" s="2" t="s">
        <v>5312</v>
      </c>
      <c r="B283" s="13" t="str">
        <f>VLOOKUP(A283,policy!B:C,2,0)</f>
        <v>070000177582</v>
      </c>
      <c r="C283" s="3">
        <v>35325</v>
      </c>
      <c r="D283" s="14">
        <f t="shared" si="17"/>
        <v>35325</v>
      </c>
      <c r="E283" s="19" t="s">
        <v>6323</v>
      </c>
      <c r="F283" s="15" t="str">
        <f t="shared" si="16"/>
        <v>insert into ins_premium_det (premium_rcv_code,assorted_code, rec_amount,premium_rcv_detail_code,remaining_amt, payrec, mode_code,coinsurance_code,class_cd,it_remarks) values</v>
      </c>
      <c r="G283" s="16" t="str">
        <f t="shared" si="18"/>
        <v>('27Mar250028','070000177582','35325',(select max(to_number(i.premium_rcv_detail_code))+1
from ins_premium_det i),'35325','35325','02', '11000003','00','Request by Mr. Saqib Saleem 28-Mar-2025');</v>
      </c>
      <c r="H283" s="17" t="str">
        <f t="shared" si="19"/>
        <v>insert into ins_premium_det (premium_rcv_code,assorted_code, rec_amount,premium_rcv_detail_code,remaining_amt, payrec, mode_code,coinsurance_code,class_cd,it_remarks) values('27Mar250028','070000177582','35325',(select max(to_number(i.premium_rcv_detail_code))+1
from ins_premium_det i),'35325','35325','02', '11000003','00','Request by Mr. Saqib Saleem 28-Mar-2025');</v>
      </c>
    </row>
    <row r="284" spans="1:8" ht="105" x14ac:dyDescent="0.25">
      <c r="A284" s="2" t="s">
        <v>5313</v>
      </c>
      <c r="B284" s="13" t="str">
        <f>VLOOKUP(A284,policy!B:C,2,0)</f>
        <v>070000177583</v>
      </c>
      <c r="C284" s="3">
        <v>35438</v>
      </c>
      <c r="D284" s="14">
        <f t="shared" si="17"/>
        <v>35438</v>
      </c>
      <c r="E284" s="19" t="s">
        <v>6323</v>
      </c>
      <c r="F284" s="15" t="str">
        <f t="shared" si="16"/>
        <v>insert into ins_premium_det (premium_rcv_code,assorted_code, rec_amount,premium_rcv_detail_code,remaining_amt, payrec, mode_code,coinsurance_code,class_cd,it_remarks) values</v>
      </c>
      <c r="G284" s="16" t="str">
        <f t="shared" si="18"/>
        <v>('27Mar250028','070000177583','35438',(select max(to_number(i.premium_rcv_detail_code))+1
from ins_premium_det i),'35438','35438','02', '11000003','00','Request by Mr. Saqib Saleem 28-Mar-2025');</v>
      </c>
      <c r="H284" s="17" t="str">
        <f t="shared" si="19"/>
        <v>insert into ins_premium_det (premium_rcv_code,assorted_code, rec_amount,premium_rcv_detail_code,remaining_amt, payrec, mode_code,coinsurance_code,class_cd,it_remarks) values('27Mar250028','070000177583','35438',(select max(to_number(i.premium_rcv_detail_code))+1
from ins_premium_det i),'35438','35438','02', '11000003','00','Request by Mr. Saqib Saleem 28-Mar-2025');</v>
      </c>
    </row>
    <row r="285" spans="1:8" ht="105" x14ac:dyDescent="0.25">
      <c r="A285" s="2" t="s">
        <v>5314</v>
      </c>
      <c r="B285" s="13" t="str">
        <f>VLOOKUP(A285,policy!B:C,2,0)</f>
        <v>070000177584</v>
      </c>
      <c r="C285" s="3">
        <v>27563</v>
      </c>
      <c r="D285" s="14">
        <f t="shared" si="17"/>
        <v>27563</v>
      </c>
      <c r="E285" s="19" t="s">
        <v>6323</v>
      </c>
      <c r="F285" s="15" t="str">
        <f t="shared" si="16"/>
        <v>insert into ins_premium_det (premium_rcv_code,assorted_code, rec_amount,premium_rcv_detail_code,remaining_amt, payrec, mode_code,coinsurance_code,class_cd,it_remarks) values</v>
      </c>
      <c r="G285" s="16" t="str">
        <f t="shared" si="18"/>
        <v>('27Mar250028','070000177584','27563',(select max(to_number(i.premium_rcv_detail_code))+1
from ins_premium_det i),'27563','27563','02', '11000003','00','Request by Mr. Saqib Saleem 28-Mar-2025');</v>
      </c>
      <c r="H285" s="17" t="str">
        <f t="shared" si="19"/>
        <v>insert into ins_premium_det (premium_rcv_code,assorted_code, rec_amount,premium_rcv_detail_code,remaining_amt, payrec, mode_code,coinsurance_code,class_cd,it_remarks) values('27Mar250028','070000177584','27563',(select max(to_number(i.premium_rcv_detail_code))+1
from ins_premium_det i),'27563','27563','02', '11000003','00','Request by Mr. Saqib Saleem 28-Mar-2025');</v>
      </c>
    </row>
    <row r="286" spans="1:8" ht="105" x14ac:dyDescent="0.25">
      <c r="A286" s="2" t="s">
        <v>5315</v>
      </c>
      <c r="B286" s="13" t="str">
        <f>VLOOKUP(A286,policy!B:C,2,0)</f>
        <v>070000177585</v>
      </c>
      <c r="C286" s="3">
        <v>27000</v>
      </c>
      <c r="D286" s="14">
        <f t="shared" si="17"/>
        <v>27000</v>
      </c>
      <c r="E286" s="19" t="s">
        <v>6323</v>
      </c>
      <c r="F286" s="15" t="str">
        <f t="shared" si="16"/>
        <v>insert into ins_premium_det (premium_rcv_code,assorted_code, rec_amount,premium_rcv_detail_code,remaining_amt, payrec, mode_code,coinsurance_code,class_cd,it_remarks) values</v>
      </c>
      <c r="G286" s="16" t="str">
        <f t="shared" si="18"/>
        <v>('27Mar250028','070000177585','27000',(select max(to_number(i.premium_rcv_detail_code))+1
from ins_premium_det i),'27000','27000','02', '11000003','00','Request by Mr. Saqib Saleem 28-Mar-2025');</v>
      </c>
      <c r="H286" s="17" t="str">
        <f t="shared" si="19"/>
        <v>insert into ins_premium_det (premium_rcv_code,assorted_code, rec_amount,premium_rcv_detail_code,remaining_amt, payrec, mode_code,coinsurance_code,class_cd,it_remarks) values('27Mar250028','070000177585','27000',(select max(to_number(i.premium_rcv_detail_code))+1
from ins_premium_det i),'27000','27000','02', '11000003','00','Request by Mr. Saqib Saleem 28-Mar-2025');</v>
      </c>
    </row>
    <row r="287" spans="1:8" ht="105" x14ac:dyDescent="0.25">
      <c r="A287" s="2" t="s">
        <v>5316</v>
      </c>
      <c r="B287" s="13" t="str">
        <f>VLOOKUP(A287,policy!B:C,2,0)</f>
        <v>070000177586</v>
      </c>
      <c r="C287" s="3">
        <v>43650</v>
      </c>
      <c r="D287" s="14">
        <f t="shared" si="17"/>
        <v>43650</v>
      </c>
      <c r="E287" s="19" t="s">
        <v>6323</v>
      </c>
      <c r="F287" s="15" t="str">
        <f t="shared" si="16"/>
        <v>insert into ins_premium_det (premium_rcv_code,assorted_code, rec_amount,premium_rcv_detail_code,remaining_amt, payrec, mode_code,coinsurance_code,class_cd,it_remarks) values</v>
      </c>
      <c r="G287" s="16" t="str">
        <f t="shared" si="18"/>
        <v>('27Mar250028','070000177586','43650',(select max(to_number(i.premium_rcv_detail_code))+1
from ins_premium_det i),'43650','43650','02', '11000003','00','Request by Mr. Saqib Saleem 28-Mar-2025');</v>
      </c>
      <c r="H287" s="17" t="str">
        <f t="shared" si="19"/>
        <v>insert into ins_premium_det (premium_rcv_code,assorted_code, rec_amount,premium_rcv_detail_code,remaining_amt, payrec, mode_code,coinsurance_code,class_cd,it_remarks) values('27Mar250028','070000177586','43650',(select max(to_number(i.premium_rcv_detail_code))+1
from ins_premium_det i),'43650','43650','02', '11000003','00','Request by Mr. Saqib Saleem 28-Mar-2025');</v>
      </c>
    </row>
    <row r="288" spans="1:8" ht="105" x14ac:dyDescent="0.25">
      <c r="A288" s="2" t="s">
        <v>5317</v>
      </c>
      <c r="B288" s="13" t="str">
        <f>VLOOKUP(A288,policy!B:C,2,0)</f>
        <v>070000177587</v>
      </c>
      <c r="C288" s="3">
        <v>53745</v>
      </c>
      <c r="D288" s="14">
        <f t="shared" si="17"/>
        <v>53745</v>
      </c>
      <c r="E288" s="19" t="s">
        <v>6323</v>
      </c>
      <c r="F288" s="15" t="str">
        <f t="shared" si="16"/>
        <v>insert into ins_premium_det (premium_rcv_code,assorted_code, rec_amount,premium_rcv_detail_code,remaining_amt, payrec, mode_code,coinsurance_code,class_cd,it_remarks) values</v>
      </c>
      <c r="G288" s="16" t="str">
        <f t="shared" si="18"/>
        <v>('27Mar250028','070000177587','53745',(select max(to_number(i.premium_rcv_detail_code))+1
from ins_premium_det i),'53745','53745','02', '11000003','00','Request by Mr. Saqib Saleem 28-Mar-2025');</v>
      </c>
      <c r="H288" s="17" t="str">
        <f t="shared" si="19"/>
        <v>insert into ins_premium_det (premium_rcv_code,assorted_code, rec_amount,premium_rcv_detail_code,remaining_amt, payrec, mode_code,coinsurance_code,class_cd,it_remarks) values('27Mar250028','070000177587','53745',(select max(to_number(i.premium_rcv_detail_code))+1
from ins_premium_det i),'53745','53745','02', '11000003','00','Request by Mr. Saqib Saleem 28-Mar-2025');</v>
      </c>
    </row>
    <row r="289" spans="1:8" ht="105" x14ac:dyDescent="0.25">
      <c r="A289" s="2" t="s">
        <v>5318</v>
      </c>
      <c r="B289" s="13" t="str">
        <f>VLOOKUP(A289,policy!B:C,2,0)</f>
        <v>070000178931</v>
      </c>
      <c r="C289" s="3">
        <v>18480</v>
      </c>
      <c r="D289" s="14">
        <f t="shared" si="17"/>
        <v>18480</v>
      </c>
      <c r="E289" s="19" t="s">
        <v>6323</v>
      </c>
      <c r="F289" s="15" t="str">
        <f t="shared" si="16"/>
        <v>insert into ins_premium_det (premium_rcv_code,assorted_code, rec_amount,premium_rcv_detail_code,remaining_amt, payrec, mode_code,coinsurance_code,class_cd,it_remarks) values</v>
      </c>
      <c r="G289" s="16" t="str">
        <f t="shared" si="18"/>
        <v>('27Mar250028','070000178931','18480',(select max(to_number(i.premium_rcv_detail_code))+1
from ins_premium_det i),'18480','18480','02', '11000003','00','Request by Mr. Saqib Saleem 28-Mar-2025');</v>
      </c>
      <c r="H289" s="17" t="str">
        <f t="shared" si="19"/>
        <v>insert into ins_premium_det (premium_rcv_code,assorted_code, rec_amount,premium_rcv_detail_code,remaining_amt, payrec, mode_code,coinsurance_code,class_cd,it_remarks) values('27Mar250028','070000178931','18480',(select max(to_number(i.premium_rcv_detail_code))+1
from ins_premium_det i),'18480','18480','02', '11000003','00','Request by Mr. Saqib Saleem 28-Mar-2025');</v>
      </c>
    </row>
    <row r="290" spans="1:8" ht="105" x14ac:dyDescent="0.25">
      <c r="A290" s="2" t="s">
        <v>5319</v>
      </c>
      <c r="B290" s="13" t="str">
        <f>VLOOKUP(A290,policy!B:C,2,0)</f>
        <v>070000177588</v>
      </c>
      <c r="C290" s="3">
        <v>58200</v>
      </c>
      <c r="D290" s="14">
        <f t="shared" si="17"/>
        <v>58200</v>
      </c>
      <c r="E290" s="19" t="s">
        <v>6323</v>
      </c>
      <c r="F290" s="15" t="str">
        <f t="shared" si="16"/>
        <v>insert into ins_premium_det (premium_rcv_code,assorted_code, rec_amount,premium_rcv_detail_code,remaining_amt, payrec, mode_code,coinsurance_code,class_cd,it_remarks) values</v>
      </c>
      <c r="G290" s="16" t="str">
        <f t="shared" si="18"/>
        <v>('27Mar250028','070000177588','58200',(select max(to_number(i.premium_rcv_detail_code))+1
from ins_premium_det i),'58200','58200','02', '11000003','00','Request by Mr. Saqib Saleem 28-Mar-2025');</v>
      </c>
      <c r="H290" s="17" t="str">
        <f t="shared" si="19"/>
        <v>insert into ins_premium_det (premium_rcv_code,assorted_code, rec_amount,premium_rcv_detail_code,remaining_amt, payrec, mode_code,coinsurance_code,class_cd,it_remarks) values('27Mar250028','070000177588','58200',(select max(to_number(i.premium_rcv_detail_code))+1
from ins_premium_det i),'58200','58200','02', '11000003','00','Request by Mr. Saqib Saleem 28-Mar-2025');</v>
      </c>
    </row>
    <row r="291" spans="1:8" ht="105" x14ac:dyDescent="0.25">
      <c r="A291" s="2" t="s">
        <v>5320</v>
      </c>
      <c r="B291" s="13" t="str">
        <f>VLOOKUP(A291,policy!B:C,2,0)</f>
        <v>070000178930</v>
      </c>
      <c r="C291" s="3">
        <v>23280</v>
      </c>
      <c r="D291" s="14">
        <f t="shared" si="17"/>
        <v>23280</v>
      </c>
      <c r="E291" s="19" t="s">
        <v>6323</v>
      </c>
      <c r="F291" s="15" t="str">
        <f t="shared" si="16"/>
        <v>insert into ins_premium_det (premium_rcv_code,assorted_code, rec_amount,premium_rcv_detail_code,remaining_amt, payrec, mode_code,coinsurance_code,class_cd,it_remarks) values</v>
      </c>
      <c r="G291" s="16" t="str">
        <f t="shared" si="18"/>
        <v>('27Mar250028','070000178930','23280',(select max(to_number(i.premium_rcv_detail_code))+1
from ins_premium_det i),'23280','23280','02', '11000003','00','Request by Mr. Saqib Saleem 28-Mar-2025');</v>
      </c>
      <c r="H291" s="17" t="str">
        <f t="shared" si="19"/>
        <v>insert into ins_premium_det (premium_rcv_code,assorted_code, rec_amount,premium_rcv_detail_code,remaining_amt, payrec, mode_code,coinsurance_code,class_cd,it_remarks) values('27Mar250028','070000178930','23280',(select max(to_number(i.premium_rcv_detail_code))+1
from ins_premium_det i),'23280','23280','02', '11000003','00','Request by Mr. Saqib Saleem 28-Mar-2025');</v>
      </c>
    </row>
    <row r="292" spans="1:8" ht="105" x14ac:dyDescent="0.25">
      <c r="A292" s="2" t="s">
        <v>5321</v>
      </c>
      <c r="B292" s="13" t="str">
        <f>VLOOKUP(A292,policy!B:C,2,0)</f>
        <v>070000177589</v>
      </c>
      <c r="C292" s="3">
        <v>34313</v>
      </c>
      <c r="D292" s="14">
        <f t="shared" si="17"/>
        <v>34313</v>
      </c>
      <c r="E292" s="19" t="s">
        <v>6323</v>
      </c>
      <c r="F292" s="15" t="str">
        <f t="shared" si="16"/>
        <v>insert into ins_premium_det (premium_rcv_code,assorted_code, rec_amount,premium_rcv_detail_code,remaining_amt, payrec, mode_code,coinsurance_code,class_cd,it_remarks) values</v>
      </c>
      <c r="G292" s="16" t="str">
        <f t="shared" si="18"/>
        <v>('27Mar250028','070000177589','34313',(select max(to_number(i.premium_rcv_detail_code))+1
from ins_premium_det i),'34313','34313','02', '11000003','00','Request by Mr. Saqib Saleem 28-Mar-2025');</v>
      </c>
      <c r="H292" s="17" t="str">
        <f t="shared" si="19"/>
        <v>insert into ins_premium_det (premium_rcv_code,assorted_code, rec_amount,premium_rcv_detail_code,remaining_amt, payrec, mode_code,coinsurance_code,class_cd,it_remarks) values('27Mar250028','070000177589','34313',(select max(to_number(i.premium_rcv_detail_code))+1
from ins_premium_det i),'34313','34313','02', '11000003','00','Request by Mr. Saqib Saleem 28-Mar-2025');</v>
      </c>
    </row>
    <row r="293" spans="1:8" ht="105" x14ac:dyDescent="0.25">
      <c r="A293" s="2" t="s">
        <v>5322</v>
      </c>
      <c r="B293" s="13" t="str">
        <f>VLOOKUP(A293,policy!B:C,2,0)</f>
        <v>070000177591</v>
      </c>
      <c r="C293" s="3">
        <v>29625</v>
      </c>
      <c r="D293" s="14">
        <f t="shared" si="17"/>
        <v>29625</v>
      </c>
      <c r="E293" s="19" t="s">
        <v>6323</v>
      </c>
      <c r="F293" s="15" t="str">
        <f t="shared" si="16"/>
        <v>insert into ins_premium_det (premium_rcv_code,assorted_code, rec_amount,premium_rcv_detail_code,remaining_amt, payrec, mode_code,coinsurance_code,class_cd,it_remarks) values</v>
      </c>
      <c r="G293" s="16" t="str">
        <f t="shared" si="18"/>
        <v>('27Mar250028','070000177591','29625',(select max(to_number(i.premium_rcv_detail_code))+1
from ins_premium_det i),'29625','29625','02', '11000003','00','Request by Mr. Saqib Saleem 28-Mar-2025');</v>
      </c>
      <c r="H293" s="17" t="str">
        <f t="shared" si="19"/>
        <v>insert into ins_premium_det (premium_rcv_code,assorted_code, rec_amount,premium_rcv_detail_code,remaining_amt, payrec, mode_code,coinsurance_code,class_cd,it_remarks) values('27Mar250028','070000177591','29625',(select max(to_number(i.premium_rcv_detail_code))+1
from ins_premium_det i),'29625','29625','02', '11000003','00','Request by Mr. Saqib Saleem 28-Mar-2025');</v>
      </c>
    </row>
    <row r="294" spans="1:8" ht="105" x14ac:dyDescent="0.25">
      <c r="A294" s="2" t="s">
        <v>5323</v>
      </c>
      <c r="B294" s="13" t="str">
        <f>VLOOKUP(A294,policy!B:C,2,0)</f>
        <v>070000177592</v>
      </c>
      <c r="C294" s="3">
        <v>23190</v>
      </c>
      <c r="D294" s="14">
        <f t="shared" si="17"/>
        <v>23190</v>
      </c>
      <c r="E294" s="19" t="s">
        <v>6323</v>
      </c>
      <c r="F294" s="15" t="str">
        <f t="shared" si="16"/>
        <v>insert into ins_premium_det (premium_rcv_code,assorted_code, rec_amount,premium_rcv_detail_code,remaining_amt, payrec, mode_code,coinsurance_code,class_cd,it_remarks) values</v>
      </c>
      <c r="G294" s="16" t="str">
        <f t="shared" si="18"/>
        <v>('27Mar250028','070000177592','23190',(select max(to_number(i.premium_rcv_detail_code))+1
from ins_premium_det i),'23190','23190','02', '11000003','00','Request by Mr. Saqib Saleem 28-Mar-2025');</v>
      </c>
      <c r="H294" s="17" t="str">
        <f t="shared" si="19"/>
        <v>insert into ins_premium_det (premium_rcv_code,assorted_code, rec_amount,premium_rcv_detail_code,remaining_amt, payrec, mode_code,coinsurance_code,class_cd,it_remarks) values('27Mar250028','070000177592','23190',(select max(to_number(i.premium_rcv_detail_code))+1
from ins_premium_det i),'23190','23190','02', '11000003','00','Request by Mr. Saqib Saleem 28-Mar-2025');</v>
      </c>
    </row>
    <row r="295" spans="1:8" ht="105" x14ac:dyDescent="0.25">
      <c r="A295" s="2" t="s">
        <v>5324</v>
      </c>
      <c r="B295" s="13" t="str">
        <f>VLOOKUP(A295,policy!B:C,2,0)</f>
        <v>070000178929</v>
      </c>
      <c r="C295" s="3">
        <v>33600</v>
      </c>
      <c r="D295" s="14">
        <f t="shared" si="17"/>
        <v>33600</v>
      </c>
      <c r="E295" s="19" t="s">
        <v>6323</v>
      </c>
      <c r="F295" s="15" t="str">
        <f t="shared" si="16"/>
        <v>insert into ins_premium_det (premium_rcv_code,assorted_code, rec_amount,premium_rcv_detail_code,remaining_amt, payrec, mode_code,coinsurance_code,class_cd,it_remarks) values</v>
      </c>
      <c r="G295" s="16" t="str">
        <f t="shared" si="18"/>
        <v>('27Mar250028','070000178929','33600',(select max(to_number(i.premium_rcv_detail_code))+1
from ins_premium_det i),'33600','33600','02', '11000003','00','Request by Mr. Saqib Saleem 28-Mar-2025');</v>
      </c>
      <c r="H295" s="17" t="str">
        <f t="shared" si="19"/>
        <v>insert into ins_premium_det (premium_rcv_code,assorted_code, rec_amount,premium_rcv_detail_code,remaining_amt, payrec, mode_code,coinsurance_code,class_cd,it_remarks) values('27Mar250028','070000178929','33600',(select max(to_number(i.premium_rcv_detail_code))+1
from ins_premium_det i),'33600','33600','02', '11000003','00','Request by Mr. Saqib Saleem 28-Mar-2025');</v>
      </c>
    </row>
    <row r="296" spans="1:8" ht="105" x14ac:dyDescent="0.25">
      <c r="A296" s="2" t="s">
        <v>5325</v>
      </c>
      <c r="B296" s="13" t="str">
        <f>VLOOKUP(A296,policy!B:C,2,0)</f>
        <v>070000178928</v>
      </c>
      <c r="C296" s="3">
        <v>44400</v>
      </c>
      <c r="D296" s="14">
        <f t="shared" si="17"/>
        <v>44400</v>
      </c>
      <c r="E296" s="19" t="s">
        <v>6323</v>
      </c>
      <c r="F296" s="15" t="str">
        <f t="shared" si="16"/>
        <v>insert into ins_premium_det (premium_rcv_code,assorted_code, rec_amount,premium_rcv_detail_code,remaining_amt, payrec, mode_code,coinsurance_code,class_cd,it_remarks) values</v>
      </c>
      <c r="G296" s="16" t="str">
        <f t="shared" si="18"/>
        <v>('27Mar250028','070000178928','44400',(select max(to_number(i.premium_rcv_detail_code))+1
from ins_premium_det i),'44400','44400','02', '11000003','00','Request by Mr. Saqib Saleem 28-Mar-2025');</v>
      </c>
      <c r="H296" s="17" t="str">
        <f t="shared" si="19"/>
        <v>insert into ins_premium_det (premium_rcv_code,assorted_code, rec_amount,premium_rcv_detail_code,remaining_amt, payrec, mode_code,coinsurance_code,class_cd,it_remarks) values('27Mar250028','070000178928','44400',(select max(to_number(i.premium_rcv_detail_code))+1
from ins_premium_det i),'44400','44400','02', '11000003','00','Request by Mr. Saqib Saleem 28-Mar-2025');</v>
      </c>
    </row>
    <row r="297" spans="1:8" ht="105" x14ac:dyDescent="0.25">
      <c r="A297" s="2" t="s">
        <v>5326</v>
      </c>
      <c r="B297" s="13" t="str">
        <f>VLOOKUP(A297,policy!B:C,2,0)</f>
        <v>070000177598</v>
      </c>
      <c r="C297" s="3">
        <v>16875</v>
      </c>
      <c r="D297" s="14">
        <f t="shared" si="17"/>
        <v>16875</v>
      </c>
      <c r="E297" s="19" t="s">
        <v>6323</v>
      </c>
      <c r="F297" s="15" t="str">
        <f t="shared" si="16"/>
        <v>insert into ins_premium_det (premium_rcv_code,assorted_code, rec_amount,premium_rcv_detail_code,remaining_amt, payrec, mode_code,coinsurance_code,class_cd,it_remarks) values</v>
      </c>
      <c r="G297" s="16" t="str">
        <f t="shared" si="18"/>
        <v>('27Mar250028','070000177598','16875',(select max(to_number(i.premium_rcv_detail_code))+1
from ins_premium_det i),'16875','16875','02', '11000003','00','Request by Mr. Saqib Saleem 28-Mar-2025');</v>
      </c>
      <c r="H297" s="17" t="str">
        <f t="shared" si="19"/>
        <v>insert into ins_premium_det (premium_rcv_code,assorted_code, rec_amount,premium_rcv_detail_code,remaining_amt, payrec, mode_code,coinsurance_code,class_cd,it_remarks) values('27Mar250028','070000177598','16875',(select max(to_number(i.premium_rcv_detail_code))+1
from ins_premium_det i),'16875','16875','02', '11000003','00','Request by Mr. Saqib Saleem 28-Mar-2025');</v>
      </c>
    </row>
    <row r="298" spans="1:8" ht="105" x14ac:dyDescent="0.25">
      <c r="A298" s="2" t="s">
        <v>5327</v>
      </c>
      <c r="B298" s="13" t="str">
        <f>VLOOKUP(A298,policy!B:C,2,0)</f>
        <v>070000178927</v>
      </c>
      <c r="C298" s="3">
        <v>53550</v>
      </c>
      <c r="D298" s="14">
        <f t="shared" si="17"/>
        <v>53550</v>
      </c>
      <c r="E298" s="19" t="s">
        <v>6323</v>
      </c>
      <c r="F298" s="15" t="str">
        <f t="shared" si="16"/>
        <v>insert into ins_premium_det (premium_rcv_code,assorted_code, rec_amount,premium_rcv_detail_code,remaining_amt, payrec, mode_code,coinsurance_code,class_cd,it_remarks) values</v>
      </c>
      <c r="G298" s="16" t="str">
        <f t="shared" si="18"/>
        <v>('27Mar250028','070000178927','53550',(select max(to_number(i.premium_rcv_detail_code))+1
from ins_premium_det i),'53550','53550','02', '11000003','00','Request by Mr. Saqib Saleem 28-Mar-2025');</v>
      </c>
      <c r="H298" s="17" t="str">
        <f t="shared" si="19"/>
        <v>insert into ins_premium_det (premium_rcv_code,assorted_code, rec_amount,premium_rcv_detail_code,remaining_amt, payrec, mode_code,coinsurance_code,class_cd,it_remarks) values('27Mar250028','070000178927','53550',(select max(to_number(i.premium_rcv_detail_code))+1
from ins_premium_det i),'53550','53550','02', '11000003','00','Request by Mr. Saqib Saleem 28-Mar-2025');</v>
      </c>
    </row>
    <row r="299" spans="1:8" ht="105" x14ac:dyDescent="0.25">
      <c r="A299" s="2" t="s">
        <v>5328</v>
      </c>
      <c r="B299" s="13" t="str">
        <f>VLOOKUP(A299,policy!B:C,2,0)</f>
        <v>070000177601</v>
      </c>
      <c r="C299" s="3">
        <v>29625</v>
      </c>
      <c r="D299" s="14">
        <f t="shared" si="17"/>
        <v>29625</v>
      </c>
      <c r="E299" s="19" t="s">
        <v>6323</v>
      </c>
      <c r="F299" s="15" t="str">
        <f t="shared" si="16"/>
        <v>insert into ins_premium_det (premium_rcv_code,assorted_code, rec_amount,premium_rcv_detail_code,remaining_amt, payrec, mode_code,coinsurance_code,class_cd,it_remarks) values</v>
      </c>
      <c r="G299" s="16" t="str">
        <f t="shared" si="18"/>
        <v>('27Mar250028','070000177601','29625',(select max(to_number(i.premium_rcv_detail_code))+1
from ins_premium_det i),'29625','29625','02', '11000003','00','Request by Mr. Saqib Saleem 28-Mar-2025');</v>
      </c>
      <c r="H299" s="17" t="str">
        <f t="shared" si="19"/>
        <v>insert into ins_premium_det (premium_rcv_code,assorted_code, rec_amount,premium_rcv_detail_code,remaining_amt, payrec, mode_code,coinsurance_code,class_cd,it_remarks) values('27Mar250028','070000177601','29625',(select max(to_number(i.premium_rcv_detail_code))+1
from ins_premium_det i),'29625','29625','02', '11000003','00','Request by Mr. Saqib Saleem 28-Mar-2025');</v>
      </c>
    </row>
    <row r="300" spans="1:8" ht="105" x14ac:dyDescent="0.25">
      <c r="A300" s="2" t="s">
        <v>5329</v>
      </c>
      <c r="B300" s="13" t="str">
        <f>VLOOKUP(A300,policy!B:C,2,0)</f>
        <v>070000177603</v>
      </c>
      <c r="C300" s="3">
        <v>136222</v>
      </c>
      <c r="D300" s="14">
        <f t="shared" si="17"/>
        <v>136222</v>
      </c>
      <c r="E300" s="19" t="s">
        <v>6323</v>
      </c>
      <c r="F300" s="15" t="str">
        <f t="shared" si="16"/>
        <v>insert into ins_premium_det (premium_rcv_code,assorted_code, rec_amount,premium_rcv_detail_code,remaining_amt, payrec, mode_code,coinsurance_code,class_cd,it_remarks) values</v>
      </c>
      <c r="G300" s="16" t="str">
        <f t="shared" si="18"/>
        <v>('27Mar250028','070000177603','136222',(select max(to_number(i.premium_rcv_detail_code))+1
from ins_premium_det i),'136222','136222','02', '11000003','00','Request by Mr. Saqib Saleem 28-Mar-2025');</v>
      </c>
      <c r="H300" s="17" t="str">
        <f t="shared" si="19"/>
        <v>insert into ins_premium_det (premium_rcv_code,assorted_code, rec_amount,premium_rcv_detail_code,remaining_amt, payrec, mode_code,coinsurance_code,class_cd,it_remarks) values('27Mar250028','070000177603','136222',(select max(to_number(i.premium_rcv_detail_code))+1
from ins_premium_det i),'136222','136222','02', '11000003','00','Request by Mr. Saqib Saleem 28-Mar-2025');</v>
      </c>
    </row>
    <row r="301" spans="1:8" ht="105" x14ac:dyDescent="0.25">
      <c r="A301" s="2" t="s">
        <v>5330</v>
      </c>
      <c r="B301" s="13" t="str">
        <f>VLOOKUP(A301,policy!B:C,2,0)</f>
        <v>070000177605</v>
      </c>
      <c r="C301" s="3">
        <v>29750</v>
      </c>
      <c r="D301" s="14">
        <f t="shared" si="17"/>
        <v>29750</v>
      </c>
      <c r="E301" s="19" t="s">
        <v>6323</v>
      </c>
      <c r="F301" s="15" t="str">
        <f t="shared" si="16"/>
        <v>insert into ins_premium_det (premium_rcv_code,assorted_code, rec_amount,premium_rcv_detail_code,remaining_amt, payrec, mode_code,coinsurance_code,class_cd,it_remarks) values</v>
      </c>
      <c r="G301" s="16" t="str">
        <f t="shared" si="18"/>
        <v>('27Mar250028','070000177605','29750',(select max(to_number(i.premium_rcv_detail_code))+1
from ins_premium_det i),'29750','29750','02', '11000003','00','Request by Mr. Saqib Saleem 28-Mar-2025');</v>
      </c>
      <c r="H301" s="17" t="str">
        <f t="shared" si="19"/>
        <v>insert into ins_premium_det (premium_rcv_code,assorted_code, rec_amount,premium_rcv_detail_code,remaining_amt, payrec, mode_code,coinsurance_code,class_cd,it_remarks) values('27Mar250028','070000177605','29750',(select max(to_number(i.premium_rcv_detail_code))+1
from ins_premium_det i),'29750','29750','02', '11000003','00','Request by Mr. Saqib Saleem 28-Mar-2025');</v>
      </c>
    </row>
    <row r="302" spans="1:8" ht="105" x14ac:dyDescent="0.25">
      <c r="A302" s="2" t="s">
        <v>5331</v>
      </c>
      <c r="B302" s="13" t="str">
        <f>VLOOKUP(A302,policy!B:C,2,0)</f>
        <v>070000177607</v>
      </c>
      <c r="C302" s="3">
        <v>26438</v>
      </c>
      <c r="D302" s="14">
        <f t="shared" si="17"/>
        <v>26438</v>
      </c>
      <c r="E302" s="19" t="s">
        <v>6323</v>
      </c>
      <c r="F302" s="15" t="str">
        <f t="shared" si="16"/>
        <v>insert into ins_premium_det (premium_rcv_code,assorted_code, rec_amount,premium_rcv_detail_code,remaining_amt, payrec, mode_code,coinsurance_code,class_cd,it_remarks) values</v>
      </c>
      <c r="G302" s="16" t="str">
        <f t="shared" si="18"/>
        <v>('27Mar250028','070000177607','26438',(select max(to_number(i.premium_rcv_detail_code))+1
from ins_premium_det i),'26438','26438','02', '11000003','00','Request by Mr. Saqib Saleem 28-Mar-2025');</v>
      </c>
      <c r="H302" s="17" t="str">
        <f t="shared" si="19"/>
        <v>insert into ins_premium_det (premium_rcv_code,assorted_code, rec_amount,premium_rcv_detail_code,remaining_amt, payrec, mode_code,coinsurance_code,class_cd,it_remarks) values('27Mar250028','070000177607','26438',(select max(to_number(i.premium_rcv_detail_code))+1
from ins_premium_det i),'26438','26438','02', '11000003','00','Request by Mr. Saqib Saleem 28-Mar-2025');</v>
      </c>
    </row>
    <row r="303" spans="1:8" ht="105" x14ac:dyDescent="0.25">
      <c r="A303" s="2" t="s">
        <v>5332</v>
      </c>
      <c r="B303" s="13" t="str">
        <f>VLOOKUP(A303,policy!B:C,2,0)</f>
        <v>070000177609</v>
      </c>
      <c r="C303" s="3">
        <v>32063</v>
      </c>
      <c r="D303" s="14">
        <f t="shared" si="17"/>
        <v>32063</v>
      </c>
      <c r="E303" s="19" t="s">
        <v>6323</v>
      </c>
      <c r="F303" s="15" t="str">
        <f t="shared" si="16"/>
        <v>insert into ins_premium_det (premium_rcv_code,assorted_code, rec_amount,premium_rcv_detail_code,remaining_amt, payrec, mode_code,coinsurance_code,class_cd,it_remarks) values</v>
      </c>
      <c r="G303" s="16" t="str">
        <f t="shared" si="18"/>
        <v>('27Mar250028','070000177609','32063',(select max(to_number(i.premium_rcv_detail_code))+1
from ins_premium_det i),'32063','32063','02', '11000003','00','Request by Mr. Saqib Saleem 28-Mar-2025');</v>
      </c>
      <c r="H303" s="17" t="str">
        <f t="shared" si="19"/>
        <v>insert into ins_premium_det (premium_rcv_code,assorted_code, rec_amount,premium_rcv_detail_code,remaining_amt, payrec, mode_code,coinsurance_code,class_cd,it_remarks) values('27Mar250028','070000177609','32063',(select max(to_number(i.premium_rcv_detail_code))+1
from ins_premium_det i),'32063','32063','02', '11000003','00','Request by Mr. Saqib Saleem 28-Mar-2025');</v>
      </c>
    </row>
    <row r="304" spans="1:8" ht="105" x14ac:dyDescent="0.25">
      <c r="A304" s="2" t="s">
        <v>5333</v>
      </c>
      <c r="B304" s="13" t="str">
        <f>VLOOKUP(A304,policy!B:C,2,0)</f>
        <v>070000177610</v>
      </c>
      <c r="C304" s="3">
        <v>23400</v>
      </c>
      <c r="D304" s="14">
        <f t="shared" si="17"/>
        <v>23400</v>
      </c>
      <c r="E304" s="19" t="s">
        <v>6323</v>
      </c>
      <c r="F304" s="15" t="str">
        <f t="shared" si="16"/>
        <v>insert into ins_premium_det (premium_rcv_code,assorted_code, rec_amount,premium_rcv_detail_code,remaining_amt, payrec, mode_code,coinsurance_code,class_cd,it_remarks) values</v>
      </c>
      <c r="G304" s="16" t="str">
        <f t="shared" si="18"/>
        <v>('27Mar250028','070000177610','23400',(select max(to_number(i.premium_rcv_detail_code))+1
from ins_premium_det i),'23400','23400','02', '11000003','00','Request by Mr. Saqib Saleem 28-Mar-2025');</v>
      </c>
      <c r="H304" s="17" t="str">
        <f t="shared" si="19"/>
        <v>insert into ins_premium_det (premium_rcv_code,assorted_code, rec_amount,premium_rcv_detail_code,remaining_amt, payrec, mode_code,coinsurance_code,class_cd,it_remarks) values('27Mar250028','070000177610','23400',(select max(to_number(i.premium_rcv_detail_code))+1
from ins_premium_det i),'23400','23400','02', '11000003','00','Request by Mr. Saqib Saleem 28-Mar-2025');</v>
      </c>
    </row>
    <row r="305" spans="1:8" ht="105" x14ac:dyDescent="0.25">
      <c r="A305" s="2" t="s">
        <v>5334</v>
      </c>
      <c r="B305" s="13" t="str">
        <f>VLOOKUP(A305,policy!B:C,2,0)</f>
        <v>070000177612</v>
      </c>
      <c r="C305" s="3">
        <v>24750</v>
      </c>
      <c r="D305" s="14">
        <f t="shared" si="17"/>
        <v>24750</v>
      </c>
      <c r="E305" s="19" t="s">
        <v>6323</v>
      </c>
      <c r="F305" s="15" t="str">
        <f t="shared" si="16"/>
        <v>insert into ins_premium_det (premium_rcv_code,assorted_code, rec_amount,premium_rcv_detail_code,remaining_amt, payrec, mode_code,coinsurance_code,class_cd,it_remarks) values</v>
      </c>
      <c r="G305" s="16" t="str">
        <f t="shared" si="18"/>
        <v>('27Mar250028','070000177612','24750',(select max(to_number(i.premium_rcv_detail_code))+1
from ins_premium_det i),'24750','24750','02', '11000003','00','Request by Mr. Saqib Saleem 28-Mar-2025');</v>
      </c>
      <c r="H305" s="17" t="str">
        <f t="shared" si="19"/>
        <v>insert into ins_premium_det (premium_rcv_code,assorted_code, rec_amount,premium_rcv_detail_code,remaining_amt, payrec, mode_code,coinsurance_code,class_cd,it_remarks) values('27Mar250028','070000177612','24750',(select max(to_number(i.premium_rcv_detail_code))+1
from ins_premium_det i),'24750','24750','02', '11000003','00','Request by Mr. Saqib Saleem 28-Mar-2025');</v>
      </c>
    </row>
    <row r="306" spans="1:8" ht="105" x14ac:dyDescent="0.25">
      <c r="A306" s="2" t="s">
        <v>5335</v>
      </c>
      <c r="B306" s="13" t="str">
        <f>VLOOKUP(A306,policy!B:C,2,0)</f>
        <v>070000177613</v>
      </c>
      <c r="C306" s="3">
        <v>20025</v>
      </c>
      <c r="D306" s="14">
        <f t="shared" si="17"/>
        <v>20025</v>
      </c>
      <c r="E306" s="19" t="s">
        <v>6323</v>
      </c>
      <c r="F306" s="15" t="str">
        <f t="shared" si="16"/>
        <v>insert into ins_premium_det (premium_rcv_code,assorted_code, rec_amount,premium_rcv_detail_code,remaining_amt, payrec, mode_code,coinsurance_code,class_cd,it_remarks) values</v>
      </c>
      <c r="G306" s="16" t="str">
        <f t="shared" si="18"/>
        <v>('27Mar250028','070000177613','20025',(select max(to_number(i.premium_rcv_detail_code))+1
from ins_premium_det i),'20025','20025','02', '11000003','00','Request by Mr. Saqib Saleem 28-Mar-2025');</v>
      </c>
      <c r="H306" s="17" t="str">
        <f t="shared" si="19"/>
        <v>insert into ins_premium_det (premium_rcv_code,assorted_code, rec_amount,premium_rcv_detail_code,remaining_amt, payrec, mode_code,coinsurance_code,class_cd,it_remarks) values('27Mar250028','070000177613','20025',(select max(to_number(i.premium_rcv_detail_code))+1
from ins_premium_det i),'20025','20025','02', '11000003','00','Request by Mr. Saqib Saleem 28-Mar-2025');</v>
      </c>
    </row>
    <row r="307" spans="1:8" ht="105" x14ac:dyDescent="0.25">
      <c r="A307" s="2" t="s">
        <v>5336</v>
      </c>
      <c r="B307" s="13" t="str">
        <f>VLOOKUP(A307,policy!B:C,2,0)</f>
        <v>070000177614</v>
      </c>
      <c r="C307" s="3">
        <v>24000</v>
      </c>
      <c r="D307" s="14">
        <f t="shared" si="17"/>
        <v>24000</v>
      </c>
      <c r="E307" s="19" t="s">
        <v>6323</v>
      </c>
      <c r="F307" s="15" t="str">
        <f t="shared" si="16"/>
        <v>insert into ins_premium_det (premium_rcv_code,assorted_code, rec_amount,premium_rcv_detail_code,remaining_amt, payrec, mode_code,coinsurance_code,class_cd,it_remarks) values</v>
      </c>
      <c r="G307" s="16" t="str">
        <f t="shared" si="18"/>
        <v>('27Mar250028','070000177614','24000',(select max(to_number(i.premium_rcv_detail_code))+1
from ins_premium_det i),'24000','24000','02', '11000003','00','Request by Mr. Saqib Saleem 28-Mar-2025');</v>
      </c>
      <c r="H307" s="17" t="str">
        <f t="shared" si="19"/>
        <v>insert into ins_premium_det (premium_rcv_code,assorted_code, rec_amount,premium_rcv_detail_code,remaining_amt, payrec, mode_code,coinsurance_code,class_cd,it_remarks) values('27Mar250028','070000177614','24000',(select max(to_number(i.premium_rcv_detail_code))+1
from ins_premium_det i),'24000','24000','02', '11000003','00','Request by Mr. Saqib Saleem 28-Mar-2025');</v>
      </c>
    </row>
    <row r="308" spans="1:8" ht="105" x14ac:dyDescent="0.25">
      <c r="A308" s="2" t="s">
        <v>5337</v>
      </c>
      <c r="B308" s="13" t="str">
        <f>VLOOKUP(A308,policy!B:C,2,0)</f>
        <v>070000177615</v>
      </c>
      <c r="C308" s="3">
        <v>25950</v>
      </c>
      <c r="D308" s="14">
        <f t="shared" si="17"/>
        <v>25950</v>
      </c>
      <c r="E308" s="19" t="s">
        <v>6323</v>
      </c>
      <c r="F308" s="15" t="str">
        <f t="shared" si="16"/>
        <v>insert into ins_premium_det (premium_rcv_code,assorted_code, rec_amount,premium_rcv_detail_code,remaining_amt, payrec, mode_code,coinsurance_code,class_cd,it_remarks) values</v>
      </c>
      <c r="G308" s="16" t="str">
        <f t="shared" si="18"/>
        <v>('27Mar250028','070000177615','25950',(select max(to_number(i.premium_rcv_detail_code))+1
from ins_premium_det i),'25950','25950','02', '11000003','00','Request by Mr. Saqib Saleem 28-Mar-2025');</v>
      </c>
      <c r="H308" s="17" t="str">
        <f t="shared" si="19"/>
        <v>insert into ins_premium_det (premium_rcv_code,assorted_code, rec_amount,premium_rcv_detail_code,remaining_amt, payrec, mode_code,coinsurance_code,class_cd,it_remarks) values('27Mar250028','070000177615','25950',(select max(to_number(i.premium_rcv_detail_code))+1
from ins_premium_det i),'25950','25950','02', '11000003','00','Request by Mr. Saqib Saleem 28-Mar-2025');</v>
      </c>
    </row>
    <row r="309" spans="1:8" ht="105" x14ac:dyDescent="0.25">
      <c r="A309" s="2" t="s">
        <v>5338</v>
      </c>
      <c r="B309" s="13" t="str">
        <f>VLOOKUP(A309,policy!B:C,2,0)</f>
        <v>070000177616</v>
      </c>
      <c r="C309" s="3">
        <v>35267</v>
      </c>
      <c r="D309" s="14">
        <f t="shared" si="17"/>
        <v>35267</v>
      </c>
      <c r="E309" s="19" t="s">
        <v>6323</v>
      </c>
      <c r="F309" s="15" t="str">
        <f t="shared" si="16"/>
        <v>insert into ins_premium_det (premium_rcv_code,assorted_code, rec_amount,premium_rcv_detail_code,remaining_amt, payrec, mode_code,coinsurance_code,class_cd,it_remarks) values</v>
      </c>
      <c r="G309" s="16" t="str">
        <f t="shared" si="18"/>
        <v>('27Mar250028','070000177616','35267',(select max(to_number(i.premium_rcv_detail_code))+1
from ins_premium_det i),'35267','35267','02', '11000003','00','Request by Mr. Saqib Saleem 28-Mar-2025');</v>
      </c>
      <c r="H309" s="17" t="str">
        <f t="shared" si="19"/>
        <v>insert into ins_premium_det (premium_rcv_code,assorted_code, rec_amount,premium_rcv_detail_code,remaining_amt, payrec, mode_code,coinsurance_code,class_cd,it_remarks) values('27Mar250028','070000177616','35267',(select max(to_number(i.premium_rcv_detail_code))+1
from ins_premium_det i),'35267','35267','02', '11000003','00','Request by Mr. Saqib Saleem 28-Mar-2025');</v>
      </c>
    </row>
    <row r="310" spans="1:8" ht="105" x14ac:dyDescent="0.25">
      <c r="A310" s="2" t="s">
        <v>5339</v>
      </c>
      <c r="B310" s="13" t="str">
        <f>VLOOKUP(A310,policy!B:C,2,0)</f>
        <v>070000177617</v>
      </c>
      <c r="C310" s="3">
        <v>65263</v>
      </c>
      <c r="D310" s="14">
        <f t="shared" si="17"/>
        <v>65263</v>
      </c>
      <c r="E310" s="19" t="s">
        <v>6323</v>
      </c>
      <c r="F310" s="15" t="str">
        <f t="shared" si="16"/>
        <v>insert into ins_premium_det (premium_rcv_code,assorted_code, rec_amount,premium_rcv_detail_code,remaining_amt, payrec, mode_code,coinsurance_code,class_cd,it_remarks) values</v>
      </c>
      <c r="G310" s="16" t="str">
        <f t="shared" si="18"/>
        <v>('27Mar250028','070000177617','65263',(select max(to_number(i.premium_rcv_detail_code))+1
from ins_premium_det i),'65263','65263','02', '11000003','00','Request by Mr. Saqib Saleem 28-Mar-2025');</v>
      </c>
      <c r="H310" s="17" t="str">
        <f t="shared" si="19"/>
        <v>insert into ins_premium_det (premium_rcv_code,assorted_code, rec_amount,premium_rcv_detail_code,remaining_amt, payrec, mode_code,coinsurance_code,class_cd,it_remarks) values('27Mar250028','070000177617','65263',(select max(to_number(i.premium_rcv_detail_code))+1
from ins_premium_det i),'65263','65263','02', '11000003','00','Request by Mr. Saqib Saleem 28-Mar-2025');</v>
      </c>
    </row>
    <row r="311" spans="1:8" ht="105" x14ac:dyDescent="0.25">
      <c r="A311" s="2" t="s">
        <v>5340</v>
      </c>
      <c r="B311" s="13" t="str">
        <f>VLOOKUP(A311,policy!B:C,2,0)</f>
        <v>070000177618</v>
      </c>
      <c r="C311" s="3">
        <v>31238</v>
      </c>
      <c r="D311" s="14">
        <f t="shared" si="17"/>
        <v>31238</v>
      </c>
      <c r="E311" s="19" t="s">
        <v>6323</v>
      </c>
      <c r="F311" s="15" t="str">
        <f t="shared" si="16"/>
        <v>insert into ins_premium_det (premium_rcv_code,assorted_code, rec_amount,premium_rcv_detail_code,remaining_amt, payrec, mode_code,coinsurance_code,class_cd,it_remarks) values</v>
      </c>
      <c r="G311" s="16" t="str">
        <f t="shared" si="18"/>
        <v>('27Mar250028','070000177618','31238',(select max(to_number(i.premium_rcv_detail_code))+1
from ins_premium_det i),'31238','31238','02', '11000003','00','Request by Mr. Saqib Saleem 28-Mar-2025');</v>
      </c>
      <c r="H311" s="17" t="str">
        <f t="shared" si="19"/>
        <v>insert into ins_premium_det (premium_rcv_code,assorted_code, rec_amount,premium_rcv_detail_code,remaining_amt, payrec, mode_code,coinsurance_code,class_cd,it_remarks) values('27Mar250028','070000177618','31238',(select max(to_number(i.premium_rcv_detail_code))+1
from ins_premium_det i),'31238','31238','02', '11000003','00','Request by Mr. Saqib Saleem 28-Mar-2025');</v>
      </c>
    </row>
    <row r="312" spans="1:8" ht="105" x14ac:dyDescent="0.25">
      <c r="A312" s="2" t="s">
        <v>5341</v>
      </c>
      <c r="B312" s="13" t="str">
        <f>VLOOKUP(A312,policy!B:C,2,0)</f>
        <v>070000177620</v>
      </c>
      <c r="C312" s="3">
        <v>62085</v>
      </c>
      <c r="D312" s="14">
        <f t="shared" si="17"/>
        <v>62085</v>
      </c>
      <c r="E312" s="19" t="s">
        <v>6323</v>
      </c>
      <c r="F312" s="15" t="str">
        <f t="shared" si="16"/>
        <v>insert into ins_premium_det (premium_rcv_code,assorted_code, rec_amount,premium_rcv_detail_code,remaining_amt, payrec, mode_code,coinsurance_code,class_cd,it_remarks) values</v>
      </c>
      <c r="G312" s="16" t="str">
        <f t="shared" si="18"/>
        <v>('27Mar250028','070000177620','62085',(select max(to_number(i.premium_rcv_detail_code))+1
from ins_premium_det i),'62085','62085','02', '11000003','00','Request by Mr. Saqib Saleem 28-Mar-2025');</v>
      </c>
      <c r="H312" s="17" t="str">
        <f t="shared" si="19"/>
        <v>insert into ins_premium_det (premium_rcv_code,assorted_code, rec_amount,premium_rcv_detail_code,remaining_amt, payrec, mode_code,coinsurance_code,class_cd,it_remarks) values('27Mar250028','070000177620','62085',(select max(to_number(i.premium_rcv_detail_code))+1
from ins_premium_det i),'62085','62085','02', '11000003','00','Request by Mr. Saqib Saleem 28-Mar-2025');</v>
      </c>
    </row>
    <row r="313" spans="1:8" ht="105" x14ac:dyDescent="0.25">
      <c r="A313" s="2" t="s">
        <v>5342</v>
      </c>
      <c r="B313" s="13" t="str">
        <f>VLOOKUP(A313,policy!B:C,2,0)</f>
        <v>070000177621</v>
      </c>
      <c r="C313" s="3">
        <v>37725</v>
      </c>
      <c r="D313" s="14">
        <f t="shared" si="17"/>
        <v>37725</v>
      </c>
      <c r="E313" s="19" t="s">
        <v>6323</v>
      </c>
      <c r="F313" s="15" t="str">
        <f t="shared" si="16"/>
        <v>insert into ins_premium_det (premium_rcv_code,assorted_code, rec_amount,premium_rcv_detail_code,remaining_amt, payrec, mode_code,coinsurance_code,class_cd,it_remarks) values</v>
      </c>
      <c r="G313" s="16" t="str">
        <f t="shared" si="18"/>
        <v>('27Mar250028','070000177621','37725',(select max(to_number(i.premium_rcv_detail_code))+1
from ins_premium_det i),'37725','37725','02', '11000003','00','Request by Mr. Saqib Saleem 28-Mar-2025');</v>
      </c>
      <c r="H313" s="17" t="str">
        <f t="shared" si="19"/>
        <v>insert into ins_premium_det (premium_rcv_code,assorted_code, rec_amount,premium_rcv_detail_code,remaining_amt, payrec, mode_code,coinsurance_code,class_cd,it_remarks) values('27Mar250028','070000177621','37725',(select max(to_number(i.premium_rcv_detail_code))+1
from ins_premium_det i),'37725','37725','02', '11000003','00','Request by Mr. Saqib Saleem 28-Mar-2025');</v>
      </c>
    </row>
    <row r="314" spans="1:8" ht="105" x14ac:dyDescent="0.25">
      <c r="A314" s="2" t="s">
        <v>5343</v>
      </c>
      <c r="B314" s="13" t="str">
        <f>VLOOKUP(A314,policy!B:C,2,0)</f>
        <v>070000178921</v>
      </c>
      <c r="C314" s="3">
        <v>41576</v>
      </c>
      <c r="D314" s="14">
        <f t="shared" si="17"/>
        <v>41576</v>
      </c>
      <c r="E314" s="19" t="s">
        <v>6323</v>
      </c>
      <c r="F314" s="15" t="str">
        <f t="shared" si="16"/>
        <v>insert into ins_premium_det (premium_rcv_code,assorted_code, rec_amount,premium_rcv_detail_code,remaining_amt, payrec, mode_code,coinsurance_code,class_cd,it_remarks) values</v>
      </c>
      <c r="G314" s="16" t="str">
        <f t="shared" si="18"/>
        <v>('27Mar250028','070000178921','41576',(select max(to_number(i.premium_rcv_detail_code))+1
from ins_premium_det i),'41576','41576','02', '11000003','00','Request by Mr. Saqib Saleem 28-Mar-2025');</v>
      </c>
      <c r="H314" s="17" t="str">
        <f t="shared" si="19"/>
        <v>insert into ins_premium_det (premium_rcv_code,assorted_code, rec_amount,premium_rcv_detail_code,remaining_amt, payrec, mode_code,coinsurance_code,class_cd,it_remarks) values('27Mar250028','070000178921','41576',(select max(to_number(i.premium_rcv_detail_code))+1
from ins_premium_det i),'41576','41576','02', '11000003','00','Request by Mr. Saqib Saleem 28-Mar-2025');</v>
      </c>
    </row>
    <row r="315" spans="1:8" ht="105" x14ac:dyDescent="0.25">
      <c r="A315" s="2" t="s">
        <v>5344</v>
      </c>
      <c r="B315" s="13" t="str">
        <f>VLOOKUP(A315,policy!B:C,2,0)</f>
        <v>070000178919</v>
      </c>
      <c r="C315" s="3">
        <v>61835</v>
      </c>
      <c r="D315" s="14">
        <f t="shared" si="17"/>
        <v>61835</v>
      </c>
      <c r="E315" s="19" t="s">
        <v>6323</v>
      </c>
      <c r="F315" s="15" t="str">
        <f t="shared" si="16"/>
        <v>insert into ins_premium_det (premium_rcv_code,assorted_code, rec_amount,premium_rcv_detail_code,remaining_amt, payrec, mode_code,coinsurance_code,class_cd,it_remarks) values</v>
      </c>
      <c r="G315" s="16" t="str">
        <f t="shared" si="18"/>
        <v>('27Mar250028','070000178919','61835',(select max(to_number(i.premium_rcv_detail_code))+1
from ins_premium_det i),'61835','61835','02', '11000003','00','Request by Mr. Saqib Saleem 28-Mar-2025');</v>
      </c>
      <c r="H315" s="17" t="str">
        <f t="shared" si="19"/>
        <v>insert into ins_premium_det (premium_rcv_code,assorted_code, rec_amount,premium_rcv_detail_code,remaining_amt, payrec, mode_code,coinsurance_code,class_cd,it_remarks) values('27Mar250028','070000178919','61835',(select max(to_number(i.premium_rcv_detail_code))+1
from ins_premium_det i),'61835','61835','02', '11000003','00','Request by Mr. Saqib Saleem 28-Mar-2025');</v>
      </c>
    </row>
    <row r="316" spans="1:8" ht="105" x14ac:dyDescent="0.25">
      <c r="A316" s="2" t="s">
        <v>5345</v>
      </c>
      <c r="B316" s="13" t="str">
        <f>VLOOKUP(A316,policy!B:C,2,0)</f>
        <v>070000177622</v>
      </c>
      <c r="C316" s="3">
        <v>38475</v>
      </c>
      <c r="D316" s="14">
        <f t="shared" si="17"/>
        <v>38475</v>
      </c>
      <c r="E316" s="19" t="s">
        <v>6323</v>
      </c>
      <c r="F316" s="15" t="str">
        <f t="shared" si="16"/>
        <v>insert into ins_premium_det (premium_rcv_code,assorted_code, rec_amount,premium_rcv_detail_code,remaining_amt, payrec, mode_code,coinsurance_code,class_cd,it_remarks) values</v>
      </c>
      <c r="G316" s="16" t="str">
        <f t="shared" si="18"/>
        <v>('27Mar250028','070000177622','38475',(select max(to_number(i.premium_rcv_detail_code))+1
from ins_premium_det i),'38475','38475','02', '11000003','00','Request by Mr. Saqib Saleem 28-Mar-2025');</v>
      </c>
      <c r="H316" s="17" t="str">
        <f t="shared" si="19"/>
        <v>insert into ins_premium_det (premium_rcv_code,assorted_code, rec_amount,premium_rcv_detail_code,remaining_amt, payrec, mode_code,coinsurance_code,class_cd,it_remarks) values('27Mar250028','070000177622','38475',(select max(to_number(i.premium_rcv_detail_code))+1
from ins_premium_det i),'38475','38475','02', '11000003','00','Request by Mr. Saqib Saleem 28-Mar-2025');</v>
      </c>
    </row>
    <row r="317" spans="1:8" ht="105" x14ac:dyDescent="0.25">
      <c r="A317" s="2" t="s">
        <v>5346</v>
      </c>
      <c r="B317" s="13" t="str">
        <f>VLOOKUP(A317,policy!B:C,2,0)</f>
        <v>070000178916</v>
      </c>
      <c r="C317" s="3">
        <v>24736</v>
      </c>
      <c r="D317" s="14">
        <f t="shared" si="17"/>
        <v>24736</v>
      </c>
      <c r="E317" s="19" t="s">
        <v>6323</v>
      </c>
      <c r="F317" s="15" t="str">
        <f t="shared" si="16"/>
        <v>insert into ins_premium_det (premium_rcv_code,assorted_code, rec_amount,premium_rcv_detail_code,remaining_amt, payrec, mode_code,coinsurance_code,class_cd,it_remarks) values</v>
      </c>
      <c r="G317" s="16" t="str">
        <f t="shared" si="18"/>
        <v>('27Mar250028','070000178916','24736',(select max(to_number(i.premium_rcv_detail_code))+1
from ins_premium_det i),'24736','24736','02', '11000003','00','Request by Mr. Saqib Saleem 28-Mar-2025');</v>
      </c>
      <c r="H317" s="17" t="str">
        <f t="shared" si="19"/>
        <v>insert into ins_premium_det (premium_rcv_code,assorted_code, rec_amount,premium_rcv_detail_code,remaining_amt, payrec, mode_code,coinsurance_code,class_cd,it_remarks) values('27Mar250028','070000178916','24736',(select max(to_number(i.premium_rcv_detail_code))+1
from ins_premium_det i),'24736','24736','02', '11000003','00','Request by Mr. Saqib Saleem 28-Mar-2025');</v>
      </c>
    </row>
    <row r="318" spans="1:8" ht="105" x14ac:dyDescent="0.25">
      <c r="A318" s="2" t="s">
        <v>5347</v>
      </c>
      <c r="B318" s="13" t="str">
        <f>VLOOKUP(A318,policy!B:C,2,0)</f>
        <v>070000177623</v>
      </c>
      <c r="C318" s="3">
        <v>52275</v>
      </c>
      <c r="D318" s="14">
        <f t="shared" si="17"/>
        <v>52275</v>
      </c>
      <c r="E318" s="19" t="s">
        <v>6323</v>
      </c>
      <c r="F318" s="15" t="str">
        <f t="shared" si="16"/>
        <v>insert into ins_premium_det (premium_rcv_code,assorted_code, rec_amount,premium_rcv_detail_code,remaining_amt, payrec, mode_code,coinsurance_code,class_cd,it_remarks) values</v>
      </c>
      <c r="G318" s="16" t="str">
        <f t="shared" si="18"/>
        <v>('27Mar250028','070000177623','52275',(select max(to_number(i.premium_rcv_detail_code))+1
from ins_premium_det i),'52275','52275','02', '11000003','00','Request by Mr. Saqib Saleem 28-Mar-2025');</v>
      </c>
      <c r="H318" s="17" t="str">
        <f t="shared" si="19"/>
        <v>insert into ins_premium_det (premium_rcv_code,assorted_code, rec_amount,premium_rcv_detail_code,remaining_amt, payrec, mode_code,coinsurance_code,class_cd,it_remarks) values('27Mar250028','070000177623','52275',(select max(to_number(i.premium_rcv_detail_code))+1
from ins_premium_det i),'52275','52275','02', '11000003','00','Request by Mr. Saqib Saleem 28-Mar-2025');</v>
      </c>
    </row>
    <row r="319" spans="1:8" ht="105" x14ac:dyDescent="0.25">
      <c r="A319" s="2" t="s">
        <v>5348</v>
      </c>
      <c r="B319" s="13" t="str">
        <f>VLOOKUP(A319,policy!B:C,2,0)</f>
        <v>070000178909</v>
      </c>
      <c r="C319" s="3">
        <v>29700</v>
      </c>
      <c r="D319" s="14">
        <f t="shared" si="17"/>
        <v>29700</v>
      </c>
      <c r="E319" s="19" t="s">
        <v>6323</v>
      </c>
      <c r="F319" s="15" t="str">
        <f t="shared" si="16"/>
        <v>insert into ins_premium_det (premium_rcv_code,assorted_code, rec_amount,premium_rcv_detail_code,remaining_amt, payrec, mode_code,coinsurance_code,class_cd,it_remarks) values</v>
      </c>
      <c r="G319" s="16" t="str">
        <f t="shared" si="18"/>
        <v>('27Mar250028','070000178909','29700',(select max(to_number(i.premium_rcv_detail_code))+1
from ins_premium_det i),'29700','29700','02', '11000003','00','Request by Mr. Saqib Saleem 28-Mar-2025');</v>
      </c>
      <c r="H319" s="17" t="str">
        <f t="shared" si="19"/>
        <v>insert into ins_premium_det (premium_rcv_code,assorted_code, rec_amount,premium_rcv_detail_code,remaining_amt, payrec, mode_code,coinsurance_code,class_cd,it_remarks) values('27Mar250028','070000178909','29700',(select max(to_number(i.premium_rcv_detail_code))+1
from ins_premium_det i),'29700','29700','02', '11000003','00','Request by Mr. Saqib Saleem 28-Mar-2025');</v>
      </c>
    </row>
    <row r="320" spans="1:8" ht="105" x14ac:dyDescent="0.25">
      <c r="A320" s="2" t="s">
        <v>5349</v>
      </c>
      <c r="B320" s="13" t="str">
        <f>VLOOKUP(A320,policy!B:C,2,0)</f>
        <v>070000177624</v>
      </c>
      <c r="C320" s="3">
        <v>21623</v>
      </c>
      <c r="D320" s="14">
        <f t="shared" si="17"/>
        <v>21623</v>
      </c>
      <c r="E320" s="19" t="s">
        <v>6323</v>
      </c>
      <c r="F320" s="15" t="str">
        <f t="shared" si="16"/>
        <v>insert into ins_premium_det (premium_rcv_code,assorted_code, rec_amount,premium_rcv_detail_code,remaining_amt, payrec, mode_code,coinsurance_code,class_cd,it_remarks) values</v>
      </c>
      <c r="G320" s="16" t="str">
        <f t="shared" si="18"/>
        <v>('27Mar250028','070000177624','21623',(select max(to_number(i.premium_rcv_detail_code))+1
from ins_premium_det i),'21623','21623','02', '11000003','00','Request by Mr. Saqib Saleem 28-Mar-2025');</v>
      </c>
      <c r="H320" s="17" t="str">
        <f t="shared" si="19"/>
        <v>insert into ins_premium_det (premium_rcv_code,assorted_code, rec_amount,premium_rcv_detail_code,remaining_amt, payrec, mode_code,coinsurance_code,class_cd,it_remarks) values('27Mar250028','070000177624','21623',(select max(to_number(i.premium_rcv_detail_code))+1
from ins_premium_det i),'21623','21623','02', '11000003','00','Request by Mr. Saqib Saleem 28-Mar-2025');</v>
      </c>
    </row>
    <row r="321" spans="1:8" ht="105" x14ac:dyDescent="0.25">
      <c r="A321" s="2" t="s">
        <v>5350</v>
      </c>
      <c r="B321" s="13" t="str">
        <f>VLOOKUP(A321,policy!B:C,2,0)</f>
        <v>070000177625</v>
      </c>
      <c r="C321" s="3">
        <v>31080</v>
      </c>
      <c r="D321" s="14">
        <f t="shared" si="17"/>
        <v>31080</v>
      </c>
      <c r="E321" s="19" t="s">
        <v>6323</v>
      </c>
      <c r="F321" s="15" t="str">
        <f t="shared" si="16"/>
        <v>insert into ins_premium_det (premium_rcv_code,assorted_code, rec_amount,premium_rcv_detail_code,remaining_amt, payrec, mode_code,coinsurance_code,class_cd,it_remarks) values</v>
      </c>
      <c r="G321" s="16" t="str">
        <f t="shared" si="18"/>
        <v>('27Mar250028','070000177625','31080',(select max(to_number(i.premium_rcv_detail_code))+1
from ins_premium_det i),'31080','31080','02', '11000003','00','Request by Mr. Saqib Saleem 28-Mar-2025');</v>
      </c>
      <c r="H321" s="17" t="str">
        <f t="shared" si="19"/>
        <v>insert into ins_premium_det (premium_rcv_code,assorted_code, rec_amount,premium_rcv_detail_code,remaining_amt, payrec, mode_code,coinsurance_code,class_cd,it_remarks) values('27Mar250028','070000177625','31080',(select max(to_number(i.premium_rcv_detail_code))+1
from ins_premium_det i),'31080','31080','02', '11000003','00','Request by Mr. Saqib Saleem 28-Mar-2025');</v>
      </c>
    </row>
    <row r="322" spans="1:8" ht="105" x14ac:dyDescent="0.25">
      <c r="A322" s="2" t="s">
        <v>5351</v>
      </c>
      <c r="B322" s="13" t="str">
        <f>VLOOKUP(A322,policy!B:C,2,0)</f>
        <v>070000178904</v>
      </c>
      <c r="C322" s="3">
        <v>52800</v>
      </c>
      <c r="D322" s="14">
        <f t="shared" si="17"/>
        <v>52800</v>
      </c>
      <c r="E322" s="19" t="s">
        <v>6323</v>
      </c>
      <c r="F322" s="15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16" t="str">
        <f t="shared" si="18"/>
        <v>('27Mar250028','070000178904','52800',(select max(to_number(i.premium_rcv_detail_code))+1
from ins_premium_det i),'52800','52800','02', '11000003','00','Request by Mr. Saqib Saleem 28-Mar-2025');</v>
      </c>
      <c r="H322" s="17" t="str">
        <f t="shared" si="19"/>
        <v>insert into ins_premium_det (premium_rcv_code,assorted_code, rec_amount,premium_rcv_detail_code,remaining_amt, payrec, mode_code,coinsurance_code,class_cd,it_remarks) values('27Mar250028','070000178904','52800',(select max(to_number(i.premium_rcv_detail_code))+1
from ins_premium_det i),'52800','52800','02', '11000003','00','Request by Mr. Saqib Saleem 28-Mar-2025');</v>
      </c>
    </row>
    <row r="323" spans="1:8" ht="105" x14ac:dyDescent="0.25">
      <c r="A323" s="2" t="s">
        <v>5352</v>
      </c>
      <c r="B323" s="13" t="str">
        <f>VLOOKUP(A323,policy!B:C,2,0)</f>
        <v>070000177626</v>
      </c>
      <c r="C323" s="3">
        <v>30300</v>
      </c>
      <c r="D323" s="14">
        <f t="shared" ref="D323:D386" si="21">ROUND(C323,0)</f>
        <v>30300</v>
      </c>
      <c r="E323" s="19" t="s">
        <v>6323</v>
      </c>
      <c r="F323" s="15" t="str">
        <f t="shared" si="20"/>
        <v>insert into ins_premium_det (premium_rcv_code,assorted_code, rec_amount,premium_rcv_detail_code,remaining_amt, payrec, mode_code,coinsurance_code,class_cd,it_remarks) values</v>
      </c>
      <c r="G323" s="16" t="str">
        <f t="shared" ref="G323:G386" si="22">"('"&amp;E323&amp;"','"&amp;B323&amp;"','"&amp;D323&amp;"',(select max(to_number(i.premium_rcv_detail_code))+1
from ins_premium_det i),'"&amp;D323&amp;"','"&amp;D323&amp;"','02', '11000003','00','Request by Mr. Saqib Saleem 28-Mar-2025');"</f>
        <v>('27Mar250028','070000177626','30300',(select max(to_number(i.premium_rcv_detail_code))+1
from ins_premium_det i),'30300','30300','02', '11000003','00','Request by Mr. Saqib Saleem 28-Mar-2025');</v>
      </c>
      <c r="H323" s="17" t="str">
        <f t="shared" ref="H323:H386" si="23">F323&amp;G323</f>
        <v>insert into ins_premium_det (premium_rcv_code,assorted_code, rec_amount,premium_rcv_detail_code,remaining_amt, payrec, mode_code,coinsurance_code,class_cd,it_remarks) values('27Mar250028','070000177626','30300',(select max(to_number(i.premium_rcv_detail_code))+1
from ins_premium_det i),'30300','30300','02', '11000003','00','Request by Mr. Saqib Saleem 28-Mar-2025');</v>
      </c>
    </row>
    <row r="324" spans="1:8" ht="105" x14ac:dyDescent="0.25">
      <c r="A324" s="2" t="s">
        <v>5353</v>
      </c>
      <c r="B324" s="13" t="str">
        <f>VLOOKUP(A324,policy!B:C,2,0)</f>
        <v>070000177627</v>
      </c>
      <c r="C324" s="3">
        <v>31080</v>
      </c>
      <c r="D324" s="14">
        <f t="shared" si="21"/>
        <v>31080</v>
      </c>
      <c r="E324" s="19" t="s">
        <v>6323</v>
      </c>
      <c r="F324" s="15" t="str">
        <f t="shared" si="20"/>
        <v>insert into ins_premium_det (premium_rcv_code,assorted_code, rec_amount,premium_rcv_detail_code,remaining_amt, payrec, mode_code,coinsurance_code,class_cd,it_remarks) values</v>
      </c>
      <c r="G324" s="16" t="str">
        <f t="shared" si="22"/>
        <v>('27Mar250028','070000177627','31080',(select max(to_number(i.premium_rcv_detail_code))+1
from ins_premium_det i),'31080','31080','02', '11000003','00','Request by Mr. Saqib Saleem 28-Mar-2025');</v>
      </c>
      <c r="H324" s="17" t="str">
        <f t="shared" si="23"/>
        <v>insert into ins_premium_det (premium_rcv_code,assorted_code, rec_amount,premium_rcv_detail_code,remaining_amt, payrec, mode_code,coinsurance_code,class_cd,it_remarks) values('27Mar250028','070000177627','31080',(select max(to_number(i.premium_rcv_detail_code))+1
from ins_premium_det i),'31080','31080','02', '11000003','00','Request by Mr. Saqib Saleem 28-Mar-2025');</v>
      </c>
    </row>
    <row r="325" spans="1:8" ht="105" x14ac:dyDescent="0.25">
      <c r="A325" s="2" t="s">
        <v>5354</v>
      </c>
      <c r="B325" s="13" t="str">
        <f>VLOOKUP(A325,policy!B:C,2,0)</f>
        <v>070000177628</v>
      </c>
      <c r="C325" s="3">
        <v>21495</v>
      </c>
      <c r="D325" s="14">
        <f t="shared" si="21"/>
        <v>21495</v>
      </c>
      <c r="E325" s="19" t="s">
        <v>6323</v>
      </c>
      <c r="F325" s="15" t="str">
        <f t="shared" si="20"/>
        <v>insert into ins_premium_det (premium_rcv_code,assorted_code, rec_amount,premium_rcv_detail_code,remaining_amt, payrec, mode_code,coinsurance_code,class_cd,it_remarks) values</v>
      </c>
      <c r="G325" s="16" t="str">
        <f t="shared" si="22"/>
        <v>('27Mar250028','070000177628','21495',(select max(to_number(i.premium_rcv_detail_code))+1
from ins_premium_det i),'21495','21495','02', '11000003','00','Request by Mr. Saqib Saleem 28-Mar-2025');</v>
      </c>
      <c r="H325" s="17" t="str">
        <f t="shared" si="23"/>
        <v>insert into ins_premium_det (premium_rcv_code,assorted_code, rec_amount,premium_rcv_detail_code,remaining_amt, payrec, mode_code,coinsurance_code,class_cd,it_remarks) values('27Mar250028','070000177628','21495',(select max(to_number(i.premium_rcv_detail_code))+1
from ins_premium_det i),'21495','21495','02', '11000003','00','Request by Mr. Saqib Saleem 28-Mar-2025');</v>
      </c>
    </row>
    <row r="326" spans="1:8" ht="105" x14ac:dyDescent="0.25">
      <c r="A326" s="2" t="s">
        <v>5355</v>
      </c>
      <c r="B326" s="13" t="str">
        <f>VLOOKUP(A326,policy!B:C,2,0)</f>
        <v>070000177619</v>
      </c>
      <c r="C326" s="3">
        <v>130932</v>
      </c>
      <c r="D326" s="14">
        <f t="shared" si="21"/>
        <v>130932</v>
      </c>
      <c r="E326" s="19" t="s">
        <v>6323</v>
      </c>
      <c r="F326" s="15" t="str">
        <f t="shared" si="20"/>
        <v>insert into ins_premium_det (premium_rcv_code,assorted_code, rec_amount,premium_rcv_detail_code,remaining_amt, payrec, mode_code,coinsurance_code,class_cd,it_remarks) values</v>
      </c>
      <c r="G326" s="16" t="str">
        <f t="shared" si="22"/>
        <v>('27Mar250028','070000177619','130932',(select max(to_number(i.premium_rcv_detail_code))+1
from ins_premium_det i),'130932','130932','02', '11000003','00','Request by Mr. Saqib Saleem 28-Mar-2025');</v>
      </c>
      <c r="H326" s="17" t="str">
        <f t="shared" si="23"/>
        <v>insert into ins_premium_det (premium_rcv_code,assorted_code, rec_amount,premium_rcv_detail_code,remaining_amt, payrec, mode_code,coinsurance_code,class_cd,it_remarks) values('27Mar250028','070000177619','130932',(select max(to_number(i.premium_rcv_detail_code))+1
from ins_premium_det i),'130932','130932','02', '11000003','00','Request by Mr. Saqib Saleem 28-Mar-2025');</v>
      </c>
    </row>
    <row r="327" spans="1:8" ht="105" x14ac:dyDescent="0.25">
      <c r="A327" s="2" t="s">
        <v>5356</v>
      </c>
      <c r="B327" s="13" t="str">
        <f>VLOOKUP(A327,policy!B:C,2,0)</f>
        <v>070000178900</v>
      </c>
      <c r="C327" s="3">
        <v>19863</v>
      </c>
      <c r="D327" s="14">
        <f t="shared" si="21"/>
        <v>19863</v>
      </c>
      <c r="E327" s="19" t="s">
        <v>6323</v>
      </c>
      <c r="F327" s="15" t="str">
        <f t="shared" si="20"/>
        <v>insert into ins_premium_det (premium_rcv_code,assorted_code, rec_amount,premium_rcv_detail_code,remaining_amt, payrec, mode_code,coinsurance_code,class_cd,it_remarks) values</v>
      </c>
      <c r="G327" s="16" t="str">
        <f t="shared" si="22"/>
        <v>('27Mar250028','070000178900','19863',(select max(to_number(i.premium_rcv_detail_code))+1
from ins_premium_det i),'19863','19863','02', '11000003','00','Request by Mr. Saqib Saleem 28-Mar-2025');</v>
      </c>
      <c r="H327" s="17" t="str">
        <f t="shared" si="23"/>
        <v>insert into ins_premium_det (premium_rcv_code,assorted_code, rec_amount,premium_rcv_detail_code,remaining_amt, payrec, mode_code,coinsurance_code,class_cd,it_remarks) values('27Mar250028','070000178900','19863',(select max(to_number(i.premium_rcv_detail_code))+1
from ins_premium_det i),'19863','19863','02', '11000003','00','Request by Mr. Saqib Saleem 28-Mar-2025');</v>
      </c>
    </row>
    <row r="328" spans="1:8" ht="105" x14ac:dyDescent="0.25">
      <c r="A328" s="2" t="s">
        <v>5357</v>
      </c>
      <c r="B328" s="13" t="str">
        <f>VLOOKUP(A328,policy!B:C,2,0)</f>
        <v>070000177611</v>
      </c>
      <c r="C328" s="3">
        <v>48375</v>
      </c>
      <c r="D328" s="14">
        <f t="shared" si="21"/>
        <v>48375</v>
      </c>
      <c r="E328" s="19" t="s">
        <v>6323</v>
      </c>
      <c r="F328" s="15" t="str">
        <f t="shared" si="20"/>
        <v>insert into ins_premium_det (premium_rcv_code,assorted_code, rec_amount,premium_rcv_detail_code,remaining_amt, payrec, mode_code,coinsurance_code,class_cd,it_remarks) values</v>
      </c>
      <c r="G328" s="16" t="str">
        <f t="shared" si="22"/>
        <v>('27Mar250028','070000177611','48375',(select max(to_number(i.premium_rcv_detail_code))+1
from ins_premium_det i),'48375','48375','02', '11000003','00','Request by Mr. Saqib Saleem 28-Mar-2025');</v>
      </c>
      <c r="H328" s="17" t="str">
        <f t="shared" si="23"/>
        <v>insert into ins_premium_det (premium_rcv_code,assorted_code, rec_amount,premium_rcv_detail_code,remaining_amt, payrec, mode_code,coinsurance_code,class_cd,it_remarks) values('27Mar250028','070000177611','48375',(select max(to_number(i.premium_rcv_detail_code))+1
from ins_premium_det i),'48375','48375','02', '11000003','00','Request by Mr. Saqib Saleem 28-Mar-2025');</v>
      </c>
    </row>
    <row r="329" spans="1:8" ht="105" x14ac:dyDescent="0.25">
      <c r="A329" s="2" t="s">
        <v>5358</v>
      </c>
      <c r="B329" s="13" t="str">
        <f>VLOOKUP(A329,policy!B:C,2,0)</f>
        <v>070000177608</v>
      </c>
      <c r="C329" s="3">
        <v>38400</v>
      </c>
      <c r="D329" s="14">
        <f t="shared" si="21"/>
        <v>38400</v>
      </c>
      <c r="E329" s="19" t="s">
        <v>6323</v>
      </c>
      <c r="F329" s="15" t="str">
        <f t="shared" si="20"/>
        <v>insert into ins_premium_det (premium_rcv_code,assorted_code, rec_amount,premium_rcv_detail_code,remaining_amt, payrec, mode_code,coinsurance_code,class_cd,it_remarks) values</v>
      </c>
      <c r="G329" s="16" t="str">
        <f t="shared" si="22"/>
        <v>('27Mar250028','070000177608','38400',(select max(to_number(i.premium_rcv_detail_code))+1
from ins_premium_det i),'38400','38400','02', '11000003','00','Request by Mr. Saqib Saleem 28-Mar-2025');</v>
      </c>
      <c r="H329" s="17" t="str">
        <f t="shared" si="23"/>
        <v>insert into ins_premium_det (premium_rcv_code,assorted_code, rec_amount,premium_rcv_detail_code,remaining_amt, payrec, mode_code,coinsurance_code,class_cd,it_remarks) values('27Mar250028','070000177608','38400',(select max(to_number(i.premium_rcv_detail_code))+1
from ins_premium_det i),'38400','38400','02', '11000003','00','Request by Mr. Saqib Saleem 28-Mar-2025');</v>
      </c>
    </row>
    <row r="330" spans="1:8" ht="105" x14ac:dyDescent="0.25">
      <c r="A330" s="2" t="s">
        <v>5359</v>
      </c>
      <c r="B330" s="13" t="str">
        <f>VLOOKUP(A330,policy!B:C,2,0)</f>
        <v>070000177606</v>
      </c>
      <c r="C330" s="3">
        <v>47024</v>
      </c>
      <c r="D330" s="14">
        <f t="shared" si="21"/>
        <v>47024</v>
      </c>
      <c r="E330" s="19" t="s">
        <v>6323</v>
      </c>
      <c r="F330" s="15" t="str">
        <f t="shared" si="20"/>
        <v>insert into ins_premium_det (premium_rcv_code,assorted_code, rec_amount,premium_rcv_detail_code,remaining_amt, payrec, mode_code,coinsurance_code,class_cd,it_remarks) values</v>
      </c>
      <c r="G330" s="16" t="str">
        <f t="shared" si="22"/>
        <v>('27Mar250028','070000177606','47024',(select max(to_number(i.premium_rcv_detail_code))+1
from ins_premium_det i),'47024','47024','02', '11000003','00','Request by Mr. Saqib Saleem 28-Mar-2025');</v>
      </c>
      <c r="H330" s="17" t="str">
        <f t="shared" si="23"/>
        <v>insert into ins_premium_det (premium_rcv_code,assorted_code, rec_amount,premium_rcv_detail_code,remaining_amt, payrec, mode_code,coinsurance_code,class_cd,it_remarks) values('27Mar250028','070000177606','47024',(select max(to_number(i.premium_rcv_detail_code))+1
from ins_premium_det i),'47024','47024','02', '11000003','00','Request by Mr. Saqib Saleem 28-Mar-2025');</v>
      </c>
    </row>
    <row r="331" spans="1:8" ht="105" x14ac:dyDescent="0.25">
      <c r="A331" s="2" t="s">
        <v>5360</v>
      </c>
      <c r="B331" s="13" t="str">
        <f>VLOOKUP(A331,policy!B:C,2,0)</f>
        <v>070000177604</v>
      </c>
      <c r="C331" s="3">
        <v>44085</v>
      </c>
      <c r="D331" s="14">
        <f t="shared" si="21"/>
        <v>44085</v>
      </c>
      <c r="E331" s="19" t="s">
        <v>6323</v>
      </c>
      <c r="F331" s="15" t="str">
        <f t="shared" si="20"/>
        <v>insert into ins_premium_det (premium_rcv_code,assorted_code, rec_amount,premium_rcv_detail_code,remaining_amt, payrec, mode_code,coinsurance_code,class_cd,it_remarks) values</v>
      </c>
      <c r="G331" s="16" t="str">
        <f t="shared" si="22"/>
        <v>('27Mar250028','070000177604','44085',(select max(to_number(i.premium_rcv_detail_code))+1
from ins_premium_det i),'44085','44085','02', '11000003','00','Request by Mr. Saqib Saleem 28-Mar-2025');</v>
      </c>
      <c r="H331" s="17" t="str">
        <f t="shared" si="23"/>
        <v>insert into ins_premium_det (premium_rcv_code,assorted_code, rec_amount,premium_rcv_detail_code,remaining_amt, payrec, mode_code,coinsurance_code,class_cd,it_remarks) values('27Mar250028','070000177604','44085',(select max(to_number(i.premium_rcv_detail_code))+1
from ins_premium_det i),'44085','44085','02', '11000003','00','Request by Mr. Saqib Saleem 28-Mar-2025');</v>
      </c>
    </row>
    <row r="332" spans="1:8" ht="105" x14ac:dyDescent="0.25">
      <c r="A332" s="2" t="s">
        <v>5361</v>
      </c>
      <c r="B332" s="13" t="str">
        <f>VLOOKUP(A332,policy!B:C,2,0)</f>
        <v>070000177602</v>
      </c>
      <c r="C332" s="3">
        <v>41625</v>
      </c>
      <c r="D332" s="14">
        <f t="shared" si="21"/>
        <v>41625</v>
      </c>
      <c r="E332" s="19" t="s">
        <v>6323</v>
      </c>
      <c r="F332" s="15" t="str">
        <f t="shared" si="20"/>
        <v>insert into ins_premium_det (premium_rcv_code,assorted_code, rec_amount,premium_rcv_detail_code,remaining_amt, payrec, mode_code,coinsurance_code,class_cd,it_remarks) values</v>
      </c>
      <c r="G332" s="16" t="str">
        <f t="shared" si="22"/>
        <v>('27Mar250028','070000177602','41625',(select max(to_number(i.premium_rcv_detail_code))+1
from ins_premium_det i),'41625','41625','02', '11000003','00','Request by Mr. Saqib Saleem 28-Mar-2025');</v>
      </c>
      <c r="H332" s="17" t="str">
        <f t="shared" si="23"/>
        <v>insert into ins_premium_det (premium_rcv_code,assorted_code, rec_amount,premium_rcv_detail_code,remaining_amt, payrec, mode_code,coinsurance_code,class_cd,it_remarks) values('27Mar250028','070000177602','41625',(select max(to_number(i.premium_rcv_detail_code))+1
from ins_premium_det i),'41625','41625','02', '11000003','00','Request by Mr. Saqib Saleem 28-Mar-2025');</v>
      </c>
    </row>
    <row r="333" spans="1:8" ht="105" x14ac:dyDescent="0.25">
      <c r="A333" s="2" t="s">
        <v>5043</v>
      </c>
      <c r="B333" s="13" t="str">
        <f>VLOOKUP(A333,policy!B:C,2,0)</f>
        <v>070000178899</v>
      </c>
      <c r="C333" s="3">
        <v>32366</v>
      </c>
      <c r="D333" s="14">
        <f t="shared" si="21"/>
        <v>32366</v>
      </c>
      <c r="E333" s="19" t="s">
        <v>6323</v>
      </c>
      <c r="F333" s="15" t="str">
        <f t="shared" si="20"/>
        <v>insert into ins_premium_det (premium_rcv_code,assorted_code, rec_amount,premium_rcv_detail_code,remaining_amt, payrec, mode_code,coinsurance_code,class_cd,it_remarks) values</v>
      </c>
      <c r="G333" s="16" t="str">
        <f t="shared" si="22"/>
        <v>('27Mar250028','070000178899','32366',(select max(to_number(i.premium_rcv_detail_code))+1
from ins_premium_det i),'32366','32366','02', '11000003','00','Request by Mr. Saqib Saleem 28-Mar-2025');</v>
      </c>
      <c r="H333" s="17" t="str">
        <f t="shared" si="23"/>
        <v>insert into ins_premium_det (premium_rcv_code,assorted_code, rec_amount,premium_rcv_detail_code,remaining_amt, payrec, mode_code,coinsurance_code,class_cd,it_remarks) values('27Mar250028','070000178899','32366',(select max(to_number(i.premium_rcv_detail_code))+1
from ins_premium_det i),'32366','32366','02', '11000003','00','Request by Mr. Saqib Saleem 28-Mar-2025');</v>
      </c>
    </row>
    <row r="334" spans="1:8" ht="105" x14ac:dyDescent="0.25">
      <c r="A334" s="2" t="s">
        <v>5362</v>
      </c>
      <c r="B334" s="13" t="str">
        <f>VLOOKUP(A334,policy!B:C,2,0)</f>
        <v>070000178896</v>
      </c>
      <c r="C334" s="3">
        <v>78750</v>
      </c>
      <c r="D334" s="14">
        <f t="shared" si="21"/>
        <v>78750</v>
      </c>
      <c r="E334" s="19" t="s">
        <v>6323</v>
      </c>
      <c r="F334" s="15" t="str">
        <f t="shared" si="20"/>
        <v>insert into ins_premium_det (premium_rcv_code,assorted_code, rec_amount,premium_rcv_detail_code,remaining_amt, payrec, mode_code,coinsurance_code,class_cd,it_remarks) values</v>
      </c>
      <c r="G334" s="16" t="str">
        <f t="shared" si="22"/>
        <v>('27Mar250028','070000178896','78750',(select max(to_number(i.premium_rcv_detail_code))+1
from ins_premium_det i),'78750','78750','02', '11000003','00','Request by Mr. Saqib Saleem 28-Mar-2025');</v>
      </c>
      <c r="H334" s="17" t="str">
        <f t="shared" si="23"/>
        <v>insert into ins_premium_det (premium_rcv_code,assorted_code, rec_amount,premium_rcv_detail_code,remaining_amt, payrec, mode_code,coinsurance_code,class_cd,it_remarks) values('27Mar250028','070000178896','78750',(select max(to_number(i.premium_rcv_detail_code))+1
from ins_premium_det i),'78750','78750','02', '11000003','00','Request by Mr. Saqib Saleem 28-Mar-2025');</v>
      </c>
    </row>
    <row r="335" spans="1:8" ht="105" x14ac:dyDescent="0.25">
      <c r="A335" s="2" t="s">
        <v>5363</v>
      </c>
      <c r="B335" s="13" t="str">
        <f>VLOOKUP(A335,policy!B:C,2,0)</f>
        <v>070000177600</v>
      </c>
      <c r="C335" s="3">
        <v>20250</v>
      </c>
      <c r="D335" s="14">
        <f t="shared" si="21"/>
        <v>20250</v>
      </c>
      <c r="E335" s="19" t="s">
        <v>6323</v>
      </c>
      <c r="F335" s="15" t="str">
        <f t="shared" si="20"/>
        <v>insert into ins_premium_det (premium_rcv_code,assorted_code, rec_amount,premium_rcv_detail_code,remaining_amt, payrec, mode_code,coinsurance_code,class_cd,it_remarks) values</v>
      </c>
      <c r="G335" s="16" t="str">
        <f t="shared" si="22"/>
        <v>('27Mar250028','070000177600','20250',(select max(to_number(i.premium_rcv_detail_code))+1
from ins_premium_det i),'20250','20250','02', '11000003','00','Request by Mr. Saqib Saleem 28-Mar-2025');</v>
      </c>
      <c r="H335" s="17" t="str">
        <f t="shared" si="23"/>
        <v>insert into ins_premium_det (premium_rcv_code,assorted_code, rec_amount,premium_rcv_detail_code,remaining_amt, payrec, mode_code,coinsurance_code,class_cd,it_remarks) values('27Mar250028','070000177600','20250',(select max(to_number(i.premium_rcv_detail_code))+1
from ins_premium_det i),'20250','20250','02', '11000003','00','Request by Mr. Saqib Saleem 28-Mar-2025');</v>
      </c>
    </row>
    <row r="336" spans="1:8" ht="105" x14ac:dyDescent="0.25">
      <c r="A336" s="2" t="s">
        <v>5044</v>
      </c>
      <c r="B336" s="13" t="str">
        <f>VLOOKUP(A336,policy!B:C,2,0)</f>
        <v>070000178895</v>
      </c>
      <c r="C336" s="3">
        <v>31500</v>
      </c>
      <c r="D336" s="14">
        <f t="shared" si="21"/>
        <v>31500</v>
      </c>
      <c r="E336" s="19" t="s">
        <v>6323</v>
      </c>
      <c r="F336" s="15" t="str">
        <f t="shared" si="20"/>
        <v>insert into ins_premium_det (premium_rcv_code,assorted_code, rec_amount,premium_rcv_detail_code,remaining_amt, payrec, mode_code,coinsurance_code,class_cd,it_remarks) values</v>
      </c>
      <c r="G336" s="16" t="str">
        <f t="shared" si="22"/>
        <v>('27Mar250028','070000178895','31500',(select max(to_number(i.premium_rcv_detail_code))+1
from ins_premium_det i),'31500','31500','02', '11000003','00','Request by Mr. Saqib Saleem 28-Mar-2025');</v>
      </c>
      <c r="H336" s="17" t="str">
        <f t="shared" si="23"/>
        <v>insert into ins_premium_det (premium_rcv_code,assorted_code, rec_amount,premium_rcv_detail_code,remaining_amt, payrec, mode_code,coinsurance_code,class_cd,it_remarks) values('27Mar250028','070000178895','31500',(select max(to_number(i.premium_rcv_detail_code))+1
from ins_premium_det i),'31500','31500','02', '11000003','00','Request by Mr. Saqib Saleem 28-Mar-2025');</v>
      </c>
    </row>
    <row r="337" spans="1:8" ht="105" x14ac:dyDescent="0.25">
      <c r="A337" s="2" t="s">
        <v>5045</v>
      </c>
      <c r="B337" s="13" t="str">
        <f>VLOOKUP(A337,policy!B:C,2,0)</f>
        <v>070000178894</v>
      </c>
      <c r="C337" s="3">
        <v>31500</v>
      </c>
      <c r="D337" s="14">
        <f t="shared" si="21"/>
        <v>31500</v>
      </c>
      <c r="E337" s="19" t="s">
        <v>6323</v>
      </c>
      <c r="F337" s="15" t="str">
        <f t="shared" si="20"/>
        <v>insert into ins_premium_det (premium_rcv_code,assorted_code, rec_amount,premium_rcv_detail_code,remaining_amt, payrec, mode_code,coinsurance_code,class_cd,it_remarks) values</v>
      </c>
      <c r="G337" s="16" t="str">
        <f t="shared" si="22"/>
        <v>('27Mar250028','070000178894','31500',(select max(to_number(i.premium_rcv_detail_code))+1
from ins_premium_det i),'31500','31500','02', '11000003','00','Request by Mr. Saqib Saleem 28-Mar-2025');</v>
      </c>
      <c r="H337" s="17" t="str">
        <f t="shared" si="23"/>
        <v>insert into ins_premium_det (premium_rcv_code,assorted_code, rec_amount,premium_rcv_detail_code,remaining_amt, payrec, mode_code,coinsurance_code,class_cd,it_remarks) values('27Mar250028','070000178894','31500',(select max(to_number(i.premium_rcv_detail_code))+1
from ins_premium_det i),'31500','31500','02', '11000003','00','Request by Mr. Saqib Saleem 28-Mar-2025');</v>
      </c>
    </row>
    <row r="338" spans="1:8" ht="105" x14ac:dyDescent="0.25">
      <c r="A338" s="2" t="s">
        <v>5364</v>
      </c>
      <c r="B338" s="13" t="str">
        <f>VLOOKUP(A338,policy!B:C,2,0)</f>
        <v>070000177599</v>
      </c>
      <c r="C338" s="3">
        <v>39098</v>
      </c>
      <c r="D338" s="14">
        <f t="shared" si="21"/>
        <v>39098</v>
      </c>
      <c r="E338" s="19" t="s">
        <v>6323</v>
      </c>
      <c r="F338" s="15" t="str">
        <f t="shared" si="20"/>
        <v>insert into ins_premium_det (premium_rcv_code,assorted_code, rec_amount,premium_rcv_detail_code,remaining_amt, payrec, mode_code,coinsurance_code,class_cd,it_remarks) values</v>
      </c>
      <c r="G338" s="16" t="str">
        <f t="shared" si="22"/>
        <v>('27Mar250028','070000177599','39098',(select max(to_number(i.premium_rcv_detail_code))+1
from ins_premium_det i),'39098','39098','02', '11000003','00','Request by Mr. Saqib Saleem 28-Mar-2025');</v>
      </c>
      <c r="H338" s="17" t="str">
        <f t="shared" si="23"/>
        <v>insert into ins_premium_det (premium_rcv_code,assorted_code, rec_amount,premium_rcv_detail_code,remaining_amt, payrec, mode_code,coinsurance_code,class_cd,it_remarks) values('27Mar250028','070000177599','39098',(select max(to_number(i.premium_rcv_detail_code))+1
from ins_premium_det i),'39098','39098','02', '11000003','00','Request by Mr. Saqib Saleem 28-Mar-2025');</v>
      </c>
    </row>
    <row r="339" spans="1:8" ht="105" x14ac:dyDescent="0.25">
      <c r="A339" s="2" t="s">
        <v>5365</v>
      </c>
      <c r="B339" s="13" t="str">
        <f>VLOOKUP(A339,policy!B:C,2,0)</f>
        <v>070000178893</v>
      </c>
      <c r="C339" s="3">
        <v>12821</v>
      </c>
      <c r="D339" s="14">
        <f t="shared" si="21"/>
        <v>12821</v>
      </c>
      <c r="E339" s="19" t="s">
        <v>6323</v>
      </c>
      <c r="F339" s="15" t="str">
        <f t="shared" si="20"/>
        <v>insert into ins_premium_det (premium_rcv_code,assorted_code, rec_amount,premium_rcv_detail_code,remaining_amt, payrec, mode_code,coinsurance_code,class_cd,it_remarks) values</v>
      </c>
      <c r="G339" s="16" t="str">
        <f t="shared" si="22"/>
        <v>('27Mar250028','070000178893','12821',(select max(to_number(i.premium_rcv_detail_code))+1
from ins_premium_det i),'12821','12821','02', '11000003','00','Request by Mr. Saqib Saleem 28-Mar-2025');</v>
      </c>
      <c r="H339" s="17" t="str">
        <f t="shared" si="23"/>
        <v>insert into ins_premium_det (premium_rcv_code,assorted_code, rec_amount,premium_rcv_detail_code,remaining_amt, payrec, mode_code,coinsurance_code,class_cd,it_remarks) values('27Mar250028','070000178893','12821',(select max(to_number(i.premium_rcv_detail_code))+1
from ins_premium_det i),'12821','12821','02', '11000003','00','Request by Mr. Saqib Saleem 28-Mar-2025');</v>
      </c>
    </row>
    <row r="340" spans="1:8" ht="105" x14ac:dyDescent="0.25">
      <c r="A340" s="2" t="s">
        <v>5366</v>
      </c>
      <c r="B340" s="13" t="str">
        <f>VLOOKUP(A340,policy!B:C,2,0)</f>
        <v>070000177597</v>
      </c>
      <c r="C340" s="3">
        <v>19406</v>
      </c>
      <c r="D340" s="14">
        <f t="shared" si="21"/>
        <v>19406</v>
      </c>
      <c r="E340" s="19" t="s">
        <v>6323</v>
      </c>
      <c r="F340" s="15" t="str">
        <f t="shared" si="20"/>
        <v>insert into ins_premium_det (premium_rcv_code,assorted_code, rec_amount,premium_rcv_detail_code,remaining_amt, payrec, mode_code,coinsurance_code,class_cd,it_remarks) values</v>
      </c>
      <c r="G340" s="16" t="str">
        <f t="shared" si="22"/>
        <v>('27Mar250028','070000177597','19406',(select max(to_number(i.premium_rcv_detail_code))+1
from ins_premium_det i),'19406','19406','02', '11000003','00','Request by Mr. Saqib Saleem 28-Mar-2025');</v>
      </c>
      <c r="H340" s="17" t="str">
        <f t="shared" si="23"/>
        <v>insert into ins_premium_det (premium_rcv_code,assorted_code, rec_amount,premium_rcv_detail_code,remaining_amt, payrec, mode_code,coinsurance_code,class_cd,it_remarks) values('27Mar250028','070000177597','19406',(select max(to_number(i.premium_rcv_detail_code))+1
from ins_premium_det i),'19406','19406','02', '11000003','00','Request by Mr. Saqib Saleem 28-Mar-2025');</v>
      </c>
    </row>
    <row r="341" spans="1:8" ht="105" x14ac:dyDescent="0.25">
      <c r="A341" s="2" t="s">
        <v>5367</v>
      </c>
      <c r="B341" s="13" t="str">
        <f>VLOOKUP(A341,policy!B:C,2,0)</f>
        <v>070000178887</v>
      </c>
      <c r="C341" s="3">
        <v>35998</v>
      </c>
      <c r="D341" s="14">
        <f t="shared" si="21"/>
        <v>35998</v>
      </c>
      <c r="E341" s="19" t="s">
        <v>6323</v>
      </c>
      <c r="F341" s="15" t="str">
        <f t="shared" si="20"/>
        <v>insert into ins_premium_det (premium_rcv_code,assorted_code, rec_amount,premium_rcv_detail_code,remaining_amt, payrec, mode_code,coinsurance_code,class_cd,it_remarks) values</v>
      </c>
      <c r="G341" s="16" t="str">
        <f t="shared" si="22"/>
        <v>('27Mar250028','070000178887','35998',(select max(to_number(i.premium_rcv_detail_code))+1
from ins_premium_det i),'35998','35998','02', '11000003','00','Request by Mr. Saqib Saleem 28-Mar-2025');</v>
      </c>
      <c r="H341" s="17" t="str">
        <f t="shared" si="23"/>
        <v>insert into ins_premium_det (premium_rcv_code,assorted_code, rec_amount,premium_rcv_detail_code,remaining_amt, payrec, mode_code,coinsurance_code,class_cd,it_remarks) values('27Mar250028','070000178887','35998',(select max(to_number(i.premium_rcv_detail_code))+1
from ins_premium_det i),'35998','35998','02', '11000003','00','Request by Mr. Saqib Saleem 28-Mar-2025');</v>
      </c>
    </row>
    <row r="342" spans="1:8" ht="105" x14ac:dyDescent="0.25">
      <c r="A342" s="2" t="s">
        <v>5368</v>
      </c>
      <c r="B342" s="13" t="str">
        <f>VLOOKUP(A342,policy!B:C,2,0)</f>
        <v>070000177596</v>
      </c>
      <c r="C342" s="3">
        <v>24825</v>
      </c>
      <c r="D342" s="14">
        <f t="shared" si="21"/>
        <v>24825</v>
      </c>
      <c r="E342" s="19" t="s">
        <v>6323</v>
      </c>
      <c r="F342" s="15" t="str">
        <f t="shared" si="20"/>
        <v>insert into ins_premium_det (premium_rcv_code,assorted_code, rec_amount,premium_rcv_detail_code,remaining_amt, payrec, mode_code,coinsurance_code,class_cd,it_remarks) values</v>
      </c>
      <c r="G342" s="16" t="str">
        <f t="shared" si="22"/>
        <v>('27Mar250028','070000177596','24825',(select max(to_number(i.premium_rcv_detail_code))+1
from ins_premium_det i),'24825','24825','02', '11000003','00','Request by Mr. Saqib Saleem 28-Mar-2025');</v>
      </c>
      <c r="H342" s="17" t="str">
        <f t="shared" si="23"/>
        <v>insert into ins_premium_det (premium_rcv_code,assorted_code, rec_amount,premium_rcv_detail_code,remaining_amt, payrec, mode_code,coinsurance_code,class_cd,it_remarks) values('27Mar250028','070000177596','24825',(select max(to_number(i.premium_rcv_detail_code))+1
from ins_premium_det i),'24825','24825','02', '11000003','00','Request by Mr. Saqib Saleem 28-Mar-2025');</v>
      </c>
    </row>
    <row r="343" spans="1:8" ht="105" x14ac:dyDescent="0.25">
      <c r="A343" s="2" t="s">
        <v>5369</v>
      </c>
      <c r="B343" s="13" t="str">
        <f>VLOOKUP(A343,policy!B:C,2,0)</f>
        <v>070000177595</v>
      </c>
      <c r="C343" s="3">
        <v>26480</v>
      </c>
      <c r="D343" s="14">
        <f t="shared" si="21"/>
        <v>26480</v>
      </c>
      <c r="E343" s="19" t="s">
        <v>6323</v>
      </c>
      <c r="F343" s="15" t="str">
        <f t="shared" si="20"/>
        <v>insert into ins_premium_det (premium_rcv_code,assorted_code, rec_amount,premium_rcv_detail_code,remaining_amt, payrec, mode_code,coinsurance_code,class_cd,it_remarks) values</v>
      </c>
      <c r="G343" s="16" t="str">
        <f t="shared" si="22"/>
        <v>('27Mar250028','070000177595','26480',(select max(to_number(i.premium_rcv_detail_code))+1
from ins_premium_det i),'26480','26480','02', '11000003','00','Request by Mr. Saqib Saleem 28-Mar-2025');</v>
      </c>
      <c r="H343" s="17" t="str">
        <f t="shared" si="23"/>
        <v>insert into ins_premium_det (premium_rcv_code,assorted_code, rec_amount,premium_rcv_detail_code,remaining_amt, payrec, mode_code,coinsurance_code,class_cd,it_remarks) values('27Mar250028','070000177595','26480',(select max(to_number(i.premium_rcv_detail_code))+1
from ins_premium_det i),'26480','26480','02', '11000003','00','Request by Mr. Saqib Saleem 28-Mar-2025');</v>
      </c>
    </row>
    <row r="344" spans="1:8" ht="105" x14ac:dyDescent="0.25">
      <c r="A344" s="2" t="s">
        <v>5039</v>
      </c>
      <c r="B344" s="13" t="str">
        <f>VLOOKUP(A344,policy!B:C,2,0)</f>
        <v>070000178886</v>
      </c>
      <c r="C344" s="3">
        <v>73616</v>
      </c>
      <c r="D344" s="14">
        <f t="shared" si="21"/>
        <v>73616</v>
      </c>
      <c r="E344" s="19" t="s">
        <v>6323</v>
      </c>
      <c r="F344" s="15" t="str">
        <f t="shared" si="20"/>
        <v>insert into ins_premium_det (premium_rcv_code,assorted_code, rec_amount,premium_rcv_detail_code,remaining_amt, payrec, mode_code,coinsurance_code,class_cd,it_remarks) values</v>
      </c>
      <c r="G344" s="16" t="str">
        <f t="shared" si="22"/>
        <v>('27Mar250028','070000178886','73616',(select max(to_number(i.premium_rcv_detail_code))+1
from ins_premium_det i),'73616','73616','02', '11000003','00','Request by Mr. Saqib Saleem 28-Mar-2025');</v>
      </c>
      <c r="H344" s="17" t="str">
        <f t="shared" si="23"/>
        <v>insert into ins_premium_det (premium_rcv_code,assorted_code, rec_amount,premium_rcv_detail_code,remaining_amt, payrec, mode_code,coinsurance_code,class_cd,it_remarks) values('27Mar250028','070000178886','73616',(select max(to_number(i.premium_rcv_detail_code))+1
from ins_premium_det i),'73616','73616','02', '11000003','00','Request by Mr. Saqib Saleem 28-Mar-2025');</v>
      </c>
    </row>
    <row r="345" spans="1:8" ht="105" x14ac:dyDescent="0.25">
      <c r="A345" s="2" t="s">
        <v>5046</v>
      </c>
      <c r="B345" s="13" t="str">
        <f>VLOOKUP(A345,policy!B:C,2,0)</f>
        <v>070000178885</v>
      </c>
      <c r="C345" s="3">
        <v>86625</v>
      </c>
      <c r="D345" s="14">
        <f t="shared" si="21"/>
        <v>86625</v>
      </c>
      <c r="E345" s="19" t="s">
        <v>6323</v>
      </c>
      <c r="F345" s="15" t="str">
        <f t="shared" si="20"/>
        <v>insert into ins_premium_det (premium_rcv_code,assorted_code, rec_amount,premium_rcv_detail_code,remaining_amt, payrec, mode_code,coinsurance_code,class_cd,it_remarks) values</v>
      </c>
      <c r="G345" s="16" t="str">
        <f t="shared" si="22"/>
        <v>('27Mar250028','070000178885','86625',(select max(to_number(i.premium_rcv_detail_code))+1
from ins_premium_det i),'86625','86625','02', '11000003','00','Request by Mr. Saqib Saleem 28-Mar-2025');</v>
      </c>
      <c r="H345" s="17" t="str">
        <f t="shared" si="23"/>
        <v>insert into ins_premium_det (premium_rcv_code,assorted_code, rec_amount,premium_rcv_detail_code,remaining_amt, payrec, mode_code,coinsurance_code,class_cd,it_remarks) values('27Mar250028','070000178885','86625',(select max(to_number(i.premium_rcv_detail_code))+1
from ins_premium_det i),'86625','86625','02', '11000003','00','Request by Mr. Saqib Saleem 28-Mar-2025');</v>
      </c>
    </row>
    <row r="346" spans="1:8" ht="105" x14ac:dyDescent="0.25">
      <c r="A346" s="2" t="s">
        <v>5370</v>
      </c>
      <c r="B346" s="13" t="str">
        <f>VLOOKUP(A346,policy!B:C,2,0)</f>
        <v>070000178884</v>
      </c>
      <c r="C346" s="3">
        <v>47959</v>
      </c>
      <c r="D346" s="14">
        <f t="shared" si="21"/>
        <v>47959</v>
      </c>
      <c r="E346" s="19" t="s">
        <v>6323</v>
      </c>
      <c r="F346" s="15" t="str">
        <f t="shared" si="20"/>
        <v>insert into ins_premium_det (premium_rcv_code,assorted_code, rec_amount,premium_rcv_detail_code,remaining_amt, payrec, mode_code,coinsurance_code,class_cd,it_remarks) values</v>
      </c>
      <c r="G346" s="16" t="str">
        <f t="shared" si="22"/>
        <v>('27Mar250028','070000178884','47959',(select max(to_number(i.premium_rcv_detail_code))+1
from ins_premium_det i),'47959','47959','02', '11000003','00','Request by Mr. Saqib Saleem 28-Mar-2025');</v>
      </c>
      <c r="H346" s="17" t="str">
        <f t="shared" si="23"/>
        <v>insert into ins_premium_det (premium_rcv_code,assorted_code, rec_amount,premium_rcv_detail_code,remaining_amt, payrec, mode_code,coinsurance_code,class_cd,it_remarks) values('27Mar250028','070000178884','47959',(select max(to_number(i.premium_rcv_detail_code))+1
from ins_premium_det i),'47959','47959','02', '11000003','00','Request by Mr. Saqib Saleem 28-Mar-2025');</v>
      </c>
    </row>
    <row r="347" spans="1:8" ht="105" x14ac:dyDescent="0.25">
      <c r="A347" s="2" t="s">
        <v>5371</v>
      </c>
      <c r="B347" s="13" t="str">
        <f>VLOOKUP(A347,policy!B:C,2,0)</f>
        <v>070000177594</v>
      </c>
      <c r="C347" s="3">
        <v>20250</v>
      </c>
      <c r="D347" s="14">
        <f t="shared" si="21"/>
        <v>20250</v>
      </c>
      <c r="E347" s="19" t="s">
        <v>6323</v>
      </c>
      <c r="F347" s="15" t="str">
        <f t="shared" si="20"/>
        <v>insert into ins_premium_det (premium_rcv_code,assorted_code, rec_amount,premium_rcv_detail_code,remaining_amt, payrec, mode_code,coinsurance_code,class_cd,it_remarks) values</v>
      </c>
      <c r="G347" s="16" t="str">
        <f t="shared" si="22"/>
        <v>('27Mar250028','070000177594','20250',(select max(to_number(i.premium_rcv_detail_code))+1
from ins_premium_det i),'20250','20250','02', '11000003','00','Request by Mr. Saqib Saleem 28-Mar-2025');</v>
      </c>
      <c r="H347" s="17" t="str">
        <f t="shared" si="23"/>
        <v>insert into ins_premium_det (premium_rcv_code,assorted_code, rec_amount,premium_rcv_detail_code,remaining_amt, payrec, mode_code,coinsurance_code,class_cd,it_remarks) values('27Mar250028','070000177594','20250',(select max(to_number(i.premium_rcv_detail_code))+1
from ins_premium_det i),'20250','20250','02', '11000003','00','Request by Mr. Saqib Saleem 28-Mar-2025');</v>
      </c>
    </row>
    <row r="348" spans="1:8" ht="105" x14ac:dyDescent="0.25">
      <c r="A348" s="2" t="s">
        <v>5372</v>
      </c>
      <c r="B348" s="13" t="str">
        <f>VLOOKUP(A348,policy!B:C,2,0)</f>
        <v>070000178883</v>
      </c>
      <c r="C348" s="3">
        <v>47959</v>
      </c>
      <c r="D348" s="14">
        <f t="shared" si="21"/>
        <v>47959</v>
      </c>
      <c r="E348" s="19" t="s">
        <v>6323</v>
      </c>
      <c r="F348" s="15" t="str">
        <f t="shared" si="20"/>
        <v>insert into ins_premium_det (premium_rcv_code,assorted_code, rec_amount,premium_rcv_detail_code,remaining_amt, payrec, mode_code,coinsurance_code,class_cd,it_remarks) values</v>
      </c>
      <c r="G348" s="16" t="str">
        <f t="shared" si="22"/>
        <v>('27Mar250028','070000178883','47959',(select max(to_number(i.premium_rcv_detail_code))+1
from ins_premium_det i),'47959','47959','02', '11000003','00','Request by Mr. Saqib Saleem 28-Mar-2025');</v>
      </c>
      <c r="H348" s="17" t="str">
        <f t="shared" si="23"/>
        <v>insert into ins_premium_det (premium_rcv_code,assorted_code, rec_amount,premium_rcv_detail_code,remaining_amt, payrec, mode_code,coinsurance_code,class_cd,it_remarks) values('27Mar250028','070000178883','47959',(select max(to_number(i.premium_rcv_detail_code))+1
from ins_premium_det i),'47959','47959','02', '11000003','00','Request by Mr. Saqib Saleem 28-Mar-2025');</v>
      </c>
    </row>
    <row r="349" spans="1:8" ht="105" x14ac:dyDescent="0.25">
      <c r="A349" s="2" t="s">
        <v>5373</v>
      </c>
      <c r="B349" s="13" t="str">
        <f>VLOOKUP(A349,policy!B:C,2,0)</f>
        <v>070000177593</v>
      </c>
      <c r="C349" s="3">
        <v>23190</v>
      </c>
      <c r="D349" s="14">
        <f t="shared" si="21"/>
        <v>23190</v>
      </c>
      <c r="E349" s="19" t="s">
        <v>6323</v>
      </c>
      <c r="F349" s="15" t="str">
        <f t="shared" si="20"/>
        <v>insert into ins_premium_det (premium_rcv_code,assorted_code, rec_amount,premium_rcv_detail_code,remaining_amt, payrec, mode_code,coinsurance_code,class_cd,it_remarks) values</v>
      </c>
      <c r="G349" s="16" t="str">
        <f t="shared" si="22"/>
        <v>('27Mar250028','070000177593','23190',(select max(to_number(i.premium_rcv_detail_code))+1
from ins_premium_det i),'23190','23190','02', '11000003','00','Request by Mr. Saqib Saleem 28-Mar-2025');</v>
      </c>
      <c r="H349" s="17" t="str">
        <f t="shared" si="23"/>
        <v>insert into ins_premium_det (premium_rcv_code,assorted_code, rec_amount,premium_rcv_detail_code,remaining_amt, payrec, mode_code,coinsurance_code,class_cd,it_remarks) values('27Mar250028','070000177593','23190',(select max(to_number(i.premium_rcv_detail_code))+1
from ins_premium_det i),'23190','23190','02', '11000003','00','Request by Mr. Saqib Saleem 28-Mar-2025');</v>
      </c>
    </row>
    <row r="350" spans="1:8" ht="105" x14ac:dyDescent="0.25">
      <c r="A350" s="2" t="s">
        <v>5374</v>
      </c>
      <c r="B350" s="13" t="str">
        <f>VLOOKUP(A350,policy!B:C,2,0)</f>
        <v>070000177590</v>
      </c>
      <c r="C350" s="3">
        <v>20025</v>
      </c>
      <c r="D350" s="14">
        <f t="shared" si="21"/>
        <v>20025</v>
      </c>
      <c r="E350" s="19" t="s">
        <v>6323</v>
      </c>
      <c r="F350" s="15" t="str">
        <f t="shared" si="20"/>
        <v>insert into ins_premium_det (premium_rcv_code,assorted_code, rec_amount,premium_rcv_detail_code,remaining_amt, payrec, mode_code,coinsurance_code,class_cd,it_remarks) values</v>
      </c>
      <c r="G350" s="16" t="str">
        <f t="shared" si="22"/>
        <v>('27Mar250028','070000177590','20025',(select max(to_number(i.premium_rcv_detail_code))+1
from ins_premium_det i),'20025','20025','02', '11000003','00','Request by Mr. Saqib Saleem 28-Mar-2025');</v>
      </c>
      <c r="H350" s="17" t="str">
        <f t="shared" si="23"/>
        <v>insert into ins_premium_det (premium_rcv_code,assorted_code, rec_amount,premium_rcv_detail_code,remaining_amt, payrec, mode_code,coinsurance_code,class_cd,it_remarks) values('27Mar250028','070000177590','20025',(select max(to_number(i.premium_rcv_detail_code))+1
from ins_premium_det i),'20025','20025','02', '11000003','00','Request by Mr. Saqib Saleem 28-Mar-2025');</v>
      </c>
    </row>
    <row r="351" spans="1:8" ht="105" x14ac:dyDescent="0.25">
      <c r="A351" s="2" t="s">
        <v>5375</v>
      </c>
      <c r="B351" s="13" t="str">
        <f>VLOOKUP(A351,policy!B:C,2,0)</f>
        <v>070000178874</v>
      </c>
      <c r="C351" s="3">
        <v>18960</v>
      </c>
      <c r="D351" s="14">
        <f t="shared" si="21"/>
        <v>18960</v>
      </c>
      <c r="E351" s="19" t="s">
        <v>6323</v>
      </c>
      <c r="F351" s="15" t="str">
        <f t="shared" si="20"/>
        <v>insert into ins_premium_det (premium_rcv_code,assorted_code, rec_amount,premium_rcv_detail_code,remaining_amt, payrec, mode_code,coinsurance_code,class_cd,it_remarks) values</v>
      </c>
      <c r="G351" s="16" t="str">
        <f t="shared" si="22"/>
        <v>('27Mar250028','070000178874','18960',(select max(to_number(i.premium_rcv_detail_code))+1
from ins_premium_det i),'18960','18960','02', '11000003','00','Request by Mr. Saqib Saleem 28-Mar-2025');</v>
      </c>
      <c r="H351" s="17" t="str">
        <f t="shared" si="23"/>
        <v>insert into ins_premium_det (premium_rcv_code,assorted_code, rec_amount,premium_rcv_detail_code,remaining_amt, payrec, mode_code,coinsurance_code,class_cd,it_remarks) values('27Mar250028','070000178874','18960',(select max(to_number(i.premium_rcv_detail_code))+1
from ins_premium_det i),'18960','18960','02', '11000003','00','Request by Mr. Saqib Saleem 28-Mar-2025');</v>
      </c>
    </row>
    <row r="352" spans="1:8" ht="105" x14ac:dyDescent="0.25">
      <c r="A352" s="2" t="s">
        <v>5376</v>
      </c>
      <c r="B352" s="13" t="str">
        <f>VLOOKUP(A352,policy!B:C,2,0)</f>
        <v>070000177570</v>
      </c>
      <c r="C352" s="3">
        <v>39375</v>
      </c>
      <c r="D352" s="14">
        <f t="shared" si="21"/>
        <v>39375</v>
      </c>
      <c r="E352" s="19" t="s">
        <v>6323</v>
      </c>
      <c r="F352" s="15" t="str">
        <f t="shared" si="20"/>
        <v>insert into ins_premium_det (premium_rcv_code,assorted_code, rec_amount,premium_rcv_detail_code,remaining_amt, payrec, mode_code,coinsurance_code,class_cd,it_remarks) values</v>
      </c>
      <c r="G352" s="16" t="str">
        <f t="shared" si="22"/>
        <v>('27Mar250028','070000177570','39375',(select max(to_number(i.premium_rcv_detail_code))+1
from ins_premium_det i),'39375','39375','02', '11000003','00','Request by Mr. Saqib Saleem 28-Mar-2025');</v>
      </c>
      <c r="H352" s="17" t="str">
        <f t="shared" si="23"/>
        <v>insert into ins_premium_det (premium_rcv_code,assorted_code, rec_amount,premium_rcv_detail_code,remaining_amt, payrec, mode_code,coinsurance_code,class_cd,it_remarks) values('27Mar250028','070000177570','39375',(select max(to_number(i.premium_rcv_detail_code))+1
from ins_premium_det i),'39375','39375','02', '11000003','00','Request by Mr. Saqib Saleem 28-Mar-2025');</v>
      </c>
    </row>
    <row r="353" spans="1:8" ht="105" x14ac:dyDescent="0.25">
      <c r="A353" s="2" t="s">
        <v>5377</v>
      </c>
      <c r="B353" s="13" t="str">
        <f>VLOOKUP(A353,policy!B:C,2,0)</f>
        <v>070000177551</v>
      </c>
      <c r="C353" s="3">
        <v>61121</v>
      </c>
      <c r="D353" s="14">
        <f t="shared" si="21"/>
        <v>61121</v>
      </c>
      <c r="E353" s="19" t="s">
        <v>6323</v>
      </c>
      <c r="F353" s="15" t="str">
        <f t="shared" si="20"/>
        <v>insert into ins_premium_det (premium_rcv_code,assorted_code, rec_amount,premium_rcv_detail_code,remaining_amt, payrec, mode_code,coinsurance_code,class_cd,it_remarks) values</v>
      </c>
      <c r="G353" s="16" t="str">
        <f t="shared" si="22"/>
        <v>('27Mar250028','070000177551','61121',(select max(to_number(i.premium_rcv_detail_code))+1
from ins_premium_det i),'61121','61121','02', '11000003','00','Request by Mr. Saqib Saleem 28-Mar-2025');</v>
      </c>
      <c r="H353" s="17" t="str">
        <f t="shared" si="23"/>
        <v>insert into ins_premium_det (premium_rcv_code,assorted_code, rec_amount,premium_rcv_detail_code,remaining_amt, payrec, mode_code,coinsurance_code,class_cd,it_remarks) values('27Mar250028','070000177551','61121',(select max(to_number(i.premium_rcv_detail_code))+1
from ins_premium_det i),'61121','61121','02', '11000003','00','Request by Mr. Saqib Saleem 28-Mar-2025');</v>
      </c>
    </row>
    <row r="354" spans="1:8" ht="105" x14ac:dyDescent="0.25">
      <c r="A354" s="2" t="s">
        <v>5378</v>
      </c>
      <c r="B354" s="13" t="str">
        <f>VLOOKUP(A354,policy!B:C,2,0)</f>
        <v>070000177550</v>
      </c>
      <c r="C354" s="3">
        <v>61605</v>
      </c>
      <c r="D354" s="14">
        <f t="shared" si="21"/>
        <v>61605</v>
      </c>
      <c r="E354" s="19" t="s">
        <v>6323</v>
      </c>
      <c r="F354" s="15" t="str">
        <f t="shared" si="20"/>
        <v>insert into ins_premium_det (premium_rcv_code,assorted_code, rec_amount,premium_rcv_detail_code,remaining_amt, payrec, mode_code,coinsurance_code,class_cd,it_remarks) values</v>
      </c>
      <c r="G354" s="16" t="str">
        <f t="shared" si="22"/>
        <v>('27Mar250028','070000177550','61605',(select max(to_number(i.premium_rcv_detail_code))+1
from ins_premium_det i),'61605','61605','02', '11000003','00','Request by Mr. Saqib Saleem 28-Mar-2025');</v>
      </c>
      <c r="H354" s="17" t="str">
        <f t="shared" si="23"/>
        <v>insert into ins_premium_det (premium_rcv_code,assorted_code, rec_amount,premium_rcv_detail_code,remaining_amt, payrec, mode_code,coinsurance_code,class_cd,it_remarks) values('27Mar250028','070000177550','61605',(select max(to_number(i.premium_rcv_detail_code))+1
from ins_premium_det i),'61605','61605','02', '11000003','00','Request by Mr. Saqib Saleem 28-Mar-2025');</v>
      </c>
    </row>
    <row r="355" spans="1:8" ht="105" x14ac:dyDescent="0.25">
      <c r="A355" s="2" t="s">
        <v>5379</v>
      </c>
      <c r="B355" s="13" t="str">
        <f>VLOOKUP(A355,policy!B:C,2,0)</f>
        <v>070000177545</v>
      </c>
      <c r="C355" s="3">
        <v>30375</v>
      </c>
      <c r="D355" s="14">
        <f t="shared" si="21"/>
        <v>30375</v>
      </c>
      <c r="E355" s="19" t="s">
        <v>6323</v>
      </c>
      <c r="F355" s="15" t="str">
        <f t="shared" si="20"/>
        <v>insert into ins_premium_det (premium_rcv_code,assorted_code, rec_amount,premium_rcv_detail_code,remaining_amt, payrec, mode_code,coinsurance_code,class_cd,it_remarks) values</v>
      </c>
      <c r="G355" s="16" t="str">
        <f t="shared" si="22"/>
        <v>('27Mar250028','070000177545','30375',(select max(to_number(i.premium_rcv_detail_code))+1
from ins_premium_det i),'30375','30375','02', '11000003','00','Request by Mr. Saqib Saleem 28-Mar-2025');</v>
      </c>
      <c r="H355" s="17" t="str">
        <f t="shared" si="23"/>
        <v>insert into ins_premium_det (premium_rcv_code,assorted_code, rec_amount,premium_rcv_detail_code,remaining_amt, payrec, mode_code,coinsurance_code,class_cd,it_remarks) values('27Mar250028','070000177545','30375',(select max(to_number(i.premium_rcv_detail_code))+1
from ins_premium_det i),'30375','30375','02', '11000003','00','Request by Mr. Saqib Saleem 28-Mar-2025');</v>
      </c>
    </row>
    <row r="356" spans="1:8" ht="105" x14ac:dyDescent="0.25">
      <c r="A356" s="2" t="s">
        <v>5380</v>
      </c>
      <c r="B356" s="13" t="str">
        <f>VLOOKUP(A356,policy!B:C,2,0)</f>
        <v>070000177542</v>
      </c>
      <c r="C356" s="3">
        <v>29625</v>
      </c>
      <c r="D356" s="14">
        <f t="shared" si="21"/>
        <v>29625</v>
      </c>
      <c r="E356" s="19" t="s">
        <v>6323</v>
      </c>
      <c r="F356" s="15" t="str">
        <f t="shared" si="20"/>
        <v>insert into ins_premium_det (premium_rcv_code,assorted_code, rec_amount,premium_rcv_detail_code,remaining_amt, payrec, mode_code,coinsurance_code,class_cd,it_remarks) values</v>
      </c>
      <c r="G356" s="16" t="str">
        <f t="shared" si="22"/>
        <v>('27Mar250028','070000177542','29625',(select max(to_number(i.premium_rcv_detail_code))+1
from ins_premium_det i),'29625','29625','02', '11000003','00','Request by Mr. Saqib Saleem 28-Mar-2025');</v>
      </c>
      <c r="H356" s="17" t="str">
        <f t="shared" si="23"/>
        <v>insert into ins_premium_det (premium_rcv_code,assorted_code, rec_amount,premium_rcv_detail_code,remaining_amt, payrec, mode_code,coinsurance_code,class_cd,it_remarks) values('27Mar250028','070000177542','29625',(select max(to_number(i.premium_rcv_detail_code))+1
from ins_premium_det i),'29625','29625','02', '11000003','00','Request by Mr. Saqib Saleem 28-Mar-2025');</v>
      </c>
    </row>
    <row r="357" spans="1:8" ht="105" x14ac:dyDescent="0.25">
      <c r="A357" s="2" t="s">
        <v>5381</v>
      </c>
      <c r="B357" s="13" t="str">
        <f>VLOOKUP(A357,policy!B:C,2,0)</f>
        <v>070000177541</v>
      </c>
      <c r="C357" s="3">
        <v>20531</v>
      </c>
      <c r="D357" s="14">
        <f t="shared" si="21"/>
        <v>20531</v>
      </c>
      <c r="E357" s="19" t="s">
        <v>6323</v>
      </c>
      <c r="F357" s="15" t="str">
        <f t="shared" si="20"/>
        <v>insert into ins_premium_det (premium_rcv_code,assorted_code, rec_amount,premium_rcv_detail_code,remaining_amt, payrec, mode_code,coinsurance_code,class_cd,it_remarks) values</v>
      </c>
      <c r="G357" s="16" t="str">
        <f t="shared" si="22"/>
        <v>('27Mar250028','070000177541','20531',(select max(to_number(i.premium_rcv_detail_code))+1
from ins_premium_det i),'20531','20531','02', '11000003','00','Request by Mr. Saqib Saleem 28-Mar-2025');</v>
      </c>
      <c r="H357" s="17" t="str">
        <f t="shared" si="23"/>
        <v>insert into ins_premium_det (premium_rcv_code,assorted_code, rec_amount,premium_rcv_detail_code,remaining_amt, payrec, mode_code,coinsurance_code,class_cd,it_remarks) values('27Mar250028','070000177541','20531',(select max(to_number(i.premium_rcv_detail_code))+1
from ins_premium_det i),'20531','20531','02', '11000003','00','Request by Mr. Saqib Saleem 28-Mar-2025');</v>
      </c>
    </row>
    <row r="358" spans="1:8" ht="105" x14ac:dyDescent="0.25">
      <c r="A358" s="2" t="s">
        <v>5382</v>
      </c>
      <c r="B358" s="13" t="str">
        <f>VLOOKUP(A358,policy!B:C,2,0)</f>
        <v>070000177540</v>
      </c>
      <c r="C358" s="3">
        <v>24495</v>
      </c>
      <c r="D358" s="14">
        <f t="shared" si="21"/>
        <v>24495</v>
      </c>
      <c r="E358" s="19" t="s">
        <v>6323</v>
      </c>
      <c r="F358" s="15" t="str">
        <f t="shared" si="20"/>
        <v>insert into ins_premium_det (premium_rcv_code,assorted_code, rec_amount,premium_rcv_detail_code,remaining_amt, payrec, mode_code,coinsurance_code,class_cd,it_remarks) values</v>
      </c>
      <c r="G358" s="16" t="str">
        <f t="shared" si="22"/>
        <v>('27Mar250028','070000177540','24495',(select max(to_number(i.premium_rcv_detail_code))+1
from ins_premium_det i),'24495','24495','02', '11000003','00','Request by Mr. Saqib Saleem 28-Mar-2025');</v>
      </c>
      <c r="H358" s="17" t="str">
        <f t="shared" si="23"/>
        <v>insert into ins_premium_det (premium_rcv_code,assorted_code, rec_amount,premium_rcv_detail_code,remaining_amt, payrec, mode_code,coinsurance_code,class_cd,it_remarks) values('27Mar250028','070000177540','24495',(select max(to_number(i.premium_rcv_detail_code))+1
from ins_premium_det i),'24495','24495','02', '11000003','00','Request by Mr. Saqib Saleem 28-Mar-2025');</v>
      </c>
    </row>
    <row r="359" spans="1:8" ht="105" x14ac:dyDescent="0.25">
      <c r="A359" s="2" t="s">
        <v>5383</v>
      </c>
      <c r="B359" s="13" t="str">
        <f>VLOOKUP(A359,policy!B:C,2,0)</f>
        <v>070000177539</v>
      </c>
      <c r="C359" s="3">
        <v>18000</v>
      </c>
      <c r="D359" s="14">
        <f t="shared" si="21"/>
        <v>18000</v>
      </c>
      <c r="E359" s="19" t="s">
        <v>6323</v>
      </c>
      <c r="F359" s="15" t="str">
        <f t="shared" si="20"/>
        <v>insert into ins_premium_det (premium_rcv_code,assorted_code, rec_amount,premium_rcv_detail_code,remaining_amt, payrec, mode_code,coinsurance_code,class_cd,it_remarks) values</v>
      </c>
      <c r="G359" s="16" t="str">
        <f t="shared" si="22"/>
        <v>('27Mar250028','070000177539','18000',(select max(to_number(i.premium_rcv_detail_code))+1
from ins_premium_det i),'18000','18000','02', '11000003','00','Request by Mr. Saqib Saleem 28-Mar-2025');</v>
      </c>
      <c r="H359" s="17" t="str">
        <f t="shared" si="23"/>
        <v>insert into ins_premium_det (premium_rcv_code,assorted_code, rec_amount,premium_rcv_detail_code,remaining_amt, payrec, mode_code,coinsurance_code,class_cd,it_remarks) values('27Mar250028','070000177539','18000',(select max(to_number(i.premium_rcv_detail_code))+1
from ins_premium_det i),'18000','18000','02', '11000003','00','Request by Mr. Saqib Saleem 28-Mar-2025');</v>
      </c>
    </row>
    <row r="360" spans="1:8" ht="105" x14ac:dyDescent="0.25">
      <c r="A360" s="2" t="s">
        <v>5384</v>
      </c>
      <c r="B360" s="13" t="str">
        <f>VLOOKUP(A360,policy!B:C,2,0)</f>
        <v>070000177538</v>
      </c>
      <c r="C360" s="3">
        <v>21360</v>
      </c>
      <c r="D360" s="14">
        <f t="shared" si="21"/>
        <v>21360</v>
      </c>
      <c r="E360" s="19" t="s">
        <v>6323</v>
      </c>
      <c r="F360" s="15" t="str">
        <f t="shared" si="20"/>
        <v>insert into ins_premium_det (premium_rcv_code,assorted_code, rec_amount,premium_rcv_detail_code,remaining_amt, payrec, mode_code,coinsurance_code,class_cd,it_remarks) values</v>
      </c>
      <c r="G360" s="16" t="str">
        <f t="shared" si="22"/>
        <v>('27Mar250028','070000177538','21360',(select max(to_number(i.premium_rcv_detail_code))+1
from ins_premium_det i),'21360','21360','02', '11000003','00','Request by Mr. Saqib Saleem 28-Mar-2025');</v>
      </c>
      <c r="H360" s="17" t="str">
        <f t="shared" si="23"/>
        <v>insert into ins_premium_det (premium_rcv_code,assorted_code, rec_amount,premium_rcv_detail_code,remaining_amt, payrec, mode_code,coinsurance_code,class_cd,it_remarks) values('27Mar250028','070000177538','21360',(select max(to_number(i.premium_rcv_detail_code))+1
from ins_premium_det i),'21360','21360','02', '11000003','00','Request by Mr. Saqib Saleem 28-Mar-2025');</v>
      </c>
    </row>
    <row r="361" spans="1:8" ht="105" x14ac:dyDescent="0.25">
      <c r="A361" s="2" t="s">
        <v>5385</v>
      </c>
      <c r="B361" s="13" t="str">
        <f>VLOOKUP(A361,policy!B:C,2,0)</f>
        <v>070000177537</v>
      </c>
      <c r="C361" s="3">
        <v>26400</v>
      </c>
      <c r="D361" s="14">
        <f t="shared" si="21"/>
        <v>26400</v>
      </c>
      <c r="E361" s="19" t="s">
        <v>6323</v>
      </c>
      <c r="F361" s="15" t="str">
        <f t="shared" si="20"/>
        <v>insert into ins_premium_det (premium_rcv_code,assorted_code, rec_amount,premium_rcv_detail_code,remaining_amt, payrec, mode_code,coinsurance_code,class_cd,it_remarks) values</v>
      </c>
      <c r="G361" s="16" t="str">
        <f t="shared" si="22"/>
        <v>('27Mar250028','070000177537','26400',(select max(to_number(i.premium_rcv_detail_code))+1
from ins_premium_det i),'26400','26400','02', '11000003','00','Request by Mr. Saqib Saleem 28-Mar-2025');</v>
      </c>
      <c r="H361" s="17" t="str">
        <f t="shared" si="23"/>
        <v>insert into ins_premium_det (premium_rcv_code,assorted_code, rec_amount,premium_rcv_detail_code,remaining_amt, payrec, mode_code,coinsurance_code,class_cd,it_remarks) values('27Mar250028','070000177537','26400',(select max(to_number(i.premium_rcv_detail_code))+1
from ins_premium_det i),'26400','26400','02', '11000003','00','Request by Mr. Saqib Saleem 28-Mar-2025');</v>
      </c>
    </row>
    <row r="362" spans="1:8" ht="105" x14ac:dyDescent="0.25">
      <c r="A362" s="2" t="s">
        <v>5386</v>
      </c>
      <c r="B362" s="13" t="str">
        <f>VLOOKUP(A362,policy!B:C,2,0)</f>
        <v>070000177532</v>
      </c>
      <c r="C362" s="3">
        <v>17670</v>
      </c>
      <c r="D362" s="14">
        <f t="shared" si="21"/>
        <v>17670</v>
      </c>
      <c r="E362" s="19" t="s">
        <v>6323</v>
      </c>
      <c r="F362" s="15" t="str">
        <f t="shared" si="20"/>
        <v>insert into ins_premium_det (premium_rcv_code,assorted_code, rec_amount,premium_rcv_detail_code,remaining_amt, payrec, mode_code,coinsurance_code,class_cd,it_remarks) values</v>
      </c>
      <c r="G362" s="16" t="str">
        <f t="shared" si="22"/>
        <v>('27Mar250028','070000177532','17670',(select max(to_number(i.premium_rcv_detail_code))+1
from ins_premium_det i),'17670','17670','02', '11000003','00','Request by Mr. Saqib Saleem 28-Mar-2025');</v>
      </c>
      <c r="H362" s="17" t="str">
        <f t="shared" si="23"/>
        <v>insert into ins_premium_det (premium_rcv_code,assorted_code, rec_amount,premium_rcv_detail_code,remaining_amt, payrec, mode_code,coinsurance_code,class_cd,it_remarks) values('27Mar250028','070000177532','17670',(select max(to_number(i.premium_rcv_detail_code))+1
from ins_premium_det i),'17670','17670','02', '11000003','00','Request by Mr. Saqib Saleem 28-Mar-2025');</v>
      </c>
    </row>
    <row r="363" spans="1:8" ht="105" x14ac:dyDescent="0.25">
      <c r="A363" s="2" t="s">
        <v>5387</v>
      </c>
      <c r="B363" s="13" t="str">
        <f>VLOOKUP(A363,policy!B:C,2,0)</f>
        <v>070000177223</v>
      </c>
      <c r="C363" s="3">
        <v>30375</v>
      </c>
      <c r="D363" s="14">
        <f t="shared" si="21"/>
        <v>30375</v>
      </c>
      <c r="E363" s="19" t="s">
        <v>6323</v>
      </c>
      <c r="F363" s="15" t="str">
        <f t="shared" si="20"/>
        <v>insert into ins_premium_det (premium_rcv_code,assorted_code, rec_amount,premium_rcv_detail_code,remaining_amt, payrec, mode_code,coinsurance_code,class_cd,it_remarks) values</v>
      </c>
      <c r="G363" s="16" t="str">
        <f t="shared" si="22"/>
        <v>('27Mar250028','070000177223','30375',(select max(to_number(i.premium_rcv_detail_code))+1
from ins_premium_det i),'30375','30375','02', '11000003','00','Request by Mr. Saqib Saleem 28-Mar-2025');</v>
      </c>
      <c r="H363" s="17" t="str">
        <f t="shared" si="23"/>
        <v>insert into ins_premium_det (premium_rcv_code,assorted_code, rec_amount,premium_rcv_detail_code,remaining_amt, payrec, mode_code,coinsurance_code,class_cd,it_remarks) values('27Mar250028','070000177223','30375',(select max(to_number(i.premium_rcv_detail_code))+1
from ins_premium_det i),'30375','30375','02', '11000003','00','Request by Mr. Saqib Saleem 28-Mar-2025');</v>
      </c>
    </row>
    <row r="364" spans="1:8" ht="105" x14ac:dyDescent="0.25">
      <c r="A364" s="2" t="s">
        <v>5388</v>
      </c>
      <c r="B364" s="13" t="str">
        <f>VLOOKUP(A364,policy!B:C,2,0)</f>
        <v>070000177530</v>
      </c>
      <c r="C364" s="3">
        <v>21495</v>
      </c>
      <c r="D364" s="14">
        <f t="shared" si="21"/>
        <v>21495</v>
      </c>
      <c r="E364" s="19" t="s">
        <v>6323</v>
      </c>
      <c r="F364" s="15" t="str">
        <f t="shared" si="20"/>
        <v>insert into ins_premium_det (premium_rcv_code,assorted_code, rec_amount,premium_rcv_detail_code,remaining_amt, payrec, mode_code,coinsurance_code,class_cd,it_remarks) values</v>
      </c>
      <c r="G364" s="16" t="str">
        <f t="shared" si="22"/>
        <v>('27Mar250028','070000177530','21495',(select max(to_number(i.premium_rcv_detail_code))+1
from ins_premium_det i),'21495','21495','02', '11000003','00','Request by Mr. Saqib Saleem 28-Mar-2025');</v>
      </c>
      <c r="H364" s="17" t="str">
        <f t="shared" si="23"/>
        <v>insert into ins_premium_det (premium_rcv_code,assorted_code, rec_amount,premium_rcv_detail_code,remaining_amt, payrec, mode_code,coinsurance_code,class_cd,it_remarks) values('27Mar250028','070000177530','21495',(select max(to_number(i.premium_rcv_detail_code))+1
from ins_premium_det i),'21495','21495','02', '11000003','00','Request by Mr. Saqib Saleem 28-Mar-2025');</v>
      </c>
    </row>
    <row r="365" spans="1:8" ht="105" x14ac:dyDescent="0.25">
      <c r="A365" s="2" t="s">
        <v>5389</v>
      </c>
      <c r="B365" s="13" t="str">
        <f>VLOOKUP(A365,policy!B:C,2,0)</f>
        <v>070000177528</v>
      </c>
      <c r="C365" s="3">
        <v>13500</v>
      </c>
      <c r="D365" s="14">
        <f t="shared" si="21"/>
        <v>13500</v>
      </c>
      <c r="E365" s="19" t="s">
        <v>6323</v>
      </c>
      <c r="F365" s="15" t="str">
        <f t="shared" si="20"/>
        <v>insert into ins_premium_det (premium_rcv_code,assorted_code, rec_amount,premium_rcv_detail_code,remaining_amt, payrec, mode_code,coinsurance_code,class_cd,it_remarks) values</v>
      </c>
      <c r="G365" s="16" t="str">
        <f t="shared" si="22"/>
        <v>('27Mar250028','070000177528','13500',(select max(to_number(i.premium_rcv_detail_code))+1
from ins_premium_det i),'13500','13500','02', '11000003','00','Request by Mr. Saqib Saleem 28-Mar-2025');</v>
      </c>
      <c r="H365" s="17" t="str">
        <f t="shared" si="23"/>
        <v>insert into ins_premium_det (premium_rcv_code,assorted_code, rec_amount,premium_rcv_detail_code,remaining_amt, payrec, mode_code,coinsurance_code,class_cd,it_remarks) values('27Mar250028','070000177528','13500',(select max(to_number(i.premium_rcv_detail_code))+1
from ins_premium_det i),'13500','13500','02', '11000003','00','Request by Mr. Saqib Saleem 28-Mar-2025');</v>
      </c>
    </row>
    <row r="366" spans="1:8" ht="105" x14ac:dyDescent="0.25">
      <c r="A366" s="2" t="s">
        <v>5390</v>
      </c>
      <c r="B366" s="13" t="str">
        <f>VLOOKUP(A366,policy!B:C,2,0)</f>
        <v>070000177372</v>
      </c>
      <c r="C366" s="3">
        <v>29625</v>
      </c>
      <c r="D366" s="14">
        <f t="shared" si="21"/>
        <v>29625</v>
      </c>
      <c r="E366" s="19" t="s">
        <v>6323</v>
      </c>
      <c r="F366" s="15" t="str">
        <f t="shared" si="20"/>
        <v>insert into ins_premium_det (premium_rcv_code,assorted_code, rec_amount,premium_rcv_detail_code,remaining_amt, payrec, mode_code,coinsurance_code,class_cd,it_remarks) values</v>
      </c>
      <c r="G366" s="16" t="str">
        <f t="shared" si="22"/>
        <v>('27Mar250028','070000177372','29625',(select max(to_number(i.premium_rcv_detail_code))+1
from ins_premium_det i),'29625','29625','02', '11000003','00','Request by Mr. Saqib Saleem 28-Mar-2025');</v>
      </c>
      <c r="H366" s="17" t="str">
        <f t="shared" si="23"/>
        <v>insert into ins_premium_det (premium_rcv_code,assorted_code, rec_amount,premium_rcv_detail_code,remaining_amt, payrec, mode_code,coinsurance_code,class_cd,it_remarks) values('27Mar250028','070000177372','29625',(select max(to_number(i.premium_rcv_detail_code))+1
from ins_premium_det i),'29625','29625','02', '11000003','00','Request by Mr. Saqib Saleem 28-Mar-2025');</v>
      </c>
    </row>
    <row r="367" spans="1:8" ht="105" x14ac:dyDescent="0.25">
      <c r="A367" s="2" t="s">
        <v>5391</v>
      </c>
      <c r="B367" s="13" t="str">
        <f>VLOOKUP(A367,policy!B:C,2,0)</f>
        <v>070000177526</v>
      </c>
      <c r="C367" s="3">
        <v>18000</v>
      </c>
      <c r="D367" s="14">
        <f t="shared" si="21"/>
        <v>18000</v>
      </c>
      <c r="E367" s="19" t="s">
        <v>6323</v>
      </c>
      <c r="F367" s="15" t="str">
        <f t="shared" si="20"/>
        <v>insert into ins_premium_det (premium_rcv_code,assorted_code, rec_amount,premium_rcv_detail_code,remaining_amt, payrec, mode_code,coinsurance_code,class_cd,it_remarks) values</v>
      </c>
      <c r="G367" s="16" t="str">
        <f t="shared" si="22"/>
        <v>('27Mar250028','070000177526','18000',(select max(to_number(i.premium_rcv_detail_code))+1
from ins_premium_det i),'18000','18000','02', '11000003','00','Request by Mr. Saqib Saleem 28-Mar-2025');</v>
      </c>
      <c r="H367" s="17" t="str">
        <f t="shared" si="23"/>
        <v>insert into ins_premium_det (premium_rcv_code,assorted_code, rec_amount,premium_rcv_detail_code,remaining_amt, payrec, mode_code,coinsurance_code,class_cd,it_remarks) values('27Mar250028','070000177526','18000',(select max(to_number(i.premium_rcv_detail_code))+1
from ins_premium_det i),'18000','18000','02', '11000003','00','Request by Mr. Saqib Saleem 28-Mar-2025');</v>
      </c>
    </row>
    <row r="368" spans="1:8" ht="105" x14ac:dyDescent="0.25">
      <c r="A368" s="2" t="s">
        <v>5392</v>
      </c>
      <c r="B368" s="13" t="str">
        <f>VLOOKUP(A368,policy!B:C,2,0)</f>
        <v>070000177374</v>
      </c>
      <c r="C368" s="3">
        <v>76512</v>
      </c>
      <c r="D368" s="14">
        <f t="shared" si="21"/>
        <v>76512</v>
      </c>
      <c r="E368" s="19" t="s">
        <v>6323</v>
      </c>
      <c r="F368" s="15" t="str">
        <f t="shared" si="20"/>
        <v>insert into ins_premium_det (premium_rcv_code,assorted_code, rec_amount,premium_rcv_detail_code,remaining_amt, payrec, mode_code,coinsurance_code,class_cd,it_remarks) values</v>
      </c>
      <c r="G368" s="16" t="str">
        <f t="shared" si="22"/>
        <v>('27Mar250028','070000177374','76512',(select max(to_number(i.premium_rcv_detail_code))+1
from ins_premium_det i),'76512','76512','02', '11000003','00','Request by Mr. Saqib Saleem 28-Mar-2025');</v>
      </c>
      <c r="H368" s="17" t="str">
        <f t="shared" si="23"/>
        <v>insert into ins_premium_det (premium_rcv_code,assorted_code, rec_amount,premium_rcv_detail_code,remaining_amt, payrec, mode_code,coinsurance_code,class_cd,it_remarks) values('27Mar250028','070000177374','76512',(select max(to_number(i.premium_rcv_detail_code))+1
from ins_premium_det i),'76512','76512','02', '11000003','00','Request by Mr. Saqib Saleem 28-Mar-2025');</v>
      </c>
    </row>
    <row r="369" spans="1:8" ht="105" x14ac:dyDescent="0.25">
      <c r="A369" s="2" t="s">
        <v>5393</v>
      </c>
      <c r="B369" s="13" t="str">
        <f>VLOOKUP(A369,policy!B:C,2,0)</f>
        <v>070000177524</v>
      </c>
      <c r="C369" s="3">
        <v>21375</v>
      </c>
      <c r="D369" s="14">
        <f t="shared" si="21"/>
        <v>21375</v>
      </c>
      <c r="E369" s="19" t="s">
        <v>6323</v>
      </c>
      <c r="F369" s="15" t="str">
        <f t="shared" si="20"/>
        <v>insert into ins_premium_det (premium_rcv_code,assorted_code, rec_amount,premium_rcv_detail_code,remaining_amt, payrec, mode_code,coinsurance_code,class_cd,it_remarks) values</v>
      </c>
      <c r="G369" s="16" t="str">
        <f t="shared" si="22"/>
        <v>('27Mar250028','070000177524','21375',(select max(to_number(i.premium_rcv_detail_code))+1
from ins_premium_det i),'21375','21375','02', '11000003','00','Request by Mr. Saqib Saleem 28-Mar-2025');</v>
      </c>
      <c r="H369" s="17" t="str">
        <f t="shared" si="23"/>
        <v>insert into ins_premium_det (premium_rcv_code,assorted_code, rec_amount,premium_rcv_detail_code,remaining_amt, payrec, mode_code,coinsurance_code,class_cd,it_remarks) values('27Mar250028','070000177524','21375',(select max(to_number(i.premium_rcv_detail_code))+1
from ins_premium_det i),'21375','21375','02', '11000003','00','Request by Mr. Saqib Saleem 28-Mar-2025');</v>
      </c>
    </row>
    <row r="370" spans="1:8" ht="105" x14ac:dyDescent="0.25">
      <c r="A370" s="2" t="s">
        <v>5394</v>
      </c>
      <c r="B370" s="13" t="str">
        <f>VLOOKUP(A370,policy!B:C,2,0)</f>
        <v>070000177519</v>
      </c>
      <c r="C370" s="3">
        <v>41850</v>
      </c>
      <c r="D370" s="14">
        <f t="shared" si="21"/>
        <v>41850</v>
      </c>
      <c r="E370" s="19" t="s">
        <v>6323</v>
      </c>
      <c r="F370" s="15" t="str">
        <f t="shared" si="20"/>
        <v>insert into ins_premium_det (premium_rcv_code,assorted_code, rec_amount,premium_rcv_detail_code,remaining_amt, payrec, mode_code,coinsurance_code,class_cd,it_remarks) values</v>
      </c>
      <c r="G370" s="16" t="str">
        <f t="shared" si="22"/>
        <v>('27Mar250028','070000177519','41850',(select max(to_number(i.premium_rcv_detail_code))+1
from ins_premium_det i),'41850','41850','02', '11000003','00','Request by Mr. Saqib Saleem 28-Mar-2025');</v>
      </c>
      <c r="H370" s="17" t="str">
        <f t="shared" si="23"/>
        <v>insert into ins_premium_det (premium_rcv_code,assorted_code, rec_amount,premium_rcv_detail_code,remaining_amt, payrec, mode_code,coinsurance_code,class_cd,it_remarks) values('27Mar250028','070000177519','41850',(select max(to_number(i.premium_rcv_detail_code))+1
from ins_premium_det i),'41850','41850','02', '11000003','00','Request by Mr. Saqib Saleem 28-Mar-2025');</v>
      </c>
    </row>
    <row r="371" spans="1:8" ht="105" x14ac:dyDescent="0.25">
      <c r="A371" s="2" t="s">
        <v>5395</v>
      </c>
      <c r="B371" s="13" t="str">
        <f>VLOOKUP(A371,policy!B:C,2,0)</f>
        <v>070000177518</v>
      </c>
      <c r="C371" s="3">
        <v>43995</v>
      </c>
      <c r="D371" s="14">
        <f t="shared" si="21"/>
        <v>43995</v>
      </c>
      <c r="E371" s="19" t="s">
        <v>6323</v>
      </c>
      <c r="F371" s="15" t="str">
        <f t="shared" si="20"/>
        <v>insert into ins_premium_det (premium_rcv_code,assorted_code, rec_amount,premium_rcv_detail_code,remaining_amt, payrec, mode_code,coinsurance_code,class_cd,it_remarks) values</v>
      </c>
      <c r="G371" s="16" t="str">
        <f t="shared" si="22"/>
        <v>('27Mar250028','070000177518','43995',(select max(to_number(i.premium_rcv_detail_code))+1
from ins_premium_det i),'43995','43995','02', '11000003','00','Request by Mr. Saqib Saleem 28-Mar-2025');</v>
      </c>
      <c r="H371" s="17" t="str">
        <f t="shared" si="23"/>
        <v>insert into ins_premium_det (premium_rcv_code,assorted_code, rec_amount,premium_rcv_detail_code,remaining_amt, payrec, mode_code,coinsurance_code,class_cd,it_remarks) values('27Mar250028','070000177518','43995',(select max(to_number(i.premium_rcv_detail_code))+1
from ins_premium_det i),'43995','43995','02', '11000003','00','Request by Mr. Saqib Saleem 28-Mar-2025');</v>
      </c>
    </row>
    <row r="372" spans="1:8" ht="105" x14ac:dyDescent="0.25">
      <c r="A372" s="2" t="s">
        <v>5396</v>
      </c>
      <c r="B372" s="13" t="str">
        <f>VLOOKUP(A372,policy!B:C,2,0)</f>
        <v>070000177517</v>
      </c>
      <c r="C372" s="3">
        <v>43995</v>
      </c>
      <c r="D372" s="14">
        <f t="shared" si="21"/>
        <v>43995</v>
      </c>
      <c r="E372" s="19" t="s">
        <v>6323</v>
      </c>
      <c r="F372" s="15" t="str">
        <f t="shared" si="20"/>
        <v>insert into ins_premium_det (premium_rcv_code,assorted_code, rec_amount,premium_rcv_detail_code,remaining_amt, payrec, mode_code,coinsurance_code,class_cd,it_remarks) values</v>
      </c>
      <c r="G372" s="16" t="str">
        <f t="shared" si="22"/>
        <v>('27Mar250028','070000177517','43995',(select max(to_number(i.premium_rcv_detail_code))+1
from ins_premium_det i),'43995','43995','02', '11000003','00','Request by Mr. Saqib Saleem 28-Mar-2025');</v>
      </c>
      <c r="H372" s="17" t="str">
        <f t="shared" si="23"/>
        <v>insert into ins_premium_det (premium_rcv_code,assorted_code, rec_amount,premium_rcv_detail_code,remaining_amt, payrec, mode_code,coinsurance_code,class_cd,it_remarks) values('27Mar250028','070000177517','43995',(select max(to_number(i.premium_rcv_detail_code))+1
from ins_premium_det i),'43995','43995','02', '11000003','00','Request by Mr. Saqib Saleem 28-Mar-2025');</v>
      </c>
    </row>
    <row r="373" spans="1:8" ht="105" x14ac:dyDescent="0.25">
      <c r="A373" s="2" t="s">
        <v>5397</v>
      </c>
      <c r="B373" s="13" t="str">
        <f>VLOOKUP(A373,policy!B:C,2,0)</f>
        <v>070000177516</v>
      </c>
      <c r="C373" s="3">
        <v>37125</v>
      </c>
      <c r="D373" s="14">
        <f t="shared" si="21"/>
        <v>37125</v>
      </c>
      <c r="E373" s="19" t="s">
        <v>6323</v>
      </c>
      <c r="F373" s="15" t="str">
        <f t="shared" si="20"/>
        <v>insert into ins_premium_det (premium_rcv_code,assorted_code, rec_amount,premium_rcv_detail_code,remaining_amt, payrec, mode_code,coinsurance_code,class_cd,it_remarks) values</v>
      </c>
      <c r="G373" s="16" t="str">
        <f t="shared" si="22"/>
        <v>('27Mar250028','070000177516','37125',(select max(to_number(i.premium_rcv_detail_code))+1
from ins_premium_det i),'37125','37125','02', '11000003','00','Request by Mr. Saqib Saleem 28-Mar-2025');</v>
      </c>
      <c r="H373" s="17" t="str">
        <f t="shared" si="23"/>
        <v>insert into ins_premium_det (premium_rcv_code,assorted_code, rec_amount,premium_rcv_detail_code,remaining_amt, payrec, mode_code,coinsurance_code,class_cd,it_remarks) values('27Mar250028','070000177516','37125',(select max(to_number(i.premium_rcv_detail_code))+1
from ins_premium_det i),'37125','37125','02', '11000003','00','Request by Mr. Saqib Saleem 28-Mar-2025');</v>
      </c>
    </row>
    <row r="374" spans="1:8" ht="105" x14ac:dyDescent="0.25">
      <c r="A374" s="2" t="s">
        <v>5398</v>
      </c>
      <c r="B374" s="13" t="str">
        <f>VLOOKUP(A374,policy!B:C,2,0)</f>
        <v>070000177515</v>
      </c>
      <c r="C374" s="3">
        <v>33750</v>
      </c>
      <c r="D374" s="14">
        <f t="shared" si="21"/>
        <v>33750</v>
      </c>
      <c r="E374" s="19" t="s">
        <v>6323</v>
      </c>
      <c r="F374" s="15" t="str">
        <f t="shared" si="20"/>
        <v>insert into ins_premium_det (premium_rcv_code,assorted_code, rec_amount,premium_rcv_detail_code,remaining_amt, payrec, mode_code,coinsurance_code,class_cd,it_remarks) values</v>
      </c>
      <c r="G374" s="16" t="str">
        <f t="shared" si="22"/>
        <v>('27Mar250028','070000177515','33750',(select max(to_number(i.premium_rcv_detail_code))+1
from ins_premium_det i),'33750','33750','02', '11000003','00','Request by Mr. Saqib Saleem 28-Mar-2025');</v>
      </c>
      <c r="H374" s="17" t="str">
        <f t="shared" si="23"/>
        <v>insert into ins_premium_det (premium_rcv_code,assorted_code, rec_amount,premium_rcv_detail_code,remaining_amt, payrec, mode_code,coinsurance_code,class_cd,it_remarks) values('27Mar250028','070000177515','33750',(select max(to_number(i.premium_rcv_detail_code))+1
from ins_premium_det i),'33750','33750','02', '11000003','00','Request by Mr. Saqib Saleem 28-Mar-2025');</v>
      </c>
    </row>
    <row r="375" spans="1:8" ht="105" x14ac:dyDescent="0.25">
      <c r="A375" s="2" t="s">
        <v>5399</v>
      </c>
      <c r="B375" s="13" t="str">
        <f>VLOOKUP(A375,policy!B:C,2,0)</f>
        <v>070000177513</v>
      </c>
      <c r="C375" s="3">
        <v>38250</v>
      </c>
      <c r="D375" s="14">
        <f t="shared" si="21"/>
        <v>38250</v>
      </c>
      <c r="E375" s="19" t="s">
        <v>6323</v>
      </c>
      <c r="F375" s="15" t="str">
        <f t="shared" si="20"/>
        <v>insert into ins_premium_det (premium_rcv_code,assorted_code, rec_amount,premium_rcv_detail_code,remaining_amt, payrec, mode_code,coinsurance_code,class_cd,it_remarks) values</v>
      </c>
      <c r="G375" s="16" t="str">
        <f t="shared" si="22"/>
        <v>('27Mar250028','070000177513','38250',(select max(to_number(i.premium_rcv_detail_code))+1
from ins_premium_det i),'38250','38250','02', '11000003','00','Request by Mr. Saqib Saleem 28-Mar-2025');</v>
      </c>
      <c r="H375" s="17" t="str">
        <f t="shared" si="23"/>
        <v>insert into ins_premium_det (premium_rcv_code,assorted_code, rec_amount,premium_rcv_detail_code,remaining_amt, payrec, mode_code,coinsurance_code,class_cd,it_remarks) values('27Mar250028','070000177513','38250',(select max(to_number(i.premium_rcv_detail_code))+1
from ins_premium_det i),'38250','38250','02', '11000003','00','Request by Mr. Saqib Saleem 28-Mar-2025');</v>
      </c>
    </row>
    <row r="376" spans="1:8" ht="105" x14ac:dyDescent="0.25">
      <c r="A376" s="2" t="s">
        <v>5400</v>
      </c>
      <c r="B376" s="13" t="str">
        <f>VLOOKUP(A376,policy!B:C,2,0)</f>
        <v>070000177511</v>
      </c>
      <c r="C376" s="3">
        <v>23190</v>
      </c>
      <c r="D376" s="14">
        <f t="shared" si="21"/>
        <v>23190</v>
      </c>
      <c r="E376" s="19" t="s">
        <v>6323</v>
      </c>
      <c r="F376" s="15" t="str">
        <f t="shared" si="20"/>
        <v>insert into ins_premium_det (premium_rcv_code,assorted_code, rec_amount,premium_rcv_detail_code,remaining_amt, payrec, mode_code,coinsurance_code,class_cd,it_remarks) values</v>
      </c>
      <c r="G376" s="16" t="str">
        <f t="shared" si="22"/>
        <v>('27Mar250028','070000177511','23190',(select max(to_number(i.premium_rcv_detail_code))+1
from ins_premium_det i),'23190','23190','02', '11000003','00','Request by Mr. Saqib Saleem 28-Mar-2025');</v>
      </c>
      <c r="H376" s="17" t="str">
        <f t="shared" si="23"/>
        <v>insert into ins_premium_det (premium_rcv_code,assorted_code, rec_amount,premium_rcv_detail_code,remaining_amt, payrec, mode_code,coinsurance_code,class_cd,it_remarks) values('27Mar250028','070000177511','23190',(select max(to_number(i.premium_rcv_detail_code))+1
from ins_premium_det i),'23190','23190','02', '11000003','00','Request by Mr. Saqib Saleem 28-Mar-2025');</v>
      </c>
    </row>
    <row r="377" spans="1:8" ht="105" x14ac:dyDescent="0.25">
      <c r="A377" s="2" t="s">
        <v>5401</v>
      </c>
      <c r="B377" s="13" t="str">
        <f>VLOOKUP(A377,policy!B:C,2,0)</f>
        <v>070000177509</v>
      </c>
      <c r="C377" s="3">
        <v>17314</v>
      </c>
      <c r="D377" s="14">
        <f t="shared" si="21"/>
        <v>17314</v>
      </c>
      <c r="E377" s="19" t="s">
        <v>6323</v>
      </c>
      <c r="F377" s="15" t="str">
        <f t="shared" si="20"/>
        <v>insert into ins_premium_det (premium_rcv_code,assorted_code, rec_amount,premium_rcv_detail_code,remaining_amt, payrec, mode_code,coinsurance_code,class_cd,it_remarks) values</v>
      </c>
      <c r="G377" s="16" t="str">
        <f t="shared" si="22"/>
        <v>('27Mar250028','070000177509','17314',(select max(to_number(i.premium_rcv_detail_code))+1
from ins_premium_det i),'17314','17314','02', '11000003','00','Request by Mr. Saqib Saleem 28-Mar-2025');</v>
      </c>
      <c r="H377" s="17" t="str">
        <f t="shared" si="23"/>
        <v>insert into ins_premium_det (premium_rcv_code,assorted_code, rec_amount,premium_rcv_detail_code,remaining_amt, payrec, mode_code,coinsurance_code,class_cd,it_remarks) values('27Mar250028','070000177509','17314',(select max(to_number(i.premium_rcv_detail_code))+1
from ins_premium_det i),'17314','17314','02', '11000003','00','Request by Mr. Saqib Saleem 28-Mar-2025');</v>
      </c>
    </row>
    <row r="378" spans="1:8" ht="105" x14ac:dyDescent="0.25">
      <c r="A378" s="2" t="s">
        <v>5402</v>
      </c>
      <c r="B378" s="13" t="str">
        <f>VLOOKUP(A378,policy!B:C,2,0)</f>
        <v>070000177507</v>
      </c>
      <c r="C378" s="3">
        <v>24495</v>
      </c>
      <c r="D378" s="14">
        <f t="shared" si="21"/>
        <v>24495</v>
      </c>
      <c r="E378" s="19" t="s">
        <v>6323</v>
      </c>
      <c r="F378" s="15" t="str">
        <f t="shared" si="20"/>
        <v>insert into ins_premium_det (premium_rcv_code,assorted_code, rec_amount,premium_rcv_detail_code,remaining_amt, payrec, mode_code,coinsurance_code,class_cd,it_remarks) values</v>
      </c>
      <c r="G378" s="16" t="str">
        <f t="shared" si="22"/>
        <v>('27Mar250028','070000177507','24495',(select max(to_number(i.premium_rcv_detail_code))+1
from ins_premium_det i),'24495','24495','02', '11000003','00','Request by Mr. Saqib Saleem 28-Mar-2025');</v>
      </c>
      <c r="H378" s="17" t="str">
        <f t="shared" si="23"/>
        <v>insert into ins_premium_det (premium_rcv_code,assorted_code, rec_amount,premium_rcv_detail_code,remaining_amt, payrec, mode_code,coinsurance_code,class_cd,it_remarks) values('27Mar250028','070000177507','24495',(select max(to_number(i.premium_rcv_detail_code))+1
from ins_premium_det i),'24495','24495','02', '11000003','00','Request by Mr. Saqib Saleem 28-Mar-2025');</v>
      </c>
    </row>
    <row r="379" spans="1:8" ht="105" x14ac:dyDescent="0.25">
      <c r="A379" s="2" t="s">
        <v>5403</v>
      </c>
      <c r="B379" s="13" t="str">
        <f>VLOOKUP(A379,policy!B:C,2,0)</f>
        <v>070000177506</v>
      </c>
      <c r="C379" s="3">
        <v>16875</v>
      </c>
      <c r="D379" s="14">
        <f t="shared" si="21"/>
        <v>16875</v>
      </c>
      <c r="E379" s="19" t="s">
        <v>6323</v>
      </c>
      <c r="F379" s="15" t="str">
        <f t="shared" si="20"/>
        <v>insert into ins_premium_det (premium_rcv_code,assorted_code, rec_amount,premium_rcv_detail_code,remaining_amt, payrec, mode_code,coinsurance_code,class_cd,it_remarks) values</v>
      </c>
      <c r="G379" s="16" t="str">
        <f t="shared" si="22"/>
        <v>('27Mar250028','070000177506','16875',(select max(to_number(i.premium_rcv_detail_code))+1
from ins_premium_det i),'16875','16875','02', '11000003','00','Request by Mr. Saqib Saleem 28-Mar-2025');</v>
      </c>
      <c r="H379" s="17" t="str">
        <f t="shared" si="23"/>
        <v>insert into ins_premium_det (premium_rcv_code,assorted_code, rec_amount,premium_rcv_detail_code,remaining_amt, payrec, mode_code,coinsurance_code,class_cd,it_remarks) values('27Mar250028','070000177506','16875',(select max(to_number(i.premium_rcv_detail_code))+1
from ins_premium_det i),'16875','16875','02', '11000003','00','Request by Mr. Saqib Saleem 28-Mar-2025');</v>
      </c>
    </row>
    <row r="380" spans="1:8" ht="105" x14ac:dyDescent="0.25">
      <c r="A380" s="2" t="s">
        <v>5404</v>
      </c>
      <c r="B380" s="13" t="str">
        <f>VLOOKUP(A380,policy!B:C,2,0)</f>
        <v>070000177379</v>
      </c>
      <c r="C380" s="3">
        <v>36825</v>
      </c>
      <c r="D380" s="14">
        <f t="shared" si="21"/>
        <v>36825</v>
      </c>
      <c r="E380" s="19" t="s">
        <v>6323</v>
      </c>
      <c r="F380" s="15" t="str">
        <f t="shared" si="20"/>
        <v>insert into ins_premium_det (premium_rcv_code,assorted_code, rec_amount,premium_rcv_detail_code,remaining_amt, payrec, mode_code,coinsurance_code,class_cd,it_remarks) values</v>
      </c>
      <c r="G380" s="16" t="str">
        <f t="shared" si="22"/>
        <v>('27Mar250028','070000177379','36825',(select max(to_number(i.premium_rcv_detail_code))+1
from ins_premium_det i),'36825','36825','02', '11000003','00','Request by Mr. Saqib Saleem 28-Mar-2025');</v>
      </c>
      <c r="H380" s="17" t="str">
        <f t="shared" si="23"/>
        <v>insert into ins_premium_det (premium_rcv_code,assorted_code, rec_amount,premium_rcv_detail_code,remaining_amt, payrec, mode_code,coinsurance_code,class_cd,it_remarks) values('27Mar250028','070000177379','36825',(select max(to_number(i.premium_rcv_detail_code))+1
from ins_premium_det i),'36825','36825','02', '11000003','00','Request by Mr. Saqib Saleem 28-Mar-2025');</v>
      </c>
    </row>
    <row r="381" spans="1:8" ht="105" x14ac:dyDescent="0.25">
      <c r="A381" s="2" t="s">
        <v>5405</v>
      </c>
      <c r="B381" s="13" t="str">
        <f>VLOOKUP(A381,policy!B:C,2,0)</f>
        <v>070000177504</v>
      </c>
      <c r="C381" s="3">
        <v>16695</v>
      </c>
      <c r="D381" s="14">
        <f t="shared" si="21"/>
        <v>16695</v>
      </c>
      <c r="E381" s="19" t="s">
        <v>6323</v>
      </c>
      <c r="F381" s="15" t="str">
        <f t="shared" si="20"/>
        <v>insert into ins_premium_det (premium_rcv_code,assorted_code, rec_amount,premium_rcv_detail_code,remaining_amt, payrec, mode_code,coinsurance_code,class_cd,it_remarks) values</v>
      </c>
      <c r="G381" s="16" t="str">
        <f t="shared" si="22"/>
        <v>('27Mar250028','070000177504','16695',(select max(to_number(i.premium_rcv_detail_code))+1
from ins_premium_det i),'16695','16695','02', '11000003','00','Request by Mr. Saqib Saleem 28-Mar-2025');</v>
      </c>
      <c r="H381" s="17" t="str">
        <f t="shared" si="23"/>
        <v>insert into ins_premium_det (premium_rcv_code,assorted_code, rec_amount,premium_rcv_detail_code,remaining_amt, payrec, mode_code,coinsurance_code,class_cd,it_remarks) values('27Mar250028','070000177504','16695',(select max(to_number(i.premium_rcv_detail_code))+1
from ins_premium_det i),'16695','16695','02', '11000003','00','Request by Mr. Saqib Saleem 28-Mar-2025');</v>
      </c>
    </row>
    <row r="382" spans="1:8" ht="105" x14ac:dyDescent="0.25">
      <c r="A382" s="2" t="s">
        <v>5406</v>
      </c>
      <c r="B382" s="13" t="str">
        <f>VLOOKUP(A382,policy!B:C,2,0)</f>
        <v>070000177381</v>
      </c>
      <c r="C382" s="3">
        <v>71775</v>
      </c>
      <c r="D382" s="14">
        <f t="shared" si="21"/>
        <v>71775</v>
      </c>
      <c r="E382" s="19" t="s">
        <v>6323</v>
      </c>
      <c r="F382" s="15" t="str">
        <f t="shared" si="20"/>
        <v>insert into ins_premium_det (premium_rcv_code,assorted_code, rec_amount,premium_rcv_detail_code,remaining_amt, payrec, mode_code,coinsurance_code,class_cd,it_remarks) values</v>
      </c>
      <c r="G382" s="16" t="str">
        <f t="shared" si="22"/>
        <v>('27Mar250028','070000177381','71775',(select max(to_number(i.premium_rcv_detail_code))+1
from ins_premium_det i),'71775','71775','02', '11000003','00','Request by Mr. Saqib Saleem 28-Mar-2025');</v>
      </c>
      <c r="H382" s="17" t="str">
        <f t="shared" si="23"/>
        <v>insert into ins_premium_det (premium_rcv_code,assorted_code, rec_amount,premium_rcv_detail_code,remaining_amt, payrec, mode_code,coinsurance_code,class_cd,it_remarks) values('27Mar250028','070000177381','71775',(select max(to_number(i.premium_rcv_detail_code))+1
from ins_premium_det i),'71775','71775','02', '11000003','00','Request by Mr. Saqib Saleem 28-Mar-2025');</v>
      </c>
    </row>
    <row r="383" spans="1:8" ht="105" x14ac:dyDescent="0.25">
      <c r="A383" s="2" t="s">
        <v>5407</v>
      </c>
      <c r="B383" s="13" t="str">
        <f>VLOOKUP(A383,policy!B:C,2,0)</f>
        <v>070000177382</v>
      </c>
      <c r="C383" s="3">
        <v>50625</v>
      </c>
      <c r="D383" s="14">
        <f t="shared" si="21"/>
        <v>50625</v>
      </c>
      <c r="E383" s="19" t="s">
        <v>6323</v>
      </c>
      <c r="F383" s="15" t="str">
        <f t="shared" si="20"/>
        <v>insert into ins_premium_det (premium_rcv_code,assorted_code, rec_amount,premium_rcv_detail_code,remaining_amt, payrec, mode_code,coinsurance_code,class_cd,it_remarks) values</v>
      </c>
      <c r="G383" s="16" t="str">
        <f t="shared" si="22"/>
        <v>('27Mar250028','070000177382','50625',(select max(to_number(i.premium_rcv_detail_code))+1
from ins_premium_det i),'50625','50625','02', '11000003','00','Request by Mr. Saqib Saleem 28-Mar-2025');</v>
      </c>
      <c r="H383" s="17" t="str">
        <f t="shared" si="23"/>
        <v>insert into ins_premium_det (premium_rcv_code,assorted_code, rec_amount,premium_rcv_detail_code,remaining_amt, payrec, mode_code,coinsurance_code,class_cd,it_remarks) values('27Mar250028','070000177382','50625',(select max(to_number(i.premium_rcv_detail_code))+1
from ins_premium_det i),'50625','50625','02', '11000003','00','Request by Mr. Saqib Saleem 28-Mar-2025');</v>
      </c>
    </row>
    <row r="384" spans="1:8" ht="105" x14ac:dyDescent="0.25">
      <c r="A384" s="2" t="s">
        <v>5408</v>
      </c>
      <c r="B384" s="13" t="str">
        <f>VLOOKUP(A384,policy!B:C,2,0)</f>
        <v>070000177383</v>
      </c>
      <c r="C384" s="3">
        <v>47250</v>
      </c>
      <c r="D384" s="14">
        <f t="shared" si="21"/>
        <v>47250</v>
      </c>
      <c r="E384" s="19" t="s">
        <v>6323</v>
      </c>
      <c r="F384" s="15" t="str">
        <f t="shared" si="20"/>
        <v>insert into ins_premium_det (premium_rcv_code,assorted_code, rec_amount,premium_rcv_detail_code,remaining_amt, payrec, mode_code,coinsurance_code,class_cd,it_remarks) values</v>
      </c>
      <c r="G384" s="16" t="str">
        <f t="shared" si="22"/>
        <v>('27Mar250028','070000177383','47250',(select max(to_number(i.premium_rcv_detail_code))+1
from ins_premium_det i),'47250','47250','02', '11000003','00','Request by Mr. Saqib Saleem 28-Mar-2025');</v>
      </c>
      <c r="H384" s="17" t="str">
        <f t="shared" si="23"/>
        <v>insert into ins_premium_det (premium_rcv_code,assorted_code, rec_amount,premium_rcv_detail_code,remaining_amt, payrec, mode_code,coinsurance_code,class_cd,it_remarks) values('27Mar250028','070000177383','47250',(select max(to_number(i.premium_rcv_detail_code))+1
from ins_premium_det i),'47250','47250','02', '11000003','00','Request by Mr. Saqib Saleem 28-Mar-2025');</v>
      </c>
    </row>
    <row r="385" spans="1:8" ht="105" x14ac:dyDescent="0.25">
      <c r="A385" s="2" t="s">
        <v>5409</v>
      </c>
      <c r="B385" s="13" t="str">
        <f>VLOOKUP(A385,policy!B:C,2,0)</f>
        <v>070000177384</v>
      </c>
      <c r="C385" s="3">
        <v>49613</v>
      </c>
      <c r="D385" s="14">
        <f t="shared" si="21"/>
        <v>49613</v>
      </c>
      <c r="E385" s="19" t="s">
        <v>6323</v>
      </c>
      <c r="F385" s="15" t="str">
        <f t="shared" si="20"/>
        <v>insert into ins_premium_det (premium_rcv_code,assorted_code, rec_amount,premium_rcv_detail_code,remaining_amt, payrec, mode_code,coinsurance_code,class_cd,it_remarks) values</v>
      </c>
      <c r="G385" s="16" t="str">
        <f t="shared" si="22"/>
        <v>('27Mar250028','070000177384','49613',(select max(to_number(i.premium_rcv_detail_code))+1
from ins_premium_det i),'49613','49613','02', '11000003','00','Request by Mr. Saqib Saleem 28-Mar-2025');</v>
      </c>
      <c r="H385" s="17" t="str">
        <f t="shared" si="23"/>
        <v>insert into ins_premium_det (premium_rcv_code,assorted_code, rec_amount,premium_rcv_detail_code,remaining_amt, payrec, mode_code,coinsurance_code,class_cd,it_remarks) values('27Mar250028','070000177384','49613',(select max(to_number(i.premium_rcv_detail_code))+1
from ins_premium_det i),'49613','49613','02', '11000003','00','Request by Mr. Saqib Saleem 28-Mar-2025');</v>
      </c>
    </row>
    <row r="386" spans="1:8" ht="105" x14ac:dyDescent="0.25">
      <c r="A386" s="2" t="s">
        <v>5410</v>
      </c>
      <c r="B386" s="13" t="str">
        <f>VLOOKUP(A386,policy!B:C,2,0)</f>
        <v>070000177495</v>
      </c>
      <c r="C386" s="3">
        <v>60739</v>
      </c>
      <c r="D386" s="14">
        <f t="shared" si="21"/>
        <v>60739</v>
      </c>
      <c r="E386" s="19" t="s">
        <v>6323</v>
      </c>
      <c r="F386" s="15" t="str">
        <f t="shared" ref="F386:F417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16" t="str">
        <f t="shared" si="22"/>
        <v>('27Mar250028','070000177495','60739',(select max(to_number(i.premium_rcv_detail_code))+1
from ins_premium_det i),'60739','60739','02', '11000003','00','Request by Mr. Saqib Saleem 28-Mar-2025');</v>
      </c>
      <c r="H386" s="17" t="str">
        <f t="shared" si="23"/>
        <v>insert into ins_premium_det (premium_rcv_code,assorted_code, rec_amount,premium_rcv_detail_code,remaining_amt, payrec, mode_code,coinsurance_code,class_cd,it_remarks) values('27Mar250028','070000177495','60739',(select max(to_number(i.premium_rcv_detail_code))+1
from ins_premium_det i),'60739','60739','02', '11000003','00','Request by Mr. Saqib Saleem 28-Mar-2025');</v>
      </c>
    </row>
    <row r="387" spans="1:8" ht="105" x14ac:dyDescent="0.25">
      <c r="A387" s="2" t="s">
        <v>5411</v>
      </c>
      <c r="B387" s="13" t="str">
        <f>VLOOKUP(A387,policy!B:C,2,0)</f>
        <v>070000177491</v>
      </c>
      <c r="C387" s="3">
        <v>41025</v>
      </c>
      <c r="D387" s="14">
        <f t="shared" ref="D387:D417" si="25">ROUND(C387,0)</f>
        <v>41025</v>
      </c>
      <c r="E387" s="19" t="s">
        <v>6323</v>
      </c>
      <c r="F387" s="15" t="str">
        <f t="shared" si="24"/>
        <v>insert into ins_premium_det (premium_rcv_code,assorted_code, rec_amount,premium_rcv_detail_code,remaining_amt, payrec, mode_code,coinsurance_code,class_cd,it_remarks) values</v>
      </c>
      <c r="G387" s="16" t="str">
        <f t="shared" ref="G387:G417" si="26">"('"&amp;E387&amp;"','"&amp;B387&amp;"','"&amp;D387&amp;"',(select max(to_number(i.premium_rcv_detail_code))+1
from ins_premium_det i),'"&amp;D387&amp;"','"&amp;D387&amp;"','02', '11000003','00','Request by Mr. Saqib Saleem 28-Mar-2025');"</f>
        <v>('27Mar250028','070000177491','41025',(select max(to_number(i.premium_rcv_detail_code))+1
from ins_premium_det i),'41025','41025','02', '11000003','00','Request by Mr. Saqib Saleem 28-Mar-2025');</v>
      </c>
      <c r="H387" s="17" t="str">
        <f t="shared" ref="H387:H417" si="27">F387&amp;G387</f>
        <v>insert into ins_premium_det (premium_rcv_code,assorted_code, rec_amount,premium_rcv_detail_code,remaining_amt, payrec, mode_code,coinsurance_code,class_cd,it_remarks) values('27Mar250028','070000177491','41025',(select max(to_number(i.premium_rcv_detail_code))+1
from ins_premium_det i),'41025','41025','02', '11000003','00','Request by Mr. Saqib Saleem 28-Mar-2025');</v>
      </c>
    </row>
    <row r="388" spans="1:8" ht="105" x14ac:dyDescent="0.25">
      <c r="A388" s="2" t="s">
        <v>5412</v>
      </c>
      <c r="B388" s="13" t="str">
        <f>VLOOKUP(A388,policy!B:C,2,0)</f>
        <v>070000177490</v>
      </c>
      <c r="C388" s="3">
        <v>50145</v>
      </c>
      <c r="D388" s="14">
        <f t="shared" si="25"/>
        <v>50145</v>
      </c>
      <c r="E388" s="19" t="s">
        <v>6323</v>
      </c>
      <c r="F388" s="15" t="str">
        <f t="shared" si="24"/>
        <v>insert into ins_premium_det (premium_rcv_code,assorted_code, rec_amount,premium_rcv_detail_code,remaining_amt, payrec, mode_code,coinsurance_code,class_cd,it_remarks) values</v>
      </c>
      <c r="G388" s="16" t="str">
        <f t="shared" si="26"/>
        <v>('27Mar250028','070000177490','50145',(select max(to_number(i.premium_rcv_detail_code))+1
from ins_premium_det i),'50145','50145','02', '11000003','00','Request by Mr. Saqib Saleem 28-Mar-2025');</v>
      </c>
      <c r="H388" s="17" t="str">
        <f t="shared" si="27"/>
        <v>insert into ins_premium_det (premium_rcv_code,assorted_code, rec_amount,premium_rcv_detail_code,remaining_amt, payrec, mode_code,coinsurance_code,class_cd,it_remarks) values('27Mar250028','070000177490','50145',(select max(to_number(i.premium_rcv_detail_code))+1
from ins_premium_det i),'50145','50145','02', '11000003','00','Request by Mr. Saqib Saleem 28-Mar-2025');</v>
      </c>
    </row>
    <row r="389" spans="1:8" ht="105" x14ac:dyDescent="0.25">
      <c r="A389" s="2" t="s">
        <v>5413</v>
      </c>
      <c r="B389" s="13" t="str">
        <f>VLOOKUP(A389,policy!B:C,2,0)</f>
        <v>070000177486</v>
      </c>
      <c r="C389" s="3">
        <v>20250</v>
      </c>
      <c r="D389" s="14">
        <f t="shared" si="25"/>
        <v>20250</v>
      </c>
      <c r="E389" s="19" t="s">
        <v>6323</v>
      </c>
      <c r="F389" s="15" t="str">
        <f t="shared" si="24"/>
        <v>insert into ins_premium_det (premium_rcv_code,assorted_code, rec_amount,premium_rcv_detail_code,remaining_amt, payrec, mode_code,coinsurance_code,class_cd,it_remarks) values</v>
      </c>
      <c r="G389" s="16" t="str">
        <f t="shared" si="26"/>
        <v>('27Mar250028','070000177486','20250',(select max(to_number(i.premium_rcv_detail_code))+1
from ins_premium_det i),'20250','20250','02', '11000003','00','Request by Mr. Saqib Saleem 28-Mar-2025');</v>
      </c>
      <c r="H389" s="17" t="str">
        <f t="shared" si="27"/>
        <v>insert into ins_premium_det (premium_rcv_code,assorted_code, rec_amount,premium_rcv_detail_code,remaining_amt, payrec, mode_code,coinsurance_code,class_cd,it_remarks) values('27Mar250028','070000177486','20250',(select max(to_number(i.premium_rcv_detail_code))+1
from ins_premium_det i),'20250','20250','02', '11000003','00','Request by Mr. Saqib Saleem 28-Mar-2025');</v>
      </c>
    </row>
    <row r="390" spans="1:8" ht="105" x14ac:dyDescent="0.25">
      <c r="A390" s="2" t="s">
        <v>5414</v>
      </c>
      <c r="B390" s="13" t="str">
        <f>VLOOKUP(A390,policy!B:C,2,0)</f>
        <v>070000177484</v>
      </c>
      <c r="C390" s="3">
        <v>44895</v>
      </c>
      <c r="D390" s="14">
        <f t="shared" si="25"/>
        <v>44895</v>
      </c>
      <c r="E390" s="19" t="s">
        <v>6323</v>
      </c>
      <c r="F390" s="15" t="str">
        <f t="shared" si="24"/>
        <v>insert into ins_premium_det (premium_rcv_code,assorted_code, rec_amount,premium_rcv_detail_code,remaining_amt, payrec, mode_code,coinsurance_code,class_cd,it_remarks) values</v>
      </c>
      <c r="G390" s="16" t="str">
        <f t="shared" si="26"/>
        <v>('27Mar250028','070000177484','44895',(select max(to_number(i.premium_rcv_detail_code))+1
from ins_premium_det i),'44895','44895','02', '11000003','00','Request by Mr. Saqib Saleem 28-Mar-2025');</v>
      </c>
      <c r="H390" s="17" t="str">
        <f t="shared" si="27"/>
        <v>insert into ins_premium_det (premium_rcv_code,assorted_code, rec_amount,premium_rcv_detail_code,remaining_amt, payrec, mode_code,coinsurance_code,class_cd,it_remarks) values('27Mar250028','070000177484','44895',(select max(to_number(i.premium_rcv_detail_code))+1
from ins_premium_det i),'44895','44895','02', '11000003','00','Request by Mr. Saqib Saleem 28-Mar-2025');</v>
      </c>
    </row>
    <row r="391" spans="1:8" ht="105" x14ac:dyDescent="0.25">
      <c r="A391" s="2" t="s">
        <v>5415</v>
      </c>
      <c r="B391" s="13" t="str">
        <f>VLOOKUP(A391,policy!B:C,2,0)</f>
        <v>070000177390</v>
      </c>
      <c r="C391" s="3">
        <v>128333</v>
      </c>
      <c r="D391" s="14">
        <f t="shared" si="25"/>
        <v>128333</v>
      </c>
      <c r="E391" s="19" t="s">
        <v>6323</v>
      </c>
      <c r="F391" s="15" t="str">
        <f t="shared" si="24"/>
        <v>insert into ins_premium_det (premium_rcv_code,assorted_code, rec_amount,premium_rcv_detail_code,remaining_amt, payrec, mode_code,coinsurance_code,class_cd,it_remarks) values</v>
      </c>
      <c r="G391" s="16" t="str">
        <f t="shared" si="26"/>
        <v>('27Mar250028','070000177390','128333',(select max(to_number(i.premium_rcv_detail_code))+1
from ins_premium_det i),'128333','128333','02', '11000003','00','Request by Mr. Saqib Saleem 28-Mar-2025');</v>
      </c>
      <c r="H391" s="17" t="str">
        <f t="shared" si="27"/>
        <v>insert into ins_premium_det (premium_rcv_code,assorted_code, rec_amount,premium_rcv_detail_code,remaining_amt, payrec, mode_code,coinsurance_code,class_cd,it_remarks) values('27Mar250028','070000177390','128333',(select max(to_number(i.premium_rcv_detail_code))+1
from ins_premium_det i),'128333','128333','02', '11000003','00','Request by Mr. Saqib Saleem 28-Mar-2025');</v>
      </c>
    </row>
    <row r="392" spans="1:8" ht="105" x14ac:dyDescent="0.25">
      <c r="A392" s="2" t="s">
        <v>5416</v>
      </c>
      <c r="B392" s="13" t="str">
        <f>VLOOKUP(A392,policy!B:C,2,0)</f>
        <v>070000177391</v>
      </c>
      <c r="C392" s="3">
        <v>128014</v>
      </c>
      <c r="D392" s="14">
        <f t="shared" si="25"/>
        <v>128014</v>
      </c>
      <c r="E392" s="19" t="s">
        <v>6323</v>
      </c>
      <c r="F392" s="15" t="str">
        <f t="shared" si="24"/>
        <v>insert into ins_premium_det (premium_rcv_code,assorted_code, rec_amount,premium_rcv_detail_code,remaining_amt, payrec, mode_code,coinsurance_code,class_cd,it_remarks) values</v>
      </c>
      <c r="G392" s="16" t="str">
        <f t="shared" si="26"/>
        <v>('27Mar250028','070000177391','128014',(select max(to_number(i.premium_rcv_detail_code))+1
from ins_premium_det i),'128014','128014','02', '11000003','00','Request by Mr. Saqib Saleem 28-Mar-2025');</v>
      </c>
      <c r="H392" s="17" t="str">
        <f t="shared" si="27"/>
        <v>insert into ins_premium_det (premium_rcv_code,assorted_code, rec_amount,premium_rcv_detail_code,remaining_amt, payrec, mode_code,coinsurance_code,class_cd,it_remarks) values('27Mar250028','070000177391','128014',(select max(to_number(i.premium_rcv_detail_code))+1
from ins_premium_det i),'128014','128014','02', '11000003','00','Request by Mr. Saqib Saleem 28-Mar-2025');</v>
      </c>
    </row>
    <row r="393" spans="1:8" ht="105" x14ac:dyDescent="0.25">
      <c r="A393" s="2" t="s">
        <v>5417</v>
      </c>
      <c r="B393" s="13" t="str">
        <f>VLOOKUP(A393,policy!B:C,2,0)</f>
        <v>070000177482</v>
      </c>
      <c r="C393" s="3">
        <v>20475</v>
      </c>
      <c r="D393" s="14">
        <f t="shared" si="25"/>
        <v>20475</v>
      </c>
      <c r="E393" s="19" t="s">
        <v>6323</v>
      </c>
      <c r="F393" s="15" t="str">
        <f t="shared" si="24"/>
        <v>insert into ins_premium_det (premium_rcv_code,assorted_code, rec_amount,premium_rcv_detail_code,remaining_amt, payrec, mode_code,coinsurance_code,class_cd,it_remarks) values</v>
      </c>
      <c r="G393" s="16" t="str">
        <f t="shared" si="26"/>
        <v>('27Mar250028','070000177482','20475',(select max(to_number(i.premium_rcv_detail_code))+1
from ins_premium_det i),'20475','20475','02', '11000003','00','Request by Mr. Saqib Saleem 28-Mar-2025');</v>
      </c>
      <c r="H393" s="17" t="str">
        <f t="shared" si="27"/>
        <v>insert into ins_premium_det (premium_rcv_code,assorted_code, rec_amount,premium_rcv_detail_code,remaining_amt, payrec, mode_code,coinsurance_code,class_cd,it_remarks) values('27Mar250028','070000177482','20475',(select max(to_number(i.premium_rcv_detail_code))+1
from ins_premium_det i),'20475','20475','02', '11000003','00','Request by Mr. Saqib Saleem 28-Mar-2025');</v>
      </c>
    </row>
    <row r="394" spans="1:8" ht="105" x14ac:dyDescent="0.25">
      <c r="A394" s="2" t="s">
        <v>5418</v>
      </c>
      <c r="B394" s="13" t="str">
        <f>VLOOKUP(A394,policy!B:C,2,0)</f>
        <v>070000177480</v>
      </c>
      <c r="C394" s="3">
        <v>24495</v>
      </c>
      <c r="D394" s="14">
        <f t="shared" si="25"/>
        <v>24495</v>
      </c>
      <c r="E394" s="19" t="s">
        <v>6323</v>
      </c>
      <c r="F394" s="15" t="str">
        <f t="shared" si="24"/>
        <v>insert into ins_premium_det (premium_rcv_code,assorted_code, rec_amount,premium_rcv_detail_code,remaining_amt, payrec, mode_code,coinsurance_code,class_cd,it_remarks) values</v>
      </c>
      <c r="G394" s="16" t="str">
        <f t="shared" si="26"/>
        <v>('27Mar250028','070000177480','24495',(select max(to_number(i.premium_rcv_detail_code))+1
from ins_premium_det i),'24495','24495','02', '11000003','00','Request by Mr. Saqib Saleem 28-Mar-2025');</v>
      </c>
      <c r="H394" s="17" t="str">
        <f t="shared" si="27"/>
        <v>insert into ins_premium_det (premium_rcv_code,assorted_code, rec_amount,premium_rcv_detail_code,remaining_amt, payrec, mode_code,coinsurance_code,class_cd,it_remarks) values('27Mar250028','070000177480','24495',(select max(to_number(i.premium_rcv_detail_code))+1
from ins_premium_det i),'24495','24495','02', '11000003','00','Request by Mr. Saqib Saleem 28-Mar-2025');</v>
      </c>
    </row>
    <row r="395" spans="1:8" ht="105" x14ac:dyDescent="0.25">
      <c r="A395" s="2" t="s">
        <v>5419</v>
      </c>
      <c r="B395" s="13" t="str">
        <f>VLOOKUP(A395,policy!B:C,2,0)</f>
        <v>070000177479</v>
      </c>
      <c r="C395" s="3">
        <v>21495</v>
      </c>
      <c r="D395" s="14">
        <f t="shared" si="25"/>
        <v>21495</v>
      </c>
      <c r="E395" s="19" t="s">
        <v>6323</v>
      </c>
      <c r="F395" s="15" t="str">
        <f t="shared" si="24"/>
        <v>insert into ins_premium_det (premium_rcv_code,assorted_code, rec_amount,premium_rcv_detail_code,remaining_amt, payrec, mode_code,coinsurance_code,class_cd,it_remarks) values</v>
      </c>
      <c r="G395" s="16" t="str">
        <f t="shared" si="26"/>
        <v>('27Mar250028','070000177479','21495',(select max(to_number(i.premium_rcv_detail_code))+1
from ins_premium_det i),'21495','21495','02', '11000003','00','Request by Mr. Saqib Saleem 28-Mar-2025');</v>
      </c>
      <c r="H395" s="17" t="str">
        <f t="shared" si="27"/>
        <v>insert into ins_premium_det (premium_rcv_code,assorted_code, rec_amount,premium_rcv_detail_code,remaining_amt, payrec, mode_code,coinsurance_code,class_cd,it_remarks) values('27Mar250028','070000177479','21495',(select max(to_number(i.premium_rcv_detail_code))+1
from ins_premium_det i),'21495','21495','02', '11000003','00','Request by Mr. Saqib Saleem 28-Mar-2025');</v>
      </c>
    </row>
    <row r="396" spans="1:8" ht="105" x14ac:dyDescent="0.25">
      <c r="A396" s="2" t="s">
        <v>5420</v>
      </c>
      <c r="B396" s="13" t="str">
        <f>VLOOKUP(A396,policy!B:C,2,0)</f>
        <v>070000177477</v>
      </c>
      <c r="C396" s="3">
        <v>14625</v>
      </c>
      <c r="D396" s="14">
        <f t="shared" si="25"/>
        <v>14625</v>
      </c>
      <c r="E396" s="19" t="s">
        <v>6323</v>
      </c>
      <c r="F396" s="15" t="str">
        <f t="shared" si="24"/>
        <v>insert into ins_premium_det (premium_rcv_code,assorted_code, rec_amount,premium_rcv_detail_code,remaining_amt, payrec, mode_code,coinsurance_code,class_cd,it_remarks) values</v>
      </c>
      <c r="G396" s="16" t="str">
        <f t="shared" si="26"/>
        <v>('27Mar250028','070000177477','14625',(select max(to_number(i.premium_rcv_detail_code))+1
from ins_premium_det i),'14625','14625','02', '11000003','00','Request by Mr. Saqib Saleem 28-Mar-2025');</v>
      </c>
      <c r="H396" s="17" t="str">
        <f t="shared" si="27"/>
        <v>insert into ins_premium_det (premium_rcv_code,assorted_code, rec_amount,premium_rcv_detail_code,remaining_amt, payrec, mode_code,coinsurance_code,class_cd,it_remarks) values('27Mar250028','070000177477','14625',(select max(to_number(i.premium_rcv_detail_code))+1
from ins_premium_det i),'14625','14625','02', '11000003','00','Request by Mr. Saqib Saleem 28-Mar-2025');</v>
      </c>
    </row>
    <row r="397" spans="1:8" ht="105" x14ac:dyDescent="0.25">
      <c r="A397" s="2" t="s">
        <v>5421</v>
      </c>
      <c r="B397" s="13" t="str">
        <f>VLOOKUP(A397,policy!B:C,2,0)</f>
        <v>070000177474</v>
      </c>
      <c r="C397" s="3">
        <v>23625</v>
      </c>
      <c r="D397" s="14">
        <f t="shared" si="25"/>
        <v>23625</v>
      </c>
      <c r="E397" s="19" t="s">
        <v>6323</v>
      </c>
      <c r="F397" s="15" t="str">
        <f t="shared" si="24"/>
        <v>insert into ins_premium_det (premium_rcv_code,assorted_code, rec_amount,premium_rcv_detail_code,remaining_amt, payrec, mode_code,coinsurance_code,class_cd,it_remarks) values</v>
      </c>
      <c r="G397" s="16" t="str">
        <f t="shared" si="26"/>
        <v>('27Mar250028','070000177474','23625',(select max(to_number(i.premium_rcv_detail_code))+1
from ins_premium_det i),'23625','23625','02', '11000003','00','Request by Mr. Saqib Saleem 28-Mar-2025');</v>
      </c>
      <c r="H397" s="17" t="str">
        <f t="shared" si="27"/>
        <v>insert into ins_premium_det (premium_rcv_code,assorted_code, rec_amount,premium_rcv_detail_code,remaining_amt, payrec, mode_code,coinsurance_code,class_cd,it_remarks) values('27Mar250028','070000177474','23625',(select max(to_number(i.premium_rcv_detail_code))+1
from ins_premium_det i),'23625','23625','02', '11000003','00','Request by Mr. Saqib Saleem 28-Mar-2025');</v>
      </c>
    </row>
    <row r="398" spans="1:8" ht="105" x14ac:dyDescent="0.25">
      <c r="A398" s="2" t="s">
        <v>5422</v>
      </c>
      <c r="B398" s="13" t="str">
        <f>VLOOKUP(A398,policy!B:C,2,0)</f>
        <v>070000177467</v>
      </c>
      <c r="C398" s="3">
        <v>58560</v>
      </c>
      <c r="D398" s="14">
        <f t="shared" si="25"/>
        <v>58560</v>
      </c>
      <c r="E398" s="19" t="s">
        <v>6323</v>
      </c>
      <c r="F398" s="15" t="str">
        <f t="shared" si="24"/>
        <v>insert into ins_premium_det (premium_rcv_code,assorted_code, rec_amount,premium_rcv_detail_code,remaining_amt, payrec, mode_code,coinsurance_code,class_cd,it_remarks) values</v>
      </c>
      <c r="G398" s="16" t="str">
        <f t="shared" si="26"/>
        <v>('27Mar250028','070000177467','58560',(select max(to_number(i.premium_rcv_detail_code))+1
from ins_premium_det i),'58560','58560','02', '11000003','00','Request by Mr. Saqib Saleem 28-Mar-2025');</v>
      </c>
      <c r="H398" s="17" t="str">
        <f t="shared" si="27"/>
        <v>insert into ins_premium_det (premium_rcv_code,assorted_code, rec_amount,premium_rcv_detail_code,remaining_amt, payrec, mode_code,coinsurance_code,class_cd,it_remarks) values('27Mar250028','070000177467','58560',(select max(to_number(i.premium_rcv_detail_code))+1
from ins_premium_det i),'58560','58560','02', '11000003','00','Request by Mr. Saqib Saleem 28-Mar-2025');</v>
      </c>
    </row>
    <row r="399" spans="1:8" ht="105" x14ac:dyDescent="0.25">
      <c r="A399" s="2" t="s">
        <v>5423</v>
      </c>
      <c r="B399" s="13" t="str">
        <f>VLOOKUP(A399,policy!B:C,2,0)</f>
        <v>070000177466</v>
      </c>
      <c r="C399" s="3">
        <v>31500</v>
      </c>
      <c r="D399" s="14">
        <f t="shared" si="25"/>
        <v>31500</v>
      </c>
      <c r="E399" s="19" t="s">
        <v>6323</v>
      </c>
      <c r="F399" s="15" t="str">
        <f t="shared" si="24"/>
        <v>insert into ins_premium_det (premium_rcv_code,assorted_code, rec_amount,premium_rcv_detail_code,remaining_amt, payrec, mode_code,coinsurance_code,class_cd,it_remarks) values</v>
      </c>
      <c r="G399" s="16" t="str">
        <f t="shared" si="26"/>
        <v>('27Mar250028','070000177466','31500',(select max(to_number(i.premium_rcv_detail_code))+1
from ins_premium_det i),'31500','31500','02', '11000003','00','Request by Mr. Saqib Saleem 28-Mar-2025');</v>
      </c>
      <c r="H399" s="17" t="str">
        <f t="shared" si="27"/>
        <v>insert into ins_premium_det (premium_rcv_code,assorted_code, rec_amount,premium_rcv_detail_code,remaining_amt, payrec, mode_code,coinsurance_code,class_cd,it_remarks) values('27Mar250028','070000177466','31500',(select max(to_number(i.premium_rcv_detail_code))+1
from ins_premium_det i),'31500','31500','02', '11000003','00','Request by Mr. Saqib Saleem 28-Mar-2025');</v>
      </c>
    </row>
    <row r="400" spans="1:8" ht="105" x14ac:dyDescent="0.25">
      <c r="A400" s="2" t="s">
        <v>5424</v>
      </c>
      <c r="B400" s="13" t="str">
        <f>VLOOKUP(A400,policy!B:C,2,0)</f>
        <v>070000177397</v>
      </c>
      <c r="C400" s="3">
        <v>27780</v>
      </c>
      <c r="D400" s="14">
        <f t="shared" si="25"/>
        <v>27780</v>
      </c>
      <c r="E400" s="19" t="s">
        <v>6323</v>
      </c>
      <c r="F400" s="15" t="str">
        <f t="shared" si="24"/>
        <v>insert into ins_premium_det (premium_rcv_code,assorted_code, rec_amount,premium_rcv_detail_code,remaining_amt, payrec, mode_code,coinsurance_code,class_cd,it_remarks) values</v>
      </c>
      <c r="G400" s="16" t="str">
        <f t="shared" si="26"/>
        <v>('27Mar250028','070000177397','27780',(select max(to_number(i.premium_rcv_detail_code))+1
from ins_premium_det i),'27780','27780','02', '11000003','00','Request by Mr. Saqib Saleem 28-Mar-2025');</v>
      </c>
      <c r="H400" s="17" t="str">
        <f t="shared" si="27"/>
        <v>insert into ins_premium_det (premium_rcv_code,assorted_code, rec_amount,premium_rcv_detail_code,remaining_amt, payrec, mode_code,coinsurance_code,class_cd,it_remarks) values('27Mar250028','070000177397','27780',(select max(to_number(i.premium_rcv_detail_code))+1
from ins_premium_det i),'27780','27780','02', '11000003','00','Request by Mr. Saqib Saleem 28-Mar-2025');</v>
      </c>
    </row>
    <row r="401" spans="1:8" ht="105" x14ac:dyDescent="0.25">
      <c r="A401" s="2" t="s">
        <v>5425</v>
      </c>
      <c r="B401" s="13" t="str">
        <f>VLOOKUP(A401,policy!B:C,2,0)</f>
        <v>070000176752</v>
      </c>
      <c r="C401" s="3">
        <v>25497</v>
      </c>
      <c r="D401" s="14">
        <f t="shared" si="25"/>
        <v>25497</v>
      </c>
      <c r="E401" s="19" t="s">
        <v>6323</v>
      </c>
      <c r="F401" s="15" t="str">
        <f t="shared" si="24"/>
        <v>insert into ins_premium_det (premium_rcv_code,assorted_code, rec_amount,premium_rcv_detail_code,remaining_amt, payrec, mode_code,coinsurance_code,class_cd,it_remarks) values</v>
      </c>
      <c r="G401" s="16" t="str">
        <f t="shared" si="26"/>
        <v>('27Mar250028','070000176752','25497',(select max(to_number(i.premium_rcv_detail_code))+1
from ins_premium_det i),'25497','25497','02', '11000003','00','Request by Mr. Saqib Saleem 28-Mar-2025');</v>
      </c>
      <c r="H401" s="17" t="str">
        <f t="shared" si="27"/>
        <v>insert into ins_premium_det (premium_rcv_code,assorted_code, rec_amount,premium_rcv_detail_code,remaining_amt, payrec, mode_code,coinsurance_code,class_cd,it_remarks) values('27Mar250028','070000176752','25497',(select max(to_number(i.premium_rcv_detail_code))+1
from ins_premium_det i),'25497','25497','02', '11000003','00','Request by Mr. Saqib Saleem 28-Mar-2025');</v>
      </c>
    </row>
    <row r="402" spans="1:8" ht="105" x14ac:dyDescent="0.25">
      <c r="A402" s="2" t="s">
        <v>5426</v>
      </c>
      <c r="B402" s="13" t="str">
        <f>VLOOKUP(A402,policy!B:C,2,0)</f>
        <v>070000177464</v>
      </c>
      <c r="C402" s="3">
        <v>40545</v>
      </c>
      <c r="D402" s="14">
        <f t="shared" si="25"/>
        <v>40545</v>
      </c>
      <c r="E402" s="19" t="s">
        <v>6323</v>
      </c>
      <c r="F402" s="15" t="str">
        <f t="shared" si="24"/>
        <v>insert into ins_premium_det (premium_rcv_code,assorted_code, rec_amount,premium_rcv_detail_code,remaining_amt, payrec, mode_code,coinsurance_code,class_cd,it_remarks) values</v>
      </c>
      <c r="G402" s="16" t="str">
        <f t="shared" si="26"/>
        <v>('27Mar250028','070000177464','40545',(select max(to_number(i.premium_rcv_detail_code))+1
from ins_premium_det i),'40545','40545','02', '11000003','00','Request by Mr. Saqib Saleem 28-Mar-2025');</v>
      </c>
      <c r="H402" s="17" t="str">
        <f t="shared" si="27"/>
        <v>insert into ins_premium_det (premium_rcv_code,assorted_code, rec_amount,premium_rcv_detail_code,remaining_amt, payrec, mode_code,coinsurance_code,class_cd,it_remarks) values('27Mar250028','070000177464','40545',(select max(to_number(i.premium_rcv_detail_code))+1
from ins_premium_det i),'40545','40545','02', '11000003','00','Request by Mr. Saqib Saleem 28-Mar-2025');</v>
      </c>
    </row>
    <row r="403" spans="1:8" ht="105" x14ac:dyDescent="0.25">
      <c r="A403" s="2" t="s">
        <v>5427</v>
      </c>
      <c r="B403" s="13" t="str">
        <f>VLOOKUP(A403,policy!B:C,2,0)</f>
        <v>070000177462</v>
      </c>
      <c r="C403" s="3">
        <v>42975</v>
      </c>
      <c r="D403" s="14">
        <f t="shared" si="25"/>
        <v>42975</v>
      </c>
      <c r="E403" s="19" t="s">
        <v>6323</v>
      </c>
      <c r="F403" s="15" t="str">
        <f t="shared" si="24"/>
        <v>insert into ins_premium_det (premium_rcv_code,assorted_code, rec_amount,premium_rcv_detail_code,remaining_amt, payrec, mode_code,coinsurance_code,class_cd,it_remarks) values</v>
      </c>
      <c r="G403" s="16" t="str">
        <f t="shared" si="26"/>
        <v>('27Mar250028','070000177462','42975',(select max(to_number(i.premium_rcv_detail_code))+1
from ins_premium_det i),'42975','42975','02', '11000003','00','Request by Mr. Saqib Saleem 28-Mar-2025');</v>
      </c>
      <c r="H403" s="17" t="str">
        <f t="shared" si="27"/>
        <v>insert into ins_premium_det (premium_rcv_code,assorted_code, rec_amount,premium_rcv_detail_code,remaining_amt, payrec, mode_code,coinsurance_code,class_cd,it_remarks) values('27Mar250028','070000177462','42975',(select max(to_number(i.premium_rcv_detail_code))+1
from ins_premium_det i),'42975','42975','02', '11000003','00','Request by Mr. Saqib Saleem 28-Mar-2025');</v>
      </c>
    </row>
    <row r="404" spans="1:8" ht="105" x14ac:dyDescent="0.25">
      <c r="A404" s="2" t="s">
        <v>5428</v>
      </c>
      <c r="B404" s="13" t="str">
        <f>VLOOKUP(A404,policy!B:C,2,0)</f>
        <v>070000177461</v>
      </c>
      <c r="C404" s="3">
        <v>23400</v>
      </c>
      <c r="D404" s="14">
        <f t="shared" si="25"/>
        <v>23400</v>
      </c>
      <c r="E404" s="19" t="s">
        <v>6323</v>
      </c>
      <c r="F404" s="15" t="str">
        <f t="shared" si="24"/>
        <v>insert into ins_premium_det (premium_rcv_code,assorted_code, rec_amount,premium_rcv_detail_code,remaining_amt, payrec, mode_code,coinsurance_code,class_cd,it_remarks) values</v>
      </c>
      <c r="G404" s="16" t="str">
        <f t="shared" si="26"/>
        <v>('27Mar250028','070000177461','23400',(select max(to_number(i.premium_rcv_detail_code))+1
from ins_premium_det i),'23400','23400','02', '11000003','00','Request by Mr. Saqib Saleem 28-Mar-2025');</v>
      </c>
      <c r="H404" s="17" t="str">
        <f t="shared" si="27"/>
        <v>insert into ins_premium_det (premium_rcv_code,assorted_code, rec_amount,premium_rcv_detail_code,remaining_amt, payrec, mode_code,coinsurance_code,class_cd,it_remarks) values('27Mar250028','070000177461','23400',(select max(to_number(i.premium_rcv_detail_code))+1
from ins_premium_det i),'23400','23400','02', '11000003','00','Request by Mr. Saqib Saleem 28-Mar-2025');</v>
      </c>
    </row>
    <row r="405" spans="1:8" ht="105" x14ac:dyDescent="0.25">
      <c r="A405" s="2" t="s">
        <v>5429</v>
      </c>
      <c r="B405" s="13" t="str">
        <f>VLOOKUP(A405,policy!B:C,2,0)</f>
        <v>070000177458</v>
      </c>
      <c r="C405" s="3">
        <v>21360</v>
      </c>
      <c r="D405" s="14">
        <f t="shared" si="25"/>
        <v>21360</v>
      </c>
      <c r="E405" s="19" t="s">
        <v>6323</v>
      </c>
      <c r="F405" s="15" t="str">
        <f t="shared" si="24"/>
        <v>insert into ins_premium_det (premium_rcv_code,assorted_code, rec_amount,premium_rcv_detail_code,remaining_amt, payrec, mode_code,coinsurance_code,class_cd,it_remarks) values</v>
      </c>
      <c r="G405" s="16" t="str">
        <f t="shared" si="26"/>
        <v>('27Mar250028','070000177458','21360',(select max(to_number(i.premium_rcv_detail_code))+1
from ins_premium_det i),'21360','21360','02', '11000003','00','Request by Mr. Saqib Saleem 28-Mar-2025');</v>
      </c>
      <c r="H405" s="17" t="str">
        <f t="shared" si="27"/>
        <v>insert into ins_premium_det (premium_rcv_code,assorted_code, rec_amount,premium_rcv_detail_code,remaining_amt, payrec, mode_code,coinsurance_code,class_cd,it_remarks) values('27Mar250028','070000177458','21360',(select max(to_number(i.premium_rcv_detail_code))+1
from ins_premium_det i),'21360','21360','02', '11000003','00','Request by Mr. Saqib Saleem 28-Mar-2025');</v>
      </c>
    </row>
    <row r="406" spans="1:8" ht="105" x14ac:dyDescent="0.25">
      <c r="A406" s="2" t="s">
        <v>5430</v>
      </c>
      <c r="B406" s="13" t="str">
        <f>VLOOKUP(A406,policy!B:C,2,0)</f>
        <v>070000177455</v>
      </c>
      <c r="C406" s="3">
        <v>21495</v>
      </c>
      <c r="D406" s="14">
        <f t="shared" si="25"/>
        <v>21495</v>
      </c>
      <c r="E406" s="19" t="s">
        <v>6323</v>
      </c>
      <c r="F406" s="15" t="str">
        <f t="shared" si="24"/>
        <v>insert into ins_premium_det (premium_rcv_code,assorted_code, rec_amount,premium_rcv_detail_code,remaining_amt, payrec, mode_code,coinsurance_code,class_cd,it_remarks) values</v>
      </c>
      <c r="G406" s="16" t="str">
        <f t="shared" si="26"/>
        <v>('27Mar250028','070000177455','21495',(select max(to_number(i.premium_rcv_detail_code))+1
from ins_premium_det i),'21495','21495','02', '11000003','00','Request by Mr. Saqib Saleem 28-Mar-2025');</v>
      </c>
      <c r="H406" s="17" t="str">
        <f t="shared" si="27"/>
        <v>insert into ins_premium_det (premium_rcv_code,assorted_code, rec_amount,premium_rcv_detail_code,remaining_amt, payrec, mode_code,coinsurance_code,class_cd,it_remarks) values('27Mar250028','070000177455','21495',(select max(to_number(i.premium_rcv_detail_code))+1
from ins_premium_det i),'21495','21495','02', '11000003','00','Request by Mr. Saqib Saleem 28-Mar-2025');</v>
      </c>
    </row>
    <row r="407" spans="1:8" ht="105" x14ac:dyDescent="0.25">
      <c r="A407" s="2" t="s">
        <v>5431</v>
      </c>
      <c r="B407" s="13" t="str">
        <f>VLOOKUP(A407,policy!B:C,2,0)</f>
        <v>070000177441</v>
      </c>
      <c r="C407" s="3">
        <v>158788</v>
      </c>
      <c r="D407" s="14">
        <f t="shared" si="25"/>
        <v>158788</v>
      </c>
      <c r="E407" s="19" t="s">
        <v>6323</v>
      </c>
      <c r="F407" s="15" t="str">
        <f t="shared" si="24"/>
        <v>insert into ins_premium_det (premium_rcv_code,assorted_code, rec_amount,premium_rcv_detail_code,remaining_amt, payrec, mode_code,coinsurance_code,class_cd,it_remarks) values</v>
      </c>
      <c r="G407" s="16" t="str">
        <f t="shared" si="26"/>
        <v>('27Mar250028','070000177441','158788',(select max(to_number(i.premium_rcv_detail_code))+1
from ins_premium_det i),'158788','158788','02', '11000003','00','Request by Mr. Saqib Saleem 28-Mar-2025');</v>
      </c>
      <c r="H407" s="17" t="str">
        <f t="shared" si="27"/>
        <v>insert into ins_premium_det (premium_rcv_code,assorted_code, rec_amount,premium_rcv_detail_code,remaining_amt, payrec, mode_code,coinsurance_code,class_cd,it_remarks) values('27Mar250028','070000177441','158788',(select max(to_number(i.premium_rcv_detail_code))+1
from ins_premium_det i),'158788','158788','02', '11000003','00','Request by Mr. Saqib Saleem 28-Mar-2025');</v>
      </c>
    </row>
    <row r="408" spans="1:8" ht="105" x14ac:dyDescent="0.25">
      <c r="A408" s="2" t="s">
        <v>5432</v>
      </c>
      <c r="B408" s="13" t="str">
        <f>VLOOKUP(A408,policy!B:C,2,0)</f>
        <v>070000177431</v>
      </c>
      <c r="C408" s="3">
        <v>46224</v>
      </c>
      <c r="D408" s="14">
        <f t="shared" si="25"/>
        <v>46224</v>
      </c>
      <c r="E408" s="19" t="s">
        <v>6323</v>
      </c>
      <c r="F408" s="15" t="str">
        <f t="shared" si="24"/>
        <v>insert into ins_premium_det (premium_rcv_code,assorted_code, rec_amount,premium_rcv_detail_code,remaining_amt, payrec, mode_code,coinsurance_code,class_cd,it_remarks) values</v>
      </c>
      <c r="G408" s="16" t="str">
        <f t="shared" si="26"/>
        <v>('27Mar250028','070000177431','46224',(select max(to_number(i.premium_rcv_detail_code))+1
from ins_premium_det i),'46224','46224','02', '11000003','00','Request by Mr. Saqib Saleem 28-Mar-2025');</v>
      </c>
      <c r="H408" s="17" t="str">
        <f t="shared" si="27"/>
        <v>insert into ins_premium_det (premium_rcv_code,assorted_code, rec_amount,premium_rcv_detail_code,remaining_amt, payrec, mode_code,coinsurance_code,class_cd,it_remarks) values('27Mar250028','070000177431','46224',(select max(to_number(i.premium_rcv_detail_code))+1
from ins_premium_det i),'46224','46224','02', '11000003','00','Request by Mr. Saqib Saleem 28-Mar-2025');</v>
      </c>
    </row>
    <row r="409" spans="1:8" ht="105" x14ac:dyDescent="0.25">
      <c r="A409" s="2" t="s">
        <v>5433</v>
      </c>
      <c r="B409" s="13" t="str">
        <f>VLOOKUP(A409,policy!B:C,2,0)</f>
        <v>070000177429</v>
      </c>
      <c r="C409" s="3">
        <v>19575</v>
      </c>
      <c r="D409" s="14">
        <f t="shared" si="25"/>
        <v>19575</v>
      </c>
      <c r="E409" s="19" t="s">
        <v>6323</v>
      </c>
      <c r="F409" s="15" t="str">
        <f t="shared" si="24"/>
        <v>insert into ins_premium_det (premium_rcv_code,assorted_code, rec_amount,premium_rcv_detail_code,remaining_amt, payrec, mode_code,coinsurance_code,class_cd,it_remarks) values</v>
      </c>
      <c r="G409" s="16" t="str">
        <f t="shared" si="26"/>
        <v>('27Mar250028','070000177429','19575',(select max(to_number(i.premium_rcv_detail_code))+1
from ins_premium_det i),'19575','19575','02', '11000003','00','Request by Mr. Saqib Saleem 28-Mar-2025');</v>
      </c>
      <c r="H409" s="17" t="str">
        <f t="shared" si="27"/>
        <v>insert into ins_premium_det (premium_rcv_code,assorted_code, rec_amount,premium_rcv_detail_code,remaining_amt, payrec, mode_code,coinsurance_code,class_cd,it_remarks) values('27Mar250028','070000177429','19575',(select max(to_number(i.premium_rcv_detail_code))+1
from ins_premium_det i),'19575','19575','02', '11000003','00','Request by Mr. Saqib Saleem 28-Mar-2025');</v>
      </c>
    </row>
    <row r="410" spans="1:8" ht="105" x14ac:dyDescent="0.25">
      <c r="A410" s="2" t="s">
        <v>5434</v>
      </c>
      <c r="B410" s="13" t="str">
        <f>VLOOKUP(A410,policy!B:C,2,0)</f>
        <v>070000177428</v>
      </c>
      <c r="C410" s="3">
        <v>22815</v>
      </c>
      <c r="D410" s="14">
        <f t="shared" si="25"/>
        <v>22815</v>
      </c>
      <c r="E410" s="19" t="s">
        <v>6323</v>
      </c>
      <c r="F410" s="15" t="str">
        <f t="shared" si="24"/>
        <v>insert into ins_premium_det (premium_rcv_code,assorted_code, rec_amount,premium_rcv_detail_code,remaining_amt, payrec, mode_code,coinsurance_code,class_cd,it_remarks) values</v>
      </c>
      <c r="G410" s="16" t="str">
        <f t="shared" si="26"/>
        <v>('27Mar250028','070000177428','22815',(select max(to_number(i.premium_rcv_detail_code))+1
from ins_premium_det i),'22815','22815','02', '11000003','00','Request by Mr. Saqib Saleem 28-Mar-2025');</v>
      </c>
      <c r="H410" s="17" t="str">
        <f t="shared" si="27"/>
        <v>insert into ins_premium_det (premium_rcv_code,assorted_code, rec_amount,premium_rcv_detail_code,remaining_amt, payrec, mode_code,coinsurance_code,class_cd,it_remarks) values('27Mar250028','070000177428','22815',(select max(to_number(i.premium_rcv_detail_code))+1
from ins_premium_det i),'22815','22815','02', '11000003','00','Request by Mr. Saqib Saleem 28-Mar-2025');</v>
      </c>
    </row>
    <row r="411" spans="1:8" ht="105" x14ac:dyDescent="0.25">
      <c r="A411" s="2" t="s">
        <v>5435</v>
      </c>
      <c r="B411" s="13" t="str">
        <f>VLOOKUP(A411,policy!B:C,2,0)</f>
        <v>070000177427</v>
      </c>
      <c r="C411" s="3">
        <v>16931</v>
      </c>
      <c r="D411" s="14">
        <f t="shared" si="25"/>
        <v>16931</v>
      </c>
      <c r="E411" s="19" t="s">
        <v>6323</v>
      </c>
      <c r="F411" s="15" t="str">
        <f t="shared" si="24"/>
        <v>insert into ins_premium_det (premium_rcv_code,assorted_code, rec_amount,premium_rcv_detail_code,remaining_amt, payrec, mode_code,coinsurance_code,class_cd,it_remarks) values</v>
      </c>
      <c r="G411" s="16" t="str">
        <f t="shared" si="26"/>
        <v>('27Mar250028','070000177427','16931',(select max(to_number(i.premium_rcv_detail_code))+1
from ins_premium_det i),'16931','16931','02', '11000003','00','Request by Mr. Saqib Saleem 28-Mar-2025');</v>
      </c>
      <c r="H411" s="17" t="str">
        <f t="shared" si="27"/>
        <v>insert into ins_premium_det (premium_rcv_code,assorted_code, rec_amount,premium_rcv_detail_code,remaining_amt, payrec, mode_code,coinsurance_code,class_cd,it_remarks) values('27Mar250028','070000177427','16931',(select max(to_number(i.premium_rcv_detail_code))+1
from ins_premium_det i),'16931','16931','02', '11000003','00','Request by Mr. Saqib Saleem 28-Mar-2025');</v>
      </c>
    </row>
    <row r="412" spans="1:8" ht="105" x14ac:dyDescent="0.25">
      <c r="A412" s="2" t="s">
        <v>5436</v>
      </c>
      <c r="B412" s="13" t="str">
        <f>VLOOKUP(A412,policy!B:C,2,0)</f>
        <v>070000177409</v>
      </c>
      <c r="C412" s="3">
        <v>46688</v>
      </c>
      <c r="D412" s="14">
        <f t="shared" si="25"/>
        <v>46688</v>
      </c>
      <c r="E412" s="19" t="s">
        <v>6323</v>
      </c>
      <c r="F412" s="15" t="str">
        <f t="shared" si="24"/>
        <v>insert into ins_premium_det (premium_rcv_code,assorted_code, rec_amount,premium_rcv_detail_code,remaining_amt, payrec, mode_code,coinsurance_code,class_cd,it_remarks) values</v>
      </c>
      <c r="G412" s="16" t="str">
        <f t="shared" si="26"/>
        <v>('27Mar250028','070000177409','46688',(select max(to_number(i.premium_rcv_detail_code))+1
from ins_premium_det i),'46688','46688','02', '11000003','00','Request by Mr. Saqib Saleem 28-Mar-2025');</v>
      </c>
      <c r="H412" s="17" t="str">
        <f t="shared" si="27"/>
        <v>insert into ins_premium_det (premium_rcv_code,assorted_code, rec_amount,premium_rcv_detail_code,remaining_amt, payrec, mode_code,coinsurance_code,class_cd,it_remarks) values('27Mar250028','070000177409','46688',(select max(to_number(i.premium_rcv_detail_code))+1
from ins_premium_det i),'46688','46688','02', '11000003','00','Request by Mr. Saqib Saleem 28-Mar-2025');</v>
      </c>
    </row>
    <row r="413" spans="1:8" ht="105" x14ac:dyDescent="0.25">
      <c r="A413" s="2" t="s">
        <v>5437</v>
      </c>
      <c r="B413" s="13" t="str">
        <f>VLOOKUP(A413,policy!B:C,2,0)</f>
        <v>070000177426</v>
      </c>
      <c r="C413" s="3">
        <v>17213</v>
      </c>
      <c r="D413" s="14">
        <f t="shared" si="25"/>
        <v>17213</v>
      </c>
      <c r="E413" s="19" t="s">
        <v>6323</v>
      </c>
      <c r="F413" s="15" t="str">
        <f t="shared" si="24"/>
        <v>insert into ins_premium_det (premium_rcv_code,assorted_code, rec_amount,premium_rcv_detail_code,remaining_amt, payrec, mode_code,coinsurance_code,class_cd,it_remarks) values</v>
      </c>
      <c r="G413" s="16" t="str">
        <f t="shared" si="26"/>
        <v>('27Mar250028','070000177426','17213',(select max(to_number(i.premium_rcv_detail_code))+1
from ins_premium_det i),'17213','17213','02', '11000003','00','Request by Mr. Saqib Saleem 28-Mar-2025');</v>
      </c>
      <c r="H413" s="17" t="str">
        <f t="shared" si="27"/>
        <v>insert into ins_premium_det (premium_rcv_code,assorted_code, rec_amount,premium_rcv_detail_code,remaining_amt, payrec, mode_code,coinsurance_code,class_cd,it_remarks) values('27Mar250028','070000177426','17213',(select max(to_number(i.premium_rcv_detail_code))+1
from ins_premium_det i),'17213','17213','02', '11000003','00','Request by Mr. Saqib Saleem 28-Mar-2025');</v>
      </c>
    </row>
    <row r="414" spans="1:8" ht="105" x14ac:dyDescent="0.25">
      <c r="A414" s="2" t="s">
        <v>5438</v>
      </c>
      <c r="B414" s="13" t="str">
        <f>VLOOKUP(A414,policy!B:C,2,0)</f>
        <v>070000177424</v>
      </c>
      <c r="C414" s="3">
        <v>11250</v>
      </c>
      <c r="D414" s="14">
        <f t="shared" si="25"/>
        <v>11250</v>
      </c>
      <c r="E414" s="19" t="s">
        <v>6323</v>
      </c>
      <c r="F414" s="15" t="str">
        <f t="shared" si="24"/>
        <v>insert into ins_premium_det (premium_rcv_code,assorted_code, rec_amount,premium_rcv_detail_code,remaining_amt, payrec, mode_code,coinsurance_code,class_cd,it_remarks) values</v>
      </c>
      <c r="G414" s="16" t="str">
        <f t="shared" si="26"/>
        <v>('27Mar250028','070000177424','11250',(select max(to_number(i.premium_rcv_detail_code))+1
from ins_premium_det i),'11250','11250','02', '11000003','00','Request by Mr. Saqib Saleem 28-Mar-2025');</v>
      </c>
      <c r="H414" s="17" t="str">
        <f t="shared" si="27"/>
        <v>insert into ins_premium_det (premium_rcv_code,assorted_code, rec_amount,premium_rcv_detail_code,remaining_amt, payrec, mode_code,coinsurance_code,class_cd,it_remarks) values('27Mar250028','070000177424','11250',(select max(to_number(i.premium_rcv_detail_code))+1
from ins_premium_det i),'11250','11250','02', '11000003','00','Request by Mr. Saqib Saleem 28-Mar-2025');</v>
      </c>
    </row>
    <row r="415" spans="1:8" ht="105" x14ac:dyDescent="0.25">
      <c r="A415" s="2" t="s">
        <v>5439</v>
      </c>
      <c r="B415" s="13" t="str">
        <f>VLOOKUP(A415,policy!B:C,2,0)</f>
        <v>070000177417</v>
      </c>
      <c r="C415" s="3">
        <v>49347</v>
      </c>
      <c r="D415" s="14">
        <f t="shared" si="25"/>
        <v>49347</v>
      </c>
      <c r="E415" s="19" t="s">
        <v>6323</v>
      </c>
      <c r="F415" s="15" t="str">
        <f t="shared" si="24"/>
        <v>insert into ins_premium_det (premium_rcv_code,assorted_code, rec_amount,premium_rcv_detail_code,remaining_amt, payrec, mode_code,coinsurance_code,class_cd,it_remarks) values</v>
      </c>
      <c r="G415" s="16" t="str">
        <f t="shared" si="26"/>
        <v>('27Mar250028','070000177417','49347',(select max(to_number(i.premium_rcv_detail_code))+1
from ins_premium_det i),'49347','49347','02', '11000003','00','Request by Mr. Saqib Saleem 28-Mar-2025');</v>
      </c>
      <c r="H415" s="17" t="str">
        <f t="shared" si="27"/>
        <v>insert into ins_premium_det (premium_rcv_code,assorted_code, rec_amount,premium_rcv_detail_code,remaining_amt, payrec, mode_code,coinsurance_code,class_cd,it_remarks) values('27Mar250028','070000177417','49347',(select max(to_number(i.premium_rcv_detail_code))+1
from ins_premium_det i),'49347','49347','02', '11000003','00','Request by Mr. Saqib Saleem 28-Mar-2025');</v>
      </c>
    </row>
    <row r="416" spans="1:8" ht="105" x14ac:dyDescent="0.25">
      <c r="A416" s="2" t="s">
        <v>5440</v>
      </c>
      <c r="B416" s="13" t="str">
        <f>VLOOKUP(A416,policy!B:C,2,0)</f>
        <v>070000177412</v>
      </c>
      <c r="C416" s="3">
        <v>21375</v>
      </c>
      <c r="D416" s="14">
        <f t="shared" si="25"/>
        <v>21375</v>
      </c>
      <c r="E416" s="19" t="s">
        <v>6323</v>
      </c>
      <c r="F416" s="15" t="str">
        <f t="shared" si="24"/>
        <v>insert into ins_premium_det (premium_rcv_code,assorted_code, rec_amount,premium_rcv_detail_code,remaining_amt, payrec, mode_code,coinsurance_code,class_cd,it_remarks) values</v>
      </c>
      <c r="G416" s="16" t="str">
        <f t="shared" si="26"/>
        <v>('27Mar250028','070000177412','21375',(select max(to_number(i.premium_rcv_detail_code))+1
from ins_premium_det i),'21375','21375','02', '11000003','00','Request by Mr. Saqib Saleem 28-Mar-2025');</v>
      </c>
      <c r="H416" s="17" t="str">
        <f t="shared" si="27"/>
        <v>insert into ins_premium_det (premium_rcv_code,assorted_code, rec_amount,premium_rcv_detail_code,remaining_amt, payrec, mode_code,coinsurance_code,class_cd,it_remarks) values('27Mar250028','070000177412','21375',(select max(to_number(i.premium_rcv_detail_code))+1
from ins_premium_det i),'21375','21375','02', '11000003','00','Request by Mr. Saqib Saleem 28-Mar-2025');</v>
      </c>
    </row>
    <row r="417" spans="1:8" ht="105" x14ac:dyDescent="0.25">
      <c r="A417" s="2" t="s">
        <v>5441</v>
      </c>
      <c r="B417" s="13" t="str">
        <f>VLOOKUP(A417,policy!B:C,2,0)</f>
        <v>070000177414</v>
      </c>
      <c r="C417" s="3">
        <v>16875</v>
      </c>
      <c r="D417" s="14">
        <f t="shared" si="25"/>
        <v>16875</v>
      </c>
      <c r="E417" s="19" t="s">
        <v>6323</v>
      </c>
      <c r="F417" s="15" t="str">
        <f t="shared" si="24"/>
        <v>insert into ins_premium_det (premium_rcv_code,assorted_code, rec_amount,premium_rcv_detail_code,remaining_amt, payrec, mode_code,coinsurance_code,class_cd,it_remarks) values</v>
      </c>
      <c r="G417" s="16" t="str">
        <f t="shared" si="26"/>
        <v>('27Mar250028','070000177414','16875',(select max(to_number(i.premium_rcv_detail_code))+1
from ins_premium_det i),'16875','16875','02', '11000003','00','Request by Mr. Saqib Saleem 28-Mar-2025');</v>
      </c>
      <c r="H417" s="17" t="str">
        <f t="shared" si="27"/>
        <v>insert into ins_premium_det (premium_rcv_code,assorted_code, rec_amount,premium_rcv_detail_code,remaining_amt, payrec, mode_code,coinsurance_code,class_cd,it_remarks) values('27Mar250028','070000177414','16875',(select max(to_number(i.premium_rcv_detail_code))+1
from ins_premium_det i),'16875','16875','02', '11000003','00','Request by Mr. Saqib Saleem 28-Mar-2025');</v>
      </c>
    </row>
    <row r="418" spans="1:8" x14ac:dyDescent="0.25">
      <c r="C418" s="20">
        <f>SUM(C2:C417)</f>
        <v>14991132</v>
      </c>
    </row>
    <row r="419" spans="1:8" x14ac:dyDescent="0.25">
      <c r="C419" s="20"/>
      <c r="D419" s="20" t="s">
        <v>6324</v>
      </c>
    </row>
    <row r="420" spans="1:8" x14ac:dyDescent="0.25">
      <c r="C420" s="21">
        <v>14991132</v>
      </c>
    </row>
    <row r="421" spans="1:8" x14ac:dyDescent="0.25">
      <c r="C421" s="20" t="s">
        <v>6324</v>
      </c>
    </row>
    <row r="424" spans="1:8" x14ac:dyDescent="0.25">
      <c r="C424" s="20">
        <v>9804070</v>
      </c>
    </row>
    <row r="426" spans="1:8" x14ac:dyDescent="0.25">
      <c r="C426" s="20">
        <f>C418-C424</f>
        <v>5187062</v>
      </c>
    </row>
  </sheetData>
  <autoFilter ref="A1:H421" xr:uid="{991328ED-BA94-4D13-9AC8-C4130381D04F}">
    <filterColumn colId="1">
      <filters blank="1">
        <filter val="070000174509"/>
        <filter val="070000174511"/>
        <filter val="070000174512"/>
        <filter val="070000174513"/>
        <filter val="070000174543"/>
        <filter val="070000174562"/>
        <filter val="070000174564"/>
        <filter val="070000174574"/>
        <filter val="070000174575"/>
        <filter val="070000174599"/>
        <filter val="070000174602"/>
        <filter val="070000174605"/>
        <filter val="070000174608"/>
        <filter val="070000174622"/>
        <filter val="070000174636"/>
        <filter val="070000174646"/>
        <filter val="070000174647"/>
        <filter val="070000174657"/>
        <filter val="070000174662"/>
        <filter val="070000174668"/>
        <filter val="070000174671"/>
        <filter val="070000174674"/>
        <filter val="070000174681"/>
        <filter val="070000174693"/>
        <filter val="070000174695"/>
        <filter val="070000174697"/>
        <filter val="070000174703"/>
        <filter val="070000174704"/>
        <filter val="070000174706"/>
        <filter val="070000174720"/>
        <filter val="070000174725"/>
        <filter val="070000174741"/>
        <filter val="070000174748"/>
        <filter val="070000174754"/>
        <filter val="070000174757"/>
        <filter val="070000174758"/>
        <filter val="070000174774"/>
        <filter val="070000174775"/>
        <filter val="070000174787"/>
        <filter val="070000174791"/>
        <filter val="070000174799"/>
        <filter val="070000176752"/>
        <filter val="070000177223"/>
        <filter val="070000177369"/>
        <filter val="070000177370"/>
        <filter val="070000177371"/>
        <filter val="070000177372"/>
        <filter val="070000177373"/>
        <filter val="070000177374"/>
        <filter val="070000177375"/>
        <filter val="070000177376"/>
        <filter val="070000177377"/>
        <filter val="070000177378"/>
        <filter val="070000177379"/>
        <filter val="070000177380"/>
        <filter val="070000177381"/>
        <filter val="070000177382"/>
        <filter val="070000177383"/>
        <filter val="070000177384"/>
        <filter val="070000177385"/>
        <filter val="070000177386"/>
        <filter val="070000177387"/>
        <filter val="070000177388"/>
        <filter val="070000177389"/>
        <filter val="070000177390"/>
        <filter val="070000177391"/>
        <filter val="070000177392"/>
        <filter val="070000177393"/>
        <filter val="070000177394"/>
        <filter val="070000177395"/>
        <filter val="070000177396"/>
        <filter val="070000177397"/>
        <filter val="070000177399"/>
        <filter val="070000177400"/>
        <filter val="070000177401"/>
        <filter val="070000177402"/>
        <filter val="070000177403"/>
        <filter val="070000177404"/>
        <filter val="070000177405"/>
        <filter val="070000177406"/>
        <filter val="070000177407"/>
        <filter val="070000177408"/>
        <filter val="070000177409"/>
        <filter val="070000177410"/>
        <filter val="070000177411"/>
        <filter val="070000177412"/>
        <filter val="070000177413"/>
        <filter val="070000177414"/>
        <filter val="070000177415"/>
        <filter val="070000177416"/>
        <filter val="070000177417"/>
        <filter val="070000177418"/>
        <filter val="070000177419"/>
        <filter val="070000177420"/>
        <filter val="070000177421"/>
        <filter val="070000177422"/>
        <filter val="070000177423"/>
        <filter val="070000177424"/>
        <filter val="070000177425"/>
        <filter val="070000177426"/>
        <filter val="070000177427"/>
        <filter val="070000177428"/>
        <filter val="070000177429"/>
        <filter val="070000177430"/>
        <filter val="070000177431"/>
        <filter val="070000177432"/>
        <filter val="070000177433"/>
        <filter val="070000177434"/>
        <filter val="070000177435"/>
        <filter val="070000177436"/>
        <filter val="070000177437"/>
        <filter val="070000177438"/>
        <filter val="070000177439"/>
        <filter val="070000177440"/>
        <filter val="070000177441"/>
        <filter val="070000177442"/>
        <filter val="070000177443"/>
        <filter val="070000177444"/>
        <filter val="070000177445"/>
        <filter val="070000177446"/>
        <filter val="070000177447"/>
        <filter val="070000177448"/>
        <filter val="070000177449"/>
        <filter val="070000177450"/>
        <filter val="070000177451"/>
        <filter val="070000177452"/>
        <filter val="070000177453"/>
        <filter val="070000177454"/>
        <filter val="070000177455"/>
        <filter val="070000177456"/>
        <filter val="070000177457"/>
        <filter val="070000177458"/>
        <filter val="070000177459"/>
        <filter val="070000177460"/>
        <filter val="070000177461"/>
        <filter val="070000177462"/>
        <filter val="070000177463"/>
        <filter val="070000177464"/>
        <filter val="070000177465"/>
        <filter val="070000177466"/>
        <filter val="070000177467"/>
        <filter val="070000177468"/>
        <filter val="070000177469"/>
        <filter val="070000177470"/>
        <filter val="070000177471"/>
        <filter val="070000177472"/>
        <filter val="070000177473"/>
        <filter val="070000177474"/>
        <filter val="070000177475"/>
        <filter val="070000177476"/>
        <filter val="070000177477"/>
        <filter val="070000177478"/>
        <filter val="070000177479"/>
        <filter val="070000177480"/>
        <filter val="070000177481"/>
        <filter val="070000177482"/>
        <filter val="070000177483"/>
        <filter val="070000177484"/>
        <filter val="070000177485"/>
        <filter val="070000177486"/>
        <filter val="070000177487"/>
        <filter val="070000177488"/>
        <filter val="070000177489"/>
        <filter val="070000177490"/>
        <filter val="070000177491"/>
        <filter val="070000177492"/>
        <filter val="070000177493"/>
        <filter val="070000177494"/>
        <filter val="070000177495"/>
        <filter val="070000177496"/>
        <filter val="070000177497"/>
        <filter val="070000177498"/>
        <filter val="070000177499"/>
        <filter val="070000177500"/>
        <filter val="070000177501"/>
        <filter val="070000177502"/>
        <filter val="070000177503"/>
        <filter val="070000177504"/>
        <filter val="070000177505"/>
        <filter val="070000177506"/>
        <filter val="070000177507"/>
        <filter val="070000177508"/>
        <filter val="070000177509"/>
        <filter val="070000177510"/>
        <filter val="070000177511"/>
        <filter val="070000177512"/>
        <filter val="070000177513"/>
        <filter val="070000177514"/>
        <filter val="070000177515"/>
        <filter val="070000177516"/>
        <filter val="070000177517"/>
        <filter val="070000177518"/>
        <filter val="070000177519"/>
        <filter val="070000177520"/>
        <filter val="070000177521"/>
        <filter val="070000177522"/>
        <filter val="070000177523"/>
        <filter val="070000177524"/>
        <filter val="070000177525"/>
        <filter val="070000177526"/>
        <filter val="070000177527"/>
        <filter val="070000177528"/>
        <filter val="070000177529"/>
        <filter val="070000177530"/>
        <filter val="070000177532"/>
        <filter val="070000177533"/>
        <filter val="070000177534"/>
        <filter val="070000177535"/>
        <filter val="070000177536"/>
        <filter val="070000177537"/>
        <filter val="070000177538"/>
        <filter val="070000177539"/>
        <filter val="070000177540"/>
        <filter val="070000177541"/>
        <filter val="070000177542"/>
        <filter val="070000177543"/>
        <filter val="070000177544"/>
        <filter val="070000177545"/>
        <filter val="070000177546"/>
        <filter val="070000177547"/>
        <filter val="070000177548"/>
        <filter val="070000177549"/>
        <filter val="070000177550"/>
        <filter val="070000177551"/>
        <filter val="070000177552"/>
        <filter val="070000177553"/>
        <filter val="070000177554"/>
        <filter val="070000177555"/>
        <filter val="070000177556"/>
        <filter val="070000177557"/>
        <filter val="070000177558"/>
        <filter val="070000177559"/>
        <filter val="070000177560"/>
        <filter val="070000177561"/>
        <filter val="070000177562"/>
        <filter val="070000177563"/>
        <filter val="070000177564"/>
        <filter val="070000177566"/>
        <filter val="070000177567"/>
        <filter val="070000177568"/>
        <filter val="070000177569"/>
        <filter val="070000177570"/>
        <filter val="070000177571"/>
        <filter val="070000177572"/>
        <filter val="070000177573"/>
        <filter val="070000177574"/>
        <filter val="070000177575"/>
        <filter val="070000177576"/>
        <filter val="070000177577"/>
        <filter val="070000177578"/>
        <filter val="070000177579"/>
        <filter val="070000177580"/>
        <filter val="070000177581"/>
        <filter val="070000177582"/>
        <filter val="070000177583"/>
        <filter val="070000177584"/>
        <filter val="070000177585"/>
        <filter val="070000177586"/>
        <filter val="070000177587"/>
        <filter val="070000177588"/>
        <filter val="070000177589"/>
        <filter val="070000177590"/>
        <filter val="070000177591"/>
        <filter val="070000177592"/>
        <filter val="070000177593"/>
        <filter val="070000177594"/>
        <filter val="070000177595"/>
        <filter val="070000177596"/>
        <filter val="070000177597"/>
        <filter val="070000177598"/>
        <filter val="070000177599"/>
        <filter val="070000177600"/>
        <filter val="070000177601"/>
        <filter val="070000177602"/>
        <filter val="070000177603"/>
        <filter val="070000177604"/>
        <filter val="070000177605"/>
        <filter val="070000177606"/>
        <filter val="070000177607"/>
        <filter val="070000177608"/>
        <filter val="070000177609"/>
        <filter val="070000177610"/>
        <filter val="070000177611"/>
        <filter val="070000177612"/>
        <filter val="070000177613"/>
        <filter val="070000177614"/>
        <filter val="070000177615"/>
        <filter val="070000177616"/>
        <filter val="070000177617"/>
        <filter val="070000177618"/>
        <filter val="070000177619"/>
        <filter val="070000177620"/>
        <filter val="070000177621"/>
        <filter val="070000177622"/>
        <filter val="070000177623"/>
        <filter val="070000177624"/>
        <filter val="070000177625"/>
        <filter val="070000177626"/>
        <filter val="070000177627"/>
        <filter val="070000177628"/>
        <filter val="070000178695"/>
        <filter val="070000178696"/>
        <filter val="070000178710"/>
        <filter val="070000178712"/>
        <filter val="070000178720"/>
        <filter val="070000178722"/>
        <filter val="070000178729"/>
        <filter val="070000178732"/>
        <filter val="070000178739"/>
        <filter val="070000178745"/>
        <filter val="070000178749"/>
        <filter val="070000178750"/>
        <filter val="070000178756"/>
        <filter val="070000178758"/>
        <filter val="070000178761"/>
        <filter val="070000178763"/>
        <filter val="070000178769"/>
        <filter val="070000178780"/>
        <filter val="070000178795"/>
        <filter val="070000178798"/>
        <filter val="070000178799"/>
        <filter val="070000178808"/>
        <filter val="070000178809"/>
        <filter val="070000178810"/>
        <filter val="070000178813"/>
        <filter val="070000178814"/>
        <filter val="070000178815"/>
        <filter val="070000178829"/>
        <filter val="070000178830"/>
        <filter val="070000178831"/>
        <filter val="070000178840"/>
        <filter val="070000178841"/>
        <filter val="070000178843"/>
        <filter val="070000178844"/>
        <filter val="070000178845"/>
        <filter val="070000178847"/>
        <filter val="070000178848"/>
        <filter val="070000178850"/>
        <filter val="070000178857"/>
        <filter val="070000178858"/>
        <filter val="070000178860"/>
        <filter val="070000178866"/>
        <filter val="070000178870"/>
        <filter val="070000178871"/>
        <filter val="070000178872"/>
        <filter val="070000178874"/>
        <filter val="070000178875"/>
        <filter val="070000178877"/>
        <filter val="070000178878"/>
        <filter val="070000178879"/>
        <filter val="070000178883"/>
        <filter val="070000178884"/>
        <filter val="070000178885"/>
        <filter val="070000178886"/>
        <filter val="070000178887"/>
        <filter val="070000178888"/>
        <filter val="070000178889"/>
        <filter val="070000178890"/>
        <filter val="070000178893"/>
        <filter val="070000178894"/>
        <filter val="070000178895"/>
        <filter val="070000178896"/>
        <filter val="070000178897"/>
        <filter val="070000178898"/>
        <filter val="070000178899"/>
        <filter val="070000178900"/>
        <filter val="070000178902"/>
        <filter val="070000178904"/>
        <filter val="070000178906"/>
        <filter val="070000178909"/>
        <filter val="070000178910"/>
        <filter val="070000178914"/>
        <filter val="070000178916"/>
        <filter val="070000178917"/>
        <filter val="070000178918"/>
        <filter val="070000178919"/>
        <filter val="070000178920"/>
        <filter val="070000178921"/>
        <filter val="070000178924"/>
        <filter val="070000178925"/>
        <filter val="070000178927"/>
        <filter val="070000178928"/>
        <filter val="070000178929"/>
        <filter val="070000178930"/>
        <filter val="070000178931"/>
        <filter val="070000178932"/>
        <filter val="070000178933"/>
        <filter val="070000178934"/>
        <filter val="070000178935"/>
        <filter val="070000178937"/>
        <filter val="070000178938"/>
        <filter val="070000178939"/>
        <filter val="070000178940"/>
        <filter val="070000178941"/>
        <filter val="070000178942"/>
        <filter val="070000178943"/>
        <filter val="070000178944"/>
        <filter val="070000178945"/>
        <filter val="070000178946"/>
        <filter val="070000178947"/>
        <filter val="070000178948"/>
        <filter val="070000178949"/>
        <filter val="070000178950"/>
        <filter val="070000178951"/>
      </filters>
    </filterColumn>
  </autoFilter>
  <conditionalFormatting sqref="A1">
    <cfRule type="duplicateValues" dxfId="7" priority="1"/>
  </conditionalFormatting>
  <conditionalFormatting sqref="A2:B2 B3:B417"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86DA-E632-43C4-BBD4-BF970942BA47}">
  <dimension ref="A1:C428"/>
  <sheetViews>
    <sheetView topLeftCell="A411" workbookViewId="0">
      <selection activeCell="E421" sqref="E421"/>
    </sheetView>
  </sheetViews>
  <sheetFormatPr defaultColWidth="7.85546875" defaultRowHeight="15" x14ac:dyDescent="0.25"/>
  <cols>
    <col min="1" max="1" width="3.140625" customWidth="1"/>
    <col min="2" max="2" width="44.28515625" bestFit="1" customWidth="1"/>
    <col min="3" max="3" width="15" bestFit="1" customWidth="1"/>
  </cols>
  <sheetData>
    <row r="1" spans="1:3" s="18" customFormat="1" ht="12" x14ac:dyDescent="0.2">
      <c r="A1" s="18" t="s">
        <v>5892</v>
      </c>
      <c r="B1" s="18" t="s">
        <v>5893</v>
      </c>
      <c r="C1" s="18" t="s">
        <v>5894</v>
      </c>
    </row>
    <row r="2" spans="1:3" x14ac:dyDescent="0.25">
      <c r="A2">
        <v>1</v>
      </c>
      <c r="B2" t="s">
        <v>5040</v>
      </c>
      <c r="C2" t="s">
        <v>5895</v>
      </c>
    </row>
    <row r="3" spans="1:3" x14ac:dyDescent="0.25">
      <c r="A3">
        <v>2</v>
      </c>
      <c r="B3" t="s">
        <v>5047</v>
      </c>
      <c r="C3" t="s">
        <v>5896</v>
      </c>
    </row>
    <row r="4" spans="1:3" x14ac:dyDescent="0.25">
      <c r="A4">
        <v>3</v>
      </c>
      <c r="B4" t="s">
        <v>5049</v>
      </c>
      <c r="C4" t="s">
        <v>5897</v>
      </c>
    </row>
    <row r="5" spans="1:3" x14ac:dyDescent="0.25">
      <c r="A5">
        <v>4</v>
      </c>
      <c r="B5" t="s">
        <v>5050</v>
      </c>
      <c r="C5" t="s">
        <v>5898</v>
      </c>
    </row>
    <row r="6" spans="1:3" x14ac:dyDescent="0.25">
      <c r="A6">
        <v>5</v>
      </c>
      <c r="B6" t="s">
        <v>5052</v>
      </c>
      <c r="C6" t="s">
        <v>5899</v>
      </c>
    </row>
    <row r="7" spans="1:3" x14ac:dyDescent="0.25">
      <c r="A7">
        <v>6</v>
      </c>
      <c r="B7" t="s">
        <v>5057</v>
      </c>
      <c r="C7" t="s">
        <v>5900</v>
      </c>
    </row>
    <row r="8" spans="1:3" x14ac:dyDescent="0.25">
      <c r="A8">
        <v>7</v>
      </c>
      <c r="B8" t="s">
        <v>5060</v>
      </c>
      <c r="C8" t="s">
        <v>5901</v>
      </c>
    </row>
    <row r="9" spans="1:3" x14ac:dyDescent="0.25">
      <c r="A9">
        <v>8</v>
      </c>
      <c r="B9" t="s">
        <v>5065</v>
      </c>
      <c r="C9" t="s">
        <v>5902</v>
      </c>
    </row>
    <row r="10" spans="1:3" x14ac:dyDescent="0.25">
      <c r="A10">
        <v>9</v>
      </c>
      <c r="B10" t="s">
        <v>5069</v>
      </c>
      <c r="C10" t="s">
        <v>5903</v>
      </c>
    </row>
    <row r="11" spans="1:3" x14ac:dyDescent="0.25">
      <c r="A11">
        <v>10</v>
      </c>
      <c r="B11" t="s">
        <v>5072</v>
      </c>
      <c r="C11" t="s">
        <v>5904</v>
      </c>
    </row>
    <row r="12" spans="1:3" x14ac:dyDescent="0.25">
      <c r="A12">
        <v>11</v>
      </c>
      <c r="B12" t="s">
        <v>5073</v>
      </c>
      <c r="C12" t="s">
        <v>5905</v>
      </c>
    </row>
    <row r="13" spans="1:3" x14ac:dyDescent="0.25">
      <c r="A13">
        <v>12</v>
      </c>
      <c r="B13" t="s">
        <v>5079</v>
      </c>
      <c r="C13" t="s">
        <v>5906</v>
      </c>
    </row>
    <row r="14" spans="1:3" x14ac:dyDescent="0.25">
      <c r="A14">
        <v>13</v>
      </c>
      <c r="B14" t="s">
        <v>5081</v>
      </c>
      <c r="C14" t="s">
        <v>5907</v>
      </c>
    </row>
    <row r="15" spans="1:3" x14ac:dyDescent="0.25">
      <c r="A15">
        <v>14</v>
      </c>
      <c r="B15" t="s">
        <v>5086</v>
      </c>
      <c r="C15" t="s">
        <v>5908</v>
      </c>
    </row>
    <row r="16" spans="1:3" x14ac:dyDescent="0.25">
      <c r="A16">
        <v>15</v>
      </c>
      <c r="B16" t="s">
        <v>5088</v>
      </c>
      <c r="C16" t="s">
        <v>5909</v>
      </c>
    </row>
    <row r="17" spans="1:3" x14ac:dyDescent="0.25">
      <c r="A17">
        <v>16</v>
      </c>
      <c r="B17" t="s">
        <v>5101</v>
      </c>
      <c r="C17" t="s">
        <v>5910</v>
      </c>
    </row>
    <row r="18" spans="1:3" x14ac:dyDescent="0.25">
      <c r="A18">
        <v>17</v>
      </c>
      <c r="B18" t="s">
        <v>5425</v>
      </c>
      <c r="C18" t="s">
        <v>5911</v>
      </c>
    </row>
    <row r="19" spans="1:3" x14ac:dyDescent="0.25">
      <c r="A19">
        <v>18</v>
      </c>
      <c r="B19" t="s">
        <v>5116</v>
      </c>
      <c r="C19" t="s">
        <v>5912</v>
      </c>
    </row>
    <row r="20" spans="1:3" x14ac:dyDescent="0.25">
      <c r="A20">
        <v>19</v>
      </c>
      <c r="B20" t="s">
        <v>5117</v>
      </c>
      <c r="C20" t="s">
        <v>5913</v>
      </c>
    </row>
    <row r="21" spans="1:3" x14ac:dyDescent="0.25">
      <c r="A21">
        <v>20</v>
      </c>
      <c r="B21" t="s">
        <v>5048</v>
      </c>
      <c r="C21" t="s">
        <v>5914</v>
      </c>
    </row>
    <row r="22" spans="1:3" x14ac:dyDescent="0.25">
      <c r="A22">
        <v>21</v>
      </c>
      <c r="B22" t="s">
        <v>5084</v>
      </c>
      <c r="C22" t="s">
        <v>5915</v>
      </c>
    </row>
    <row r="23" spans="1:3" x14ac:dyDescent="0.25">
      <c r="A23">
        <v>22</v>
      </c>
      <c r="B23" t="s">
        <v>5114</v>
      </c>
      <c r="C23" t="s">
        <v>5916</v>
      </c>
    </row>
    <row r="24" spans="1:3" x14ac:dyDescent="0.25">
      <c r="A24">
        <v>23</v>
      </c>
      <c r="B24" t="s">
        <v>5140</v>
      </c>
      <c r="C24" t="s">
        <v>5917</v>
      </c>
    </row>
    <row r="25" spans="1:3" x14ac:dyDescent="0.25">
      <c r="A25">
        <v>24</v>
      </c>
      <c r="B25" t="s">
        <v>5436</v>
      </c>
      <c r="C25" t="s">
        <v>5918</v>
      </c>
    </row>
    <row r="26" spans="1:3" x14ac:dyDescent="0.25">
      <c r="A26">
        <v>25</v>
      </c>
      <c r="B26" t="s">
        <v>5147</v>
      </c>
      <c r="C26" t="s">
        <v>5919</v>
      </c>
    </row>
    <row r="27" spans="1:3" x14ac:dyDescent="0.25">
      <c r="A27">
        <v>26</v>
      </c>
      <c r="B27" t="s">
        <v>5437</v>
      </c>
      <c r="C27" t="s">
        <v>5920</v>
      </c>
    </row>
    <row r="28" spans="1:3" x14ac:dyDescent="0.25">
      <c r="A28">
        <v>27</v>
      </c>
      <c r="B28" t="s">
        <v>5171</v>
      </c>
      <c r="C28" t="s">
        <v>5921</v>
      </c>
    </row>
    <row r="29" spans="1:3" x14ac:dyDescent="0.25">
      <c r="A29">
        <v>28</v>
      </c>
      <c r="B29" t="s">
        <v>5174</v>
      </c>
      <c r="C29" t="s">
        <v>5922</v>
      </c>
    </row>
    <row r="30" spans="1:3" x14ac:dyDescent="0.25">
      <c r="A30">
        <v>29</v>
      </c>
      <c r="B30" t="s">
        <v>5431</v>
      </c>
      <c r="C30" t="s">
        <v>5923</v>
      </c>
    </row>
    <row r="31" spans="1:3" x14ac:dyDescent="0.25">
      <c r="A31">
        <v>30</v>
      </c>
      <c r="B31" t="s">
        <v>5201</v>
      </c>
      <c r="C31" t="s">
        <v>5924</v>
      </c>
    </row>
    <row r="32" spans="1:3" x14ac:dyDescent="0.25">
      <c r="A32">
        <v>31</v>
      </c>
      <c r="B32" t="s">
        <v>5412</v>
      </c>
      <c r="C32" t="s">
        <v>5925</v>
      </c>
    </row>
    <row r="33" spans="1:3" x14ac:dyDescent="0.25">
      <c r="A33">
        <v>32</v>
      </c>
      <c r="B33" t="s">
        <v>5234</v>
      </c>
      <c r="C33" t="s">
        <v>5926</v>
      </c>
    </row>
    <row r="34" spans="1:3" x14ac:dyDescent="0.25">
      <c r="A34">
        <v>33</v>
      </c>
      <c r="B34" t="s">
        <v>5237</v>
      </c>
      <c r="C34" t="s">
        <v>5927</v>
      </c>
    </row>
    <row r="35" spans="1:3" x14ac:dyDescent="0.25">
      <c r="A35">
        <v>34</v>
      </c>
      <c r="B35" t="s">
        <v>5240</v>
      </c>
      <c r="C35" t="s">
        <v>5928</v>
      </c>
    </row>
    <row r="36" spans="1:3" x14ac:dyDescent="0.25">
      <c r="A36">
        <v>35</v>
      </c>
      <c r="B36" t="s">
        <v>5243</v>
      </c>
      <c r="C36" t="s">
        <v>5929</v>
      </c>
    </row>
    <row r="37" spans="1:3" x14ac:dyDescent="0.25">
      <c r="A37">
        <v>36</v>
      </c>
      <c r="B37" t="s">
        <v>5402</v>
      </c>
      <c r="C37" t="s">
        <v>5930</v>
      </c>
    </row>
    <row r="38" spans="1:3" x14ac:dyDescent="0.25">
      <c r="A38">
        <v>37</v>
      </c>
      <c r="B38" t="s">
        <v>5247</v>
      </c>
      <c r="C38" t="s">
        <v>5931</v>
      </c>
    </row>
    <row r="39" spans="1:3" x14ac:dyDescent="0.25">
      <c r="A39">
        <v>38</v>
      </c>
      <c r="B39" t="s">
        <v>5394</v>
      </c>
      <c r="C39" t="s">
        <v>5932</v>
      </c>
    </row>
    <row r="40" spans="1:3" x14ac:dyDescent="0.25">
      <c r="A40">
        <v>39</v>
      </c>
      <c r="B40" t="s">
        <v>5253</v>
      </c>
      <c r="C40" t="s">
        <v>5933</v>
      </c>
    </row>
    <row r="41" spans="1:3" x14ac:dyDescent="0.25">
      <c r="A41">
        <v>40</v>
      </c>
      <c r="B41" t="s">
        <v>5255</v>
      </c>
      <c r="C41" t="s">
        <v>5934</v>
      </c>
    </row>
    <row r="42" spans="1:3" x14ac:dyDescent="0.25">
      <c r="A42">
        <v>41</v>
      </c>
      <c r="B42" t="s">
        <v>5257</v>
      </c>
      <c r="C42" t="s">
        <v>5935</v>
      </c>
    </row>
    <row r="43" spans="1:3" x14ac:dyDescent="0.25">
      <c r="A43">
        <v>42</v>
      </c>
      <c r="B43" t="s">
        <v>5258</v>
      </c>
      <c r="C43" t="s">
        <v>5936</v>
      </c>
    </row>
    <row r="44" spans="1:3" x14ac:dyDescent="0.25">
      <c r="A44">
        <v>43</v>
      </c>
      <c r="B44" t="s">
        <v>5261</v>
      </c>
      <c r="C44" t="s">
        <v>5937</v>
      </c>
    </row>
    <row r="45" spans="1:3" x14ac:dyDescent="0.25">
      <c r="A45">
        <v>44</v>
      </c>
      <c r="B45" t="s">
        <v>5289</v>
      </c>
      <c r="C45" t="s">
        <v>5938</v>
      </c>
    </row>
    <row r="46" spans="1:3" x14ac:dyDescent="0.25">
      <c r="A46">
        <v>45</v>
      </c>
      <c r="B46" t="s">
        <v>5299</v>
      </c>
      <c r="C46" t="s">
        <v>5939</v>
      </c>
    </row>
    <row r="47" spans="1:3" x14ac:dyDescent="0.25">
      <c r="A47">
        <v>46</v>
      </c>
      <c r="B47" t="s">
        <v>5302</v>
      </c>
      <c r="C47" t="s">
        <v>5940</v>
      </c>
    </row>
    <row r="48" spans="1:3" x14ac:dyDescent="0.25">
      <c r="A48">
        <v>47</v>
      </c>
      <c r="B48" t="s">
        <v>5311</v>
      </c>
      <c r="C48" t="s">
        <v>5941</v>
      </c>
    </row>
    <row r="49" spans="1:3" x14ac:dyDescent="0.25">
      <c r="A49">
        <v>48</v>
      </c>
      <c r="B49" t="s">
        <v>5314</v>
      </c>
      <c r="C49" t="s">
        <v>5942</v>
      </c>
    </row>
    <row r="50" spans="1:3" x14ac:dyDescent="0.25">
      <c r="A50">
        <v>49</v>
      </c>
      <c r="B50" t="s">
        <v>5317</v>
      </c>
      <c r="C50" t="s">
        <v>5943</v>
      </c>
    </row>
    <row r="51" spans="1:3" x14ac:dyDescent="0.25">
      <c r="A51">
        <v>50</v>
      </c>
      <c r="B51" t="s">
        <v>5322</v>
      </c>
      <c r="C51" t="s">
        <v>5944</v>
      </c>
    </row>
    <row r="52" spans="1:3" x14ac:dyDescent="0.25">
      <c r="A52">
        <v>51</v>
      </c>
      <c r="B52" t="s">
        <v>5104</v>
      </c>
      <c r="C52" t="s">
        <v>5945</v>
      </c>
    </row>
    <row r="53" spans="1:3" x14ac:dyDescent="0.25">
      <c r="A53">
        <v>52</v>
      </c>
      <c r="B53" t="s">
        <v>5105</v>
      </c>
      <c r="C53" t="s">
        <v>5946</v>
      </c>
    </row>
    <row r="54" spans="1:3" x14ac:dyDescent="0.25">
      <c r="A54">
        <v>53</v>
      </c>
      <c r="B54" t="s">
        <v>5106</v>
      </c>
      <c r="C54" t="s">
        <v>5947</v>
      </c>
    </row>
    <row r="55" spans="1:3" x14ac:dyDescent="0.25">
      <c r="A55">
        <v>54</v>
      </c>
      <c r="B55" t="s">
        <v>5390</v>
      </c>
      <c r="C55" t="s">
        <v>5948</v>
      </c>
    </row>
    <row r="56" spans="1:3" x14ac:dyDescent="0.25">
      <c r="A56">
        <v>55</v>
      </c>
      <c r="B56" t="s">
        <v>5107</v>
      </c>
      <c r="C56" t="s">
        <v>5949</v>
      </c>
    </row>
    <row r="57" spans="1:3" x14ac:dyDescent="0.25">
      <c r="A57">
        <v>56</v>
      </c>
      <c r="B57" t="s">
        <v>5392</v>
      </c>
      <c r="C57" t="s">
        <v>5950</v>
      </c>
    </row>
    <row r="58" spans="1:3" x14ac:dyDescent="0.25">
      <c r="A58">
        <v>57</v>
      </c>
      <c r="B58" t="s">
        <v>5108</v>
      </c>
      <c r="C58" t="s">
        <v>5951</v>
      </c>
    </row>
    <row r="59" spans="1:3" x14ac:dyDescent="0.25">
      <c r="A59">
        <v>58</v>
      </c>
      <c r="B59" t="s">
        <v>5109</v>
      </c>
      <c r="C59" t="s">
        <v>5952</v>
      </c>
    </row>
    <row r="60" spans="1:3" x14ac:dyDescent="0.25">
      <c r="A60">
        <v>59</v>
      </c>
      <c r="B60" t="s">
        <v>5110</v>
      </c>
      <c r="C60" t="s">
        <v>5953</v>
      </c>
    </row>
    <row r="61" spans="1:3" x14ac:dyDescent="0.25">
      <c r="A61">
        <v>60</v>
      </c>
      <c r="B61" t="s">
        <v>5404</v>
      </c>
      <c r="C61" t="s">
        <v>5954</v>
      </c>
    </row>
    <row r="62" spans="1:3" x14ac:dyDescent="0.25">
      <c r="A62">
        <v>61</v>
      </c>
      <c r="B62" t="s">
        <v>5112</v>
      </c>
      <c r="C62" t="s">
        <v>5955</v>
      </c>
    </row>
    <row r="63" spans="1:3" x14ac:dyDescent="0.25">
      <c r="A63">
        <v>62</v>
      </c>
      <c r="B63" t="s">
        <v>5407</v>
      </c>
      <c r="C63" t="s">
        <v>5956</v>
      </c>
    </row>
    <row r="64" spans="1:3" x14ac:dyDescent="0.25">
      <c r="A64">
        <v>63</v>
      </c>
      <c r="B64" t="s">
        <v>5408</v>
      </c>
      <c r="C64" t="s">
        <v>5957</v>
      </c>
    </row>
    <row r="65" spans="1:3" x14ac:dyDescent="0.25">
      <c r="A65">
        <v>64</v>
      </c>
      <c r="B65" t="s">
        <v>5409</v>
      </c>
      <c r="C65" t="s">
        <v>5958</v>
      </c>
    </row>
    <row r="66" spans="1:3" x14ac:dyDescent="0.25">
      <c r="A66">
        <v>65</v>
      </c>
      <c r="B66" t="s">
        <v>5265</v>
      </c>
      <c r="C66" t="s">
        <v>5959</v>
      </c>
    </row>
    <row r="67" spans="1:3" x14ac:dyDescent="0.25">
      <c r="A67">
        <v>66</v>
      </c>
      <c r="B67" t="s">
        <v>5269</v>
      </c>
      <c r="C67" t="s">
        <v>5960</v>
      </c>
    </row>
    <row r="68" spans="1:3" x14ac:dyDescent="0.25">
      <c r="A68">
        <v>67</v>
      </c>
      <c r="B68" t="s">
        <v>5271</v>
      </c>
      <c r="C68" t="s">
        <v>5961</v>
      </c>
    </row>
    <row r="69" spans="1:3" x14ac:dyDescent="0.25">
      <c r="A69">
        <v>68</v>
      </c>
      <c r="B69" t="s">
        <v>5274</v>
      </c>
      <c r="C69" t="s">
        <v>5962</v>
      </c>
    </row>
    <row r="70" spans="1:3" x14ac:dyDescent="0.25">
      <c r="A70">
        <v>69</v>
      </c>
      <c r="B70" t="s">
        <v>5278</v>
      </c>
      <c r="C70" t="s">
        <v>5963</v>
      </c>
    </row>
    <row r="71" spans="1:3" x14ac:dyDescent="0.25">
      <c r="A71">
        <v>70</v>
      </c>
      <c r="B71" t="s">
        <v>5287</v>
      </c>
      <c r="C71" t="s">
        <v>5964</v>
      </c>
    </row>
    <row r="72" spans="1:3" x14ac:dyDescent="0.25">
      <c r="A72">
        <v>71</v>
      </c>
      <c r="B72" t="s">
        <v>5113</v>
      </c>
      <c r="C72" t="s">
        <v>5965</v>
      </c>
    </row>
    <row r="73" spans="1:3" x14ac:dyDescent="0.25">
      <c r="A73">
        <v>72</v>
      </c>
      <c r="B73" t="s">
        <v>5115</v>
      </c>
      <c r="C73" t="s">
        <v>5966</v>
      </c>
    </row>
    <row r="74" spans="1:3" x14ac:dyDescent="0.25">
      <c r="A74">
        <v>73</v>
      </c>
      <c r="B74" t="s">
        <v>5118</v>
      </c>
      <c r="C74" t="s">
        <v>5967</v>
      </c>
    </row>
    <row r="75" spans="1:3" x14ac:dyDescent="0.25">
      <c r="A75">
        <v>74</v>
      </c>
      <c r="B75" t="s">
        <v>5122</v>
      </c>
      <c r="C75" t="s">
        <v>5968</v>
      </c>
    </row>
    <row r="76" spans="1:3" x14ac:dyDescent="0.25">
      <c r="A76">
        <v>75</v>
      </c>
      <c r="B76" t="s">
        <v>5123</v>
      </c>
      <c r="C76" t="s">
        <v>5969</v>
      </c>
    </row>
    <row r="77" spans="1:3" x14ac:dyDescent="0.25">
      <c r="A77">
        <v>76</v>
      </c>
      <c r="B77" t="s">
        <v>5415</v>
      </c>
      <c r="C77" t="s">
        <v>5970</v>
      </c>
    </row>
    <row r="78" spans="1:3" x14ac:dyDescent="0.25">
      <c r="A78">
        <v>77</v>
      </c>
      <c r="B78" t="s">
        <v>5416</v>
      </c>
      <c r="C78" t="s">
        <v>5971</v>
      </c>
    </row>
    <row r="79" spans="1:3" x14ac:dyDescent="0.25">
      <c r="A79">
        <v>78</v>
      </c>
      <c r="B79" t="s">
        <v>5127</v>
      </c>
      <c r="C79" t="s">
        <v>5972</v>
      </c>
    </row>
    <row r="80" spans="1:3" x14ac:dyDescent="0.25">
      <c r="A80">
        <v>79</v>
      </c>
      <c r="B80" t="s">
        <v>5129</v>
      </c>
      <c r="C80" t="s">
        <v>5973</v>
      </c>
    </row>
    <row r="81" spans="1:3" x14ac:dyDescent="0.25">
      <c r="A81">
        <v>80</v>
      </c>
      <c r="B81" t="s">
        <v>5130</v>
      </c>
      <c r="C81" t="s">
        <v>5974</v>
      </c>
    </row>
    <row r="82" spans="1:3" x14ac:dyDescent="0.25">
      <c r="A82">
        <v>81</v>
      </c>
      <c r="B82" t="s">
        <v>5424</v>
      </c>
      <c r="C82" t="s">
        <v>5975</v>
      </c>
    </row>
    <row r="83" spans="1:3" x14ac:dyDescent="0.25">
      <c r="A83">
        <v>82</v>
      </c>
      <c r="B83" t="s">
        <v>5216</v>
      </c>
      <c r="C83" t="s">
        <v>5976</v>
      </c>
    </row>
    <row r="84" spans="1:3" x14ac:dyDescent="0.25">
      <c r="A84">
        <v>83</v>
      </c>
      <c r="B84" t="s">
        <v>5219</v>
      </c>
      <c r="C84" t="s">
        <v>5977</v>
      </c>
    </row>
    <row r="85" spans="1:3" x14ac:dyDescent="0.25">
      <c r="A85">
        <v>84</v>
      </c>
      <c r="B85" t="s">
        <v>5419</v>
      </c>
      <c r="C85" t="s">
        <v>5978</v>
      </c>
    </row>
    <row r="86" spans="1:3" x14ac:dyDescent="0.25">
      <c r="A86">
        <v>85</v>
      </c>
      <c r="B86" t="s">
        <v>5417</v>
      </c>
      <c r="C86" t="s">
        <v>5979</v>
      </c>
    </row>
    <row r="87" spans="1:3" x14ac:dyDescent="0.25">
      <c r="A87">
        <v>86</v>
      </c>
      <c r="B87" t="s">
        <v>5371</v>
      </c>
      <c r="C87" t="s">
        <v>5980</v>
      </c>
    </row>
    <row r="88" spans="1:3" x14ac:dyDescent="0.25">
      <c r="A88">
        <v>87</v>
      </c>
      <c r="B88" t="s">
        <v>5361</v>
      </c>
      <c r="C88" t="s">
        <v>5981</v>
      </c>
    </row>
    <row r="89" spans="1:3" x14ac:dyDescent="0.25">
      <c r="A89">
        <v>88</v>
      </c>
      <c r="B89" t="s">
        <v>5330</v>
      </c>
      <c r="C89" t="s">
        <v>5982</v>
      </c>
    </row>
    <row r="90" spans="1:3" x14ac:dyDescent="0.25">
      <c r="A90">
        <v>89</v>
      </c>
      <c r="B90" t="s">
        <v>5332</v>
      </c>
      <c r="C90" t="s">
        <v>5983</v>
      </c>
    </row>
    <row r="91" spans="1:3" x14ac:dyDescent="0.25">
      <c r="A91">
        <v>90</v>
      </c>
      <c r="B91" t="s">
        <v>5334</v>
      </c>
      <c r="C91" t="s">
        <v>5984</v>
      </c>
    </row>
    <row r="92" spans="1:3" x14ac:dyDescent="0.25">
      <c r="A92">
        <v>91</v>
      </c>
      <c r="B92" t="s">
        <v>5337</v>
      </c>
      <c r="C92" t="s">
        <v>5985</v>
      </c>
    </row>
    <row r="93" spans="1:3" x14ac:dyDescent="0.25">
      <c r="A93">
        <v>92</v>
      </c>
      <c r="B93" t="s">
        <v>5355</v>
      </c>
      <c r="C93" t="s">
        <v>5986</v>
      </c>
    </row>
    <row r="94" spans="1:3" x14ac:dyDescent="0.25">
      <c r="A94">
        <v>93</v>
      </c>
      <c r="B94" t="s">
        <v>5132</v>
      </c>
      <c r="C94" t="s">
        <v>5987</v>
      </c>
    </row>
    <row r="95" spans="1:3" x14ac:dyDescent="0.25">
      <c r="A95">
        <v>94</v>
      </c>
      <c r="B95" t="s">
        <v>5133</v>
      </c>
      <c r="C95" t="s">
        <v>5988</v>
      </c>
    </row>
    <row r="96" spans="1:3" x14ac:dyDescent="0.25">
      <c r="A96">
        <v>95</v>
      </c>
      <c r="B96" t="s">
        <v>5134</v>
      </c>
      <c r="C96" t="s">
        <v>5989</v>
      </c>
    </row>
    <row r="97" spans="1:3" x14ac:dyDescent="0.25">
      <c r="A97">
        <v>96</v>
      </c>
      <c r="B97" t="s">
        <v>5135</v>
      </c>
      <c r="C97" t="s">
        <v>5990</v>
      </c>
    </row>
    <row r="98" spans="1:3" x14ac:dyDescent="0.25">
      <c r="A98">
        <v>97</v>
      </c>
      <c r="B98" t="s">
        <v>5136</v>
      </c>
      <c r="C98" t="s">
        <v>5991</v>
      </c>
    </row>
    <row r="99" spans="1:3" x14ac:dyDescent="0.25">
      <c r="A99">
        <v>98</v>
      </c>
      <c r="B99" t="s">
        <v>5137</v>
      </c>
      <c r="C99" t="s">
        <v>5992</v>
      </c>
    </row>
    <row r="100" spans="1:3" x14ac:dyDescent="0.25">
      <c r="A100">
        <v>99</v>
      </c>
      <c r="B100" t="s">
        <v>5138</v>
      </c>
      <c r="C100" t="s">
        <v>5993</v>
      </c>
    </row>
    <row r="101" spans="1:3" x14ac:dyDescent="0.25">
      <c r="A101">
        <v>100</v>
      </c>
      <c r="B101" t="s">
        <v>5143</v>
      </c>
      <c r="C101" t="s">
        <v>5994</v>
      </c>
    </row>
    <row r="102" spans="1:3" x14ac:dyDescent="0.25">
      <c r="A102">
        <v>101</v>
      </c>
      <c r="B102" t="s">
        <v>5144</v>
      </c>
      <c r="C102" t="s">
        <v>5995</v>
      </c>
    </row>
    <row r="103" spans="1:3" x14ac:dyDescent="0.25">
      <c r="A103">
        <v>102</v>
      </c>
      <c r="B103" t="s">
        <v>5145</v>
      </c>
      <c r="C103" t="s">
        <v>5996</v>
      </c>
    </row>
    <row r="104" spans="1:3" x14ac:dyDescent="0.25">
      <c r="A104">
        <v>103</v>
      </c>
      <c r="B104" t="s">
        <v>5146</v>
      </c>
      <c r="C104" t="s">
        <v>5997</v>
      </c>
    </row>
    <row r="105" spans="1:3" x14ac:dyDescent="0.25">
      <c r="A105">
        <v>104</v>
      </c>
      <c r="B105" t="s">
        <v>5440</v>
      </c>
      <c r="C105" t="s">
        <v>5998</v>
      </c>
    </row>
    <row r="106" spans="1:3" x14ac:dyDescent="0.25">
      <c r="A106">
        <v>105</v>
      </c>
      <c r="B106" t="s">
        <v>5441</v>
      </c>
      <c r="C106" t="s">
        <v>5999</v>
      </c>
    </row>
    <row r="107" spans="1:3" x14ac:dyDescent="0.25">
      <c r="A107">
        <v>106</v>
      </c>
      <c r="B107" t="s">
        <v>5148</v>
      </c>
      <c r="C107" t="s">
        <v>6000</v>
      </c>
    </row>
    <row r="108" spans="1:3" x14ac:dyDescent="0.25">
      <c r="A108">
        <v>107</v>
      </c>
      <c r="B108" t="s">
        <v>5439</v>
      </c>
      <c r="C108" t="s">
        <v>6001</v>
      </c>
    </row>
    <row r="109" spans="1:3" x14ac:dyDescent="0.25">
      <c r="A109">
        <v>108</v>
      </c>
      <c r="B109" t="s">
        <v>5150</v>
      </c>
      <c r="C109" t="s">
        <v>6002</v>
      </c>
    </row>
    <row r="110" spans="1:3" x14ac:dyDescent="0.25">
      <c r="A110">
        <v>109</v>
      </c>
      <c r="B110" t="s">
        <v>5158</v>
      </c>
      <c r="C110" t="s">
        <v>6003</v>
      </c>
    </row>
    <row r="111" spans="1:3" x14ac:dyDescent="0.25">
      <c r="A111">
        <v>110</v>
      </c>
      <c r="B111" t="s">
        <v>5160</v>
      </c>
      <c r="C111" t="s">
        <v>6004</v>
      </c>
    </row>
    <row r="112" spans="1:3" x14ac:dyDescent="0.25">
      <c r="A112">
        <v>111</v>
      </c>
      <c r="B112" t="s">
        <v>5162</v>
      </c>
      <c r="C112" t="s">
        <v>6005</v>
      </c>
    </row>
    <row r="113" spans="1:3" x14ac:dyDescent="0.25">
      <c r="A113">
        <v>112</v>
      </c>
      <c r="B113" t="s">
        <v>5438</v>
      </c>
      <c r="C113" t="s">
        <v>6006</v>
      </c>
    </row>
    <row r="114" spans="1:3" x14ac:dyDescent="0.25">
      <c r="A114">
        <v>113</v>
      </c>
      <c r="B114" t="s">
        <v>5164</v>
      </c>
      <c r="C114" t="s">
        <v>6007</v>
      </c>
    </row>
    <row r="115" spans="1:3" x14ac:dyDescent="0.25">
      <c r="A115">
        <v>114</v>
      </c>
      <c r="B115" t="s">
        <v>5345</v>
      </c>
      <c r="C115" t="s">
        <v>6008</v>
      </c>
    </row>
    <row r="116" spans="1:3" x14ac:dyDescent="0.25">
      <c r="A116">
        <v>115</v>
      </c>
      <c r="B116" t="s">
        <v>5435</v>
      </c>
      <c r="C116" t="s">
        <v>6009</v>
      </c>
    </row>
    <row r="117" spans="1:3" x14ac:dyDescent="0.25">
      <c r="A117">
        <v>116</v>
      </c>
      <c r="B117" t="s">
        <v>5434</v>
      </c>
      <c r="C117" t="s">
        <v>6010</v>
      </c>
    </row>
    <row r="118" spans="1:3" x14ac:dyDescent="0.25">
      <c r="A118">
        <v>117</v>
      </c>
      <c r="B118" t="s">
        <v>5433</v>
      </c>
      <c r="C118" t="s">
        <v>6011</v>
      </c>
    </row>
    <row r="119" spans="1:3" x14ac:dyDescent="0.25">
      <c r="A119">
        <v>118</v>
      </c>
      <c r="B119" t="s">
        <v>5165</v>
      </c>
      <c r="C119" t="s">
        <v>6012</v>
      </c>
    </row>
    <row r="120" spans="1:3" x14ac:dyDescent="0.25">
      <c r="A120">
        <v>119</v>
      </c>
      <c r="B120" t="s">
        <v>5432</v>
      </c>
      <c r="C120" t="s">
        <v>6013</v>
      </c>
    </row>
    <row r="121" spans="1:3" x14ac:dyDescent="0.25">
      <c r="A121">
        <v>120</v>
      </c>
      <c r="B121" t="s">
        <v>5167</v>
      </c>
      <c r="C121" t="s">
        <v>6014</v>
      </c>
    </row>
    <row r="122" spans="1:3" x14ac:dyDescent="0.25">
      <c r="A122">
        <v>121</v>
      </c>
      <c r="B122" t="s">
        <v>5169</v>
      </c>
      <c r="C122" t="s">
        <v>6015</v>
      </c>
    </row>
    <row r="123" spans="1:3" x14ac:dyDescent="0.25">
      <c r="A123">
        <v>122</v>
      </c>
      <c r="B123" t="s">
        <v>5172</v>
      </c>
      <c r="C123" t="s">
        <v>6016</v>
      </c>
    </row>
    <row r="124" spans="1:3" x14ac:dyDescent="0.25">
      <c r="A124">
        <v>123</v>
      </c>
      <c r="B124" t="s">
        <v>5173</v>
      </c>
      <c r="C124" t="s">
        <v>6017</v>
      </c>
    </row>
    <row r="125" spans="1:3" x14ac:dyDescent="0.25">
      <c r="A125">
        <v>124</v>
      </c>
      <c r="B125" t="s">
        <v>5176</v>
      </c>
      <c r="C125" t="s">
        <v>6018</v>
      </c>
    </row>
    <row r="126" spans="1:3" x14ac:dyDescent="0.25">
      <c r="A126">
        <v>125</v>
      </c>
      <c r="B126" t="s">
        <v>5177</v>
      </c>
      <c r="C126" t="s">
        <v>6019</v>
      </c>
    </row>
    <row r="127" spans="1:3" x14ac:dyDescent="0.25">
      <c r="A127">
        <v>126</v>
      </c>
      <c r="B127" t="s">
        <v>5178</v>
      </c>
      <c r="C127" t="s">
        <v>6020</v>
      </c>
    </row>
    <row r="128" spans="1:3" x14ac:dyDescent="0.25">
      <c r="A128">
        <v>127</v>
      </c>
      <c r="B128" t="s">
        <v>5179</v>
      </c>
      <c r="C128" t="s">
        <v>6021</v>
      </c>
    </row>
    <row r="129" spans="1:3" x14ac:dyDescent="0.25">
      <c r="A129">
        <v>128</v>
      </c>
      <c r="B129" t="s">
        <v>5183</v>
      </c>
      <c r="C129" t="s">
        <v>6022</v>
      </c>
    </row>
    <row r="130" spans="1:3" x14ac:dyDescent="0.25">
      <c r="A130">
        <v>129</v>
      </c>
      <c r="B130" t="s">
        <v>5189</v>
      </c>
      <c r="C130" t="s">
        <v>6023</v>
      </c>
    </row>
    <row r="131" spans="1:3" x14ac:dyDescent="0.25">
      <c r="A131">
        <v>130</v>
      </c>
      <c r="B131" t="s">
        <v>5190</v>
      </c>
      <c r="C131" t="s">
        <v>6024</v>
      </c>
    </row>
    <row r="132" spans="1:3" x14ac:dyDescent="0.25">
      <c r="A132">
        <v>131</v>
      </c>
      <c r="B132" t="s">
        <v>5192</v>
      </c>
      <c r="C132" t="s">
        <v>6025</v>
      </c>
    </row>
    <row r="133" spans="1:3" x14ac:dyDescent="0.25">
      <c r="A133">
        <v>132</v>
      </c>
      <c r="B133" t="s">
        <v>5193</v>
      </c>
      <c r="C133" t="s">
        <v>6026</v>
      </c>
    </row>
    <row r="134" spans="1:3" x14ac:dyDescent="0.25">
      <c r="A134">
        <v>133</v>
      </c>
      <c r="B134" t="s">
        <v>5194</v>
      </c>
      <c r="C134" t="s">
        <v>6027</v>
      </c>
    </row>
    <row r="135" spans="1:3" x14ac:dyDescent="0.25">
      <c r="A135">
        <v>134</v>
      </c>
      <c r="B135" t="s">
        <v>5199</v>
      </c>
      <c r="C135" t="s">
        <v>6028</v>
      </c>
    </row>
    <row r="136" spans="1:3" x14ac:dyDescent="0.25">
      <c r="A136">
        <v>135</v>
      </c>
      <c r="B136" t="s">
        <v>5200</v>
      </c>
      <c r="C136" t="s">
        <v>6029</v>
      </c>
    </row>
    <row r="137" spans="1:3" x14ac:dyDescent="0.25">
      <c r="A137">
        <v>136</v>
      </c>
      <c r="B137" t="s">
        <v>5430</v>
      </c>
      <c r="C137" t="s">
        <v>6030</v>
      </c>
    </row>
    <row r="138" spans="1:3" x14ac:dyDescent="0.25">
      <c r="A138">
        <v>137</v>
      </c>
      <c r="B138" t="s">
        <v>5204</v>
      </c>
      <c r="C138" t="s">
        <v>6031</v>
      </c>
    </row>
    <row r="139" spans="1:3" x14ac:dyDescent="0.25">
      <c r="A139">
        <v>138</v>
      </c>
      <c r="B139" t="s">
        <v>5205</v>
      </c>
      <c r="C139" t="s">
        <v>6032</v>
      </c>
    </row>
    <row r="140" spans="1:3" x14ac:dyDescent="0.25">
      <c r="A140">
        <v>139</v>
      </c>
      <c r="B140" t="s">
        <v>5429</v>
      </c>
      <c r="C140" t="s">
        <v>6033</v>
      </c>
    </row>
    <row r="141" spans="1:3" x14ac:dyDescent="0.25">
      <c r="A141">
        <v>140</v>
      </c>
      <c r="B141" t="s">
        <v>5206</v>
      </c>
      <c r="C141" t="s">
        <v>6034</v>
      </c>
    </row>
    <row r="142" spans="1:3" x14ac:dyDescent="0.25">
      <c r="A142">
        <v>141</v>
      </c>
      <c r="B142" t="s">
        <v>5207</v>
      </c>
      <c r="C142" t="s">
        <v>6035</v>
      </c>
    </row>
    <row r="143" spans="1:3" x14ac:dyDescent="0.25">
      <c r="A143">
        <v>142</v>
      </c>
      <c r="B143" t="s">
        <v>5428</v>
      </c>
      <c r="C143" t="s">
        <v>6036</v>
      </c>
    </row>
    <row r="144" spans="1:3" x14ac:dyDescent="0.25">
      <c r="A144">
        <v>143</v>
      </c>
      <c r="B144" t="s">
        <v>5208</v>
      </c>
      <c r="C144" t="s">
        <v>6037</v>
      </c>
    </row>
    <row r="145" spans="1:3" x14ac:dyDescent="0.25">
      <c r="A145">
        <v>144</v>
      </c>
      <c r="B145" t="s">
        <v>5426</v>
      </c>
      <c r="C145" t="s">
        <v>6038</v>
      </c>
    </row>
    <row r="146" spans="1:3" x14ac:dyDescent="0.25">
      <c r="A146">
        <v>145</v>
      </c>
      <c r="B146" t="s">
        <v>5423</v>
      </c>
      <c r="C146" t="s">
        <v>6039</v>
      </c>
    </row>
    <row r="147" spans="1:3" x14ac:dyDescent="0.25">
      <c r="A147">
        <v>146</v>
      </c>
      <c r="B147" t="s">
        <v>5422</v>
      </c>
      <c r="C147" t="s">
        <v>6040</v>
      </c>
    </row>
    <row r="148" spans="1:3" x14ac:dyDescent="0.25">
      <c r="A148">
        <v>147</v>
      </c>
      <c r="B148" t="s">
        <v>5210</v>
      </c>
      <c r="C148" t="s">
        <v>6041</v>
      </c>
    </row>
    <row r="149" spans="1:3" x14ac:dyDescent="0.25">
      <c r="A149">
        <v>148</v>
      </c>
      <c r="B149" t="s">
        <v>5213</v>
      </c>
      <c r="C149" t="s">
        <v>6042</v>
      </c>
    </row>
    <row r="150" spans="1:3" x14ac:dyDescent="0.25">
      <c r="A150">
        <v>149</v>
      </c>
      <c r="B150" t="s">
        <v>5215</v>
      </c>
      <c r="C150" t="s">
        <v>6043</v>
      </c>
    </row>
    <row r="151" spans="1:3" x14ac:dyDescent="0.25">
      <c r="A151">
        <v>150</v>
      </c>
      <c r="B151" t="s">
        <v>5217</v>
      </c>
      <c r="C151" t="s">
        <v>6044</v>
      </c>
    </row>
    <row r="152" spans="1:3" x14ac:dyDescent="0.25">
      <c r="A152">
        <v>151</v>
      </c>
      <c r="B152" t="s">
        <v>5421</v>
      </c>
      <c r="C152" t="s">
        <v>6045</v>
      </c>
    </row>
    <row r="153" spans="1:3" x14ac:dyDescent="0.25">
      <c r="A153">
        <v>152</v>
      </c>
      <c r="B153" t="s">
        <v>5220</v>
      </c>
      <c r="C153" t="s">
        <v>6046</v>
      </c>
    </row>
    <row r="154" spans="1:3" x14ac:dyDescent="0.25">
      <c r="A154">
        <v>153</v>
      </c>
      <c r="B154" t="s">
        <v>5420</v>
      </c>
      <c r="C154" t="s">
        <v>6047</v>
      </c>
    </row>
    <row r="155" spans="1:3" x14ac:dyDescent="0.25">
      <c r="A155">
        <v>154</v>
      </c>
      <c r="B155" t="s">
        <v>5221</v>
      </c>
      <c r="C155" t="s">
        <v>6048</v>
      </c>
    </row>
    <row r="156" spans="1:3" x14ac:dyDescent="0.25">
      <c r="A156">
        <v>155</v>
      </c>
      <c r="B156" t="s">
        <v>5418</v>
      </c>
      <c r="C156" t="s">
        <v>6049</v>
      </c>
    </row>
    <row r="157" spans="1:3" x14ac:dyDescent="0.25">
      <c r="A157">
        <v>156</v>
      </c>
      <c r="B157" t="s">
        <v>5223</v>
      </c>
      <c r="C157" t="s">
        <v>6050</v>
      </c>
    </row>
    <row r="158" spans="1:3" x14ac:dyDescent="0.25">
      <c r="A158">
        <v>157</v>
      </c>
      <c r="B158" t="s">
        <v>5111</v>
      </c>
      <c r="C158" t="s">
        <v>6051</v>
      </c>
    </row>
    <row r="159" spans="1:3" x14ac:dyDescent="0.25">
      <c r="A159">
        <v>158</v>
      </c>
      <c r="B159" t="s">
        <v>5406</v>
      </c>
      <c r="C159" t="s">
        <v>6052</v>
      </c>
    </row>
    <row r="160" spans="1:3" x14ac:dyDescent="0.25">
      <c r="A160">
        <v>159</v>
      </c>
      <c r="B160" t="s">
        <v>5224</v>
      </c>
      <c r="C160" t="s">
        <v>6053</v>
      </c>
    </row>
    <row r="161" spans="1:3" x14ac:dyDescent="0.25">
      <c r="A161">
        <v>160</v>
      </c>
      <c r="B161" t="s">
        <v>5414</v>
      </c>
      <c r="C161" t="s">
        <v>6054</v>
      </c>
    </row>
    <row r="162" spans="1:3" x14ac:dyDescent="0.25">
      <c r="A162">
        <v>161</v>
      </c>
      <c r="B162" t="s">
        <v>5227</v>
      </c>
      <c r="C162" t="s">
        <v>6055</v>
      </c>
    </row>
    <row r="163" spans="1:3" x14ac:dyDescent="0.25">
      <c r="A163">
        <v>162</v>
      </c>
      <c r="B163" t="s">
        <v>5413</v>
      </c>
      <c r="C163" t="s">
        <v>6056</v>
      </c>
    </row>
    <row r="164" spans="1:3" x14ac:dyDescent="0.25">
      <c r="A164">
        <v>163</v>
      </c>
      <c r="B164" t="s">
        <v>5229</v>
      </c>
      <c r="C164" t="s">
        <v>6057</v>
      </c>
    </row>
    <row r="165" spans="1:3" x14ac:dyDescent="0.25">
      <c r="A165">
        <v>164</v>
      </c>
      <c r="B165" t="s">
        <v>5231</v>
      </c>
      <c r="C165" t="s">
        <v>6058</v>
      </c>
    </row>
    <row r="166" spans="1:3" x14ac:dyDescent="0.25">
      <c r="A166">
        <v>165</v>
      </c>
      <c r="B166" t="s">
        <v>5232</v>
      </c>
      <c r="C166" t="s">
        <v>6059</v>
      </c>
    </row>
    <row r="167" spans="1:3" x14ac:dyDescent="0.25">
      <c r="A167">
        <v>166</v>
      </c>
      <c r="B167" t="s">
        <v>5411</v>
      </c>
      <c r="C167" t="s">
        <v>6060</v>
      </c>
    </row>
    <row r="168" spans="1:3" x14ac:dyDescent="0.25">
      <c r="A168">
        <v>167</v>
      </c>
      <c r="B168" t="s">
        <v>5233</v>
      </c>
      <c r="C168" t="s">
        <v>6061</v>
      </c>
    </row>
    <row r="169" spans="1:3" x14ac:dyDescent="0.25">
      <c r="A169">
        <v>168</v>
      </c>
      <c r="B169" t="s">
        <v>5235</v>
      </c>
      <c r="C169" t="s">
        <v>6062</v>
      </c>
    </row>
    <row r="170" spans="1:3" x14ac:dyDescent="0.25">
      <c r="A170">
        <v>169</v>
      </c>
      <c r="B170" t="s">
        <v>5410</v>
      </c>
      <c r="C170" t="s">
        <v>6063</v>
      </c>
    </row>
    <row r="171" spans="1:3" x14ac:dyDescent="0.25">
      <c r="A171">
        <v>170</v>
      </c>
      <c r="B171" t="s">
        <v>5236</v>
      </c>
      <c r="C171" t="s">
        <v>6064</v>
      </c>
    </row>
    <row r="172" spans="1:3" x14ac:dyDescent="0.25">
      <c r="A172">
        <v>171</v>
      </c>
      <c r="B172" t="s">
        <v>5238</v>
      </c>
      <c r="C172" t="s">
        <v>6065</v>
      </c>
    </row>
    <row r="173" spans="1:3" x14ac:dyDescent="0.25">
      <c r="A173">
        <v>172</v>
      </c>
      <c r="B173" t="s">
        <v>5239</v>
      </c>
      <c r="C173" t="s">
        <v>6066</v>
      </c>
    </row>
    <row r="174" spans="1:3" x14ac:dyDescent="0.25">
      <c r="A174">
        <v>173</v>
      </c>
      <c r="B174" t="s">
        <v>5241</v>
      </c>
      <c r="C174" t="s">
        <v>6067</v>
      </c>
    </row>
    <row r="175" spans="1:3" x14ac:dyDescent="0.25">
      <c r="A175">
        <v>174</v>
      </c>
      <c r="B175" t="s">
        <v>5242</v>
      </c>
      <c r="C175" t="s">
        <v>6068</v>
      </c>
    </row>
    <row r="176" spans="1:3" x14ac:dyDescent="0.25">
      <c r="A176">
        <v>175</v>
      </c>
      <c r="B176" t="s">
        <v>5405</v>
      </c>
      <c r="C176" t="s">
        <v>6069</v>
      </c>
    </row>
    <row r="177" spans="1:3" x14ac:dyDescent="0.25">
      <c r="A177">
        <v>176</v>
      </c>
      <c r="B177" t="s">
        <v>5244</v>
      </c>
      <c r="C177" t="s">
        <v>6070</v>
      </c>
    </row>
    <row r="178" spans="1:3" x14ac:dyDescent="0.25">
      <c r="A178">
        <v>177</v>
      </c>
      <c r="B178" t="s">
        <v>5403</v>
      </c>
      <c r="C178" t="s">
        <v>6071</v>
      </c>
    </row>
    <row r="179" spans="1:3" x14ac:dyDescent="0.25">
      <c r="A179">
        <v>178</v>
      </c>
      <c r="B179" t="s">
        <v>5246</v>
      </c>
      <c r="C179" t="s">
        <v>6072</v>
      </c>
    </row>
    <row r="180" spans="1:3" x14ac:dyDescent="0.25">
      <c r="A180">
        <v>179</v>
      </c>
      <c r="B180" t="s">
        <v>5401</v>
      </c>
      <c r="C180" t="s">
        <v>6073</v>
      </c>
    </row>
    <row r="181" spans="1:3" x14ac:dyDescent="0.25">
      <c r="A181">
        <v>180</v>
      </c>
      <c r="B181" t="s">
        <v>5400</v>
      </c>
      <c r="C181" t="s">
        <v>6074</v>
      </c>
    </row>
    <row r="182" spans="1:3" x14ac:dyDescent="0.25">
      <c r="A182">
        <v>181</v>
      </c>
      <c r="B182" t="s">
        <v>5248</v>
      </c>
      <c r="C182" t="s">
        <v>6075</v>
      </c>
    </row>
    <row r="183" spans="1:3" x14ac:dyDescent="0.25">
      <c r="A183">
        <v>182</v>
      </c>
      <c r="B183" t="s">
        <v>5399</v>
      </c>
      <c r="C183" t="s">
        <v>6076</v>
      </c>
    </row>
    <row r="184" spans="1:3" x14ac:dyDescent="0.25">
      <c r="A184">
        <v>183</v>
      </c>
      <c r="B184" t="s">
        <v>5250</v>
      </c>
      <c r="C184" t="s">
        <v>6077</v>
      </c>
    </row>
    <row r="185" spans="1:3" x14ac:dyDescent="0.25">
      <c r="A185">
        <v>184</v>
      </c>
      <c r="B185" t="s">
        <v>5398</v>
      </c>
      <c r="C185" t="s">
        <v>6078</v>
      </c>
    </row>
    <row r="186" spans="1:3" x14ac:dyDescent="0.25">
      <c r="A186">
        <v>185</v>
      </c>
      <c r="B186" t="s">
        <v>5397</v>
      </c>
      <c r="C186" t="s">
        <v>6079</v>
      </c>
    </row>
    <row r="187" spans="1:3" x14ac:dyDescent="0.25">
      <c r="A187">
        <v>186</v>
      </c>
      <c r="B187" t="s">
        <v>5396</v>
      </c>
      <c r="C187" t="s">
        <v>6080</v>
      </c>
    </row>
    <row r="188" spans="1:3" x14ac:dyDescent="0.25">
      <c r="A188">
        <v>187</v>
      </c>
      <c r="B188" t="s">
        <v>5395</v>
      </c>
      <c r="C188" t="s">
        <v>6081</v>
      </c>
    </row>
    <row r="189" spans="1:3" x14ac:dyDescent="0.25">
      <c r="A189">
        <v>188</v>
      </c>
      <c r="B189" t="s">
        <v>5251</v>
      </c>
      <c r="C189" t="s">
        <v>6082</v>
      </c>
    </row>
    <row r="190" spans="1:3" x14ac:dyDescent="0.25">
      <c r="A190">
        <v>189</v>
      </c>
      <c r="B190" t="s">
        <v>5252</v>
      </c>
      <c r="C190" t="s">
        <v>6083</v>
      </c>
    </row>
    <row r="191" spans="1:3" x14ac:dyDescent="0.25">
      <c r="A191">
        <v>190</v>
      </c>
      <c r="B191" t="s">
        <v>5254</v>
      </c>
      <c r="C191" t="s">
        <v>6084</v>
      </c>
    </row>
    <row r="192" spans="1:3" x14ac:dyDescent="0.25">
      <c r="A192">
        <v>191</v>
      </c>
      <c r="B192" t="s">
        <v>5393</v>
      </c>
      <c r="C192" t="s">
        <v>6085</v>
      </c>
    </row>
    <row r="193" spans="1:3" x14ac:dyDescent="0.25">
      <c r="A193">
        <v>192</v>
      </c>
      <c r="B193" t="s">
        <v>5391</v>
      </c>
      <c r="C193" t="s">
        <v>6086</v>
      </c>
    </row>
    <row r="194" spans="1:3" x14ac:dyDescent="0.25">
      <c r="A194">
        <v>193</v>
      </c>
      <c r="B194" t="s">
        <v>5256</v>
      </c>
      <c r="C194" t="s">
        <v>6087</v>
      </c>
    </row>
    <row r="195" spans="1:3" x14ac:dyDescent="0.25">
      <c r="A195">
        <v>194</v>
      </c>
      <c r="B195" t="s">
        <v>5389</v>
      </c>
      <c r="C195" t="s">
        <v>6088</v>
      </c>
    </row>
    <row r="196" spans="1:3" x14ac:dyDescent="0.25">
      <c r="A196">
        <v>195</v>
      </c>
      <c r="B196" t="s">
        <v>5388</v>
      </c>
      <c r="C196" t="s">
        <v>6089</v>
      </c>
    </row>
    <row r="197" spans="1:3" x14ac:dyDescent="0.25">
      <c r="A197">
        <v>196</v>
      </c>
      <c r="B197" t="s">
        <v>5386</v>
      </c>
      <c r="C197" t="s">
        <v>6090</v>
      </c>
    </row>
    <row r="198" spans="1:3" x14ac:dyDescent="0.25">
      <c r="A198">
        <v>197</v>
      </c>
      <c r="B198" t="s">
        <v>5259</v>
      </c>
      <c r="C198" t="s">
        <v>6091</v>
      </c>
    </row>
    <row r="199" spans="1:3" x14ac:dyDescent="0.25">
      <c r="A199">
        <v>198</v>
      </c>
      <c r="B199" t="s">
        <v>5260</v>
      </c>
      <c r="C199" t="s">
        <v>6092</v>
      </c>
    </row>
    <row r="200" spans="1:3" x14ac:dyDescent="0.25">
      <c r="A200">
        <v>199</v>
      </c>
      <c r="B200" t="s">
        <v>5385</v>
      </c>
      <c r="C200" t="s">
        <v>6093</v>
      </c>
    </row>
    <row r="201" spans="1:3" x14ac:dyDescent="0.25">
      <c r="A201">
        <v>200</v>
      </c>
      <c r="B201" t="s">
        <v>5384</v>
      </c>
      <c r="C201" t="s">
        <v>6094</v>
      </c>
    </row>
    <row r="202" spans="1:3" x14ac:dyDescent="0.25">
      <c r="A202">
        <v>201</v>
      </c>
      <c r="B202" t="s">
        <v>5128</v>
      </c>
      <c r="C202" t="s">
        <v>6095</v>
      </c>
    </row>
    <row r="203" spans="1:3" x14ac:dyDescent="0.25">
      <c r="A203">
        <v>202</v>
      </c>
      <c r="B203" t="s">
        <v>5131</v>
      </c>
      <c r="C203" t="s">
        <v>6096</v>
      </c>
    </row>
    <row r="204" spans="1:3" x14ac:dyDescent="0.25">
      <c r="A204">
        <v>203</v>
      </c>
      <c r="B204" t="s">
        <v>5149</v>
      </c>
      <c r="C204" t="s">
        <v>6097</v>
      </c>
    </row>
    <row r="205" spans="1:3" x14ac:dyDescent="0.25">
      <c r="A205">
        <v>204</v>
      </c>
      <c r="B205" t="s">
        <v>5153</v>
      </c>
      <c r="C205" t="s">
        <v>6098</v>
      </c>
    </row>
    <row r="206" spans="1:3" x14ac:dyDescent="0.25">
      <c r="A206">
        <v>205</v>
      </c>
      <c r="B206" t="s">
        <v>5163</v>
      </c>
      <c r="C206" t="s">
        <v>6099</v>
      </c>
    </row>
    <row r="207" spans="1:3" x14ac:dyDescent="0.25">
      <c r="A207">
        <v>206</v>
      </c>
      <c r="B207" t="s">
        <v>5186</v>
      </c>
      <c r="C207" t="s">
        <v>6100</v>
      </c>
    </row>
    <row r="208" spans="1:3" x14ac:dyDescent="0.25">
      <c r="A208">
        <v>207</v>
      </c>
      <c r="B208" t="s">
        <v>5191</v>
      </c>
      <c r="C208" t="s">
        <v>6101</v>
      </c>
    </row>
    <row r="209" spans="1:3" x14ac:dyDescent="0.25">
      <c r="A209">
        <v>208</v>
      </c>
      <c r="B209" t="s">
        <v>5195</v>
      </c>
      <c r="C209" t="s">
        <v>6102</v>
      </c>
    </row>
    <row r="210" spans="1:3" x14ac:dyDescent="0.25">
      <c r="A210">
        <v>209</v>
      </c>
      <c r="B210" t="s">
        <v>5427</v>
      </c>
      <c r="C210" t="s">
        <v>6103</v>
      </c>
    </row>
    <row r="211" spans="1:3" x14ac:dyDescent="0.25">
      <c r="A211">
        <v>210</v>
      </c>
      <c r="B211" t="s">
        <v>5209</v>
      </c>
      <c r="C211" t="s">
        <v>6104</v>
      </c>
    </row>
    <row r="212" spans="1:3" x14ac:dyDescent="0.25">
      <c r="A212">
        <v>211</v>
      </c>
      <c r="B212" t="s">
        <v>5212</v>
      </c>
      <c r="C212" t="s">
        <v>6105</v>
      </c>
    </row>
    <row r="213" spans="1:3" x14ac:dyDescent="0.25">
      <c r="A213">
        <v>212</v>
      </c>
      <c r="B213" t="s">
        <v>5383</v>
      </c>
      <c r="C213" t="s">
        <v>6106</v>
      </c>
    </row>
    <row r="214" spans="1:3" x14ac:dyDescent="0.25">
      <c r="A214">
        <v>213</v>
      </c>
      <c r="B214" t="s">
        <v>5382</v>
      </c>
      <c r="C214" t="s">
        <v>6107</v>
      </c>
    </row>
    <row r="215" spans="1:3" x14ac:dyDescent="0.25">
      <c r="A215">
        <v>214</v>
      </c>
      <c r="B215" t="s">
        <v>5381</v>
      </c>
      <c r="C215" t="s">
        <v>6108</v>
      </c>
    </row>
    <row r="216" spans="1:3" x14ac:dyDescent="0.25">
      <c r="A216">
        <v>215</v>
      </c>
      <c r="B216" t="s">
        <v>5380</v>
      </c>
      <c r="C216" t="s">
        <v>6109</v>
      </c>
    </row>
    <row r="217" spans="1:3" x14ac:dyDescent="0.25">
      <c r="A217">
        <v>216</v>
      </c>
      <c r="B217" t="s">
        <v>5262</v>
      </c>
      <c r="C217" t="s">
        <v>6110</v>
      </c>
    </row>
    <row r="218" spans="1:3" x14ac:dyDescent="0.25">
      <c r="A218">
        <v>217</v>
      </c>
      <c r="B218" t="s">
        <v>5264</v>
      </c>
      <c r="C218" t="s">
        <v>6111</v>
      </c>
    </row>
    <row r="219" spans="1:3" x14ac:dyDescent="0.25">
      <c r="A219">
        <v>218</v>
      </c>
      <c r="B219" t="s">
        <v>5379</v>
      </c>
      <c r="C219" t="s">
        <v>6112</v>
      </c>
    </row>
    <row r="220" spans="1:3" x14ac:dyDescent="0.25">
      <c r="A220">
        <v>219</v>
      </c>
      <c r="B220" t="s">
        <v>5266</v>
      </c>
      <c r="C220" t="s">
        <v>6113</v>
      </c>
    </row>
    <row r="221" spans="1:3" x14ac:dyDescent="0.25">
      <c r="A221">
        <v>220</v>
      </c>
      <c r="B221" t="s">
        <v>5268</v>
      </c>
      <c r="C221" t="s">
        <v>6114</v>
      </c>
    </row>
    <row r="222" spans="1:3" x14ac:dyDescent="0.25">
      <c r="A222">
        <v>221</v>
      </c>
      <c r="B222" t="s">
        <v>5378</v>
      </c>
      <c r="C222" t="s">
        <v>6115</v>
      </c>
    </row>
    <row r="223" spans="1:3" x14ac:dyDescent="0.25">
      <c r="A223">
        <v>222</v>
      </c>
      <c r="B223" t="s">
        <v>5377</v>
      </c>
      <c r="C223" t="s">
        <v>6116</v>
      </c>
    </row>
    <row r="224" spans="1:3" x14ac:dyDescent="0.25">
      <c r="A224">
        <v>223</v>
      </c>
      <c r="B224" t="s">
        <v>5270</v>
      </c>
      <c r="C224" t="s">
        <v>6117</v>
      </c>
    </row>
    <row r="225" spans="1:3" x14ac:dyDescent="0.25">
      <c r="A225">
        <v>224</v>
      </c>
      <c r="B225" t="s">
        <v>5272</v>
      </c>
      <c r="C225" t="s">
        <v>6118</v>
      </c>
    </row>
    <row r="226" spans="1:3" x14ac:dyDescent="0.25">
      <c r="A226">
        <v>225</v>
      </c>
      <c r="B226" t="s">
        <v>5273</v>
      </c>
      <c r="C226" t="s">
        <v>6119</v>
      </c>
    </row>
    <row r="227" spans="1:3" x14ac:dyDescent="0.25">
      <c r="A227">
        <v>226</v>
      </c>
      <c r="B227" t="s">
        <v>5275</v>
      </c>
      <c r="C227" t="s">
        <v>6120</v>
      </c>
    </row>
    <row r="228" spans="1:3" x14ac:dyDescent="0.25">
      <c r="A228">
        <v>227</v>
      </c>
      <c r="B228" t="s">
        <v>5276</v>
      </c>
      <c r="C228" t="s">
        <v>6121</v>
      </c>
    </row>
    <row r="229" spans="1:3" x14ac:dyDescent="0.25">
      <c r="A229">
        <v>228</v>
      </c>
      <c r="B229" t="s">
        <v>5280</v>
      </c>
      <c r="C229" t="s">
        <v>6122</v>
      </c>
    </row>
    <row r="230" spans="1:3" x14ac:dyDescent="0.25">
      <c r="A230">
        <v>229</v>
      </c>
      <c r="B230" t="s">
        <v>5283</v>
      </c>
      <c r="C230" t="s">
        <v>6123</v>
      </c>
    </row>
    <row r="231" spans="1:3" x14ac:dyDescent="0.25">
      <c r="A231">
        <v>230</v>
      </c>
      <c r="B231" t="s">
        <v>5284</v>
      </c>
      <c r="C231" t="s">
        <v>6124</v>
      </c>
    </row>
    <row r="232" spans="1:3" x14ac:dyDescent="0.25">
      <c r="A232">
        <v>231</v>
      </c>
      <c r="B232" t="s">
        <v>5288</v>
      </c>
      <c r="C232" t="s">
        <v>6125</v>
      </c>
    </row>
    <row r="233" spans="1:3" x14ac:dyDescent="0.25">
      <c r="A233">
        <v>232</v>
      </c>
      <c r="B233" t="s">
        <v>5290</v>
      </c>
      <c r="C233" t="s">
        <v>6126</v>
      </c>
    </row>
    <row r="234" spans="1:3" x14ac:dyDescent="0.25">
      <c r="A234">
        <v>233</v>
      </c>
      <c r="B234" t="s">
        <v>5292</v>
      </c>
      <c r="C234" t="s">
        <v>6127</v>
      </c>
    </row>
    <row r="235" spans="1:3" x14ac:dyDescent="0.25">
      <c r="A235">
        <v>234</v>
      </c>
      <c r="B235" t="s">
        <v>5293</v>
      </c>
      <c r="C235" t="s">
        <v>6128</v>
      </c>
    </row>
    <row r="236" spans="1:3" x14ac:dyDescent="0.25">
      <c r="A236">
        <v>235</v>
      </c>
      <c r="B236" t="s">
        <v>5376</v>
      </c>
      <c r="C236" t="s">
        <v>6129</v>
      </c>
    </row>
    <row r="237" spans="1:3" x14ac:dyDescent="0.25">
      <c r="A237">
        <v>236</v>
      </c>
      <c r="B237" t="s">
        <v>5295</v>
      </c>
      <c r="C237" t="s">
        <v>6130</v>
      </c>
    </row>
    <row r="238" spans="1:3" x14ac:dyDescent="0.25">
      <c r="A238">
        <v>237</v>
      </c>
      <c r="B238" t="s">
        <v>5296</v>
      </c>
      <c r="C238" t="s">
        <v>6131</v>
      </c>
    </row>
    <row r="239" spans="1:3" x14ac:dyDescent="0.25">
      <c r="A239">
        <v>238</v>
      </c>
      <c r="B239" t="s">
        <v>5297</v>
      </c>
      <c r="C239" t="s">
        <v>6132</v>
      </c>
    </row>
    <row r="240" spans="1:3" x14ac:dyDescent="0.25">
      <c r="A240">
        <v>239</v>
      </c>
      <c r="B240" t="s">
        <v>5300</v>
      </c>
      <c r="C240" t="s">
        <v>6133</v>
      </c>
    </row>
    <row r="241" spans="1:3" x14ac:dyDescent="0.25">
      <c r="A241">
        <v>240</v>
      </c>
      <c r="B241" t="s">
        <v>5301</v>
      </c>
      <c r="C241" t="s">
        <v>6134</v>
      </c>
    </row>
    <row r="242" spans="1:3" x14ac:dyDescent="0.25">
      <c r="A242">
        <v>241</v>
      </c>
      <c r="B242" t="s">
        <v>5304</v>
      </c>
      <c r="C242" t="s">
        <v>6135</v>
      </c>
    </row>
    <row r="243" spans="1:3" x14ac:dyDescent="0.25">
      <c r="A243">
        <v>242</v>
      </c>
      <c r="B243" t="s">
        <v>5306</v>
      </c>
      <c r="C243" t="s">
        <v>6136</v>
      </c>
    </row>
    <row r="244" spans="1:3" x14ac:dyDescent="0.25">
      <c r="A244">
        <v>243</v>
      </c>
      <c r="B244" t="s">
        <v>5308</v>
      </c>
      <c r="C244" t="s">
        <v>6137</v>
      </c>
    </row>
    <row r="245" spans="1:3" x14ac:dyDescent="0.25">
      <c r="A245">
        <v>244</v>
      </c>
      <c r="B245" t="s">
        <v>5312</v>
      </c>
      <c r="C245" t="s">
        <v>6138</v>
      </c>
    </row>
    <row r="246" spans="1:3" x14ac:dyDescent="0.25">
      <c r="A246">
        <v>245</v>
      </c>
      <c r="B246" t="s">
        <v>5313</v>
      </c>
      <c r="C246" t="s">
        <v>6139</v>
      </c>
    </row>
    <row r="247" spans="1:3" x14ac:dyDescent="0.25">
      <c r="A247">
        <v>246</v>
      </c>
      <c r="B247" t="s">
        <v>5315</v>
      </c>
      <c r="C247" t="s">
        <v>6140</v>
      </c>
    </row>
    <row r="248" spans="1:3" x14ac:dyDescent="0.25">
      <c r="A248">
        <v>247</v>
      </c>
      <c r="B248" t="s">
        <v>5316</v>
      </c>
      <c r="C248" t="s">
        <v>6141</v>
      </c>
    </row>
    <row r="249" spans="1:3" x14ac:dyDescent="0.25">
      <c r="A249">
        <v>248</v>
      </c>
      <c r="B249" t="s">
        <v>5319</v>
      </c>
      <c r="C249" t="s">
        <v>6142</v>
      </c>
    </row>
    <row r="250" spans="1:3" x14ac:dyDescent="0.25">
      <c r="A250">
        <v>249</v>
      </c>
      <c r="B250" t="s">
        <v>5321</v>
      </c>
      <c r="C250" t="s">
        <v>6143</v>
      </c>
    </row>
    <row r="251" spans="1:3" x14ac:dyDescent="0.25">
      <c r="A251">
        <v>250</v>
      </c>
      <c r="B251" t="s">
        <v>5374</v>
      </c>
      <c r="C251" t="s">
        <v>6144</v>
      </c>
    </row>
    <row r="252" spans="1:3" x14ac:dyDescent="0.25">
      <c r="A252">
        <v>251</v>
      </c>
      <c r="B252" t="s">
        <v>5323</v>
      </c>
      <c r="C252" t="s">
        <v>6145</v>
      </c>
    </row>
    <row r="253" spans="1:3" x14ac:dyDescent="0.25">
      <c r="A253">
        <v>252</v>
      </c>
      <c r="B253" t="s">
        <v>5373</v>
      </c>
      <c r="C253" t="s">
        <v>6146</v>
      </c>
    </row>
    <row r="254" spans="1:3" x14ac:dyDescent="0.25">
      <c r="A254">
        <v>253</v>
      </c>
      <c r="B254" t="s">
        <v>5369</v>
      </c>
      <c r="C254" t="s">
        <v>6147</v>
      </c>
    </row>
    <row r="255" spans="1:3" x14ac:dyDescent="0.25">
      <c r="A255">
        <v>254</v>
      </c>
      <c r="B255" t="s">
        <v>5368</v>
      </c>
      <c r="C255" t="s">
        <v>6148</v>
      </c>
    </row>
    <row r="256" spans="1:3" x14ac:dyDescent="0.25">
      <c r="A256">
        <v>255</v>
      </c>
      <c r="B256" t="s">
        <v>5366</v>
      </c>
      <c r="C256" t="s">
        <v>6149</v>
      </c>
    </row>
    <row r="257" spans="1:3" x14ac:dyDescent="0.25">
      <c r="A257">
        <v>256</v>
      </c>
      <c r="B257" t="s">
        <v>5326</v>
      </c>
      <c r="C257" t="s">
        <v>6150</v>
      </c>
    </row>
    <row r="258" spans="1:3" x14ac:dyDescent="0.25">
      <c r="A258">
        <v>257</v>
      </c>
      <c r="B258" t="s">
        <v>5364</v>
      </c>
      <c r="C258" t="s">
        <v>6151</v>
      </c>
    </row>
    <row r="259" spans="1:3" x14ac:dyDescent="0.25">
      <c r="A259">
        <v>258</v>
      </c>
      <c r="B259" t="s">
        <v>5363</v>
      </c>
      <c r="C259" t="s">
        <v>6152</v>
      </c>
    </row>
    <row r="260" spans="1:3" x14ac:dyDescent="0.25">
      <c r="A260">
        <v>259</v>
      </c>
      <c r="B260" t="s">
        <v>5328</v>
      </c>
      <c r="C260" t="s">
        <v>6153</v>
      </c>
    </row>
    <row r="261" spans="1:3" x14ac:dyDescent="0.25">
      <c r="A261">
        <v>260</v>
      </c>
      <c r="B261" t="s">
        <v>5329</v>
      </c>
      <c r="C261" t="s">
        <v>6154</v>
      </c>
    </row>
    <row r="262" spans="1:3" x14ac:dyDescent="0.25">
      <c r="A262">
        <v>261</v>
      </c>
      <c r="B262" t="s">
        <v>5360</v>
      </c>
      <c r="C262" t="s">
        <v>6155</v>
      </c>
    </row>
    <row r="263" spans="1:3" x14ac:dyDescent="0.25">
      <c r="A263">
        <v>262</v>
      </c>
      <c r="B263" t="s">
        <v>5359</v>
      </c>
      <c r="C263" t="s">
        <v>6156</v>
      </c>
    </row>
    <row r="264" spans="1:3" x14ac:dyDescent="0.25">
      <c r="A264">
        <v>263</v>
      </c>
      <c r="B264" t="s">
        <v>5331</v>
      </c>
      <c r="C264" t="s">
        <v>6157</v>
      </c>
    </row>
    <row r="265" spans="1:3" x14ac:dyDescent="0.25">
      <c r="A265">
        <v>264</v>
      </c>
      <c r="B265" t="s">
        <v>5358</v>
      </c>
      <c r="C265" t="s">
        <v>6158</v>
      </c>
    </row>
    <row r="266" spans="1:3" x14ac:dyDescent="0.25">
      <c r="A266">
        <v>265</v>
      </c>
      <c r="B266" t="s">
        <v>5333</v>
      </c>
      <c r="C266" t="s">
        <v>6159</v>
      </c>
    </row>
    <row r="267" spans="1:3" x14ac:dyDescent="0.25">
      <c r="A267">
        <v>266</v>
      </c>
      <c r="B267" t="s">
        <v>5357</v>
      </c>
      <c r="C267" t="s">
        <v>6160</v>
      </c>
    </row>
    <row r="268" spans="1:3" x14ac:dyDescent="0.25">
      <c r="A268">
        <v>267</v>
      </c>
      <c r="B268" t="s">
        <v>5335</v>
      </c>
      <c r="C268" t="s">
        <v>6161</v>
      </c>
    </row>
    <row r="269" spans="1:3" x14ac:dyDescent="0.25">
      <c r="A269">
        <v>268</v>
      </c>
      <c r="B269" t="s">
        <v>5336</v>
      </c>
      <c r="C269" t="s">
        <v>6162</v>
      </c>
    </row>
    <row r="270" spans="1:3" x14ac:dyDescent="0.25">
      <c r="A270">
        <v>269</v>
      </c>
      <c r="B270" t="s">
        <v>5338</v>
      </c>
      <c r="C270" t="s">
        <v>6163</v>
      </c>
    </row>
    <row r="271" spans="1:3" x14ac:dyDescent="0.25">
      <c r="A271">
        <v>270</v>
      </c>
      <c r="B271" t="s">
        <v>5339</v>
      </c>
      <c r="C271" t="s">
        <v>6164</v>
      </c>
    </row>
    <row r="272" spans="1:3" x14ac:dyDescent="0.25">
      <c r="A272">
        <v>271</v>
      </c>
      <c r="B272" t="s">
        <v>5340</v>
      </c>
      <c r="C272" t="s">
        <v>6165</v>
      </c>
    </row>
    <row r="273" spans="1:3" x14ac:dyDescent="0.25">
      <c r="A273">
        <v>272</v>
      </c>
      <c r="B273" t="s">
        <v>5341</v>
      </c>
      <c r="C273" t="s">
        <v>6166</v>
      </c>
    </row>
    <row r="274" spans="1:3" x14ac:dyDescent="0.25">
      <c r="A274">
        <v>273</v>
      </c>
      <c r="B274" t="s">
        <v>5342</v>
      </c>
      <c r="C274" t="s">
        <v>6167</v>
      </c>
    </row>
    <row r="275" spans="1:3" x14ac:dyDescent="0.25">
      <c r="A275">
        <v>274</v>
      </c>
      <c r="B275" t="s">
        <v>5347</v>
      </c>
      <c r="C275" t="s">
        <v>6168</v>
      </c>
    </row>
    <row r="276" spans="1:3" x14ac:dyDescent="0.25">
      <c r="A276">
        <v>275</v>
      </c>
      <c r="B276" t="s">
        <v>5349</v>
      </c>
      <c r="C276" t="s">
        <v>6169</v>
      </c>
    </row>
    <row r="277" spans="1:3" x14ac:dyDescent="0.25">
      <c r="A277">
        <v>276</v>
      </c>
      <c r="B277" t="s">
        <v>5350</v>
      </c>
      <c r="C277" t="s">
        <v>6170</v>
      </c>
    </row>
    <row r="278" spans="1:3" x14ac:dyDescent="0.25">
      <c r="A278">
        <v>277</v>
      </c>
      <c r="B278" t="s">
        <v>5352</v>
      </c>
      <c r="C278" t="s">
        <v>6171</v>
      </c>
    </row>
    <row r="279" spans="1:3" x14ac:dyDescent="0.25">
      <c r="A279">
        <v>278</v>
      </c>
      <c r="B279" t="s">
        <v>5353</v>
      </c>
      <c r="C279" t="s">
        <v>6172</v>
      </c>
    </row>
    <row r="280" spans="1:3" x14ac:dyDescent="0.25">
      <c r="A280">
        <v>279</v>
      </c>
      <c r="B280" t="s">
        <v>5354</v>
      </c>
      <c r="C280" t="s">
        <v>6173</v>
      </c>
    </row>
    <row r="281" spans="1:3" x14ac:dyDescent="0.25">
      <c r="A281">
        <v>280</v>
      </c>
      <c r="B281" t="s">
        <v>5387</v>
      </c>
      <c r="C281" t="s">
        <v>6174</v>
      </c>
    </row>
    <row r="282" spans="1:3" x14ac:dyDescent="0.25">
      <c r="A282">
        <v>281</v>
      </c>
      <c r="B282" t="s">
        <v>5063</v>
      </c>
      <c r="C282" t="s">
        <v>6175</v>
      </c>
    </row>
    <row r="283" spans="1:3" x14ac:dyDescent="0.25">
      <c r="A283">
        <v>282</v>
      </c>
      <c r="B283" t="s">
        <v>5064</v>
      </c>
      <c r="C283" t="s">
        <v>6176</v>
      </c>
    </row>
    <row r="284" spans="1:3" x14ac:dyDescent="0.25">
      <c r="A284">
        <v>283</v>
      </c>
      <c r="B284" t="s">
        <v>5091</v>
      </c>
      <c r="C284" t="s">
        <v>6177</v>
      </c>
    </row>
    <row r="285" spans="1:3" x14ac:dyDescent="0.25">
      <c r="A285">
        <v>284</v>
      </c>
      <c r="B285" t="s">
        <v>5092</v>
      </c>
      <c r="C285" t="s">
        <v>6178</v>
      </c>
    </row>
    <row r="286" spans="1:3" x14ac:dyDescent="0.25">
      <c r="A286">
        <v>285</v>
      </c>
      <c r="B286" t="s">
        <v>5093</v>
      </c>
      <c r="C286" t="s">
        <v>6179</v>
      </c>
    </row>
    <row r="287" spans="1:3" x14ac:dyDescent="0.25">
      <c r="A287">
        <v>286</v>
      </c>
      <c r="B287" t="s">
        <v>5055</v>
      </c>
      <c r="C287" t="s">
        <v>6180</v>
      </c>
    </row>
    <row r="288" spans="1:3" x14ac:dyDescent="0.25">
      <c r="A288">
        <v>287</v>
      </c>
      <c r="B288" t="s">
        <v>5051</v>
      </c>
      <c r="C288" t="s">
        <v>6181</v>
      </c>
    </row>
    <row r="289" spans="1:3" x14ac:dyDescent="0.25">
      <c r="A289">
        <v>288</v>
      </c>
      <c r="B289" t="s">
        <v>5066</v>
      </c>
      <c r="C289" t="s">
        <v>6182</v>
      </c>
    </row>
    <row r="290" spans="1:3" x14ac:dyDescent="0.25">
      <c r="A290">
        <v>289</v>
      </c>
      <c r="B290" t="s">
        <v>5103</v>
      </c>
      <c r="C290" t="s">
        <v>6183</v>
      </c>
    </row>
    <row r="291" spans="1:3" x14ac:dyDescent="0.25">
      <c r="A291">
        <v>290</v>
      </c>
      <c r="B291" t="s">
        <v>5094</v>
      </c>
      <c r="C291" t="s">
        <v>6184</v>
      </c>
    </row>
    <row r="292" spans="1:3" x14ac:dyDescent="0.25">
      <c r="A292">
        <v>291</v>
      </c>
      <c r="B292" t="s">
        <v>5095</v>
      </c>
      <c r="C292" t="s">
        <v>6185</v>
      </c>
    </row>
    <row r="293" spans="1:3" x14ac:dyDescent="0.25">
      <c r="A293">
        <v>292</v>
      </c>
      <c r="B293" t="s">
        <v>5096</v>
      </c>
      <c r="C293" t="s">
        <v>6186</v>
      </c>
    </row>
    <row r="294" spans="1:3" x14ac:dyDescent="0.25">
      <c r="A294">
        <v>293</v>
      </c>
      <c r="B294" t="s">
        <v>5056</v>
      </c>
      <c r="C294" t="s">
        <v>6187</v>
      </c>
    </row>
    <row r="295" spans="1:3" x14ac:dyDescent="0.25">
      <c r="A295">
        <v>294</v>
      </c>
      <c r="B295" t="s">
        <v>5067</v>
      </c>
      <c r="C295" t="s">
        <v>6188</v>
      </c>
    </row>
    <row r="296" spans="1:3" x14ac:dyDescent="0.25">
      <c r="A296">
        <v>295</v>
      </c>
      <c r="B296" t="s">
        <v>5068</v>
      </c>
      <c r="C296" t="s">
        <v>6189</v>
      </c>
    </row>
    <row r="297" spans="1:3" x14ac:dyDescent="0.25">
      <c r="A297">
        <v>296</v>
      </c>
      <c r="B297" t="s">
        <v>5071</v>
      </c>
      <c r="C297" t="s">
        <v>6190</v>
      </c>
    </row>
    <row r="298" spans="1:3" x14ac:dyDescent="0.25">
      <c r="A298">
        <v>297</v>
      </c>
      <c r="B298" t="s">
        <v>5074</v>
      </c>
      <c r="C298" t="s">
        <v>6191</v>
      </c>
    </row>
    <row r="299" spans="1:3" x14ac:dyDescent="0.25">
      <c r="A299">
        <v>298</v>
      </c>
      <c r="B299" t="s">
        <v>5099</v>
      </c>
      <c r="C299" t="s">
        <v>6192</v>
      </c>
    </row>
    <row r="300" spans="1:3" x14ac:dyDescent="0.25">
      <c r="A300">
        <v>299</v>
      </c>
      <c r="B300" t="s">
        <v>5058</v>
      </c>
      <c r="C300" t="s">
        <v>6193</v>
      </c>
    </row>
    <row r="301" spans="1:3" x14ac:dyDescent="0.25">
      <c r="A301">
        <v>300</v>
      </c>
      <c r="B301" t="s">
        <v>5097</v>
      </c>
      <c r="C301" t="s">
        <v>6194</v>
      </c>
    </row>
    <row r="302" spans="1:3" x14ac:dyDescent="0.25">
      <c r="A302">
        <v>301</v>
      </c>
      <c r="B302" t="s">
        <v>5098</v>
      </c>
      <c r="C302" t="s">
        <v>6195</v>
      </c>
    </row>
    <row r="303" spans="1:3" x14ac:dyDescent="0.25">
      <c r="A303">
        <v>302</v>
      </c>
      <c r="B303" t="s">
        <v>5075</v>
      </c>
      <c r="C303" t="s">
        <v>6196</v>
      </c>
    </row>
    <row r="304" spans="1:3" x14ac:dyDescent="0.25">
      <c r="A304">
        <v>303</v>
      </c>
      <c r="B304" t="s">
        <v>5076</v>
      </c>
      <c r="C304" t="s">
        <v>6197</v>
      </c>
    </row>
    <row r="305" spans="1:3" x14ac:dyDescent="0.25">
      <c r="A305">
        <v>304</v>
      </c>
      <c r="B305" t="s">
        <v>5077</v>
      </c>
      <c r="C305" t="s">
        <v>6198</v>
      </c>
    </row>
    <row r="306" spans="1:3" x14ac:dyDescent="0.25">
      <c r="A306">
        <v>305</v>
      </c>
      <c r="B306" t="s">
        <v>5078</v>
      </c>
      <c r="C306" t="s">
        <v>6199</v>
      </c>
    </row>
    <row r="307" spans="1:3" x14ac:dyDescent="0.25">
      <c r="A307">
        <v>306</v>
      </c>
      <c r="B307" t="s">
        <v>5082</v>
      </c>
      <c r="C307" t="s">
        <v>6200</v>
      </c>
    </row>
    <row r="308" spans="1:3" x14ac:dyDescent="0.25">
      <c r="A308">
        <v>307</v>
      </c>
      <c r="B308" t="s">
        <v>5083</v>
      </c>
      <c r="C308" t="s">
        <v>6201</v>
      </c>
    </row>
    <row r="309" spans="1:3" x14ac:dyDescent="0.25">
      <c r="A309">
        <v>308</v>
      </c>
      <c r="B309" t="s">
        <v>5080</v>
      </c>
      <c r="C309" t="s">
        <v>6202</v>
      </c>
    </row>
    <row r="310" spans="1:3" x14ac:dyDescent="0.25">
      <c r="A310">
        <v>309</v>
      </c>
      <c r="B310" t="s">
        <v>5085</v>
      </c>
      <c r="C310" t="s">
        <v>6203</v>
      </c>
    </row>
    <row r="311" spans="1:3" x14ac:dyDescent="0.25">
      <c r="A311">
        <v>310</v>
      </c>
      <c r="B311" t="s">
        <v>5102</v>
      </c>
      <c r="C311" t="s">
        <v>6204</v>
      </c>
    </row>
    <row r="312" spans="1:3" x14ac:dyDescent="0.25">
      <c r="A312">
        <v>311</v>
      </c>
      <c r="B312" t="s">
        <v>5087</v>
      </c>
      <c r="C312" t="s">
        <v>6205</v>
      </c>
    </row>
    <row r="313" spans="1:3" x14ac:dyDescent="0.25">
      <c r="A313">
        <v>312</v>
      </c>
      <c r="B313" t="s">
        <v>5089</v>
      </c>
      <c r="C313" t="s">
        <v>6206</v>
      </c>
    </row>
    <row r="314" spans="1:3" x14ac:dyDescent="0.25">
      <c r="A314">
        <v>313</v>
      </c>
      <c r="B314" t="s">
        <v>5100</v>
      </c>
      <c r="C314" t="s">
        <v>6207</v>
      </c>
    </row>
    <row r="315" spans="1:3" x14ac:dyDescent="0.25">
      <c r="A315">
        <v>314</v>
      </c>
      <c r="B315" t="s">
        <v>5054</v>
      </c>
      <c r="C315" t="s">
        <v>6208</v>
      </c>
    </row>
    <row r="316" spans="1:3" x14ac:dyDescent="0.25">
      <c r="A316">
        <v>315</v>
      </c>
      <c r="B316" t="s">
        <v>5090</v>
      </c>
      <c r="C316" t="s">
        <v>6209</v>
      </c>
    </row>
    <row r="317" spans="1:3" x14ac:dyDescent="0.25">
      <c r="A317">
        <v>316</v>
      </c>
      <c r="B317" t="s">
        <v>5442</v>
      </c>
      <c r="C317" t="s">
        <v>6210</v>
      </c>
    </row>
    <row r="318" spans="1:3" x14ac:dyDescent="0.25">
      <c r="A318">
        <v>317</v>
      </c>
      <c r="B318" t="s">
        <v>5070</v>
      </c>
      <c r="C318" t="s">
        <v>6211</v>
      </c>
    </row>
    <row r="319" spans="1:3" x14ac:dyDescent="0.25">
      <c r="A319">
        <v>318</v>
      </c>
      <c r="B319" t="s">
        <v>5059</v>
      </c>
      <c r="C319" t="s">
        <v>6212</v>
      </c>
    </row>
    <row r="320" spans="1:3" x14ac:dyDescent="0.25">
      <c r="A320">
        <v>319</v>
      </c>
      <c r="B320" t="s">
        <v>5061</v>
      </c>
      <c r="C320" t="s">
        <v>6213</v>
      </c>
    </row>
    <row r="321" spans="1:3" x14ac:dyDescent="0.25">
      <c r="A321">
        <v>320</v>
      </c>
      <c r="B321" t="s">
        <v>5062</v>
      </c>
      <c r="C321" t="s">
        <v>6214</v>
      </c>
    </row>
    <row r="322" spans="1:3" x14ac:dyDescent="0.25">
      <c r="A322">
        <v>321</v>
      </c>
      <c r="B322" t="s">
        <v>5053</v>
      </c>
      <c r="C322" t="s">
        <v>6215</v>
      </c>
    </row>
    <row r="323" spans="1:3" x14ac:dyDescent="0.25">
      <c r="A323">
        <v>322</v>
      </c>
      <c r="B323" t="s">
        <v>6216</v>
      </c>
      <c r="C323" t="s">
        <v>6217</v>
      </c>
    </row>
    <row r="324" spans="1:3" x14ac:dyDescent="0.25">
      <c r="A324">
        <v>323</v>
      </c>
      <c r="B324" t="s">
        <v>6218</v>
      </c>
      <c r="C324" t="s">
        <v>6219</v>
      </c>
    </row>
    <row r="325" spans="1:3" x14ac:dyDescent="0.25">
      <c r="A325">
        <v>324</v>
      </c>
      <c r="B325" t="s">
        <v>6220</v>
      </c>
      <c r="C325" t="s">
        <v>6221</v>
      </c>
    </row>
    <row r="326" spans="1:3" x14ac:dyDescent="0.25">
      <c r="A326">
        <v>325</v>
      </c>
      <c r="B326" t="s">
        <v>5298</v>
      </c>
      <c r="C326" t="s">
        <v>6222</v>
      </c>
    </row>
    <row r="327" spans="1:3" x14ac:dyDescent="0.25">
      <c r="A327">
        <v>326</v>
      </c>
      <c r="B327" t="s">
        <v>5126</v>
      </c>
      <c r="C327" t="s">
        <v>6223</v>
      </c>
    </row>
    <row r="328" spans="1:3" x14ac:dyDescent="0.25">
      <c r="A328">
        <v>327</v>
      </c>
      <c r="B328" t="s">
        <v>5142</v>
      </c>
      <c r="C328" t="s">
        <v>6224</v>
      </c>
    </row>
    <row r="329" spans="1:3" x14ac:dyDescent="0.25">
      <c r="A329">
        <v>328</v>
      </c>
      <c r="B329" t="s">
        <v>5188</v>
      </c>
      <c r="C329" t="s">
        <v>6225</v>
      </c>
    </row>
    <row r="330" spans="1:3" x14ac:dyDescent="0.25">
      <c r="A330">
        <v>329</v>
      </c>
      <c r="B330" t="s">
        <v>5211</v>
      </c>
      <c r="C330" t="s">
        <v>6226</v>
      </c>
    </row>
    <row r="331" spans="1:3" x14ac:dyDescent="0.25">
      <c r="A331">
        <v>330</v>
      </c>
      <c r="B331" t="s">
        <v>5348</v>
      </c>
      <c r="C331" t="s">
        <v>6227</v>
      </c>
    </row>
    <row r="332" spans="1:3" x14ac:dyDescent="0.25">
      <c r="A332">
        <v>331</v>
      </c>
      <c r="B332" t="s">
        <v>5039</v>
      </c>
      <c r="C332" t="s">
        <v>6228</v>
      </c>
    </row>
    <row r="333" spans="1:3" x14ac:dyDescent="0.25">
      <c r="A333">
        <v>332</v>
      </c>
      <c r="B333" t="s">
        <v>5197</v>
      </c>
      <c r="C333" t="s">
        <v>6229</v>
      </c>
    </row>
    <row r="334" spans="1:3" x14ac:dyDescent="0.25">
      <c r="A334">
        <v>333</v>
      </c>
      <c r="B334" t="s">
        <v>5365</v>
      </c>
      <c r="C334" t="s">
        <v>6230</v>
      </c>
    </row>
    <row r="335" spans="1:3" x14ac:dyDescent="0.25">
      <c r="A335">
        <v>334</v>
      </c>
      <c r="B335" t="s">
        <v>5344</v>
      </c>
      <c r="C335" t="s">
        <v>6231</v>
      </c>
    </row>
    <row r="336" spans="1:3" x14ac:dyDescent="0.25">
      <c r="A336">
        <v>335</v>
      </c>
      <c r="B336" t="s">
        <v>5324</v>
      </c>
      <c r="C336" t="s">
        <v>6232</v>
      </c>
    </row>
    <row r="337" spans="1:3" x14ac:dyDescent="0.25">
      <c r="A337">
        <v>336</v>
      </c>
      <c r="B337" t="s">
        <v>5310</v>
      </c>
      <c r="C337" t="s">
        <v>6233</v>
      </c>
    </row>
    <row r="338" spans="1:3" x14ac:dyDescent="0.25">
      <c r="A338">
        <v>337</v>
      </c>
      <c r="B338" t="s">
        <v>5042</v>
      </c>
      <c r="C338" t="s">
        <v>6234</v>
      </c>
    </row>
    <row r="339" spans="1:3" x14ac:dyDescent="0.25">
      <c r="A339">
        <v>338</v>
      </c>
      <c r="B339" t="s">
        <v>5286</v>
      </c>
      <c r="C339" t="s">
        <v>6235</v>
      </c>
    </row>
    <row r="340" spans="1:3" x14ac:dyDescent="0.25">
      <c r="A340">
        <v>339</v>
      </c>
      <c r="B340" t="s">
        <v>5281</v>
      </c>
      <c r="C340" t="s">
        <v>6236</v>
      </c>
    </row>
    <row r="341" spans="1:3" x14ac:dyDescent="0.25">
      <c r="A341">
        <v>340</v>
      </c>
      <c r="B341" t="s">
        <v>5119</v>
      </c>
      <c r="C341" t="s">
        <v>6237</v>
      </c>
    </row>
    <row r="342" spans="1:3" x14ac:dyDescent="0.25">
      <c r="A342">
        <v>341</v>
      </c>
      <c r="B342" t="s">
        <v>5120</v>
      </c>
      <c r="C342" t="s">
        <v>6238</v>
      </c>
    </row>
    <row r="343" spans="1:3" x14ac:dyDescent="0.25">
      <c r="A343">
        <v>342</v>
      </c>
      <c r="B343" t="s">
        <v>5121</v>
      </c>
      <c r="C343" t="s">
        <v>6239</v>
      </c>
    </row>
    <row r="344" spans="1:3" x14ac:dyDescent="0.25">
      <c r="A344">
        <v>343</v>
      </c>
      <c r="B344" t="s">
        <v>5124</v>
      </c>
      <c r="C344" t="s">
        <v>6240</v>
      </c>
    </row>
    <row r="345" spans="1:3" x14ac:dyDescent="0.25">
      <c r="A345">
        <v>344</v>
      </c>
      <c r="B345" t="s">
        <v>5125</v>
      </c>
      <c r="C345" t="s">
        <v>6241</v>
      </c>
    </row>
    <row r="346" spans="1:3" x14ac:dyDescent="0.25">
      <c r="A346">
        <v>345</v>
      </c>
      <c r="B346" t="s">
        <v>5139</v>
      </c>
      <c r="C346" t="s">
        <v>6242</v>
      </c>
    </row>
    <row r="347" spans="1:3" x14ac:dyDescent="0.25">
      <c r="A347">
        <v>346</v>
      </c>
      <c r="B347" t="s">
        <v>5141</v>
      </c>
      <c r="C347" t="s">
        <v>6243</v>
      </c>
    </row>
    <row r="348" spans="1:3" x14ac:dyDescent="0.25">
      <c r="A348">
        <v>347</v>
      </c>
      <c r="B348" t="s">
        <v>5151</v>
      </c>
      <c r="C348" t="s">
        <v>6244</v>
      </c>
    </row>
    <row r="349" spans="1:3" x14ac:dyDescent="0.25">
      <c r="A349">
        <v>348</v>
      </c>
      <c r="B349" t="s">
        <v>5152</v>
      </c>
      <c r="C349" t="s">
        <v>6245</v>
      </c>
    </row>
    <row r="350" spans="1:3" x14ac:dyDescent="0.25">
      <c r="A350">
        <v>349</v>
      </c>
      <c r="B350" t="s">
        <v>5154</v>
      </c>
      <c r="C350" t="s">
        <v>6246</v>
      </c>
    </row>
    <row r="351" spans="1:3" x14ac:dyDescent="0.25">
      <c r="A351">
        <v>350</v>
      </c>
      <c r="B351" t="s">
        <v>5228</v>
      </c>
      <c r="C351" t="s">
        <v>6247</v>
      </c>
    </row>
    <row r="352" spans="1:3" x14ac:dyDescent="0.25">
      <c r="A352">
        <v>351</v>
      </c>
      <c r="B352" t="s">
        <v>5155</v>
      </c>
      <c r="C352" t="s">
        <v>6248</v>
      </c>
    </row>
    <row r="353" spans="1:3" x14ac:dyDescent="0.25">
      <c r="A353">
        <v>352</v>
      </c>
      <c r="B353" t="s">
        <v>5156</v>
      </c>
      <c r="C353" t="s">
        <v>6249</v>
      </c>
    </row>
    <row r="354" spans="1:3" x14ac:dyDescent="0.25">
      <c r="A354">
        <v>353</v>
      </c>
      <c r="B354" t="s">
        <v>5157</v>
      </c>
      <c r="C354" t="s">
        <v>6250</v>
      </c>
    </row>
    <row r="355" spans="1:3" x14ac:dyDescent="0.25">
      <c r="A355">
        <v>354</v>
      </c>
      <c r="B355" t="s">
        <v>5159</v>
      </c>
      <c r="C355" t="s">
        <v>6251</v>
      </c>
    </row>
    <row r="356" spans="1:3" x14ac:dyDescent="0.25">
      <c r="A356">
        <v>355</v>
      </c>
      <c r="B356" t="s">
        <v>5161</v>
      </c>
      <c r="C356" t="s">
        <v>6252</v>
      </c>
    </row>
    <row r="357" spans="1:3" x14ac:dyDescent="0.25">
      <c r="A357">
        <v>356</v>
      </c>
      <c r="B357" t="s">
        <v>5166</v>
      </c>
      <c r="C357" t="s">
        <v>6253</v>
      </c>
    </row>
    <row r="358" spans="1:3" x14ac:dyDescent="0.25">
      <c r="A358">
        <v>357</v>
      </c>
      <c r="B358" t="s">
        <v>5168</v>
      </c>
      <c r="C358" t="s">
        <v>6254</v>
      </c>
    </row>
    <row r="359" spans="1:3" x14ac:dyDescent="0.25">
      <c r="A359">
        <v>358</v>
      </c>
      <c r="B359" t="s">
        <v>5170</v>
      </c>
      <c r="C359" t="s">
        <v>6255</v>
      </c>
    </row>
    <row r="360" spans="1:3" x14ac:dyDescent="0.25">
      <c r="A360">
        <v>359</v>
      </c>
      <c r="B360" t="s">
        <v>5175</v>
      </c>
      <c r="C360" t="s">
        <v>6256</v>
      </c>
    </row>
    <row r="361" spans="1:3" x14ac:dyDescent="0.25">
      <c r="A361">
        <v>360</v>
      </c>
      <c r="B361" t="s">
        <v>5343</v>
      </c>
      <c r="C361" t="s">
        <v>6257</v>
      </c>
    </row>
    <row r="362" spans="1:3" x14ac:dyDescent="0.25">
      <c r="A362">
        <v>361</v>
      </c>
      <c r="B362" t="s">
        <v>5041</v>
      </c>
      <c r="C362" t="s">
        <v>6258</v>
      </c>
    </row>
    <row r="363" spans="1:3" x14ac:dyDescent="0.25">
      <c r="A363">
        <v>362</v>
      </c>
      <c r="B363" t="s">
        <v>5230</v>
      </c>
      <c r="C363" t="s">
        <v>6259</v>
      </c>
    </row>
    <row r="364" spans="1:3" x14ac:dyDescent="0.25">
      <c r="A364">
        <v>363</v>
      </c>
      <c r="B364" t="s">
        <v>5327</v>
      </c>
      <c r="C364" t="s">
        <v>6260</v>
      </c>
    </row>
    <row r="365" spans="1:3" x14ac:dyDescent="0.25">
      <c r="A365">
        <v>364</v>
      </c>
      <c r="B365" t="s">
        <v>5325</v>
      </c>
      <c r="C365" t="s">
        <v>6261</v>
      </c>
    </row>
    <row r="366" spans="1:3" x14ac:dyDescent="0.25">
      <c r="A366">
        <v>365</v>
      </c>
      <c r="B366" t="s">
        <v>5320</v>
      </c>
      <c r="C366" t="s">
        <v>6262</v>
      </c>
    </row>
    <row r="367" spans="1:3" x14ac:dyDescent="0.25">
      <c r="A367">
        <v>366</v>
      </c>
      <c r="B367" t="s">
        <v>5318</v>
      </c>
      <c r="C367" t="s">
        <v>6263</v>
      </c>
    </row>
    <row r="368" spans="1:3" x14ac:dyDescent="0.25">
      <c r="A368">
        <v>367</v>
      </c>
      <c r="B368" t="s">
        <v>5309</v>
      </c>
      <c r="C368" t="s">
        <v>6264</v>
      </c>
    </row>
    <row r="369" spans="1:3" x14ac:dyDescent="0.25">
      <c r="A369">
        <v>368</v>
      </c>
      <c r="B369" t="s">
        <v>5307</v>
      </c>
      <c r="C369" t="s">
        <v>6265</v>
      </c>
    </row>
    <row r="370" spans="1:3" x14ac:dyDescent="0.25">
      <c r="A370">
        <v>369</v>
      </c>
      <c r="B370" t="s">
        <v>5305</v>
      </c>
      <c r="C370" t="s">
        <v>6266</v>
      </c>
    </row>
    <row r="371" spans="1:3" x14ac:dyDescent="0.25">
      <c r="A371">
        <v>370</v>
      </c>
      <c r="B371" t="s">
        <v>5303</v>
      </c>
      <c r="C371" t="s">
        <v>6267</v>
      </c>
    </row>
    <row r="372" spans="1:3" x14ac:dyDescent="0.25">
      <c r="A372">
        <v>371</v>
      </c>
      <c r="B372" t="s">
        <v>5294</v>
      </c>
      <c r="C372" t="s">
        <v>6268</v>
      </c>
    </row>
    <row r="373" spans="1:3" x14ac:dyDescent="0.25">
      <c r="A373">
        <v>372</v>
      </c>
      <c r="B373" t="s">
        <v>5291</v>
      </c>
      <c r="C373" t="s">
        <v>6269</v>
      </c>
    </row>
    <row r="374" spans="1:3" x14ac:dyDescent="0.25">
      <c r="A374">
        <v>373</v>
      </c>
      <c r="B374" t="s">
        <v>5245</v>
      </c>
      <c r="C374" t="s">
        <v>6270</v>
      </c>
    </row>
    <row r="375" spans="1:3" x14ac:dyDescent="0.25">
      <c r="A375">
        <v>374</v>
      </c>
      <c r="B375" t="s">
        <v>5285</v>
      </c>
      <c r="C375" t="s">
        <v>6271</v>
      </c>
    </row>
    <row r="376" spans="1:3" x14ac:dyDescent="0.25">
      <c r="A376">
        <v>375</v>
      </c>
      <c r="B376" t="s">
        <v>5282</v>
      </c>
      <c r="C376" t="s">
        <v>6272</v>
      </c>
    </row>
    <row r="377" spans="1:3" x14ac:dyDescent="0.25">
      <c r="A377">
        <v>376</v>
      </c>
      <c r="B377" t="s">
        <v>5249</v>
      </c>
      <c r="C377" t="s">
        <v>6273</v>
      </c>
    </row>
    <row r="378" spans="1:3" x14ac:dyDescent="0.25">
      <c r="A378">
        <v>377</v>
      </c>
      <c r="B378" t="s">
        <v>5180</v>
      </c>
      <c r="C378" t="s">
        <v>6274</v>
      </c>
    </row>
    <row r="379" spans="1:3" x14ac:dyDescent="0.25">
      <c r="A379">
        <v>378</v>
      </c>
      <c r="B379" t="s">
        <v>5181</v>
      </c>
      <c r="C379" t="s">
        <v>6275</v>
      </c>
    </row>
    <row r="380" spans="1:3" x14ac:dyDescent="0.25">
      <c r="A380">
        <v>379</v>
      </c>
      <c r="B380" t="s">
        <v>5182</v>
      </c>
      <c r="C380" t="s">
        <v>6276</v>
      </c>
    </row>
    <row r="381" spans="1:3" x14ac:dyDescent="0.25">
      <c r="A381">
        <v>380</v>
      </c>
      <c r="B381" t="s">
        <v>5375</v>
      </c>
      <c r="C381" t="s">
        <v>6277</v>
      </c>
    </row>
    <row r="382" spans="1:3" x14ac:dyDescent="0.25">
      <c r="A382">
        <v>381</v>
      </c>
      <c r="B382" t="s">
        <v>5184</v>
      </c>
      <c r="C382" t="s">
        <v>6278</v>
      </c>
    </row>
    <row r="383" spans="1:3" x14ac:dyDescent="0.25">
      <c r="A383">
        <v>382</v>
      </c>
      <c r="B383" t="s">
        <v>5185</v>
      </c>
      <c r="C383" t="s">
        <v>6279</v>
      </c>
    </row>
    <row r="384" spans="1:3" x14ac:dyDescent="0.25">
      <c r="A384">
        <v>383</v>
      </c>
      <c r="B384" t="s">
        <v>5187</v>
      </c>
      <c r="C384" t="s">
        <v>6280</v>
      </c>
    </row>
    <row r="385" spans="1:3" x14ac:dyDescent="0.25">
      <c r="A385">
        <v>384</v>
      </c>
      <c r="B385" t="s">
        <v>5372</v>
      </c>
      <c r="C385" t="s">
        <v>6281</v>
      </c>
    </row>
    <row r="386" spans="1:3" x14ac:dyDescent="0.25">
      <c r="A386">
        <v>385</v>
      </c>
      <c r="B386" t="s">
        <v>5370</v>
      </c>
      <c r="C386" t="s">
        <v>6282</v>
      </c>
    </row>
    <row r="387" spans="1:3" x14ac:dyDescent="0.25">
      <c r="A387">
        <v>386</v>
      </c>
      <c r="B387" t="s">
        <v>5046</v>
      </c>
      <c r="C387" t="s">
        <v>6283</v>
      </c>
    </row>
    <row r="388" spans="1:3" x14ac:dyDescent="0.25">
      <c r="A388">
        <v>387</v>
      </c>
      <c r="B388" t="s">
        <v>5367</v>
      </c>
      <c r="C388" t="s">
        <v>6284</v>
      </c>
    </row>
    <row r="389" spans="1:3" x14ac:dyDescent="0.25">
      <c r="A389">
        <v>388</v>
      </c>
      <c r="B389" t="s">
        <v>5196</v>
      </c>
      <c r="C389" t="s">
        <v>6285</v>
      </c>
    </row>
    <row r="390" spans="1:3" x14ac:dyDescent="0.25">
      <c r="A390">
        <v>389</v>
      </c>
      <c r="B390" t="s">
        <v>5198</v>
      </c>
      <c r="C390" t="s">
        <v>6286</v>
      </c>
    </row>
    <row r="391" spans="1:3" x14ac:dyDescent="0.25">
      <c r="A391">
        <v>390</v>
      </c>
      <c r="B391" t="s">
        <v>5045</v>
      </c>
      <c r="C391" t="s">
        <v>6287</v>
      </c>
    </row>
    <row r="392" spans="1:3" x14ac:dyDescent="0.25">
      <c r="A392">
        <v>391</v>
      </c>
      <c r="B392" t="s">
        <v>5279</v>
      </c>
      <c r="C392" t="s">
        <v>6288</v>
      </c>
    </row>
    <row r="393" spans="1:3" x14ac:dyDescent="0.25">
      <c r="A393">
        <v>392</v>
      </c>
      <c r="B393" t="s">
        <v>5277</v>
      </c>
      <c r="C393" t="s">
        <v>6289</v>
      </c>
    </row>
    <row r="394" spans="1:3" x14ac:dyDescent="0.25">
      <c r="A394">
        <v>393</v>
      </c>
      <c r="B394" t="s">
        <v>5267</v>
      </c>
      <c r="C394" t="s">
        <v>6290</v>
      </c>
    </row>
    <row r="395" spans="1:3" x14ac:dyDescent="0.25">
      <c r="A395">
        <v>394</v>
      </c>
      <c r="B395" t="s">
        <v>5263</v>
      </c>
      <c r="C395" t="s">
        <v>6291</v>
      </c>
    </row>
    <row r="396" spans="1:3" x14ac:dyDescent="0.25">
      <c r="A396">
        <v>395</v>
      </c>
      <c r="B396" t="s">
        <v>5044</v>
      </c>
      <c r="C396" t="s">
        <v>6292</v>
      </c>
    </row>
    <row r="397" spans="1:3" x14ac:dyDescent="0.25">
      <c r="A397">
        <v>396</v>
      </c>
      <c r="B397" t="s">
        <v>5362</v>
      </c>
      <c r="C397" t="s">
        <v>6293</v>
      </c>
    </row>
    <row r="398" spans="1:3" x14ac:dyDescent="0.25">
      <c r="A398">
        <v>397</v>
      </c>
      <c r="B398" t="s">
        <v>5202</v>
      </c>
      <c r="C398" t="s">
        <v>6294</v>
      </c>
    </row>
    <row r="399" spans="1:3" x14ac:dyDescent="0.25">
      <c r="A399">
        <v>398</v>
      </c>
      <c r="B399" t="s">
        <v>5203</v>
      </c>
      <c r="C399" t="s">
        <v>6295</v>
      </c>
    </row>
    <row r="400" spans="1:3" x14ac:dyDescent="0.25">
      <c r="A400">
        <v>399</v>
      </c>
      <c r="B400" t="s">
        <v>5043</v>
      </c>
      <c r="C400" t="s">
        <v>6296</v>
      </c>
    </row>
    <row r="401" spans="1:3" x14ac:dyDescent="0.25">
      <c r="A401">
        <v>400</v>
      </c>
      <c r="B401" t="s">
        <v>5356</v>
      </c>
      <c r="C401" t="s">
        <v>6297</v>
      </c>
    </row>
    <row r="402" spans="1:3" x14ac:dyDescent="0.25">
      <c r="A402">
        <v>401</v>
      </c>
      <c r="B402" t="s">
        <v>5351</v>
      </c>
      <c r="C402" t="s">
        <v>6298</v>
      </c>
    </row>
    <row r="403" spans="1:3" x14ac:dyDescent="0.25">
      <c r="A403">
        <v>402</v>
      </c>
      <c r="B403" t="s">
        <v>5214</v>
      </c>
      <c r="C403" t="s">
        <v>6299</v>
      </c>
    </row>
    <row r="404" spans="1:3" x14ac:dyDescent="0.25">
      <c r="A404">
        <v>403</v>
      </c>
      <c r="B404" t="s">
        <v>5218</v>
      </c>
      <c r="C404" t="s">
        <v>6300</v>
      </c>
    </row>
    <row r="405" spans="1:3" x14ac:dyDescent="0.25">
      <c r="A405">
        <v>404</v>
      </c>
      <c r="B405" t="s">
        <v>5222</v>
      </c>
      <c r="C405" t="s">
        <v>6301</v>
      </c>
    </row>
    <row r="406" spans="1:3" x14ac:dyDescent="0.25">
      <c r="A406">
        <v>405</v>
      </c>
      <c r="B406" t="s">
        <v>5346</v>
      </c>
      <c r="C406" t="s">
        <v>6302</v>
      </c>
    </row>
    <row r="407" spans="1:3" x14ac:dyDescent="0.25">
      <c r="A407">
        <v>406</v>
      </c>
      <c r="B407" t="s">
        <v>5225</v>
      </c>
      <c r="C407" t="s">
        <v>6303</v>
      </c>
    </row>
    <row r="408" spans="1:3" x14ac:dyDescent="0.25">
      <c r="A408">
        <v>407</v>
      </c>
      <c r="B408" t="s">
        <v>5226</v>
      </c>
      <c r="C408" t="s">
        <v>6304</v>
      </c>
    </row>
    <row r="409" spans="1:3" x14ac:dyDescent="0.25">
      <c r="A409">
        <v>408</v>
      </c>
      <c r="B409" t="s">
        <v>6305</v>
      </c>
      <c r="C409" t="s">
        <v>6306</v>
      </c>
    </row>
    <row r="410" spans="1:3" x14ac:dyDescent="0.25">
      <c r="A410">
        <v>409</v>
      </c>
      <c r="B410" t="s">
        <v>6307</v>
      </c>
      <c r="C410" t="s">
        <v>6308</v>
      </c>
    </row>
    <row r="411" spans="1:3" x14ac:dyDescent="0.25">
      <c r="A411">
        <v>410</v>
      </c>
      <c r="B411" t="s">
        <v>6309</v>
      </c>
      <c r="C411" t="s">
        <v>6310</v>
      </c>
    </row>
    <row r="412" spans="1:3" x14ac:dyDescent="0.25">
      <c r="A412">
        <v>411</v>
      </c>
      <c r="B412" t="s">
        <v>6311</v>
      </c>
      <c r="C412" t="s">
        <v>6312</v>
      </c>
    </row>
    <row r="413" spans="1:3" x14ac:dyDescent="0.25">
      <c r="A413">
        <v>412</v>
      </c>
      <c r="B413" t="s">
        <v>6313</v>
      </c>
      <c r="C413" t="s">
        <v>6314</v>
      </c>
    </row>
    <row r="414" spans="1:3" x14ac:dyDescent="0.25">
      <c r="A414">
        <v>413</v>
      </c>
      <c r="B414" t="s">
        <v>6315</v>
      </c>
      <c r="C414" t="s">
        <v>6316</v>
      </c>
    </row>
    <row r="415" spans="1:3" x14ac:dyDescent="0.25">
      <c r="A415">
        <v>414</v>
      </c>
      <c r="B415" t="s">
        <v>6317</v>
      </c>
      <c r="C415" t="s">
        <v>6318</v>
      </c>
    </row>
    <row r="416" spans="1:3" x14ac:dyDescent="0.25">
      <c r="A416">
        <v>415</v>
      </c>
      <c r="B416" t="s">
        <v>6319</v>
      </c>
      <c r="C416" t="s">
        <v>6320</v>
      </c>
    </row>
    <row r="417" spans="1:3" x14ac:dyDescent="0.25">
      <c r="A417">
        <v>1</v>
      </c>
      <c r="B417" t="s">
        <v>6321</v>
      </c>
      <c r="C417" t="s">
        <v>6322</v>
      </c>
    </row>
    <row r="418" spans="1:3" x14ac:dyDescent="0.25">
      <c r="A418">
        <v>2</v>
      </c>
      <c r="B418" t="s">
        <v>6216</v>
      </c>
      <c r="C418" t="s">
        <v>6217</v>
      </c>
    </row>
    <row r="419" spans="1:3" x14ac:dyDescent="0.25">
      <c r="A419">
        <v>3</v>
      </c>
      <c r="B419" t="s">
        <v>6218</v>
      </c>
      <c r="C419" t="s">
        <v>6219</v>
      </c>
    </row>
    <row r="420" spans="1:3" x14ac:dyDescent="0.25">
      <c r="A420">
        <v>4</v>
      </c>
      <c r="B420" t="s">
        <v>6220</v>
      </c>
      <c r="C420" t="s">
        <v>6221</v>
      </c>
    </row>
    <row r="421" spans="1:3" x14ac:dyDescent="0.25">
      <c r="A421">
        <v>5</v>
      </c>
      <c r="B421" t="s">
        <v>6305</v>
      </c>
      <c r="C421" t="s">
        <v>6306</v>
      </c>
    </row>
    <row r="422" spans="1:3" x14ac:dyDescent="0.25">
      <c r="A422">
        <v>6</v>
      </c>
      <c r="B422" t="s">
        <v>6307</v>
      </c>
      <c r="C422" t="s">
        <v>6308</v>
      </c>
    </row>
    <row r="423" spans="1:3" x14ac:dyDescent="0.25">
      <c r="A423">
        <v>7</v>
      </c>
      <c r="B423" t="s">
        <v>6309</v>
      </c>
      <c r="C423" t="s">
        <v>6310</v>
      </c>
    </row>
    <row r="424" spans="1:3" x14ac:dyDescent="0.25">
      <c r="A424">
        <v>8</v>
      </c>
      <c r="B424" t="s">
        <v>6311</v>
      </c>
      <c r="C424" t="s">
        <v>6312</v>
      </c>
    </row>
    <row r="425" spans="1:3" x14ac:dyDescent="0.25">
      <c r="A425">
        <v>9</v>
      </c>
      <c r="B425" t="s">
        <v>6313</v>
      </c>
      <c r="C425" t="s">
        <v>6314</v>
      </c>
    </row>
    <row r="426" spans="1:3" x14ac:dyDescent="0.25">
      <c r="A426">
        <v>10</v>
      </c>
      <c r="B426" t="s">
        <v>6315</v>
      </c>
      <c r="C426" t="s">
        <v>6316</v>
      </c>
    </row>
    <row r="427" spans="1:3" x14ac:dyDescent="0.25">
      <c r="A427">
        <v>11</v>
      </c>
      <c r="B427" t="s">
        <v>6317</v>
      </c>
      <c r="C427" t="s">
        <v>6318</v>
      </c>
    </row>
    <row r="428" spans="1:3" x14ac:dyDescent="0.25">
      <c r="A428">
        <v>12</v>
      </c>
      <c r="B428" t="s">
        <v>6319</v>
      </c>
      <c r="C428" t="s">
        <v>6320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3FC8-2152-4D66-BD9D-475D302B1DB9}">
  <dimension ref="A1:J168"/>
  <sheetViews>
    <sheetView workbookViewId="0"/>
  </sheetViews>
  <sheetFormatPr defaultRowHeight="15" x14ac:dyDescent="0.25"/>
  <cols>
    <col min="1" max="1" width="45.140625" bestFit="1" customWidth="1"/>
  </cols>
  <sheetData>
    <row r="1" spans="1:10" x14ac:dyDescent="0.25">
      <c r="A1" s="2" t="s">
        <v>5445</v>
      </c>
      <c r="B1" t="s">
        <v>5625</v>
      </c>
      <c r="H1">
        <v>52918</v>
      </c>
      <c r="I1" t="s">
        <v>5637</v>
      </c>
      <c r="J1" t="str">
        <f t="shared" ref="J1:J64" si="0">"ia.assorted_string like '%"&amp;H1&amp;"-"&amp;I1&amp;B1&amp;"%' or"</f>
        <v>ia.assorted_string like '%52918-00197-03-2025%' or</v>
      </c>
    </row>
    <row r="2" spans="1:10" x14ac:dyDescent="0.25">
      <c r="A2" s="2" t="s">
        <v>5446</v>
      </c>
      <c r="B2" t="s">
        <v>5625</v>
      </c>
      <c r="H2">
        <v>52918</v>
      </c>
      <c r="I2" t="s">
        <v>5638</v>
      </c>
      <c r="J2" t="str">
        <f t="shared" si="0"/>
        <v>ia.assorted_string like '%52918-00200-03-2025%' or</v>
      </c>
    </row>
    <row r="3" spans="1:10" x14ac:dyDescent="0.25">
      <c r="A3" s="2" t="s">
        <v>5447</v>
      </c>
      <c r="B3" t="s">
        <v>5625</v>
      </c>
      <c r="H3">
        <v>52918</v>
      </c>
      <c r="I3" t="s">
        <v>5641</v>
      </c>
      <c r="J3" t="str">
        <f t="shared" si="0"/>
        <v>ia.assorted_string like '%52918-00281-03-2025%' or</v>
      </c>
    </row>
    <row r="4" spans="1:10" x14ac:dyDescent="0.25">
      <c r="A4" s="2" t="s">
        <v>5448</v>
      </c>
      <c r="B4" t="s">
        <v>5625</v>
      </c>
      <c r="H4">
        <v>52918</v>
      </c>
      <c r="I4" t="s">
        <v>5646</v>
      </c>
      <c r="J4" t="str">
        <f t="shared" si="0"/>
        <v>ia.assorted_string like '%52918-00056-03-2025%' or</v>
      </c>
    </row>
    <row r="5" spans="1:10" x14ac:dyDescent="0.25">
      <c r="A5" s="2" t="s">
        <v>5449</v>
      </c>
      <c r="B5" t="s">
        <v>5625</v>
      </c>
      <c r="H5">
        <v>52918</v>
      </c>
      <c r="I5" t="s">
        <v>5647</v>
      </c>
      <c r="J5" t="str">
        <f t="shared" si="0"/>
        <v>ia.assorted_string like '%52918-00058-03-2025%' or</v>
      </c>
    </row>
    <row r="6" spans="1:10" x14ac:dyDescent="0.25">
      <c r="A6" s="2" t="s">
        <v>5450</v>
      </c>
      <c r="B6" t="s">
        <v>5625</v>
      </c>
      <c r="H6">
        <v>52918</v>
      </c>
      <c r="I6" t="s">
        <v>5649</v>
      </c>
      <c r="J6" t="str">
        <f t="shared" si="0"/>
        <v>ia.assorted_string like '%52918-00068-03-2025%' or</v>
      </c>
    </row>
    <row r="7" spans="1:10" x14ac:dyDescent="0.25">
      <c r="A7" s="2" t="s">
        <v>5451</v>
      </c>
      <c r="B7" t="s">
        <v>5625</v>
      </c>
      <c r="H7">
        <v>52918</v>
      </c>
      <c r="I7" t="s">
        <v>5650</v>
      </c>
      <c r="J7" t="str">
        <f t="shared" si="0"/>
        <v>ia.assorted_string like '%52918-00093-03-2025%' or</v>
      </c>
    </row>
    <row r="8" spans="1:10" x14ac:dyDescent="0.25">
      <c r="A8" s="2" t="s">
        <v>5452</v>
      </c>
      <c r="B8" t="s">
        <v>5625</v>
      </c>
      <c r="H8">
        <v>52918</v>
      </c>
      <c r="I8" t="s">
        <v>5651</v>
      </c>
      <c r="J8" t="str">
        <f t="shared" si="0"/>
        <v>ia.assorted_string like '%52918-00096-03-2025%' or</v>
      </c>
    </row>
    <row r="9" spans="1:10" x14ac:dyDescent="0.25">
      <c r="A9" s="2" t="s">
        <v>5453</v>
      </c>
      <c r="B9" t="s">
        <v>5625</v>
      </c>
      <c r="H9">
        <v>52918</v>
      </c>
      <c r="I9" t="s">
        <v>5654</v>
      </c>
      <c r="J9" t="str">
        <f t="shared" si="0"/>
        <v>ia.assorted_string like '%52918-00102-03-2025%' or</v>
      </c>
    </row>
    <row r="10" spans="1:10" x14ac:dyDescent="0.25">
      <c r="A10" s="2" t="s">
        <v>5454</v>
      </c>
      <c r="B10" t="s">
        <v>5625</v>
      </c>
      <c r="H10">
        <v>52918</v>
      </c>
      <c r="I10" t="s">
        <v>5657</v>
      </c>
      <c r="J10" t="str">
        <f t="shared" si="0"/>
        <v>ia.assorted_string like '%52918-00116-03-2025%' or</v>
      </c>
    </row>
    <row r="11" spans="1:10" x14ac:dyDescent="0.25">
      <c r="A11" s="2" t="s">
        <v>5455</v>
      </c>
      <c r="B11" t="s">
        <v>5625</v>
      </c>
      <c r="H11">
        <v>52918</v>
      </c>
      <c r="I11" t="s">
        <v>5658</v>
      </c>
      <c r="J11" t="str">
        <f t="shared" si="0"/>
        <v>ia.assorted_string like '%52918-00130-03-2025%' or</v>
      </c>
    </row>
    <row r="12" spans="1:10" x14ac:dyDescent="0.25">
      <c r="A12" s="2" t="s">
        <v>5456</v>
      </c>
      <c r="B12" t="s">
        <v>5625</v>
      </c>
      <c r="H12">
        <v>52918</v>
      </c>
      <c r="I12" t="s">
        <v>5659</v>
      </c>
      <c r="J12" t="str">
        <f t="shared" si="0"/>
        <v>ia.assorted_string like '%52918-00140-03-2025%' or</v>
      </c>
    </row>
    <row r="13" spans="1:10" x14ac:dyDescent="0.25">
      <c r="A13" s="2" t="s">
        <v>5457</v>
      </c>
      <c r="B13" t="s">
        <v>5625</v>
      </c>
      <c r="H13">
        <v>52918</v>
      </c>
      <c r="I13" t="s">
        <v>5660</v>
      </c>
      <c r="J13" t="str">
        <f t="shared" si="0"/>
        <v>ia.assorted_string like '%52918-00141-03-2025%' or</v>
      </c>
    </row>
    <row r="14" spans="1:10" x14ac:dyDescent="0.25">
      <c r="A14" s="2" t="s">
        <v>5458</v>
      </c>
      <c r="B14" t="s">
        <v>5625</v>
      </c>
      <c r="H14">
        <v>52918</v>
      </c>
      <c r="I14" t="s">
        <v>5661</v>
      </c>
      <c r="J14" t="str">
        <f t="shared" si="0"/>
        <v>ia.assorted_string like '%52918-00151-03-2025%' or</v>
      </c>
    </row>
    <row r="15" spans="1:10" x14ac:dyDescent="0.25">
      <c r="A15" s="2" t="s">
        <v>5459</v>
      </c>
      <c r="B15" t="s">
        <v>5625</v>
      </c>
      <c r="H15">
        <v>52918</v>
      </c>
      <c r="I15" t="s">
        <v>5663</v>
      </c>
      <c r="J15" t="str">
        <f t="shared" si="0"/>
        <v>ia.assorted_string like '%52918-00156-03-2025%' or</v>
      </c>
    </row>
    <row r="16" spans="1:10" x14ac:dyDescent="0.25">
      <c r="A16" s="2" t="s">
        <v>5460</v>
      </c>
      <c r="B16" t="s">
        <v>5625</v>
      </c>
      <c r="H16">
        <v>52918</v>
      </c>
      <c r="I16" t="s">
        <v>5664</v>
      </c>
      <c r="J16" t="str">
        <f t="shared" si="0"/>
        <v>ia.assorted_string like '%52918-00162-03-2025%' or</v>
      </c>
    </row>
    <row r="17" spans="1:10" x14ac:dyDescent="0.25">
      <c r="A17" s="2" t="s">
        <v>5461</v>
      </c>
      <c r="B17" t="s">
        <v>5625</v>
      </c>
      <c r="H17">
        <v>52918</v>
      </c>
      <c r="I17" t="s">
        <v>5665</v>
      </c>
      <c r="J17" t="str">
        <f t="shared" si="0"/>
        <v>ia.assorted_string like '%52918-00165-03-2025%' or</v>
      </c>
    </row>
    <row r="18" spans="1:10" x14ac:dyDescent="0.25">
      <c r="A18" s="2" t="s">
        <v>5462</v>
      </c>
      <c r="B18" t="s">
        <v>5625</v>
      </c>
      <c r="H18">
        <v>52918</v>
      </c>
      <c r="I18" t="s">
        <v>5667</v>
      </c>
      <c r="J18" t="str">
        <f t="shared" si="0"/>
        <v>ia.assorted_string like '%52918-00168-03-2025%' or</v>
      </c>
    </row>
    <row r="19" spans="1:10" x14ac:dyDescent="0.25">
      <c r="A19" s="2" t="s">
        <v>5463</v>
      </c>
      <c r="B19" t="s">
        <v>5625</v>
      </c>
      <c r="H19">
        <v>52918</v>
      </c>
      <c r="I19" t="s">
        <v>5669</v>
      </c>
      <c r="J19" t="str">
        <f t="shared" si="0"/>
        <v>ia.assorted_string like '%52918-00187-03-2025%' or</v>
      </c>
    </row>
    <row r="20" spans="1:10" x14ac:dyDescent="0.25">
      <c r="A20" s="2" t="s">
        <v>5464</v>
      </c>
      <c r="B20" t="s">
        <v>5625</v>
      </c>
      <c r="H20">
        <v>52918</v>
      </c>
      <c r="I20" t="s">
        <v>5671</v>
      </c>
      <c r="J20" t="str">
        <f t="shared" si="0"/>
        <v>ia.assorted_string like '%52918-00189-03-2025%' or</v>
      </c>
    </row>
    <row r="21" spans="1:10" x14ac:dyDescent="0.25">
      <c r="A21" s="2" t="s">
        <v>5465</v>
      </c>
      <c r="B21" t="s">
        <v>5625</v>
      </c>
      <c r="H21">
        <v>52918</v>
      </c>
      <c r="I21" t="s">
        <v>5672</v>
      </c>
      <c r="J21" t="str">
        <f t="shared" si="0"/>
        <v>ia.assorted_string like '%52918-00198-03-2025%' or</v>
      </c>
    </row>
    <row r="22" spans="1:10" x14ac:dyDescent="0.25">
      <c r="A22" s="2" t="s">
        <v>5466</v>
      </c>
      <c r="B22" t="s">
        <v>5625</v>
      </c>
      <c r="H22">
        <v>52918</v>
      </c>
      <c r="I22" t="s">
        <v>5673</v>
      </c>
      <c r="J22" t="str">
        <f t="shared" si="0"/>
        <v>ia.assorted_string like '%52918-00219-03-2025%' or</v>
      </c>
    </row>
    <row r="23" spans="1:10" x14ac:dyDescent="0.25">
      <c r="A23" s="2" t="s">
        <v>5467</v>
      </c>
      <c r="B23" t="s">
        <v>5625</v>
      </c>
      <c r="H23">
        <v>52918</v>
      </c>
      <c r="I23" t="s">
        <v>5674</v>
      </c>
      <c r="J23" t="str">
        <f t="shared" si="0"/>
        <v>ia.assorted_string like '%52918-00235-03-2025%' or</v>
      </c>
    </row>
    <row r="24" spans="1:10" x14ac:dyDescent="0.25">
      <c r="A24" s="2" t="s">
        <v>5468</v>
      </c>
      <c r="B24" t="s">
        <v>5625</v>
      </c>
      <c r="H24">
        <v>52918</v>
      </c>
      <c r="I24" t="s">
        <v>5675</v>
      </c>
      <c r="J24" t="str">
        <f t="shared" si="0"/>
        <v>ia.assorted_string like '%52918-00242-03-2025%' or</v>
      </c>
    </row>
    <row r="25" spans="1:10" x14ac:dyDescent="0.25">
      <c r="A25" s="2" t="s">
        <v>5469</v>
      </c>
      <c r="B25" t="s">
        <v>5625</v>
      </c>
      <c r="H25">
        <v>52918</v>
      </c>
      <c r="I25" t="s">
        <v>5676</v>
      </c>
      <c r="J25" t="str">
        <f t="shared" si="0"/>
        <v>ia.assorted_string like '%52918-00248-03-2025%' or</v>
      </c>
    </row>
    <row r="26" spans="1:10" x14ac:dyDescent="0.25">
      <c r="A26" s="2" t="s">
        <v>5470</v>
      </c>
      <c r="B26" t="s">
        <v>5625</v>
      </c>
      <c r="H26">
        <v>52918</v>
      </c>
      <c r="I26" t="s">
        <v>5679</v>
      </c>
      <c r="J26" t="str">
        <f t="shared" si="0"/>
        <v>ia.assorted_string like '%52918-00285-03-2025%' or</v>
      </c>
    </row>
    <row r="27" spans="1:10" x14ac:dyDescent="0.25">
      <c r="A27" s="2" t="s">
        <v>5471</v>
      </c>
      <c r="B27" t="s">
        <v>5625</v>
      </c>
      <c r="H27">
        <v>52918</v>
      </c>
      <c r="I27" t="s">
        <v>5680</v>
      </c>
      <c r="J27" t="str">
        <f t="shared" si="0"/>
        <v>ia.assorted_string like '%52918-00293-03-2025%' or</v>
      </c>
    </row>
    <row r="28" spans="1:10" x14ac:dyDescent="0.25">
      <c r="A28" s="2" t="s">
        <v>5472</v>
      </c>
      <c r="B28" t="s">
        <v>5625</v>
      </c>
      <c r="H28">
        <v>52918</v>
      </c>
      <c r="I28" t="s">
        <v>5681</v>
      </c>
      <c r="J28" t="str">
        <f t="shared" si="0"/>
        <v>ia.assorted_string like '%52918-00269-03-2025%' or</v>
      </c>
    </row>
    <row r="29" spans="1:10" x14ac:dyDescent="0.25">
      <c r="A29" s="2" t="s">
        <v>5473</v>
      </c>
      <c r="B29" t="s">
        <v>5625</v>
      </c>
      <c r="H29">
        <v>52918</v>
      </c>
      <c r="I29" t="s">
        <v>5682</v>
      </c>
      <c r="J29" t="str">
        <f t="shared" si="0"/>
        <v>ia.assorted_string like '%52918-00191-03-2025%' or</v>
      </c>
    </row>
    <row r="30" spans="1:10" x14ac:dyDescent="0.25">
      <c r="A30" s="2" t="s">
        <v>5474</v>
      </c>
      <c r="B30" t="s">
        <v>5625</v>
      </c>
      <c r="H30">
        <v>52918</v>
      </c>
      <c r="I30" t="s">
        <v>5684</v>
      </c>
      <c r="J30" t="str">
        <f t="shared" si="0"/>
        <v>ia.assorted_string like '%52918-00175-03-2025%' or</v>
      </c>
    </row>
    <row r="31" spans="1:10" x14ac:dyDescent="0.25">
      <c r="A31" s="2" t="s">
        <v>5475</v>
      </c>
      <c r="B31" t="s">
        <v>5625</v>
      </c>
      <c r="H31">
        <v>52918</v>
      </c>
      <c r="I31" t="s">
        <v>5686</v>
      </c>
      <c r="J31" t="str">
        <f t="shared" si="0"/>
        <v>ia.assorted_string like '%52918-00037-03-2025%' or</v>
      </c>
    </row>
    <row r="32" spans="1:10" x14ac:dyDescent="0.25">
      <c r="A32" s="2" t="s">
        <v>5476</v>
      </c>
      <c r="B32" t="s">
        <v>5625</v>
      </c>
      <c r="H32">
        <v>52952</v>
      </c>
      <c r="I32" t="s">
        <v>5635</v>
      </c>
      <c r="J32" t="str">
        <f t="shared" si="0"/>
        <v>ia.assorted_string like '%52952-00001-03-2025%' or</v>
      </c>
    </row>
    <row r="33" spans="1:10" x14ac:dyDescent="0.25">
      <c r="A33" s="2" t="s">
        <v>5477</v>
      </c>
      <c r="B33" t="s">
        <v>5625</v>
      </c>
      <c r="H33">
        <v>52952</v>
      </c>
      <c r="I33" t="s">
        <v>5688</v>
      </c>
      <c r="J33" t="str">
        <f t="shared" si="0"/>
        <v>ia.assorted_string like '%52952-00009-03-2025%' or</v>
      </c>
    </row>
    <row r="34" spans="1:10" x14ac:dyDescent="0.25">
      <c r="A34" s="2" t="s">
        <v>5478</v>
      </c>
      <c r="B34" t="s">
        <v>5625</v>
      </c>
      <c r="H34">
        <v>52952</v>
      </c>
      <c r="I34" t="s">
        <v>5703</v>
      </c>
      <c r="J34" t="str">
        <f t="shared" si="0"/>
        <v>ia.assorted_string like '%52952-00024-03-2025%' or</v>
      </c>
    </row>
    <row r="35" spans="1:10" x14ac:dyDescent="0.25">
      <c r="A35" s="2" t="s">
        <v>5479</v>
      </c>
      <c r="B35" t="s">
        <v>5625</v>
      </c>
      <c r="H35">
        <v>52952</v>
      </c>
      <c r="I35" t="s">
        <v>5705</v>
      </c>
      <c r="J35" t="str">
        <f t="shared" si="0"/>
        <v>ia.assorted_string like '%52952-00026-03-2025%' or</v>
      </c>
    </row>
    <row r="36" spans="1:10" x14ac:dyDescent="0.25">
      <c r="A36" s="2" t="s">
        <v>5480</v>
      </c>
      <c r="B36" t="s">
        <v>5625</v>
      </c>
      <c r="H36">
        <v>52952</v>
      </c>
      <c r="I36" t="s">
        <v>5632</v>
      </c>
      <c r="J36" t="str">
        <f t="shared" si="0"/>
        <v>ia.assorted_string like '%52952-00030-03-2025%' or</v>
      </c>
    </row>
    <row r="37" spans="1:10" x14ac:dyDescent="0.25">
      <c r="A37" s="2" t="s">
        <v>5481</v>
      </c>
      <c r="B37" t="s">
        <v>5625</v>
      </c>
      <c r="H37">
        <v>52952</v>
      </c>
      <c r="I37" t="s">
        <v>5708</v>
      </c>
      <c r="J37" t="str">
        <f t="shared" si="0"/>
        <v>ia.assorted_string like '%52952-00031-03-2025%' or</v>
      </c>
    </row>
    <row r="38" spans="1:10" x14ac:dyDescent="0.25">
      <c r="A38" s="2" t="s">
        <v>5482</v>
      </c>
      <c r="B38" t="s">
        <v>5625</v>
      </c>
      <c r="H38">
        <v>52952</v>
      </c>
      <c r="I38" t="s">
        <v>5634</v>
      </c>
      <c r="J38" t="str">
        <f t="shared" si="0"/>
        <v>ia.assorted_string like '%52952-00032-03-2025%' or</v>
      </c>
    </row>
    <row r="39" spans="1:10" x14ac:dyDescent="0.25">
      <c r="A39" s="2" t="s">
        <v>5483</v>
      </c>
      <c r="B39" t="s">
        <v>5625</v>
      </c>
      <c r="H39">
        <v>52952</v>
      </c>
      <c r="I39" t="s">
        <v>5709</v>
      </c>
      <c r="J39" t="str">
        <f t="shared" si="0"/>
        <v>ia.assorted_string like '%52952-00033-03-2025%' or</v>
      </c>
    </row>
    <row r="40" spans="1:10" x14ac:dyDescent="0.25">
      <c r="A40" s="2" t="s">
        <v>5484</v>
      </c>
      <c r="B40" t="s">
        <v>5625</v>
      </c>
      <c r="H40">
        <v>52952</v>
      </c>
      <c r="I40" t="s">
        <v>5710</v>
      </c>
      <c r="J40" t="str">
        <f t="shared" si="0"/>
        <v>ia.assorted_string like '%52952-00034-03-2025%' or</v>
      </c>
    </row>
    <row r="41" spans="1:10" x14ac:dyDescent="0.25">
      <c r="A41" s="2" t="s">
        <v>5485</v>
      </c>
      <c r="B41" t="s">
        <v>5625</v>
      </c>
      <c r="H41">
        <v>52952</v>
      </c>
      <c r="I41" t="s">
        <v>5711</v>
      </c>
      <c r="J41" t="str">
        <f t="shared" si="0"/>
        <v>ia.assorted_string like '%52952-00035-03-2025%' or</v>
      </c>
    </row>
    <row r="42" spans="1:10" x14ac:dyDescent="0.25">
      <c r="A42" s="2" t="s">
        <v>5486</v>
      </c>
      <c r="B42" t="s">
        <v>5625</v>
      </c>
      <c r="H42">
        <v>52952</v>
      </c>
      <c r="I42" t="s">
        <v>5712</v>
      </c>
      <c r="J42" t="str">
        <f t="shared" si="0"/>
        <v>ia.assorted_string like '%52952-00036-03-2025%' or</v>
      </c>
    </row>
    <row r="43" spans="1:10" x14ac:dyDescent="0.25">
      <c r="A43" s="2" t="s">
        <v>5487</v>
      </c>
      <c r="B43" t="s">
        <v>5625</v>
      </c>
      <c r="H43">
        <v>52952</v>
      </c>
      <c r="I43" t="s">
        <v>5686</v>
      </c>
      <c r="J43" t="str">
        <f t="shared" si="0"/>
        <v>ia.assorted_string like '%52952-00037-03-2025%' or</v>
      </c>
    </row>
    <row r="44" spans="1:10" x14ac:dyDescent="0.25">
      <c r="A44" s="2" t="s">
        <v>5488</v>
      </c>
      <c r="B44" t="s">
        <v>5625</v>
      </c>
      <c r="H44">
        <v>52952</v>
      </c>
      <c r="I44" t="s">
        <v>5716</v>
      </c>
      <c r="J44" t="str">
        <f t="shared" si="0"/>
        <v>ia.assorted_string like '%52952-00038-03-2025%' or</v>
      </c>
    </row>
    <row r="45" spans="1:10" x14ac:dyDescent="0.25">
      <c r="A45" s="2" t="s">
        <v>5489</v>
      </c>
      <c r="B45" t="s">
        <v>5625</v>
      </c>
      <c r="H45">
        <v>52952</v>
      </c>
      <c r="I45" t="s">
        <v>5640</v>
      </c>
      <c r="J45" t="str">
        <f t="shared" si="0"/>
        <v>ia.assorted_string like '%52952-00039-03-2025%' or</v>
      </c>
    </row>
    <row r="46" spans="1:10" x14ac:dyDescent="0.25">
      <c r="A46" s="2" t="s">
        <v>5490</v>
      </c>
      <c r="B46" t="s">
        <v>5625</v>
      </c>
      <c r="H46">
        <v>52952</v>
      </c>
      <c r="I46" t="s">
        <v>5717</v>
      </c>
      <c r="J46" t="str">
        <f t="shared" si="0"/>
        <v>ia.assorted_string like '%52952-00041-03-2025%' or</v>
      </c>
    </row>
    <row r="47" spans="1:10" x14ac:dyDescent="0.25">
      <c r="A47" s="2" t="s">
        <v>5491</v>
      </c>
      <c r="B47" t="s">
        <v>5625</v>
      </c>
      <c r="H47">
        <v>52952</v>
      </c>
      <c r="I47" t="s">
        <v>5643</v>
      </c>
      <c r="J47" t="str">
        <f t="shared" si="0"/>
        <v>ia.assorted_string like '%52952-00042-03-2025%' or</v>
      </c>
    </row>
    <row r="48" spans="1:10" x14ac:dyDescent="0.25">
      <c r="A48" s="2" t="s">
        <v>5492</v>
      </c>
      <c r="B48" t="s">
        <v>5625</v>
      </c>
      <c r="H48">
        <v>52952</v>
      </c>
      <c r="I48" t="s">
        <v>5718</v>
      </c>
      <c r="J48" t="str">
        <f t="shared" si="0"/>
        <v>ia.assorted_string like '%52952-00044-03-2025%' or</v>
      </c>
    </row>
    <row r="49" spans="1:10" x14ac:dyDescent="0.25">
      <c r="A49" s="2" t="s">
        <v>5493</v>
      </c>
      <c r="B49" t="s">
        <v>5625</v>
      </c>
      <c r="H49">
        <v>52952</v>
      </c>
      <c r="I49" t="s">
        <v>5719</v>
      </c>
      <c r="J49" t="str">
        <f t="shared" si="0"/>
        <v>ia.assorted_string like '%52952-00046-03-2025%' or</v>
      </c>
    </row>
    <row r="50" spans="1:10" x14ac:dyDescent="0.25">
      <c r="A50" s="2" t="s">
        <v>5494</v>
      </c>
      <c r="B50" t="s">
        <v>5625</v>
      </c>
      <c r="H50">
        <v>52952</v>
      </c>
      <c r="I50" t="s">
        <v>5720</v>
      </c>
      <c r="J50" t="str">
        <f t="shared" si="0"/>
        <v>ia.assorted_string like '%52952-00047-03-2025%' or</v>
      </c>
    </row>
    <row r="51" spans="1:10" x14ac:dyDescent="0.25">
      <c r="A51" s="2" t="s">
        <v>5495</v>
      </c>
      <c r="B51" t="s">
        <v>5625</v>
      </c>
      <c r="H51">
        <v>52952</v>
      </c>
      <c r="I51" t="s">
        <v>5648</v>
      </c>
      <c r="J51" t="str">
        <f t="shared" si="0"/>
        <v>ia.assorted_string like '%52952-00049-03-2025%' or</v>
      </c>
    </row>
    <row r="52" spans="1:10" x14ac:dyDescent="0.25">
      <c r="A52" s="2" t="s">
        <v>5496</v>
      </c>
      <c r="B52" t="s">
        <v>5625</v>
      </c>
      <c r="H52">
        <v>52952</v>
      </c>
      <c r="I52" t="s">
        <v>5723</v>
      </c>
      <c r="J52" t="str">
        <f t="shared" si="0"/>
        <v>ia.assorted_string like '%52952-00050-03-2025%' or</v>
      </c>
    </row>
    <row r="53" spans="1:10" x14ac:dyDescent="0.25">
      <c r="A53" s="2" t="s">
        <v>5497</v>
      </c>
      <c r="B53" t="s">
        <v>5625</v>
      </c>
      <c r="H53">
        <v>52952</v>
      </c>
      <c r="I53" t="s">
        <v>5729</v>
      </c>
      <c r="J53" t="str">
        <f t="shared" si="0"/>
        <v>ia.assorted_string like '%52952-00052-03-2025%' or</v>
      </c>
    </row>
    <row r="54" spans="1:10" x14ac:dyDescent="0.25">
      <c r="A54" s="2" t="s">
        <v>5498</v>
      </c>
      <c r="B54" t="s">
        <v>5625</v>
      </c>
      <c r="H54">
        <v>52952</v>
      </c>
      <c r="I54" t="s">
        <v>5731</v>
      </c>
      <c r="J54" t="str">
        <f t="shared" si="0"/>
        <v>ia.assorted_string like '%52952-00053-03-2025%' or</v>
      </c>
    </row>
    <row r="55" spans="1:10" x14ac:dyDescent="0.25">
      <c r="A55" s="2" t="s">
        <v>5499</v>
      </c>
      <c r="B55" t="s">
        <v>5625</v>
      </c>
      <c r="H55">
        <v>52952</v>
      </c>
      <c r="I55" t="s">
        <v>5732</v>
      </c>
      <c r="J55" t="str">
        <f t="shared" si="0"/>
        <v>ia.assorted_string like '%52952-00054-03-2025%' or</v>
      </c>
    </row>
    <row r="56" spans="1:10" x14ac:dyDescent="0.25">
      <c r="A56" s="2" t="s">
        <v>5500</v>
      </c>
      <c r="B56" t="s">
        <v>5625</v>
      </c>
      <c r="H56">
        <v>52952</v>
      </c>
      <c r="I56" t="s">
        <v>5745</v>
      </c>
      <c r="J56" t="str">
        <f t="shared" si="0"/>
        <v>ia.assorted_string like '%52952-00074-03-2025%' or</v>
      </c>
    </row>
    <row r="57" spans="1:10" x14ac:dyDescent="0.25">
      <c r="A57" s="2" t="s">
        <v>5501</v>
      </c>
      <c r="B57" t="s">
        <v>5625</v>
      </c>
      <c r="H57">
        <v>52952</v>
      </c>
      <c r="I57" t="s">
        <v>5752</v>
      </c>
      <c r="J57" t="str">
        <f t="shared" si="0"/>
        <v>ia.assorted_string like '%52952-00077-03-2025%' or</v>
      </c>
    </row>
    <row r="58" spans="1:10" x14ac:dyDescent="0.25">
      <c r="A58" s="2" t="s">
        <v>5502</v>
      </c>
      <c r="B58" t="s">
        <v>5625</v>
      </c>
      <c r="H58">
        <v>52952</v>
      </c>
      <c r="I58" t="s">
        <v>5753</v>
      </c>
      <c r="J58" t="str">
        <f t="shared" si="0"/>
        <v>ia.assorted_string like '%52952-00078-03-2025%' or</v>
      </c>
    </row>
    <row r="59" spans="1:10" x14ac:dyDescent="0.25">
      <c r="A59" s="2" t="s">
        <v>5503</v>
      </c>
      <c r="B59" t="s">
        <v>5625</v>
      </c>
      <c r="H59">
        <v>52952</v>
      </c>
      <c r="I59" t="s">
        <v>5755</v>
      </c>
      <c r="J59" t="str">
        <f t="shared" si="0"/>
        <v>ia.assorted_string like '%52952-00081-03-2025%' or</v>
      </c>
    </row>
    <row r="60" spans="1:10" x14ac:dyDescent="0.25">
      <c r="A60" s="2" t="s">
        <v>5504</v>
      </c>
      <c r="B60" t="s">
        <v>5625</v>
      </c>
      <c r="H60">
        <v>52952</v>
      </c>
      <c r="I60" t="s">
        <v>5756</v>
      </c>
      <c r="J60" t="str">
        <f t="shared" si="0"/>
        <v>ia.assorted_string like '%52952-00082-03-2025%' or</v>
      </c>
    </row>
    <row r="61" spans="1:10" x14ac:dyDescent="0.25">
      <c r="A61" s="2" t="s">
        <v>5505</v>
      </c>
      <c r="B61" t="s">
        <v>5625</v>
      </c>
      <c r="H61">
        <v>52952</v>
      </c>
      <c r="I61" t="s">
        <v>5760</v>
      </c>
      <c r="J61" t="str">
        <f t="shared" si="0"/>
        <v>ia.assorted_string like '%52952-00084-03-2025%' or</v>
      </c>
    </row>
    <row r="62" spans="1:10" x14ac:dyDescent="0.25">
      <c r="A62" s="2" t="s">
        <v>5506</v>
      </c>
      <c r="B62" t="s">
        <v>5625</v>
      </c>
      <c r="H62">
        <v>52952</v>
      </c>
      <c r="I62" t="s">
        <v>5761</v>
      </c>
      <c r="J62" t="str">
        <f t="shared" si="0"/>
        <v>ia.assorted_string like '%52952-00085-03-2025%' or</v>
      </c>
    </row>
    <row r="63" spans="1:10" x14ac:dyDescent="0.25">
      <c r="A63" s="2" t="s">
        <v>5507</v>
      </c>
      <c r="B63" t="s">
        <v>5625</v>
      </c>
      <c r="H63">
        <v>52952</v>
      </c>
      <c r="I63" t="s">
        <v>5763</v>
      </c>
      <c r="J63" t="str">
        <f t="shared" si="0"/>
        <v>ia.assorted_string like '%52952-00087-03-2025%' or</v>
      </c>
    </row>
    <row r="64" spans="1:10" x14ac:dyDescent="0.25">
      <c r="A64" s="2" t="s">
        <v>5508</v>
      </c>
      <c r="B64" t="s">
        <v>5625</v>
      </c>
      <c r="H64">
        <v>52952</v>
      </c>
      <c r="I64" t="s">
        <v>5765</v>
      </c>
      <c r="J64" t="str">
        <f t="shared" si="0"/>
        <v>ia.assorted_string like '%52952-00091-03-2025%' or</v>
      </c>
    </row>
    <row r="65" spans="1:10" x14ac:dyDescent="0.25">
      <c r="A65" s="2" t="s">
        <v>5509</v>
      </c>
      <c r="B65" t="s">
        <v>5625</v>
      </c>
      <c r="H65">
        <v>52952</v>
      </c>
      <c r="I65" t="s">
        <v>5766</v>
      </c>
      <c r="J65" t="str">
        <f t="shared" ref="J65:J128" si="1">"ia.assorted_string like '%"&amp;H65&amp;"-"&amp;I65&amp;B65&amp;"%' or"</f>
        <v>ia.assorted_string like '%52952-00094-03-2025%' or</v>
      </c>
    </row>
    <row r="66" spans="1:10" x14ac:dyDescent="0.25">
      <c r="A66" t="s">
        <v>5622</v>
      </c>
      <c r="B66" t="s">
        <v>5625</v>
      </c>
      <c r="H66">
        <v>52952</v>
      </c>
      <c r="I66" t="s">
        <v>5651</v>
      </c>
      <c r="J66" t="str">
        <f t="shared" si="1"/>
        <v>ia.assorted_string like '%52952-00096-03-2025%' or</v>
      </c>
    </row>
    <row r="67" spans="1:10" x14ac:dyDescent="0.25">
      <c r="A67" s="2" t="s">
        <v>5510</v>
      </c>
      <c r="B67" t="s">
        <v>5625</v>
      </c>
      <c r="H67">
        <v>52952</v>
      </c>
      <c r="I67" t="s">
        <v>5654</v>
      </c>
      <c r="J67" t="str">
        <f t="shared" si="1"/>
        <v>ia.assorted_string like '%52952-00102-03-2025%' or</v>
      </c>
    </row>
    <row r="68" spans="1:10" x14ac:dyDescent="0.25">
      <c r="A68" s="2" t="s">
        <v>5511</v>
      </c>
      <c r="B68" t="s">
        <v>5625</v>
      </c>
      <c r="H68">
        <v>52952</v>
      </c>
      <c r="I68" t="s">
        <v>5771</v>
      </c>
      <c r="J68" t="str">
        <f t="shared" si="1"/>
        <v>ia.assorted_string like '%52952-00103-03-2025%' or</v>
      </c>
    </row>
    <row r="69" spans="1:10" x14ac:dyDescent="0.25">
      <c r="A69" s="2" t="s">
        <v>5512</v>
      </c>
      <c r="B69" t="s">
        <v>5625</v>
      </c>
      <c r="H69">
        <v>52952</v>
      </c>
      <c r="I69" t="s">
        <v>5772</v>
      </c>
      <c r="J69" t="str">
        <f t="shared" si="1"/>
        <v>ia.assorted_string like '%52952-00104-03-2025%' or</v>
      </c>
    </row>
    <row r="70" spans="1:10" x14ac:dyDescent="0.25">
      <c r="A70" s="2" t="s">
        <v>5513</v>
      </c>
      <c r="B70" t="s">
        <v>5625</v>
      </c>
      <c r="H70">
        <v>52952</v>
      </c>
      <c r="I70" t="s">
        <v>5777</v>
      </c>
      <c r="J70" t="str">
        <f t="shared" si="1"/>
        <v>ia.assorted_string like '%52952-00114-03-2025%' or</v>
      </c>
    </row>
    <row r="71" spans="1:10" x14ac:dyDescent="0.25">
      <c r="A71" s="2" t="s">
        <v>5514</v>
      </c>
      <c r="B71" t="s">
        <v>5625</v>
      </c>
      <c r="H71">
        <v>52952</v>
      </c>
      <c r="I71" t="s">
        <v>5657</v>
      </c>
      <c r="J71" t="str">
        <f t="shared" si="1"/>
        <v>ia.assorted_string like '%52952-00116-03-2025%' or</v>
      </c>
    </row>
    <row r="72" spans="1:10" x14ac:dyDescent="0.25">
      <c r="A72" s="2" t="s">
        <v>5515</v>
      </c>
      <c r="B72" t="s">
        <v>5625</v>
      </c>
      <c r="H72">
        <v>52952</v>
      </c>
      <c r="I72" t="s">
        <v>5702</v>
      </c>
      <c r="J72" t="str">
        <f t="shared" si="1"/>
        <v>ia.assorted_string like '%52952-00118-03-2025%' or</v>
      </c>
    </row>
    <row r="73" spans="1:10" x14ac:dyDescent="0.25">
      <c r="A73" s="2" t="s">
        <v>5516</v>
      </c>
      <c r="B73" t="s">
        <v>5625</v>
      </c>
      <c r="H73">
        <v>52952</v>
      </c>
      <c r="I73" t="s">
        <v>5784</v>
      </c>
      <c r="J73" t="str">
        <f t="shared" si="1"/>
        <v>ia.assorted_string like '%52952-00120-03-2025%' or</v>
      </c>
    </row>
    <row r="74" spans="1:10" x14ac:dyDescent="0.25">
      <c r="A74" s="2" t="s">
        <v>5517</v>
      </c>
      <c r="B74" t="s">
        <v>5625</v>
      </c>
      <c r="H74">
        <v>52952</v>
      </c>
      <c r="I74" t="s">
        <v>5786</v>
      </c>
      <c r="J74" t="str">
        <f t="shared" si="1"/>
        <v>ia.assorted_string like '%52952-00124-03-2025%' or</v>
      </c>
    </row>
    <row r="75" spans="1:10" x14ac:dyDescent="0.25">
      <c r="A75" s="2" t="s">
        <v>5518</v>
      </c>
      <c r="B75" t="s">
        <v>5625</v>
      </c>
      <c r="H75">
        <v>52952</v>
      </c>
      <c r="I75" t="s">
        <v>5787</v>
      </c>
      <c r="J75" t="str">
        <f t="shared" si="1"/>
        <v>ia.assorted_string like '%52952-00125-03-2025%' or</v>
      </c>
    </row>
    <row r="76" spans="1:10" x14ac:dyDescent="0.25">
      <c r="A76" s="2" t="s">
        <v>5519</v>
      </c>
      <c r="B76" t="s">
        <v>5625</v>
      </c>
      <c r="H76">
        <v>52952</v>
      </c>
      <c r="I76" t="s">
        <v>5788</v>
      </c>
      <c r="J76" t="str">
        <f t="shared" si="1"/>
        <v>ia.assorted_string like '%52952-00127-03-2025%' or</v>
      </c>
    </row>
    <row r="77" spans="1:10" x14ac:dyDescent="0.25">
      <c r="A77" s="2" t="s">
        <v>5520</v>
      </c>
      <c r="B77" t="s">
        <v>5625</v>
      </c>
      <c r="H77">
        <v>52952</v>
      </c>
      <c r="I77" t="s">
        <v>5789</v>
      </c>
      <c r="J77" t="str">
        <f t="shared" si="1"/>
        <v>ia.assorted_string like '%52952-00128-03-2025%' or</v>
      </c>
    </row>
    <row r="78" spans="1:10" x14ac:dyDescent="0.25">
      <c r="A78" s="2" t="s">
        <v>5521</v>
      </c>
      <c r="B78" t="s">
        <v>5625</v>
      </c>
      <c r="H78">
        <v>52952</v>
      </c>
      <c r="I78" t="s">
        <v>5790</v>
      </c>
      <c r="J78" t="str">
        <f t="shared" si="1"/>
        <v>ia.assorted_string like '%52952-00129-03-2025%' or</v>
      </c>
    </row>
    <row r="79" spans="1:10" x14ac:dyDescent="0.25">
      <c r="A79" s="2" t="s">
        <v>5522</v>
      </c>
      <c r="B79" t="s">
        <v>5625</v>
      </c>
      <c r="H79">
        <v>52952</v>
      </c>
      <c r="I79" t="s">
        <v>5791</v>
      </c>
      <c r="J79" t="str">
        <f t="shared" si="1"/>
        <v>ia.assorted_string like '%52952-00131-03-2025%' or</v>
      </c>
    </row>
    <row r="80" spans="1:10" x14ac:dyDescent="0.25">
      <c r="A80" s="2" t="s">
        <v>5523</v>
      </c>
      <c r="B80" t="s">
        <v>5625</v>
      </c>
      <c r="H80">
        <v>52952</v>
      </c>
      <c r="I80" t="s">
        <v>5714</v>
      </c>
      <c r="J80" t="str">
        <f t="shared" si="1"/>
        <v>ia.assorted_string like '%52952-00133-03-2025%' or</v>
      </c>
    </row>
    <row r="81" spans="1:10" x14ac:dyDescent="0.25">
      <c r="A81" s="2" t="s">
        <v>5524</v>
      </c>
      <c r="B81" t="s">
        <v>5625</v>
      </c>
      <c r="H81">
        <v>52952</v>
      </c>
      <c r="I81" t="s">
        <v>5715</v>
      </c>
      <c r="J81" t="str">
        <f t="shared" si="1"/>
        <v>ia.assorted_string like '%52952-00134-03-2025%' or</v>
      </c>
    </row>
    <row r="82" spans="1:10" x14ac:dyDescent="0.25">
      <c r="A82" s="2" t="s">
        <v>5525</v>
      </c>
      <c r="B82" t="s">
        <v>5625</v>
      </c>
      <c r="H82">
        <v>52952</v>
      </c>
      <c r="I82" t="s">
        <v>5794</v>
      </c>
      <c r="J82" t="str">
        <f t="shared" si="1"/>
        <v>ia.assorted_string like '%52952-00139-03-2025%' or</v>
      </c>
    </row>
    <row r="83" spans="1:10" x14ac:dyDescent="0.25">
      <c r="A83" s="2" t="s">
        <v>5526</v>
      </c>
      <c r="B83" t="s">
        <v>5625</v>
      </c>
      <c r="H83">
        <v>52952</v>
      </c>
      <c r="I83" t="s">
        <v>5660</v>
      </c>
      <c r="J83" t="str">
        <f t="shared" si="1"/>
        <v>ia.assorted_string like '%52952-00141-03-2025%' or</v>
      </c>
    </row>
    <row r="84" spans="1:10" x14ac:dyDescent="0.25">
      <c r="A84" s="2" t="s">
        <v>5527</v>
      </c>
      <c r="B84" t="s">
        <v>5625</v>
      </c>
      <c r="H84">
        <v>52952</v>
      </c>
      <c r="I84" t="s">
        <v>5721</v>
      </c>
      <c r="J84" t="str">
        <f t="shared" si="1"/>
        <v>ia.assorted_string like '%52952-00143-03-2025%' or</v>
      </c>
    </row>
    <row r="85" spans="1:10" x14ac:dyDescent="0.25">
      <c r="A85" s="2" t="s">
        <v>5528</v>
      </c>
      <c r="B85" t="s">
        <v>5625</v>
      </c>
      <c r="H85">
        <v>52952</v>
      </c>
      <c r="I85" t="s">
        <v>5796</v>
      </c>
      <c r="J85" t="str">
        <f t="shared" si="1"/>
        <v>ia.assorted_string like '%52952-00145-03-2025%' or</v>
      </c>
    </row>
    <row r="86" spans="1:10" x14ac:dyDescent="0.25">
      <c r="A86" s="2" t="s">
        <v>5529</v>
      </c>
      <c r="B86" t="s">
        <v>5625</v>
      </c>
      <c r="H86">
        <v>52952</v>
      </c>
      <c r="I86" t="s">
        <v>5661</v>
      </c>
      <c r="J86" t="str">
        <f t="shared" si="1"/>
        <v>ia.assorted_string like '%52952-00151-03-2025%' or</v>
      </c>
    </row>
    <row r="87" spans="1:10" x14ac:dyDescent="0.25">
      <c r="A87" s="2" t="s">
        <v>5530</v>
      </c>
      <c r="B87" t="s">
        <v>5625</v>
      </c>
      <c r="H87">
        <v>52952</v>
      </c>
      <c r="I87" t="s">
        <v>5730</v>
      </c>
      <c r="J87" t="str">
        <f t="shared" si="1"/>
        <v>ia.assorted_string like '%52952-00153-03-2025%' or</v>
      </c>
    </row>
    <row r="88" spans="1:10" x14ac:dyDescent="0.25">
      <c r="A88" s="2" t="s">
        <v>5531</v>
      </c>
      <c r="B88" t="s">
        <v>5625</v>
      </c>
      <c r="H88">
        <v>52952</v>
      </c>
      <c r="I88" t="s">
        <v>5798</v>
      </c>
      <c r="J88" t="str">
        <f t="shared" si="1"/>
        <v>ia.assorted_string like '%52952-00154-03-2025%' or</v>
      </c>
    </row>
    <row r="89" spans="1:10" x14ac:dyDescent="0.25">
      <c r="A89" s="2" t="s">
        <v>5532</v>
      </c>
      <c r="B89" t="s">
        <v>5625</v>
      </c>
      <c r="H89">
        <v>52952</v>
      </c>
      <c r="I89" t="s">
        <v>5665</v>
      </c>
      <c r="J89" t="str">
        <f t="shared" si="1"/>
        <v>ia.assorted_string like '%52952-00165-03-2025%' or</v>
      </c>
    </row>
    <row r="90" spans="1:10" x14ac:dyDescent="0.25">
      <c r="A90" s="2" t="s">
        <v>5533</v>
      </c>
      <c r="B90" t="s">
        <v>5625</v>
      </c>
      <c r="H90">
        <v>52952</v>
      </c>
      <c r="I90" t="s">
        <v>5801</v>
      </c>
      <c r="J90" t="str">
        <f t="shared" si="1"/>
        <v>ia.assorted_string like '%52952-00166-03-2025%' or</v>
      </c>
    </row>
    <row r="91" spans="1:10" x14ac:dyDescent="0.25">
      <c r="A91" s="2" t="s">
        <v>5534</v>
      </c>
      <c r="B91" t="s">
        <v>5625</v>
      </c>
      <c r="H91">
        <v>52952</v>
      </c>
      <c r="I91" t="s">
        <v>5743</v>
      </c>
      <c r="J91" t="str">
        <f t="shared" si="1"/>
        <v>ia.assorted_string like '%52952-00173-03-2025%' or</v>
      </c>
    </row>
    <row r="92" spans="1:10" x14ac:dyDescent="0.25">
      <c r="A92" s="2" t="s">
        <v>5535</v>
      </c>
      <c r="B92" t="s">
        <v>5625</v>
      </c>
      <c r="H92">
        <v>52952</v>
      </c>
      <c r="I92" t="s">
        <v>5805</v>
      </c>
      <c r="J92" t="str">
        <f t="shared" si="1"/>
        <v>ia.assorted_string like '%52952-00177-03-2025%' or</v>
      </c>
    </row>
    <row r="93" spans="1:10" x14ac:dyDescent="0.25">
      <c r="A93" s="2" t="s">
        <v>5536</v>
      </c>
      <c r="B93" t="s">
        <v>5625</v>
      </c>
      <c r="H93">
        <v>52952</v>
      </c>
      <c r="I93" t="s">
        <v>5750</v>
      </c>
      <c r="J93" t="str">
        <f t="shared" si="1"/>
        <v>ia.assorted_string like '%52952-00182-03-2025%' or</v>
      </c>
    </row>
    <row r="94" spans="1:10" x14ac:dyDescent="0.25">
      <c r="A94" s="2" t="s">
        <v>5537</v>
      </c>
      <c r="B94" t="s">
        <v>5625</v>
      </c>
      <c r="H94">
        <v>52952</v>
      </c>
      <c r="I94" t="s">
        <v>5808</v>
      </c>
      <c r="J94" t="str">
        <f t="shared" si="1"/>
        <v>ia.assorted_string like '%52952-00183-03-2025%' or</v>
      </c>
    </row>
    <row r="95" spans="1:10" x14ac:dyDescent="0.25">
      <c r="A95" s="2" t="s">
        <v>5538</v>
      </c>
      <c r="B95" t="s">
        <v>5625</v>
      </c>
      <c r="H95">
        <v>52952</v>
      </c>
      <c r="I95" t="s">
        <v>5811</v>
      </c>
      <c r="J95" t="str">
        <f t="shared" si="1"/>
        <v>ia.assorted_string like '%52952-00186-03-2025%' or</v>
      </c>
    </row>
    <row r="96" spans="1:10" x14ac:dyDescent="0.25">
      <c r="A96" s="2" t="s">
        <v>5539</v>
      </c>
      <c r="B96" t="s">
        <v>5625</v>
      </c>
      <c r="H96">
        <v>52952</v>
      </c>
      <c r="I96" t="s">
        <v>5669</v>
      </c>
      <c r="J96" t="str">
        <f t="shared" si="1"/>
        <v>ia.assorted_string like '%52952-00187-03-2025%' or</v>
      </c>
    </row>
    <row r="97" spans="1:10" x14ac:dyDescent="0.25">
      <c r="A97" s="2" t="s">
        <v>5540</v>
      </c>
      <c r="B97" t="s">
        <v>5625</v>
      </c>
      <c r="H97">
        <v>52952</v>
      </c>
      <c r="I97" t="s">
        <v>5812</v>
      </c>
      <c r="J97" t="str">
        <f t="shared" si="1"/>
        <v>ia.assorted_string like '%52952-00188-03-2025%' or</v>
      </c>
    </row>
    <row r="98" spans="1:10" x14ac:dyDescent="0.25">
      <c r="A98" s="2" t="s">
        <v>5541</v>
      </c>
      <c r="B98" t="s">
        <v>5625</v>
      </c>
      <c r="H98">
        <v>52952</v>
      </c>
      <c r="I98" t="s">
        <v>5758</v>
      </c>
      <c r="J98" t="str">
        <f t="shared" si="1"/>
        <v>ia.assorted_string like '%52952-00193-03-2025%' or</v>
      </c>
    </row>
    <row r="99" spans="1:10" x14ac:dyDescent="0.25">
      <c r="A99" s="2" t="s">
        <v>5542</v>
      </c>
      <c r="B99" t="s">
        <v>5625</v>
      </c>
      <c r="H99">
        <v>52952</v>
      </c>
      <c r="I99" t="s">
        <v>5817</v>
      </c>
      <c r="J99" t="str">
        <f t="shared" si="1"/>
        <v>ia.assorted_string like '%52952-00194-03-2025%' or</v>
      </c>
    </row>
    <row r="100" spans="1:10" x14ac:dyDescent="0.25">
      <c r="A100" s="2" t="s">
        <v>5543</v>
      </c>
      <c r="B100" t="s">
        <v>5625</v>
      </c>
      <c r="H100">
        <v>52952</v>
      </c>
      <c r="I100" t="s">
        <v>5820</v>
      </c>
      <c r="J100" t="str">
        <f t="shared" si="1"/>
        <v>ia.assorted_string like '%52952-00199-03-2025%' or</v>
      </c>
    </row>
    <row r="101" spans="1:10" x14ac:dyDescent="0.25">
      <c r="A101" s="2" t="s">
        <v>5544</v>
      </c>
      <c r="B101" t="s">
        <v>5625</v>
      </c>
      <c r="H101">
        <v>52952</v>
      </c>
      <c r="I101" t="s">
        <v>5762</v>
      </c>
      <c r="J101" t="str">
        <f t="shared" si="1"/>
        <v>ia.assorted_string like '%52952-00201-03-2025%' or</v>
      </c>
    </row>
    <row r="102" spans="1:10" x14ac:dyDescent="0.25">
      <c r="A102" s="2" t="s">
        <v>5545</v>
      </c>
      <c r="B102" t="s">
        <v>5625</v>
      </c>
      <c r="H102">
        <v>52952</v>
      </c>
      <c r="I102" t="s">
        <v>5832</v>
      </c>
      <c r="J102" t="str">
        <f t="shared" si="1"/>
        <v>ia.assorted_string like '%52952-00210-03-2025%' or</v>
      </c>
    </row>
    <row r="103" spans="1:10" x14ac:dyDescent="0.25">
      <c r="A103" s="2" t="s">
        <v>5546</v>
      </c>
      <c r="B103" t="s">
        <v>5625</v>
      </c>
      <c r="H103">
        <v>52952</v>
      </c>
      <c r="I103" t="s">
        <v>5834</v>
      </c>
      <c r="J103" t="str">
        <f t="shared" si="1"/>
        <v>ia.assorted_string like '%52952-00211-03-2025%' or</v>
      </c>
    </row>
    <row r="104" spans="1:10" x14ac:dyDescent="0.25">
      <c r="A104" s="2" t="s">
        <v>5547</v>
      </c>
      <c r="B104" t="s">
        <v>5625</v>
      </c>
      <c r="H104">
        <v>52952</v>
      </c>
      <c r="I104" t="s">
        <v>5835</v>
      </c>
      <c r="J104" t="str">
        <f t="shared" si="1"/>
        <v>ia.assorted_string like '%52952-00212-03-2025%' or</v>
      </c>
    </row>
    <row r="105" spans="1:10" x14ac:dyDescent="0.25">
      <c r="A105" s="2" t="s">
        <v>5548</v>
      </c>
      <c r="B105" t="s">
        <v>5625</v>
      </c>
      <c r="H105">
        <v>52952</v>
      </c>
      <c r="I105" t="s">
        <v>5773</v>
      </c>
      <c r="J105" t="str">
        <f t="shared" si="1"/>
        <v>ia.assorted_string like '%52952-00213-03-2025%' or</v>
      </c>
    </row>
    <row r="106" spans="1:10" x14ac:dyDescent="0.25">
      <c r="A106" s="2" t="s">
        <v>5549</v>
      </c>
      <c r="B106" t="s">
        <v>5625</v>
      </c>
      <c r="H106">
        <v>52952</v>
      </c>
      <c r="I106" t="s">
        <v>5633</v>
      </c>
      <c r="J106" t="str">
        <f t="shared" si="1"/>
        <v>ia.assorted_string like '%52952-00214-03-2025%' or</v>
      </c>
    </row>
    <row r="107" spans="1:10" x14ac:dyDescent="0.25">
      <c r="A107" s="2" t="s">
        <v>5550</v>
      </c>
      <c r="B107" t="s">
        <v>5625</v>
      </c>
      <c r="H107">
        <v>52952</v>
      </c>
      <c r="I107" t="s">
        <v>5836</v>
      </c>
      <c r="J107" t="str">
        <f t="shared" si="1"/>
        <v>ia.assorted_string like '%52952-00215-03-2025%' or</v>
      </c>
    </row>
    <row r="108" spans="1:10" x14ac:dyDescent="0.25">
      <c r="A108" s="2" t="s">
        <v>5551</v>
      </c>
      <c r="B108" t="s">
        <v>5625</v>
      </c>
      <c r="H108">
        <v>52952</v>
      </c>
      <c r="I108" t="s">
        <v>5837</v>
      </c>
      <c r="J108" t="str">
        <f t="shared" si="1"/>
        <v>ia.assorted_string like '%52952-00216-03-2025%' or</v>
      </c>
    </row>
    <row r="109" spans="1:10" x14ac:dyDescent="0.25">
      <c r="A109" s="2" t="s">
        <v>5552</v>
      </c>
      <c r="B109" t="s">
        <v>5625</v>
      </c>
      <c r="H109">
        <v>52952</v>
      </c>
      <c r="I109" t="s">
        <v>5839</v>
      </c>
      <c r="J109" t="str">
        <f t="shared" si="1"/>
        <v>ia.assorted_string like '%52952-00218-03-2025%' or</v>
      </c>
    </row>
    <row r="110" spans="1:10" x14ac:dyDescent="0.25">
      <c r="A110" s="2" t="s">
        <v>5553</v>
      </c>
      <c r="B110" t="s">
        <v>5625</v>
      </c>
      <c r="H110">
        <v>52952</v>
      </c>
      <c r="I110" t="s">
        <v>5673</v>
      </c>
      <c r="J110" t="str">
        <f t="shared" si="1"/>
        <v>ia.assorted_string like '%52952-00219-03-2025%' or</v>
      </c>
    </row>
    <row r="111" spans="1:10" x14ac:dyDescent="0.25">
      <c r="A111" s="2" t="s">
        <v>5554</v>
      </c>
      <c r="B111" t="s">
        <v>5625</v>
      </c>
      <c r="H111">
        <v>52952</v>
      </c>
      <c r="I111" t="s">
        <v>5779</v>
      </c>
      <c r="J111" t="str">
        <f t="shared" si="1"/>
        <v>ia.assorted_string like '%52952-00221-03-2025%' or</v>
      </c>
    </row>
    <row r="112" spans="1:10" x14ac:dyDescent="0.25">
      <c r="A112" s="2" t="s">
        <v>5555</v>
      </c>
      <c r="B112" t="s">
        <v>5625</v>
      </c>
      <c r="H112">
        <v>52952</v>
      </c>
      <c r="I112" t="s">
        <v>5841</v>
      </c>
      <c r="J112" t="str">
        <f t="shared" si="1"/>
        <v>ia.assorted_string like '%52952-00222-03-2025%' or</v>
      </c>
    </row>
    <row r="113" spans="1:10" x14ac:dyDescent="0.25">
      <c r="A113" s="2" t="s">
        <v>5556</v>
      </c>
      <c r="B113" t="s">
        <v>5625</v>
      </c>
      <c r="H113">
        <v>52952</v>
      </c>
      <c r="I113" t="s">
        <v>5782</v>
      </c>
      <c r="J113" t="str">
        <f t="shared" si="1"/>
        <v>ia.assorted_string like '%52952-00228-03-2025%' or</v>
      </c>
    </row>
    <row r="114" spans="1:10" x14ac:dyDescent="0.25">
      <c r="A114" s="2" t="s">
        <v>5557</v>
      </c>
      <c r="B114" t="s">
        <v>5625</v>
      </c>
      <c r="H114">
        <v>52952</v>
      </c>
      <c r="I114" t="s">
        <v>5843</v>
      </c>
      <c r="J114" t="str">
        <f t="shared" si="1"/>
        <v>ia.assorted_string like '%52952-00231-03-2025%' or</v>
      </c>
    </row>
    <row r="115" spans="1:10" x14ac:dyDescent="0.25">
      <c r="A115" s="2" t="s">
        <v>5558</v>
      </c>
      <c r="B115" t="s">
        <v>5625</v>
      </c>
      <c r="H115">
        <v>52952</v>
      </c>
      <c r="I115" t="s">
        <v>5831</v>
      </c>
      <c r="J115" t="str">
        <f t="shared" si="1"/>
        <v>ia.assorted_string like '%52952-00237-03-2025%' or</v>
      </c>
    </row>
    <row r="116" spans="1:10" x14ac:dyDescent="0.25">
      <c r="A116" s="2" t="s">
        <v>5559</v>
      </c>
      <c r="B116" t="s">
        <v>5625</v>
      </c>
      <c r="H116">
        <v>52952</v>
      </c>
      <c r="I116" t="s">
        <v>5845</v>
      </c>
      <c r="J116" t="str">
        <f t="shared" si="1"/>
        <v>ia.assorted_string like '%52952-00239-03-2025%' or</v>
      </c>
    </row>
    <row r="117" spans="1:10" x14ac:dyDescent="0.25">
      <c r="A117" s="2" t="s">
        <v>5560</v>
      </c>
      <c r="B117" t="s">
        <v>5625</v>
      </c>
      <c r="H117">
        <v>52952</v>
      </c>
      <c r="I117" t="s">
        <v>5675</v>
      </c>
      <c r="J117" t="str">
        <f t="shared" si="1"/>
        <v>ia.assorted_string like '%52952-00242-03-2025%' or</v>
      </c>
    </row>
    <row r="118" spans="1:10" x14ac:dyDescent="0.25">
      <c r="A118" s="2" t="s">
        <v>5561</v>
      </c>
      <c r="B118" t="s">
        <v>5625</v>
      </c>
      <c r="H118">
        <v>52952</v>
      </c>
      <c r="I118" t="s">
        <v>5821</v>
      </c>
      <c r="J118" t="str">
        <f t="shared" si="1"/>
        <v>ia.assorted_string like '%52952-00243-03-2025%' or</v>
      </c>
    </row>
    <row r="119" spans="1:10" x14ac:dyDescent="0.25">
      <c r="A119" s="2" t="s">
        <v>5562</v>
      </c>
      <c r="B119" t="s">
        <v>5625</v>
      </c>
      <c r="H119">
        <v>52952</v>
      </c>
      <c r="I119" t="s">
        <v>5803</v>
      </c>
      <c r="J119" t="str">
        <f t="shared" si="1"/>
        <v>ia.assorted_string like '%52952-00254-03-2025%' or</v>
      </c>
    </row>
    <row r="120" spans="1:10" x14ac:dyDescent="0.25">
      <c r="A120" s="2" t="s">
        <v>5563</v>
      </c>
      <c r="B120" t="s">
        <v>5625</v>
      </c>
      <c r="H120">
        <v>52952</v>
      </c>
      <c r="I120" t="s">
        <v>5827</v>
      </c>
      <c r="J120" t="str">
        <f t="shared" si="1"/>
        <v>ia.assorted_string like '%52952-00241-03-2025%' or</v>
      </c>
    </row>
    <row r="121" spans="1:10" x14ac:dyDescent="0.25">
      <c r="A121" s="2" t="s">
        <v>5564</v>
      </c>
      <c r="B121" t="s">
        <v>5625</v>
      </c>
      <c r="H121">
        <v>52952</v>
      </c>
      <c r="I121" t="s">
        <v>5838</v>
      </c>
      <c r="J121" t="str">
        <f t="shared" si="1"/>
        <v>ia.assorted_string like '%52952-00234-03-2025%' or</v>
      </c>
    </row>
    <row r="122" spans="1:10" x14ac:dyDescent="0.25">
      <c r="A122" s="2" t="s">
        <v>5565</v>
      </c>
      <c r="B122" t="s">
        <v>5625</v>
      </c>
      <c r="H122">
        <v>52952</v>
      </c>
      <c r="I122" t="s">
        <v>5842</v>
      </c>
      <c r="J122" t="str">
        <f t="shared" si="1"/>
        <v>ia.assorted_string like '%52952-00232-03-2025%' or</v>
      </c>
    </row>
    <row r="123" spans="1:10" x14ac:dyDescent="0.25">
      <c r="A123" s="2" t="s">
        <v>5566</v>
      </c>
      <c r="B123" t="s">
        <v>5625</v>
      </c>
      <c r="H123">
        <v>52952</v>
      </c>
      <c r="I123" t="s">
        <v>5844</v>
      </c>
      <c r="J123" t="str">
        <f t="shared" si="1"/>
        <v>ia.assorted_string like '%52952-00230-03-2025%' or</v>
      </c>
    </row>
    <row r="124" spans="1:10" x14ac:dyDescent="0.25">
      <c r="A124" s="2" t="s">
        <v>5567</v>
      </c>
      <c r="B124" t="s">
        <v>5625</v>
      </c>
      <c r="H124">
        <v>52952</v>
      </c>
      <c r="I124" t="s">
        <v>5781</v>
      </c>
      <c r="J124" t="str">
        <f t="shared" si="1"/>
        <v>ia.assorted_string like '%52952-00227-03-2025%' or</v>
      </c>
    </row>
    <row r="125" spans="1:10" x14ac:dyDescent="0.25">
      <c r="A125" s="2" t="s">
        <v>5568</v>
      </c>
      <c r="B125" t="s">
        <v>5625</v>
      </c>
      <c r="H125">
        <v>52952</v>
      </c>
      <c r="I125" t="s">
        <v>5852</v>
      </c>
      <c r="J125" t="str">
        <f t="shared" si="1"/>
        <v>ia.assorted_string like '%52952-00226-03-2025%' or</v>
      </c>
    </row>
    <row r="126" spans="1:10" x14ac:dyDescent="0.25">
      <c r="A126" s="2" t="s">
        <v>5569</v>
      </c>
      <c r="B126" t="s">
        <v>5625</v>
      </c>
      <c r="H126">
        <v>52952</v>
      </c>
      <c r="I126" t="s">
        <v>5846</v>
      </c>
      <c r="J126" t="str">
        <f t="shared" si="1"/>
        <v>ia.assorted_string like '%52952-00224-03-2025%' or</v>
      </c>
    </row>
    <row r="127" spans="1:10" x14ac:dyDescent="0.25">
      <c r="A127" t="s">
        <v>5624</v>
      </c>
      <c r="B127" t="s">
        <v>5625</v>
      </c>
      <c r="H127">
        <v>59013</v>
      </c>
      <c r="I127" t="s">
        <v>5780</v>
      </c>
      <c r="J127" t="str">
        <f t="shared" si="1"/>
        <v>ia.assorted_string like '%59013-00223-03-2025%' or</v>
      </c>
    </row>
    <row r="128" spans="1:10" x14ac:dyDescent="0.25">
      <c r="A128" s="2" t="s">
        <v>5570</v>
      </c>
      <c r="B128" t="s">
        <v>5625</v>
      </c>
      <c r="H128">
        <v>52952</v>
      </c>
      <c r="I128" t="s">
        <v>5778</v>
      </c>
      <c r="J128" t="str">
        <f t="shared" si="1"/>
        <v>ia.assorted_string like '%52952-00220-03-2025%' or</v>
      </c>
    </row>
    <row r="129" spans="1:10" x14ac:dyDescent="0.25">
      <c r="A129" s="2" t="s">
        <v>5571</v>
      </c>
      <c r="B129" t="s">
        <v>5625</v>
      </c>
      <c r="H129">
        <v>52952</v>
      </c>
      <c r="I129" t="s">
        <v>5747</v>
      </c>
      <c r="J129" t="str">
        <f t="shared" ref="J129:J168" si="2">"ia.assorted_string like '%"&amp;H129&amp;"-"&amp;I129&amp;B129&amp;"%' or"</f>
        <v>ia.assorted_string like '%52952-00180-03-2025%' or</v>
      </c>
    </row>
    <row r="130" spans="1:10" x14ac:dyDescent="0.25">
      <c r="A130" s="2" t="s">
        <v>5572</v>
      </c>
      <c r="B130" t="s">
        <v>5625</v>
      </c>
      <c r="H130">
        <v>52952</v>
      </c>
      <c r="I130" t="s">
        <v>5684</v>
      </c>
      <c r="J130" t="str">
        <f t="shared" si="2"/>
        <v>ia.assorted_string like '%52952-00175-03-2025%' or</v>
      </c>
    </row>
    <row r="131" spans="1:10" x14ac:dyDescent="0.25">
      <c r="A131" s="2" t="s">
        <v>5573</v>
      </c>
      <c r="B131" t="s">
        <v>5625</v>
      </c>
      <c r="H131">
        <v>52952</v>
      </c>
      <c r="I131" t="s">
        <v>5854</v>
      </c>
      <c r="J131" t="str">
        <f t="shared" si="2"/>
        <v>ia.assorted_string like '%52952-00172-03-2025%' or</v>
      </c>
    </row>
    <row r="132" spans="1:10" x14ac:dyDescent="0.25">
      <c r="A132" s="2" t="s">
        <v>5574</v>
      </c>
      <c r="B132" t="s">
        <v>5625</v>
      </c>
      <c r="H132">
        <v>52952</v>
      </c>
      <c r="I132" t="s">
        <v>5855</v>
      </c>
      <c r="J132" t="str">
        <f t="shared" si="2"/>
        <v>ia.assorted_string like '%52952-00171-03-2025%' or</v>
      </c>
    </row>
    <row r="133" spans="1:10" x14ac:dyDescent="0.25">
      <c r="A133" s="2" t="s">
        <v>5575</v>
      </c>
      <c r="B133" t="s">
        <v>5625</v>
      </c>
      <c r="H133">
        <v>52952</v>
      </c>
      <c r="I133" t="s">
        <v>5741</v>
      </c>
      <c r="J133" t="str">
        <f t="shared" si="2"/>
        <v>ia.assorted_string like '%52952-00169-03-2025%' or</v>
      </c>
    </row>
    <row r="134" spans="1:10" x14ac:dyDescent="0.25">
      <c r="A134" s="2" t="s">
        <v>5576</v>
      </c>
      <c r="B134" t="s">
        <v>5625</v>
      </c>
      <c r="H134">
        <v>52952</v>
      </c>
      <c r="I134" t="s">
        <v>5664</v>
      </c>
      <c r="J134" t="str">
        <f t="shared" si="2"/>
        <v>ia.assorted_string like '%52952-00162-03-2025%' or</v>
      </c>
    </row>
    <row r="135" spans="1:10" x14ac:dyDescent="0.25">
      <c r="A135" s="2" t="s">
        <v>5577</v>
      </c>
      <c r="B135" t="s">
        <v>5625</v>
      </c>
      <c r="H135">
        <v>52952</v>
      </c>
      <c r="I135" t="s">
        <v>5858</v>
      </c>
      <c r="J135" t="str">
        <f t="shared" si="2"/>
        <v>ia.assorted_string like '%52952-00159-03-2025%' or</v>
      </c>
    </row>
    <row r="136" spans="1:10" x14ac:dyDescent="0.25">
      <c r="A136" s="2" t="s">
        <v>5578</v>
      </c>
      <c r="B136" t="s">
        <v>5625</v>
      </c>
      <c r="H136">
        <v>52952</v>
      </c>
      <c r="I136" t="s">
        <v>5645</v>
      </c>
      <c r="J136" t="str">
        <f t="shared" si="2"/>
        <v>ia.assorted_string like '%52952-00004-03-2025%' or</v>
      </c>
    </row>
    <row r="137" spans="1:10" x14ac:dyDescent="0.25">
      <c r="A137" s="2" t="s">
        <v>5579</v>
      </c>
      <c r="B137" t="s">
        <v>5625</v>
      </c>
      <c r="H137">
        <v>52952</v>
      </c>
      <c r="I137" t="s">
        <v>5859</v>
      </c>
      <c r="J137" t="str">
        <f t="shared" si="2"/>
        <v>ia.assorted_string like '%52952-00157-03-2025%' or</v>
      </c>
    </row>
    <row r="138" spans="1:10" x14ac:dyDescent="0.25">
      <c r="A138" s="2" t="s">
        <v>5580</v>
      </c>
      <c r="B138" t="s">
        <v>5625</v>
      </c>
      <c r="H138">
        <v>52952</v>
      </c>
      <c r="I138" t="s">
        <v>5860</v>
      </c>
      <c r="J138" t="str">
        <f t="shared" si="2"/>
        <v>ia.assorted_string like '%52952-00155-03-2025%' or</v>
      </c>
    </row>
    <row r="139" spans="1:10" x14ac:dyDescent="0.25">
      <c r="A139" s="2" t="s">
        <v>5581</v>
      </c>
      <c r="B139" t="s">
        <v>5625</v>
      </c>
      <c r="H139">
        <v>52952</v>
      </c>
      <c r="I139" t="s">
        <v>5727</v>
      </c>
      <c r="J139" t="str">
        <f t="shared" si="2"/>
        <v>ia.assorted_string like '%52952-00150-03-2025%' or</v>
      </c>
    </row>
    <row r="140" spans="1:10" x14ac:dyDescent="0.25">
      <c r="A140" s="2" t="s">
        <v>5582</v>
      </c>
      <c r="B140" t="s">
        <v>5625</v>
      </c>
      <c r="H140">
        <v>52952</v>
      </c>
      <c r="I140" t="s">
        <v>5861</v>
      </c>
      <c r="J140" t="str">
        <f t="shared" si="2"/>
        <v>ia.assorted_string like '%52952-00149-03-2025%' or</v>
      </c>
    </row>
    <row r="141" spans="1:10" x14ac:dyDescent="0.25">
      <c r="A141" s="2" t="s">
        <v>5583</v>
      </c>
      <c r="B141" t="s">
        <v>5625</v>
      </c>
      <c r="H141">
        <v>52952</v>
      </c>
      <c r="I141" t="s">
        <v>5726</v>
      </c>
      <c r="J141" t="str">
        <f t="shared" si="2"/>
        <v>ia.assorted_string like '%52952-00148-03-2025%' or</v>
      </c>
    </row>
    <row r="142" spans="1:10" x14ac:dyDescent="0.25">
      <c r="A142" s="2" t="s">
        <v>5584</v>
      </c>
      <c r="B142" t="s">
        <v>5625</v>
      </c>
      <c r="H142">
        <v>52952</v>
      </c>
      <c r="I142" t="s">
        <v>5725</v>
      </c>
      <c r="J142" t="str">
        <f t="shared" si="2"/>
        <v>ia.assorted_string like '%52952-00147-03-2025%' or</v>
      </c>
    </row>
    <row r="143" spans="1:10" x14ac:dyDescent="0.25">
      <c r="A143" s="2" t="s">
        <v>5585</v>
      </c>
      <c r="B143" t="s">
        <v>5625</v>
      </c>
      <c r="H143">
        <v>52952</v>
      </c>
      <c r="I143" t="s">
        <v>5724</v>
      </c>
      <c r="J143" t="str">
        <f t="shared" si="2"/>
        <v>ia.assorted_string like '%52952-00146-03-2025%' or</v>
      </c>
    </row>
    <row r="144" spans="1:10" x14ac:dyDescent="0.25">
      <c r="A144" s="2" t="s">
        <v>5586</v>
      </c>
      <c r="B144" t="s">
        <v>5625</v>
      </c>
      <c r="H144">
        <v>52952</v>
      </c>
      <c r="I144" t="s">
        <v>5862</v>
      </c>
      <c r="J144" t="str">
        <f t="shared" si="2"/>
        <v>ia.assorted_string like '%52952-00142-03-2025%' or</v>
      </c>
    </row>
    <row r="145" spans="1:10" x14ac:dyDescent="0.25">
      <c r="A145" s="2" t="s">
        <v>5587</v>
      </c>
      <c r="B145" t="s">
        <v>5625</v>
      </c>
      <c r="H145">
        <v>52952</v>
      </c>
      <c r="I145" t="s">
        <v>5659</v>
      </c>
      <c r="J145" t="str">
        <f t="shared" si="2"/>
        <v>ia.assorted_string like '%52952-00140-03-2025%' or</v>
      </c>
    </row>
    <row r="146" spans="1:10" x14ac:dyDescent="0.25">
      <c r="A146" s="2" t="s">
        <v>5588</v>
      </c>
      <c r="B146" t="s">
        <v>5625</v>
      </c>
      <c r="H146">
        <v>52952</v>
      </c>
      <c r="I146" t="s">
        <v>5864</v>
      </c>
      <c r="J146" t="str">
        <f t="shared" si="2"/>
        <v>ia.assorted_string like '%52952-00137-03-2025%' or</v>
      </c>
    </row>
    <row r="147" spans="1:10" x14ac:dyDescent="0.25">
      <c r="A147" s="2" t="s">
        <v>5589</v>
      </c>
      <c r="B147" t="s">
        <v>5625</v>
      </c>
      <c r="H147">
        <v>52952</v>
      </c>
      <c r="I147" t="s">
        <v>5865</v>
      </c>
      <c r="J147" t="str">
        <f t="shared" si="2"/>
        <v>ia.assorted_string like '%52952-00135-03-2025%' or</v>
      </c>
    </row>
    <row r="148" spans="1:10" x14ac:dyDescent="0.25">
      <c r="A148" s="2" t="s">
        <v>5590</v>
      </c>
      <c r="B148" t="s">
        <v>5625</v>
      </c>
      <c r="H148">
        <v>52952</v>
      </c>
      <c r="I148" t="s">
        <v>5866</v>
      </c>
      <c r="J148" t="str">
        <f t="shared" si="2"/>
        <v>ia.assorted_string like '%52952-00013-03-2025%' or</v>
      </c>
    </row>
    <row r="149" spans="1:10" x14ac:dyDescent="0.25">
      <c r="A149" s="2" t="s">
        <v>5591</v>
      </c>
      <c r="B149" t="s">
        <v>5625</v>
      </c>
      <c r="H149">
        <v>52952</v>
      </c>
      <c r="I149" t="s">
        <v>5867</v>
      </c>
      <c r="J149" t="str">
        <f t="shared" si="2"/>
        <v>ia.assorted_string like '%52952-00014-03-2025%' or</v>
      </c>
    </row>
    <row r="150" spans="1:10" x14ac:dyDescent="0.25">
      <c r="A150" s="2" t="s">
        <v>5592</v>
      </c>
      <c r="B150" t="s">
        <v>5625</v>
      </c>
      <c r="H150">
        <v>52952</v>
      </c>
      <c r="I150" t="s">
        <v>5868</v>
      </c>
      <c r="J150" t="str">
        <f t="shared" si="2"/>
        <v>ia.assorted_string like '%52952-00015-03-2025%' or</v>
      </c>
    </row>
    <row r="151" spans="1:10" x14ac:dyDescent="0.25">
      <c r="A151" s="2" t="s">
        <v>5593</v>
      </c>
      <c r="B151" t="s">
        <v>5625</v>
      </c>
      <c r="H151">
        <v>52952</v>
      </c>
      <c r="I151" t="s">
        <v>5869</v>
      </c>
      <c r="J151" t="str">
        <f t="shared" si="2"/>
        <v>ia.assorted_string like '%52952-00016-03-2025%' or</v>
      </c>
    </row>
    <row r="152" spans="1:10" x14ac:dyDescent="0.25">
      <c r="A152" s="2" t="s">
        <v>5594</v>
      </c>
      <c r="B152" t="s">
        <v>5625</v>
      </c>
      <c r="H152">
        <v>52952</v>
      </c>
      <c r="I152" t="s">
        <v>5871</v>
      </c>
      <c r="J152" t="str">
        <f t="shared" si="2"/>
        <v>ia.assorted_string like '%52952-00122-03-2025%' or</v>
      </c>
    </row>
    <row r="153" spans="1:10" x14ac:dyDescent="0.25">
      <c r="A153" s="2" t="s">
        <v>5595</v>
      </c>
      <c r="B153" t="s">
        <v>5625</v>
      </c>
      <c r="H153">
        <v>52952</v>
      </c>
      <c r="I153" t="s">
        <v>5701</v>
      </c>
      <c r="J153" t="str">
        <f t="shared" si="2"/>
        <v>ia.assorted_string like '%52952-00117-03-2025%' or</v>
      </c>
    </row>
    <row r="154" spans="1:10" x14ac:dyDescent="0.25">
      <c r="A154" s="2" t="s">
        <v>5596</v>
      </c>
      <c r="B154" t="s">
        <v>5625</v>
      </c>
      <c r="H154">
        <v>52952</v>
      </c>
      <c r="I154" t="s">
        <v>5699</v>
      </c>
      <c r="J154" t="str">
        <f t="shared" si="2"/>
        <v>ia.assorted_string like '%52952-00113-03-2025%' or</v>
      </c>
    </row>
    <row r="155" spans="1:10" x14ac:dyDescent="0.25">
      <c r="A155" s="2" t="s">
        <v>5597</v>
      </c>
      <c r="B155" t="s">
        <v>5625</v>
      </c>
      <c r="H155">
        <v>52952</v>
      </c>
      <c r="I155" t="s">
        <v>5694</v>
      </c>
      <c r="J155" t="str">
        <f t="shared" si="2"/>
        <v>ia.assorted_string like '%52952-00108-03-2025%' or</v>
      </c>
    </row>
    <row r="156" spans="1:10" x14ac:dyDescent="0.25">
      <c r="A156" s="2" t="s">
        <v>5598</v>
      </c>
      <c r="B156" t="s">
        <v>5625</v>
      </c>
      <c r="H156">
        <v>52952</v>
      </c>
      <c r="I156" t="s">
        <v>5692</v>
      </c>
      <c r="J156" t="str">
        <f t="shared" si="2"/>
        <v>ia.assorted_string like '%52952-00105-03-2025%' or</v>
      </c>
    </row>
    <row r="157" spans="1:10" x14ac:dyDescent="0.25">
      <c r="A157" s="2" t="s">
        <v>5599</v>
      </c>
      <c r="B157" t="s">
        <v>5625</v>
      </c>
      <c r="H157">
        <v>52952</v>
      </c>
      <c r="I157" t="s">
        <v>5877</v>
      </c>
      <c r="J157" t="str">
        <f t="shared" si="2"/>
        <v>ia.assorted_string like '%52952-00097-03-2025%' or</v>
      </c>
    </row>
    <row r="158" spans="1:10" x14ac:dyDescent="0.25">
      <c r="A158" s="2" t="s">
        <v>5600</v>
      </c>
      <c r="B158" t="s">
        <v>5625</v>
      </c>
      <c r="H158">
        <v>52952</v>
      </c>
      <c r="I158" t="s">
        <v>5878</v>
      </c>
      <c r="J158" t="str">
        <f t="shared" si="2"/>
        <v>ia.assorted_string like '%52952-00029-03-2025%' or</v>
      </c>
    </row>
    <row r="159" spans="1:10" x14ac:dyDescent="0.25">
      <c r="A159" s="2" t="s">
        <v>5623</v>
      </c>
      <c r="B159" t="s">
        <v>5625</v>
      </c>
      <c r="H159">
        <v>59005</v>
      </c>
      <c r="I159" t="s">
        <v>5635</v>
      </c>
      <c r="J159" t="str">
        <f t="shared" si="2"/>
        <v>ia.assorted_string like '%59005-00001-03-2025%' or</v>
      </c>
    </row>
    <row r="160" spans="1:10" x14ac:dyDescent="0.25">
      <c r="A160" s="2" t="s">
        <v>5601</v>
      </c>
      <c r="B160" t="s">
        <v>5625</v>
      </c>
      <c r="H160">
        <v>52952</v>
      </c>
      <c r="I160" t="s">
        <v>5879</v>
      </c>
      <c r="J160" t="str">
        <f t="shared" si="2"/>
        <v>ia.assorted_string like '%52952-00095-03-2025%' or</v>
      </c>
    </row>
    <row r="161" spans="1:10" x14ac:dyDescent="0.25">
      <c r="A161" s="2" t="s">
        <v>5602</v>
      </c>
      <c r="B161" t="s">
        <v>5625</v>
      </c>
      <c r="H161">
        <v>52952</v>
      </c>
      <c r="I161" t="s">
        <v>5656</v>
      </c>
      <c r="J161" t="str">
        <f t="shared" si="2"/>
        <v>ia.assorted_string like '%52952-00060-03-2025%' or</v>
      </c>
    </row>
    <row r="162" spans="1:10" x14ac:dyDescent="0.25">
      <c r="A162" s="2" t="s">
        <v>5603</v>
      </c>
      <c r="B162" t="s">
        <v>5625</v>
      </c>
      <c r="H162">
        <v>52952</v>
      </c>
      <c r="I162" t="s">
        <v>5655</v>
      </c>
      <c r="J162" t="str">
        <f t="shared" si="2"/>
        <v>ia.assorted_string like '%52952-00059-03-2025%' or</v>
      </c>
    </row>
    <row r="163" spans="1:10" x14ac:dyDescent="0.25">
      <c r="A163" s="2" t="s">
        <v>5604</v>
      </c>
      <c r="B163" t="s">
        <v>5625</v>
      </c>
      <c r="H163">
        <v>52952</v>
      </c>
      <c r="I163" t="s">
        <v>5647</v>
      </c>
      <c r="J163" t="str">
        <f t="shared" si="2"/>
        <v>ia.assorted_string like '%52952-00058-03-2025%' or</v>
      </c>
    </row>
    <row r="164" spans="1:10" x14ac:dyDescent="0.25">
      <c r="A164" s="2" t="s">
        <v>5605</v>
      </c>
      <c r="B164" t="s">
        <v>5625</v>
      </c>
      <c r="H164">
        <v>52952</v>
      </c>
      <c r="I164" t="s">
        <v>5885</v>
      </c>
      <c r="J164" t="str">
        <f t="shared" si="2"/>
        <v>ia.assorted_string like '%52952-00040-03-2025%' or</v>
      </c>
    </row>
    <row r="165" spans="1:10" x14ac:dyDescent="0.25">
      <c r="A165" s="2" t="s">
        <v>5606</v>
      </c>
      <c r="B165" t="s">
        <v>5625</v>
      </c>
      <c r="H165">
        <v>52952</v>
      </c>
      <c r="I165" t="s">
        <v>5886</v>
      </c>
      <c r="J165" t="str">
        <f t="shared" si="2"/>
        <v>ia.assorted_string like '%52952-00057-03-2025%' or</v>
      </c>
    </row>
    <row r="166" spans="1:10" x14ac:dyDescent="0.25">
      <c r="A166" s="2" t="s">
        <v>5607</v>
      </c>
      <c r="B166" t="s">
        <v>5625</v>
      </c>
      <c r="H166">
        <v>52952</v>
      </c>
      <c r="I166" t="s">
        <v>5652</v>
      </c>
      <c r="J166" t="str">
        <f t="shared" si="2"/>
        <v>ia.assorted_string like '%52952-00055-03-2025%' or</v>
      </c>
    </row>
    <row r="167" spans="1:10" x14ac:dyDescent="0.25">
      <c r="A167" s="2" t="s">
        <v>5608</v>
      </c>
      <c r="B167" t="s">
        <v>5625</v>
      </c>
      <c r="H167">
        <v>52952</v>
      </c>
      <c r="I167" t="s">
        <v>5888</v>
      </c>
      <c r="J167" t="str">
        <f t="shared" si="2"/>
        <v>ia.assorted_string like '%52952-00043-03-2025%' or</v>
      </c>
    </row>
    <row r="168" spans="1:10" x14ac:dyDescent="0.25">
      <c r="A168" s="2" t="s">
        <v>5609</v>
      </c>
      <c r="B168" t="s">
        <v>5625</v>
      </c>
      <c r="H168">
        <v>52952</v>
      </c>
      <c r="I168" t="s">
        <v>5889</v>
      </c>
      <c r="J168" t="str">
        <f t="shared" si="2"/>
        <v>ia.assorted_string like '%52952-00045-03-2025%' 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72BE-9821-4729-8516-546067ABF800}">
  <dimension ref="A1:C169"/>
  <sheetViews>
    <sheetView workbookViewId="0">
      <selection activeCell="D9" sqref="D9"/>
    </sheetView>
  </sheetViews>
  <sheetFormatPr defaultColWidth="7.85546875" defaultRowHeight="15" x14ac:dyDescent="0.25"/>
  <cols>
    <col min="1" max="1" width="3.140625" customWidth="1"/>
    <col min="2" max="2" width="45.140625" bestFit="1" customWidth="1"/>
    <col min="3" max="3" width="15" bestFit="1" customWidth="1"/>
  </cols>
  <sheetData>
    <row r="1" spans="1:3" s="18" customFormat="1" ht="12" x14ac:dyDescent="0.2">
      <c r="A1" s="18" t="s">
        <v>5892</v>
      </c>
      <c r="B1" s="18" t="s">
        <v>5893</v>
      </c>
      <c r="C1" s="18" t="s">
        <v>5894</v>
      </c>
    </row>
    <row r="2" spans="1:3" x14ac:dyDescent="0.25">
      <c r="A2">
        <v>1</v>
      </c>
      <c r="B2" t="s">
        <v>5544</v>
      </c>
      <c r="C2" t="s">
        <v>6325</v>
      </c>
    </row>
    <row r="3" spans="1:3" x14ac:dyDescent="0.25">
      <c r="A3">
        <v>2</v>
      </c>
      <c r="B3" t="s">
        <v>5545</v>
      </c>
      <c r="C3" t="s">
        <v>6326</v>
      </c>
    </row>
    <row r="4" spans="1:3" x14ac:dyDescent="0.25">
      <c r="A4">
        <v>3</v>
      </c>
      <c r="B4" t="s">
        <v>5546</v>
      </c>
      <c r="C4" t="s">
        <v>6327</v>
      </c>
    </row>
    <row r="5" spans="1:3" x14ac:dyDescent="0.25">
      <c r="A5">
        <v>4</v>
      </c>
      <c r="B5" t="s">
        <v>5547</v>
      </c>
      <c r="C5" t="s">
        <v>6328</v>
      </c>
    </row>
    <row r="6" spans="1:3" x14ac:dyDescent="0.25">
      <c r="A6">
        <v>5</v>
      </c>
      <c r="B6" t="s">
        <v>5548</v>
      </c>
      <c r="C6" t="s">
        <v>6329</v>
      </c>
    </row>
    <row r="7" spans="1:3" x14ac:dyDescent="0.25">
      <c r="A7">
        <v>6</v>
      </c>
      <c r="B7" t="s">
        <v>5549</v>
      </c>
      <c r="C7" t="s">
        <v>6330</v>
      </c>
    </row>
    <row r="8" spans="1:3" x14ac:dyDescent="0.25">
      <c r="A8">
        <v>7</v>
      </c>
      <c r="B8" t="s">
        <v>5550</v>
      </c>
      <c r="C8" t="s">
        <v>6331</v>
      </c>
    </row>
    <row r="9" spans="1:3" x14ac:dyDescent="0.25">
      <c r="A9">
        <v>8</v>
      </c>
      <c r="B9" t="s">
        <v>5552</v>
      </c>
      <c r="C9" t="s">
        <v>6332</v>
      </c>
    </row>
    <row r="10" spans="1:3" x14ac:dyDescent="0.25">
      <c r="A10">
        <v>9</v>
      </c>
      <c r="B10" t="s">
        <v>5553</v>
      </c>
      <c r="C10" t="s">
        <v>6333</v>
      </c>
    </row>
    <row r="11" spans="1:3" x14ac:dyDescent="0.25">
      <c r="A11">
        <v>10</v>
      </c>
      <c r="B11" t="s">
        <v>5570</v>
      </c>
      <c r="C11" t="s">
        <v>6334</v>
      </c>
    </row>
    <row r="12" spans="1:3" x14ac:dyDescent="0.25">
      <c r="A12">
        <v>11</v>
      </c>
      <c r="B12" t="s">
        <v>5554</v>
      </c>
      <c r="C12" t="s">
        <v>6335</v>
      </c>
    </row>
    <row r="13" spans="1:3" x14ac:dyDescent="0.25">
      <c r="A13">
        <v>12</v>
      </c>
      <c r="B13" t="s">
        <v>5555</v>
      </c>
      <c r="C13" t="s">
        <v>6336</v>
      </c>
    </row>
    <row r="14" spans="1:3" x14ac:dyDescent="0.25">
      <c r="A14">
        <v>13</v>
      </c>
      <c r="B14" t="s">
        <v>5569</v>
      </c>
      <c r="C14" t="s">
        <v>6337</v>
      </c>
    </row>
    <row r="15" spans="1:3" x14ac:dyDescent="0.25">
      <c r="A15">
        <v>14</v>
      </c>
      <c r="B15" t="s">
        <v>5568</v>
      </c>
      <c r="C15" t="s">
        <v>6338</v>
      </c>
    </row>
    <row r="16" spans="1:3" x14ac:dyDescent="0.25">
      <c r="A16">
        <v>15</v>
      </c>
      <c r="B16" t="s">
        <v>5556</v>
      </c>
      <c r="C16" t="s">
        <v>6339</v>
      </c>
    </row>
    <row r="17" spans="1:3" x14ac:dyDescent="0.25">
      <c r="A17">
        <v>16</v>
      </c>
      <c r="B17" t="s">
        <v>5566</v>
      </c>
      <c r="C17" t="s">
        <v>6340</v>
      </c>
    </row>
    <row r="18" spans="1:3" x14ac:dyDescent="0.25">
      <c r="A18">
        <v>17</v>
      </c>
      <c r="B18" t="s">
        <v>5557</v>
      </c>
      <c r="C18" t="s">
        <v>6341</v>
      </c>
    </row>
    <row r="19" spans="1:3" x14ac:dyDescent="0.25">
      <c r="A19">
        <v>18</v>
      </c>
      <c r="B19" t="s">
        <v>5564</v>
      </c>
      <c r="C19" t="s">
        <v>6342</v>
      </c>
    </row>
    <row r="20" spans="1:3" x14ac:dyDescent="0.25">
      <c r="A20">
        <v>19</v>
      </c>
      <c r="B20" t="s">
        <v>5558</v>
      </c>
      <c r="C20" t="s">
        <v>6343</v>
      </c>
    </row>
    <row r="21" spans="1:3" x14ac:dyDescent="0.25">
      <c r="A21">
        <v>20</v>
      </c>
      <c r="B21" t="s">
        <v>5563</v>
      </c>
      <c r="C21" t="s">
        <v>6344</v>
      </c>
    </row>
    <row r="22" spans="1:3" x14ac:dyDescent="0.25">
      <c r="A22">
        <v>21</v>
      </c>
      <c r="B22" t="s">
        <v>5560</v>
      </c>
      <c r="C22" t="s">
        <v>6345</v>
      </c>
    </row>
    <row r="23" spans="1:3" x14ac:dyDescent="0.25">
      <c r="A23">
        <v>22</v>
      </c>
      <c r="B23" t="s">
        <v>5485</v>
      </c>
      <c r="C23" t="s">
        <v>6346</v>
      </c>
    </row>
    <row r="24" spans="1:3" x14ac:dyDescent="0.25">
      <c r="A24">
        <v>23</v>
      </c>
      <c r="B24" t="s">
        <v>5489</v>
      </c>
      <c r="C24" t="s">
        <v>6347</v>
      </c>
    </row>
    <row r="25" spans="1:3" x14ac:dyDescent="0.25">
      <c r="A25">
        <v>24</v>
      </c>
      <c r="B25" t="s">
        <v>5491</v>
      </c>
      <c r="C25" t="s">
        <v>6348</v>
      </c>
    </row>
    <row r="26" spans="1:3" x14ac:dyDescent="0.25">
      <c r="A26">
        <v>25</v>
      </c>
      <c r="B26" t="s">
        <v>5607</v>
      </c>
      <c r="C26" t="s">
        <v>6349</v>
      </c>
    </row>
    <row r="27" spans="1:3" x14ac:dyDescent="0.25">
      <c r="A27">
        <v>26</v>
      </c>
      <c r="B27" t="s">
        <v>5603</v>
      </c>
      <c r="C27" t="s">
        <v>6350</v>
      </c>
    </row>
    <row r="28" spans="1:3" x14ac:dyDescent="0.25">
      <c r="A28">
        <v>27</v>
      </c>
      <c r="B28" t="s">
        <v>5597</v>
      </c>
      <c r="C28" t="s">
        <v>6351</v>
      </c>
    </row>
    <row r="29" spans="1:3" x14ac:dyDescent="0.25">
      <c r="A29">
        <v>28</v>
      </c>
      <c r="B29" t="s">
        <v>5520</v>
      </c>
      <c r="C29" t="s">
        <v>6352</v>
      </c>
    </row>
    <row r="30" spans="1:3" x14ac:dyDescent="0.25">
      <c r="A30">
        <v>29</v>
      </c>
      <c r="B30" t="s">
        <v>5524</v>
      </c>
      <c r="C30" t="s">
        <v>6353</v>
      </c>
    </row>
    <row r="31" spans="1:3" x14ac:dyDescent="0.25">
      <c r="A31">
        <v>30</v>
      </c>
      <c r="B31" t="s">
        <v>5525</v>
      </c>
      <c r="C31" t="s">
        <v>6354</v>
      </c>
    </row>
    <row r="32" spans="1:3" x14ac:dyDescent="0.25">
      <c r="A32">
        <v>31</v>
      </c>
      <c r="B32" t="s">
        <v>5582</v>
      </c>
      <c r="C32" t="s">
        <v>6355</v>
      </c>
    </row>
    <row r="33" spans="1:3" x14ac:dyDescent="0.25">
      <c r="A33">
        <v>32</v>
      </c>
      <c r="B33" t="s">
        <v>5531</v>
      </c>
      <c r="C33" t="s">
        <v>6356</v>
      </c>
    </row>
    <row r="34" spans="1:3" x14ac:dyDescent="0.25">
      <c r="A34">
        <v>33</v>
      </c>
      <c r="B34" t="s">
        <v>5577</v>
      </c>
      <c r="C34" t="s">
        <v>6357</v>
      </c>
    </row>
    <row r="35" spans="1:3" x14ac:dyDescent="0.25">
      <c r="A35">
        <v>34</v>
      </c>
      <c r="B35" t="s">
        <v>5541</v>
      </c>
      <c r="C35" t="s">
        <v>6358</v>
      </c>
    </row>
    <row r="36" spans="1:3" x14ac:dyDescent="0.25">
      <c r="A36">
        <v>35</v>
      </c>
      <c r="B36" t="s">
        <v>5551</v>
      </c>
      <c r="C36" t="s">
        <v>6359</v>
      </c>
    </row>
    <row r="37" spans="1:3" x14ac:dyDescent="0.25">
      <c r="A37">
        <v>36</v>
      </c>
      <c r="B37" t="s">
        <v>5567</v>
      </c>
      <c r="C37" t="s">
        <v>6360</v>
      </c>
    </row>
    <row r="38" spans="1:3" x14ac:dyDescent="0.25">
      <c r="A38">
        <v>37</v>
      </c>
      <c r="B38" t="s">
        <v>5565</v>
      </c>
      <c r="C38" t="s">
        <v>6361</v>
      </c>
    </row>
    <row r="39" spans="1:3" x14ac:dyDescent="0.25">
      <c r="A39">
        <v>38</v>
      </c>
      <c r="B39" t="s">
        <v>5559</v>
      </c>
      <c r="C39" t="s">
        <v>6362</v>
      </c>
    </row>
    <row r="40" spans="1:3" x14ac:dyDescent="0.25">
      <c r="A40">
        <v>39</v>
      </c>
      <c r="B40" t="s">
        <v>5476</v>
      </c>
      <c r="C40" t="s">
        <v>6363</v>
      </c>
    </row>
    <row r="41" spans="1:3" x14ac:dyDescent="0.25">
      <c r="A41">
        <v>40</v>
      </c>
      <c r="B41" t="s">
        <v>5578</v>
      </c>
      <c r="C41" t="s">
        <v>6364</v>
      </c>
    </row>
    <row r="42" spans="1:3" x14ac:dyDescent="0.25">
      <c r="A42">
        <v>41</v>
      </c>
      <c r="B42" t="s">
        <v>5477</v>
      </c>
      <c r="C42" t="s">
        <v>6365</v>
      </c>
    </row>
    <row r="43" spans="1:3" x14ac:dyDescent="0.25">
      <c r="A43">
        <v>42</v>
      </c>
      <c r="B43" t="s">
        <v>5590</v>
      </c>
      <c r="C43" t="s">
        <v>6366</v>
      </c>
    </row>
    <row r="44" spans="1:3" x14ac:dyDescent="0.25">
      <c r="A44">
        <v>43</v>
      </c>
      <c r="B44" t="s">
        <v>5591</v>
      </c>
      <c r="C44" t="s">
        <v>6367</v>
      </c>
    </row>
    <row r="45" spans="1:3" x14ac:dyDescent="0.25">
      <c r="A45">
        <v>44</v>
      </c>
      <c r="B45" t="s">
        <v>5592</v>
      </c>
      <c r="C45" t="s">
        <v>6368</v>
      </c>
    </row>
    <row r="46" spans="1:3" x14ac:dyDescent="0.25">
      <c r="A46">
        <v>45</v>
      </c>
      <c r="B46" t="s">
        <v>5593</v>
      </c>
      <c r="C46" t="s">
        <v>6369</v>
      </c>
    </row>
    <row r="47" spans="1:3" x14ac:dyDescent="0.25">
      <c r="A47">
        <v>46</v>
      </c>
      <c r="B47" t="s">
        <v>5478</v>
      </c>
      <c r="C47" t="s">
        <v>6370</v>
      </c>
    </row>
    <row r="48" spans="1:3" x14ac:dyDescent="0.25">
      <c r="A48">
        <v>47</v>
      </c>
      <c r="B48" t="s">
        <v>5479</v>
      </c>
      <c r="C48" t="s">
        <v>6371</v>
      </c>
    </row>
    <row r="49" spans="1:3" x14ac:dyDescent="0.25">
      <c r="A49">
        <v>48</v>
      </c>
      <c r="B49" t="s">
        <v>5600</v>
      </c>
      <c r="C49" t="s">
        <v>6372</v>
      </c>
    </row>
    <row r="50" spans="1:3" x14ac:dyDescent="0.25">
      <c r="A50">
        <v>49</v>
      </c>
      <c r="B50" t="s">
        <v>5480</v>
      </c>
      <c r="C50" t="s">
        <v>6373</v>
      </c>
    </row>
    <row r="51" spans="1:3" x14ac:dyDescent="0.25">
      <c r="A51">
        <v>50</v>
      </c>
      <c r="B51" t="s">
        <v>5481</v>
      </c>
      <c r="C51" t="s">
        <v>6374</v>
      </c>
    </row>
    <row r="52" spans="1:3" x14ac:dyDescent="0.25">
      <c r="A52">
        <v>51</v>
      </c>
      <c r="B52" t="s">
        <v>5482</v>
      </c>
      <c r="C52" t="s">
        <v>6375</v>
      </c>
    </row>
    <row r="53" spans="1:3" x14ac:dyDescent="0.25">
      <c r="A53">
        <v>52</v>
      </c>
      <c r="B53" t="s">
        <v>5483</v>
      </c>
      <c r="C53" t="s">
        <v>6376</v>
      </c>
    </row>
    <row r="54" spans="1:3" x14ac:dyDescent="0.25">
      <c r="A54">
        <v>53</v>
      </c>
      <c r="B54" t="s">
        <v>5484</v>
      </c>
      <c r="C54" t="s">
        <v>6377</v>
      </c>
    </row>
    <row r="55" spans="1:3" x14ac:dyDescent="0.25">
      <c r="A55">
        <v>54</v>
      </c>
      <c r="B55" t="s">
        <v>5486</v>
      </c>
      <c r="C55" t="s">
        <v>6378</v>
      </c>
    </row>
    <row r="56" spans="1:3" x14ac:dyDescent="0.25">
      <c r="A56">
        <v>55</v>
      </c>
      <c r="B56" t="s">
        <v>5487</v>
      </c>
      <c r="C56" t="s">
        <v>6379</v>
      </c>
    </row>
    <row r="57" spans="1:3" x14ac:dyDescent="0.25">
      <c r="A57">
        <v>56</v>
      </c>
      <c r="B57" t="s">
        <v>5488</v>
      </c>
      <c r="C57" t="s">
        <v>6380</v>
      </c>
    </row>
    <row r="58" spans="1:3" x14ac:dyDescent="0.25">
      <c r="A58">
        <v>57</v>
      </c>
      <c r="B58" t="s">
        <v>5605</v>
      </c>
      <c r="C58" t="s">
        <v>6381</v>
      </c>
    </row>
    <row r="59" spans="1:3" x14ac:dyDescent="0.25">
      <c r="A59">
        <v>58</v>
      </c>
      <c r="B59" t="s">
        <v>5490</v>
      </c>
      <c r="C59" t="s">
        <v>6382</v>
      </c>
    </row>
    <row r="60" spans="1:3" x14ac:dyDescent="0.25">
      <c r="A60">
        <v>59</v>
      </c>
      <c r="B60" t="s">
        <v>5608</v>
      </c>
      <c r="C60" t="s">
        <v>6383</v>
      </c>
    </row>
    <row r="61" spans="1:3" x14ac:dyDescent="0.25">
      <c r="A61">
        <v>60</v>
      </c>
      <c r="B61" t="s">
        <v>5492</v>
      </c>
      <c r="C61" t="s">
        <v>6384</v>
      </c>
    </row>
    <row r="62" spans="1:3" x14ac:dyDescent="0.25">
      <c r="A62">
        <v>61</v>
      </c>
      <c r="B62" t="s">
        <v>5609</v>
      </c>
      <c r="C62" t="s">
        <v>6385</v>
      </c>
    </row>
    <row r="63" spans="1:3" x14ac:dyDescent="0.25">
      <c r="A63">
        <v>62</v>
      </c>
      <c r="B63" t="s">
        <v>5493</v>
      </c>
      <c r="C63" t="s">
        <v>6386</v>
      </c>
    </row>
    <row r="64" spans="1:3" x14ac:dyDescent="0.25">
      <c r="A64">
        <v>63</v>
      </c>
      <c r="B64" t="s">
        <v>5494</v>
      </c>
      <c r="C64" t="s">
        <v>6387</v>
      </c>
    </row>
    <row r="65" spans="1:3" x14ac:dyDescent="0.25">
      <c r="A65">
        <v>64</v>
      </c>
      <c r="B65" t="s">
        <v>5495</v>
      </c>
      <c r="C65" t="s">
        <v>6388</v>
      </c>
    </row>
    <row r="66" spans="1:3" x14ac:dyDescent="0.25">
      <c r="A66">
        <v>65</v>
      </c>
      <c r="B66" t="s">
        <v>5496</v>
      </c>
      <c r="C66" t="s">
        <v>6389</v>
      </c>
    </row>
    <row r="67" spans="1:3" x14ac:dyDescent="0.25">
      <c r="A67">
        <v>66</v>
      </c>
      <c r="B67" t="s">
        <v>5497</v>
      </c>
      <c r="C67" t="s">
        <v>6390</v>
      </c>
    </row>
    <row r="68" spans="1:3" x14ac:dyDescent="0.25">
      <c r="A68">
        <v>67</v>
      </c>
      <c r="B68" t="s">
        <v>5498</v>
      </c>
      <c r="C68" t="s">
        <v>6391</v>
      </c>
    </row>
    <row r="69" spans="1:3" x14ac:dyDescent="0.25">
      <c r="A69">
        <v>68</v>
      </c>
      <c r="B69" t="s">
        <v>5499</v>
      </c>
      <c r="C69" t="s">
        <v>6392</v>
      </c>
    </row>
    <row r="70" spans="1:3" x14ac:dyDescent="0.25">
      <c r="A70">
        <v>69</v>
      </c>
      <c r="B70" t="s">
        <v>5606</v>
      </c>
      <c r="C70" t="s">
        <v>6393</v>
      </c>
    </row>
    <row r="71" spans="1:3" x14ac:dyDescent="0.25">
      <c r="A71">
        <v>70</v>
      </c>
      <c r="B71" t="s">
        <v>5604</v>
      </c>
      <c r="C71" t="s">
        <v>6394</v>
      </c>
    </row>
    <row r="72" spans="1:3" x14ac:dyDescent="0.25">
      <c r="A72">
        <v>71</v>
      </c>
      <c r="B72" t="s">
        <v>5602</v>
      </c>
      <c r="C72" t="s">
        <v>6395</v>
      </c>
    </row>
    <row r="73" spans="1:3" x14ac:dyDescent="0.25">
      <c r="A73">
        <v>72</v>
      </c>
      <c r="B73" t="s">
        <v>5500</v>
      </c>
      <c r="C73" t="s">
        <v>6396</v>
      </c>
    </row>
    <row r="74" spans="1:3" x14ac:dyDescent="0.25">
      <c r="A74">
        <v>73</v>
      </c>
      <c r="B74" t="s">
        <v>5501</v>
      </c>
      <c r="C74" t="s">
        <v>6397</v>
      </c>
    </row>
    <row r="75" spans="1:3" x14ac:dyDescent="0.25">
      <c r="A75">
        <v>74</v>
      </c>
      <c r="B75" t="s">
        <v>5502</v>
      </c>
      <c r="C75" t="s">
        <v>6398</v>
      </c>
    </row>
    <row r="76" spans="1:3" x14ac:dyDescent="0.25">
      <c r="A76">
        <v>75</v>
      </c>
      <c r="B76" t="s">
        <v>5503</v>
      </c>
      <c r="C76" t="s">
        <v>6399</v>
      </c>
    </row>
    <row r="77" spans="1:3" x14ac:dyDescent="0.25">
      <c r="A77">
        <v>76</v>
      </c>
      <c r="B77" t="s">
        <v>5504</v>
      </c>
      <c r="C77" t="s">
        <v>6400</v>
      </c>
    </row>
    <row r="78" spans="1:3" x14ac:dyDescent="0.25">
      <c r="A78">
        <v>77</v>
      </c>
      <c r="B78" t="s">
        <v>5505</v>
      </c>
      <c r="C78" t="s">
        <v>6401</v>
      </c>
    </row>
    <row r="79" spans="1:3" x14ac:dyDescent="0.25">
      <c r="A79">
        <v>78</v>
      </c>
      <c r="B79" t="s">
        <v>5506</v>
      </c>
      <c r="C79" t="s">
        <v>6402</v>
      </c>
    </row>
    <row r="80" spans="1:3" x14ac:dyDescent="0.25">
      <c r="A80">
        <v>79</v>
      </c>
      <c r="B80" t="s">
        <v>5507</v>
      </c>
      <c r="C80" t="s">
        <v>6403</v>
      </c>
    </row>
    <row r="81" spans="1:3" x14ac:dyDescent="0.25">
      <c r="A81">
        <v>80</v>
      </c>
      <c r="B81" t="s">
        <v>5508</v>
      </c>
      <c r="C81" t="s">
        <v>6404</v>
      </c>
    </row>
    <row r="82" spans="1:3" x14ac:dyDescent="0.25">
      <c r="A82">
        <v>81</v>
      </c>
      <c r="B82" t="s">
        <v>5509</v>
      </c>
      <c r="C82" t="s">
        <v>6405</v>
      </c>
    </row>
    <row r="83" spans="1:3" x14ac:dyDescent="0.25">
      <c r="A83">
        <v>82</v>
      </c>
      <c r="B83" t="s">
        <v>5601</v>
      </c>
      <c r="C83" t="s">
        <v>6406</v>
      </c>
    </row>
    <row r="84" spans="1:3" x14ac:dyDescent="0.25">
      <c r="A84">
        <v>83</v>
      </c>
      <c r="B84" t="s">
        <v>5622</v>
      </c>
      <c r="C84" t="s">
        <v>6407</v>
      </c>
    </row>
    <row r="85" spans="1:3" x14ac:dyDescent="0.25">
      <c r="A85">
        <v>84</v>
      </c>
      <c r="B85" t="s">
        <v>5599</v>
      </c>
      <c r="C85" t="s">
        <v>6408</v>
      </c>
    </row>
    <row r="86" spans="1:3" x14ac:dyDescent="0.25">
      <c r="A86">
        <v>85</v>
      </c>
      <c r="B86" t="s">
        <v>5510</v>
      </c>
      <c r="C86" t="s">
        <v>6409</v>
      </c>
    </row>
    <row r="87" spans="1:3" x14ac:dyDescent="0.25">
      <c r="A87">
        <v>86</v>
      </c>
      <c r="B87" t="s">
        <v>5511</v>
      </c>
      <c r="C87" t="s">
        <v>6410</v>
      </c>
    </row>
    <row r="88" spans="1:3" x14ac:dyDescent="0.25">
      <c r="A88">
        <v>87</v>
      </c>
      <c r="B88" t="s">
        <v>5512</v>
      </c>
      <c r="C88" t="s">
        <v>6411</v>
      </c>
    </row>
    <row r="89" spans="1:3" x14ac:dyDescent="0.25">
      <c r="A89">
        <v>88</v>
      </c>
      <c r="B89" t="s">
        <v>5598</v>
      </c>
      <c r="C89" t="s">
        <v>6412</v>
      </c>
    </row>
    <row r="90" spans="1:3" x14ac:dyDescent="0.25">
      <c r="A90">
        <v>89</v>
      </c>
      <c r="B90" t="s">
        <v>5596</v>
      </c>
      <c r="C90" t="s">
        <v>6413</v>
      </c>
    </row>
    <row r="91" spans="1:3" x14ac:dyDescent="0.25">
      <c r="A91">
        <v>90</v>
      </c>
      <c r="B91" t="s">
        <v>5513</v>
      </c>
      <c r="C91" t="s">
        <v>6414</v>
      </c>
    </row>
    <row r="92" spans="1:3" x14ac:dyDescent="0.25">
      <c r="A92">
        <v>91</v>
      </c>
      <c r="B92" t="s">
        <v>5561</v>
      </c>
      <c r="C92" t="s">
        <v>6415</v>
      </c>
    </row>
    <row r="93" spans="1:3" x14ac:dyDescent="0.25">
      <c r="A93">
        <v>92</v>
      </c>
      <c r="B93" t="s">
        <v>5514</v>
      </c>
      <c r="C93" t="s">
        <v>6416</v>
      </c>
    </row>
    <row r="94" spans="1:3" x14ac:dyDescent="0.25">
      <c r="A94">
        <v>93</v>
      </c>
      <c r="B94" t="s">
        <v>5595</v>
      </c>
      <c r="C94" t="s">
        <v>6417</v>
      </c>
    </row>
    <row r="95" spans="1:3" x14ac:dyDescent="0.25">
      <c r="A95">
        <v>94</v>
      </c>
      <c r="B95" t="s">
        <v>5515</v>
      </c>
      <c r="C95" t="s">
        <v>6418</v>
      </c>
    </row>
    <row r="96" spans="1:3" x14ac:dyDescent="0.25">
      <c r="A96">
        <v>95</v>
      </c>
      <c r="B96" t="s">
        <v>5516</v>
      </c>
      <c r="C96" t="s">
        <v>6419</v>
      </c>
    </row>
    <row r="97" spans="1:3" x14ac:dyDescent="0.25">
      <c r="A97">
        <v>96</v>
      </c>
      <c r="B97" t="s">
        <v>5594</v>
      </c>
      <c r="C97" t="s">
        <v>6420</v>
      </c>
    </row>
    <row r="98" spans="1:3" x14ac:dyDescent="0.25">
      <c r="A98">
        <v>97</v>
      </c>
      <c r="B98" t="s">
        <v>5517</v>
      </c>
      <c r="C98" t="s">
        <v>6421</v>
      </c>
    </row>
    <row r="99" spans="1:3" x14ac:dyDescent="0.25">
      <c r="A99">
        <v>98</v>
      </c>
      <c r="B99" t="s">
        <v>5518</v>
      </c>
      <c r="C99" t="s">
        <v>6422</v>
      </c>
    </row>
    <row r="100" spans="1:3" x14ac:dyDescent="0.25">
      <c r="A100">
        <v>99</v>
      </c>
      <c r="B100" t="s">
        <v>5519</v>
      </c>
      <c r="C100" t="s">
        <v>6423</v>
      </c>
    </row>
    <row r="101" spans="1:3" x14ac:dyDescent="0.25">
      <c r="A101">
        <v>100</v>
      </c>
      <c r="B101" t="s">
        <v>5521</v>
      </c>
      <c r="C101" t="s">
        <v>6424</v>
      </c>
    </row>
    <row r="102" spans="1:3" x14ac:dyDescent="0.25">
      <c r="A102">
        <v>101</v>
      </c>
      <c r="B102" t="s">
        <v>5522</v>
      </c>
      <c r="C102" t="s">
        <v>6425</v>
      </c>
    </row>
    <row r="103" spans="1:3" x14ac:dyDescent="0.25">
      <c r="A103">
        <v>102</v>
      </c>
      <c r="B103" t="s">
        <v>5523</v>
      </c>
      <c r="C103" t="s">
        <v>6426</v>
      </c>
    </row>
    <row r="104" spans="1:3" x14ac:dyDescent="0.25">
      <c r="A104">
        <v>103</v>
      </c>
      <c r="B104" t="s">
        <v>5589</v>
      </c>
      <c r="C104" t="s">
        <v>6427</v>
      </c>
    </row>
    <row r="105" spans="1:3" x14ac:dyDescent="0.25">
      <c r="A105">
        <v>104</v>
      </c>
      <c r="B105" t="s">
        <v>5588</v>
      </c>
      <c r="C105" t="s">
        <v>6428</v>
      </c>
    </row>
    <row r="106" spans="1:3" x14ac:dyDescent="0.25">
      <c r="A106">
        <v>105</v>
      </c>
      <c r="B106" t="s">
        <v>5587</v>
      </c>
      <c r="C106" t="s">
        <v>6429</v>
      </c>
    </row>
    <row r="107" spans="1:3" x14ac:dyDescent="0.25">
      <c r="A107">
        <v>106</v>
      </c>
      <c r="B107" t="s">
        <v>5562</v>
      </c>
      <c r="C107" t="s">
        <v>6430</v>
      </c>
    </row>
    <row r="108" spans="1:3" x14ac:dyDescent="0.25">
      <c r="A108">
        <v>107</v>
      </c>
      <c r="B108" t="s">
        <v>5526</v>
      </c>
      <c r="C108" t="s">
        <v>6431</v>
      </c>
    </row>
    <row r="109" spans="1:3" x14ac:dyDescent="0.25">
      <c r="A109">
        <v>108</v>
      </c>
      <c r="B109" t="s">
        <v>5586</v>
      </c>
      <c r="C109" t="s">
        <v>6432</v>
      </c>
    </row>
    <row r="110" spans="1:3" x14ac:dyDescent="0.25">
      <c r="A110">
        <v>109</v>
      </c>
      <c r="B110" t="s">
        <v>5527</v>
      </c>
      <c r="C110" t="s">
        <v>6433</v>
      </c>
    </row>
    <row r="111" spans="1:3" x14ac:dyDescent="0.25">
      <c r="A111">
        <v>110</v>
      </c>
      <c r="B111" t="s">
        <v>5528</v>
      </c>
      <c r="C111" t="s">
        <v>6434</v>
      </c>
    </row>
    <row r="112" spans="1:3" x14ac:dyDescent="0.25">
      <c r="A112">
        <v>111</v>
      </c>
      <c r="B112" t="s">
        <v>5585</v>
      </c>
      <c r="C112" t="s">
        <v>6435</v>
      </c>
    </row>
    <row r="113" spans="1:3" x14ac:dyDescent="0.25">
      <c r="A113">
        <v>112</v>
      </c>
      <c r="B113" t="s">
        <v>5584</v>
      </c>
      <c r="C113" t="s">
        <v>6436</v>
      </c>
    </row>
    <row r="114" spans="1:3" x14ac:dyDescent="0.25">
      <c r="A114">
        <v>113</v>
      </c>
      <c r="B114" t="s">
        <v>5583</v>
      </c>
      <c r="C114" t="s">
        <v>6437</v>
      </c>
    </row>
    <row r="115" spans="1:3" x14ac:dyDescent="0.25">
      <c r="A115">
        <v>114</v>
      </c>
      <c r="B115" t="s">
        <v>5581</v>
      </c>
      <c r="C115" t="s">
        <v>6438</v>
      </c>
    </row>
    <row r="116" spans="1:3" x14ac:dyDescent="0.25">
      <c r="A116">
        <v>115</v>
      </c>
      <c r="B116" t="s">
        <v>5529</v>
      </c>
      <c r="C116" t="s">
        <v>6439</v>
      </c>
    </row>
    <row r="117" spans="1:3" x14ac:dyDescent="0.25">
      <c r="A117">
        <v>116</v>
      </c>
      <c r="B117" t="s">
        <v>5530</v>
      </c>
      <c r="C117" t="s">
        <v>6440</v>
      </c>
    </row>
    <row r="118" spans="1:3" x14ac:dyDescent="0.25">
      <c r="A118">
        <v>117</v>
      </c>
      <c r="B118" t="s">
        <v>5580</v>
      </c>
      <c r="C118" t="s">
        <v>6441</v>
      </c>
    </row>
    <row r="119" spans="1:3" x14ac:dyDescent="0.25">
      <c r="A119">
        <v>118</v>
      </c>
      <c r="B119" t="s">
        <v>5579</v>
      </c>
      <c r="C119" t="s">
        <v>6442</v>
      </c>
    </row>
    <row r="120" spans="1:3" x14ac:dyDescent="0.25">
      <c r="A120">
        <v>119</v>
      </c>
      <c r="B120" t="s">
        <v>5576</v>
      </c>
      <c r="C120" t="s">
        <v>6443</v>
      </c>
    </row>
    <row r="121" spans="1:3" x14ac:dyDescent="0.25">
      <c r="A121">
        <v>120</v>
      </c>
      <c r="B121" t="s">
        <v>5532</v>
      </c>
      <c r="C121" t="s">
        <v>6444</v>
      </c>
    </row>
    <row r="122" spans="1:3" x14ac:dyDescent="0.25">
      <c r="A122">
        <v>121</v>
      </c>
      <c r="B122" t="s">
        <v>5533</v>
      </c>
      <c r="C122" t="s">
        <v>6445</v>
      </c>
    </row>
    <row r="123" spans="1:3" x14ac:dyDescent="0.25">
      <c r="A123">
        <v>122</v>
      </c>
      <c r="B123" t="s">
        <v>5575</v>
      </c>
      <c r="C123" t="s">
        <v>6446</v>
      </c>
    </row>
    <row r="124" spans="1:3" x14ac:dyDescent="0.25">
      <c r="A124">
        <v>123</v>
      </c>
      <c r="B124" t="s">
        <v>5574</v>
      </c>
      <c r="C124" t="s">
        <v>6447</v>
      </c>
    </row>
    <row r="125" spans="1:3" x14ac:dyDescent="0.25">
      <c r="A125">
        <v>124</v>
      </c>
      <c r="B125" t="s">
        <v>5573</v>
      </c>
      <c r="C125" t="s">
        <v>6448</v>
      </c>
    </row>
    <row r="126" spans="1:3" x14ac:dyDescent="0.25">
      <c r="A126">
        <v>125</v>
      </c>
      <c r="B126" t="s">
        <v>5534</v>
      </c>
      <c r="C126" t="s">
        <v>6449</v>
      </c>
    </row>
    <row r="127" spans="1:3" x14ac:dyDescent="0.25">
      <c r="A127">
        <v>126</v>
      </c>
      <c r="B127" t="s">
        <v>5572</v>
      </c>
      <c r="C127" t="s">
        <v>6450</v>
      </c>
    </row>
    <row r="128" spans="1:3" x14ac:dyDescent="0.25">
      <c r="A128">
        <v>127</v>
      </c>
      <c r="B128" t="s">
        <v>5535</v>
      </c>
      <c r="C128" t="s">
        <v>6451</v>
      </c>
    </row>
    <row r="129" spans="1:3" x14ac:dyDescent="0.25">
      <c r="A129">
        <v>128</v>
      </c>
      <c r="B129" t="s">
        <v>5571</v>
      </c>
      <c r="C129" t="s">
        <v>6452</v>
      </c>
    </row>
    <row r="130" spans="1:3" x14ac:dyDescent="0.25">
      <c r="A130">
        <v>129</v>
      </c>
      <c r="B130" t="s">
        <v>5536</v>
      </c>
      <c r="C130" t="s">
        <v>6453</v>
      </c>
    </row>
    <row r="131" spans="1:3" x14ac:dyDescent="0.25">
      <c r="A131">
        <v>130</v>
      </c>
      <c r="B131" t="s">
        <v>5537</v>
      </c>
      <c r="C131" t="s">
        <v>6454</v>
      </c>
    </row>
    <row r="132" spans="1:3" x14ac:dyDescent="0.25">
      <c r="A132">
        <v>131</v>
      </c>
      <c r="B132" t="s">
        <v>5538</v>
      </c>
      <c r="C132" t="s">
        <v>6455</v>
      </c>
    </row>
    <row r="133" spans="1:3" x14ac:dyDescent="0.25">
      <c r="A133">
        <v>132</v>
      </c>
      <c r="B133" t="s">
        <v>5539</v>
      </c>
      <c r="C133" t="s">
        <v>6456</v>
      </c>
    </row>
    <row r="134" spans="1:3" x14ac:dyDescent="0.25">
      <c r="A134">
        <v>133</v>
      </c>
      <c r="B134" t="s">
        <v>5540</v>
      </c>
      <c r="C134" t="s">
        <v>6457</v>
      </c>
    </row>
    <row r="135" spans="1:3" x14ac:dyDescent="0.25">
      <c r="A135">
        <v>134</v>
      </c>
      <c r="B135" t="s">
        <v>5542</v>
      </c>
      <c r="C135" t="s">
        <v>6458</v>
      </c>
    </row>
    <row r="136" spans="1:3" x14ac:dyDescent="0.25">
      <c r="A136">
        <v>135</v>
      </c>
      <c r="B136" t="s">
        <v>5543</v>
      </c>
      <c r="C136" t="s">
        <v>6459</v>
      </c>
    </row>
    <row r="137" spans="1:3" x14ac:dyDescent="0.25">
      <c r="A137">
        <v>136</v>
      </c>
      <c r="B137" t="s">
        <v>5464</v>
      </c>
      <c r="C137" t="s">
        <v>6460</v>
      </c>
    </row>
    <row r="138" spans="1:3" x14ac:dyDescent="0.25">
      <c r="A138">
        <v>137</v>
      </c>
      <c r="B138" t="s">
        <v>5473</v>
      </c>
      <c r="C138" t="s">
        <v>6461</v>
      </c>
    </row>
    <row r="139" spans="1:3" x14ac:dyDescent="0.25">
      <c r="A139">
        <v>138</v>
      </c>
      <c r="B139" t="s">
        <v>5445</v>
      </c>
      <c r="C139" t="s">
        <v>6462</v>
      </c>
    </row>
    <row r="140" spans="1:3" x14ac:dyDescent="0.25">
      <c r="A140">
        <v>139</v>
      </c>
      <c r="B140" t="s">
        <v>5465</v>
      </c>
      <c r="C140" t="s">
        <v>6463</v>
      </c>
    </row>
    <row r="141" spans="1:3" x14ac:dyDescent="0.25">
      <c r="A141">
        <v>140</v>
      </c>
      <c r="B141" t="s">
        <v>5446</v>
      </c>
      <c r="C141" t="s">
        <v>6464</v>
      </c>
    </row>
    <row r="142" spans="1:3" x14ac:dyDescent="0.25">
      <c r="A142">
        <v>141</v>
      </c>
      <c r="B142" t="s">
        <v>5475</v>
      </c>
      <c r="C142" t="s">
        <v>6465</v>
      </c>
    </row>
    <row r="143" spans="1:3" x14ac:dyDescent="0.25">
      <c r="A143">
        <v>142</v>
      </c>
      <c r="B143" t="s">
        <v>5448</v>
      </c>
      <c r="C143" t="s">
        <v>6466</v>
      </c>
    </row>
    <row r="144" spans="1:3" x14ac:dyDescent="0.25">
      <c r="A144">
        <v>143</v>
      </c>
      <c r="B144" t="s">
        <v>5449</v>
      </c>
      <c r="C144" t="s">
        <v>6467</v>
      </c>
    </row>
    <row r="145" spans="1:3" x14ac:dyDescent="0.25">
      <c r="A145">
        <v>144</v>
      </c>
      <c r="B145" t="s">
        <v>5466</v>
      </c>
      <c r="C145" t="s">
        <v>6468</v>
      </c>
    </row>
    <row r="146" spans="1:3" x14ac:dyDescent="0.25">
      <c r="A146">
        <v>145</v>
      </c>
      <c r="B146" t="s">
        <v>5467</v>
      </c>
      <c r="C146" t="s">
        <v>6469</v>
      </c>
    </row>
    <row r="147" spans="1:3" x14ac:dyDescent="0.25">
      <c r="A147">
        <v>146</v>
      </c>
      <c r="B147" t="s">
        <v>5468</v>
      </c>
      <c r="C147" t="s">
        <v>6470</v>
      </c>
    </row>
    <row r="148" spans="1:3" x14ac:dyDescent="0.25">
      <c r="A148">
        <v>147</v>
      </c>
      <c r="B148" t="s">
        <v>5450</v>
      </c>
      <c r="C148" t="s">
        <v>6471</v>
      </c>
    </row>
    <row r="149" spans="1:3" x14ac:dyDescent="0.25">
      <c r="A149">
        <v>148</v>
      </c>
      <c r="B149" t="s">
        <v>5469</v>
      </c>
      <c r="C149" t="s">
        <v>6472</v>
      </c>
    </row>
    <row r="150" spans="1:3" x14ac:dyDescent="0.25">
      <c r="A150">
        <v>149</v>
      </c>
      <c r="B150" t="s">
        <v>5451</v>
      </c>
      <c r="C150" t="s">
        <v>6473</v>
      </c>
    </row>
    <row r="151" spans="1:3" x14ac:dyDescent="0.25">
      <c r="A151">
        <v>150</v>
      </c>
      <c r="B151" t="s">
        <v>5452</v>
      </c>
      <c r="C151" t="s">
        <v>6474</v>
      </c>
    </row>
    <row r="152" spans="1:3" x14ac:dyDescent="0.25">
      <c r="A152">
        <v>151</v>
      </c>
      <c r="B152" t="s">
        <v>5453</v>
      </c>
      <c r="C152" t="s">
        <v>6475</v>
      </c>
    </row>
    <row r="153" spans="1:3" x14ac:dyDescent="0.25">
      <c r="A153">
        <v>152</v>
      </c>
      <c r="B153" t="s">
        <v>5454</v>
      </c>
      <c r="C153" t="s">
        <v>6476</v>
      </c>
    </row>
    <row r="154" spans="1:3" x14ac:dyDescent="0.25">
      <c r="A154">
        <v>153</v>
      </c>
      <c r="B154" t="s">
        <v>5472</v>
      </c>
      <c r="C154" t="s">
        <v>6477</v>
      </c>
    </row>
    <row r="155" spans="1:3" x14ac:dyDescent="0.25">
      <c r="A155">
        <v>154</v>
      </c>
      <c r="B155" t="s">
        <v>5447</v>
      </c>
      <c r="C155" t="s">
        <v>6478</v>
      </c>
    </row>
    <row r="156" spans="1:3" x14ac:dyDescent="0.25">
      <c r="A156">
        <v>155</v>
      </c>
      <c r="B156" t="s">
        <v>5470</v>
      </c>
      <c r="C156" t="s">
        <v>6479</v>
      </c>
    </row>
    <row r="157" spans="1:3" x14ac:dyDescent="0.25">
      <c r="A157">
        <v>156</v>
      </c>
      <c r="B157" t="s">
        <v>5471</v>
      </c>
      <c r="C157" t="s">
        <v>6480</v>
      </c>
    </row>
    <row r="158" spans="1:3" x14ac:dyDescent="0.25">
      <c r="A158">
        <v>157</v>
      </c>
      <c r="B158" t="s">
        <v>5455</v>
      </c>
      <c r="C158" t="s">
        <v>6481</v>
      </c>
    </row>
    <row r="159" spans="1:3" x14ac:dyDescent="0.25">
      <c r="A159">
        <v>158</v>
      </c>
      <c r="B159" t="s">
        <v>5456</v>
      </c>
      <c r="C159" t="s">
        <v>6482</v>
      </c>
    </row>
    <row r="160" spans="1:3" x14ac:dyDescent="0.25">
      <c r="A160">
        <v>159</v>
      </c>
      <c r="B160" t="s">
        <v>5457</v>
      </c>
      <c r="C160" t="s">
        <v>6483</v>
      </c>
    </row>
    <row r="161" spans="1:3" x14ac:dyDescent="0.25">
      <c r="A161">
        <v>160</v>
      </c>
      <c r="B161" t="s">
        <v>5458</v>
      </c>
      <c r="C161" t="s">
        <v>6484</v>
      </c>
    </row>
    <row r="162" spans="1:3" x14ac:dyDescent="0.25">
      <c r="A162">
        <v>161</v>
      </c>
      <c r="B162" t="s">
        <v>5459</v>
      </c>
      <c r="C162" t="s">
        <v>6485</v>
      </c>
    </row>
    <row r="163" spans="1:3" x14ac:dyDescent="0.25">
      <c r="A163">
        <v>162</v>
      </c>
      <c r="B163" t="s">
        <v>5460</v>
      </c>
      <c r="C163" t="s">
        <v>6486</v>
      </c>
    </row>
    <row r="164" spans="1:3" x14ac:dyDescent="0.25">
      <c r="A164">
        <v>163</v>
      </c>
      <c r="B164" t="s">
        <v>5461</v>
      </c>
      <c r="C164" t="s">
        <v>6487</v>
      </c>
    </row>
    <row r="165" spans="1:3" x14ac:dyDescent="0.25">
      <c r="A165">
        <v>164</v>
      </c>
      <c r="B165" t="s">
        <v>5462</v>
      </c>
      <c r="C165" t="s">
        <v>6488</v>
      </c>
    </row>
    <row r="166" spans="1:3" x14ac:dyDescent="0.25">
      <c r="A166">
        <v>165</v>
      </c>
      <c r="B166" t="s">
        <v>5474</v>
      </c>
      <c r="C166" t="s">
        <v>6489</v>
      </c>
    </row>
    <row r="167" spans="1:3" x14ac:dyDescent="0.25">
      <c r="A167">
        <v>166</v>
      </c>
      <c r="B167" t="s">
        <v>5463</v>
      </c>
      <c r="C167" t="s">
        <v>6490</v>
      </c>
    </row>
    <row r="168" spans="1:3" x14ac:dyDescent="0.25">
      <c r="A168">
        <v>167</v>
      </c>
      <c r="B168" t="s">
        <v>5623</v>
      </c>
      <c r="C168" t="s">
        <v>6491</v>
      </c>
    </row>
    <row r="169" spans="1:3" x14ac:dyDescent="0.25">
      <c r="A169">
        <v>168</v>
      </c>
      <c r="B169" t="s">
        <v>5624</v>
      </c>
      <c r="C169" t="s">
        <v>6492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5CD3-0C60-4DD3-8BD4-160F307697A7}">
  <dimension ref="A1:H171"/>
  <sheetViews>
    <sheetView tabSelected="1" topLeftCell="A167" workbookViewId="0">
      <selection activeCell="D168" sqref="D168"/>
    </sheetView>
  </sheetViews>
  <sheetFormatPr defaultRowHeight="15" x14ac:dyDescent="0.25"/>
  <cols>
    <col min="1" max="1" width="42.28515625" bestFit="1" customWidth="1"/>
    <col min="2" max="2" width="14.28515625" bestFit="1" customWidth="1"/>
    <col min="3" max="3" width="9" bestFit="1" customWidth="1"/>
    <col min="5" max="5" width="12.42578125" bestFit="1" customWidth="1"/>
    <col min="6" max="6" width="97.42578125" customWidth="1"/>
    <col min="7" max="7" width="89.5703125" customWidth="1"/>
    <col min="8" max="8" width="81.5703125" customWidth="1"/>
  </cols>
  <sheetData>
    <row r="1" spans="1:8" x14ac:dyDescent="0.25">
      <c r="A1" s="11" t="s">
        <v>5890</v>
      </c>
      <c r="B1" t="s">
        <v>5891</v>
      </c>
      <c r="D1" s="12" t="s">
        <v>32</v>
      </c>
      <c r="E1" s="19" t="s">
        <v>6323</v>
      </c>
    </row>
    <row r="2" spans="1:8" ht="84.75" customHeight="1" x14ac:dyDescent="0.25">
      <c r="A2" s="2" t="s">
        <v>5445</v>
      </c>
      <c r="B2" s="13" t="str">
        <f>VLOOKUP(A2,POLICY1!B:C,2,0)</f>
        <v>050000861490</v>
      </c>
      <c r="C2" s="7">
        <v>4529</v>
      </c>
      <c r="D2" s="14">
        <f>ROUND(C2,0)</f>
        <v>4529</v>
      </c>
      <c r="E2" s="19" t="s">
        <v>6323</v>
      </c>
      <c r="F2" s="15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6" t="str">
        <f>"('"&amp;E2&amp;"','"&amp;B2&amp;"','"&amp;D2&amp;"',(select max(to_number(i.premium_rcv_detail_code))+1
from ins_premium_det i),'"&amp;D2&amp;"','"&amp;D2&amp;"','02', '11000003','00','Request by Mr. Saqib Saleem 28-Mar-2025 End');"</f>
        <v>('27Mar250028','050000861490','4529',(select max(to_number(i.premium_rcv_detail_code))+1
from ins_premium_det i),'4529','4529','02', '11000003','00','Request by Mr. Saqib Saleem 28-Mar-2025 End');</v>
      </c>
      <c r="H2" s="17" t="str">
        <f>F2&amp;G2</f>
        <v>insert into ins_premium_det (premium_rcv_code,assorted_code, rec_amount,premium_rcv_detail_code,remaining_amt, payrec, mode_code,coinsurance_code,class_cd,it_remarks) values('27Mar250028','050000861490','4529',(select max(to_number(i.premium_rcv_detail_code))+1
from ins_premium_det i),'4529','4529','02', '11000003','00','Request by Mr. Saqib Saleem 28-Mar-2025 End');</v>
      </c>
    </row>
    <row r="3" spans="1:8" ht="105" x14ac:dyDescent="0.25">
      <c r="A3" s="2" t="s">
        <v>5446</v>
      </c>
      <c r="B3" s="13" t="str">
        <f>VLOOKUP(A3,POLICY1!B:C,2,0)</f>
        <v>050000861493</v>
      </c>
      <c r="C3" s="7">
        <v>4366</v>
      </c>
      <c r="D3" s="14">
        <f t="shared" ref="D3:D66" si="1">ROUND(C3,0)</f>
        <v>4366</v>
      </c>
      <c r="E3" s="19" t="s">
        <v>6323</v>
      </c>
      <c r="F3" s="15" t="str">
        <f t="shared" si="0"/>
        <v>insert into ins_premium_det (premium_rcv_code,assorted_code, rec_amount,premium_rcv_detail_code,remaining_amt, payrec, mode_code,coinsurance_code,class_cd,it_remarks) values</v>
      </c>
      <c r="G3" s="16" t="str">
        <f t="shared" ref="G3:G66" si="2">"('"&amp;E3&amp;"','"&amp;B3&amp;"','"&amp;D3&amp;"',(select max(to_number(i.premium_rcv_detail_code))+1
from ins_premium_det i),'"&amp;D3&amp;"','"&amp;D3&amp;"','02', '11000003','00','Request by Mr. Saqib Saleem 28-Mar-2025 End');"</f>
        <v>('27Mar250028','050000861493','4366',(select max(to_number(i.premium_rcv_detail_code))+1
from ins_premium_det i),'4366','4366','02', '11000003','00','Request by Mr. Saqib Saleem 28-Mar-2025 End');</v>
      </c>
      <c r="H3" s="17" t="str">
        <f t="shared" ref="H3:H66" si="3">F3&amp;G3</f>
        <v>insert into ins_premium_det (premium_rcv_code,assorted_code, rec_amount,premium_rcv_detail_code,remaining_amt, payrec, mode_code,coinsurance_code,class_cd,it_remarks) values('27Mar250028','050000861493','4366',(select max(to_number(i.premium_rcv_detail_code))+1
from ins_premium_det i),'4366','4366','02', '11000003','00','Request by Mr. Saqib Saleem 28-Mar-2025 End');</v>
      </c>
    </row>
    <row r="4" spans="1:8" ht="105" x14ac:dyDescent="0.25">
      <c r="A4" s="2" t="s">
        <v>5447</v>
      </c>
      <c r="B4" s="13" t="str">
        <f>VLOOKUP(A4,POLICY1!B:C,2,0)</f>
        <v>050000861391</v>
      </c>
      <c r="C4" s="7">
        <v>1655</v>
      </c>
      <c r="D4" s="14">
        <f t="shared" si="1"/>
        <v>1655</v>
      </c>
      <c r="E4" s="19" t="s">
        <v>6323</v>
      </c>
      <c r="F4" s="15" t="str">
        <f t="shared" si="0"/>
        <v>insert into ins_premium_det (premium_rcv_code,assorted_code, rec_amount,premium_rcv_detail_code,remaining_amt, payrec, mode_code,coinsurance_code,class_cd,it_remarks) values</v>
      </c>
      <c r="G4" s="16" t="str">
        <f t="shared" si="2"/>
        <v>('27Mar250028','050000861391','1655',(select max(to_number(i.premium_rcv_detail_code))+1
from ins_premium_det i),'1655','1655','02', '11000003','00','Request by Mr. Saqib Saleem 28-Mar-2025 End');</v>
      </c>
      <c r="H4" s="17" t="str">
        <f t="shared" si="3"/>
        <v>insert into ins_premium_det (premium_rcv_code,assorted_code, rec_amount,premium_rcv_detail_code,remaining_amt, payrec, mode_code,coinsurance_code,class_cd,it_remarks) values('27Mar250028','050000861391','1655',(select max(to_number(i.premium_rcv_detail_code))+1
from ins_premium_det i),'1655','1655','02', '11000003','00','Request by Mr. Saqib Saleem 28-Mar-2025 End');</v>
      </c>
    </row>
    <row r="5" spans="1:8" ht="105" x14ac:dyDescent="0.25">
      <c r="A5" s="2" t="s">
        <v>5448</v>
      </c>
      <c r="B5" s="13" t="str">
        <f>VLOOKUP(A5,POLICY1!B:C,2,0)</f>
        <v>050000861266</v>
      </c>
      <c r="C5" s="7">
        <v>-1264</v>
      </c>
      <c r="D5" s="14">
        <f t="shared" si="1"/>
        <v>-1264</v>
      </c>
      <c r="E5" s="19" t="s">
        <v>6323</v>
      </c>
      <c r="F5" s="15" t="str">
        <f t="shared" si="0"/>
        <v>insert into ins_premium_det (premium_rcv_code,assorted_code, rec_amount,premium_rcv_detail_code,remaining_amt, payrec, mode_code,coinsurance_code,class_cd,it_remarks) values</v>
      </c>
      <c r="G5" s="16" t="str">
        <f t="shared" si="2"/>
        <v>('27Mar250028','050000861266','-1264',(select max(to_number(i.premium_rcv_detail_code))+1
from ins_premium_det i),'-1264','-1264','02', '11000003','00','Request by Mr. Saqib Saleem 28-Mar-2025 End');</v>
      </c>
      <c r="H5" s="17" t="str">
        <f t="shared" si="3"/>
        <v>insert into ins_premium_det (premium_rcv_code,assorted_code, rec_amount,premium_rcv_detail_code,remaining_amt, payrec, mode_code,coinsurance_code,class_cd,it_remarks) values('27Mar250028','050000861266','-1264',(select max(to_number(i.premium_rcv_detail_code))+1
from ins_premium_det i),'-1264','-1264','02', '11000003','00','Request by Mr. Saqib Saleem 28-Mar-2025 End');</v>
      </c>
    </row>
    <row r="6" spans="1:8" ht="105" x14ac:dyDescent="0.25">
      <c r="A6" s="2" t="s">
        <v>5449</v>
      </c>
      <c r="B6" s="13" t="str">
        <f>VLOOKUP(A6,POLICY1!B:C,2,0)</f>
        <v>050000861268</v>
      </c>
      <c r="C6" s="7">
        <v>-1373</v>
      </c>
      <c r="D6" s="14">
        <f t="shared" si="1"/>
        <v>-1373</v>
      </c>
      <c r="E6" s="19" t="s">
        <v>6323</v>
      </c>
      <c r="F6" s="15" t="str">
        <f t="shared" si="0"/>
        <v>insert into ins_premium_det (premium_rcv_code,assorted_code, rec_amount,premium_rcv_detail_code,remaining_amt, payrec, mode_code,coinsurance_code,class_cd,it_remarks) values</v>
      </c>
      <c r="G6" s="16" t="str">
        <f t="shared" si="2"/>
        <v>('27Mar250028','050000861268','-1373',(select max(to_number(i.premium_rcv_detail_code))+1
from ins_premium_det i),'-1373','-1373','02', '11000003','00','Request by Mr. Saqib Saleem 28-Mar-2025 End');</v>
      </c>
      <c r="H6" s="17" t="str">
        <f t="shared" si="3"/>
        <v>insert into ins_premium_det (premium_rcv_code,assorted_code, rec_amount,premium_rcv_detail_code,remaining_amt, payrec, mode_code,coinsurance_code,class_cd,it_remarks) values('27Mar250028','050000861268','-1373',(select max(to_number(i.premium_rcv_detail_code))+1
from ins_premium_det i),'-1373','-1373','02', '11000003','00','Request by Mr. Saqib Saleem 28-Mar-2025 End');</v>
      </c>
    </row>
    <row r="7" spans="1:8" ht="105" x14ac:dyDescent="0.25">
      <c r="A7" s="2" t="s">
        <v>5450</v>
      </c>
      <c r="B7" s="13" t="str">
        <f>VLOOKUP(A7,POLICY1!B:C,2,0)</f>
        <v>050000861303</v>
      </c>
      <c r="C7" s="7">
        <v>-675</v>
      </c>
      <c r="D7" s="14">
        <f t="shared" si="1"/>
        <v>-675</v>
      </c>
      <c r="E7" s="19" t="s">
        <v>6323</v>
      </c>
      <c r="F7" s="15" t="str">
        <f t="shared" si="0"/>
        <v>insert into ins_premium_det (premium_rcv_code,assorted_code, rec_amount,premium_rcv_detail_code,remaining_amt, payrec, mode_code,coinsurance_code,class_cd,it_remarks) values</v>
      </c>
      <c r="G7" s="16" t="str">
        <f t="shared" si="2"/>
        <v>('27Mar250028','050000861303','-675',(select max(to_number(i.premium_rcv_detail_code))+1
from ins_premium_det i),'-675','-675','02', '11000003','00','Request by Mr. Saqib Saleem 28-Mar-2025 End');</v>
      </c>
      <c r="H7" s="17" t="str">
        <f t="shared" si="3"/>
        <v>insert into ins_premium_det (premium_rcv_code,assorted_code, rec_amount,premium_rcv_detail_code,remaining_amt, payrec, mode_code,coinsurance_code,class_cd,it_remarks) values('27Mar250028','050000861303','-675',(select max(to_number(i.premium_rcv_detail_code))+1
from ins_premium_det i),'-675','-675','02', '11000003','00','Request by Mr. Saqib Saleem 28-Mar-2025 End');</v>
      </c>
    </row>
    <row r="8" spans="1:8" ht="105" x14ac:dyDescent="0.25">
      <c r="A8" s="2" t="s">
        <v>5451</v>
      </c>
      <c r="B8" s="13" t="str">
        <f>VLOOKUP(A8,POLICY1!B:C,2,0)</f>
        <v>050000861354</v>
      </c>
      <c r="C8" s="7">
        <v>-4072</v>
      </c>
      <c r="D8" s="14">
        <f t="shared" si="1"/>
        <v>-4072</v>
      </c>
      <c r="E8" s="19" t="s">
        <v>6323</v>
      </c>
      <c r="F8" s="15" t="str">
        <f t="shared" si="0"/>
        <v>insert into ins_premium_det (premium_rcv_code,assorted_code, rec_amount,premium_rcv_detail_code,remaining_amt, payrec, mode_code,coinsurance_code,class_cd,it_remarks) values</v>
      </c>
      <c r="G8" s="16" t="str">
        <f t="shared" si="2"/>
        <v>('27Mar250028','050000861354','-4072',(select max(to_number(i.premium_rcv_detail_code))+1
from ins_premium_det i),'-4072','-4072','02', '11000003','00','Request by Mr. Saqib Saleem 28-Mar-2025 End');</v>
      </c>
      <c r="H8" s="17" t="str">
        <f t="shared" si="3"/>
        <v>insert into ins_premium_det (premium_rcv_code,assorted_code, rec_amount,premium_rcv_detail_code,remaining_amt, payrec, mode_code,coinsurance_code,class_cd,it_remarks) values('27Mar250028','050000861354','-4072',(select max(to_number(i.premium_rcv_detail_code))+1
from ins_premium_det i),'-4072','-4072','02', '11000003','00','Request by Mr. Saqib Saleem 28-Mar-2025 End');</v>
      </c>
    </row>
    <row r="9" spans="1:8" ht="105" x14ac:dyDescent="0.25">
      <c r="A9" s="2" t="s">
        <v>5452</v>
      </c>
      <c r="B9" s="13" t="str">
        <f>VLOOKUP(A9,POLICY1!B:C,2,0)</f>
        <v>050000861357</v>
      </c>
      <c r="C9" s="7">
        <v>-2924</v>
      </c>
      <c r="D9" s="14">
        <f t="shared" si="1"/>
        <v>-2924</v>
      </c>
      <c r="E9" s="19" t="s">
        <v>6323</v>
      </c>
      <c r="F9" s="15" t="str">
        <f t="shared" si="0"/>
        <v>insert into ins_premium_det (premium_rcv_code,assorted_code, rec_amount,premium_rcv_detail_code,remaining_amt, payrec, mode_code,coinsurance_code,class_cd,it_remarks) values</v>
      </c>
      <c r="G9" s="16" t="str">
        <f t="shared" si="2"/>
        <v>('27Mar250028','050000861357','-2924',(select max(to_number(i.premium_rcv_detail_code))+1
from ins_premium_det i),'-2924','-2924','02', '11000003','00','Request by Mr. Saqib Saleem 28-Mar-2025 End');</v>
      </c>
      <c r="H9" s="17" t="str">
        <f t="shared" si="3"/>
        <v>insert into ins_premium_det (premium_rcv_code,assorted_code, rec_amount,premium_rcv_detail_code,remaining_amt, payrec, mode_code,coinsurance_code,class_cd,it_remarks) values('27Mar250028','050000861357','-2924',(select max(to_number(i.premium_rcv_detail_code))+1
from ins_premium_det i),'-2924','-2924','02', '11000003','00','Request by Mr. Saqib Saleem 28-Mar-2025 End');</v>
      </c>
    </row>
    <row r="10" spans="1:8" ht="105" x14ac:dyDescent="0.25">
      <c r="A10" s="2" t="s">
        <v>5453</v>
      </c>
      <c r="B10" s="13" t="str">
        <f>VLOOKUP(A10,POLICY1!B:C,2,0)</f>
        <v>050000861363</v>
      </c>
      <c r="C10" s="7">
        <v>-2250</v>
      </c>
      <c r="D10" s="14">
        <f t="shared" si="1"/>
        <v>-2250</v>
      </c>
      <c r="E10" s="19" t="s">
        <v>6323</v>
      </c>
      <c r="F10" s="15" t="str">
        <f t="shared" si="0"/>
        <v>insert into ins_premium_det (premium_rcv_code,assorted_code, rec_amount,premium_rcv_detail_code,remaining_amt, payrec, mode_code,coinsurance_code,class_cd,it_remarks) values</v>
      </c>
      <c r="G10" s="16" t="str">
        <f t="shared" si="2"/>
        <v>('27Mar250028','050000861363','-2250',(select max(to_number(i.premium_rcv_detail_code))+1
from ins_premium_det i),'-2250','-2250','02', '11000003','00','Request by Mr. Saqib Saleem 28-Mar-2025 End');</v>
      </c>
      <c r="H10" s="17" t="str">
        <f t="shared" si="3"/>
        <v>insert into ins_premium_det (premium_rcv_code,assorted_code, rec_amount,premium_rcv_detail_code,remaining_amt, payrec, mode_code,coinsurance_code,class_cd,it_remarks) values('27Mar250028','050000861363','-2250',(select max(to_number(i.premium_rcv_detail_code))+1
from ins_premium_det i),'-2250','-2250','02', '11000003','00','Request by Mr. Saqib Saleem 28-Mar-2025 End');</v>
      </c>
    </row>
    <row r="11" spans="1:8" ht="105" x14ac:dyDescent="0.25">
      <c r="A11" s="2" t="s">
        <v>5454</v>
      </c>
      <c r="B11" s="13" t="str">
        <f>VLOOKUP(A11,POLICY1!B:C,2,0)</f>
        <v>050000861377</v>
      </c>
      <c r="C11" s="7">
        <v>-1375</v>
      </c>
      <c r="D11" s="14">
        <f t="shared" si="1"/>
        <v>-1375</v>
      </c>
      <c r="E11" s="19" t="s">
        <v>6323</v>
      </c>
      <c r="F11" s="15" t="str">
        <f t="shared" si="0"/>
        <v>insert into ins_premium_det (premium_rcv_code,assorted_code, rec_amount,premium_rcv_detail_code,remaining_amt, payrec, mode_code,coinsurance_code,class_cd,it_remarks) values</v>
      </c>
      <c r="G11" s="16" t="str">
        <f t="shared" si="2"/>
        <v>('27Mar250028','050000861377','-1375',(select max(to_number(i.premium_rcv_detail_code))+1
from ins_premium_det i),'-1375','-1375','02', '11000003','00','Request by Mr. Saqib Saleem 28-Mar-2025 End');</v>
      </c>
      <c r="H11" s="17" t="str">
        <f t="shared" si="3"/>
        <v>insert into ins_premium_det (premium_rcv_code,assorted_code, rec_amount,premium_rcv_detail_code,remaining_amt, payrec, mode_code,coinsurance_code,class_cd,it_remarks) values('27Mar250028','050000861377','-1375',(select max(to_number(i.premium_rcv_detail_code))+1
from ins_premium_det i),'-1375','-1375','02', '11000003','00','Request by Mr. Saqib Saleem 28-Mar-2025 End');</v>
      </c>
    </row>
    <row r="12" spans="1:8" ht="105" x14ac:dyDescent="0.25">
      <c r="A12" s="2" t="s">
        <v>5455</v>
      </c>
      <c r="B12" s="13" t="str">
        <f>VLOOKUP(A12,POLICY1!B:C,2,0)</f>
        <v>050000861417</v>
      </c>
      <c r="C12" s="7">
        <v>-1020</v>
      </c>
      <c r="D12" s="14">
        <f t="shared" si="1"/>
        <v>-1020</v>
      </c>
      <c r="E12" s="19" t="s">
        <v>6323</v>
      </c>
      <c r="F12" s="15" t="str">
        <f t="shared" si="0"/>
        <v>insert into ins_premium_det (premium_rcv_code,assorted_code, rec_amount,premium_rcv_detail_code,remaining_amt, payrec, mode_code,coinsurance_code,class_cd,it_remarks) values</v>
      </c>
      <c r="G12" s="16" t="str">
        <f t="shared" si="2"/>
        <v>('27Mar250028','050000861417','-1020',(select max(to_number(i.premium_rcv_detail_code))+1
from ins_premium_det i),'-1020','-1020','02', '11000003','00','Request by Mr. Saqib Saleem 28-Mar-2025 End');</v>
      </c>
      <c r="H12" s="17" t="str">
        <f t="shared" si="3"/>
        <v>insert into ins_premium_det (premium_rcv_code,assorted_code, rec_amount,premium_rcv_detail_code,remaining_amt, payrec, mode_code,coinsurance_code,class_cd,it_remarks) values('27Mar250028','050000861417','-1020',(select max(to_number(i.premium_rcv_detail_code))+1
from ins_premium_det i),'-1020','-1020','02', '11000003','00','Request by Mr. Saqib Saleem 28-Mar-2025 End');</v>
      </c>
    </row>
    <row r="13" spans="1:8" ht="105" x14ac:dyDescent="0.25">
      <c r="A13" s="2" t="s">
        <v>5456</v>
      </c>
      <c r="B13" s="13" t="str">
        <f>VLOOKUP(A13,POLICY1!B:C,2,0)</f>
        <v>050000861427</v>
      </c>
      <c r="C13" s="7">
        <v>-4072</v>
      </c>
      <c r="D13" s="14">
        <f t="shared" si="1"/>
        <v>-4072</v>
      </c>
      <c r="E13" s="19" t="s">
        <v>6323</v>
      </c>
      <c r="F13" s="15" t="str">
        <f t="shared" si="0"/>
        <v>insert into ins_premium_det (premium_rcv_code,assorted_code, rec_amount,premium_rcv_detail_code,remaining_amt, payrec, mode_code,coinsurance_code,class_cd,it_remarks) values</v>
      </c>
      <c r="G13" s="16" t="str">
        <f t="shared" si="2"/>
        <v>('27Mar250028','050000861427','-4072',(select max(to_number(i.premium_rcv_detail_code))+1
from ins_premium_det i),'-4072','-4072','02', '11000003','00','Request by Mr. Saqib Saleem 28-Mar-2025 End');</v>
      </c>
      <c r="H13" s="17" t="str">
        <f t="shared" si="3"/>
        <v>insert into ins_premium_det (premium_rcv_code,assorted_code, rec_amount,premium_rcv_detail_code,remaining_amt, payrec, mode_code,coinsurance_code,class_cd,it_remarks) values('27Mar250028','050000861427','-4072',(select max(to_number(i.premium_rcv_detail_code))+1
from ins_premium_det i),'-4072','-4072','02', '11000003','00','Request by Mr. Saqib Saleem 28-Mar-2025 End');</v>
      </c>
    </row>
    <row r="14" spans="1:8" ht="105" x14ac:dyDescent="0.25">
      <c r="A14" s="2" t="s">
        <v>5457</v>
      </c>
      <c r="B14" s="13" t="str">
        <f>VLOOKUP(A14,POLICY1!B:C,2,0)</f>
        <v>050000861428</v>
      </c>
      <c r="C14" s="7">
        <v>-4072</v>
      </c>
      <c r="D14" s="14">
        <f t="shared" si="1"/>
        <v>-4072</v>
      </c>
      <c r="E14" s="19" t="s">
        <v>6323</v>
      </c>
      <c r="F14" s="15" t="str">
        <f t="shared" si="0"/>
        <v>insert into ins_premium_det (premium_rcv_code,assorted_code, rec_amount,premium_rcv_detail_code,remaining_amt, payrec, mode_code,coinsurance_code,class_cd,it_remarks) values</v>
      </c>
      <c r="G14" s="16" t="str">
        <f t="shared" si="2"/>
        <v>('27Mar250028','050000861428','-4072',(select max(to_number(i.premium_rcv_detail_code))+1
from ins_premium_det i),'-4072','-4072','02', '11000003','00','Request by Mr. Saqib Saleem 28-Mar-2025 End');</v>
      </c>
      <c r="H14" s="17" t="str">
        <f t="shared" si="3"/>
        <v>insert into ins_premium_det (premium_rcv_code,assorted_code, rec_amount,premium_rcv_detail_code,remaining_amt, payrec, mode_code,coinsurance_code,class_cd,it_remarks) values('27Mar250028','050000861428','-4072',(select max(to_number(i.premium_rcv_detail_code))+1
from ins_premium_det i),'-4072','-4072','02', '11000003','00','Request by Mr. Saqib Saleem 28-Mar-2025 End');</v>
      </c>
    </row>
    <row r="15" spans="1:8" ht="105" x14ac:dyDescent="0.25">
      <c r="A15" s="2" t="s">
        <v>5458</v>
      </c>
      <c r="B15" s="13" t="str">
        <f>VLOOKUP(A15,POLICY1!B:C,2,0)</f>
        <v>050000861444</v>
      </c>
      <c r="C15" s="7">
        <v>-2939</v>
      </c>
      <c r="D15" s="14">
        <f t="shared" si="1"/>
        <v>-2939</v>
      </c>
      <c r="E15" s="19" t="s">
        <v>6323</v>
      </c>
      <c r="F15" s="15" t="str">
        <f t="shared" si="0"/>
        <v>insert into ins_premium_det (premium_rcv_code,assorted_code, rec_amount,premium_rcv_detail_code,remaining_amt, payrec, mode_code,coinsurance_code,class_cd,it_remarks) values</v>
      </c>
      <c r="G15" s="16" t="str">
        <f t="shared" si="2"/>
        <v>('27Mar250028','050000861444','-2939',(select max(to_number(i.premium_rcv_detail_code))+1
from ins_premium_det i),'-2939','-2939','02', '11000003','00','Request by Mr. Saqib Saleem 28-Mar-2025 End');</v>
      </c>
      <c r="H15" s="17" t="str">
        <f t="shared" si="3"/>
        <v>insert into ins_premium_det (premium_rcv_code,assorted_code, rec_amount,premium_rcv_detail_code,remaining_amt, payrec, mode_code,coinsurance_code,class_cd,it_remarks) values('27Mar250028','050000861444','-2939',(select max(to_number(i.premium_rcv_detail_code))+1
from ins_premium_det i),'-2939','-2939','02', '11000003','00','Request by Mr. Saqib Saleem 28-Mar-2025 End');</v>
      </c>
    </row>
    <row r="16" spans="1:8" ht="105" x14ac:dyDescent="0.25">
      <c r="A16" s="2" t="s">
        <v>5459</v>
      </c>
      <c r="B16" s="13" t="str">
        <f>VLOOKUP(A16,POLICY1!B:C,2,0)</f>
        <v>050000861449</v>
      </c>
      <c r="C16" s="7">
        <v>-1700</v>
      </c>
      <c r="D16" s="14">
        <f t="shared" si="1"/>
        <v>-1700</v>
      </c>
      <c r="E16" s="19" t="s">
        <v>6323</v>
      </c>
      <c r="F16" s="15" t="str">
        <f t="shared" si="0"/>
        <v>insert into ins_premium_det (premium_rcv_code,assorted_code, rec_amount,premium_rcv_detail_code,remaining_amt, payrec, mode_code,coinsurance_code,class_cd,it_remarks) values</v>
      </c>
      <c r="G16" s="16" t="str">
        <f t="shared" si="2"/>
        <v>('27Mar250028','050000861449','-1700',(select max(to_number(i.premium_rcv_detail_code))+1
from ins_premium_det i),'-1700','-1700','02', '11000003','00','Request by Mr. Saqib Saleem 28-Mar-2025 End');</v>
      </c>
      <c r="H16" s="17" t="str">
        <f t="shared" si="3"/>
        <v>insert into ins_premium_det (premium_rcv_code,assorted_code, rec_amount,premium_rcv_detail_code,remaining_amt, payrec, mode_code,coinsurance_code,class_cd,it_remarks) values('27Mar250028','050000861449','-1700',(select max(to_number(i.premium_rcv_detail_code))+1
from ins_premium_det i),'-1700','-1700','02', '11000003','00','Request by Mr. Saqib Saleem 28-Mar-2025 End');</v>
      </c>
    </row>
    <row r="17" spans="1:8" ht="105" x14ac:dyDescent="0.25">
      <c r="A17" s="2" t="s">
        <v>5460</v>
      </c>
      <c r="B17" s="13" t="str">
        <f>VLOOKUP(A17,POLICY1!B:C,2,0)</f>
        <v>050000861455</v>
      </c>
      <c r="C17" s="7">
        <v>-4072</v>
      </c>
      <c r="D17" s="14">
        <f t="shared" si="1"/>
        <v>-4072</v>
      </c>
      <c r="E17" s="19" t="s">
        <v>6323</v>
      </c>
      <c r="F17" s="15" t="str">
        <f t="shared" si="0"/>
        <v>insert into ins_premium_det (premium_rcv_code,assorted_code, rec_amount,premium_rcv_detail_code,remaining_amt, payrec, mode_code,coinsurance_code,class_cd,it_remarks) values</v>
      </c>
      <c r="G17" s="16" t="str">
        <f t="shared" si="2"/>
        <v>('27Mar250028','050000861455','-4072',(select max(to_number(i.premium_rcv_detail_code))+1
from ins_premium_det i),'-4072','-4072','02', '11000003','00','Request by Mr. Saqib Saleem 28-Mar-2025 End');</v>
      </c>
      <c r="H17" s="17" t="str">
        <f t="shared" si="3"/>
        <v>insert into ins_premium_det (premium_rcv_code,assorted_code, rec_amount,premium_rcv_detail_code,remaining_amt, payrec, mode_code,coinsurance_code,class_cd,it_remarks) values('27Mar250028','050000861455','-4072',(select max(to_number(i.premium_rcv_detail_code))+1
from ins_premium_det i),'-4072','-4072','02', '11000003','00','Request by Mr. Saqib Saleem 28-Mar-2025 End');</v>
      </c>
    </row>
    <row r="18" spans="1:8" ht="105" x14ac:dyDescent="0.25">
      <c r="A18" s="2" t="s">
        <v>5461</v>
      </c>
      <c r="B18" s="13" t="str">
        <f>VLOOKUP(A18,POLICY1!B:C,2,0)</f>
        <v>050000861458</v>
      </c>
      <c r="C18" s="7">
        <v>-1241</v>
      </c>
      <c r="D18" s="14">
        <f t="shared" si="1"/>
        <v>-1241</v>
      </c>
      <c r="E18" s="19" t="s">
        <v>6323</v>
      </c>
      <c r="F18" s="15" t="str">
        <f t="shared" si="0"/>
        <v>insert into ins_premium_det (premium_rcv_code,assorted_code, rec_amount,premium_rcv_detail_code,remaining_amt, payrec, mode_code,coinsurance_code,class_cd,it_remarks) values</v>
      </c>
      <c r="G18" s="16" t="str">
        <f t="shared" si="2"/>
        <v>('27Mar250028','050000861458','-1241',(select max(to_number(i.premium_rcv_detail_code))+1
from ins_premium_det i),'-1241','-1241','02', '11000003','00','Request by Mr. Saqib Saleem 28-Mar-2025 End');</v>
      </c>
      <c r="H18" s="17" t="str">
        <f t="shared" si="3"/>
        <v>insert into ins_premium_det (premium_rcv_code,assorted_code, rec_amount,premium_rcv_detail_code,remaining_amt, payrec, mode_code,coinsurance_code,class_cd,it_remarks) values('27Mar250028','050000861458','-1241',(select max(to_number(i.premium_rcv_detail_code))+1
from ins_premium_det i),'-1241','-1241','02', '11000003','00','Request by Mr. Saqib Saleem 28-Mar-2025 End');</v>
      </c>
    </row>
    <row r="19" spans="1:8" ht="105" x14ac:dyDescent="0.25">
      <c r="A19" s="2" t="s">
        <v>5462</v>
      </c>
      <c r="B19" s="13" t="str">
        <f>VLOOKUP(A19,POLICY1!B:C,2,0)</f>
        <v>050000861461</v>
      </c>
      <c r="C19" s="7">
        <v>-750</v>
      </c>
      <c r="D19" s="14">
        <f t="shared" si="1"/>
        <v>-750</v>
      </c>
      <c r="E19" s="19" t="s">
        <v>6323</v>
      </c>
      <c r="F19" s="15" t="str">
        <f t="shared" si="0"/>
        <v>insert into ins_premium_det (premium_rcv_code,assorted_code, rec_amount,premium_rcv_detail_code,remaining_amt, payrec, mode_code,coinsurance_code,class_cd,it_remarks) values</v>
      </c>
      <c r="G19" s="16" t="str">
        <f t="shared" si="2"/>
        <v>('27Mar250028','050000861461','-750',(select max(to_number(i.premium_rcv_detail_code))+1
from ins_premium_det i),'-750','-750','02', '11000003','00','Request by Mr. Saqib Saleem 28-Mar-2025 End');</v>
      </c>
      <c r="H19" s="17" t="str">
        <f t="shared" si="3"/>
        <v>insert into ins_premium_det (premium_rcv_code,assorted_code, rec_amount,premium_rcv_detail_code,remaining_amt, payrec, mode_code,coinsurance_code,class_cd,it_remarks) values('27Mar250028','050000861461','-750',(select max(to_number(i.premium_rcv_detail_code))+1
from ins_premium_det i),'-750','-750','02', '11000003','00','Request by Mr. Saqib Saleem 28-Mar-2025 End');</v>
      </c>
    </row>
    <row r="20" spans="1:8" ht="105" x14ac:dyDescent="0.25">
      <c r="A20" s="2" t="s">
        <v>5463</v>
      </c>
      <c r="B20" s="13" t="str">
        <f>VLOOKUP(A20,POLICY1!B:C,2,0)</f>
        <v>050000861480</v>
      </c>
      <c r="C20" s="7">
        <v>-1913</v>
      </c>
      <c r="D20" s="14">
        <f t="shared" si="1"/>
        <v>-1913</v>
      </c>
      <c r="E20" s="19" t="s">
        <v>6323</v>
      </c>
      <c r="F20" s="15" t="str">
        <f t="shared" si="0"/>
        <v>insert into ins_premium_det (premium_rcv_code,assorted_code, rec_amount,premium_rcv_detail_code,remaining_amt, payrec, mode_code,coinsurance_code,class_cd,it_remarks) values</v>
      </c>
      <c r="G20" s="16" t="str">
        <f t="shared" si="2"/>
        <v>('27Mar250028','050000861480','-1913',(select max(to_number(i.premium_rcv_detail_code))+1
from ins_premium_det i),'-1913','-1913','02', '11000003','00','Request by Mr. Saqib Saleem 28-Mar-2025 End');</v>
      </c>
      <c r="H20" s="17" t="str">
        <f t="shared" si="3"/>
        <v>insert into ins_premium_det (premium_rcv_code,assorted_code, rec_amount,premium_rcv_detail_code,remaining_amt, payrec, mode_code,coinsurance_code,class_cd,it_remarks) values('27Mar250028','050000861480','-1913',(select max(to_number(i.premium_rcv_detail_code))+1
from ins_premium_det i),'-1913','-1913','02', '11000003','00','Request by Mr. Saqib Saleem 28-Mar-2025 End');</v>
      </c>
    </row>
    <row r="21" spans="1:8" ht="105" x14ac:dyDescent="0.25">
      <c r="A21" s="2" t="s">
        <v>5464</v>
      </c>
      <c r="B21" s="13" t="str">
        <f>VLOOKUP(A21,POLICY1!B:C,2,0)</f>
        <v>050000861482</v>
      </c>
      <c r="C21" s="7">
        <v>-1975</v>
      </c>
      <c r="D21" s="14">
        <f t="shared" si="1"/>
        <v>-1975</v>
      </c>
      <c r="E21" s="19" t="s">
        <v>6323</v>
      </c>
      <c r="F21" s="15" t="str">
        <f t="shared" si="0"/>
        <v>insert into ins_premium_det (premium_rcv_code,assorted_code, rec_amount,premium_rcv_detail_code,remaining_amt, payrec, mode_code,coinsurance_code,class_cd,it_remarks) values</v>
      </c>
      <c r="G21" s="16" t="str">
        <f t="shared" si="2"/>
        <v>('27Mar250028','050000861482','-1975',(select max(to_number(i.premium_rcv_detail_code))+1
from ins_premium_det i),'-1975','-1975','02', '11000003','00','Request by Mr. Saqib Saleem 28-Mar-2025 End');</v>
      </c>
      <c r="H21" s="17" t="str">
        <f t="shared" si="3"/>
        <v>insert into ins_premium_det (premium_rcv_code,assorted_code, rec_amount,premium_rcv_detail_code,remaining_amt, payrec, mode_code,coinsurance_code,class_cd,it_remarks) values('27Mar250028','050000861482','-1975',(select max(to_number(i.premium_rcv_detail_code))+1
from ins_premium_det i),'-1975','-1975','02', '11000003','00','Request by Mr. Saqib Saleem 28-Mar-2025 End');</v>
      </c>
    </row>
    <row r="22" spans="1:8" ht="105" x14ac:dyDescent="0.25">
      <c r="A22" s="2" t="s">
        <v>5465</v>
      </c>
      <c r="B22" s="13" t="str">
        <f>VLOOKUP(A22,POLICY1!B:C,2,0)</f>
        <v>050000861491</v>
      </c>
      <c r="C22" s="7">
        <v>-1050</v>
      </c>
      <c r="D22" s="14">
        <f t="shared" si="1"/>
        <v>-1050</v>
      </c>
      <c r="E22" s="19" t="s">
        <v>6323</v>
      </c>
      <c r="F22" s="15" t="str">
        <f t="shared" si="0"/>
        <v>insert into ins_premium_det (premium_rcv_code,assorted_code, rec_amount,premium_rcv_detail_code,remaining_amt, payrec, mode_code,coinsurance_code,class_cd,it_remarks) values</v>
      </c>
      <c r="G22" s="16" t="str">
        <f t="shared" si="2"/>
        <v>('27Mar250028','050000861491','-1050',(select max(to_number(i.premium_rcv_detail_code))+1
from ins_premium_det i),'-1050','-1050','02', '11000003','00','Request by Mr. Saqib Saleem 28-Mar-2025 End');</v>
      </c>
      <c r="H22" s="17" t="str">
        <f t="shared" si="3"/>
        <v>insert into ins_premium_det (premium_rcv_code,assorted_code, rec_amount,premium_rcv_detail_code,remaining_amt, payrec, mode_code,coinsurance_code,class_cd,it_remarks) values('27Mar250028','050000861491','-1050',(select max(to_number(i.premium_rcv_detail_code))+1
from ins_premium_det i),'-1050','-1050','02', '11000003','00','Request by Mr. Saqib Saleem 28-Mar-2025 End');</v>
      </c>
    </row>
    <row r="23" spans="1:8" ht="105" x14ac:dyDescent="0.25">
      <c r="A23" s="2" t="s">
        <v>5466</v>
      </c>
      <c r="B23" s="13" t="str">
        <f>VLOOKUP(A23,POLICY1!B:C,2,0)</f>
        <v>050000861276</v>
      </c>
      <c r="C23" s="7">
        <v>-3005</v>
      </c>
      <c r="D23" s="14">
        <f t="shared" si="1"/>
        <v>-3005</v>
      </c>
      <c r="E23" s="19" t="s">
        <v>6323</v>
      </c>
      <c r="F23" s="15" t="str">
        <f t="shared" si="0"/>
        <v>insert into ins_premium_det (premium_rcv_code,assorted_code, rec_amount,premium_rcv_detail_code,remaining_amt, payrec, mode_code,coinsurance_code,class_cd,it_remarks) values</v>
      </c>
      <c r="G23" s="16" t="str">
        <f t="shared" si="2"/>
        <v>('27Mar250028','050000861276','-3005',(select max(to_number(i.premium_rcv_detail_code))+1
from ins_premium_det i),'-3005','-3005','02', '11000003','00','Request by Mr. Saqib Saleem 28-Mar-2025 End');</v>
      </c>
      <c r="H23" s="17" t="str">
        <f t="shared" si="3"/>
        <v>insert into ins_premium_det (premium_rcv_code,assorted_code, rec_amount,premium_rcv_detail_code,remaining_amt, payrec, mode_code,coinsurance_code,class_cd,it_remarks) values('27Mar250028','050000861276','-3005',(select max(to_number(i.premium_rcv_detail_code))+1
from ins_premium_det i),'-3005','-3005','02', '11000003','00','Request by Mr. Saqib Saleem 28-Mar-2025 End');</v>
      </c>
    </row>
    <row r="24" spans="1:8" ht="105" x14ac:dyDescent="0.25">
      <c r="A24" s="2" t="s">
        <v>5467</v>
      </c>
      <c r="B24" s="13" t="str">
        <f>VLOOKUP(A24,POLICY1!B:C,2,0)</f>
        <v>050000861292</v>
      </c>
      <c r="C24" s="7">
        <v>-1748</v>
      </c>
      <c r="D24" s="14">
        <f t="shared" si="1"/>
        <v>-1748</v>
      </c>
      <c r="E24" s="19" t="s">
        <v>6323</v>
      </c>
      <c r="F24" s="15" t="str">
        <f t="shared" si="0"/>
        <v>insert into ins_premium_det (premium_rcv_code,assorted_code, rec_amount,premium_rcv_detail_code,remaining_amt, payrec, mode_code,coinsurance_code,class_cd,it_remarks) values</v>
      </c>
      <c r="G24" s="16" t="str">
        <f t="shared" si="2"/>
        <v>('27Mar250028','050000861292','-1748',(select max(to_number(i.premium_rcv_detail_code))+1
from ins_premium_det i),'-1748','-1748','02', '11000003','00','Request by Mr. Saqib Saleem 28-Mar-2025 End');</v>
      </c>
      <c r="H24" s="17" t="str">
        <f t="shared" si="3"/>
        <v>insert into ins_premium_det (premium_rcv_code,assorted_code, rec_amount,premium_rcv_detail_code,remaining_amt, payrec, mode_code,coinsurance_code,class_cd,it_remarks) values('27Mar250028','050000861292','-1748',(select max(to_number(i.premium_rcv_detail_code))+1
from ins_premium_det i),'-1748','-1748','02', '11000003','00','Request by Mr. Saqib Saleem 28-Mar-2025 End');</v>
      </c>
    </row>
    <row r="25" spans="1:8" ht="105" x14ac:dyDescent="0.25">
      <c r="A25" s="2" t="s">
        <v>5468</v>
      </c>
      <c r="B25" s="13" t="str">
        <f>VLOOKUP(A25,POLICY1!B:C,2,0)</f>
        <v>050000861299</v>
      </c>
      <c r="C25" s="7">
        <v>-1481</v>
      </c>
      <c r="D25" s="14">
        <f t="shared" si="1"/>
        <v>-1481</v>
      </c>
      <c r="E25" s="19" t="s">
        <v>6323</v>
      </c>
      <c r="F25" s="15" t="str">
        <f t="shared" si="0"/>
        <v>insert into ins_premium_det (premium_rcv_code,assorted_code, rec_amount,premium_rcv_detail_code,remaining_amt, payrec, mode_code,coinsurance_code,class_cd,it_remarks) values</v>
      </c>
      <c r="G25" s="16" t="str">
        <f t="shared" si="2"/>
        <v>('27Mar250028','050000861299','-1481',(select max(to_number(i.premium_rcv_detail_code))+1
from ins_premium_det i),'-1481','-1481','02', '11000003','00','Request by Mr. Saqib Saleem 28-Mar-2025 End');</v>
      </c>
      <c r="H25" s="17" t="str">
        <f t="shared" si="3"/>
        <v>insert into ins_premium_det (premium_rcv_code,assorted_code, rec_amount,premium_rcv_detail_code,remaining_amt, payrec, mode_code,coinsurance_code,class_cd,it_remarks) values('27Mar250028','050000861299','-1481',(select max(to_number(i.premium_rcv_detail_code))+1
from ins_premium_det i),'-1481','-1481','02', '11000003','00','Request by Mr. Saqib Saleem 28-Mar-2025 End');</v>
      </c>
    </row>
    <row r="26" spans="1:8" ht="105" x14ac:dyDescent="0.25">
      <c r="A26" s="2" t="s">
        <v>5469</v>
      </c>
      <c r="B26" s="13" t="str">
        <f>VLOOKUP(A26,POLICY1!B:C,2,0)</f>
        <v>050000861332</v>
      </c>
      <c r="C26" s="7">
        <v>-1200</v>
      </c>
      <c r="D26" s="14">
        <f t="shared" si="1"/>
        <v>-1200</v>
      </c>
      <c r="E26" s="19" t="s">
        <v>6323</v>
      </c>
      <c r="F26" s="15" t="str">
        <f t="shared" si="0"/>
        <v>insert into ins_premium_det (premium_rcv_code,assorted_code, rec_amount,premium_rcv_detail_code,remaining_amt, payrec, mode_code,coinsurance_code,class_cd,it_remarks) values</v>
      </c>
      <c r="G26" s="16" t="str">
        <f t="shared" si="2"/>
        <v>('27Mar250028','050000861332','-1200',(select max(to_number(i.premium_rcv_detail_code))+1
from ins_premium_det i),'-1200','-1200','02', '11000003','00','Request by Mr. Saqib Saleem 28-Mar-2025 End');</v>
      </c>
      <c r="H26" s="17" t="str">
        <f t="shared" si="3"/>
        <v>insert into ins_premium_det (premium_rcv_code,assorted_code, rec_amount,premium_rcv_detail_code,remaining_amt, payrec, mode_code,coinsurance_code,class_cd,it_remarks) values('27Mar250028','050000861332','-1200',(select max(to_number(i.premium_rcv_detail_code))+1
from ins_premium_det i),'-1200','-1200','02', '11000003','00','Request by Mr. Saqib Saleem 28-Mar-2025 End');</v>
      </c>
    </row>
    <row r="27" spans="1:8" ht="105" x14ac:dyDescent="0.25">
      <c r="A27" s="2" t="s">
        <v>5470</v>
      </c>
      <c r="B27" s="13" t="str">
        <f>VLOOKUP(A27,POLICY1!B:C,2,0)</f>
        <v>050000861395</v>
      </c>
      <c r="C27" s="7">
        <v>-1125</v>
      </c>
      <c r="D27" s="14">
        <f t="shared" si="1"/>
        <v>-1125</v>
      </c>
      <c r="E27" s="19" t="s">
        <v>6323</v>
      </c>
      <c r="F27" s="15" t="str">
        <f t="shared" si="0"/>
        <v>insert into ins_premium_det (premium_rcv_code,assorted_code, rec_amount,premium_rcv_detail_code,remaining_amt, payrec, mode_code,coinsurance_code,class_cd,it_remarks) values</v>
      </c>
      <c r="G27" s="16" t="str">
        <f t="shared" si="2"/>
        <v>('27Mar250028','050000861395','-1125',(select max(to_number(i.premium_rcv_detail_code))+1
from ins_premium_det i),'-1125','-1125','02', '11000003','00','Request by Mr. Saqib Saleem 28-Mar-2025 End');</v>
      </c>
      <c r="H27" s="17" t="str">
        <f t="shared" si="3"/>
        <v>insert into ins_premium_det (premium_rcv_code,assorted_code, rec_amount,premium_rcv_detail_code,remaining_amt, payrec, mode_code,coinsurance_code,class_cd,it_remarks) values('27Mar250028','050000861395','-1125',(select max(to_number(i.premium_rcv_detail_code))+1
from ins_premium_det i),'-1125','-1125','02', '11000003','00','Request by Mr. Saqib Saleem 28-Mar-2025 End');</v>
      </c>
    </row>
    <row r="28" spans="1:8" ht="105" x14ac:dyDescent="0.25">
      <c r="A28" s="2" t="s">
        <v>5471</v>
      </c>
      <c r="B28" s="13" t="str">
        <f>VLOOKUP(A28,POLICY1!B:C,2,0)</f>
        <v>050000861403</v>
      </c>
      <c r="C28" s="7">
        <v>-1275</v>
      </c>
      <c r="D28" s="14">
        <f t="shared" si="1"/>
        <v>-1275</v>
      </c>
      <c r="E28" s="19" t="s">
        <v>6323</v>
      </c>
      <c r="F28" s="15" t="str">
        <f t="shared" si="0"/>
        <v>insert into ins_premium_det (premium_rcv_code,assorted_code, rec_amount,premium_rcv_detail_code,remaining_amt, payrec, mode_code,coinsurance_code,class_cd,it_remarks) values</v>
      </c>
      <c r="G28" s="16" t="str">
        <f t="shared" si="2"/>
        <v>('27Mar250028','050000861403','-1275',(select max(to_number(i.premium_rcv_detail_code))+1
from ins_premium_det i),'-1275','-1275','02', '11000003','00','Request by Mr. Saqib Saleem 28-Mar-2025 End');</v>
      </c>
      <c r="H28" s="17" t="str">
        <f t="shared" si="3"/>
        <v>insert into ins_premium_det (premium_rcv_code,assorted_code, rec_amount,premium_rcv_detail_code,remaining_amt, payrec, mode_code,coinsurance_code,class_cd,it_remarks) values('27Mar250028','050000861403','-1275',(select max(to_number(i.premium_rcv_detail_code))+1
from ins_premium_det i),'-1275','-1275','02', '11000003','00','Request by Mr. Saqib Saleem 28-Mar-2025 End');</v>
      </c>
    </row>
    <row r="29" spans="1:8" ht="105" x14ac:dyDescent="0.25">
      <c r="A29" s="2" t="s">
        <v>5472</v>
      </c>
      <c r="B29" s="13" t="str">
        <f>VLOOKUP(A29,POLICY1!B:C,2,0)</f>
        <v>050000861379</v>
      </c>
      <c r="C29" s="7">
        <v>-4249</v>
      </c>
      <c r="D29" s="14">
        <f t="shared" si="1"/>
        <v>-4249</v>
      </c>
      <c r="E29" s="19" t="s">
        <v>6323</v>
      </c>
      <c r="F29" s="15" t="str">
        <f t="shared" si="0"/>
        <v>insert into ins_premium_det (premium_rcv_code,assorted_code, rec_amount,premium_rcv_detail_code,remaining_amt, payrec, mode_code,coinsurance_code,class_cd,it_remarks) values</v>
      </c>
      <c r="G29" s="16" t="str">
        <f t="shared" si="2"/>
        <v>('27Mar250028','050000861379','-4249',(select max(to_number(i.premium_rcv_detail_code))+1
from ins_premium_det i),'-4249','-4249','02', '11000003','00','Request by Mr. Saqib Saleem 28-Mar-2025 End');</v>
      </c>
      <c r="H29" s="17" t="str">
        <f t="shared" si="3"/>
        <v>insert into ins_premium_det (premium_rcv_code,assorted_code, rec_amount,premium_rcv_detail_code,remaining_amt, payrec, mode_code,coinsurance_code,class_cd,it_remarks) values('27Mar250028','050000861379','-4249',(select max(to_number(i.premium_rcv_detail_code))+1
from ins_premium_det i),'-4249','-4249','02', '11000003','00','Request by Mr. Saqib Saleem 28-Mar-2025 End');</v>
      </c>
    </row>
    <row r="30" spans="1:8" ht="105" x14ac:dyDescent="0.25">
      <c r="A30" s="2" t="s">
        <v>5473</v>
      </c>
      <c r="B30" s="13" t="str">
        <f>VLOOKUP(A30,POLICY1!B:C,2,0)</f>
        <v>050000861484</v>
      </c>
      <c r="C30" s="7">
        <v>-1350</v>
      </c>
      <c r="D30" s="14">
        <f t="shared" si="1"/>
        <v>-1350</v>
      </c>
      <c r="E30" s="19" t="s">
        <v>6323</v>
      </c>
      <c r="F30" s="15" t="str">
        <f t="shared" si="0"/>
        <v>insert into ins_premium_det (premium_rcv_code,assorted_code, rec_amount,premium_rcv_detail_code,remaining_amt, payrec, mode_code,coinsurance_code,class_cd,it_remarks) values</v>
      </c>
      <c r="G30" s="16" t="str">
        <f t="shared" si="2"/>
        <v>('27Mar250028','050000861484','-1350',(select max(to_number(i.premium_rcv_detail_code))+1
from ins_premium_det i),'-1350','-1350','02', '11000003','00','Request by Mr. Saqib Saleem 28-Mar-2025 End');</v>
      </c>
      <c r="H30" s="17" t="str">
        <f t="shared" si="3"/>
        <v>insert into ins_premium_det (premium_rcv_code,assorted_code, rec_amount,premium_rcv_detail_code,remaining_amt, payrec, mode_code,coinsurance_code,class_cd,it_remarks) values('27Mar250028','050000861484','-1350',(select max(to_number(i.premium_rcv_detail_code))+1
from ins_premium_det i),'-1350','-1350','02', '11000003','00','Request by Mr. Saqib Saleem 28-Mar-2025 End');</v>
      </c>
    </row>
    <row r="31" spans="1:8" ht="105" x14ac:dyDescent="0.25">
      <c r="A31" s="2" t="s">
        <v>5474</v>
      </c>
      <c r="B31" s="13" t="str">
        <f>VLOOKUP(A31,POLICY1!B:C,2,0)</f>
        <v>050000861468</v>
      </c>
      <c r="C31" s="7">
        <v>-2400</v>
      </c>
      <c r="D31" s="14">
        <f t="shared" si="1"/>
        <v>-2400</v>
      </c>
      <c r="E31" s="19" t="s">
        <v>6323</v>
      </c>
      <c r="F31" s="15" t="str">
        <f t="shared" si="0"/>
        <v>insert into ins_premium_det (premium_rcv_code,assorted_code, rec_amount,premium_rcv_detail_code,remaining_amt, payrec, mode_code,coinsurance_code,class_cd,it_remarks) values</v>
      </c>
      <c r="G31" s="16" t="str">
        <f t="shared" si="2"/>
        <v>('27Mar250028','050000861468','-2400',(select max(to_number(i.premium_rcv_detail_code))+1
from ins_premium_det i),'-2400','-2400','02', '11000003','00','Request by Mr. Saqib Saleem 28-Mar-2025 End');</v>
      </c>
      <c r="H31" s="17" t="str">
        <f t="shared" si="3"/>
        <v>insert into ins_premium_det (premium_rcv_code,assorted_code, rec_amount,premium_rcv_detail_code,remaining_amt, payrec, mode_code,coinsurance_code,class_cd,it_remarks) values('27Mar250028','050000861468','-2400',(select max(to_number(i.premium_rcv_detail_code))+1
from ins_premium_det i),'-2400','-2400','02', '11000003','00','Request by Mr. Saqib Saleem 28-Mar-2025 End');</v>
      </c>
    </row>
    <row r="32" spans="1:8" ht="105" x14ac:dyDescent="0.25">
      <c r="A32" s="2" t="s">
        <v>5475</v>
      </c>
      <c r="B32" s="13" t="str">
        <f>VLOOKUP(A32,POLICY1!B:C,2,0)</f>
        <v>050000861546</v>
      </c>
      <c r="C32" s="7">
        <v>-1633</v>
      </c>
      <c r="D32" s="14">
        <f t="shared" si="1"/>
        <v>-1633</v>
      </c>
      <c r="E32" s="19" t="s">
        <v>6323</v>
      </c>
      <c r="F32" s="15" t="str">
        <f t="shared" si="0"/>
        <v>insert into ins_premium_det (premium_rcv_code,assorted_code, rec_amount,premium_rcv_detail_code,remaining_amt, payrec, mode_code,coinsurance_code,class_cd,it_remarks) values</v>
      </c>
      <c r="G32" s="16" t="str">
        <f t="shared" si="2"/>
        <v>('27Mar250028','050000861546','-1633',(select max(to_number(i.premium_rcv_detail_code))+1
from ins_premium_det i),'-1633','-1633','02', '11000003','00','Request by Mr. Saqib Saleem 28-Mar-2025 End');</v>
      </c>
      <c r="H32" s="17" t="str">
        <f t="shared" si="3"/>
        <v>insert into ins_premium_det (premium_rcv_code,assorted_code, rec_amount,premium_rcv_detail_code,remaining_amt, payrec, mode_code,coinsurance_code,class_cd,it_remarks) values('27Mar250028','050000861546','-1633',(select max(to_number(i.premium_rcv_detail_code))+1
from ins_premium_det i),'-1633','-1633','02', '11000003','00','Request by Mr. Saqib Saleem 28-Mar-2025 End');</v>
      </c>
    </row>
    <row r="33" spans="1:8" ht="105" x14ac:dyDescent="0.25">
      <c r="A33" s="2" t="s">
        <v>5476</v>
      </c>
      <c r="B33" s="13" t="str">
        <f>VLOOKUP(A33,POLICY1!B:C,2,0)</f>
        <v>050000861685</v>
      </c>
      <c r="C33" s="7">
        <v>-4375</v>
      </c>
      <c r="D33" s="14">
        <f t="shared" si="1"/>
        <v>-4375</v>
      </c>
      <c r="E33" s="19" t="s">
        <v>6323</v>
      </c>
      <c r="F33" s="15" t="str">
        <f t="shared" si="0"/>
        <v>insert into ins_premium_det (premium_rcv_code,assorted_code, rec_amount,premium_rcv_detail_code,remaining_amt, payrec, mode_code,coinsurance_code,class_cd,it_remarks) values</v>
      </c>
      <c r="G33" s="16" t="str">
        <f t="shared" si="2"/>
        <v>('27Mar250028','050000861685','-4375',(select max(to_number(i.premium_rcv_detail_code))+1
from ins_premium_det i),'-4375','-4375','02', '11000003','00','Request by Mr. Saqib Saleem 28-Mar-2025 End');</v>
      </c>
      <c r="H33" s="17" t="str">
        <f t="shared" si="3"/>
        <v>insert into ins_premium_det (premium_rcv_code,assorted_code, rec_amount,premium_rcv_detail_code,remaining_amt, payrec, mode_code,coinsurance_code,class_cd,it_remarks) values('27Mar250028','050000861685','-4375',(select max(to_number(i.premium_rcv_detail_code))+1
from ins_premium_det i),'-4375','-4375','02', '11000003','00','Request by Mr. Saqib Saleem 28-Mar-2025 End');</v>
      </c>
    </row>
    <row r="34" spans="1:8" ht="105" x14ac:dyDescent="0.25">
      <c r="A34" s="2" t="s">
        <v>5477</v>
      </c>
      <c r="B34" s="13" t="str">
        <f>VLOOKUP(A34,POLICY1!B:C,2,0)</f>
        <v>050000861693</v>
      </c>
      <c r="C34" s="7">
        <v>2287</v>
      </c>
      <c r="D34" s="14">
        <f t="shared" si="1"/>
        <v>2287</v>
      </c>
      <c r="E34" s="19" t="s">
        <v>6323</v>
      </c>
      <c r="F34" s="15" t="str">
        <f t="shared" si="0"/>
        <v>insert into ins_premium_det (premium_rcv_code,assorted_code, rec_amount,premium_rcv_detail_code,remaining_amt, payrec, mode_code,coinsurance_code,class_cd,it_remarks) values</v>
      </c>
      <c r="G34" s="16" t="str">
        <f t="shared" si="2"/>
        <v>('27Mar250028','050000861693','2287',(select max(to_number(i.premium_rcv_detail_code))+1
from ins_premium_det i),'2287','2287','02', '11000003','00','Request by Mr. Saqib Saleem 28-Mar-2025 End');</v>
      </c>
      <c r="H34" s="17" t="str">
        <f t="shared" si="3"/>
        <v>insert into ins_premium_det (premium_rcv_code,assorted_code, rec_amount,premium_rcv_detail_code,remaining_amt, payrec, mode_code,coinsurance_code,class_cd,it_remarks) values('27Mar250028','050000861693','2287',(select max(to_number(i.premium_rcv_detail_code))+1
from ins_premium_det i),'2287','2287','02', '11000003','00','Request by Mr. Saqib Saleem 28-Mar-2025 End');</v>
      </c>
    </row>
    <row r="35" spans="1:8" ht="105" x14ac:dyDescent="0.25">
      <c r="A35" s="2" t="s">
        <v>5478</v>
      </c>
      <c r="B35" s="13" t="str">
        <f>VLOOKUP(A35,POLICY1!B:C,2,0)</f>
        <v>050000861708</v>
      </c>
      <c r="C35" s="7">
        <v>1087</v>
      </c>
      <c r="D35" s="14">
        <f t="shared" si="1"/>
        <v>1087</v>
      </c>
      <c r="E35" s="19" t="s">
        <v>6323</v>
      </c>
      <c r="F35" s="15" t="str">
        <f t="shared" si="0"/>
        <v>insert into ins_premium_det (premium_rcv_code,assorted_code, rec_amount,premium_rcv_detail_code,remaining_amt, payrec, mode_code,coinsurance_code,class_cd,it_remarks) values</v>
      </c>
      <c r="G35" s="16" t="str">
        <f t="shared" si="2"/>
        <v>('27Mar250028','050000861708','1087',(select max(to_number(i.premium_rcv_detail_code))+1
from ins_premium_det i),'1087','1087','02', '11000003','00','Request by Mr. Saqib Saleem 28-Mar-2025 End');</v>
      </c>
      <c r="H35" s="17" t="str">
        <f t="shared" si="3"/>
        <v>insert into ins_premium_det (premium_rcv_code,assorted_code, rec_amount,premium_rcv_detail_code,remaining_amt, payrec, mode_code,coinsurance_code,class_cd,it_remarks) values('27Mar250028','050000861708','1087',(select max(to_number(i.premium_rcv_detail_code))+1
from ins_premium_det i),'1087','1087','02', '11000003','00','Request by Mr. Saqib Saleem 28-Mar-2025 End');</v>
      </c>
    </row>
    <row r="36" spans="1:8" ht="105" x14ac:dyDescent="0.25">
      <c r="A36" s="2" t="s">
        <v>5479</v>
      </c>
      <c r="B36" s="13" t="str">
        <f>VLOOKUP(A36,POLICY1!B:C,2,0)</f>
        <v>050000861710</v>
      </c>
      <c r="C36" s="7">
        <v>2625</v>
      </c>
      <c r="D36" s="14">
        <f t="shared" si="1"/>
        <v>2625</v>
      </c>
      <c r="E36" s="19" t="s">
        <v>6323</v>
      </c>
      <c r="F36" s="15" t="str">
        <f t="shared" si="0"/>
        <v>insert into ins_premium_det (premium_rcv_code,assorted_code, rec_amount,premium_rcv_detail_code,remaining_amt, payrec, mode_code,coinsurance_code,class_cd,it_remarks) values</v>
      </c>
      <c r="G36" s="16" t="str">
        <f t="shared" si="2"/>
        <v>('27Mar250028','050000861710','2625',(select max(to_number(i.premium_rcv_detail_code))+1
from ins_premium_det i),'2625','2625','02', '11000003','00','Request by Mr. Saqib Saleem 28-Mar-2025 End');</v>
      </c>
      <c r="H36" s="17" t="str">
        <f t="shared" si="3"/>
        <v>insert into ins_premium_det (premium_rcv_code,assorted_code, rec_amount,premium_rcv_detail_code,remaining_amt, payrec, mode_code,coinsurance_code,class_cd,it_remarks) values('27Mar250028','050000861710','2625',(select max(to_number(i.premium_rcv_detail_code))+1
from ins_premium_det i),'2625','2625','02', '11000003','00','Request by Mr. Saqib Saleem 28-Mar-2025 End');</v>
      </c>
    </row>
    <row r="37" spans="1:8" ht="105" x14ac:dyDescent="0.25">
      <c r="A37" s="2" t="s">
        <v>5480</v>
      </c>
      <c r="B37" s="13" t="str">
        <f>VLOOKUP(A37,POLICY1!B:C,2,0)</f>
        <v>050000861714</v>
      </c>
      <c r="C37" s="7">
        <v>3300</v>
      </c>
      <c r="D37" s="14">
        <f t="shared" si="1"/>
        <v>3300</v>
      </c>
      <c r="E37" s="19" t="s">
        <v>6323</v>
      </c>
      <c r="F37" s="15" t="str">
        <f t="shared" si="0"/>
        <v>insert into ins_premium_det (premium_rcv_code,assorted_code, rec_amount,premium_rcv_detail_code,remaining_amt, payrec, mode_code,coinsurance_code,class_cd,it_remarks) values</v>
      </c>
      <c r="G37" s="16" t="str">
        <f t="shared" si="2"/>
        <v>('27Mar250028','050000861714','3300',(select max(to_number(i.premium_rcv_detail_code))+1
from ins_premium_det i),'3300','3300','02', '11000003','00','Request by Mr. Saqib Saleem 28-Mar-2025 End');</v>
      </c>
      <c r="H37" s="17" t="str">
        <f t="shared" si="3"/>
        <v>insert into ins_premium_det (premium_rcv_code,assorted_code, rec_amount,premium_rcv_detail_code,remaining_amt, payrec, mode_code,coinsurance_code,class_cd,it_remarks) values('27Mar250028','050000861714','3300',(select max(to_number(i.premium_rcv_detail_code))+1
from ins_premium_det i),'3300','3300','02', '11000003','00','Request by Mr. Saqib Saleem 28-Mar-2025 End');</v>
      </c>
    </row>
    <row r="38" spans="1:8" ht="105" x14ac:dyDescent="0.25">
      <c r="A38" s="2" t="s">
        <v>5481</v>
      </c>
      <c r="B38" s="13" t="str">
        <f>VLOOKUP(A38,POLICY1!B:C,2,0)</f>
        <v>050000861715</v>
      </c>
      <c r="C38" s="7">
        <v>3000</v>
      </c>
      <c r="D38" s="14">
        <f t="shared" si="1"/>
        <v>3000</v>
      </c>
      <c r="E38" s="19" t="s">
        <v>6323</v>
      </c>
      <c r="F38" s="15" t="str">
        <f t="shared" si="0"/>
        <v>insert into ins_premium_det (premium_rcv_code,assorted_code, rec_amount,premium_rcv_detail_code,remaining_amt, payrec, mode_code,coinsurance_code,class_cd,it_remarks) values</v>
      </c>
      <c r="G38" s="16" t="str">
        <f t="shared" si="2"/>
        <v>('27Mar250028','050000861715','3000',(select max(to_number(i.premium_rcv_detail_code))+1
from ins_premium_det i),'3000','3000','02', '11000003','00','Request by Mr. Saqib Saleem 28-Mar-2025 End');</v>
      </c>
      <c r="H38" s="17" t="str">
        <f t="shared" si="3"/>
        <v>insert into ins_premium_det (premium_rcv_code,assorted_code, rec_amount,premium_rcv_detail_code,remaining_amt, payrec, mode_code,coinsurance_code,class_cd,it_remarks) values('27Mar250028','050000861715','3000',(select max(to_number(i.premium_rcv_detail_code))+1
from ins_premium_det i),'3000','3000','02', '11000003','00','Request by Mr. Saqib Saleem 28-Mar-2025 End');</v>
      </c>
    </row>
    <row r="39" spans="1:8" ht="105" x14ac:dyDescent="0.25">
      <c r="A39" s="2" t="s">
        <v>5482</v>
      </c>
      <c r="B39" s="13" t="str">
        <f>VLOOKUP(A39,POLICY1!B:C,2,0)</f>
        <v>050000861716</v>
      </c>
      <c r="C39" s="7">
        <v>3541</v>
      </c>
      <c r="D39" s="14">
        <f t="shared" si="1"/>
        <v>3541</v>
      </c>
      <c r="E39" s="19" t="s">
        <v>6323</v>
      </c>
      <c r="F39" s="15" t="str">
        <f t="shared" si="0"/>
        <v>insert into ins_premium_det (premium_rcv_code,assorted_code, rec_amount,premium_rcv_detail_code,remaining_amt, payrec, mode_code,coinsurance_code,class_cd,it_remarks) values</v>
      </c>
      <c r="G39" s="16" t="str">
        <f t="shared" si="2"/>
        <v>('27Mar250028','050000861716','3541',(select max(to_number(i.premium_rcv_detail_code))+1
from ins_premium_det i),'3541','3541','02', '11000003','00','Request by Mr. Saqib Saleem 28-Mar-2025 End');</v>
      </c>
      <c r="H39" s="17" t="str">
        <f t="shared" si="3"/>
        <v>insert into ins_premium_det (premium_rcv_code,assorted_code, rec_amount,premium_rcv_detail_code,remaining_amt, payrec, mode_code,coinsurance_code,class_cd,it_remarks) values('27Mar250028','050000861716','3541',(select max(to_number(i.premium_rcv_detail_code))+1
from ins_premium_det i),'3541','3541','02', '11000003','00','Request by Mr. Saqib Saleem 28-Mar-2025 End');</v>
      </c>
    </row>
    <row r="40" spans="1:8" ht="105" x14ac:dyDescent="0.25">
      <c r="A40" s="2" t="s">
        <v>5483</v>
      </c>
      <c r="B40" s="13" t="str">
        <f>VLOOKUP(A40,POLICY1!B:C,2,0)</f>
        <v>050000861717</v>
      </c>
      <c r="C40" s="7">
        <v>2400</v>
      </c>
      <c r="D40" s="14">
        <f t="shared" si="1"/>
        <v>2400</v>
      </c>
      <c r="E40" s="19" t="s">
        <v>6323</v>
      </c>
      <c r="F40" s="15" t="str">
        <f t="shared" si="0"/>
        <v>insert into ins_premium_det (premium_rcv_code,assorted_code, rec_amount,premium_rcv_detail_code,remaining_amt, payrec, mode_code,coinsurance_code,class_cd,it_remarks) values</v>
      </c>
      <c r="G40" s="16" t="str">
        <f t="shared" si="2"/>
        <v>('27Mar250028','050000861717','2400',(select max(to_number(i.premium_rcv_detail_code))+1
from ins_premium_det i),'2400','2400','02', '11000003','00','Request by Mr. Saqib Saleem 28-Mar-2025 End');</v>
      </c>
      <c r="H40" s="17" t="str">
        <f t="shared" si="3"/>
        <v>insert into ins_premium_det (premium_rcv_code,assorted_code, rec_amount,premium_rcv_detail_code,remaining_amt, payrec, mode_code,coinsurance_code,class_cd,it_remarks) values('27Mar250028','050000861717','2400',(select max(to_number(i.premium_rcv_detail_code))+1
from ins_premium_det i),'2400','2400','02', '11000003','00','Request by Mr. Saqib Saleem 28-Mar-2025 End');</v>
      </c>
    </row>
    <row r="41" spans="1:8" ht="105" x14ac:dyDescent="0.25">
      <c r="A41" s="2" t="s">
        <v>5484</v>
      </c>
      <c r="B41" s="13" t="str">
        <f>VLOOKUP(A41,POLICY1!B:C,2,0)</f>
        <v>050000861718</v>
      </c>
      <c r="C41" s="7">
        <v>2269</v>
      </c>
      <c r="D41" s="14">
        <f t="shared" si="1"/>
        <v>2269</v>
      </c>
      <c r="E41" s="19" t="s">
        <v>6323</v>
      </c>
      <c r="F41" s="15" t="str">
        <f t="shared" si="0"/>
        <v>insert into ins_premium_det (premium_rcv_code,assorted_code, rec_amount,premium_rcv_detail_code,remaining_amt, payrec, mode_code,coinsurance_code,class_cd,it_remarks) values</v>
      </c>
      <c r="G41" s="16" t="str">
        <f t="shared" si="2"/>
        <v>('27Mar250028','050000861718','2269',(select max(to_number(i.premium_rcv_detail_code))+1
from ins_premium_det i),'2269','2269','02', '11000003','00','Request by Mr. Saqib Saleem 28-Mar-2025 End');</v>
      </c>
      <c r="H41" s="17" t="str">
        <f t="shared" si="3"/>
        <v>insert into ins_premium_det (premium_rcv_code,assorted_code, rec_amount,premium_rcv_detail_code,remaining_amt, payrec, mode_code,coinsurance_code,class_cd,it_remarks) values('27Mar250028','050000861718','2269',(select max(to_number(i.premium_rcv_detail_code))+1
from ins_premium_det i),'2269','2269','02', '11000003','00','Request by Mr. Saqib Saleem 28-Mar-2025 End');</v>
      </c>
    </row>
    <row r="42" spans="1:8" ht="105" x14ac:dyDescent="0.25">
      <c r="A42" s="2" t="s">
        <v>5485</v>
      </c>
      <c r="B42" s="13" t="str">
        <f>VLOOKUP(A42,POLICY1!B:C,2,0)</f>
        <v>050000861719</v>
      </c>
      <c r="C42" s="7">
        <v>2126</v>
      </c>
      <c r="D42" s="14">
        <f t="shared" si="1"/>
        <v>2126</v>
      </c>
      <c r="E42" s="19" t="s">
        <v>6323</v>
      </c>
      <c r="F42" s="15" t="str">
        <f t="shared" si="0"/>
        <v>insert into ins_premium_det (premium_rcv_code,assorted_code, rec_amount,premium_rcv_detail_code,remaining_amt, payrec, mode_code,coinsurance_code,class_cd,it_remarks) values</v>
      </c>
      <c r="G42" s="16" t="str">
        <f t="shared" si="2"/>
        <v>('27Mar250028','050000861719','2126',(select max(to_number(i.premium_rcv_detail_code))+1
from ins_premium_det i),'2126','2126','02', '11000003','00','Request by Mr. Saqib Saleem 28-Mar-2025 End');</v>
      </c>
      <c r="H42" s="17" t="str">
        <f t="shared" si="3"/>
        <v>insert into ins_premium_det (premium_rcv_code,assorted_code, rec_amount,premium_rcv_detail_code,remaining_amt, payrec, mode_code,coinsurance_code,class_cd,it_remarks) values('27Mar250028','050000861719','2126',(select max(to_number(i.premium_rcv_detail_code))+1
from ins_premium_det i),'2126','2126','02', '11000003','00','Request by Mr. Saqib Saleem 28-Mar-2025 End');</v>
      </c>
    </row>
    <row r="43" spans="1:8" ht="105" x14ac:dyDescent="0.25">
      <c r="A43" s="2" t="s">
        <v>5486</v>
      </c>
      <c r="B43" s="13" t="str">
        <f>VLOOKUP(A43,POLICY1!B:C,2,0)</f>
        <v>050000861720</v>
      </c>
      <c r="C43" s="7">
        <v>2113</v>
      </c>
      <c r="D43" s="14">
        <f t="shared" si="1"/>
        <v>2113</v>
      </c>
      <c r="E43" s="19" t="s">
        <v>6323</v>
      </c>
      <c r="F43" s="15" t="str">
        <f t="shared" si="0"/>
        <v>insert into ins_premium_det (premium_rcv_code,assorted_code, rec_amount,premium_rcv_detail_code,remaining_amt, payrec, mode_code,coinsurance_code,class_cd,it_remarks) values</v>
      </c>
      <c r="G43" s="16" t="str">
        <f t="shared" si="2"/>
        <v>('27Mar250028','050000861720','2113',(select max(to_number(i.premium_rcv_detail_code))+1
from ins_premium_det i),'2113','2113','02', '11000003','00','Request by Mr. Saqib Saleem 28-Mar-2025 End');</v>
      </c>
      <c r="H43" s="17" t="str">
        <f t="shared" si="3"/>
        <v>insert into ins_premium_det (premium_rcv_code,assorted_code, rec_amount,premium_rcv_detail_code,remaining_amt, payrec, mode_code,coinsurance_code,class_cd,it_remarks) values('27Mar250028','050000861720','2113',(select max(to_number(i.premium_rcv_detail_code))+1
from ins_premium_det i),'2113','2113','02', '11000003','00','Request by Mr. Saqib Saleem 28-Mar-2025 End');</v>
      </c>
    </row>
    <row r="44" spans="1:8" ht="105" x14ac:dyDescent="0.25">
      <c r="A44" s="2" t="s">
        <v>5487</v>
      </c>
      <c r="B44" s="13" t="str">
        <f>VLOOKUP(A44,POLICY1!B:C,2,0)</f>
        <v>050000861721</v>
      </c>
      <c r="C44" s="7">
        <v>1867</v>
      </c>
      <c r="D44" s="14">
        <f t="shared" si="1"/>
        <v>1867</v>
      </c>
      <c r="E44" s="19" t="s">
        <v>6323</v>
      </c>
      <c r="F44" s="15" t="str">
        <f t="shared" si="0"/>
        <v>insert into ins_premium_det (premium_rcv_code,assorted_code, rec_amount,premium_rcv_detail_code,remaining_amt, payrec, mode_code,coinsurance_code,class_cd,it_remarks) values</v>
      </c>
      <c r="G44" s="16" t="str">
        <f t="shared" si="2"/>
        <v>('27Mar250028','050000861721','1867',(select max(to_number(i.premium_rcv_detail_code))+1
from ins_premium_det i),'1867','1867','02', '11000003','00','Request by Mr. Saqib Saleem 28-Mar-2025 End');</v>
      </c>
      <c r="H44" s="17" t="str">
        <f t="shared" si="3"/>
        <v>insert into ins_premium_det (premium_rcv_code,assorted_code, rec_amount,premium_rcv_detail_code,remaining_amt, payrec, mode_code,coinsurance_code,class_cd,it_remarks) values('27Mar250028','050000861721','1867',(select max(to_number(i.premium_rcv_detail_code))+1
from ins_premium_det i),'1867','1867','02', '11000003','00','Request by Mr. Saqib Saleem 28-Mar-2025 End');</v>
      </c>
    </row>
    <row r="45" spans="1:8" ht="105" x14ac:dyDescent="0.25">
      <c r="A45" s="2" t="s">
        <v>5488</v>
      </c>
      <c r="B45" s="13" t="str">
        <f>VLOOKUP(A45,POLICY1!B:C,2,0)</f>
        <v>050000861722</v>
      </c>
      <c r="C45" s="7">
        <v>1725</v>
      </c>
      <c r="D45" s="14">
        <f t="shared" si="1"/>
        <v>1725</v>
      </c>
      <c r="E45" s="19" t="s">
        <v>6323</v>
      </c>
      <c r="F45" s="15" t="str">
        <f t="shared" si="0"/>
        <v>insert into ins_premium_det (premium_rcv_code,assorted_code, rec_amount,premium_rcv_detail_code,remaining_amt, payrec, mode_code,coinsurance_code,class_cd,it_remarks) values</v>
      </c>
      <c r="G45" s="16" t="str">
        <f t="shared" si="2"/>
        <v>('27Mar250028','050000861722','1725',(select max(to_number(i.premium_rcv_detail_code))+1
from ins_premium_det i),'1725','1725','02', '11000003','00','Request by Mr. Saqib Saleem 28-Mar-2025 End');</v>
      </c>
      <c r="H45" s="17" t="str">
        <f t="shared" si="3"/>
        <v>insert into ins_premium_det (premium_rcv_code,assorted_code, rec_amount,premium_rcv_detail_code,remaining_amt, payrec, mode_code,coinsurance_code,class_cd,it_remarks) values('27Mar250028','050000861722','1725',(select max(to_number(i.premium_rcv_detail_code))+1
from ins_premium_det i),'1725','1725','02', '11000003','00','Request by Mr. Saqib Saleem 28-Mar-2025 End');</v>
      </c>
    </row>
    <row r="46" spans="1:8" ht="105" x14ac:dyDescent="0.25">
      <c r="A46" s="2" t="s">
        <v>5489</v>
      </c>
      <c r="B46" s="13" t="str">
        <f>VLOOKUP(A46,POLICY1!B:C,2,0)</f>
        <v>050000861723</v>
      </c>
      <c r="C46" s="7">
        <v>2025</v>
      </c>
      <c r="D46" s="14">
        <f t="shared" si="1"/>
        <v>2025</v>
      </c>
      <c r="E46" s="19" t="s">
        <v>6323</v>
      </c>
      <c r="F46" s="15" t="str">
        <f t="shared" si="0"/>
        <v>insert into ins_premium_det (premium_rcv_code,assorted_code, rec_amount,premium_rcv_detail_code,remaining_amt, payrec, mode_code,coinsurance_code,class_cd,it_remarks) values</v>
      </c>
      <c r="G46" s="16" t="str">
        <f t="shared" si="2"/>
        <v>('27Mar250028','050000861723','2025',(select max(to_number(i.premium_rcv_detail_code))+1
from ins_premium_det i),'2025','2025','02', '11000003','00','Request by Mr. Saqib Saleem 28-Mar-2025 End');</v>
      </c>
      <c r="H46" s="17" t="str">
        <f t="shared" si="3"/>
        <v>insert into ins_premium_det (premium_rcv_code,assorted_code, rec_amount,premium_rcv_detail_code,remaining_amt, payrec, mode_code,coinsurance_code,class_cd,it_remarks) values('27Mar250028','050000861723','2025',(select max(to_number(i.premium_rcv_detail_code))+1
from ins_premium_det i),'2025','2025','02', '11000003','00','Request by Mr. Saqib Saleem 28-Mar-2025 End');</v>
      </c>
    </row>
    <row r="47" spans="1:8" ht="105" x14ac:dyDescent="0.25">
      <c r="A47" s="2" t="s">
        <v>5490</v>
      </c>
      <c r="B47" s="13" t="str">
        <f>VLOOKUP(A47,POLICY1!B:C,2,0)</f>
        <v>050000861725</v>
      </c>
      <c r="C47" s="7">
        <v>2320</v>
      </c>
      <c r="D47" s="14">
        <f t="shared" si="1"/>
        <v>2320</v>
      </c>
      <c r="E47" s="19" t="s">
        <v>6323</v>
      </c>
      <c r="F47" s="15" t="str">
        <f t="shared" si="0"/>
        <v>insert into ins_premium_det (premium_rcv_code,assorted_code, rec_amount,premium_rcv_detail_code,remaining_amt, payrec, mode_code,coinsurance_code,class_cd,it_remarks) values</v>
      </c>
      <c r="G47" s="16" t="str">
        <f t="shared" si="2"/>
        <v>('27Mar250028','050000861725','2320',(select max(to_number(i.premium_rcv_detail_code))+1
from ins_premium_det i),'2320','2320','02', '11000003','00','Request by Mr. Saqib Saleem 28-Mar-2025 End');</v>
      </c>
      <c r="H47" s="17" t="str">
        <f t="shared" si="3"/>
        <v>insert into ins_premium_det (premium_rcv_code,assorted_code, rec_amount,premium_rcv_detail_code,remaining_amt, payrec, mode_code,coinsurance_code,class_cd,it_remarks) values('27Mar250028','050000861725','2320',(select max(to_number(i.premium_rcv_detail_code))+1
from ins_premium_det i),'2320','2320','02', '11000003','00','Request by Mr. Saqib Saleem 28-Mar-2025 End');</v>
      </c>
    </row>
    <row r="48" spans="1:8" ht="105" x14ac:dyDescent="0.25">
      <c r="A48" s="2" t="s">
        <v>5491</v>
      </c>
      <c r="B48" s="13" t="str">
        <f>VLOOKUP(A48,POLICY1!B:C,2,0)</f>
        <v>050000861726</v>
      </c>
      <c r="C48" s="7">
        <v>2175</v>
      </c>
      <c r="D48" s="14">
        <f t="shared" si="1"/>
        <v>2175</v>
      </c>
      <c r="E48" s="19" t="s">
        <v>6323</v>
      </c>
      <c r="F48" s="15" t="str">
        <f t="shared" si="0"/>
        <v>insert into ins_premium_det (premium_rcv_code,assorted_code, rec_amount,premium_rcv_detail_code,remaining_amt, payrec, mode_code,coinsurance_code,class_cd,it_remarks) values</v>
      </c>
      <c r="G48" s="16" t="str">
        <f t="shared" si="2"/>
        <v>('27Mar250028','050000861726','2175',(select max(to_number(i.premium_rcv_detail_code))+1
from ins_premium_det i),'2175','2175','02', '11000003','00','Request by Mr. Saqib Saleem 28-Mar-2025 End');</v>
      </c>
      <c r="H48" s="17" t="str">
        <f t="shared" si="3"/>
        <v>insert into ins_premium_det (premium_rcv_code,assorted_code, rec_amount,premium_rcv_detail_code,remaining_amt, payrec, mode_code,coinsurance_code,class_cd,it_remarks) values('27Mar250028','050000861726','2175',(select max(to_number(i.premium_rcv_detail_code))+1
from ins_premium_det i),'2175','2175','02', '11000003','00','Request by Mr. Saqib Saleem 28-Mar-2025 End');</v>
      </c>
    </row>
    <row r="49" spans="1:8" ht="105" x14ac:dyDescent="0.25">
      <c r="A49" s="2" t="s">
        <v>5492</v>
      </c>
      <c r="B49" s="13" t="str">
        <f>VLOOKUP(A49,POLICY1!B:C,2,0)</f>
        <v>050000861728</v>
      </c>
      <c r="C49" s="7">
        <v>1975</v>
      </c>
      <c r="D49" s="14">
        <f t="shared" si="1"/>
        <v>1975</v>
      </c>
      <c r="E49" s="19" t="s">
        <v>6323</v>
      </c>
      <c r="F49" s="15" t="str">
        <f t="shared" si="0"/>
        <v>insert into ins_premium_det (premium_rcv_code,assorted_code, rec_amount,premium_rcv_detail_code,remaining_amt, payrec, mode_code,coinsurance_code,class_cd,it_remarks) values</v>
      </c>
      <c r="G49" s="16" t="str">
        <f t="shared" si="2"/>
        <v>('27Mar250028','050000861728','1975',(select max(to_number(i.premium_rcv_detail_code))+1
from ins_premium_det i),'1975','1975','02', '11000003','00','Request by Mr. Saqib Saleem 28-Mar-2025 End');</v>
      </c>
      <c r="H49" s="17" t="str">
        <f t="shared" si="3"/>
        <v>insert into ins_premium_det (premium_rcv_code,assorted_code, rec_amount,premium_rcv_detail_code,remaining_amt, payrec, mode_code,coinsurance_code,class_cd,it_remarks) values('27Mar250028','050000861728','1975',(select max(to_number(i.premium_rcv_detail_code))+1
from ins_premium_det i),'1975','1975','02', '11000003','00','Request by Mr. Saqib Saleem 28-Mar-2025 End');</v>
      </c>
    </row>
    <row r="50" spans="1:8" ht="105" x14ac:dyDescent="0.25">
      <c r="A50" s="2" t="s">
        <v>5493</v>
      </c>
      <c r="B50" s="13" t="str">
        <f>VLOOKUP(A50,POLICY1!B:C,2,0)</f>
        <v>050000861730</v>
      </c>
      <c r="C50" s="7">
        <v>2362</v>
      </c>
      <c r="D50" s="14">
        <f t="shared" si="1"/>
        <v>2362</v>
      </c>
      <c r="E50" s="19" t="s">
        <v>6323</v>
      </c>
      <c r="F50" s="15" t="str">
        <f t="shared" si="0"/>
        <v>insert into ins_premium_det (premium_rcv_code,assorted_code, rec_amount,premium_rcv_detail_code,remaining_amt, payrec, mode_code,coinsurance_code,class_cd,it_remarks) values</v>
      </c>
      <c r="G50" s="16" t="str">
        <f t="shared" si="2"/>
        <v>('27Mar250028','050000861730','2362',(select max(to_number(i.premium_rcv_detail_code))+1
from ins_premium_det i),'2362','2362','02', '11000003','00','Request by Mr. Saqib Saleem 28-Mar-2025 End');</v>
      </c>
      <c r="H50" s="17" t="str">
        <f t="shared" si="3"/>
        <v>insert into ins_premium_det (premium_rcv_code,assorted_code, rec_amount,premium_rcv_detail_code,remaining_amt, payrec, mode_code,coinsurance_code,class_cd,it_remarks) values('27Mar250028','050000861730','2362',(select max(to_number(i.premium_rcv_detail_code))+1
from ins_premium_det i),'2362','2362','02', '11000003','00','Request by Mr. Saqib Saleem 28-Mar-2025 End');</v>
      </c>
    </row>
    <row r="51" spans="1:8" ht="105" x14ac:dyDescent="0.25">
      <c r="A51" s="2" t="s">
        <v>5494</v>
      </c>
      <c r="B51" s="13" t="str">
        <f>VLOOKUP(A51,POLICY1!B:C,2,0)</f>
        <v>050000861731</v>
      </c>
      <c r="C51" s="7">
        <v>1875</v>
      </c>
      <c r="D51" s="14">
        <f t="shared" si="1"/>
        <v>1875</v>
      </c>
      <c r="E51" s="19" t="s">
        <v>6323</v>
      </c>
      <c r="F51" s="15" t="str">
        <f t="shared" si="0"/>
        <v>insert into ins_premium_det (premium_rcv_code,assorted_code, rec_amount,premium_rcv_detail_code,remaining_amt, payrec, mode_code,coinsurance_code,class_cd,it_remarks) values</v>
      </c>
      <c r="G51" s="16" t="str">
        <f t="shared" si="2"/>
        <v>('27Mar250028','050000861731','1875',(select max(to_number(i.premium_rcv_detail_code))+1
from ins_premium_det i),'1875','1875','02', '11000003','00','Request by Mr. Saqib Saleem 28-Mar-2025 End');</v>
      </c>
      <c r="H51" s="17" t="str">
        <f t="shared" si="3"/>
        <v>insert into ins_premium_det (premium_rcv_code,assorted_code, rec_amount,premium_rcv_detail_code,remaining_amt, payrec, mode_code,coinsurance_code,class_cd,it_remarks) values('27Mar250028','050000861731','1875',(select max(to_number(i.premium_rcv_detail_code))+1
from ins_premium_det i),'1875','1875','02', '11000003','00','Request by Mr. Saqib Saleem 28-Mar-2025 End');</v>
      </c>
    </row>
    <row r="52" spans="1:8" ht="105" x14ac:dyDescent="0.25">
      <c r="A52" s="2" t="s">
        <v>5495</v>
      </c>
      <c r="B52" s="13" t="str">
        <f>VLOOKUP(A52,POLICY1!B:C,2,0)</f>
        <v>050000861733</v>
      </c>
      <c r="C52" s="7">
        <v>1875</v>
      </c>
      <c r="D52" s="14">
        <f t="shared" si="1"/>
        <v>1875</v>
      </c>
      <c r="E52" s="19" t="s">
        <v>6323</v>
      </c>
      <c r="F52" s="15" t="str">
        <f t="shared" si="0"/>
        <v>insert into ins_premium_det (premium_rcv_code,assorted_code, rec_amount,premium_rcv_detail_code,remaining_amt, payrec, mode_code,coinsurance_code,class_cd,it_remarks) values</v>
      </c>
      <c r="G52" s="16" t="str">
        <f t="shared" si="2"/>
        <v>('27Mar250028','050000861733','1875',(select max(to_number(i.premium_rcv_detail_code))+1
from ins_premium_det i),'1875','1875','02', '11000003','00','Request by Mr. Saqib Saleem 28-Mar-2025 End');</v>
      </c>
      <c r="H52" s="17" t="str">
        <f t="shared" si="3"/>
        <v>insert into ins_premium_det (premium_rcv_code,assorted_code, rec_amount,premium_rcv_detail_code,remaining_amt, payrec, mode_code,coinsurance_code,class_cd,it_remarks) values('27Mar250028','050000861733','1875',(select max(to_number(i.premium_rcv_detail_code))+1
from ins_premium_det i),'1875','1875','02', '11000003','00','Request by Mr. Saqib Saleem 28-Mar-2025 End');</v>
      </c>
    </row>
    <row r="53" spans="1:8" ht="105" x14ac:dyDescent="0.25">
      <c r="A53" s="2" t="s">
        <v>5496</v>
      </c>
      <c r="B53" s="13" t="str">
        <f>VLOOKUP(A53,POLICY1!B:C,2,0)</f>
        <v>050000861734</v>
      </c>
      <c r="C53" s="7">
        <v>1800</v>
      </c>
      <c r="D53" s="14">
        <f t="shared" si="1"/>
        <v>1800</v>
      </c>
      <c r="E53" s="19" t="s">
        <v>6323</v>
      </c>
      <c r="F53" s="15" t="str">
        <f t="shared" si="0"/>
        <v>insert into ins_premium_det (premium_rcv_code,assorted_code, rec_amount,premium_rcv_detail_code,remaining_amt, payrec, mode_code,coinsurance_code,class_cd,it_remarks) values</v>
      </c>
      <c r="G53" s="16" t="str">
        <f t="shared" si="2"/>
        <v>('27Mar250028','050000861734','1800',(select max(to_number(i.premium_rcv_detail_code))+1
from ins_premium_det i),'1800','1800','02', '11000003','00','Request by Mr. Saqib Saleem 28-Mar-2025 End');</v>
      </c>
      <c r="H53" s="17" t="str">
        <f t="shared" si="3"/>
        <v>insert into ins_premium_det (premium_rcv_code,assorted_code, rec_amount,premium_rcv_detail_code,remaining_amt, payrec, mode_code,coinsurance_code,class_cd,it_remarks) values('27Mar250028','050000861734','1800',(select max(to_number(i.premium_rcv_detail_code))+1
from ins_premium_det i),'1800','1800','02', '11000003','00','Request by Mr. Saqib Saleem 28-Mar-2025 End');</v>
      </c>
    </row>
    <row r="54" spans="1:8" ht="105" x14ac:dyDescent="0.25">
      <c r="A54" s="2" t="s">
        <v>5497</v>
      </c>
      <c r="B54" s="13" t="str">
        <f>VLOOKUP(A54,POLICY1!B:C,2,0)</f>
        <v>050000861736</v>
      </c>
      <c r="C54" s="7">
        <v>1087</v>
      </c>
      <c r="D54" s="14">
        <f t="shared" si="1"/>
        <v>1087</v>
      </c>
      <c r="E54" s="19" t="s">
        <v>6323</v>
      </c>
      <c r="F54" s="15" t="str">
        <f t="shared" si="0"/>
        <v>insert into ins_premium_det (premium_rcv_code,assorted_code, rec_amount,premium_rcv_detail_code,remaining_amt, payrec, mode_code,coinsurance_code,class_cd,it_remarks) values</v>
      </c>
      <c r="G54" s="16" t="str">
        <f t="shared" si="2"/>
        <v>('27Mar250028','050000861736','1087',(select max(to_number(i.premium_rcv_detail_code))+1
from ins_premium_det i),'1087','1087','02', '11000003','00','Request by Mr. Saqib Saleem 28-Mar-2025 End');</v>
      </c>
      <c r="H54" s="17" t="str">
        <f t="shared" si="3"/>
        <v>insert into ins_premium_det (premium_rcv_code,assorted_code, rec_amount,premium_rcv_detail_code,remaining_amt, payrec, mode_code,coinsurance_code,class_cd,it_remarks) values('27Mar250028','050000861736','1087',(select max(to_number(i.premium_rcv_detail_code))+1
from ins_premium_det i),'1087','1087','02', '11000003','00','Request by Mr. Saqib Saleem 28-Mar-2025 End');</v>
      </c>
    </row>
    <row r="55" spans="1:8" ht="105" x14ac:dyDescent="0.25">
      <c r="A55" s="2" t="s">
        <v>5498</v>
      </c>
      <c r="B55" s="13" t="str">
        <f>VLOOKUP(A55,POLICY1!B:C,2,0)</f>
        <v>050000861737</v>
      </c>
      <c r="C55" s="7">
        <v>1521</v>
      </c>
      <c r="D55" s="14">
        <f t="shared" si="1"/>
        <v>1521</v>
      </c>
      <c r="E55" s="19" t="s">
        <v>6323</v>
      </c>
      <c r="F55" s="15" t="str">
        <f t="shared" si="0"/>
        <v>insert into ins_premium_det (premium_rcv_code,assorted_code, rec_amount,premium_rcv_detail_code,remaining_amt, payrec, mode_code,coinsurance_code,class_cd,it_remarks) values</v>
      </c>
      <c r="G55" s="16" t="str">
        <f t="shared" si="2"/>
        <v>('27Mar250028','050000861737','1521',(select max(to_number(i.premium_rcv_detail_code))+1
from ins_premium_det i),'1521','1521','02', '11000003','00','Request by Mr. Saqib Saleem 28-Mar-2025 End');</v>
      </c>
      <c r="H55" s="17" t="str">
        <f t="shared" si="3"/>
        <v>insert into ins_premium_det (premium_rcv_code,assorted_code, rec_amount,premium_rcv_detail_code,remaining_amt, payrec, mode_code,coinsurance_code,class_cd,it_remarks) values('27Mar250028','050000861737','1521',(select max(to_number(i.premium_rcv_detail_code))+1
from ins_premium_det i),'1521','1521','02', '11000003','00','Request by Mr. Saqib Saleem 28-Mar-2025 End');</v>
      </c>
    </row>
    <row r="56" spans="1:8" ht="105" x14ac:dyDescent="0.25">
      <c r="A56" s="2" t="s">
        <v>5499</v>
      </c>
      <c r="B56" s="13" t="str">
        <f>VLOOKUP(A56,POLICY1!B:C,2,0)</f>
        <v>050000861738</v>
      </c>
      <c r="C56" s="7">
        <v>1610</v>
      </c>
      <c r="D56" s="14">
        <f t="shared" si="1"/>
        <v>1610</v>
      </c>
      <c r="E56" s="19" t="s">
        <v>6323</v>
      </c>
      <c r="F56" s="15" t="str">
        <f t="shared" si="0"/>
        <v>insert into ins_premium_det (premium_rcv_code,assorted_code, rec_amount,premium_rcv_detail_code,remaining_amt, payrec, mode_code,coinsurance_code,class_cd,it_remarks) values</v>
      </c>
      <c r="G56" s="16" t="str">
        <f t="shared" si="2"/>
        <v>('27Mar250028','050000861738','1610',(select max(to_number(i.premium_rcv_detail_code))+1
from ins_premium_det i),'1610','1610','02', '11000003','00','Request by Mr. Saqib Saleem 28-Mar-2025 End');</v>
      </c>
      <c r="H56" s="17" t="str">
        <f t="shared" si="3"/>
        <v>insert into ins_premium_det (premium_rcv_code,assorted_code, rec_amount,premium_rcv_detail_code,remaining_amt, payrec, mode_code,coinsurance_code,class_cd,it_remarks) values('27Mar250028','050000861738','1610',(select max(to_number(i.premium_rcv_detail_code))+1
from ins_premium_det i),'1610','1610','02', '11000003','00','Request by Mr. Saqib Saleem 28-Mar-2025 End');</v>
      </c>
    </row>
    <row r="57" spans="1:8" ht="105" x14ac:dyDescent="0.25">
      <c r="A57" s="2" t="s">
        <v>5500</v>
      </c>
      <c r="B57" s="13" t="str">
        <f>VLOOKUP(A57,POLICY1!B:C,2,0)</f>
        <v>050000861758</v>
      </c>
      <c r="C57" s="7">
        <v>2025</v>
      </c>
      <c r="D57" s="14">
        <f t="shared" si="1"/>
        <v>2025</v>
      </c>
      <c r="E57" s="19" t="s">
        <v>6323</v>
      </c>
      <c r="F57" s="15" t="str">
        <f t="shared" si="0"/>
        <v>insert into ins_premium_det (premium_rcv_code,assorted_code, rec_amount,premium_rcv_detail_code,remaining_amt, payrec, mode_code,coinsurance_code,class_cd,it_remarks) values</v>
      </c>
      <c r="G57" s="16" t="str">
        <f t="shared" si="2"/>
        <v>('27Mar250028','050000861758','2025',(select max(to_number(i.premium_rcv_detail_code))+1
from ins_premium_det i),'2025','2025','02', '11000003','00','Request by Mr. Saqib Saleem 28-Mar-2025 End');</v>
      </c>
      <c r="H57" s="17" t="str">
        <f t="shared" si="3"/>
        <v>insert into ins_premium_det (premium_rcv_code,assorted_code, rec_amount,premium_rcv_detail_code,remaining_amt, payrec, mode_code,coinsurance_code,class_cd,it_remarks) values('27Mar250028','050000861758','2025',(select max(to_number(i.premium_rcv_detail_code))+1
from ins_premium_det i),'2025','2025','02', '11000003','00','Request by Mr. Saqib Saleem 28-Mar-2025 End');</v>
      </c>
    </row>
    <row r="58" spans="1:8" ht="105" x14ac:dyDescent="0.25">
      <c r="A58" s="2" t="s">
        <v>5501</v>
      </c>
      <c r="B58" s="13" t="str">
        <f>VLOOKUP(A58,POLICY1!B:C,2,0)</f>
        <v>050000861761</v>
      </c>
      <c r="C58" s="7">
        <v>1042</v>
      </c>
      <c r="D58" s="14">
        <f t="shared" si="1"/>
        <v>1042</v>
      </c>
      <c r="E58" s="19" t="s">
        <v>6323</v>
      </c>
      <c r="F58" s="15" t="str">
        <f t="shared" si="0"/>
        <v>insert into ins_premium_det (premium_rcv_code,assorted_code, rec_amount,premium_rcv_detail_code,remaining_amt, payrec, mode_code,coinsurance_code,class_cd,it_remarks) values</v>
      </c>
      <c r="G58" s="16" t="str">
        <f t="shared" si="2"/>
        <v>('27Mar250028','050000861761','1042',(select max(to_number(i.premium_rcv_detail_code))+1
from ins_premium_det i),'1042','1042','02', '11000003','00','Request by Mr. Saqib Saleem 28-Mar-2025 End');</v>
      </c>
      <c r="H58" s="17" t="str">
        <f t="shared" si="3"/>
        <v>insert into ins_premium_det (premium_rcv_code,assorted_code, rec_amount,premium_rcv_detail_code,remaining_amt, payrec, mode_code,coinsurance_code,class_cd,it_remarks) values('27Mar250028','050000861761','1042',(select max(to_number(i.premium_rcv_detail_code))+1
from ins_premium_det i),'1042','1042','02', '11000003','00','Request by Mr. Saqib Saleem 28-Mar-2025 End');</v>
      </c>
    </row>
    <row r="59" spans="1:8" ht="105" x14ac:dyDescent="0.25">
      <c r="A59" s="2" t="s">
        <v>5502</v>
      </c>
      <c r="B59" s="13" t="str">
        <f>VLOOKUP(A59,POLICY1!B:C,2,0)</f>
        <v>050000861762</v>
      </c>
      <c r="C59" s="7">
        <v>2542</v>
      </c>
      <c r="D59" s="14">
        <f t="shared" si="1"/>
        <v>2542</v>
      </c>
      <c r="E59" s="19" t="s">
        <v>6323</v>
      </c>
      <c r="F59" s="15" t="str">
        <f t="shared" si="0"/>
        <v>insert into ins_premium_det (premium_rcv_code,assorted_code, rec_amount,premium_rcv_detail_code,remaining_amt, payrec, mode_code,coinsurance_code,class_cd,it_remarks) values</v>
      </c>
      <c r="G59" s="16" t="str">
        <f t="shared" si="2"/>
        <v>('27Mar250028','050000861762','2542',(select max(to_number(i.premium_rcv_detail_code))+1
from ins_premium_det i),'2542','2542','02', '11000003','00','Request by Mr. Saqib Saleem 28-Mar-2025 End');</v>
      </c>
      <c r="H59" s="17" t="str">
        <f t="shared" si="3"/>
        <v>insert into ins_premium_det (premium_rcv_code,assorted_code, rec_amount,premium_rcv_detail_code,remaining_amt, payrec, mode_code,coinsurance_code,class_cd,it_remarks) values('27Mar250028','050000861762','2542',(select max(to_number(i.premium_rcv_detail_code))+1
from ins_premium_det i),'2542','2542','02', '11000003','00','Request by Mr. Saqib Saleem 28-Mar-2025 End');</v>
      </c>
    </row>
    <row r="60" spans="1:8" ht="105" x14ac:dyDescent="0.25">
      <c r="A60" s="2" t="s">
        <v>5503</v>
      </c>
      <c r="B60" s="13" t="str">
        <f>VLOOKUP(A60,POLICY1!B:C,2,0)</f>
        <v>050000861765</v>
      </c>
      <c r="C60" s="7">
        <v>2212</v>
      </c>
      <c r="D60" s="14">
        <f t="shared" si="1"/>
        <v>2212</v>
      </c>
      <c r="E60" s="19" t="s">
        <v>6323</v>
      </c>
      <c r="F60" s="15" t="str">
        <f t="shared" si="0"/>
        <v>insert into ins_premium_det (premium_rcv_code,assorted_code, rec_amount,premium_rcv_detail_code,remaining_amt, payrec, mode_code,coinsurance_code,class_cd,it_remarks) values</v>
      </c>
      <c r="G60" s="16" t="str">
        <f t="shared" si="2"/>
        <v>('27Mar250028','050000861765','2212',(select max(to_number(i.premium_rcv_detail_code))+1
from ins_premium_det i),'2212','2212','02', '11000003','00','Request by Mr. Saqib Saleem 28-Mar-2025 End');</v>
      </c>
      <c r="H60" s="17" t="str">
        <f t="shared" si="3"/>
        <v>insert into ins_premium_det (premium_rcv_code,assorted_code, rec_amount,premium_rcv_detail_code,remaining_amt, payrec, mode_code,coinsurance_code,class_cd,it_remarks) values('27Mar250028','050000861765','2212',(select max(to_number(i.premium_rcv_detail_code))+1
from ins_premium_det i),'2212','2212','02', '11000003','00','Request by Mr. Saqib Saleem 28-Mar-2025 End');</v>
      </c>
    </row>
    <row r="61" spans="1:8" ht="105" x14ac:dyDescent="0.25">
      <c r="A61" s="2" t="s">
        <v>5504</v>
      </c>
      <c r="B61" s="13" t="str">
        <f>VLOOKUP(A61,POLICY1!B:C,2,0)</f>
        <v>050000861766</v>
      </c>
      <c r="C61" s="7">
        <v>1650</v>
      </c>
      <c r="D61" s="14">
        <f t="shared" si="1"/>
        <v>1650</v>
      </c>
      <c r="E61" s="19" t="s">
        <v>6323</v>
      </c>
      <c r="F61" s="15" t="str">
        <f t="shared" si="0"/>
        <v>insert into ins_premium_det (premium_rcv_code,assorted_code, rec_amount,premium_rcv_detail_code,remaining_amt, payrec, mode_code,coinsurance_code,class_cd,it_remarks) values</v>
      </c>
      <c r="G61" s="16" t="str">
        <f t="shared" si="2"/>
        <v>('27Mar250028','050000861766','1650',(select max(to_number(i.premium_rcv_detail_code))+1
from ins_premium_det i),'1650','1650','02', '11000003','00','Request by Mr. Saqib Saleem 28-Mar-2025 End');</v>
      </c>
      <c r="H61" s="17" t="str">
        <f t="shared" si="3"/>
        <v>insert into ins_premium_det (premium_rcv_code,assorted_code, rec_amount,premium_rcv_detail_code,remaining_amt, payrec, mode_code,coinsurance_code,class_cd,it_remarks) values('27Mar250028','050000861766','1650',(select max(to_number(i.premium_rcv_detail_code))+1
from ins_premium_det i),'1650','1650','02', '11000003','00','Request by Mr. Saqib Saleem 28-Mar-2025 End');</v>
      </c>
    </row>
    <row r="62" spans="1:8" ht="105" x14ac:dyDescent="0.25">
      <c r="A62" s="2" t="s">
        <v>5505</v>
      </c>
      <c r="B62" s="13" t="str">
        <f>VLOOKUP(A62,POLICY1!B:C,2,0)</f>
        <v>050000861768</v>
      </c>
      <c r="C62" s="7">
        <v>1327</v>
      </c>
      <c r="D62" s="14">
        <f t="shared" si="1"/>
        <v>1327</v>
      </c>
      <c r="E62" s="19" t="s">
        <v>6323</v>
      </c>
      <c r="F62" s="15" t="str">
        <f t="shared" si="0"/>
        <v>insert into ins_premium_det (premium_rcv_code,assorted_code, rec_amount,premium_rcv_detail_code,remaining_amt, payrec, mode_code,coinsurance_code,class_cd,it_remarks) values</v>
      </c>
      <c r="G62" s="16" t="str">
        <f t="shared" si="2"/>
        <v>('27Mar250028','050000861768','1327',(select max(to_number(i.premium_rcv_detail_code))+1
from ins_premium_det i),'1327','1327','02', '11000003','00','Request by Mr. Saqib Saleem 28-Mar-2025 End');</v>
      </c>
      <c r="H62" s="17" t="str">
        <f t="shared" si="3"/>
        <v>insert into ins_premium_det (premium_rcv_code,assorted_code, rec_amount,premium_rcv_detail_code,remaining_amt, payrec, mode_code,coinsurance_code,class_cd,it_remarks) values('27Mar250028','050000861768','1327',(select max(to_number(i.premium_rcv_detail_code))+1
from ins_premium_det i),'1327','1327','02', '11000003','00','Request by Mr. Saqib Saleem 28-Mar-2025 End');</v>
      </c>
    </row>
    <row r="63" spans="1:8" ht="105" x14ac:dyDescent="0.25">
      <c r="A63" s="2" t="s">
        <v>5506</v>
      </c>
      <c r="B63" s="13" t="str">
        <f>VLOOKUP(A63,POLICY1!B:C,2,0)</f>
        <v>050000861769</v>
      </c>
      <c r="C63" s="7">
        <v>1877</v>
      </c>
      <c r="D63" s="14">
        <f t="shared" si="1"/>
        <v>1877</v>
      </c>
      <c r="E63" s="19" t="s">
        <v>6323</v>
      </c>
      <c r="F63" s="15" t="str">
        <f t="shared" si="0"/>
        <v>insert into ins_premium_det (premium_rcv_code,assorted_code, rec_amount,premium_rcv_detail_code,remaining_amt, payrec, mode_code,coinsurance_code,class_cd,it_remarks) values</v>
      </c>
      <c r="G63" s="16" t="str">
        <f t="shared" si="2"/>
        <v>('27Mar250028','050000861769','1877',(select max(to_number(i.premium_rcv_detail_code))+1
from ins_premium_det i),'1877','1877','02', '11000003','00','Request by Mr. Saqib Saleem 28-Mar-2025 End');</v>
      </c>
      <c r="H63" s="17" t="str">
        <f t="shared" si="3"/>
        <v>insert into ins_premium_det (premium_rcv_code,assorted_code, rec_amount,premium_rcv_detail_code,remaining_amt, payrec, mode_code,coinsurance_code,class_cd,it_remarks) values('27Mar250028','050000861769','1877',(select max(to_number(i.premium_rcv_detail_code))+1
from ins_premium_det i),'1877','1877','02', '11000003','00','Request by Mr. Saqib Saleem 28-Mar-2025 End');</v>
      </c>
    </row>
    <row r="64" spans="1:8" ht="105" x14ac:dyDescent="0.25">
      <c r="A64" s="2" t="s">
        <v>5507</v>
      </c>
      <c r="B64" s="13" t="str">
        <f>VLOOKUP(A64,POLICY1!B:C,2,0)</f>
        <v>050000861771</v>
      </c>
      <c r="C64" s="7">
        <v>1155</v>
      </c>
      <c r="D64" s="14">
        <f t="shared" si="1"/>
        <v>1155</v>
      </c>
      <c r="E64" s="19" t="s">
        <v>6323</v>
      </c>
      <c r="F64" s="15" t="str">
        <f t="shared" si="0"/>
        <v>insert into ins_premium_det (premium_rcv_code,assorted_code, rec_amount,premium_rcv_detail_code,remaining_amt, payrec, mode_code,coinsurance_code,class_cd,it_remarks) values</v>
      </c>
      <c r="G64" s="16" t="str">
        <f t="shared" si="2"/>
        <v>('27Mar250028','050000861771','1155',(select max(to_number(i.premium_rcv_detail_code))+1
from ins_premium_det i),'1155','1155','02', '11000003','00','Request by Mr. Saqib Saleem 28-Mar-2025 End');</v>
      </c>
      <c r="H64" s="17" t="str">
        <f t="shared" si="3"/>
        <v>insert into ins_premium_det (premium_rcv_code,assorted_code, rec_amount,premium_rcv_detail_code,remaining_amt, payrec, mode_code,coinsurance_code,class_cd,it_remarks) values('27Mar250028','050000861771','1155',(select max(to_number(i.premium_rcv_detail_code))+1
from ins_premium_det i),'1155','1155','02', '11000003','00','Request by Mr. Saqib Saleem 28-Mar-2025 End');</v>
      </c>
    </row>
    <row r="65" spans="1:8" ht="105" x14ac:dyDescent="0.25">
      <c r="A65" s="2" t="s">
        <v>5508</v>
      </c>
      <c r="B65" s="13" t="str">
        <f>VLOOKUP(A65,POLICY1!B:C,2,0)</f>
        <v>050000861775</v>
      </c>
      <c r="C65" s="7">
        <v>720</v>
      </c>
      <c r="D65" s="14">
        <f t="shared" si="1"/>
        <v>720</v>
      </c>
      <c r="E65" s="19" t="s">
        <v>6323</v>
      </c>
      <c r="F65" s="15" t="str">
        <f t="shared" si="0"/>
        <v>insert into ins_premium_det (premium_rcv_code,assorted_code, rec_amount,premium_rcv_detail_code,remaining_amt, payrec, mode_code,coinsurance_code,class_cd,it_remarks) values</v>
      </c>
      <c r="G65" s="16" t="str">
        <f t="shared" si="2"/>
        <v>('27Mar250028','050000861775','720',(select max(to_number(i.premium_rcv_detail_code))+1
from ins_premium_det i),'720','720','02', '11000003','00','Request by Mr. Saqib Saleem 28-Mar-2025 End');</v>
      </c>
      <c r="H65" s="17" t="str">
        <f t="shared" si="3"/>
        <v>insert into ins_premium_det (premium_rcv_code,assorted_code, rec_amount,premium_rcv_detail_code,remaining_amt, payrec, mode_code,coinsurance_code,class_cd,it_remarks) values('27Mar250028','050000861775','720',(select max(to_number(i.premium_rcv_detail_code))+1
from ins_premium_det i),'720','720','02', '11000003','00','Request by Mr. Saqib Saleem 28-Mar-2025 End');</v>
      </c>
    </row>
    <row r="66" spans="1:8" ht="105" x14ac:dyDescent="0.25">
      <c r="A66" s="2" t="s">
        <v>5509</v>
      </c>
      <c r="B66" s="13" t="str">
        <f>VLOOKUP(A66,POLICY1!B:C,2,0)</f>
        <v>050000861778</v>
      </c>
      <c r="C66" s="7">
        <v>1012</v>
      </c>
      <c r="D66" s="14">
        <f t="shared" si="1"/>
        <v>1012</v>
      </c>
      <c r="E66" s="19" t="s">
        <v>6323</v>
      </c>
      <c r="F66" s="15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6" t="str">
        <f t="shared" si="2"/>
        <v>('27Mar250028','050000861778','1012',(select max(to_number(i.premium_rcv_detail_code))+1
from ins_premium_det i),'1012','1012','02', '11000003','00','Request by Mr. Saqib Saleem 28-Mar-2025 End');</v>
      </c>
      <c r="H66" s="17" t="str">
        <f t="shared" si="3"/>
        <v>insert into ins_premium_det (premium_rcv_code,assorted_code, rec_amount,premium_rcv_detail_code,remaining_amt, payrec, mode_code,coinsurance_code,class_cd,it_remarks) values('27Mar250028','050000861778','1012',(select max(to_number(i.premium_rcv_detail_code))+1
from ins_premium_det i),'1012','1012','02', '11000003','00','Request by Mr. Saqib Saleem 28-Mar-2025 End');</v>
      </c>
    </row>
    <row r="67" spans="1:8" ht="105" x14ac:dyDescent="0.25">
      <c r="A67" t="s">
        <v>5622</v>
      </c>
      <c r="B67" s="13" t="str">
        <f>VLOOKUP(A67,POLICY1!B:C,2,0)</f>
        <v>050000861780</v>
      </c>
      <c r="C67" s="7">
        <v>1500</v>
      </c>
      <c r="D67" s="14">
        <f t="shared" ref="D67:D130" si="5">ROUND(C67,0)</f>
        <v>1500</v>
      </c>
      <c r="E67" s="19" t="s">
        <v>6323</v>
      </c>
      <c r="F67" s="15" t="str">
        <f t="shared" si="4"/>
        <v>insert into ins_premium_det (premium_rcv_code,assorted_code, rec_amount,premium_rcv_detail_code,remaining_amt, payrec, mode_code,coinsurance_code,class_cd,it_remarks) values</v>
      </c>
      <c r="G67" s="16" t="str">
        <f t="shared" ref="G67:G130" si="6">"('"&amp;E67&amp;"','"&amp;B67&amp;"','"&amp;D67&amp;"',(select max(to_number(i.premium_rcv_detail_code))+1
from ins_premium_det i),'"&amp;D67&amp;"','"&amp;D67&amp;"','02', '11000003','00','Request by Mr. Saqib Saleem 28-Mar-2025 End');"</f>
        <v>('27Mar250028','050000861780','1500',(select max(to_number(i.premium_rcv_detail_code))+1
from ins_premium_det i),'1500','1500','02', '11000003','00','Request by Mr. Saqib Saleem 28-Mar-2025 End');</v>
      </c>
      <c r="H67" s="17" t="str">
        <f t="shared" ref="H67:H130" si="7">F67&amp;G67</f>
        <v>insert into ins_premium_det (premium_rcv_code,assorted_code, rec_amount,premium_rcv_detail_code,remaining_amt, payrec, mode_code,coinsurance_code,class_cd,it_remarks) values('27Mar250028','050000861780','1500',(select max(to_number(i.premium_rcv_detail_code))+1
from ins_premium_det i),'1500','1500','02', '11000003','00','Request by Mr. Saqib Saleem 28-Mar-2025 End');</v>
      </c>
    </row>
    <row r="68" spans="1:8" ht="105" x14ac:dyDescent="0.25">
      <c r="A68" s="2" t="s">
        <v>5510</v>
      </c>
      <c r="B68" s="13" t="str">
        <f>VLOOKUP(A68,POLICY1!B:C,2,0)</f>
        <v>050000861786</v>
      </c>
      <c r="C68" s="7">
        <v>2775</v>
      </c>
      <c r="D68" s="14">
        <f t="shared" si="5"/>
        <v>2775</v>
      </c>
      <c r="E68" s="19" t="s">
        <v>6323</v>
      </c>
      <c r="F68" s="15" t="str">
        <f t="shared" si="4"/>
        <v>insert into ins_premium_det (premium_rcv_code,assorted_code, rec_amount,premium_rcv_detail_code,remaining_amt, payrec, mode_code,coinsurance_code,class_cd,it_remarks) values</v>
      </c>
      <c r="G68" s="16" t="str">
        <f t="shared" si="6"/>
        <v>('27Mar250028','050000861786','2775',(select max(to_number(i.premium_rcv_detail_code))+1
from ins_premium_det i),'2775','2775','02', '11000003','00','Request by Mr. Saqib Saleem 28-Mar-2025 End');</v>
      </c>
      <c r="H68" s="17" t="str">
        <f t="shared" si="7"/>
        <v>insert into ins_premium_det (premium_rcv_code,assorted_code, rec_amount,premium_rcv_detail_code,remaining_amt, payrec, mode_code,coinsurance_code,class_cd,it_remarks) values('27Mar250028','050000861786','2775',(select max(to_number(i.premium_rcv_detail_code))+1
from ins_premium_det i),'2775','2775','02', '11000003','00','Request by Mr. Saqib Saleem 28-Mar-2025 End');</v>
      </c>
    </row>
    <row r="69" spans="1:8" ht="105" x14ac:dyDescent="0.25">
      <c r="A69" s="2" t="s">
        <v>5511</v>
      </c>
      <c r="B69" s="13" t="str">
        <f>VLOOKUP(A69,POLICY1!B:C,2,0)</f>
        <v>050000861787</v>
      </c>
      <c r="C69" s="7">
        <v>1875</v>
      </c>
      <c r="D69" s="14">
        <f t="shared" si="5"/>
        <v>1875</v>
      </c>
      <c r="E69" s="19" t="s">
        <v>6323</v>
      </c>
      <c r="F69" s="15" t="str">
        <f t="shared" si="4"/>
        <v>insert into ins_premium_det (premium_rcv_code,assorted_code, rec_amount,premium_rcv_detail_code,remaining_amt, payrec, mode_code,coinsurance_code,class_cd,it_remarks) values</v>
      </c>
      <c r="G69" s="16" t="str">
        <f t="shared" si="6"/>
        <v>('27Mar250028','050000861787','1875',(select max(to_number(i.premium_rcv_detail_code))+1
from ins_premium_det i),'1875','1875','02', '11000003','00','Request by Mr. Saqib Saleem 28-Mar-2025 End');</v>
      </c>
      <c r="H69" s="17" t="str">
        <f t="shared" si="7"/>
        <v>insert into ins_premium_det (premium_rcv_code,assorted_code, rec_amount,premium_rcv_detail_code,remaining_amt, payrec, mode_code,coinsurance_code,class_cd,it_remarks) values('27Mar250028','050000861787','1875',(select max(to_number(i.premium_rcv_detail_code))+1
from ins_premium_det i),'1875','1875','02', '11000003','00','Request by Mr. Saqib Saleem 28-Mar-2025 End');</v>
      </c>
    </row>
    <row r="70" spans="1:8" ht="105" x14ac:dyDescent="0.25">
      <c r="A70" s="2" t="s">
        <v>5512</v>
      </c>
      <c r="B70" s="13" t="str">
        <f>VLOOKUP(A70,POLICY1!B:C,2,0)</f>
        <v>050000861788</v>
      </c>
      <c r="C70" s="7">
        <v>2100</v>
      </c>
      <c r="D70" s="14">
        <f t="shared" si="5"/>
        <v>2100</v>
      </c>
      <c r="E70" s="19" t="s">
        <v>6323</v>
      </c>
      <c r="F70" s="15" t="str">
        <f t="shared" si="4"/>
        <v>insert into ins_premium_det (premium_rcv_code,assorted_code, rec_amount,premium_rcv_detail_code,remaining_amt, payrec, mode_code,coinsurance_code,class_cd,it_remarks) values</v>
      </c>
      <c r="G70" s="16" t="str">
        <f t="shared" si="6"/>
        <v>('27Mar250028','050000861788','2100',(select max(to_number(i.premium_rcv_detail_code))+1
from ins_premium_det i),'2100','2100','02', '11000003','00','Request by Mr. Saqib Saleem 28-Mar-2025 End');</v>
      </c>
      <c r="H70" s="17" t="str">
        <f t="shared" si="7"/>
        <v>insert into ins_premium_det (premium_rcv_code,assorted_code, rec_amount,premium_rcv_detail_code,remaining_amt, payrec, mode_code,coinsurance_code,class_cd,it_remarks) values('27Mar250028','050000861788','2100',(select max(to_number(i.premium_rcv_detail_code))+1
from ins_premium_det i),'2100','2100','02', '11000003','00','Request by Mr. Saqib Saleem 28-Mar-2025 End');</v>
      </c>
    </row>
    <row r="71" spans="1:8" ht="105" x14ac:dyDescent="0.25">
      <c r="A71" s="2" t="s">
        <v>5513</v>
      </c>
      <c r="B71" s="13" t="str">
        <f>VLOOKUP(A71,POLICY1!B:C,2,0)</f>
        <v>050000861798</v>
      </c>
      <c r="C71" s="7">
        <v>1546</v>
      </c>
      <c r="D71" s="14">
        <f t="shared" si="5"/>
        <v>1546</v>
      </c>
      <c r="E71" s="19" t="s">
        <v>6323</v>
      </c>
      <c r="F71" s="15" t="str">
        <f t="shared" si="4"/>
        <v>insert into ins_premium_det (premium_rcv_code,assorted_code, rec_amount,premium_rcv_detail_code,remaining_amt, payrec, mode_code,coinsurance_code,class_cd,it_remarks) values</v>
      </c>
      <c r="G71" s="16" t="str">
        <f t="shared" si="6"/>
        <v>('27Mar250028','050000861798','1546',(select max(to_number(i.premium_rcv_detail_code))+1
from ins_premium_det i),'1546','1546','02', '11000003','00','Request by Mr. Saqib Saleem 28-Mar-2025 End');</v>
      </c>
      <c r="H71" s="17" t="str">
        <f t="shared" si="7"/>
        <v>insert into ins_premium_det (premium_rcv_code,assorted_code, rec_amount,premium_rcv_detail_code,remaining_amt, payrec, mode_code,coinsurance_code,class_cd,it_remarks) values('27Mar250028','050000861798','1546',(select max(to_number(i.premium_rcv_detail_code))+1
from ins_premium_det i),'1546','1546','02', '11000003','00','Request by Mr. Saqib Saleem 28-Mar-2025 End');</v>
      </c>
    </row>
    <row r="72" spans="1:8" ht="105" x14ac:dyDescent="0.25">
      <c r="A72" s="2" t="s">
        <v>5514</v>
      </c>
      <c r="B72" s="13" t="str">
        <f>VLOOKUP(A72,POLICY1!B:C,2,0)</f>
        <v>050000861800</v>
      </c>
      <c r="C72" s="7">
        <v>1521</v>
      </c>
      <c r="D72" s="14">
        <f t="shared" si="5"/>
        <v>1521</v>
      </c>
      <c r="E72" s="19" t="s">
        <v>6323</v>
      </c>
      <c r="F72" s="15" t="str">
        <f t="shared" si="4"/>
        <v>insert into ins_premium_det (premium_rcv_code,assorted_code, rec_amount,premium_rcv_detail_code,remaining_amt, payrec, mode_code,coinsurance_code,class_cd,it_remarks) values</v>
      </c>
      <c r="G72" s="16" t="str">
        <f t="shared" si="6"/>
        <v>('27Mar250028','050000861800','1521',(select max(to_number(i.premium_rcv_detail_code))+1
from ins_premium_det i),'1521','1521','02', '11000003','00','Request by Mr. Saqib Saleem 28-Mar-2025 End');</v>
      </c>
      <c r="H72" s="17" t="str">
        <f t="shared" si="7"/>
        <v>insert into ins_premium_det (premium_rcv_code,assorted_code, rec_amount,premium_rcv_detail_code,remaining_amt, payrec, mode_code,coinsurance_code,class_cd,it_remarks) values('27Mar250028','050000861800','1521',(select max(to_number(i.premium_rcv_detail_code))+1
from ins_premium_det i),'1521','1521','02', '11000003','00','Request by Mr. Saqib Saleem 28-Mar-2025 End');</v>
      </c>
    </row>
    <row r="73" spans="1:8" ht="105" x14ac:dyDescent="0.25">
      <c r="A73" s="2" t="s">
        <v>5515</v>
      </c>
      <c r="B73" s="13" t="str">
        <f>VLOOKUP(A73,POLICY1!B:C,2,0)</f>
        <v>050000861802</v>
      </c>
      <c r="C73" s="7">
        <v>1546</v>
      </c>
      <c r="D73" s="14">
        <f t="shared" si="5"/>
        <v>1546</v>
      </c>
      <c r="E73" s="19" t="s">
        <v>6323</v>
      </c>
      <c r="F73" s="15" t="str">
        <f t="shared" si="4"/>
        <v>insert into ins_premium_det (premium_rcv_code,assorted_code, rec_amount,premium_rcv_detail_code,remaining_amt, payrec, mode_code,coinsurance_code,class_cd,it_remarks) values</v>
      </c>
      <c r="G73" s="16" t="str">
        <f t="shared" si="6"/>
        <v>('27Mar250028','050000861802','1546',(select max(to_number(i.premium_rcv_detail_code))+1
from ins_premium_det i),'1546','1546','02', '11000003','00','Request by Mr. Saqib Saleem 28-Mar-2025 End');</v>
      </c>
      <c r="H73" s="17" t="str">
        <f t="shared" si="7"/>
        <v>insert into ins_premium_det (premium_rcv_code,assorted_code, rec_amount,premium_rcv_detail_code,remaining_amt, payrec, mode_code,coinsurance_code,class_cd,it_remarks) values('27Mar250028','050000861802','1546',(select max(to_number(i.premium_rcv_detail_code))+1
from ins_premium_det i),'1546','1546','02', '11000003','00','Request by Mr. Saqib Saleem 28-Mar-2025 End');</v>
      </c>
    </row>
    <row r="74" spans="1:8" ht="105" x14ac:dyDescent="0.25">
      <c r="A74" s="2" t="s">
        <v>5516</v>
      </c>
      <c r="B74" s="13" t="str">
        <f>VLOOKUP(A74,POLICY1!B:C,2,0)</f>
        <v>050000861804</v>
      </c>
      <c r="C74" s="7">
        <v>1237</v>
      </c>
      <c r="D74" s="14">
        <f t="shared" si="5"/>
        <v>1237</v>
      </c>
      <c r="E74" s="19" t="s">
        <v>6323</v>
      </c>
      <c r="F74" s="15" t="str">
        <f t="shared" si="4"/>
        <v>insert into ins_premium_det (premium_rcv_code,assorted_code, rec_amount,premium_rcv_detail_code,remaining_amt, payrec, mode_code,coinsurance_code,class_cd,it_remarks) values</v>
      </c>
      <c r="G74" s="16" t="str">
        <f t="shared" si="6"/>
        <v>('27Mar250028','050000861804','1237',(select max(to_number(i.premium_rcv_detail_code))+1
from ins_premium_det i),'1237','1237','02', '11000003','00','Request by Mr. Saqib Saleem 28-Mar-2025 End');</v>
      </c>
      <c r="H74" s="17" t="str">
        <f t="shared" si="7"/>
        <v>insert into ins_premium_det (premium_rcv_code,assorted_code, rec_amount,premium_rcv_detail_code,remaining_amt, payrec, mode_code,coinsurance_code,class_cd,it_remarks) values('27Mar250028','050000861804','1237',(select max(to_number(i.premium_rcv_detail_code))+1
from ins_premium_det i),'1237','1237','02', '11000003','00','Request by Mr. Saqib Saleem 28-Mar-2025 End');</v>
      </c>
    </row>
    <row r="75" spans="1:8" ht="105" x14ac:dyDescent="0.25">
      <c r="A75" s="2" t="s">
        <v>5517</v>
      </c>
      <c r="B75" s="13" t="str">
        <f>VLOOKUP(A75,POLICY1!B:C,2,0)</f>
        <v>050000861808</v>
      </c>
      <c r="C75" s="7">
        <v>4012</v>
      </c>
      <c r="D75" s="14">
        <f t="shared" si="5"/>
        <v>4012</v>
      </c>
      <c r="E75" s="19" t="s">
        <v>6323</v>
      </c>
      <c r="F75" s="15" t="str">
        <f t="shared" si="4"/>
        <v>insert into ins_premium_det (premium_rcv_code,assorted_code, rec_amount,premium_rcv_detail_code,remaining_amt, payrec, mode_code,coinsurance_code,class_cd,it_remarks) values</v>
      </c>
      <c r="G75" s="16" t="str">
        <f t="shared" si="6"/>
        <v>('27Mar250028','050000861808','4012',(select max(to_number(i.premium_rcv_detail_code))+1
from ins_premium_det i),'4012','4012','02', '11000003','00','Request by Mr. Saqib Saleem 28-Mar-2025 End');</v>
      </c>
      <c r="H75" s="17" t="str">
        <f t="shared" si="7"/>
        <v>insert into ins_premium_det (premium_rcv_code,assorted_code, rec_amount,premium_rcv_detail_code,remaining_amt, payrec, mode_code,coinsurance_code,class_cd,it_remarks) values('27Mar250028','050000861808','4012',(select max(to_number(i.premium_rcv_detail_code))+1
from ins_premium_det i),'4012','4012','02', '11000003','00','Request by Mr. Saqib Saleem 28-Mar-2025 End');</v>
      </c>
    </row>
    <row r="76" spans="1:8" ht="105" x14ac:dyDescent="0.25">
      <c r="A76" s="2" t="s">
        <v>5518</v>
      </c>
      <c r="B76" s="13" t="str">
        <f>VLOOKUP(A76,POLICY1!B:C,2,0)</f>
        <v>050000861809</v>
      </c>
      <c r="C76" s="7">
        <v>2880</v>
      </c>
      <c r="D76" s="14">
        <f t="shared" si="5"/>
        <v>2880</v>
      </c>
      <c r="E76" s="19" t="s">
        <v>6323</v>
      </c>
      <c r="F76" s="15" t="str">
        <f t="shared" si="4"/>
        <v>insert into ins_premium_det (premium_rcv_code,assorted_code, rec_amount,premium_rcv_detail_code,remaining_amt, payrec, mode_code,coinsurance_code,class_cd,it_remarks) values</v>
      </c>
      <c r="G76" s="16" t="str">
        <f t="shared" si="6"/>
        <v>('27Mar250028','050000861809','2880',(select max(to_number(i.premium_rcv_detail_code))+1
from ins_premium_det i),'2880','2880','02', '11000003','00','Request by Mr. Saqib Saleem 28-Mar-2025 End');</v>
      </c>
      <c r="H76" s="17" t="str">
        <f t="shared" si="7"/>
        <v>insert into ins_premium_det (premium_rcv_code,assorted_code, rec_amount,premium_rcv_detail_code,remaining_amt, payrec, mode_code,coinsurance_code,class_cd,it_remarks) values('27Mar250028','050000861809','2880',(select max(to_number(i.premium_rcv_detail_code))+1
from ins_premium_det i),'2880','2880','02', '11000003','00','Request by Mr. Saqib Saleem 28-Mar-2025 End');</v>
      </c>
    </row>
    <row r="77" spans="1:8" ht="105" x14ac:dyDescent="0.25">
      <c r="A77" s="2" t="s">
        <v>5519</v>
      </c>
      <c r="B77" s="13" t="str">
        <f>VLOOKUP(A77,POLICY1!B:C,2,0)</f>
        <v>050000861811</v>
      </c>
      <c r="C77" s="7">
        <v>2156</v>
      </c>
      <c r="D77" s="14">
        <f t="shared" si="5"/>
        <v>2156</v>
      </c>
      <c r="E77" s="19" t="s">
        <v>6323</v>
      </c>
      <c r="F77" s="15" t="str">
        <f t="shared" si="4"/>
        <v>insert into ins_premium_det (premium_rcv_code,assorted_code, rec_amount,premium_rcv_detail_code,remaining_amt, payrec, mode_code,coinsurance_code,class_cd,it_remarks) values</v>
      </c>
      <c r="G77" s="16" t="str">
        <f t="shared" si="6"/>
        <v>('27Mar250028','050000861811','2156',(select max(to_number(i.premium_rcv_detail_code))+1
from ins_premium_det i),'2156','2156','02', '11000003','00','Request by Mr. Saqib Saleem 28-Mar-2025 End');</v>
      </c>
      <c r="H77" s="17" t="str">
        <f t="shared" si="7"/>
        <v>insert into ins_premium_det (premium_rcv_code,assorted_code, rec_amount,premium_rcv_detail_code,remaining_amt, payrec, mode_code,coinsurance_code,class_cd,it_remarks) values('27Mar250028','050000861811','2156',(select max(to_number(i.premium_rcv_detail_code))+1
from ins_premium_det i),'2156','2156','02', '11000003','00','Request by Mr. Saqib Saleem 28-Mar-2025 End');</v>
      </c>
    </row>
    <row r="78" spans="1:8" ht="105" x14ac:dyDescent="0.25">
      <c r="A78" s="2" t="s">
        <v>5520</v>
      </c>
      <c r="B78" s="13" t="str">
        <f>VLOOKUP(A78,POLICY1!B:C,2,0)</f>
        <v>050000861812</v>
      </c>
      <c r="C78" s="7">
        <v>2137</v>
      </c>
      <c r="D78" s="14">
        <f t="shared" si="5"/>
        <v>2137</v>
      </c>
      <c r="E78" s="19" t="s">
        <v>6323</v>
      </c>
      <c r="F78" s="15" t="str">
        <f t="shared" si="4"/>
        <v>insert into ins_premium_det (premium_rcv_code,assorted_code, rec_amount,premium_rcv_detail_code,remaining_amt, payrec, mode_code,coinsurance_code,class_cd,it_remarks) values</v>
      </c>
      <c r="G78" s="16" t="str">
        <f t="shared" si="6"/>
        <v>('27Mar250028','050000861812','2137',(select max(to_number(i.premium_rcv_detail_code))+1
from ins_premium_det i),'2137','2137','02', '11000003','00','Request by Mr. Saqib Saleem 28-Mar-2025 End');</v>
      </c>
      <c r="H78" s="17" t="str">
        <f t="shared" si="7"/>
        <v>insert into ins_premium_det (premium_rcv_code,assorted_code, rec_amount,premium_rcv_detail_code,remaining_amt, payrec, mode_code,coinsurance_code,class_cd,it_remarks) values('27Mar250028','050000861812','2137',(select max(to_number(i.premium_rcv_detail_code))+1
from ins_premium_det i),'2137','2137','02', '11000003','00','Request by Mr. Saqib Saleem 28-Mar-2025 End');</v>
      </c>
    </row>
    <row r="79" spans="1:8" ht="105" x14ac:dyDescent="0.25">
      <c r="A79" s="2" t="s">
        <v>5521</v>
      </c>
      <c r="B79" s="13" t="str">
        <f>VLOOKUP(A79,POLICY1!B:C,2,0)</f>
        <v>050000861813</v>
      </c>
      <c r="C79" s="7">
        <v>2100</v>
      </c>
      <c r="D79" s="14">
        <f t="shared" si="5"/>
        <v>2100</v>
      </c>
      <c r="E79" s="19" t="s">
        <v>6323</v>
      </c>
      <c r="F79" s="15" t="str">
        <f t="shared" si="4"/>
        <v>insert into ins_premium_det (premium_rcv_code,assorted_code, rec_amount,premium_rcv_detail_code,remaining_amt, payrec, mode_code,coinsurance_code,class_cd,it_remarks) values</v>
      </c>
      <c r="G79" s="16" t="str">
        <f t="shared" si="6"/>
        <v>('27Mar250028','050000861813','2100',(select max(to_number(i.premium_rcv_detail_code))+1
from ins_premium_det i),'2100','2100','02', '11000003','00','Request by Mr. Saqib Saleem 28-Mar-2025 End');</v>
      </c>
      <c r="H79" s="17" t="str">
        <f t="shared" si="7"/>
        <v>insert into ins_premium_det (premium_rcv_code,assorted_code, rec_amount,premium_rcv_detail_code,remaining_amt, payrec, mode_code,coinsurance_code,class_cd,it_remarks) values('27Mar250028','050000861813','2100',(select max(to_number(i.premium_rcv_detail_code))+1
from ins_premium_det i),'2100','2100','02', '11000003','00','Request by Mr. Saqib Saleem 28-Mar-2025 End');</v>
      </c>
    </row>
    <row r="80" spans="1:8" ht="105" x14ac:dyDescent="0.25">
      <c r="A80" s="2" t="s">
        <v>5522</v>
      </c>
      <c r="B80" s="13" t="str">
        <f>VLOOKUP(A80,POLICY1!B:C,2,0)</f>
        <v>050000861815</v>
      </c>
      <c r="C80" s="7">
        <v>1387</v>
      </c>
      <c r="D80" s="14">
        <f t="shared" si="5"/>
        <v>1387</v>
      </c>
      <c r="E80" s="19" t="s">
        <v>6323</v>
      </c>
      <c r="F80" s="15" t="str">
        <f t="shared" si="4"/>
        <v>insert into ins_premium_det (premium_rcv_code,assorted_code, rec_amount,premium_rcv_detail_code,remaining_amt, payrec, mode_code,coinsurance_code,class_cd,it_remarks) values</v>
      </c>
      <c r="G80" s="16" t="str">
        <f t="shared" si="6"/>
        <v>('27Mar250028','050000861815','1387',(select max(to_number(i.premium_rcv_detail_code))+1
from ins_premium_det i),'1387','1387','02', '11000003','00','Request by Mr. Saqib Saleem 28-Mar-2025 End');</v>
      </c>
      <c r="H80" s="17" t="str">
        <f t="shared" si="7"/>
        <v>insert into ins_premium_det (premium_rcv_code,assorted_code, rec_amount,premium_rcv_detail_code,remaining_amt, payrec, mode_code,coinsurance_code,class_cd,it_remarks) values('27Mar250028','050000861815','1387',(select max(to_number(i.premium_rcv_detail_code))+1
from ins_premium_det i),'1387','1387','02', '11000003','00','Request by Mr. Saqib Saleem 28-Mar-2025 End');</v>
      </c>
    </row>
    <row r="81" spans="1:8" ht="105" x14ac:dyDescent="0.25">
      <c r="A81" s="2" t="s">
        <v>5523</v>
      </c>
      <c r="B81" s="13" t="str">
        <f>VLOOKUP(A81,POLICY1!B:C,2,0)</f>
        <v>050000861817</v>
      </c>
      <c r="C81" s="7">
        <v>1087</v>
      </c>
      <c r="D81" s="14">
        <f t="shared" si="5"/>
        <v>1087</v>
      </c>
      <c r="E81" s="19" t="s">
        <v>6323</v>
      </c>
      <c r="F81" s="15" t="str">
        <f t="shared" si="4"/>
        <v>insert into ins_premium_det (premium_rcv_code,assorted_code, rec_amount,premium_rcv_detail_code,remaining_amt, payrec, mode_code,coinsurance_code,class_cd,it_remarks) values</v>
      </c>
      <c r="G81" s="16" t="str">
        <f t="shared" si="6"/>
        <v>('27Mar250028','050000861817','1087',(select max(to_number(i.premium_rcv_detail_code))+1
from ins_premium_det i),'1087','1087','02', '11000003','00','Request by Mr. Saqib Saleem 28-Mar-2025 End');</v>
      </c>
      <c r="H81" s="17" t="str">
        <f t="shared" si="7"/>
        <v>insert into ins_premium_det (premium_rcv_code,assorted_code, rec_amount,premium_rcv_detail_code,remaining_amt, payrec, mode_code,coinsurance_code,class_cd,it_remarks) values('27Mar250028','050000861817','1087',(select max(to_number(i.premium_rcv_detail_code))+1
from ins_premium_det i),'1087','1087','02', '11000003','00','Request by Mr. Saqib Saleem 28-Mar-2025 End');</v>
      </c>
    </row>
    <row r="82" spans="1:8" ht="105" x14ac:dyDescent="0.25">
      <c r="A82" s="2" t="s">
        <v>5524</v>
      </c>
      <c r="B82" s="13" t="str">
        <f>VLOOKUP(A82,POLICY1!B:C,2,0)</f>
        <v>050000861818</v>
      </c>
      <c r="C82" s="7">
        <v>1200</v>
      </c>
      <c r="D82" s="14">
        <f t="shared" si="5"/>
        <v>1200</v>
      </c>
      <c r="E82" s="19" t="s">
        <v>6323</v>
      </c>
      <c r="F82" s="15" t="str">
        <f t="shared" si="4"/>
        <v>insert into ins_premium_det (premium_rcv_code,assorted_code, rec_amount,premium_rcv_detail_code,remaining_amt, payrec, mode_code,coinsurance_code,class_cd,it_remarks) values</v>
      </c>
      <c r="G82" s="16" t="str">
        <f t="shared" si="6"/>
        <v>('27Mar250028','050000861818','1200',(select max(to_number(i.premium_rcv_detail_code))+1
from ins_premium_det i),'1200','1200','02', '11000003','00','Request by Mr. Saqib Saleem 28-Mar-2025 End');</v>
      </c>
      <c r="H82" s="17" t="str">
        <f t="shared" si="7"/>
        <v>insert into ins_premium_det (premium_rcv_code,assorted_code, rec_amount,premium_rcv_detail_code,remaining_amt, payrec, mode_code,coinsurance_code,class_cd,it_remarks) values('27Mar250028','050000861818','1200',(select max(to_number(i.premium_rcv_detail_code))+1
from ins_premium_det i),'1200','1200','02', '11000003','00','Request by Mr. Saqib Saleem 28-Mar-2025 End');</v>
      </c>
    </row>
    <row r="83" spans="1:8" ht="105" x14ac:dyDescent="0.25">
      <c r="A83" s="2" t="s">
        <v>5525</v>
      </c>
      <c r="B83" s="13" t="str">
        <f>VLOOKUP(A83,POLICY1!B:C,2,0)</f>
        <v>050000861823</v>
      </c>
      <c r="C83" s="7">
        <v>13993</v>
      </c>
      <c r="D83" s="14">
        <f t="shared" si="5"/>
        <v>13993</v>
      </c>
      <c r="E83" s="19" t="s">
        <v>6323</v>
      </c>
      <c r="F83" s="15" t="str">
        <f t="shared" si="4"/>
        <v>insert into ins_premium_det (premium_rcv_code,assorted_code, rec_amount,premium_rcv_detail_code,remaining_amt, payrec, mode_code,coinsurance_code,class_cd,it_remarks) values</v>
      </c>
      <c r="G83" s="16" t="str">
        <f t="shared" si="6"/>
        <v>('27Mar250028','050000861823','13993',(select max(to_number(i.premium_rcv_detail_code))+1
from ins_premium_det i),'13993','13993','02', '11000003','00','Request by Mr. Saqib Saleem 28-Mar-2025 End');</v>
      </c>
      <c r="H83" s="17" t="str">
        <f t="shared" si="7"/>
        <v>insert into ins_premium_det (premium_rcv_code,assorted_code, rec_amount,premium_rcv_detail_code,remaining_amt, payrec, mode_code,coinsurance_code,class_cd,it_remarks) values('27Mar250028','050000861823','13993',(select max(to_number(i.premium_rcv_detail_code))+1
from ins_premium_det i),'13993','13993','02', '11000003','00','Request by Mr. Saqib Saleem 28-Mar-2025 End');</v>
      </c>
    </row>
    <row r="84" spans="1:8" ht="105" x14ac:dyDescent="0.25">
      <c r="A84" s="2" t="s">
        <v>5526</v>
      </c>
      <c r="B84" s="13" t="str">
        <f>VLOOKUP(A84,POLICY1!B:C,2,0)</f>
        <v>050000861825</v>
      </c>
      <c r="C84" s="7">
        <v>2438</v>
      </c>
      <c r="D84" s="14">
        <f t="shared" si="5"/>
        <v>2438</v>
      </c>
      <c r="E84" s="19" t="s">
        <v>6323</v>
      </c>
      <c r="F84" s="15" t="str">
        <f t="shared" si="4"/>
        <v>insert into ins_premium_det (premium_rcv_code,assorted_code, rec_amount,premium_rcv_detail_code,remaining_amt, payrec, mode_code,coinsurance_code,class_cd,it_remarks) values</v>
      </c>
      <c r="G84" s="16" t="str">
        <f t="shared" si="6"/>
        <v>('27Mar250028','050000861825','2438',(select max(to_number(i.premium_rcv_detail_code))+1
from ins_premium_det i),'2438','2438','02', '11000003','00','Request by Mr. Saqib Saleem 28-Mar-2025 End');</v>
      </c>
      <c r="H84" s="17" t="str">
        <f t="shared" si="7"/>
        <v>insert into ins_premium_det (premium_rcv_code,assorted_code, rec_amount,premium_rcv_detail_code,remaining_amt, payrec, mode_code,coinsurance_code,class_cd,it_remarks) values('27Mar250028','050000861825','2438',(select max(to_number(i.premium_rcv_detail_code))+1
from ins_premium_det i),'2438','2438','02', '11000003','00','Request by Mr. Saqib Saleem 28-Mar-2025 End');</v>
      </c>
    </row>
    <row r="85" spans="1:8" ht="105" x14ac:dyDescent="0.25">
      <c r="A85" s="2" t="s">
        <v>5527</v>
      </c>
      <c r="B85" s="13" t="str">
        <f>VLOOKUP(A85,POLICY1!B:C,2,0)</f>
        <v>050000861827</v>
      </c>
      <c r="C85" s="7">
        <v>1680</v>
      </c>
      <c r="D85" s="14">
        <f t="shared" si="5"/>
        <v>1680</v>
      </c>
      <c r="E85" s="19" t="s">
        <v>6323</v>
      </c>
      <c r="F85" s="15" t="str">
        <f t="shared" si="4"/>
        <v>insert into ins_premium_det (premium_rcv_code,assorted_code, rec_amount,premium_rcv_detail_code,remaining_amt, payrec, mode_code,coinsurance_code,class_cd,it_remarks) values</v>
      </c>
      <c r="G85" s="16" t="str">
        <f t="shared" si="6"/>
        <v>('27Mar250028','050000861827','1680',(select max(to_number(i.premium_rcv_detail_code))+1
from ins_premium_det i),'1680','1680','02', '11000003','00','Request by Mr. Saqib Saleem 28-Mar-2025 End');</v>
      </c>
      <c r="H85" s="17" t="str">
        <f t="shared" si="7"/>
        <v>insert into ins_premium_det (premium_rcv_code,assorted_code, rec_amount,premium_rcv_detail_code,remaining_amt, payrec, mode_code,coinsurance_code,class_cd,it_remarks) values('27Mar250028','050000861827','1680',(select max(to_number(i.premium_rcv_detail_code))+1
from ins_premium_det i),'1680','1680','02', '11000003','00','Request by Mr. Saqib Saleem 28-Mar-2025 End');</v>
      </c>
    </row>
    <row r="86" spans="1:8" ht="105" x14ac:dyDescent="0.25">
      <c r="A86" s="2" t="s">
        <v>5528</v>
      </c>
      <c r="B86" s="13" t="str">
        <f>VLOOKUP(A86,POLICY1!B:C,2,0)</f>
        <v>050000861829</v>
      </c>
      <c r="C86" s="7">
        <v>1687</v>
      </c>
      <c r="D86" s="14">
        <f t="shared" si="5"/>
        <v>1687</v>
      </c>
      <c r="E86" s="19" t="s">
        <v>6323</v>
      </c>
      <c r="F86" s="15" t="str">
        <f t="shared" si="4"/>
        <v>insert into ins_premium_det (premium_rcv_code,assorted_code, rec_amount,premium_rcv_detail_code,remaining_amt, payrec, mode_code,coinsurance_code,class_cd,it_remarks) values</v>
      </c>
      <c r="G86" s="16" t="str">
        <f t="shared" si="6"/>
        <v>('27Mar250028','050000861829','1687',(select max(to_number(i.premium_rcv_detail_code))+1
from ins_premium_det i),'1687','1687','02', '11000003','00','Request by Mr. Saqib Saleem 28-Mar-2025 End');</v>
      </c>
      <c r="H86" s="17" t="str">
        <f t="shared" si="7"/>
        <v>insert into ins_premium_det (premium_rcv_code,assorted_code, rec_amount,premium_rcv_detail_code,remaining_amt, payrec, mode_code,coinsurance_code,class_cd,it_remarks) values('27Mar250028','050000861829','1687',(select max(to_number(i.premium_rcv_detail_code))+1
from ins_premium_det i),'1687','1687','02', '11000003','00','Request by Mr. Saqib Saleem 28-Mar-2025 End');</v>
      </c>
    </row>
    <row r="87" spans="1:8" ht="105" x14ac:dyDescent="0.25">
      <c r="A87" s="2" t="s">
        <v>5529</v>
      </c>
      <c r="B87" s="13" t="str">
        <f>VLOOKUP(A87,POLICY1!B:C,2,0)</f>
        <v>050000861835</v>
      </c>
      <c r="C87" s="7">
        <v>1875</v>
      </c>
      <c r="D87" s="14">
        <f t="shared" si="5"/>
        <v>1875</v>
      </c>
      <c r="E87" s="19" t="s">
        <v>6323</v>
      </c>
      <c r="F87" s="15" t="str">
        <f t="shared" si="4"/>
        <v>insert into ins_premium_det (premium_rcv_code,assorted_code, rec_amount,premium_rcv_detail_code,remaining_amt, payrec, mode_code,coinsurance_code,class_cd,it_remarks) values</v>
      </c>
      <c r="G87" s="16" t="str">
        <f t="shared" si="6"/>
        <v>('27Mar250028','050000861835','1875',(select max(to_number(i.premium_rcv_detail_code))+1
from ins_premium_det i),'1875','1875','02', '11000003','00','Request by Mr. Saqib Saleem 28-Mar-2025 End');</v>
      </c>
      <c r="H87" s="17" t="str">
        <f t="shared" si="7"/>
        <v>insert into ins_premium_det (premium_rcv_code,assorted_code, rec_amount,premium_rcv_detail_code,remaining_amt, payrec, mode_code,coinsurance_code,class_cd,it_remarks) values('27Mar250028','050000861835','1875',(select max(to_number(i.premium_rcv_detail_code))+1
from ins_premium_det i),'1875','1875','02', '11000003','00','Request by Mr. Saqib Saleem 28-Mar-2025 End');</v>
      </c>
    </row>
    <row r="88" spans="1:8" ht="105" x14ac:dyDescent="0.25">
      <c r="A88" s="2" t="s">
        <v>5530</v>
      </c>
      <c r="B88" s="13" t="str">
        <f>VLOOKUP(A88,POLICY1!B:C,2,0)</f>
        <v>050000861837</v>
      </c>
      <c r="C88" s="7">
        <v>1521</v>
      </c>
      <c r="D88" s="14">
        <f t="shared" si="5"/>
        <v>1521</v>
      </c>
      <c r="E88" s="19" t="s">
        <v>6323</v>
      </c>
      <c r="F88" s="15" t="str">
        <f t="shared" si="4"/>
        <v>insert into ins_premium_det (premium_rcv_code,assorted_code, rec_amount,premium_rcv_detail_code,remaining_amt, payrec, mode_code,coinsurance_code,class_cd,it_remarks) values</v>
      </c>
      <c r="G88" s="16" t="str">
        <f t="shared" si="6"/>
        <v>('27Mar250028','050000861837','1521',(select max(to_number(i.premium_rcv_detail_code))+1
from ins_premium_det i),'1521','1521','02', '11000003','00','Request by Mr. Saqib Saleem 28-Mar-2025 End');</v>
      </c>
      <c r="H88" s="17" t="str">
        <f t="shared" si="7"/>
        <v>insert into ins_premium_det (premium_rcv_code,assorted_code, rec_amount,premium_rcv_detail_code,remaining_amt, payrec, mode_code,coinsurance_code,class_cd,it_remarks) values('27Mar250028','050000861837','1521',(select max(to_number(i.premium_rcv_detail_code))+1
from ins_premium_det i),'1521','1521','02', '11000003','00','Request by Mr. Saqib Saleem 28-Mar-2025 End');</v>
      </c>
    </row>
    <row r="89" spans="1:8" ht="105" x14ac:dyDescent="0.25">
      <c r="A89" s="2" t="s">
        <v>5531</v>
      </c>
      <c r="B89" s="13" t="str">
        <f>VLOOKUP(A89,POLICY1!B:C,2,0)</f>
        <v>050000861838</v>
      </c>
      <c r="C89" s="7">
        <v>1275</v>
      </c>
      <c r="D89" s="14">
        <f t="shared" si="5"/>
        <v>1275</v>
      </c>
      <c r="E89" s="19" t="s">
        <v>6323</v>
      </c>
      <c r="F89" s="15" t="str">
        <f t="shared" si="4"/>
        <v>insert into ins_premium_det (premium_rcv_code,assorted_code, rec_amount,premium_rcv_detail_code,remaining_amt, payrec, mode_code,coinsurance_code,class_cd,it_remarks) values</v>
      </c>
      <c r="G89" s="16" t="str">
        <f t="shared" si="6"/>
        <v>('27Mar250028','050000861838','1275',(select max(to_number(i.premium_rcv_detail_code))+1
from ins_premium_det i),'1275','1275','02', '11000003','00','Request by Mr. Saqib Saleem 28-Mar-2025 End');</v>
      </c>
      <c r="H89" s="17" t="str">
        <f t="shared" si="7"/>
        <v>insert into ins_premium_det (premium_rcv_code,assorted_code, rec_amount,premium_rcv_detail_code,remaining_amt, payrec, mode_code,coinsurance_code,class_cd,it_remarks) values('27Mar250028','050000861838','1275',(select max(to_number(i.premium_rcv_detail_code))+1
from ins_premium_det i),'1275','1275','02', '11000003','00','Request by Mr. Saqib Saleem 28-Mar-2025 End');</v>
      </c>
    </row>
    <row r="90" spans="1:8" ht="105" x14ac:dyDescent="0.25">
      <c r="A90" s="2" t="s">
        <v>5532</v>
      </c>
      <c r="B90" s="13" t="str">
        <f>VLOOKUP(A90,POLICY1!B:C,2,0)</f>
        <v>050000861849</v>
      </c>
      <c r="C90" s="7">
        <v>1294</v>
      </c>
      <c r="D90" s="14">
        <f t="shared" si="5"/>
        <v>1294</v>
      </c>
      <c r="E90" s="19" t="s">
        <v>6323</v>
      </c>
      <c r="F90" s="15" t="str">
        <f t="shared" si="4"/>
        <v>insert into ins_premium_det (premium_rcv_code,assorted_code, rec_amount,premium_rcv_detail_code,remaining_amt, payrec, mode_code,coinsurance_code,class_cd,it_remarks) values</v>
      </c>
      <c r="G90" s="16" t="str">
        <f t="shared" si="6"/>
        <v>('27Mar250028','050000861849','1294',(select max(to_number(i.premium_rcv_detail_code))+1
from ins_premium_det i),'1294','1294','02', '11000003','00','Request by Mr. Saqib Saleem 28-Mar-2025 End');</v>
      </c>
      <c r="H90" s="17" t="str">
        <f t="shared" si="7"/>
        <v>insert into ins_premium_det (premium_rcv_code,assorted_code, rec_amount,premium_rcv_detail_code,remaining_amt, payrec, mode_code,coinsurance_code,class_cd,it_remarks) values('27Mar250028','050000861849','1294',(select max(to_number(i.premium_rcv_detail_code))+1
from ins_premium_det i),'1294','1294','02', '11000003','00','Request by Mr. Saqib Saleem 28-Mar-2025 End');</v>
      </c>
    </row>
    <row r="91" spans="1:8" ht="105" x14ac:dyDescent="0.25">
      <c r="A91" s="2" t="s">
        <v>5533</v>
      </c>
      <c r="B91" s="13" t="str">
        <f>VLOOKUP(A91,POLICY1!B:C,2,0)</f>
        <v>050000861850</v>
      </c>
      <c r="C91" s="7">
        <v>3150</v>
      </c>
      <c r="D91" s="14">
        <f t="shared" si="5"/>
        <v>3150</v>
      </c>
      <c r="E91" s="19" t="s">
        <v>6323</v>
      </c>
      <c r="F91" s="15" t="str">
        <f t="shared" si="4"/>
        <v>insert into ins_premium_det (premium_rcv_code,assorted_code, rec_amount,premium_rcv_detail_code,remaining_amt, payrec, mode_code,coinsurance_code,class_cd,it_remarks) values</v>
      </c>
      <c r="G91" s="16" t="str">
        <f t="shared" si="6"/>
        <v>('27Mar250028','050000861850','3150',(select max(to_number(i.premium_rcv_detail_code))+1
from ins_premium_det i),'3150','3150','02', '11000003','00','Request by Mr. Saqib Saleem 28-Mar-2025 End');</v>
      </c>
      <c r="H91" s="17" t="str">
        <f t="shared" si="7"/>
        <v>insert into ins_premium_det (premium_rcv_code,assorted_code, rec_amount,premium_rcv_detail_code,remaining_amt, payrec, mode_code,coinsurance_code,class_cd,it_remarks) values('27Mar250028','050000861850','3150',(select max(to_number(i.premium_rcv_detail_code))+1
from ins_premium_det i),'3150','3150','02', '11000003','00','Request by Mr. Saqib Saleem 28-Mar-2025 End');</v>
      </c>
    </row>
    <row r="92" spans="1:8" ht="105" x14ac:dyDescent="0.25">
      <c r="A92" s="2" t="s">
        <v>5534</v>
      </c>
      <c r="B92" s="13" t="str">
        <f>VLOOKUP(A92,POLICY1!B:C,2,0)</f>
        <v>050000861857</v>
      </c>
      <c r="C92" s="7">
        <v>4277</v>
      </c>
      <c r="D92" s="14">
        <f t="shared" si="5"/>
        <v>4277</v>
      </c>
      <c r="E92" s="19" t="s">
        <v>6323</v>
      </c>
      <c r="F92" s="15" t="str">
        <f t="shared" si="4"/>
        <v>insert into ins_premium_det (premium_rcv_code,assorted_code, rec_amount,premium_rcv_detail_code,remaining_amt, payrec, mode_code,coinsurance_code,class_cd,it_remarks) values</v>
      </c>
      <c r="G92" s="16" t="str">
        <f t="shared" si="6"/>
        <v>('27Mar250028','050000861857','4277',(select max(to_number(i.premium_rcv_detail_code))+1
from ins_premium_det i),'4277','4277','02', '11000003','00','Request by Mr. Saqib Saleem 28-Mar-2025 End');</v>
      </c>
      <c r="H92" s="17" t="str">
        <f t="shared" si="7"/>
        <v>insert into ins_premium_det (premium_rcv_code,assorted_code, rec_amount,premium_rcv_detail_code,remaining_amt, payrec, mode_code,coinsurance_code,class_cd,it_remarks) values('27Mar250028','050000861857','4277',(select max(to_number(i.premium_rcv_detail_code))+1
from ins_premium_det i),'4277','4277','02', '11000003','00','Request by Mr. Saqib Saleem 28-Mar-2025 End');</v>
      </c>
    </row>
    <row r="93" spans="1:8" ht="105" x14ac:dyDescent="0.25">
      <c r="A93" s="2" t="s">
        <v>5535</v>
      </c>
      <c r="B93" s="13" t="str">
        <f>VLOOKUP(A93,POLICY1!B:C,2,0)</f>
        <v>050000861861</v>
      </c>
      <c r="C93" s="7">
        <v>3460</v>
      </c>
      <c r="D93" s="14">
        <f t="shared" si="5"/>
        <v>3460</v>
      </c>
      <c r="E93" s="19" t="s">
        <v>6323</v>
      </c>
      <c r="F93" s="15" t="str">
        <f t="shared" si="4"/>
        <v>insert into ins_premium_det (premium_rcv_code,assorted_code, rec_amount,premium_rcv_detail_code,remaining_amt, payrec, mode_code,coinsurance_code,class_cd,it_remarks) values</v>
      </c>
      <c r="G93" s="16" t="str">
        <f t="shared" si="6"/>
        <v>('27Mar250028','050000861861','3460',(select max(to_number(i.premium_rcv_detail_code))+1
from ins_premium_det i),'3460','3460','02', '11000003','00','Request by Mr. Saqib Saleem 28-Mar-2025 End');</v>
      </c>
      <c r="H93" s="17" t="str">
        <f t="shared" si="7"/>
        <v>insert into ins_premium_det (premium_rcv_code,assorted_code, rec_amount,premium_rcv_detail_code,remaining_amt, payrec, mode_code,coinsurance_code,class_cd,it_remarks) values('27Mar250028','050000861861','3460',(select max(to_number(i.premium_rcv_detail_code))+1
from ins_premium_det i),'3460','3460','02', '11000003','00','Request by Mr. Saqib Saleem 28-Mar-2025 End');</v>
      </c>
    </row>
    <row r="94" spans="1:8" ht="105" x14ac:dyDescent="0.25">
      <c r="A94" s="2" t="s">
        <v>5536</v>
      </c>
      <c r="B94" s="13" t="str">
        <f>VLOOKUP(A94,POLICY1!B:C,2,0)</f>
        <v>050000861866</v>
      </c>
      <c r="C94" s="7">
        <v>2880</v>
      </c>
      <c r="D94" s="14">
        <f t="shared" si="5"/>
        <v>2880</v>
      </c>
      <c r="E94" s="19" t="s">
        <v>6323</v>
      </c>
      <c r="F94" s="15" t="str">
        <f t="shared" si="4"/>
        <v>insert into ins_premium_det (premium_rcv_code,assorted_code, rec_amount,premium_rcv_detail_code,remaining_amt, payrec, mode_code,coinsurance_code,class_cd,it_remarks) values</v>
      </c>
      <c r="G94" s="16" t="str">
        <f t="shared" si="6"/>
        <v>('27Mar250028','050000861866','2880',(select max(to_number(i.premium_rcv_detail_code))+1
from ins_premium_det i),'2880','2880','02', '11000003','00','Request by Mr. Saqib Saleem 28-Mar-2025 End');</v>
      </c>
      <c r="H94" s="17" t="str">
        <f t="shared" si="7"/>
        <v>insert into ins_premium_det (premium_rcv_code,assorted_code, rec_amount,premium_rcv_detail_code,remaining_amt, payrec, mode_code,coinsurance_code,class_cd,it_remarks) values('27Mar250028','050000861866','2880',(select max(to_number(i.premium_rcv_detail_code))+1
from ins_premium_det i),'2880','2880','02', '11000003','00','Request by Mr. Saqib Saleem 28-Mar-2025 End');</v>
      </c>
    </row>
    <row r="95" spans="1:8" ht="105" x14ac:dyDescent="0.25">
      <c r="A95" s="2" t="s">
        <v>5537</v>
      </c>
      <c r="B95" s="13" t="str">
        <f>VLOOKUP(A95,POLICY1!B:C,2,0)</f>
        <v>050000861867</v>
      </c>
      <c r="C95" s="7">
        <v>1875</v>
      </c>
      <c r="D95" s="14">
        <f t="shared" si="5"/>
        <v>1875</v>
      </c>
      <c r="E95" s="19" t="s">
        <v>6323</v>
      </c>
      <c r="F95" s="15" t="str">
        <f t="shared" si="4"/>
        <v>insert into ins_premium_det (premium_rcv_code,assorted_code, rec_amount,premium_rcv_detail_code,remaining_amt, payrec, mode_code,coinsurance_code,class_cd,it_remarks) values</v>
      </c>
      <c r="G95" s="16" t="str">
        <f t="shared" si="6"/>
        <v>('27Mar250028','050000861867','1875',(select max(to_number(i.premium_rcv_detail_code))+1
from ins_premium_det i),'1875','1875','02', '11000003','00','Request by Mr. Saqib Saleem 28-Mar-2025 End');</v>
      </c>
      <c r="H95" s="17" t="str">
        <f t="shared" si="7"/>
        <v>insert into ins_premium_det (premium_rcv_code,assorted_code, rec_amount,premium_rcv_detail_code,remaining_amt, payrec, mode_code,coinsurance_code,class_cd,it_remarks) values('27Mar250028','050000861867','1875',(select max(to_number(i.premium_rcv_detail_code))+1
from ins_premium_det i),'1875','1875','02', '11000003','00','Request by Mr. Saqib Saleem 28-Mar-2025 End');</v>
      </c>
    </row>
    <row r="96" spans="1:8" ht="105" x14ac:dyDescent="0.25">
      <c r="A96" s="2" t="s">
        <v>5538</v>
      </c>
      <c r="B96" s="13" t="str">
        <f>VLOOKUP(A96,POLICY1!B:C,2,0)</f>
        <v>050000861870</v>
      </c>
      <c r="C96" s="7">
        <v>1814</v>
      </c>
      <c r="D96" s="14">
        <f t="shared" si="5"/>
        <v>1814</v>
      </c>
      <c r="E96" s="19" t="s">
        <v>6323</v>
      </c>
      <c r="F96" s="15" t="str">
        <f t="shared" si="4"/>
        <v>insert into ins_premium_det (premium_rcv_code,assorted_code, rec_amount,premium_rcv_detail_code,remaining_amt, payrec, mode_code,coinsurance_code,class_cd,it_remarks) values</v>
      </c>
      <c r="G96" s="16" t="str">
        <f t="shared" si="6"/>
        <v>('27Mar250028','050000861870','1814',(select max(to_number(i.premium_rcv_detail_code))+1
from ins_premium_det i),'1814','1814','02', '11000003','00','Request by Mr. Saqib Saleem 28-Mar-2025 End');</v>
      </c>
      <c r="H96" s="17" t="str">
        <f t="shared" si="7"/>
        <v>insert into ins_premium_det (premium_rcv_code,assorted_code, rec_amount,premium_rcv_detail_code,remaining_amt, payrec, mode_code,coinsurance_code,class_cd,it_remarks) values('27Mar250028','050000861870','1814',(select max(to_number(i.premium_rcv_detail_code))+1
from ins_premium_det i),'1814','1814','02', '11000003','00','Request by Mr. Saqib Saleem 28-Mar-2025 End');</v>
      </c>
    </row>
    <row r="97" spans="1:8" ht="105" x14ac:dyDescent="0.25">
      <c r="A97" s="2" t="s">
        <v>5539</v>
      </c>
      <c r="B97" s="13" t="str">
        <f>VLOOKUP(A97,POLICY1!B:C,2,0)</f>
        <v>050000861871</v>
      </c>
      <c r="C97" s="7">
        <v>1655</v>
      </c>
      <c r="D97" s="14">
        <f t="shared" si="5"/>
        <v>1655</v>
      </c>
      <c r="E97" s="19" t="s">
        <v>6323</v>
      </c>
      <c r="F97" s="15" t="str">
        <f t="shared" si="4"/>
        <v>insert into ins_premium_det (premium_rcv_code,assorted_code, rec_amount,premium_rcv_detail_code,remaining_amt, payrec, mode_code,coinsurance_code,class_cd,it_remarks) values</v>
      </c>
      <c r="G97" s="16" t="str">
        <f t="shared" si="6"/>
        <v>('27Mar250028','050000861871','1655',(select max(to_number(i.premium_rcv_detail_code))+1
from ins_premium_det i),'1655','1655','02', '11000003','00','Request by Mr. Saqib Saleem 28-Mar-2025 End');</v>
      </c>
      <c r="H97" s="17" t="str">
        <f t="shared" si="7"/>
        <v>insert into ins_premium_det (premium_rcv_code,assorted_code, rec_amount,premium_rcv_detail_code,remaining_amt, payrec, mode_code,coinsurance_code,class_cd,it_remarks) values('27Mar250028','050000861871','1655',(select max(to_number(i.premium_rcv_detail_code))+1
from ins_premium_det i),'1655','1655','02', '11000003','00','Request by Mr. Saqib Saleem 28-Mar-2025 End');</v>
      </c>
    </row>
    <row r="98" spans="1:8" ht="105" x14ac:dyDescent="0.25">
      <c r="A98" s="2" t="s">
        <v>5540</v>
      </c>
      <c r="B98" s="13" t="str">
        <f>VLOOKUP(A98,POLICY1!B:C,2,0)</f>
        <v>050000861872</v>
      </c>
      <c r="C98" s="7">
        <v>1185</v>
      </c>
      <c r="D98" s="14">
        <f t="shared" si="5"/>
        <v>1185</v>
      </c>
      <c r="E98" s="19" t="s">
        <v>6323</v>
      </c>
      <c r="F98" s="15" t="str">
        <f t="shared" si="4"/>
        <v>insert into ins_premium_det (premium_rcv_code,assorted_code, rec_amount,premium_rcv_detail_code,remaining_amt, payrec, mode_code,coinsurance_code,class_cd,it_remarks) values</v>
      </c>
      <c r="G98" s="16" t="str">
        <f t="shared" si="6"/>
        <v>('27Mar250028','050000861872','1185',(select max(to_number(i.premium_rcv_detail_code))+1
from ins_premium_det i),'1185','1185','02', '11000003','00','Request by Mr. Saqib Saleem 28-Mar-2025 End');</v>
      </c>
      <c r="H98" s="17" t="str">
        <f t="shared" si="7"/>
        <v>insert into ins_premium_det (premium_rcv_code,assorted_code, rec_amount,premium_rcv_detail_code,remaining_amt, payrec, mode_code,coinsurance_code,class_cd,it_remarks) values('27Mar250028','050000861872','1185',(select max(to_number(i.premium_rcv_detail_code))+1
from ins_premium_det i),'1185','1185','02', '11000003','00','Request by Mr. Saqib Saleem 28-Mar-2025 End');</v>
      </c>
    </row>
    <row r="99" spans="1:8" ht="105" x14ac:dyDescent="0.25">
      <c r="A99" s="2" t="s">
        <v>5541</v>
      </c>
      <c r="B99" s="13" t="str">
        <f>VLOOKUP(A99,POLICY1!B:C,2,0)</f>
        <v>050000861877</v>
      </c>
      <c r="C99" s="7">
        <v>2625</v>
      </c>
      <c r="D99" s="14">
        <f t="shared" si="5"/>
        <v>2625</v>
      </c>
      <c r="E99" s="19" t="s">
        <v>6323</v>
      </c>
      <c r="F99" s="15" t="str">
        <f t="shared" si="4"/>
        <v>insert into ins_premium_det (premium_rcv_code,assorted_code, rec_amount,premium_rcv_detail_code,remaining_amt, payrec, mode_code,coinsurance_code,class_cd,it_remarks) values</v>
      </c>
      <c r="G99" s="16" t="str">
        <f t="shared" si="6"/>
        <v>('27Mar250028','050000861877','2625',(select max(to_number(i.premium_rcv_detail_code))+1
from ins_premium_det i),'2625','2625','02', '11000003','00','Request by Mr. Saqib Saleem 28-Mar-2025 End');</v>
      </c>
      <c r="H99" s="17" t="str">
        <f t="shared" si="7"/>
        <v>insert into ins_premium_det (premium_rcv_code,assorted_code, rec_amount,premium_rcv_detail_code,remaining_amt, payrec, mode_code,coinsurance_code,class_cd,it_remarks) values('27Mar250028','050000861877','2625',(select max(to_number(i.premium_rcv_detail_code))+1
from ins_premium_det i),'2625','2625','02', '11000003','00','Request by Mr. Saqib Saleem 28-Mar-2025 End');</v>
      </c>
    </row>
    <row r="100" spans="1:8" ht="105" x14ac:dyDescent="0.25">
      <c r="A100" s="2" t="s">
        <v>5542</v>
      </c>
      <c r="B100" s="13" t="str">
        <f>VLOOKUP(A100,POLICY1!B:C,2,0)</f>
        <v>050000861878</v>
      </c>
      <c r="C100" s="7">
        <v>1967</v>
      </c>
      <c r="D100" s="14">
        <f t="shared" si="5"/>
        <v>1967</v>
      </c>
      <c r="E100" s="19" t="s">
        <v>6323</v>
      </c>
      <c r="F100" s="15" t="str">
        <f t="shared" si="4"/>
        <v>insert into ins_premium_det (premium_rcv_code,assorted_code, rec_amount,premium_rcv_detail_code,remaining_amt, payrec, mode_code,coinsurance_code,class_cd,it_remarks) values</v>
      </c>
      <c r="G100" s="16" t="str">
        <f t="shared" si="6"/>
        <v>('27Mar250028','050000861878','1967',(select max(to_number(i.premium_rcv_detail_code))+1
from ins_premium_det i),'1967','1967','02', '11000003','00','Request by Mr. Saqib Saleem 28-Mar-2025 End');</v>
      </c>
      <c r="H100" s="17" t="str">
        <f t="shared" si="7"/>
        <v>insert into ins_premium_det (premium_rcv_code,assorted_code, rec_amount,premium_rcv_detail_code,remaining_amt, payrec, mode_code,coinsurance_code,class_cd,it_remarks) values('27Mar250028','050000861878','1967',(select max(to_number(i.premium_rcv_detail_code))+1
from ins_premium_det i),'1967','1967','02', '11000003','00','Request by Mr. Saqib Saleem 28-Mar-2025 End');</v>
      </c>
    </row>
    <row r="101" spans="1:8" ht="105" x14ac:dyDescent="0.25">
      <c r="A101" s="2" t="s">
        <v>5543</v>
      </c>
      <c r="B101" s="13" t="str">
        <f>VLOOKUP(A101,POLICY1!B:C,2,0)</f>
        <v>050000861883</v>
      </c>
      <c r="C101" s="7">
        <v>1521</v>
      </c>
      <c r="D101" s="14">
        <f t="shared" si="5"/>
        <v>1521</v>
      </c>
      <c r="E101" s="19" t="s">
        <v>6323</v>
      </c>
      <c r="F101" s="15" t="str">
        <f t="shared" si="4"/>
        <v>insert into ins_premium_det (premium_rcv_code,assorted_code, rec_amount,premium_rcv_detail_code,remaining_amt, payrec, mode_code,coinsurance_code,class_cd,it_remarks) values</v>
      </c>
      <c r="G101" s="16" t="str">
        <f t="shared" si="6"/>
        <v>('27Mar250028','050000861883','1521',(select max(to_number(i.premium_rcv_detail_code))+1
from ins_premium_det i),'1521','1521','02', '11000003','00','Request by Mr. Saqib Saleem 28-Mar-2025 End');</v>
      </c>
      <c r="H101" s="17" t="str">
        <f t="shared" si="7"/>
        <v>insert into ins_premium_det (premium_rcv_code,assorted_code, rec_amount,premium_rcv_detail_code,remaining_amt, payrec, mode_code,coinsurance_code,class_cd,it_remarks) values('27Mar250028','050000861883','1521',(select max(to_number(i.premium_rcv_detail_code))+1
from ins_premium_det i),'1521','1521','02', '11000003','00','Request by Mr. Saqib Saleem 28-Mar-2025 End');</v>
      </c>
    </row>
    <row r="102" spans="1:8" ht="105" x14ac:dyDescent="0.25">
      <c r="A102" s="2" t="s">
        <v>5544</v>
      </c>
      <c r="B102" s="13" t="str">
        <f>VLOOKUP(A102,POLICY1!B:C,2,0)</f>
        <v>050000861885</v>
      </c>
      <c r="C102" s="7">
        <v>2933</v>
      </c>
      <c r="D102" s="14">
        <f t="shared" si="5"/>
        <v>2933</v>
      </c>
      <c r="E102" s="19" t="s">
        <v>6323</v>
      </c>
      <c r="F102" s="15" t="str">
        <f t="shared" si="4"/>
        <v>insert into ins_premium_det (premium_rcv_code,assorted_code, rec_amount,premium_rcv_detail_code,remaining_amt, payrec, mode_code,coinsurance_code,class_cd,it_remarks) values</v>
      </c>
      <c r="G102" s="16" t="str">
        <f t="shared" si="6"/>
        <v>('27Mar250028','050000861885','2933',(select max(to_number(i.premium_rcv_detail_code))+1
from ins_premium_det i),'2933','2933','02', '11000003','00','Request by Mr. Saqib Saleem 28-Mar-2025 End');</v>
      </c>
      <c r="H102" s="17" t="str">
        <f t="shared" si="7"/>
        <v>insert into ins_premium_det (premium_rcv_code,assorted_code, rec_amount,premium_rcv_detail_code,remaining_amt, payrec, mode_code,coinsurance_code,class_cd,it_remarks) values('27Mar250028','050000861885','2933',(select max(to_number(i.premium_rcv_detail_code))+1
from ins_premium_det i),'2933','2933','02', '11000003','00','Request by Mr. Saqib Saleem 28-Mar-2025 End');</v>
      </c>
    </row>
    <row r="103" spans="1:8" ht="105" x14ac:dyDescent="0.25">
      <c r="A103" s="2" t="s">
        <v>5545</v>
      </c>
      <c r="B103" s="13" t="str">
        <f>VLOOKUP(A103,POLICY1!B:C,2,0)</f>
        <v>050000861894</v>
      </c>
      <c r="C103" s="7">
        <v>1350</v>
      </c>
      <c r="D103" s="14">
        <f t="shared" si="5"/>
        <v>1350</v>
      </c>
      <c r="E103" s="19" t="s">
        <v>6323</v>
      </c>
      <c r="F103" s="15" t="str">
        <f t="shared" si="4"/>
        <v>insert into ins_premium_det (premium_rcv_code,assorted_code, rec_amount,premium_rcv_detail_code,remaining_amt, payrec, mode_code,coinsurance_code,class_cd,it_remarks) values</v>
      </c>
      <c r="G103" s="16" t="str">
        <f t="shared" si="6"/>
        <v>('27Mar250028','050000861894','1350',(select max(to_number(i.premium_rcv_detail_code))+1
from ins_premium_det i),'1350','1350','02', '11000003','00','Request by Mr. Saqib Saleem 28-Mar-2025 End');</v>
      </c>
      <c r="H103" s="17" t="str">
        <f t="shared" si="7"/>
        <v>insert into ins_premium_det (premium_rcv_code,assorted_code, rec_amount,premium_rcv_detail_code,remaining_amt, payrec, mode_code,coinsurance_code,class_cd,it_remarks) values('27Mar250028','050000861894','1350',(select max(to_number(i.premium_rcv_detail_code))+1
from ins_premium_det i),'1350','1350','02', '11000003','00','Request by Mr. Saqib Saleem 28-Mar-2025 End');</v>
      </c>
    </row>
    <row r="104" spans="1:8" ht="105" x14ac:dyDescent="0.25">
      <c r="A104" s="2" t="s">
        <v>5546</v>
      </c>
      <c r="B104" s="13" t="str">
        <f>VLOOKUP(A104,POLICY1!B:C,2,0)</f>
        <v>050000861895</v>
      </c>
      <c r="C104" s="7">
        <v>1950</v>
      </c>
      <c r="D104" s="14">
        <f t="shared" si="5"/>
        <v>1950</v>
      </c>
      <c r="E104" s="19" t="s">
        <v>6323</v>
      </c>
      <c r="F104" s="15" t="str">
        <f t="shared" si="4"/>
        <v>insert into ins_premium_det (premium_rcv_code,assorted_code, rec_amount,premium_rcv_detail_code,remaining_amt, payrec, mode_code,coinsurance_code,class_cd,it_remarks) values</v>
      </c>
      <c r="G104" s="16" t="str">
        <f t="shared" si="6"/>
        <v>('27Mar250028','050000861895','1950',(select max(to_number(i.premium_rcv_detail_code))+1
from ins_premium_det i),'1950','1950','02', '11000003','00','Request by Mr. Saqib Saleem 28-Mar-2025 End');</v>
      </c>
      <c r="H104" s="17" t="str">
        <f t="shared" si="7"/>
        <v>insert into ins_premium_det (premium_rcv_code,assorted_code, rec_amount,premium_rcv_detail_code,remaining_amt, payrec, mode_code,coinsurance_code,class_cd,it_remarks) values('27Mar250028','050000861895','1950',(select max(to_number(i.premium_rcv_detail_code))+1
from ins_premium_det i),'1950','1950','02', '11000003','00','Request by Mr. Saqib Saleem 28-Mar-2025 End');</v>
      </c>
    </row>
    <row r="105" spans="1:8" ht="105" x14ac:dyDescent="0.25">
      <c r="A105" s="2" t="s">
        <v>5547</v>
      </c>
      <c r="B105" s="13" t="str">
        <f>VLOOKUP(A105,POLICY1!B:C,2,0)</f>
        <v>050000861896</v>
      </c>
      <c r="C105" s="7">
        <v>2355</v>
      </c>
      <c r="D105" s="14">
        <f t="shared" si="5"/>
        <v>2355</v>
      </c>
      <c r="E105" s="19" t="s">
        <v>6323</v>
      </c>
      <c r="F105" s="15" t="str">
        <f t="shared" si="4"/>
        <v>insert into ins_premium_det (premium_rcv_code,assorted_code, rec_amount,premium_rcv_detail_code,remaining_amt, payrec, mode_code,coinsurance_code,class_cd,it_remarks) values</v>
      </c>
      <c r="G105" s="16" t="str">
        <f t="shared" si="6"/>
        <v>('27Mar250028','050000861896','2355',(select max(to_number(i.premium_rcv_detail_code))+1
from ins_premium_det i),'2355','2355','02', '11000003','00','Request by Mr. Saqib Saleem 28-Mar-2025 End');</v>
      </c>
      <c r="H105" s="17" t="str">
        <f t="shared" si="7"/>
        <v>insert into ins_premium_det (premium_rcv_code,assorted_code, rec_amount,premium_rcv_detail_code,remaining_amt, payrec, mode_code,coinsurance_code,class_cd,it_remarks) values('27Mar250028','050000861896','2355',(select max(to_number(i.premium_rcv_detail_code))+1
from ins_premium_det i),'2355','2355','02', '11000003','00','Request by Mr. Saqib Saleem 28-Mar-2025 End');</v>
      </c>
    </row>
    <row r="106" spans="1:8" ht="105" x14ac:dyDescent="0.25">
      <c r="A106" s="2" t="s">
        <v>5548</v>
      </c>
      <c r="B106" s="13" t="str">
        <f>VLOOKUP(A106,POLICY1!B:C,2,0)</f>
        <v>050000861897</v>
      </c>
      <c r="C106" s="7">
        <v>2362</v>
      </c>
      <c r="D106" s="14">
        <f t="shared" si="5"/>
        <v>2362</v>
      </c>
      <c r="E106" s="19" t="s">
        <v>6323</v>
      </c>
      <c r="F106" s="15" t="str">
        <f t="shared" si="4"/>
        <v>insert into ins_premium_det (premium_rcv_code,assorted_code, rec_amount,premium_rcv_detail_code,remaining_amt, payrec, mode_code,coinsurance_code,class_cd,it_remarks) values</v>
      </c>
      <c r="G106" s="16" t="str">
        <f t="shared" si="6"/>
        <v>('27Mar250028','050000861897','2362',(select max(to_number(i.premium_rcv_detail_code))+1
from ins_premium_det i),'2362','2362','02', '11000003','00','Request by Mr. Saqib Saleem 28-Mar-2025 End');</v>
      </c>
      <c r="H106" s="17" t="str">
        <f t="shared" si="7"/>
        <v>insert into ins_premium_det (premium_rcv_code,assorted_code, rec_amount,premium_rcv_detail_code,remaining_amt, payrec, mode_code,coinsurance_code,class_cd,it_remarks) values('27Mar250028','050000861897','2362',(select max(to_number(i.premium_rcv_detail_code))+1
from ins_premium_det i),'2362','2362','02', '11000003','00','Request by Mr. Saqib Saleem 28-Mar-2025 End');</v>
      </c>
    </row>
    <row r="107" spans="1:8" ht="105" x14ac:dyDescent="0.25">
      <c r="A107" s="2" t="s">
        <v>5549</v>
      </c>
      <c r="B107" s="13" t="str">
        <f>VLOOKUP(A107,POLICY1!B:C,2,0)</f>
        <v>050000861898</v>
      </c>
      <c r="C107" s="7">
        <v>1837</v>
      </c>
      <c r="D107" s="14">
        <f t="shared" si="5"/>
        <v>1837</v>
      </c>
      <c r="E107" s="19" t="s">
        <v>6323</v>
      </c>
      <c r="F107" s="15" t="str">
        <f t="shared" si="4"/>
        <v>insert into ins_premium_det (premium_rcv_code,assorted_code, rec_amount,premium_rcv_detail_code,remaining_amt, payrec, mode_code,coinsurance_code,class_cd,it_remarks) values</v>
      </c>
      <c r="G107" s="16" t="str">
        <f t="shared" si="6"/>
        <v>('27Mar250028','050000861898','1837',(select max(to_number(i.premium_rcv_detail_code))+1
from ins_premium_det i),'1837','1837','02', '11000003','00','Request by Mr. Saqib Saleem 28-Mar-2025 End');</v>
      </c>
      <c r="H107" s="17" t="str">
        <f t="shared" si="7"/>
        <v>insert into ins_premium_det (premium_rcv_code,assorted_code, rec_amount,premium_rcv_detail_code,remaining_amt, payrec, mode_code,coinsurance_code,class_cd,it_remarks) values('27Mar250028','050000861898','1837',(select max(to_number(i.premium_rcv_detail_code))+1
from ins_premium_det i),'1837','1837','02', '11000003','00','Request by Mr. Saqib Saleem 28-Mar-2025 End');</v>
      </c>
    </row>
    <row r="108" spans="1:8" ht="105" x14ac:dyDescent="0.25">
      <c r="A108" s="2" t="s">
        <v>5550</v>
      </c>
      <c r="B108" s="13" t="str">
        <f>VLOOKUP(A108,POLICY1!B:C,2,0)</f>
        <v>050000861899</v>
      </c>
      <c r="C108" s="7">
        <v>1800</v>
      </c>
      <c r="D108" s="14">
        <f t="shared" si="5"/>
        <v>1800</v>
      </c>
      <c r="E108" s="19" t="s">
        <v>6323</v>
      </c>
      <c r="F108" s="15" t="str">
        <f t="shared" si="4"/>
        <v>insert into ins_premium_det (premium_rcv_code,assorted_code, rec_amount,premium_rcv_detail_code,remaining_amt, payrec, mode_code,coinsurance_code,class_cd,it_remarks) values</v>
      </c>
      <c r="G108" s="16" t="str">
        <f t="shared" si="6"/>
        <v>('27Mar250028','050000861899','1800',(select max(to_number(i.premium_rcv_detail_code))+1
from ins_premium_det i),'1800','1800','02', '11000003','00','Request by Mr. Saqib Saleem 28-Mar-2025 End');</v>
      </c>
      <c r="H108" s="17" t="str">
        <f t="shared" si="7"/>
        <v>insert into ins_premium_det (premium_rcv_code,assorted_code, rec_amount,premium_rcv_detail_code,remaining_amt, payrec, mode_code,coinsurance_code,class_cd,it_remarks) values('27Mar250028','050000861899','1800',(select max(to_number(i.premium_rcv_detail_code))+1
from ins_premium_det i),'1800','1800','02', '11000003','00','Request by Mr. Saqib Saleem 28-Mar-2025 End');</v>
      </c>
    </row>
    <row r="109" spans="1:8" ht="105" x14ac:dyDescent="0.25">
      <c r="A109" s="2" t="s">
        <v>5551</v>
      </c>
      <c r="B109" s="13" t="str">
        <f>VLOOKUP(A109,POLICY1!B:C,2,0)</f>
        <v>050000861900</v>
      </c>
      <c r="C109" s="7">
        <v>2910</v>
      </c>
      <c r="D109" s="14">
        <f t="shared" si="5"/>
        <v>2910</v>
      </c>
      <c r="E109" s="19" t="s">
        <v>6323</v>
      </c>
      <c r="F109" s="15" t="str">
        <f t="shared" si="4"/>
        <v>insert into ins_premium_det (premium_rcv_code,assorted_code, rec_amount,premium_rcv_detail_code,remaining_amt, payrec, mode_code,coinsurance_code,class_cd,it_remarks) values</v>
      </c>
      <c r="G109" s="16" t="str">
        <f t="shared" si="6"/>
        <v>('27Mar250028','050000861900','2910',(select max(to_number(i.premium_rcv_detail_code))+1
from ins_premium_det i),'2910','2910','02', '11000003','00','Request by Mr. Saqib Saleem 28-Mar-2025 End');</v>
      </c>
      <c r="H109" s="17" t="str">
        <f t="shared" si="7"/>
        <v>insert into ins_premium_det (premium_rcv_code,assorted_code, rec_amount,premium_rcv_detail_code,remaining_amt, payrec, mode_code,coinsurance_code,class_cd,it_remarks) values('27Mar250028','050000861900','2910',(select max(to_number(i.premium_rcv_detail_code))+1
from ins_premium_det i),'2910','2910','02', '11000003','00','Request by Mr. Saqib Saleem 28-Mar-2025 End');</v>
      </c>
    </row>
    <row r="110" spans="1:8" ht="105" x14ac:dyDescent="0.25">
      <c r="A110" s="2" t="s">
        <v>5552</v>
      </c>
      <c r="B110" s="13" t="str">
        <f>VLOOKUP(A110,POLICY1!B:C,2,0)</f>
        <v>050000861902</v>
      </c>
      <c r="C110" s="7">
        <v>3880</v>
      </c>
      <c r="D110" s="14">
        <f t="shared" si="5"/>
        <v>3880</v>
      </c>
      <c r="E110" s="19" t="s">
        <v>6323</v>
      </c>
      <c r="F110" s="15" t="str">
        <f t="shared" si="4"/>
        <v>insert into ins_premium_det (premium_rcv_code,assorted_code, rec_amount,premium_rcv_detail_code,remaining_amt, payrec, mode_code,coinsurance_code,class_cd,it_remarks) values</v>
      </c>
      <c r="G110" s="16" t="str">
        <f t="shared" si="6"/>
        <v>('27Mar250028','050000861902','3880',(select max(to_number(i.premium_rcv_detail_code))+1
from ins_premium_det i),'3880','3880','02', '11000003','00','Request by Mr. Saqib Saleem 28-Mar-2025 End');</v>
      </c>
      <c r="H110" s="17" t="str">
        <f t="shared" si="7"/>
        <v>insert into ins_premium_det (premium_rcv_code,assorted_code, rec_amount,premium_rcv_detail_code,remaining_amt, payrec, mode_code,coinsurance_code,class_cd,it_remarks) values('27Mar250028','050000861902','3880',(select max(to_number(i.premium_rcv_detail_code))+1
from ins_premium_det i),'3880','3880','02', '11000003','00','Request by Mr. Saqib Saleem 28-Mar-2025 End');</v>
      </c>
    </row>
    <row r="111" spans="1:8" ht="105" x14ac:dyDescent="0.25">
      <c r="A111" s="2" t="s">
        <v>5553</v>
      </c>
      <c r="B111" s="13" t="str">
        <f>VLOOKUP(A111,POLICY1!B:C,2,0)</f>
        <v>050000861903</v>
      </c>
      <c r="C111" s="7">
        <v>2287</v>
      </c>
      <c r="D111" s="14">
        <f t="shared" si="5"/>
        <v>2287</v>
      </c>
      <c r="E111" s="19" t="s">
        <v>6323</v>
      </c>
      <c r="F111" s="15" t="str">
        <f t="shared" si="4"/>
        <v>insert into ins_premium_det (premium_rcv_code,assorted_code, rec_amount,premium_rcv_detail_code,remaining_amt, payrec, mode_code,coinsurance_code,class_cd,it_remarks) values</v>
      </c>
      <c r="G111" s="16" t="str">
        <f t="shared" si="6"/>
        <v>('27Mar250028','050000861903','2287',(select max(to_number(i.premium_rcv_detail_code))+1
from ins_premium_det i),'2287','2287','02', '11000003','00','Request by Mr. Saqib Saleem 28-Mar-2025 End');</v>
      </c>
      <c r="H111" s="17" t="str">
        <f t="shared" si="7"/>
        <v>insert into ins_premium_det (premium_rcv_code,assorted_code, rec_amount,premium_rcv_detail_code,remaining_amt, payrec, mode_code,coinsurance_code,class_cd,it_remarks) values('27Mar250028','050000861903','2287',(select max(to_number(i.premium_rcv_detail_code))+1
from ins_premium_det i),'2287','2287','02', '11000003','00','Request by Mr. Saqib Saleem 28-Mar-2025 End');</v>
      </c>
    </row>
    <row r="112" spans="1:8" ht="105" x14ac:dyDescent="0.25">
      <c r="A112" s="2" t="s">
        <v>5554</v>
      </c>
      <c r="B112" s="13" t="str">
        <f>VLOOKUP(A112,POLICY1!B:C,2,0)</f>
        <v>050000861905</v>
      </c>
      <c r="C112" s="7">
        <v>1975</v>
      </c>
      <c r="D112" s="14">
        <f t="shared" si="5"/>
        <v>1975</v>
      </c>
      <c r="E112" s="19" t="s">
        <v>6323</v>
      </c>
      <c r="F112" s="15" t="str">
        <f t="shared" si="4"/>
        <v>insert into ins_premium_det (premium_rcv_code,assorted_code, rec_amount,premium_rcv_detail_code,remaining_amt, payrec, mode_code,coinsurance_code,class_cd,it_remarks) values</v>
      </c>
      <c r="G112" s="16" t="str">
        <f t="shared" si="6"/>
        <v>('27Mar250028','050000861905','1975',(select max(to_number(i.premium_rcv_detail_code))+1
from ins_premium_det i),'1975','1975','02', '11000003','00','Request by Mr. Saqib Saleem 28-Mar-2025 End');</v>
      </c>
      <c r="H112" s="17" t="str">
        <f t="shared" si="7"/>
        <v>insert into ins_premium_det (premium_rcv_code,assorted_code, rec_amount,premium_rcv_detail_code,remaining_amt, payrec, mode_code,coinsurance_code,class_cd,it_remarks) values('27Mar250028','050000861905','1975',(select max(to_number(i.premium_rcv_detail_code))+1
from ins_premium_det i),'1975','1975','02', '11000003','00','Request by Mr. Saqib Saleem 28-Mar-2025 End');</v>
      </c>
    </row>
    <row r="113" spans="1:8" ht="105" x14ac:dyDescent="0.25">
      <c r="A113" s="2" t="s">
        <v>5555</v>
      </c>
      <c r="B113" s="13" t="str">
        <f>VLOOKUP(A113,POLICY1!B:C,2,0)</f>
        <v>050000861906</v>
      </c>
      <c r="C113" s="7">
        <v>1546</v>
      </c>
      <c r="D113" s="14">
        <f t="shared" si="5"/>
        <v>1546</v>
      </c>
      <c r="E113" s="19" t="s">
        <v>6323</v>
      </c>
      <c r="F113" s="15" t="str">
        <f t="shared" si="4"/>
        <v>insert into ins_premium_det (premium_rcv_code,assorted_code, rec_amount,premium_rcv_detail_code,remaining_amt, payrec, mode_code,coinsurance_code,class_cd,it_remarks) values</v>
      </c>
      <c r="G113" s="16" t="str">
        <f t="shared" si="6"/>
        <v>('27Mar250028','050000861906','1546',(select max(to_number(i.premium_rcv_detail_code))+1
from ins_premium_det i),'1546','1546','02', '11000003','00','Request by Mr. Saqib Saleem 28-Mar-2025 End');</v>
      </c>
      <c r="H113" s="17" t="str">
        <f t="shared" si="7"/>
        <v>insert into ins_premium_det (premium_rcv_code,assorted_code, rec_amount,premium_rcv_detail_code,remaining_amt, payrec, mode_code,coinsurance_code,class_cd,it_remarks) values('27Mar250028','050000861906','1546',(select max(to_number(i.premium_rcv_detail_code))+1
from ins_premium_det i),'1546','1546','02', '11000003','00','Request by Mr. Saqib Saleem 28-Mar-2025 End');</v>
      </c>
    </row>
    <row r="114" spans="1:8" ht="105" x14ac:dyDescent="0.25">
      <c r="A114" s="2" t="s">
        <v>5556</v>
      </c>
      <c r="B114" s="13" t="str">
        <f>VLOOKUP(A114,POLICY1!B:C,2,0)</f>
        <v>050000861912</v>
      </c>
      <c r="C114" s="7">
        <v>1125</v>
      </c>
      <c r="D114" s="14">
        <f t="shared" si="5"/>
        <v>1125</v>
      </c>
      <c r="E114" s="19" t="s">
        <v>6323</v>
      </c>
      <c r="F114" s="15" t="str">
        <f t="shared" si="4"/>
        <v>insert into ins_premium_det (premium_rcv_code,assorted_code, rec_amount,premium_rcv_detail_code,remaining_amt, payrec, mode_code,coinsurance_code,class_cd,it_remarks) values</v>
      </c>
      <c r="G114" s="16" t="str">
        <f t="shared" si="6"/>
        <v>('27Mar250028','050000861912','1125',(select max(to_number(i.premium_rcv_detail_code))+1
from ins_premium_det i),'1125','1125','02', '11000003','00','Request by Mr. Saqib Saleem 28-Mar-2025 End');</v>
      </c>
      <c r="H114" s="17" t="str">
        <f t="shared" si="7"/>
        <v>insert into ins_premium_det (premium_rcv_code,assorted_code, rec_amount,premium_rcv_detail_code,remaining_amt, payrec, mode_code,coinsurance_code,class_cd,it_remarks) values('27Mar250028','050000861912','1125',(select max(to_number(i.premium_rcv_detail_code))+1
from ins_premium_det i),'1125','1125','02', '11000003','00','Request by Mr. Saqib Saleem 28-Mar-2025 End');</v>
      </c>
    </row>
    <row r="115" spans="1:8" ht="105" x14ac:dyDescent="0.25">
      <c r="A115" s="2" t="s">
        <v>5557</v>
      </c>
      <c r="B115" s="13" t="str">
        <f>VLOOKUP(A115,POLICY1!B:C,2,0)</f>
        <v>050000861915</v>
      </c>
      <c r="C115" s="7">
        <v>1975</v>
      </c>
      <c r="D115" s="14">
        <f t="shared" si="5"/>
        <v>1975</v>
      </c>
      <c r="E115" s="19" t="s">
        <v>6323</v>
      </c>
      <c r="F115" s="15" t="str">
        <f t="shared" si="4"/>
        <v>insert into ins_premium_det (premium_rcv_code,assorted_code, rec_amount,premium_rcv_detail_code,remaining_amt, payrec, mode_code,coinsurance_code,class_cd,it_remarks) values</v>
      </c>
      <c r="G115" s="16" t="str">
        <f t="shared" si="6"/>
        <v>('27Mar250028','050000861915','1975',(select max(to_number(i.premium_rcv_detail_code))+1
from ins_premium_det i),'1975','1975','02', '11000003','00','Request by Mr. Saqib Saleem 28-Mar-2025 End');</v>
      </c>
      <c r="H115" s="17" t="str">
        <f t="shared" si="7"/>
        <v>insert into ins_premium_det (premium_rcv_code,assorted_code, rec_amount,premium_rcv_detail_code,remaining_amt, payrec, mode_code,coinsurance_code,class_cd,it_remarks) values('27Mar250028','050000861915','1975',(select max(to_number(i.premium_rcv_detail_code))+1
from ins_premium_det i),'1975','1975','02', '11000003','00','Request by Mr. Saqib Saleem 28-Mar-2025 End');</v>
      </c>
    </row>
    <row r="116" spans="1:8" ht="105" x14ac:dyDescent="0.25">
      <c r="A116" s="2" t="s">
        <v>5558</v>
      </c>
      <c r="B116" s="13" t="str">
        <f>VLOOKUP(A116,POLICY1!B:C,2,0)</f>
        <v>050000861921</v>
      </c>
      <c r="C116" s="7">
        <v>1762</v>
      </c>
      <c r="D116" s="14">
        <f t="shared" si="5"/>
        <v>1762</v>
      </c>
      <c r="E116" s="19" t="s">
        <v>6323</v>
      </c>
      <c r="F116" s="15" t="str">
        <f t="shared" si="4"/>
        <v>insert into ins_premium_det (premium_rcv_code,assorted_code, rec_amount,premium_rcv_detail_code,remaining_amt, payrec, mode_code,coinsurance_code,class_cd,it_remarks) values</v>
      </c>
      <c r="G116" s="16" t="str">
        <f t="shared" si="6"/>
        <v>('27Mar250028','050000861921','1762',(select max(to_number(i.premium_rcv_detail_code))+1
from ins_premium_det i),'1762','1762','02', '11000003','00','Request by Mr. Saqib Saleem 28-Mar-2025 End');</v>
      </c>
      <c r="H116" s="17" t="str">
        <f t="shared" si="7"/>
        <v>insert into ins_premium_det (premium_rcv_code,assorted_code, rec_amount,premium_rcv_detail_code,remaining_amt, payrec, mode_code,coinsurance_code,class_cd,it_remarks) values('27Mar250028','050000861921','1762',(select max(to_number(i.premium_rcv_detail_code))+1
from ins_premium_det i),'1762','1762','02', '11000003','00','Request by Mr. Saqib Saleem 28-Mar-2025 End');</v>
      </c>
    </row>
    <row r="117" spans="1:8" ht="105" x14ac:dyDescent="0.25">
      <c r="A117" s="2" t="s">
        <v>5559</v>
      </c>
      <c r="B117" s="13" t="str">
        <f>VLOOKUP(A117,POLICY1!B:C,2,0)</f>
        <v>050000861923</v>
      </c>
      <c r="C117" s="7">
        <v>2137</v>
      </c>
      <c r="D117" s="14">
        <f t="shared" si="5"/>
        <v>2137</v>
      </c>
      <c r="E117" s="19" t="s">
        <v>6323</v>
      </c>
      <c r="F117" s="15" t="str">
        <f t="shared" si="4"/>
        <v>insert into ins_premium_det (premium_rcv_code,assorted_code, rec_amount,premium_rcv_detail_code,remaining_amt, payrec, mode_code,coinsurance_code,class_cd,it_remarks) values</v>
      </c>
      <c r="G117" s="16" t="str">
        <f t="shared" si="6"/>
        <v>('27Mar250028','050000861923','2137',(select max(to_number(i.premium_rcv_detail_code))+1
from ins_premium_det i),'2137','2137','02', '11000003','00','Request by Mr. Saqib Saleem 28-Mar-2025 End');</v>
      </c>
      <c r="H117" s="17" t="str">
        <f t="shared" si="7"/>
        <v>insert into ins_premium_det (premium_rcv_code,assorted_code, rec_amount,premium_rcv_detail_code,remaining_amt, payrec, mode_code,coinsurance_code,class_cd,it_remarks) values('27Mar250028','050000861923','2137',(select max(to_number(i.premium_rcv_detail_code))+1
from ins_premium_det i),'2137','2137','02', '11000003','00','Request by Mr. Saqib Saleem 28-Mar-2025 End');</v>
      </c>
    </row>
    <row r="118" spans="1:8" ht="105" x14ac:dyDescent="0.25">
      <c r="A118" s="2" t="s">
        <v>5560</v>
      </c>
      <c r="B118" s="13" t="str">
        <f>VLOOKUP(A118,POLICY1!B:C,2,0)</f>
        <v>050000861926</v>
      </c>
      <c r="C118" s="7">
        <v>1650</v>
      </c>
      <c r="D118" s="14">
        <f t="shared" si="5"/>
        <v>1650</v>
      </c>
      <c r="E118" s="19" t="s">
        <v>6323</v>
      </c>
      <c r="F118" s="15" t="str">
        <f t="shared" si="4"/>
        <v>insert into ins_premium_det (premium_rcv_code,assorted_code, rec_amount,premium_rcv_detail_code,remaining_amt, payrec, mode_code,coinsurance_code,class_cd,it_remarks) values</v>
      </c>
      <c r="G118" s="16" t="str">
        <f t="shared" si="6"/>
        <v>('27Mar250028','050000861926','1650',(select max(to_number(i.premium_rcv_detail_code))+1
from ins_premium_det i),'1650','1650','02', '11000003','00','Request by Mr. Saqib Saleem 28-Mar-2025 End');</v>
      </c>
      <c r="H118" s="17" t="str">
        <f t="shared" si="7"/>
        <v>insert into ins_premium_det (premium_rcv_code,assorted_code, rec_amount,premium_rcv_detail_code,remaining_amt, payrec, mode_code,coinsurance_code,class_cd,it_remarks) values('27Mar250028','050000861926','1650',(select max(to_number(i.premium_rcv_detail_code))+1
from ins_premium_det i),'1650','1650','02', '11000003','00','Request by Mr. Saqib Saleem 28-Mar-2025 End');</v>
      </c>
    </row>
    <row r="119" spans="1:8" ht="105" x14ac:dyDescent="0.25">
      <c r="A119" s="2" t="s">
        <v>5561</v>
      </c>
      <c r="B119" s="13" t="str">
        <f>VLOOKUP(A119,POLICY1!B:C,2,0)</f>
        <v>050000861927</v>
      </c>
      <c r="C119" s="7">
        <v>1335</v>
      </c>
      <c r="D119" s="14">
        <f t="shared" si="5"/>
        <v>1335</v>
      </c>
      <c r="E119" s="19" t="s">
        <v>6323</v>
      </c>
      <c r="F119" s="15" t="str">
        <f t="shared" si="4"/>
        <v>insert into ins_premium_det (premium_rcv_code,assorted_code, rec_amount,premium_rcv_detail_code,remaining_amt, payrec, mode_code,coinsurance_code,class_cd,it_remarks) values</v>
      </c>
      <c r="G119" s="16" t="str">
        <f t="shared" si="6"/>
        <v>('27Mar250028','050000861927','1335',(select max(to_number(i.premium_rcv_detail_code))+1
from ins_premium_det i),'1335','1335','02', '11000003','00','Request by Mr. Saqib Saleem 28-Mar-2025 End');</v>
      </c>
      <c r="H119" s="17" t="str">
        <f t="shared" si="7"/>
        <v>insert into ins_premium_det (premium_rcv_code,assorted_code, rec_amount,premium_rcv_detail_code,remaining_amt, payrec, mode_code,coinsurance_code,class_cd,it_remarks) values('27Mar250028','050000861927','1335',(select max(to_number(i.premium_rcv_detail_code))+1
from ins_premium_det i),'1335','1335','02', '11000003','00','Request by Mr. Saqib Saleem 28-Mar-2025 End');</v>
      </c>
    </row>
    <row r="120" spans="1:8" ht="105" x14ac:dyDescent="0.25">
      <c r="A120" s="2" t="s">
        <v>5562</v>
      </c>
      <c r="B120" s="13" t="str">
        <f>VLOOKUP(A120,POLICY1!B:C,2,0)</f>
        <v>050000861938</v>
      </c>
      <c r="C120" s="7">
        <v>1441</v>
      </c>
      <c r="D120" s="14">
        <f t="shared" si="5"/>
        <v>1441</v>
      </c>
      <c r="E120" s="19" t="s">
        <v>6323</v>
      </c>
      <c r="F120" s="15" t="str">
        <f t="shared" si="4"/>
        <v>insert into ins_premium_det (premium_rcv_code,assorted_code, rec_amount,premium_rcv_detail_code,remaining_amt, payrec, mode_code,coinsurance_code,class_cd,it_remarks) values</v>
      </c>
      <c r="G120" s="16" t="str">
        <f t="shared" si="6"/>
        <v>('27Mar250028','050000861938','1441',(select max(to_number(i.premium_rcv_detail_code))+1
from ins_premium_det i),'1441','1441','02', '11000003','00','Request by Mr. Saqib Saleem 28-Mar-2025 End');</v>
      </c>
      <c r="H120" s="17" t="str">
        <f t="shared" si="7"/>
        <v>insert into ins_premium_det (premium_rcv_code,assorted_code, rec_amount,premium_rcv_detail_code,remaining_amt, payrec, mode_code,coinsurance_code,class_cd,it_remarks) values('27Mar250028','050000861938','1441',(select max(to_number(i.premium_rcv_detail_code))+1
from ins_premium_det i),'1441','1441','02', '11000003','00','Request by Mr. Saqib Saleem 28-Mar-2025 End');</v>
      </c>
    </row>
    <row r="121" spans="1:8" ht="105" x14ac:dyDescent="0.25">
      <c r="A121" s="2" t="s">
        <v>5563</v>
      </c>
      <c r="B121" s="13" t="str">
        <f>VLOOKUP(A121,POLICY1!B:C,2,0)</f>
        <v>050000861925</v>
      </c>
      <c r="C121" s="7">
        <v>3225</v>
      </c>
      <c r="D121" s="14">
        <f t="shared" si="5"/>
        <v>3225</v>
      </c>
      <c r="E121" s="19" t="s">
        <v>6323</v>
      </c>
      <c r="F121" s="15" t="str">
        <f t="shared" si="4"/>
        <v>insert into ins_premium_det (premium_rcv_code,assorted_code, rec_amount,premium_rcv_detail_code,remaining_amt, payrec, mode_code,coinsurance_code,class_cd,it_remarks) values</v>
      </c>
      <c r="G121" s="16" t="str">
        <f t="shared" si="6"/>
        <v>('27Mar250028','050000861925','3225',(select max(to_number(i.premium_rcv_detail_code))+1
from ins_premium_det i),'3225','3225','02', '11000003','00','Request by Mr. Saqib Saleem 28-Mar-2025 End');</v>
      </c>
      <c r="H121" s="17" t="str">
        <f t="shared" si="7"/>
        <v>insert into ins_premium_det (premium_rcv_code,assorted_code, rec_amount,premium_rcv_detail_code,remaining_amt, payrec, mode_code,coinsurance_code,class_cd,it_remarks) values('27Mar250028','050000861925','3225',(select max(to_number(i.premium_rcv_detail_code))+1
from ins_premium_det i),'3225','3225','02', '11000003','00','Request by Mr. Saqib Saleem 28-Mar-2025 End');</v>
      </c>
    </row>
    <row r="122" spans="1:8" ht="105" x14ac:dyDescent="0.25">
      <c r="A122" s="2" t="s">
        <v>5564</v>
      </c>
      <c r="B122" s="13" t="str">
        <f>VLOOKUP(A122,POLICY1!B:C,2,0)</f>
        <v>050000861918</v>
      </c>
      <c r="C122" s="7">
        <v>2939</v>
      </c>
      <c r="D122" s="14">
        <f t="shared" si="5"/>
        <v>2939</v>
      </c>
      <c r="E122" s="19" t="s">
        <v>6323</v>
      </c>
      <c r="F122" s="15" t="str">
        <f t="shared" si="4"/>
        <v>insert into ins_premium_det (premium_rcv_code,assorted_code, rec_amount,premium_rcv_detail_code,remaining_amt, payrec, mode_code,coinsurance_code,class_cd,it_remarks) values</v>
      </c>
      <c r="G122" s="16" t="str">
        <f t="shared" si="6"/>
        <v>('27Mar250028','050000861918','2939',(select max(to_number(i.premium_rcv_detail_code))+1
from ins_premium_det i),'2939','2939','02', '11000003','00','Request by Mr. Saqib Saleem 28-Mar-2025 End');</v>
      </c>
      <c r="H122" s="17" t="str">
        <f t="shared" si="7"/>
        <v>insert into ins_premium_det (premium_rcv_code,assorted_code, rec_amount,premium_rcv_detail_code,remaining_amt, payrec, mode_code,coinsurance_code,class_cd,it_remarks) values('27Mar250028','050000861918','2939',(select max(to_number(i.premium_rcv_detail_code))+1
from ins_premium_det i),'2939','2939','02', '11000003','00','Request by Mr. Saqib Saleem 28-Mar-2025 End');</v>
      </c>
    </row>
    <row r="123" spans="1:8" ht="105" x14ac:dyDescent="0.25">
      <c r="A123" s="2" t="s">
        <v>5565</v>
      </c>
      <c r="B123" s="13" t="str">
        <f>VLOOKUP(A123,POLICY1!B:C,2,0)</f>
        <v>050000861916</v>
      </c>
      <c r="C123" s="7">
        <v>2775</v>
      </c>
      <c r="D123" s="14">
        <f t="shared" si="5"/>
        <v>2775</v>
      </c>
      <c r="E123" s="19" t="s">
        <v>6323</v>
      </c>
      <c r="F123" s="15" t="str">
        <f t="shared" si="4"/>
        <v>insert into ins_premium_det (premium_rcv_code,assorted_code, rec_amount,premium_rcv_detail_code,remaining_amt, payrec, mode_code,coinsurance_code,class_cd,it_remarks) values</v>
      </c>
      <c r="G123" s="16" t="str">
        <f t="shared" si="6"/>
        <v>('27Mar250028','050000861916','2775',(select max(to_number(i.premium_rcv_detail_code))+1
from ins_premium_det i),'2775','2775','02', '11000003','00','Request by Mr. Saqib Saleem 28-Mar-2025 End');</v>
      </c>
      <c r="H123" s="17" t="str">
        <f t="shared" si="7"/>
        <v>insert into ins_premium_det (premium_rcv_code,assorted_code, rec_amount,premium_rcv_detail_code,remaining_amt, payrec, mode_code,coinsurance_code,class_cd,it_remarks) values('27Mar250028','050000861916','2775',(select max(to_number(i.premium_rcv_detail_code))+1
from ins_premium_det i),'2775','2775','02', '11000003','00','Request by Mr. Saqib Saleem 28-Mar-2025 End');</v>
      </c>
    </row>
    <row r="124" spans="1:8" ht="105" x14ac:dyDescent="0.25">
      <c r="A124" s="2" t="s">
        <v>5566</v>
      </c>
      <c r="B124" s="13" t="str">
        <f>VLOOKUP(A124,POLICY1!B:C,2,0)</f>
        <v>050000861914</v>
      </c>
      <c r="C124" s="7">
        <v>1350</v>
      </c>
      <c r="D124" s="14">
        <f t="shared" si="5"/>
        <v>1350</v>
      </c>
      <c r="E124" s="19" t="s">
        <v>6323</v>
      </c>
      <c r="F124" s="15" t="str">
        <f t="shared" si="4"/>
        <v>insert into ins_premium_det (premium_rcv_code,assorted_code, rec_amount,premium_rcv_detail_code,remaining_amt, payrec, mode_code,coinsurance_code,class_cd,it_remarks) values</v>
      </c>
      <c r="G124" s="16" t="str">
        <f t="shared" si="6"/>
        <v>('27Mar250028','050000861914','1350',(select max(to_number(i.premium_rcv_detail_code))+1
from ins_premium_det i),'1350','1350','02', '11000003','00','Request by Mr. Saqib Saleem 28-Mar-2025 End');</v>
      </c>
      <c r="H124" s="17" t="str">
        <f t="shared" si="7"/>
        <v>insert into ins_premium_det (premium_rcv_code,assorted_code, rec_amount,premium_rcv_detail_code,remaining_amt, payrec, mode_code,coinsurance_code,class_cd,it_remarks) values('27Mar250028','050000861914','1350',(select max(to_number(i.premium_rcv_detail_code))+1
from ins_premium_det i),'1350','1350','02', '11000003','00','Request by Mr. Saqib Saleem 28-Mar-2025 End');</v>
      </c>
    </row>
    <row r="125" spans="1:8" ht="105" x14ac:dyDescent="0.25">
      <c r="A125" s="2" t="s">
        <v>5567</v>
      </c>
      <c r="B125" s="13" t="str">
        <f>VLOOKUP(A125,POLICY1!B:C,2,0)</f>
        <v>050000861911</v>
      </c>
      <c r="C125" s="7">
        <v>1294</v>
      </c>
      <c r="D125" s="14">
        <f t="shared" si="5"/>
        <v>1294</v>
      </c>
      <c r="E125" s="19" t="s">
        <v>6323</v>
      </c>
      <c r="F125" s="15" t="str">
        <f t="shared" si="4"/>
        <v>insert into ins_premium_det (premium_rcv_code,assorted_code, rec_amount,premium_rcv_detail_code,remaining_amt, payrec, mode_code,coinsurance_code,class_cd,it_remarks) values</v>
      </c>
      <c r="G125" s="16" t="str">
        <f t="shared" si="6"/>
        <v>('27Mar250028','050000861911','1294',(select max(to_number(i.premium_rcv_detail_code))+1
from ins_premium_det i),'1294','1294','02', '11000003','00','Request by Mr. Saqib Saleem 28-Mar-2025 End');</v>
      </c>
      <c r="H125" s="17" t="str">
        <f t="shared" si="7"/>
        <v>insert into ins_premium_det (premium_rcv_code,assorted_code, rec_amount,premium_rcv_detail_code,remaining_amt, payrec, mode_code,coinsurance_code,class_cd,it_remarks) values('27Mar250028','050000861911','1294',(select max(to_number(i.premium_rcv_detail_code))+1
from ins_premium_det i),'1294','1294','02', '11000003','00','Request by Mr. Saqib Saleem 28-Mar-2025 End');</v>
      </c>
    </row>
    <row r="126" spans="1:8" ht="105" x14ac:dyDescent="0.25">
      <c r="A126" s="2" t="s">
        <v>5568</v>
      </c>
      <c r="B126" s="13" t="str">
        <f>VLOOKUP(A126,POLICY1!B:C,2,0)</f>
        <v>050000861910</v>
      </c>
      <c r="C126" s="7">
        <v>1655</v>
      </c>
      <c r="D126" s="14">
        <f t="shared" si="5"/>
        <v>1655</v>
      </c>
      <c r="E126" s="19" t="s">
        <v>6323</v>
      </c>
      <c r="F126" s="15" t="str">
        <f t="shared" si="4"/>
        <v>insert into ins_premium_det (premium_rcv_code,assorted_code, rec_amount,premium_rcv_detail_code,remaining_amt, payrec, mode_code,coinsurance_code,class_cd,it_remarks) values</v>
      </c>
      <c r="G126" s="16" t="str">
        <f t="shared" si="6"/>
        <v>('27Mar250028','050000861910','1655',(select max(to_number(i.premium_rcv_detail_code))+1
from ins_premium_det i),'1655','1655','02', '11000003','00','Request by Mr. Saqib Saleem 28-Mar-2025 End');</v>
      </c>
      <c r="H126" s="17" t="str">
        <f t="shared" si="7"/>
        <v>insert into ins_premium_det (premium_rcv_code,assorted_code, rec_amount,premium_rcv_detail_code,remaining_amt, payrec, mode_code,coinsurance_code,class_cd,it_remarks) values('27Mar250028','050000861910','1655',(select max(to_number(i.premium_rcv_detail_code))+1
from ins_premium_det i),'1655','1655','02', '11000003','00','Request by Mr. Saqib Saleem 28-Mar-2025 End');</v>
      </c>
    </row>
    <row r="127" spans="1:8" ht="105" x14ac:dyDescent="0.25">
      <c r="A127" s="2" t="s">
        <v>5569</v>
      </c>
      <c r="B127" s="13" t="str">
        <f>VLOOKUP(A127,POLICY1!B:C,2,0)</f>
        <v>050000861908</v>
      </c>
      <c r="C127" s="7">
        <v>1350</v>
      </c>
      <c r="D127" s="14">
        <f t="shared" si="5"/>
        <v>1350</v>
      </c>
      <c r="E127" s="19" t="s">
        <v>6323</v>
      </c>
      <c r="F127" s="15" t="str">
        <f t="shared" si="4"/>
        <v>insert into ins_premium_det (premium_rcv_code,assorted_code, rec_amount,premium_rcv_detail_code,remaining_amt, payrec, mode_code,coinsurance_code,class_cd,it_remarks) values</v>
      </c>
      <c r="G127" s="16" t="str">
        <f t="shared" si="6"/>
        <v>('27Mar250028','050000861908','1350',(select max(to_number(i.premium_rcv_detail_code))+1
from ins_premium_det i),'1350','1350','02', '11000003','00','Request by Mr. Saqib Saleem 28-Mar-2025 End');</v>
      </c>
      <c r="H127" s="17" t="str">
        <f t="shared" si="7"/>
        <v>insert into ins_premium_det (premium_rcv_code,assorted_code, rec_amount,premium_rcv_detail_code,remaining_amt, payrec, mode_code,coinsurance_code,class_cd,it_remarks) values('27Mar250028','050000861908','1350',(select max(to_number(i.premium_rcv_detail_code))+1
from ins_premium_det i),'1350','1350','02', '11000003','00','Request by Mr. Saqib Saleem 28-Mar-2025 End');</v>
      </c>
    </row>
    <row r="128" spans="1:8" ht="105" x14ac:dyDescent="0.25">
      <c r="A128" t="s">
        <v>5624</v>
      </c>
      <c r="B128" s="13" t="str">
        <f>VLOOKUP(A128,POLICY1!B:C,2,0)</f>
        <v>050000872534</v>
      </c>
      <c r="C128" s="7">
        <v>1546</v>
      </c>
      <c r="D128" s="14">
        <f t="shared" si="5"/>
        <v>1546</v>
      </c>
      <c r="E128" s="19" t="s">
        <v>6323</v>
      </c>
      <c r="F128" s="15" t="str">
        <f t="shared" si="4"/>
        <v>insert into ins_premium_det (premium_rcv_code,assorted_code, rec_amount,premium_rcv_detail_code,remaining_amt, payrec, mode_code,coinsurance_code,class_cd,it_remarks) values</v>
      </c>
      <c r="G128" s="16" t="str">
        <f t="shared" si="6"/>
        <v>('27Mar250028','050000872534','1546',(select max(to_number(i.premium_rcv_detail_code))+1
from ins_premium_det i),'1546','1546','02', '11000003','00','Request by Mr. Saqib Saleem 28-Mar-2025 End');</v>
      </c>
      <c r="H128" s="17" t="str">
        <f t="shared" si="7"/>
        <v>insert into ins_premium_det (premium_rcv_code,assorted_code, rec_amount,premium_rcv_detail_code,remaining_amt, payrec, mode_code,coinsurance_code,class_cd,it_remarks) values('27Mar250028','050000872534','1546',(select max(to_number(i.premium_rcv_detail_code))+1
from ins_premium_det i),'1546','1546','02', '11000003','00','Request by Mr. Saqib Saleem 28-Mar-2025 End');</v>
      </c>
    </row>
    <row r="129" spans="1:8" ht="105" x14ac:dyDescent="0.25">
      <c r="A129" s="2" t="s">
        <v>5570</v>
      </c>
      <c r="B129" s="13" t="str">
        <f>VLOOKUP(A129,POLICY1!B:C,2,0)</f>
        <v>050000861904</v>
      </c>
      <c r="C129" s="7">
        <v>1335</v>
      </c>
      <c r="D129" s="14">
        <f t="shared" si="5"/>
        <v>1335</v>
      </c>
      <c r="E129" s="19" t="s">
        <v>6323</v>
      </c>
      <c r="F129" s="15" t="str">
        <f t="shared" si="4"/>
        <v>insert into ins_premium_det (premium_rcv_code,assorted_code, rec_amount,premium_rcv_detail_code,remaining_amt, payrec, mode_code,coinsurance_code,class_cd,it_remarks) values</v>
      </c>
      <c r="G129" s="16" t="str">
        <f t="shared" si="6"/>
        <v>('27Mar250028','050000861904','1335',(select max(to_number(i.premium_rcv_detail_code))+1
from ins_premium_det i),'1335','1335','02', '11000003','00','Request by Mr. Saqib Saleem 28-Mar-2025 End');</v>
      </c>
      <c r="H129" s="17" t="str">
        <f t="shared" si="7"/>
        <v>insert into ins_premium_det (premium_rcv_code,assorted_code, rec_amount,premium_rcv_detail_code,remaining_amt, payrec, mode_code,coinsurance_code,class_cd,it_remarks) values('27Mar250028','050000861904','1335',(select max(to_number(i.premium_rcv_detail_code))+1
from ins_premium_det i),'1335','1335','02', '11000003','00','Request by Mr. Saqib Saleem 28-Mar-2025 End');</v>
      </c>
    </row>
    <row r="130" spans="1:8" ht="105" x14ac:dyDescent="0.25">
      <c r="A130" s="2" t="s">
        <v>5571</v>
      </c>
      <c r="B130" s="13" t="str">
        <f>VLOOKUP(A130,POLICY1!B:C,2,0)</f>
        <v>050000861864</v>
      </c>
      <c r="C130" s="7">
        <v>4107</v>
      </c>
      <c r="D130" s="14">
        <f t="shared" si="5"/>
        <v>4107</v>
      </c>
      <c r="E130" s="19" t="s">
        <v>6323</v>
      </c>
      <c r="F130" s="15" t="str">
        <f t="shared" ref="F130:F169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6" t="str">
        <f t="shared" si="6"/>
        <v>('27Mar250028','050000861864','4107',(select max(to_number(i.premium_rcv_detail_code))+1
from ins_premium_det i),'4107','4107','02', '11000003','00','Request by Mr. Saqib Saleem 28-Mar-2025 End');</v>
      </c>
      <c r="H130" s="17" t="str">
        <f t="shared" si="7"/>
        <v>insert into ins_premium_det (premium_rcv_code,assorted_code, rec_amount,premium_rcv_detail_code,remaining_amt, payrec, mode_code,coinsurance_code,class_cd,it_remarks) values('27Mar250028','050000861864','4107',(select max(to_number(i.premium_rcv_detail_code))+1
from ins_premium_det i),'4107','4107','02', '11000003','00','Request by Mr. Saqib Saleem 28-Mar-2025 End');</v>
      </c>
    </row>
    <row r="131" spans="1:8" ht="105" x14ac:dyDescent="0.25">
      <c r="A131" s="2" t="s">
        <v>5572</v>
      </c>
      <c r="B131" s="13" t="str">
        <f>VLOOKUP(A131,POLICY1!B:C,2,0)</f>
        <v>050000861859</v>
      </c>
      <c r="C131" s="7">
        <v>2025</v>
      </c>
      <c r="D131" s="14">
        <f t="shared" ref="D131:D169" si="9">ROUND(C131,0)</f>
        <v>2025</v>
      </c>
      <c r="E131" s="19" t="s">
        <v>6323</v>
      </c>
      <c r="F131" s="15" t="str">
        <f t="shared" si="8"/>
        <v>insert into ins_premium_det (premium_rcv_code,assorted_code, rec_amount,premium_rcv_detail_code,remaining_amt, payrec, mode_code,coinsurance_code,class_cd,it_remarks) values</v>
      </c>
      <c r="G131" s="16" t="str">
        <f t="shared" ref="G131:G169" si="10">"('"&amp;E131&amp;"','"&amp;B131&amp;"','"&amp;D131&amp;"',(select max(to_number(i.premium_rcv_detail_code))+1
from ins_premium_det i),'"&amp;D131&amp;"','"&amp;D131&amp;"','02', '11000003','00','Request by Mr. Saqib Saleem 28-Mar-2025 End');"</f>
        <v>('27Mar250028','050000861859','2025',(select max(to_number(i.premium_rcv_detail_code))+1
from ins_premium_det i),'2025','2025','02', '11000003','00','Request by Mr. Saqib Saleem 28-Mar-2025 End');</v>
      </c>
      <c r="H131" s="17" t="str">
        <f t="shared" ref="H131:H169" si="11">F131&amp;G131</f>
        <v>insert into ins_premium_det (premium_rcv_code,assorted_code, rec_amount,premium_rcv_detail_code,remaining_amt, payrec, mode_code,coinsurance_code,class_cd,it_remarks) values('27Mar250028','050000861859','2025',(select max(to_number(i.premium_rcv_detail_code))+1
from ins_premium_det i),'2025','2025','02', '11000003','00','Request by Mr. Saqib Saleem 28-Mar-2025 End');</v>
      </c>
    </row>
    <row r="132" spans="1:8" ht="105" x14ac:dyDescent="0.25">
      <c r="A132" s="2" t="s">
        <v>5573</v>
      </c>
      <c r="B132" s="13" t="str">
        <f>VLOOKUP(A132,POLICY1!B:C,2,0)</f>
        <v>050000861856</v>
      </c>
      <c r="C132" s="7">
        <v>1975</v>
      </c>
      <c r="D132" s="14">
        <f t="shared" si="9"/>
        <v>1975</v>
      </c>
      <c r="E132" s="19" t="s">
        <v>6323</v>
      </c>
      <c r="F132" s="15" t="str">
        <f t="shared" si="8"/>
        <v>insert into ins_premium_det (premium_rcv_code,assorted_code, rec_amount,premium_rcv_detail_code,remaining_amt, payrec, mode_code,coinsurance_code,class_cd,it_remarks) values</v>
      </c>
      <c r="G132" s="16" t="str">
        <f t="shared" si="10"/>
        <v>('27Mar250028','050000861856','1975',(select max(to_number(i.premium_rcv_detail_code))+1
from ins_premium_det i),'1975','1975','02', '11000003','00','Request by Mr. Saqib Saleem 28-Mar-2025 End');</v>
      </c>
      <c r="H132" s="17" t="str">
        <f t="shared" si="11"/>
        <v>insert into ins_premium_det (premium_rcv_code,assorted_code, rec_amount,premium_rcv_detail_code,remaining_amt, payrec, mode_code,coinsurance_code,class_cd,it_remarks) values('27Mar250028','050000861856','1975',(select max(to_number(i.premium_rcv_detail_code))+1
from ins_premium_det i),'1975','1975','02', '11000003','00','Request by Mr. Saqib Saleem 28-Mar-2025 End');</v>
      </c>
    </row>
    <row r="133" spans="1:8" ht="105" x14ac:dyDescent="0.25">
      <c r="A133" s="2" t="s">
        <v>5574</v>
      </c>
      <c r="B133" s="13" t="str">
        <f>VLOOKUP(A133,POLICY1!B:C,2,0)</f>
        <v>050000861855</v>
      </c>
      <c r="C133" s="7">
        <v>1369</v>
      </c>
      <c r="D133" s="14">
        <f t="shared" si="9"/>
        <v>1369</v>
      </c>
      <c r="E133" s="19" t="s">
        <v>6323</v>
      </c>
      <c r="F133" s="15" t="str">
        <f t="shared" si="8"/>
        <v>insert into ins_premium_det (premium_rcv_code,assorted_code, rec_amount,premium_rcv_detail_code,remaining_amt, payrec, mode_code,coinsurance_code,class_cd,it_remarks) values</v>
      </c>
      <c r="G133" s="16" t="str">
        <f t="shared" si="10"/>
        <v>('27Mar250028','050000861855','1369',(select max(to_number(i.premium_rcv_detail_code))+1
from ins_premium_det i),'1369','1369','02', '11000003','00','Request by Mr. Saqib Saleem 28-Mar-2025 End');</v>
      </c>
      <c r="H133" s="17" t="str">
        <f t="shared" si="11"/>
        <v>insert into ins_premium_det (premium_rcv_code,assorted_code, rec_amount,premium_rcv_detail_code,remaining_amt, payrec, mode_code,coinsurance_code,class_cd,it_remarks) values('27Mar250028','050000861855','1369',(select max(to_number(i.premium_rcv_detail_code))+1
from ins_premium_det i),'1369','1369','02', '11000003','00','Request by Mr. Saqib Saleem 28-Mar-2025 End');</v>
      </c>
    </row>
    <row r="134" spans="1:8" ht="105" x14ac:dyDescent="0.25">
      <c r="A134" s="2" t="s">
        <v>5575</v>
      </c>
      <c r="B134" s="13" t="str">
        <f>VLOOKUP(A134,POLICY1!B:C,2,0)</f>
        <v>050000861853</v>
      </c>
      <c r="C134" s="7">
        <v>1200</v>
      </c>
      <c r="D134" s="14">
        <f t="shared" si="9"/>
        <v>1200</v>
      </c>
      <c r="E134" s="19" t="s">
        <v>6323</v>
      </c>
      <c r="F134" s="15" t="str">
        <f t="shared" si="8"/>
        <v>insert into ins_premium_det (premium_rcv_code,assorted_code, rec_amount,premium_rcv_detail_code,remaining_amt, payrec, mode_code,coinsurance_code,class_cd,it_remarks) values</v>
      </c>
      <c r="G134" s="16" t="str">
        <f t="shared" si="10"/>
        <v>('27Mar250028','050000861853','1200',(select max(to_number(i.premium_rcv_detail_code))+1
from ins_premium_det i),'1200','1200','02', '11000003','00','Request by Mr. Saqib Saleem 28-Mar-2025 End');</v>
      </c>
      <c r="H134" s="17" t="str">
        <f t="shared" si="11"/>
        <v>insert into ins_premium_det (premium_rcv_code,assorted_code, rec_amount,premium_rcv_detail_code,remaining_amt, payrec, mode_code,coinsurance_code,class_cd,it_remarks) values('27Mar250028','050000861853','1200',(select max(to_number(i.premium_rcv_detail_code))+1
from ins_premium_det i),'1200','1200','02', '11000003','00','Request by Mr. Saqib Saleem 28-Mar-2025 End');</v>
      </c>
    </row>
    <row r="135" spans="1:8" ht="105" x14ac:dyDescent="0.25">
      <c r="A135" s="2" t="s">
        <v>5576</v>
      </c>
      <c r="B135" s="13" t="str">
        <f>VLOOKUP(A135,POLICY1!B:C,2,0)</f>
        <v>050000861846</v>
      </c>
      <c r="C135" s="7">
        <v>1178</v>
      </c>
      <c r="D135" s="14">
        <f t="shared" si="9"/>
        <v>1178</v>
      </c>
      <c r="E135" s="19" t="s">
        <v>6323</v>
      </c>
      <c r="F135" s="15" t="str">
        <f t="shared" si="8"/>
        <v>insert into ins_premium_det (premium_rcv_code,assorted_code, rec_amount,premium_rcv_detail_code,remaining_amt, payrec, mode_code,coinsurance_code,class_cd,it_remarks) values</v>
      </c>
      <c r="G135" s="16" t="str">
        <f t="shared" si="10"/>
        <v>('27Mar250028','050000861846','1178',(select max(to_number(i.premium_rcv_detail_code))+1
from ins_premium_det i),'1178','1178','02', '11000003','00','Request by Mr. Saqib Saleem 28-Mar-2025 End');</v>
      </c>
      <c r="H135" s="17" t="str">
        <f t="shared" si="11"/>
        <v>insert into ins_premium_det (premium_rcv_code,assorted_code, rec_amount,premium_rcv_detail_code,remaining_amt, payrec, mode_code,coinsurance_code,class_cd,it_remarks) values('27Mar250028','050000861846','1178',(select max(to_number(i.premium_rcv_detail_code))+1
from ins_premium_det i),'1178','1178','02', '11000003','00','Request by Mr. Saqib Saleem 28-Mar-2025 End');</v>
      </c>
    </row>
    <row r="136" spans="1:8" ht="105" x14ac:dyDescent="0.25">
      <c r="A136" s="2" t="s">
        <v>5577</v>
      </c>
      <c r="B136" s="13" t="str">
        <f>VLOOKUP(A136,POLICY1!B:C,2,0)</f>
        <v>050000861843</v>
      </c>
      <c r="C136" s="7">
        <v>900</v>
      </c>
      <c r="D136" s="14">
        <f t="shared" si="9"/>
        <v>900</v>
      </c>
      <c r="E136" s="19" t="s">
        <v>6323</v>
      </c>
      <c r="F136" s="15" t="str">
        <f t="shared" si="8"/>
        <v>insert into ins_premium_det (premium_rcv_code,assorted_code, rec_amount,premium_rcv_detail_code,remaining_amt, payrec, mode_code,coinsurance_code,class_cd,it_remarks) values</v>
      </c>
      <c r="G136" s="16" t="str">
        <f t="shared" si="10"/>
        <v>('27Mar250028','050000861843','900',(select max(to_number(i.premium_rcv_detail_code))+1
from ins_premium_det i),'900','900','02', '11000003','00','Request by Mr. Saqib Saleem 28-Mar-2025 End');</v>
      </c>
      <c r="H136" s="17" t="str">
        <f t="shared" si="11"/>
        <v>insert into ins_premium_det (premium_rcv_code,assorted_code, rec_amount,premium_rcv_detail_code,remaining_amt, payrec, mode_code,coinsurance_code,class_cd,it_remarks) values('27Mar250028','050000861843','900',(select max(to_number(i.premium_rcv_detail_code))+1
from ins_premium_det i),'900','900','02', '11000003','00','Request by Mr. Saqib Saleem 28-Mar-2025 End');</v>
      </c>
    </row>
    <row r="137" spans="1:8" ht="105" x14ac:dyDescent="0.25">
      <c r="A137" s="2" t="s">
        <v>5578</v>
      </c>
      <c r="B137" s="13" t="str">
        <f>VLOOKUP(A137,POLICY1!B:C,2,0)</f>
        <v>050000861688</v>
      </c>
      <c r="C137" s="7">
        <v>1975</v>
      </c>
      <c r="D137" s="14">
        <f t="shared" si="9"/>
        <v>1975</v>
      </c>
      <c r="E137" s="19" t="s">
        <v>6323</v>
      </c>
      <c r="F137" s="15" t="str">
        <f t="shared" si="8"/>
        <v>insert into ins_premium_det (premium_rcv_code,assorted_code, rec_amount,premium_rcv_detail_code,remaining_amt, payrec, mode_code,coinsurance_code,class_cd,it_remarks) values</v>
      </c>
      <c r="G137" s="16" t="str">
        <f t="shared" si="10"/>
        <v>('27Mar250028','050000861688','1975',(select max(to_number(i.premium_rcv_detail_code))+1
from ins_premium_det i),'1975','1975','02', '11000003','00','Request by Mr. Saqib Saleem 28-Mar-2025 End');</v>
      </c>
      <c r="H137" s="17" t="str">
        <f t="shared" si="11"/>
        <v>insert into ins_premium_det (premium_rcv_code,assorted_code, rec_amount,premium_rcv_detail_code,remaining_amt, payrec, mode_code,coinsurance_code,class_cd,it_remarks) values('27Mar250028','050000861688','1975',(select max(to_number(i.premium_rcv_detail_code))+1
from ins_premium_det i),'1975','1975','02', '11000003','00','Request by Mr. Saqib Saleem 28-Mar-2025 End');</v>
      </c>
    </row>
    <row r="138" spans="1:8" ht="105" x14ac:dyDescent="0.25">
      <c r="A138" s="2" t="s">
        <v>5579</v>
      </c>
      <c r="B138" s="13" t="str">
        <f>VLOOKUP(A138,POLICY1!B:C,2,0)</f>
        <v>050000861841</v>
      </c>
      <c r="C138" s="7">
        <v>1200</v>
      </c>
      <c r="D138" s="14">
        <f t="shared" si="9"/>
        <v>1200</v>
      </c>
      <c r="E138" s="19" t="s">
        <v>6323</v>
      </c>
      <c r="F138" s="15" t="str">
        <f t="shared" si="8"/>
        <v>insert into ins_premium_det (premium_rcv_code,assorted_code, rec_amount,premium_rcv_detail_code,remaining_amt, payrec, mode_code,coinsurance_code,class_cd,it_remarks) values</v>
      </c>
      <c r="G138" s="16" t="str">
        <f t="shared" si="10"/>
        <v>('27Mar250028','050000861841','1200',(select max(to_number(i.premium_rcv_detail_code))+1
from ins_premium_det i),'1200','1200','02', '11000003','00','Request by Mr. Saqib Saleem 28-Mar-2025 End');</v>
      </c>
      <c r="H138" s="17" t="str">
        <f t="shared" si="11"/>
        <v>insert into ins_premium_det (premium_rcv_code,assorted_code, rec_amount,premium_rcv_detail_code,remaining_amt, payrec, mode_code,coinsurance_code,class_cd,it_remarks) values('27Mar250028','050000861841','1200',(select max(to_number(i.premium_rcv_detail_code))+1
from ins_premium_det i),'1200','1200','02', '11000003','00','Request by Mr. Saqib Saleem 28-Mar-2025 End');</v>
      </c>
    </row>
    <row r="139" spans="1:8" ht="105" x14ac:dyDescent="0.25">
      <c r="A139" s="2" t="s">
        <v>5580</v>
      </c>
      <c r="B139" s="13" t="str">
        <f>VLOOKUP(A139,POLICY1!B:C,2,0)</f>
        <v>050000861839</v>
      </c>
      <c r="C139" s="7">
        <v>1425</v>
      </c>
      <c r="D139" s="14">
        <f t="shared" si="9"/>
        <v>1425</v>
      </c>
      <c r="E139" s="19" t="s">
        <v>6323</v>
      </c>
      <c r="F139" s="15" t="str">
        <f t="shared" si="8"/>
        <v>insert into ins_premium_det (premium_rcv_code,assorted_code, rec_amount,premium_rcv_detail_code,remaining_amt, payrec, mode_code,coinsurance_code,class_cd,it_remarks) values</v>
      </c>
      <c r="G139" s="16" t="str">
        <f t="shared" si="10"/>
        <v>('27Mar250028','050000861839','1425',(select max(to_number(i.premium_rcv_detail_code))+1
from ins_premium_det i),'1425','1425','02', '11000003','00','Request by Mr. Saqib Saleem 28-Mar-2025 End');</v>
      </c>
      <c r="H139" s="17" t="str">
        <f t="shared" si="11"/>
        <v>insert into ins_premium_det (premium_rcv_code,assorted_code, rec_amount,premium_rcv_detail_code,remaining_amt, payrec, mode_code,coinsurance_code,class_cd,it_remarks) values('27Mar250028','050000861839','1425',(select max(to_number(i.premium_rcv_detail_code))+1
from ins_premium_det i),'1425','1425','02', '11000003','00','Request by Mr. Saqib Saleem 28-Mar-2025 End');</v>
      </c>
    </row>
    <row r="140" spans="1:8" ht="105" x14ac:dyDescent="0.25">
      <c r="A140" s="2" t="s">
        <v>5581</v>
      </c>
      <c r="B140" s="13" t="str">
        <f>VLOOKUP(A140,POLICY1!B:C,2,0)</f>
        <v>050000861834</v>
      </c>
      <c r="C140" s="7">
        <v>2790</v>
      </c>
      <c r="D140" s="14">
        <f t="shared" si="9"/>
        <v>2790</v>
      </c>
      <c r="E140" s="19" t="s">
        <v>6323</v>
      </c>
      <c r="F140" s="15" t="str">
        <f t="shared" si="8"/>
        <v>insert into ins_premium_det (premium_rcv_code,assorted_code, rec_amount,premium_rcv_detail_code,remaining_amt, payrec, mode_code,coinsurance_code,class_cd,it_remarks) values</v>
      </c>
      <c r="G140" s="16" t="str">
        <f t="shared" si="10"/>
        <v>('27Mar250028','050000861834','2790',(select max(to_number(i.premium_rcv_detail_code))+1
from ins_premium_det i),'2790','2790','02', '11000003','00','Request by Mr. Saqib Saleem 28-Mar-2025 End');</v>
      </c>
      <c r="H140" s="17" t="str">
        <f t="shared" si="11"/>
        <v>insert into ins_premium_det (premium_rcv_code,assorted_code, rec_amount,premium_rcv_detail_code,remaining_amt, payrec, mode_code,coinsurance_code,class_cd,it_remarks) values('27Mar250028','050000861834','2790',(select max(to_number(i.premium_rcv_detail_code))+1
from ins_premium_det i),'2790','2790','02', '11000003','00','Request by Mr. Saqib Saleem 28-Mar-2025 End');</v>
      </c>
    </row>
    <row r="141" spans="1:8" ht="105" x14ac:dyDescent="0.25">
      <c r="A141" s="2" t="s">
        <v>5582</v>
      </c>
      <c r="B141" s="13" t="str">
        <f>VLOOKUP(A141,POLICY1!B:C,2,0)</f>
        <v>050000861833</v>
      </c>
      <c r="C141" s="7">
        <v>2933</v>
      </c>
      <c r="D141" s="14">
        <f t="shared" si="9"/>
        <v>2933</v>
      </c>
      <c r="E141" s="19" t="s">
        <v>6323</v>
      </c>
      <c r="F141" s="15" t="str">
        <f t="shared" si="8"/>
        <v>insert into ins_premium_det (premium_rcv_code,assorted_code, rec_amount,premium_rcv_detail_code,remaining_amt, payrec, mode_code,coinsurance_code,class_cd,it_remarks) values</v>
      </c>
      <c r="G141" s="16" t="str">
        <f t="shared" si="10"/>
        <v>('27Mar250028','050000861833','2933',(select max(to_number(i.premium_rcv_detail_code))+1
from ins_premium_det i),'2933','2933','02', '11000003','00','Request by Mr. Saqib Saleem 28-Mar-2025 End');</v>
      </c>
      <c r="H141" s="17" t="str">
        <f t="shared" si="11"/>
        <v>insert into ins_premium_det (premium_rcv_code,assorted_code, rec_amount,premium_rcv_detail_code,remaining_amt, payrec, mode_code,coinsurance_code,class_cd,it_remarks) values('27Mar250028','050000861833','2933',(select max(to_number(i.premium_rcv_detail_code))+1
from ins_premium_det i),'2933','2933','02', '11000003','00','Request by Mr. Saqib Saleem 28-Mar-2025 End');</v>
      </c>
    </row>
    <row r="142" spans="1:8" ht="105" x14ac:dyDescent="0.25">
      <c r="A142" s="2" t="s">
        <v>5583</v>
      </c>
      <c r="B142" s="13" t="str">
        <f>VLOOKUP(A142,POLICY1!B:C,2,0)</f>
        <v>050000861832</v>
      </c>
      <c r="C142" s="7">
        <v>2933</v>
      </c>
      <c r="D142" s="14">
        <f t="shared" si="9"/>
        <v>2933</v>
      </c>
      <c r="E142" s="19" t="s">
        <v>6323</v>
      </c>
      <c r="F142" s="15" t="str">
        <f t="shared" si="8"/>
        <v>insert into ins_premium_det (premium_rcv_code,assorted_code, rec_amount,premium_rcv_detail_code,remaining_amt, payrec, mode_code,coinsurance_code,class_cd,it_remarks) values</v>
      </c>
      <c r="G142" s="16" t="str">
        <f t="shared" si="10"/>
        <v>('27Mar250028','050000861832','2933',(select max(to_number(i.premium_rcv_detail_code))+1
from ins_premium_det i),'2933','2933','02', '11000003','00','Request by Mr. Saqib Saleem 28-Mar-2025 End');</v>
      </c>
      <c r="H142" s="17" t="str">
        <f t="shared" si="11"/>
        <v>insert into ins_premium_det (premium_rcv_code,assorted_code, rec_amount,premium_rcv_detail_code,remaining_amt, payrec, mode_code,coinsurance_code,class_cd,it_remarks) values('27Mar250028','050000861832','2933',(select max(to_number(i.premium_rcv_detail_code))+1
from ins_premium_det i),'2933','2933','02', '11000003','00','Request by Mr. Saqib Saleem 28-Mar-2025 End');</v>
      </c>
    </row>
    <row r="143" spans="1:8" ht="105" x14ac:dyDescent="0.25">
      <c r="A143" s="2" t="s">
        <v>5584</v>
      </c>
      <c r="B143" s="13" t="str">
        <f>VLOOKUP(A143,POLICY1!B:C,2,0)</f>
        <v>050000861831</v>
      </c>
      <c r="C143" s="7">
        <v>2475</v>
      </c>
      <c r="D143" s="14">
        <f t="shared" si="9"/>
        <v>2475</v>
      </c>
      <c r="E143" s="19" t="s">
        <v>6323</v>
      </c>
      <c r="F143" s="15" t="str">
        <f t="shared" si="8"/>
        <v>insert into ins_premium_det (premium_rcv_code,assorted_code, rec_amount,premium_rcv_detail_code,remaining_amt, payrec, mode_code,coinsurance_code,class_cd,it_remarks) values</v>
      </c>
      <c r="G143" s="16" t="str">
        <f t="shared" si="10"/>
        <v>('27Mar250028','050000861831','2475',(select max(to_number(i.premium_rcv_detail_code))+1
from ins_premium_det i),'2475','2475','02', '11000003','00','Request by Mr. Saqib Saleem 28-Mar-2025 End');</v>
      </c>
      <c r="H143" s="17" t="str">
        <f t="shared" si="11"/>
        <v>insert into ins_premium_det (premium_rcv_code,assorted_code, rec_amount,premium_rcv_detail_code,remaining_amt, payrec, mode_code,coinsurance_code,class_cd,it_remarks) values('27Mar250028','050000861831','2475',(select max(to_number(i.premium_rcv_detail_code))+1
from ins_premium_det i),'2475','2475','02', '11000003','00','Request by Mr. Saqib Saleem 28-Mar-2025 End');</v>
      </c>
    </row>
    <row r="144" spans="1:8" ht="105" x14ac:dyDescent="0.25">
      <c r="A144" s="2" t="s">
        <v>5585</v>
      </c>
      <c r="B144" s="13" t="str">
        <f>VLOOKUP(A144,POLICY1!B:C,2,0)</f>
        <v>050000861830</v>
      </c>
      <c r="C144" s="7">
        <v>2250</v>
      </c>
      <c r="D144" s="14">
        <f t="shared" si="9"/>
        <v>2250</v>
      </c>
      <c r="E144" s="19" t="s">
        <v>6323</v>
      </c>
      <c r="F144" s="15" t="str">
        <f t="shared" si="8"/>
        <v>insert into ins_premium_det (premium_rcv_code,assorted_code, rec_amount,premium_rcv_detail_code,remaining_amt, payrec, mode_code,coinsurance_code,class_cd,it_remarks) values</v>
      </c>
      <c r="G144" s="16" t="str">
        <f t="shared" si="10"/>
        <v>('27Mar250028','050000861830','2250',(select max(to_number(i.premium_rcv_detail_code))+1
from ins_premium_det i),'2250','2250','02', '11000003','00','Request by Mr. Saqib Saleem 28-Mar-2025 End');</v>
      </c>
      <c r="H144" s="17" t="str">
        <f t="shared" si="11"/>
        <v>insert into ins_premium_det (premium_rcv_code,assorted_code, rec_amount,premium_rcv_detail_code,remaining_amt, payrec, mode_code,coinsurance_code,class_cd,it_remarks) values('27Mar250028','050000861830','2250',(select max(to_number(i.premium_rcv_detail_code))+1
from ins_premium_det i),'2250','2250','02', '11000003','00','Request by Mr. Saqib Saleem 28-Mar-2025 End');</v>
      </c>
    </row>
    <row r="145" spans="1:8" ht="105" x14ac:dyDescent="0.25">
      <c r="A145" s="2" t="s">
        <v>5586</v>
      </c>
      <c r="B145" s="13" t="str">
        <f>VLOOKUP(A145,POLICY1!B:C,2,0)</f>
        <v>050000861826</v>
      </c>
      <c r="C145" s="7">
        <v>1546</v>
      </c>
      <c r="D145" s="14">
        <f t="shared" si="9"/>
        <v>1546</v>
      </c>
      <c r="E145" s="19" t="s">
        <v>6323</v>
      </c>
      <c r="F145" s="15" t="str">
        <f t="shared" si="8"/>
        <v>insert into ins_premium_det (premium_rcv_code,assorted_code, rec_amount,premium_rcv_detail_code,remaining_amt, payrec, mode_code,coinsurance_code,class_cd,it_remarks) values</v>
      </c>
      <c r="G145" s="16" t="str">
        <f t="shared" si="10"/>
        <v>('27Mar250028','050000861826','1546',(select max(to_number(i.premium_rcv_detail_code))+1
from ins_premium_det i),'1546','1546','02', '11000003','00','Request by Mr. Saqib Saleem 28-Mar-2025 End');</v>
      </c>
      <c r="H145" s="17" t="str">
        <f t="shared" si="11"/>
        <v>insert into ins_premium_det (premium_rcv_code,assorted_code, rec_amount,premium_rcv_detail_code,remaining_amt, payrec, mode_code,coinsurance_code,class_cd,it_remarks) values('27Mar250028','050000861826','1546',(select max(to_number(i.premium_rcv_detail_code))+1
from ins_premium_det i),'1546','1546','02', '11000003','00','Request by Mr. Saqib Saleem 28-Mar-2025 End');</v>
      </c>
    </row>
    <row r="146" spans="1:8" ht="105" x14ac:dyDescent="0.25">
      <c r="A146" s="2" t="s">
        <v>5587</v>
      </c>
      <c r="B146" s="13" t="str">
        <f>VLOOKUP(A146,POLICY1!B:C,2,0)</f>
        <v>050000861824</v>
      </c>
      <c r="C146" s="7">
        <v>1154</v>
      </c>
      <c r="D146" s="14">
        <f t="shared" si="9"/>
        <v>1154</v>
      </c>
      <c r="E146" s="19" t="s">
        <v>6323</v>
      </c>
      <c r="F146" s="15" t="str">
        <f t="shared" si="8"/>
        <v>insert into ins_premium_det (premium_rcv_code,assorted_code, rec_amount,premium_rcv_detail_code,remaining_amt, payrec, mode_code,coinsurance_code,class_cd,it_remarks) values</v>
      </c>
      <c r="G146" s="16" t="str">
        <f t="shared" si="10"/>
        <v>('27Mar250028','050000861824','1154',(select max(to_number(i.premium_rcv_detail_code))+1
from ins_premium_det i),'1154','1154','02', '11000003','00','Request by Mr. Saqib Saleem 28-Mar-2025 End');</v>
      </c>
      <c r="H146" s="17" t="str">
        <f t="shared" si="11"/>
        <v>insert into ins_premium_det (premium_rcv_code,assorted_code, rec_amount,premium_rcv_detail_code,remaining_amt, payrec, mode_code,coinsurance_code,class_cd,it_remarks) values('27Mar250028','050000861824','1154',(select max(to_number(i.premium_rcv_detail_code))+1
from ins_premium_det i),'1154','1154','02', '11000003','00','Request by Mr. Saqib Saleem 28-Mar-2025 End');</v>
      </c>
    </row>
    <row r="147" spans="1:8" ht="105" x14ac:dyDescent="0.25">
      <c r="A147" s="2" t="s">
        <v>5588</v>
      </c>
      <c r="B147" s="13" t="str">
        <f>VLOOKUP(A147,POLICY1!B:C,2,0)</f>
        <v>050000861821</v>
      </c>
      <c r="C147" s="7">
        <v>1125</v>
      </c>
      <c r="D147" s="14">
        <f t="shared" si="9"/>
        <v>1125</v>
      </c>
      <c r="E147" s="19" t="s">
        <v>6323</v>
      </c>
      <c r="F147" s="15" t="str">
        <f t="shared" si="8"/>
        <v>insert into ins_premium_det (premium_rcv_code,assorted_code, rec_amount,premium_rcv_detail_code,remaining_amt, payrec, mode_code,coinsurance_code,class_cd,it_remarks) values</v>
      </c>
      <c r="G147" s="16" t="str">
        <f t="shared" si="10"/>
        <v>('27Mar250028','050000861821','1125',(select max(to_number(i.premium_rcv_detail_code))+1
from ins_premium_det i),'1125','1125','02', '11000003','00','Request by Mr. Saqib Saleem 28-Mar-2025 End');</v>
      </c>
      <c r="H147" s="17" t="str">
        <f t="shared" si="11"/>
        <v>insert into ins_premium_det (premium_rcv_code,assorted_code, rec_amount,premium_rcv_detail_code,remaining_amt, payrec, mode_code,coinsurance_code,class_cd,it_remarks) values('27Mar250028','050000861821','1125',(select max(to_number(i.premium_rcv_detail_code))+1
from ins_premium_det i),'1125','1125','02', '11000003','00','Request by Mr. Saqib Saleem 28-Mar-2025 End');</v>
      </c>
    </row>
    <row r="148" spans="1:8" ht="105" x14ac:dyDescent="0.25">
      <c r="A148" s="2" t="s">
        <v>5589</v>
      </c>
      <c r="B148" s="13" t="str">
        <f>VLOOKUP(A148,POLICY1!B:C,2,0)</f>
        <v>050000861819</v>
      </c>
      <c r="C148" s="7">
        <v>1113</v>
      </c>
      <c r="D148" s="14">
        <f t="shared" si="9"/>
        <v>1113</v>
      </c>
      <c r="E148" s="19" t="s">
        <v>6323</v>
      </c>
      <c r="F148" s="15" t="str">
        <f t="shared" si="8"/>
        <v>insert into ins_premium_det (premium_rcv_code,assorted_code, rec_amount,premium_rcv_detail_code,remaining_amt, payrec, mode_code,coinsurance_code,class_cd,it_remarks) values</v>
      </c>
      <c r="G148" s="16" t="str">
        <f t="shared" si="10"/>
        <v>('27Mar250028','050000861819','1113',(select max(to_number(i.premium_rcv_detail_code))+1
from ins_premium_det i),'1113','1113','02', '11000003','00','Request by Mr. Saqib Saleem 28-Mar-2025 End');</v>
      </c>
      <c r="H148" s="17" t="str">
        <f t="shared" si="11"/>
        <v>insert into ins_premium_det (premium_rcv_code,assorted_code, rec_amount,premium_rcv_detail_code,remaining_amt, payrec, mode_code,coinsurance_code,class_cd,it_remarks) values('27Mar250028','050000861819','1113',(select max(to_number(i.premium_rcv_detail_code))+1
from ins_premium_det i),'1113','1113','02', '11000003','00','Request by Mr. Saqib Saleem 28-Mar-2025 End');</v>
      </c>
    </row>
    <row r="149" spans="1:8" ht="105" x14ac:dyDescent="0.25">
      <c r="A149" s="2" t="s">
        <v>5590</v>
      </c>
      <c r="B149" s="13" t="str">
        <f>VLOOKUP(A149,POLICY1!B:C,2,0)</f>
        <v>050000861697</v>
      </c>
      <c r="C149" s="7">
        <v>4785</v>
      </c>
      <c r="D149" s="14">
        <f t="shared" si="9"/>
        <v>4785</v>
      </c>
      <c r="E149" s="19" t="s">
        <v>6323</v>
      </c>
      <c r="F149" s="15" t="str">
        <f t="shared" si="8"/>
        <v>insert into ins_premium_det (premium_rcv_code,assorted_code, rec_amount,premium_rcv_detail_code,remaining_amt, payrec, mode_code,coinsurance_code,class_cd,it_remarks) values</v>
      </c>
      <c r="G149" s="16" t="str">
        <f t="shared" si="10"/>
        <v>('27Mar250028','050000861697','4785',(select max(to_number(i.premium_rcv_detail_code))+1
from ins_premium_det i),'4785','4785','02', '11000003','00','Request by Mr. Saqib Saleem 28-Mar-2025 End');</v>
      </c>
      <c r="H149" s="17" t="str">
        <f t="shared" si="11"/>
        <v>insert into ins_premium_det (premium_rcv_code,assorted_code, rec_amount,premium_rcv_detail_code,remaining_amt, payrec, mode_code,coinsurance_code,class_cd,it_remarks) values('27Mar250028','050000861697','4785',(select max(to_number(i.premium_rcv_detail_code))+1
from ins_premium_det i),'4785','4785','02', '11000003','00','Request by Mr. Saqib Saleem 28-Mar-2025 End');</v>
      </c>
    </row>
    <row r="150" spans="1:8" ht="105" x14ac:dyDescent="0.25">
      <c r="A150" s="2" t="s">
        <v>5591</v>
      </c>
      <c r="B150" s="13" t="str">
        <f>VLOOKUP(A150,POLICY1!B:C,2,0)</f>
        <v>050000861698</v>
      </c>
      <c r="C150" s="7">
        <v>3375</v>
      </c>
      <c r="D150" s="14">
        <f t="shared" si="9"/>
        <v>3375</v>
      </c>
      <c r="E150" s="19" t="s">
        <v>6323</v>
      </c>
      <c r="F150" s="15" t="str">
        <f t="shared" si="8"/>
        <v>insert into ins_premium_det (premium_rcv_code,assorted_code, rec_amount,premium_rcv_detail_code,remaining_amt, payrec, mode_code,coinsurance_code,class_cd,it_remarks) values</v>
      </c>
      <c r="G150" s="16" t="str">
        <f t="shared" si="10"/>
        <v>('27Mar250028','050000861698','3375',(select max(to_number(i.premium_rcv_detail_code))+1
from ins_premium_det i),'3375','3375','02', '11000003','00','Request by Mr. Saqib Saleem 28-Mar-2025 End');</v>
      </c>
      <c r="H150" s="17" t="str">
        <f t="shared" si="11"/>
        <v>insert into ins_premium_det (premium_rcv_code,assorted_code, rec_amount,premium_rcv_detail_code,remaining_amt, payrec, mode_code,coinsurance_code,class_cd,it_remarks) values('27Mar250028','050000861698','3375',(select max(to_number(i.premium_rcv_detail_code))+1
from ins_premium_det i),'3375','3375','02', '11000003','00','Request by Mr. Saqib Saleem 28-Mar-2025 End');</v>
      </c>
    </row>
    <row r="151" spans="1:8" ht="105" x14ac:dyDescent="0.25">
      <c r="A151" s="2" t="s">
        <v>5592</v>
      </c>
      <c r="B151" s="13" t="str">
        <f>VLOOKUP(A151,POLICY1!B:C,2,0)</f>
        <v>050000861699</v>
      </c>
      <c r="C151" s="7">
        <v>3150</v>
      </c>
      <c r="D151" s="14">
        <f t="shared" si="9"/>
        <v>3150</v>
      </c>
      <c r="E151" s="19" t="s">
        <v>6323</v>
      </c>
      <c r="F151" s="15" t="str">
        <f t="shared" si="8"/>
        <v>insert into ins_premium_det (premium_rcv_code,assorted_code, rec_amount,premium_rcv_detail_code,remaining_amt, payrec, mode_code,coinsurance_code,class_cd,it_remarks) values</v>
      </c>
      <c r="G151" s="16" t="str">
        <f t="shared" si="10"/>
        <v>('27Mar250028','050000861699','3150',(select max(to_number(i.premium_rcv_detail_code))+1
from ins_premium_det i),'3150','3150','02', '11000003','00','Request by Mr. Saqib Saleem 28-Mar-2025 End');</v>
      </c>
      <c r="H151" s="17" t="str">
        <f t="shared" si="11"/>
        <v>insert into ins_premium_det (premium_rcv_code,assorted_code, rec_amount,premium_rcv_detail_code,remaining_amt, payrec, mode_code,coinsurance_code,class_cd,it_remarks) values('27Mar250028','050000861699','3150',(select max(to_number(i.premium_rcv_detail_code))+1
from ins_premium_det i),'3150','3150','02', '11000003','00','Request by Mr. Saqib Saleem 28-Mar-2025 End');</v>
      </c>
    </row>
    <row r="152" spans="1:8" ht="105" x14ac:dyDescent="0.25">
      <c r="A152" s="2" t="s">
        <v>5593</v>
      </c>
      <c r="B152" s="13" t="str">
        <f>VLOOKUP(A152,POLICY1!B:C,2,0)</f>
        <v>050000861700</v>
      </c>
      <c r="C152" s="7">
        <v>3307</v>
      </c>
      <c r="D152" s="14">
        <f t="shared" si="9"/>
        <v>3307</v>
      </c>
      <c r="E152" s="19" t="s">
        <v>6323</v>
      </c>
      <c r="F152" s="15" t="str">
        <f t="shared" si="8"/>
        <v>insert into ins_premium_det (premium_rcv_code,assorted_code, rec_amount,premium_rcv_detail_code,remaining_amt, payrec, mode_code,coinsurance_code,class_cd,it_remarks) values</v>
      </c>
      <c r="G152" s="16" t="str">
        <f t="shared" si="10"/>
        <v>('27Mar250028','050000861700','3307',(select max(to_number(i.premium_rcv_detail_code))+1
from ins_premium_det i),'3307','3307','02', '11000003','00','Request by Mr. Saqib Saleem 28-Mar-2025 End');</v>
      </c>
      <c r="H152" s="17" t="str">
        <f t="shared" si="11"/>
        <v>insert into ins_premium_det (premium_rcv_code,assorted_code, rec_amount,premium_rcv_detail_code,remaining_amt, payrec, mode_code,coinsurance_code,class_cd,it_remarks) values('27Mar250028','050000861700','3307',(select max(to_number(i.premium_rcv_detail_code))+1
from ins_premium_det i),'3307','3307','02', '11000003','00','Request by Mr. Saqib Saleem 28-Mar-2025 End');</v>
      </c>
    </row>
    <row r="153" spans="1:8" ht="105" x14ac:dyDescent="0.25">
      <c r="A153" s="2" t="s">
        <v>5594</v>
      </c>
      <c r="B153" s="13" t="str">
        <f>VLOOKUP(A153,POLICY1!B:C,2,0)</f>
        <v>050000861806</v>
      </c>
      <c r="C153" s="7">
        <v>2735</v>
      </c>
      <c r="D153" s="14">
        <f t="shared" si="9"/>
        <v>2735</v>
      </c>
      <c r="E153" s="19" t="s">
        <v>6323</v>
      </c>
      <c r="F153" s="15" t="str">
        <f t="shared" si="8"/>
        <v>insert into ins_premium_det (premium_rcv_code,assorted_code, rec_amount,premium_rcv_detail_code,remaining_amt, payrec, mode_code,coinsurance_code,class_cd,it_remarks) values</v>
      </c>
      <c r="G153" s="16" t="str">
        <f t="shared" si="10"/>
        <v>('27Mar250028','050000861806','2735',(select max(to_number(i.premium_rcv_detail_code))+1
from ins_premium_det i),'2735','2735','02', '11000003','00','Request by Mr. Saqib Saleem 28-Mar-2025 End');</v>
      </c>
      <c r="H153" s="17" t="str">
        <f t="shared" si="11"/>
        <v>insert into ins_premium_det (premium_rcv_code,assorted_code, rec_amount,premium_rcv_detail_code,remaining_amt, payrec, mode_code,coinsurance_code,class_cd,it_remarks) values('27Mar250028','050000861806','2735',(select max(to_number(i.premium_rcv_detail_code))+1
from ins_premium_det i),'2735','2735','02', '11000003','00','Request by Mr. Saqib Saleem 28-Mar-2025 End');</v>
      </c>
    </row>
    <row r="154" spans="1:8" ht="105" x14ac:dyDescent="0.25">
      <c r="A154" s="2" t="s">
        <v>5595</v>
      </c>
      <c r="B154" s="13" t="str">
        <f>VLOOKUP(A154,POLICY1!B:C,2,0)</f>
        <v>050000861801</v>
      </c>
      <c r="C154" s="7">
        <v>1350</v>
      </c>
      <c r="D154" s="14">
        <f t="shared" si="9"/>
        <v>1350</v>
      </c>
      <c r="E154" s="19" t="s">
        <v>6323</v>
      </c>
      <c r="F154" s="15" t="str">
        <f t="shared" si="8"/>
        <v>insert into ins_premium_det (premium_rcv_code,assorted_code, rec_amount,premium_rcv_detail_code,remaining_amt, payrec, mode_code,coinsurance_code,class_cd,it_remarks) values</v>
      </c>
      <c r="G154" s="16" t="str">
        <f t="shared" si="10"/>
        <v>('27Mar250028','050000861801','1350',(select max(to_number(i.premium_rcv_detail_code))+1
from ins_premium_det i),'1350','1350','02', '11000003','00','Request by Mr. Saqib Saleem 28-Mar-2025 End');</v>
      </c>
      <c r="H154" s="17" t="str">
        <f t="shared" si="11"/>
        <v>insert into ins_premium_det (premium_rcv_code,assorted_code, rec_amount,premium_rcv_detail_code,remaining_amt, payrec, mode_code,coinsurance_code,class_cd,it_remarks) values('27Mar250028','050000861801','1350',(select max(to_number(i.premium_rcv_detail_code))+1
from ins_premium_det i),'1350','1350','02', '11000003','00','Request by Mr. Saqib Saleem 28-Mar-2025 End');</v>
      </c>
    </row>
    <row r="155" spans="1:8" ht="105" x14ac:dyDescent="0.25">
      <c r="A155" s="2" t="s">
        <v>5596</v>
      </c>
      <c r="B155" s="13" t="str">
        <f>VLOOKUP(A155,POLICY1!B:C,2,0)</f>
        <v>050000861797</v>
      </c>
      <c r="C155" s="7">
        <v>1365</v>
      </c>
      <c r="D155" s="14">
        <f t="shared" si="9"/>
        <v>1365</v>
      </c>
      <c r="E155" s="19" t="s">
        <v>6323</v>
      </c>
      <c r="F155" s="15" t="str">
        <f t="shared" si="8"/>
        <v>insert into ins_premium_det (premium_rcv_code,assorted_code, rec_amount,premium_rcv_detail_code,remaining_amt, payrec, mode_code,coinsurance_code,class_cd,it_remarks) values</v>
      </c>
      <c r="G155" s="16" t="str">
        <f t="shared" si="10"/>
        <v>('27Mar250028','050000861797','1365',(select max(to_number(i.premium_rcv_detail_code))+1
from ins_premium_det i),'1365','1365','02', '11000003','00','Request by Mr. Saqib Saleem 28-Mar-2025 End');</v>
      </c>
      <c r="H155" s="17" t="str">
        <f t="shared" si="11"/>
        <v>insert into ins_premium_det (premium_rcv_code,assorted_code, rec_amount,premium_rcv_detail_code,remaining_amt, payrec, mode_code,coinsurance_code,class_cd,it_remarks) values('27Mar250028','050000861797','1365',(select max(to_number(i.premium_rcv_detail_code))+1
from ins_premium_det i),'1365','1365','02', '11000003','00','Request by Mr. Saqib Saleem 28-Mar-2025 End');</v>
      </c>
    </row>
    <row r="156" spans="1:8" ht="105" x14ac:dyDescent="0.25">
      <c r="A156" s="2" t="s">
        <v>5597</v>
      </c>
      <c r="B156" s="13" t="str">
        <f>VLOOKUP(A156,POLICY1!B:C,2,0)</f>
        <v>050000861792</v>
      </c>
      <c r="C156" s="7">
        <v>975</v>
      </c>
      <c r="D156" s="14">
        <f t="shared" si="9"/>
        <v>975</v>
      </c>
      <c r="E156" s="19" t="s">
        <v>6323</v>
      </c>
      <c r="F156" s="15" t="str">
        <f t="shared" si="8"/>
        <v>insert into ins_premium_det (premium_rcv_code,assorted_code, rec_amount,premium_rcv_detail_code,remaining_amt, payrec, mode_code,coinsurance_code,class_cd,it_remarks) values</v>
      </c>
      <c r="G156" s="16" t="str">
        <f t="shared" si="10"/>
        <v>('27Mar250028','050000861792','975',(select max(to_number(i.premium_rcv_detail_code))+1
from ins_premium_det i),'975','975','02', '11000003','00','Request by Mr. Saqib Saleem 28-Mar-2025 End');</v>
      </c>
      <c r="H156" s="17" t="str">
        <f t="shared" si="11"/>
        <v>insert into ins_premium_det (premium_rcv_code,assorted_code, rec_amount,premium_rcv_detail_code,remaining_amt, payrec, mode_code,coinsurance_code,class_cd,it_remarks) values('27Mar250028','050000861792','975',(select max(to_number(i.premium_rcv_detail_code))+1
from ins_premium_det i),'975','975','02', '11000003','00','Request by Mr. Saqib Saleem 28-Mar-2025 End');</v>
      </c>
    </row>
    <row r="157" spans="1:8" ht="105" x14ac:dyDescent="0.25">
      <c r="A157" s="2" t="s">
        <v>5598</v>
      </c>
      <c r="B157" s="13" t="str">
        <f>VLOOKUP(A157,POLICY1!B:C,2,0)</f>
        <v>050000861789</v>
      </c>
      <c r="C157" s="7">
        <v>1575</v>
      </c>
      <c r="D157" s="14">
        <f t="shared" si="9"/>
        <v>1575</v>
      </c>
      <c r="E157" s="19" t="s">
        <v>6323</v>
      </c>
      <c r="F157" s="15" t="str">
        <f t="shared" si="8"/>
        <v>insert into ins_premium_det (premium_rcv_code,assorted_code, rec_amount,premium_rcv_detail_code,remaining_amt, payrec, mode_code,coinsurance_code,class_cd,it_remarks) values</v>
      </c>
      <c r="G157" s="16" t="str">
        <f t="shared" si="10"/>
        <v>('27Mar250028','050000861789','1575',(select max(to_number(i.premium_rcv_detail_code))+1
from ins_premium_det i),'1575','1575','02', '11000003','00','Request by Mr. Saqib Saleem 28-Mar-2025 End');</v>
      </c>
      <c r="H157" s="17" t="str">
        <f t="shared" si="11"/>
        <v>insert into ins_premium_det (premium_rcv_code,assorted_code, rec_amount,premium_rcv_detail_code,remaining_amt, payrec, mode_code,coinsurance_code,class_cd,it_remarks) values('27Mar250028','050000861789','1575',(select max(to_number(i.premium_rcv_detail_code))+1
from ins_premium_det i),'1575','1575','02', '11000003','00','Request by Mr. Saqib Saleem 28-Mar-2025 End');</v>
      </c>
    </row>
    <row r="158" spans="1:8" ht="105" x14ac:dyDescent="0.25">
      <c r="A158" s="2" t="s">
        <v>5599</v>
      </c>
      <c r="B158" s="13" t="str">
        <f>VLOOKUP(A158,POLICY1!B:C,2,0)</f>
        <v>050000861781</v>
      </c>
      <c r="C158" s="7">
        <v>2100</v>
      </c>
      <c r="D158" s="14">
        <f t="shared" si="9"/>
        <v>2100</v>
      </c>
      <c r="E158" s="19" t="s">
        <v>6323</v>
      </c>
      <c r="F158" s="15" t="str">
        <f t="shared" si="8"/>
        <v>insert into ins_premium_det (premium_rcv_code,assorted_code, rec_amount,premium_rcv_detail_code,remaining_amt, payrec, mode_code,coinsurance_code,class_cd,it_remarks) values</v>
      </c>
      <c r="G158" s="16" t="str">
        <f t="shared" si="10"/>
        <v>('27Mar250028','050000861781','2100',(select max(to_number(i.premium_rcv_detail_code))+1
from ins_premium_det i),'2100','2100','02', '11000003','00','Request by Mr. Saqib Saleem 28-Mar-2025 End');</v>
      </c>
      <c r="H158" s="17" t="str">
        <f t="shared" si="11"/>
        <v>insert into ins_premium_det (premium_rcv_code,assorted_code, rec_amount,premium_rcv_detail_code,remaining_amt, payrec, mode_code,coinsurance_code,class_cd,it_remarks) values('27Mar250028','050000861781','2100',(select max(to_number(i.premium_rcv_detail_code))+1
from ins_premium_det i),'2100','2100','02', '11000003','00','Request by Mr. Saqib Saleem 28-Mar-2025 End');</v>
      </c>
    </row>
    <row r="159" spans="1:8" ht="105" x14ac:dyDescent="0.25">
      <c r="A159" s="2" t="s">
        <v>5600</v>
      </c>
      <c r="B159" s="13" t="str">
        <f>VLOOKUP(A159,POLICY1!B:C,2,0)</f>
        <v>050000861713</v>
      </c>
      <c r="C159" s="7">
        <v>1852</v>
      </c>
      <c r="D159" s="14">
        <f t="shared" si="9"/>
        <v>1852</v>
      </c>
      <c r="E159" s="19" t="s">
        <v>6323</v>
      </c>
      <c r="F159" s="15" t="str">
        <f t="shared" si="8"/>
        <v>insert into ins_premium_det (premium_rcv_code,assorted_code, rec_amount,premium_rcv_detail_code,remaining_amt, payrec, mode_code,coinsurance_code,class_cd,it_remarks) values</v>
      </c>
      <c r="G159" s="16" t="str">
        <f t="shared" si="10"/>
        <v>('27Mar250028','050000861713','1852',(select max(to_number(i.premium_rcv_detail_code))+1
from ins_premium_det i),'1852','1852','02', '11000003','00','Request by Mr. Saqib Saleem 28-Mar-2025 End');</v>
      </c>
      <c r="H159" s="17" t="str">
        <f t="shared" si="11"/>
        <v>insert into ins_premium_det (premium_rcv_code,assorted_code, rec_amount,premium_rcv_detail_code,remaining_amt, payrec, mode_code,coinsurance_code,class_cd,it_remarks) values('27Mar250028','050000861713','1852',(select max(to_number(i.premium_rcv_detail_code))+1
from ins_premium_det i),'1852','1852','02', '11000003','00','Request by Mr. Saqib Saleem 28-Mar-2025 End');</v>
      </c>
    </row>
    <row r="160" spans="1:8" ht="105" x14ac:dyDescent="0.25">
      <c r="A160" s="2" t="s">
        <v>5623</v>
      </c>
      <c r="B160" s="13" t="str">
        <f>VLOOKUP(A160,POLICY1!B:C,2,0)</f>
        <v>050000872291</v>
      </c>
      <c r="C160" s="7">
        <v>-237</v>
      </c>
      <c r="D160" s="14">
        <f t="shared" si="9"/>
        <v>-237</v>
      </c>
      <c r="E160" s="19" t="s">
        <v>6323</v>
      </c>
      <c r="F160" s="15" t="str">
        <f t="shared" si="8"/>
        <v>insert into ins_premium_det (premium_rcv_code,assorted_code, rec_amount,premium_rcv_detail_code,remaining_amt, payrec, mode_code,coinsurance_code,class_cd,it_remarks) values</v>
      </c>
      <c r="G160" s="16" t="str">
        <f t="shared" si="10"/>
        <v>('27Mar250028','050000872291','-237',(select max(to_number(i.premium_rcv_detail_code))+1
from ins_premium_det i),'-237','-237','02', '11000003','00','Request by Mr. Saqib Saleem 28-Mar-2025 End');</v>
      </c>
      <c r="H160" s="17" t="str">
        <f t="shared" si="11"/>
        <v>insert into ins_premium_det (premium_rcv_code,assorted_code, rec_amount,premium_rcv_detail_code,remaining_amt, payrec, mode_code,coinsurance_code,class_cd,it_remarks) values('27Mar250028','050000872291','-237',(select max(to_number(i.premium_rcv_detail_code))+1
from ins_premium_det i),'-237','-237','02', '11000003','00','Request by Mr. Saqib Saleem 28-Mar-2025 End');</v>
      </c>
    </row>
    <row r="161" spans="1:8" ht="105" x14ac:dyDescent="0.25">
      <c r="A161" s="2" t="s">
        <v>5601</v>
      </c>
      <c r="B161" s="13" t="str">
        <f>VLOOKUP(A161,POLICY1!B:C,2,0)</f>
        <v>050000861779</v>
      </c>
      <c r="C161" s="7">
        <v>2703</v>
      </c>
      <c r="D161" s="14">
        <f t="shared" si="9"/>
        <v>2703</v>
      </c>
      <c r="E161" s="19" t="s">
        <v>6323</v>
      </c>
      <c r="F161" s="15" t="str">
        <f t="shared" si="8"/>
        <v>insert into ins_premium_det (premium_rcv_code,assorted_code, rec_amount,premium_rcv_detail_code,remaining_amt, payrec, mode_code,coinsurance_code,class_cd,it_remarks) values</v>
      </c>
      <c r="G161" s="16" t="str">
        <f t="shared" si="10"/>
        <v>('27Mar250028','050000861779','2703',(select max(to_number(i.premium_rcv_detail_code))+1
from ins_premium_det i),'2703','2703','02', '11000003','00','Request by Mr. Saqib Saleem 28-Mar-2025 End');</v>
      </c>
      <c r="H161" s="17" t="str">
        <f t="shared" si="11"/>
        <v>insert into ins_premium_det (premium_rcv_code,assorted_code, rec_amount,premium_rcv_detail_code,remaining_amt, payrec, mode_code,coinsurance_code,class_cd,it_remarks) values('27Mar250028','050000861779','2703',(select max(to_number(i.premium_rcv_detail_code))+1
from ins_premium_det i),'2703','2703','02', '11000003','00','Request by Mr. Saqib Saleem 28-Mar-2025 End');</v>
      </c>
    </row>
    <row r="162" spans="1:8" ht="105" x14ac:dyDescent="0.25">
      <c r="A162" s="2" t="s">
        <v>5602</v>
      </c>
      <c r="B162" s="13" t="str">
        <f>VLOOKUP(A162,POLICY1!B:C,2,0)</f>
        <v>050000861744</v>
      </c>
      <c r="C162" s="7">
        <v>1305</v>
      </c>
      <c r="D162" s="14">
        <f t="shared" si="9"/>
        <v>1305</v>
      </c>
      <c r="E162" s="19" t="s">
        <v>6323</v>
      </c>
      <c r="F162" s="15" t="str">
        <f t="shared" si="8"/>
        <v>insert into ins_premium_det (premium_rcv_code,assorted_code, rec_amount,premium_rcv_detail_code,remaining_amt, payrec, mode_code,coinsurance_code,class_cd,it_remarks) values</v>
      </c>
      <c r="G162" s="16" t="str">
        <f t="shared" si="10"/>
        <v>('27Mar250028','050000861744','1305',(select max(to_number(i.premium_rcv_detail_code))+1
from ins_premium_det i),'1305','1305','02', '11000003','00','Request by Mr. Saqib Saleem 28-Mar-2025 End');</v>
      </c>
      <c r="H162" s="17" t="str">
        <f t="shared" si="11"/>
        <v>insert into ins_premium_det (premium_rcv_code,assorted_code, rec_amount,premium_rcv_detail_code,remaining_amt, payrec, mode_code,coinsurance_code,class_cd,it_remarks) values('27Mar250028','050000861744','1305',(select max(to_number(i.premium_rcv_detail_code))+1
from ins_premium_det i),'1305','1305','02', '11000003','00','Request by Mr. Saqib Saleem 28-Mar-2025 End');</v>
      </c>
    </row>
    <row r="163" spans="1:8" ht="105" x14ac:dyDescent="0.25">
      <c r="A163" s="2" t="s">
        <v>5603</v>
      </c>
      <c r="B163" s="13" t="str">
        <f>VLOOKUP(A163,POLICY1!B:C,2,0)</f>
        <v>050000861743</v>
      </c>
      <c r="C163" s="7">
        <v>1521</v>
      </c>
      <c r="D163" s="14">
        <f t="shared" si="9"/>
        <v>1521</v>
      </c>
      <c r="E163" s="19" t="s">
        <v>6323</v>
      </c>
      <c r="F163" s="15" t="str">
        <f t="shared" si="8"/>
        <v>insert into ins_premium_det (premium_rcv_code,assorted_code, rec_amount,premium_rcv_detail_code,remaining_amt, payrec, mode_code,coinsurance_code,class_cd,it_remarks) values</v>
      </c>
      <c r="G163" s="16" t="str">
        <f t="shared" si="10"/>
        <v>('27Mar250028','050000861743','1521',(select max(to_number(i.premium_rcv_detail_code))+1
from ins_premium_det i),'1521','1521','02', '11000003','00','Request by Mr. Saqib Saleem 28-Mar-2025 End');</v>
      </c>
      <c r="H163" s="17" t="str">
        <f t="shared" si="11"/>
        <v>insert into ins_premium_det (premium_rcv_code,assorted_code, rec_amount,premium_rcv_detail_code,remaining_amt, payrec, mode_code,coinsurance_code,class_cd,it_remarks) values('27Mar250028','050000861743','1521',(select max(to_number(i.premium_rcv_detail_code))+1
from ins_premium_det i),'1521','1521','02', '11000003','00','Request by Mr. Saqib Saleem 28-Mar-2025 End');</v>
      </c>
    </row>
    <row r="164" spans="1:8" ht="105" x14ac:dyDescent="0.25">
      <c r="A164" s="2" t="s">
        <v>5604</v>
      </c>
      <c r="B164" s="13" t="str">
        <f>VLOOKUP(A164,POLICY1!B:C,2,0)</f>
        <v>050000861742</v>
      </c>
      <c r="C164" s="7">
        <v>1129</v>
      </c>
      <c r="D164" s="14">
        <f t="shared" si="9"/>
        <v>1129</v>
      </c>
      <c r="E164" s="19" t="s">
        <v>6323</v>
      </c>
      <c r="F164" s="15" t="str">
        <f t="shared" si="8"/>
        <v>insert into ins_premium_det (premium_rcv_code,assorted_code, rec_amount,premium_rcv_detail_code,remaining_amt, payrec, mode_code,coinsurance_code,class_cd,it_remarks) values</v>
      </c>
      <c r="G164" s="16" t="str">
        <f t="shared" si="10"/>
        <v>('27Mar250028','050000861742','1129',(select max(to_number(i.premium_rcv_detail_code))+1
from ins_premium_det i),'1129','1129','02', '11000003','00','Request by Mr. Saqib Saleem 28-Mar-2025 End');</v>
      </c>
      <c r="H164" s="17" t="str">
        <f t="shared" si="11"/>
        <v>insert into ins_premium_det (premium_rcv_code,assorted_code, rec_amount,premium_rcv_detail_code,remaining_amt, payrec, mode_code,coinsurance_code,class_cd,it_remarks) values('27Mar250028','050000861742','1129',(select max(to_number(i.premium_rcv_detail_code))+1
from ins_premium_det i),'1129','1129','02', '11000003','00','Request by Mr. Saqib Saleem 28-Mar-2025 End');</v>
      </c>
    </row>
    <row r="165" spans="1:8" ht="105" x14ac:dyDescent="0.25">
      <c r="A165" s="2" t="s">
        <v>5605</v>
      </c>
      <c r="B165" s="13" t="str">
        <f>VLOOKUP(A165,POLICY1!B:C,2,0)</f>
        <v>050000861724</v>
      </c>
      <c r="C165" s="7">
        <v>3112</v>
      </c>
      <c r="D165" s="14">
        <f t="shared" si="9"/>
        <v>3112</v>
      </c>
      <c r="E165" s="19" t="s">
        <v>6323</v>
      </c>
      <c r="F165" s="15" t="str">
        <f t="shared" si="8"/>
        <v>insert into ins_premium_det (premium_rcv_code,assorted_code, rec_amount,premium_rcv_detail_code,remaining_amt, payrec, mode_code,coinsurance_code,class_cd,it_remarks) values</v>
      </c>
      <c r="G165" s="16" t="str">
        <f t="shared" si="10"/>
        <v>('27Mar250028','050000861724','3112',(select max(to_number(i.premium_rcv_detail_code))+1
from ins_premium_det i),'3112','3112','02', '11000003','00','Request by Mr. Saqib Saleem 28-Mar-2025 End');</v>
      </c>
      <c r="H165" s="17" t="str">
        <f t="shared" si="11"/>
        <v>insert into ins_premium_det (premium_rcv_code,assorted_code, rec_amount,premium_rcv_detail_code,remaining_amt, payrec, mode_code,coinsurance_code,class_cd,it_remarks) values('27Mar250028','050000861724','3112',(select max(to_number(i.premium_rcv_detail_code))+1
from ins_premium_det i),'3112','3112','02', '11000003','00','Request by Mr. Saqib Saleem 28-Mar-2025 End');</v>
      </c>
    </row>
    <row r="166" spans="1:8" ht="105" x14ac:dyDescent="0.25">
      <c r="A166" s="2" t="s">
        <v>5606</v>
      </c>
      <c r="B166" s="13" t="str">
        <f>VLOOKUP(A166,POLICY1!B:C,2,0)</f>
        <v>050000861741</v>
      </c>
      <c r="C166" s="7">
        <v>1147</v>
      </c>
      <c r="D166" s="14">
        <f t="shared" si="9"/>
        <v>1147</v>
      </c>
      <c r="E166" s="19" t="s">
        <v>6323</v>
      </c>
      <c r="F166" s="15" t="str">
        <f t="shared" si="8"/>
        <v>insert into ins_premium_det (premium_rcv_code,assorted_code, rec_amount,premium_rcv_detail_code,remaining_amt, payrec, mode_code,coinsurance_code,class_cd,it_remarks) values</v>
      </c>
      <c r="G166" s="16" t="str">
        <f t="shared" si="10"/>
        <v>('27Mar250028','050000861741','1147',(select max(to_number(i.premium_rcv_detail_code))+1
from ins_premium_det i),'1147','1147','02', '11000003','00','Request by Mr. Saqib Saleem 28-Mar-2025 End');</v>
      </c>
      <c r="H166" s="17" t="str">
        <f t="shared" si="11"/>
        <v>insert into ins_premium_det (premium_rcv_code,assorted_code, rec_amount,premium_rcv_detail_code,remaining_amt, payrec, mode_code,coinsurance_code,class_cd,it_remarks) values('27Mar250028','050000861741','1147',(select max(to_number(i.premium_rcv_detail_code))+1
from ins_premium_det i),'1147','1147','02', '11000003','00','Request by Mr. Saqib Saleem 28-Mar-2025 End');</v>
      </c>
    </row>
    <row r="167" spans="1:8" ht="105" x14ac:dyDescent="0.25">
      <c r="A167" s="2" t="s">
        <v>5607</v>
      </c>
      <c r="B167" s="13" t="str">
        <f>VLOOKUP(A167,POLICY1!B:C,2,0)</f>
        <v>050000861739</v>
      </c>
      <c r="C167" s="7">
        <v>750</v>
      </c>
      <c r="D167" s="14">
        <f t="shared" si="9"/>
        <v>750</v>
      </c>
      <c r="E167" s="19" t="s">
        <v>6323</v>
      </c>
      <c r="F167" s="15" t="str">
        <f t="shared" si="8"/>
        <v>insert into ins_premium_det (premium_rcv_code,assorted_code, rec_amount,premium_rcv_detail_code,remaining_amt, payrec, mode_code,coinsurance_code,class_cd,it_remarks) values</v>
      </c>
      <c r="G167" s="16" t="str">
        <f t="shared" si="10"/>
        <v>('27Mar250028','050000861739','750',(select max(to_number(i.premium_rcv_detail_code))+1
from ins_premium_det i),'750','750','02', '11000003','00','Request by Mr. Saqib Saleem 28-Mar-2025 End');</v>
      </c>
      <c r="H167" s="17" t="str">
        <f t="shared" si="11"/>
        <v>insert into ins_premium_det (premium_rcv_code,assorted_code, rec_amount,premium_rcv_detail_code,remaining_amt, payrec, mode_code,coinsurance_code,class_cd,it_remarks) values('27Mar250028','050000861739','750',(select max(to_number(i.premium_rcv_detail_code))+1
from ins_premium_det i),'750','750','02', '11000003','00','Request by Mr. Saqib Saleem 28-Mar-2025 End');</v>
      </c>
    </row>
    <row r="168" spans="1:8" ht="105" x14ac:dyDescent="0.25">
      <c r="A168" s="2" t="s">
        <v>5608</v>
      </c>
      <c r="B168" s="13" t="str">
        <f>VLOOKUP(A168,POLICY1!B:C,2,0)</f>
        <v>050000861727</v>
      </c>
      <c r="C168" s="7">
        <v>1425</v>
      </c>
      <c r="D168" s="14">
        <f t="shared" si="9"/>
        <v>1425</v>
      </c>
      <c r="E168" s="19" t="s">
        <v>6323</v>
      </c>
      <c r="F168" s="15" t="str">
        <f t="shared" si="8"/>
        <v>insert into ins_premium_det (premium_rcv_code,assorted_code, rec_amount,premium_rcv_detail_code,remaining_amt, payrec, mode_code,coinsurance_code,class_cd,it_remarks) values</v>
      </c>
      <c r="G168" s="16" t="str">
        <f t="shared" si="10"/>
        <v>('27Mar250028','050000861727','1425',(select max(to_number(i.premium_rcv_detail_code))+1
from ins_premium_det i),'1425','1425','02', '11000003','00','Request by Mr. Saqib Saleem 28-Mar-2025 End');</v>
      </c>
      <c r="H168" s="17" t="str">
        <f t="shared" si="11"/>
        <v>insert into ins_premium_det (premium_rcv_code,assorted_code, rec_amount,premium_rcv_detail_code,remaining_amt, payrec, mode_code,coinsurance_code,class_cd,it_remarks) values('27Mar250028','050000861727','1425',(select max(to_number(i.premium_rcv_detail_code))+1
from ins_premium_det i),'1425','1425','02', '11000003','00','Request by Mr. Saqib Saleem 28-Mar-2025 End');</v>
      </c>
    </row>
    <row r="169" spans="1:8" ht="105" x14ac:dyDescent="0.25">
      <c r="A169" s="2" t="s">
        <v>5609</v>
      </c>
      <c r="B169" s="13" t="str">
        <f>VLOOKUP(A169,POLICY1!B:C,2,0)</f>
        <v>050000861729</v>
      </c>
      <c r="C169" s="7">
        <v>1125</v>
      </c>
      <c r="D169" s="14">
        <f t="shared" si="9"/>
        <v>1125</v>
      </c>
      <c r="E169" s="19" t="s">
        <v>6323</v>
      </c>
      <c r="F169" s="15" t="str">
        <f t="shared" si="8"/>
        <v>insert into ins_premium_det (premium_rcv_code,assorted_code, rec_amount,premium_rcv_detail_code,remaining_amt, payrec, mode_code,coinsurance_code,class_cd,it_remarks) values</v>
      </c>
      <c r="G169" s="16" t="str">
        <f t="shared" si="10"/>
        <v>('27Mar250028','050000861729','1125',(select max(to_number(i.premium_rcv_detail_code))+1
from ins_premium_det i),'1125','1125','02', '11000003','00','Request by Mr. Saqib Saleem 28-Mar-2025 End');</v>
      </c>
      <c r="H169" s="17" t="str">
        <f t="shared" si="11"/>
        <v>insert into ins_premium_det (premium_rcv_code,assorted_code, rec_amount,premium_rcv_detail_code,remaining_amt, payrec, mode_code,coinsurance_code,class_cd,it_remarks) values('27Mar250028','050000861729','1125',(select max(to_number(i.premium_rcv_detail_code))+1
from ins_premium_det i),'1125','1125','02', '11000003','00','Request by Mr. Saqib Saleem 28-Mar-2025 End');</v>
      </c>
    </row>
    <row r="171" spans="1:8" x14ac:dyDescent="0.25">
      <c r="C171" s="20">
        <f>SUM(C2:C169)</f>
        <v>228031</v>
      </c>
      <c r="D171" s="20">
        <f>SUM(D2:D169)</f>
        <v>228031</v>
      </c>
    </row>
  </sheetData>
  <conditionalFormatting sqref="A1">
    <cfRule type="duplicateValues" dxfId="3" priority="1"/>
  </conditionalFormatting>
  <conditionalFormatting sqref="A2:B2 B3:B16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</vt:lpstr>
      <vt:lpstr>working</vt:lpstr>
      <vt:lpstr>Sheet2</vt:lpstr>
      <vt:lpstr>policy</vt:lpstr>
      <vt:lpstr>working1</vt:lpstr>
      <vt:lpstr>POLICY1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 Ul Islam</dc:creator>
  <cp:lastModifiedBy>IT User Software</cp:lastModifiedBy>
  <dcterms:created xsi:type="dcterms:W3CDTF">2025-03-24T10:21:52Z</dcterms:created>
  <dcterms:modified xsi:type="dcterms:W3CDTF">2025-03-28T05:24:32Z</dcterms:modified>
</cp:coreProperties>
</file>