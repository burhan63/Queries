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mium\Premium\Saqib Saleem\27-March-2025\"/>
    </mc:Choice>
  </mc:AlternateContent>
  <xr:revisionPtr revIDLastSave="0" documentId="8_{4A09F7B7-9DA2-485F-A887-323C2C0FAF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Y ON MONTH OF FEB &amp; MAR-2025" sheetId="1" r:id="rId1"/>
    <sheet name="working" sheetId="3" r:id="rId2"/>
    <sheet name="sheet" sheetId="2" r:id="rId3"/>
    <sheet name="policy" sheetId="4" r:id="rId4"/>
  </sheets>
  <definedNames>
    <definedName name="_xlnm._FilterDatabase" localSheetId="0" hidden="1">'PAY ON MONTH OF FEB &amp; MAR-2025'!$A$1:$L$81</definedName>
    <definedName name="_xlnm._FilterDatabase" localSheetId="2" hidden="1">sheet!$H$1:$H$80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3" l="1"/>
  <c r="C8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2" i="3"/>
  <c r="F2" i="3"/>
  <c r="D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1" i="2"/>
  <c r="H2" i="3" l="1"/>
  <c r="K83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2" i="1"/>
  <c r="F83" i="1"/>
</calcChain>
</file>

<file path=xl/sharedStrings.xml><?xml version="1.0" encoding="utf-8"?>
<sst xmlns="http://schemas.openxmlformats.org/spreadsheetml/2006/main" count="1304" uniqueCount="654">
  <si>
    <t>Contract No.</t>
  </si>
  <si>
    <t>Customer Name</t>
  </si>
  <si>
    <t>CNIC No.</t>
  </si>
  <si>
    <t>Engine No.</t>
  </si>
  <si>
    <t>Chassis No.</t>
  </si>
  <si>
    <t>Premium</t>
  </si>
  <si>
    <t>ACC Number</t>
  </si>
  <si>
    <t>ACC Branch</t>
  </si>
  <si>
    <t>INSURANCE CO.</t>
  </si>
  <si>
    <t>0006437055</t>
  </si>
  <si>
    <t>106</t>
  </si>
  <si>
    <t>SALAAM TAKAFUL PAKISTAN</t>
  </si>
  <si>
    <t>ZUBAIR IQBAL</t>
  </si>
  <si>
    <t>9976AD1243310001</t>
  </si>
  <si>
    <t>MOHSIN KHALID</t>
  </si>
  <si>
    <t>42101-6893856-7</t>
  </si>
  <si>
    <t>6R335988</t>
  </si>
  <si>
    <t>H1236061</t>
  </si>
  <si>
    <t>9976AD1243340003</t>
  </si>
  <si>
    <t>WAQAS AHMED</t>
  </si>
  <si>
    <t>42101-3861248-5</t>
  </si>
  <si>
    <t>1025691</t>
  </si>
  <si>
    <t>00208361</t>
  </si>
  <si>
    <t>9976AD1243350001</t>
  </si>
  <si>
    <t>SHAHAB UD DIN</t>
  </si>
  <si>
    <t>33100-2695781-3</t>
  </si>
  <si>
    <t>1025871</t>
  </si>
  <si>
    <t>208533</t>
  </si>
  <si>
    <t>9976AD1243650003</t>
  </si>
  <si>
    <t>MUHAMMAD AMIR</t>
  </si>
  <si>
    <t>42000-0525169-3</t>
  </si>
  <si>
    <t>330089</t>
  </si>
  <si>
    <t>1230119</t>
  </si>
  <si>
    <t>9976AD1250020002</t>
  </si>
  <si>
    <t>NAUMAN SHAHZAD QURESHI</t>
  </si>
  <si>
    <t>91509-0156584-5</t>
  </si>
  <si>
    <t>341763</t>
  </si>
  <si>
    <t>1241558</t>
  </si>
  <si>
    <t>9976AD1250070002</t>
  </si>
  <si>
    <t>MUHAMMAD RAMEEZ ZAHID</t>
  </si>
  <si>
    <t>42301-4610830-3</t>
  </si>
  <si>
    <t>Q109561</t>
  </si>
  <si>
    <t>6087073</t>
  </si>
  <si>
    <t>9976AD1250090005</t>
  </si>
  <si>
    <t>MUHAMMAD AWAIS ABID</t>
  </si>
  <si>
    <t>35202-9944831-3</t>
  </si>
  <si>
    <t>523359</t>
  </si>
  <si>
    <t>1000415</t>
  </si>
  <si>
    <t>9976AD1250170001</t>
  </si>
  <si>
    <t>FARYAD ALI</t>
  </si>
  <si>
    <t>33100-7816923-9</t>
  </si>
  <si>
    <t>Q372623</t>
  </si>
  <si>
    <t>7071864</t>
  </si>
  <si>
    <t>9976AD1250450007</t>
  </si>
  <si>
    <t>MUHAMMAD SOHAIL</t>
  </si>
  <si>
    <t>33102-5807711-5</t>
  </si>
  <si>
    <t>51032075</t>
  </si>
  <si>
    <t>049606</t>
  </si>
  <si>
    <t>9976AD2243610002</t>
  </si>
  <si>
    <t>ABDUL RAUF</t>
  </si>
  <si>
    <t>42301-0988438-9</t>
  </si>
  <si>
    <t>336566</t>
  </si>
  <si>
    <t>1236492</t>
  </si>
  <si>
    <t>9976AD2250230002</t>
  </si>
  <si>
    <t>MUHAMMAD ADNAN</t>
  </si>
  <si>
    <t>33100-5309327-7</t>
  </si>
  <si>
    <t>2A72689</t>
  </si>
  <si>
    <t>9522906</t>
  </si>
  <si>
    <t>9976AD2250280001</t>
  </si>
  <si>
    <t>FARRUKH JAMAL</t>
  </si>
  <si>
    <t>42000-0557097-3</t>
  </si>
  <si>
    <t>383118</t>
  </si>
  <si>
    <t>1002464</t>
  </si>
  <si>
    <t>9976AD2250310002</t>
  </si>
  <si>
    <t>IMRAN BIN MURTAZA</t>
  </si>
  <si>
    <t>35201-1604546-3</t>
  </si>
  <si>
    <t>24499066106</t>
  </si>
  <si>
    <t>2013121</t>
  </si>
  <si>
    <t>9976AD2250310005</t>
  </si>
  <si>
    <t>32303-9130100-5</t>
  </si>
  <si>
    <t>364387</t>
  </si>
  <si>
    <t>218986</t>
  </si>
  <si>
    <t>9976AP1250300057</t>
  </si>
  <si>
    <t>ADNAN HUSSAIN MIR</t>
  </si>
  <si>
    <t>54303-4090283-1</t>
  </si>
  <si>
    <t>092039</t>
  </si>
  <si>
    <t>6069578</t>
  </si>
  <si>
    <t>9976AP1250430008</t>
  </si>
  <si>
    <t>MUHAMMAD MUNIR</t>
  </si>
  <si>
    <t>34602-7507574-3</t>
  </si>
  <si>
    <t>51031235</t>
  </si>
  <si>
    <t>048521</t>
  </si>
  <si>
    <t>9976AP1250430009</t>
  </si>
  <si>
    <t>JAVED ASHRAF</t>
  </si>
  <si>
    <t>35201-9565818-1</t>
  </si>
  <si>
    <t>51030926</t>
  </si>
  <si>
    <t>048258</t>
  </si>
  <si>
    <t>9976AP1250440019</t>
  </si>
  <si>
    <t>ZEESHAN ALI</t>
  </si>
  <si>
    <t>34302-8345088-9</t>
  </si>
  <si>
    <t>17542977</t>
  </si>
  <si>
    <t>266642</t>
  </si>
  <si>
    <t>9976AP1250440022</t>
  </si>
  <si>
    <t>MUHAMMAD ARSHAD</t>
  </si>
  <si>
    <t>33100-0729014-5</t>
  </si>
  <si>
    <t>Q048861</t>
  </si>
  <si>
    <t>6026330</t>
  </si>
  <si>
    <t>9976AP1250490012</t>
  </si>
  <si>
    <t>MUHAMMAD WAQAS RAFIQUE</t>
  </si>
  <si>
    <t>38303-7473710-5</t>
  </si>
  <si>
    <t>1025881</t>
  </si>
  <si>
    <t>00208544</t>
  </si>
  <si>
    <t>9976AP1250550041</t>
  </si>
  <si>
    <t>SHAMA KANWAL</t>
  </si>
  <si>
    <t>32203-2398377-2</t>
  </si>
  <si>
    <t>118429</t>
  </si>
  <si>
    <t>10018417</t>
  </si>
  <si>
    <t>9976AP1250550051</t>
  </si>
  <si>
    <t>MAIRA TAYYAB</t>
  </si>
  <si>
    <t>36601-6374578-0</t>
  </si>
  <si>
    <t>17460194</t>
  </si>
  <si>
    <t>202992</t>
  </si>
  <si>
    <t>9976AP1250570007</t>
  </si>
  <si>
    <t>KHAWAJA MUHAMMAD MOAZZAM</t>
  </si>
  <si>
    <t>33100-9302999-7</t>
  </si>
  <si>
    <t>340782</t>
  </si>
  <si>
    <t>1241224</t>
  </si>
  <si>
    <t>9976AP1250580018</t>
  </si>
  <si>
    <t>MUHAMMAD USMAN</t>
  </si>
  <si>
    <t>33100-8611256-1</t>
  </si>
  <si>
    <t>695103</t>
  </si>
  <si>
    <t>01233616</t>
  </si>
  <si>
    <t>9976AP1250580019</t>
  </si>
  <si>
    <t>ALI SIKANDAR</t>
  </si>
  <si>
    <t>33100-2472616-9</t>
  </si>
  <si>
    <t>377030</t>
  </si>
  <si>
    <t>1002138</t>
  </si>
  <si>
    <t>9976AP1250590023</t>
  </si>
  <si>
    <t>ZAHID MEHMOOD QASMI</t>
  </si>
  <si>
    <t>33100-0818385-7</t>
  </si>
  <si>
    <t>340229</t>
  </si>
  <si>
    <t>1240123</t>
  </si>
  <si>
    <t>9976AP1250590046</t>
  </si>
  <si>
    <t>SHAHID HAFEEZ</t>
  </si>
  <si>
    <t>33100-6147875-3</t>
  </si>
  <si>
    <t>Z511376</t>
  </si>
  <si>
    <t>4138079</t>
  </si>
  <si>
    <t>9976AP1250590054</t>
  </si>
  <si>
    <t>MUHAMMAD AHTISHAM UL HAQ</t>
  </si>
  <si>
    <t>33100-7067300-7</t>
  </si>
  <si>
    <t>17521060</t>
  </si>
  <si>
    <t>R236948</t>
  </si>
  <si>
    <t>9976AP1250590056</t>
  </si>
  <si>
    <t>MUHAMMAD YAMEEN</t>
  </si>
  <si>
    <t>33303-2198028-9</t>
  </si>
  <si>
    <t>6R340505</t>
  </si>
  <si>
    <t>1240585</t>
  </si>
  <si>
    <t>9976AP1250630003</t>
  </si>
  <si>
    <t>JAVED IQBAL</t>
  </si>
  <si>
    <t>33100-7142489-3</t>
  </si>
  <si>
    <t>71403297</t>
  </si>
  <si>
    <t>HR018303</t>
  </si>
  <si>
    <t>9976AP1250660013</t>
  </si>
  <si>
    <t>MUHAMMAD USMAN BAIG</t>
  </si>
  <si>
    <t>33100-0705644-9</t>
  </si>
  <si>
    <t>6R298596</t>
  </si>
  <si>
    <t>1198521</t>
  </si>
  <si>
    <t>9976AP1250660014</t>
  </si>
  <si>
    <t>MUHAMMAD ASHIQ RAZA</t>
  </si>
  <si>
    <t>33100-2778399-7</t>
  </si>
  <si>
    <t>Q334564</t>
  </si>
  <si>
    <t>7033754</t>
  </si>
  <si>
    <t>9976AP1250690017</t>
  </si>
  <si>
    <t>SAMI ULLAH</t>
  </si>
  <si>
    <t>33100-6698381-5</t>
  </si>
  <si>
    <t>71401478</t>
  </si>
  <si>
    <t>005143</t>
  </si>
  <si>
    <t>9976AP1250720027</t>
  </si>
  <si>
    <t>WASI KARIM</t>
  </si>
  <si>
    <t>33100-8099413-9</t>
  </si>
  <si>
    <t>274879</t>
  </si>
  <si>
    <t>714521</t>
  </si>
  <si>
    <t>9976AP1250730001</t>
  </si>
  <si>
    <t>MUHAMMAD MUBEEN</t>
  </si>
  <si>
    <t>33102-5105632-9</t>
  </si>
  <si>
    <t>Z511365</t>
  </si>
  <si>
    <t>R4137575</t>
  </si>
  <si>
    <t>9976AP1250770001</t>
  </si>
  <si>
    <t>FAIZAN CHAUDHARY</t>
  </si>
  <si>
    <t>33100-4571263-5</t>
  </si>
  <si>
    <t>13048455</t>
  </si>
  <si>
    <t>10048458</t>
  </si>
  <si>
    <t>9976AP1250770002</t>
  </si>
  <si>
    <t>MUHAMMAD JUNAID</t>
  </si>
  <si>
    <t>42201-0736319-1</t>
  </si>
  <si>
    <t>Z517436</t>
  </si>
  <si>
    <t>4143644</t>
  </si>
  <si>
    <t>9976AP1250790004</t>
  </si>
  <si>
    <t>ALI RAZA</t>
  </si>
  <si>
    <t>42101-0914272-5</t>
  </si>
  <si>
    <t>9797202</t>
  </si>
  <si>
    <t>255904</t>
  </si>
  <si>
    <t>9976AP2250350004</t>
  </si>
  <si>
    <t>WAQAS ALI KHAN</t>
  </si>
  <si>
    <t>36502-6866285-3</t>
  </si>
  <si>
    <t>173622</t>
  </si>
  <si>
    <t>10074014</t>
  </si>
  <si>
    <t>9976AP2250430005</t>
  </si>
  <si>
    <t>ARIF SAMAD</t>
  </si>
  <si>
    <t>35202-2352971-5</t>
  </si>
  <si>
    <t>1025463</t>
  </si>
  <si>
    <t>63500208070</t>
  </si>
  <si>
    <t>9976AP2250450010</t>
  </si>
  <si>
    <t>MUHAMMAD IRFAN AKRAM</t>
  </si>
  <si>
    <t>33100-1249961-7</t>
  </si>
  <si>
    <t>177329</t>
  </si>
  <si>
    <t>10077321</t>
  </si>
  <si>
    <t>9976AP2250480002</t>
  </si>
  <si>
    <t>WARIS ALI</t>
  </si>
  <si>
    <t>33102-5282226-9</t>
  </si>
  <si>
    <t>159905</t>
  </si>
  <si>
    <t>10059887</t>
  </si>
  <si>
    <t>9976AP2250500011</t>
  </si>
  <si>
    <t>MUHAMMAD ARIF</t>
  </si>
  <si>
    <t>33100-3029355-9</t>
  </si>
  <si>
    <t>223306</t>
  </si>
  <si>
    <t>10123295</t>
  </si>
  <si>
    <t>9976AP2250520018</t>
  </si>
  <si>
    <t>JAVARIA JAVAID</t>
  </si>
  <si>
    <t>33102-5337993-0</t>
  </si>
  <si>
    <t>154101</t>
  </si>
  <si>
    <t>10054127</t>
  </si>
  <si>
    <t>9976AP2250520019</t>
  </si>
  <si>
    <t>DANISH QAISAR</t>
  </si>
  <si>
    <t>33100-9809137-3</t>
  </si>
  <si>
    <t>633228</t>
  </si>
  <si>
    <t>304126</t>
  </si>
  <si>
    <t>9976AP2250550024</t>
  </si>
  <si>
    <t>ABU BAKAR SHAHID</t>
  </si>
  <si>
    <t>33102-3824730-9</t>
  </si>
  <si>
    <t>22027324</t>
  </si>
  <si>
    <t>23C3994</t>
  </si>
  <si>
    <t>9976AP2250570005</t>
  </si>
  <si>
    <t>MUHAMMAD BILAL</t>
  </si>
  <si>
    <t>33100-8132134-7</t>
  </si>
  <si>
    <t>1003422</t>
  </si>
  <si>
    <t>00103408</t>
  </si>
  <si>
    <t>9976AP2250580012</t>
  </si>
  <si>
    <t>WALEED SHAHZAD</t>
  </si>
  <si>
    <t>33100-9087008-7</t>
  </si>
  <si>
    <t>341595</t>
  </si>
  <si>
    <t>1241601</t>
  </si>
  <si>
    <t>9976AP2250580013</t>
  </si>
  <si>
    <t>SYED MUHAMMAD SHABBIR JILANI</t>
  </si>
  <si>
    <t>33100-1624702-5</t>
  </si>
  <si>
    <t>340694</t>
  </si>
  <si>
    <t>1240741</t>
  </si>
  <si>
    <t>9976AP2250580014</t>
  </si>
  <si>
    <t>NADEEM AHMAD</t>
  </si>
  <si>
    <t>33100-8088656-7</t>
  </si>
  <si>
    <t>2A61361</t>
  </si>
  <si>
    <t>7039219</t>
  </si>
  <si>
    <t>9976AP2250580015</t>
  </si>
  <si>
    <t>MUHAMMAD KASHIF</t>
  </si>
  <si>
    <t>33100-7588460-1</t>
  </si>
  <si>
    <t>341171</t>
  </si>
  <si>
    <t>1241216</t>
  </si>
  <si>
    <t>9976AP2250580016</t>
  </si>
  <si>
    <t>IRAM KAZMI</t>
  </si>
  <si>
    <t>33100-4293897-6</t>
  </si>
  <si>
    <t>341775</t>
  </si>
  <si>
    <t>1241741</t>
  </si>
  <si>
    <t>9976AP2250590026</t>
  </si>
  <si>
    <t>MUHAMMAD IRFAN SABIR</t>
  </si>
  <si>
    <t>33100-6494753-3</t>
  </si>
  <si>
    <t>17513058</t>
  </si>
  <si>
    <t>R226643</t>
  </si>
  <si>
    <t>9976AP2250590031</t>
  </si>
  <si>
    <t>MUHAMMAD UMAIR RAZA</t>
  </si>
  <si>
    <t>33102-5376236-1</t>
  </si>
  <si>
    <t>172771</t>
  </si>
  <si>
    <t>72772</t>
  </si>
  <si>
    <t>9976AP2250590034</t>
  </si>
  <si>
    <t>MUJAHID SHAFI</t>
  </si>
  <si>
    <t>33100-4152310-5</t>
  </si>
  <si>
    <t>6R278171</t>
  </si>
  <si>
    <t>6H1178117</t>
  </si>
  <si>
    <t>9976AP2250630001</t>
  </si>
  <si>
    <t>ALI AHMAD</t>
  </si>
  <si>
    <t>33102-9585883-5</t>
  </si>
  <si>
    <t>518618</t>
  </si>
  <si>
    <t>1011971</t>
  </si>
  <si>
    <t>9976AP2250630003</t>
  </si>
  <si>
    <t>RANA JAVAID IQBAL</t>
  </si>
  <si>
    <t>33100-1502410-3</t>
  </si>
  <si>
    <t>1032196</t>
  </si>
  <si>
    <t>SR049676</t>
  </si>
  <si>
    <t>9976AP2250660008</t>
  </si>
  <si>
    <t>HAROON RIAZ WARSI</t>
  </si>
  <si>
    <t>35202-2648062-9</t>
  </si>
  <si>
    <t>124326</t>
  </si>
  <si>
    <t>1024313</t>
  </si>
  <si>
    <t>9976AP2250700015</t>
  </si>
  <si>
    <t>MUHAMMAD AHMAD</t>
  </si>
  <si>
    <t>38201-8700165-1</t>
  </si>
  <si>
    <t>16916020</t>
  </si>
  <si>
    <t>068064</t>
  </si>
  <si>
    <t>9976AP2250800006</t>
  </si>
  <si>
    <t>HASEENA BEGUM</t>
  </si>
  <si>
    <t>33303-4741605-2</t>
  </si>
  <si>
    <t>242992</t>
  </si>
  <si>
    <t>10142984</t>
  </si>
  <si>
    <t>997AFRA243020001</t>
  </si>
  <si>
    <t>USAMA SHAHID</t>
  </si>
  <si>
    <t>33102-4549497-3</t>
  </si>
  <si>
    <t>2A72288</t>
  </si>
  <si>
    <t>7049454</t>
  </si>
  <si>
    <t>997AFRA243330002</t>
  </si>
  <si>
    <t>MUHAMMAD ASIF</t>
  </si>
  <si>
    <t>42201-9005948-9</t>
  </si>
  <si>
    <t>335876</t>
  </si>
  <si>
    <t>1235893</t>
  </si>
  <si>
    <t>997AFRA243330004</t>
  </si>
  <si>
    <t>KHIZAR ANSAR</t>
  </si>
  <si>
    <t>41302-3587668-9</t>
  </si>
  <si>
    <t>1025775</t>
  </si>
  <si>
    <t>00208453</t>
  </si>
  <si>
    <t>997AFRA243350008</t>
  </si>
  <si>
    <t>ZEESHAN AHMED ZIAEE</t>
  </si>
  <si>
    <t>42101-6085357-3</t>
  </si>
  <si>
    <t>1025403</t>
  </si>
  <si>
    <t>208073</t>
  </si>
  <si>
    <t>997AFRA243510003</t>
  </si>
  <si>
    <t>AWAIS QAISAR</t>
  </si>
  <si>
    <t>33100-0525595-5</t>
  </si>
  <si>
    <t>2A72822</t>
  </si>
  <si>
    <t>7049945</t>
  </si>
  <si>
    <t>997AFRA243590002</t>
  </si>
  <si>
    <t>NAJAM UDDIN SHAIKH</t>
  </si>
  <si>
    <t>45202-2470647-5</t>
  </si>
  <si>
    <t>340399</t>
  </si>
  <si>
    <t>1240253</t>
  </si>
  <si>
    <t>997AFRA243590004</t>
  </si>
  <si>
    <t>MUHAMMAD HASSAN KHAN</t>
  </si>
  <si>
    <t>42201-5464188-3</t>
  </si>
  <si>
    <t>51030632</t>
  </si>
  <si>
    <t>047861</t>
  </si>
  <si>
    <t>997AFRA243590005</t>
  </si>
  <si>
    <t>MUHAMMAD MUTBASSAM AHMAD</t>
  </si>
  <si>
    <t>35404-9028426-3</t>
  </si>
  <si>
    <t>523400</t>
  </si>
  <si>
    <t>1000368</t>
  </si>
  <si>
    <t>997AFRA243650002</t>
  </si>
  <si>
    <t>MOHAMMAD KAZIM RAZA</t>
  </si>
  <si>
    <t>90403-0116242-3</t>
  </si>
  <si>
    <t>1029488</t>
  </si>
  <si>
    <t>046341</t>
  </si>
  <si>
    <t>997AFRA250150001</t>
  </si>
  <si>
    <t>FAIZAN SHERGILL</t>
  </si>
  <si>
    <t>13101-5150745-3</t>
  </si>
  <si>
    <t>51031731</t>
  </si>
  <si>
    <t>049191</t>
  </si>
  <si>
    <t>997AFRA250290001</t>
  </si>
  <si>
    <t>MUHAMMAD TALHA KHAN</t>
  </si>
  <si>
    <t>61101-0209256-3</t>
  </si>
  <si>
    <t>25B4596</t>
  </si>
  <si>
    <t>04603406W</t>
  </si>
  <si>
    <t>997AFRR250430008</t>
  </si>
  <si>
    <t>SAMAD AYUB KHAN</t>
  </si>
  <si>
    <t>35202-5215024-7</t>
  </si>
  <si>
    <t>453481</t>
  </si>
  <si>
    <t>600316</t>
  </si>
  <si>
    <t>997AFRR250430010</t>
  </si>
  <si>
    <t>SAJID JAVID</t>
  </si>
  <si>
    <t>33100-2337466-1</t>
  </si>
  <si>
    <t>17524485</t>
  </si>
  <si>
    <t>241620</t>
  </si>
  <si>
    <t>997AFRR250450004</t>
  </si>
  <si>
    <t>MUHAMMAD MEHBOOB</t>
  </si>
  <si>
    <t>33100-1279207-3</t>
  </si>
  <si>
    <t>503784</t>
  </si>
  <si>
    <t>1002319</t>
  </si>
  <si>
    <t>997AFRR250480004</t>
  </si>
  <si>
    <t>NAVEEDA ANWAR</t>
  </si>
  <si>
    <t>33100-0886824-6</t>
  </si>
  <si>
    <t>81014973</t>
  </si>
  <si>
    <t>035366</t>
  </si>
  <si>
    <t>997AFRR250490012</t>
  </si>
  <si>
    <t>38401-4988211-9</t>
  </si>
  <si>
    <t>136728</t>
  </si>
  <si>
    <t>10036730</t>
  </si>
  <si>
    <t>997AFRR250520022</t>
  </si>
  <si>
    <t>USMAN HAIDER</t>
  </si>
  <si>
    <t>33102-8623856-7</t>
  </si>
  <si>
    <t>12933570</t>
  </si>
  <si>
    <t>036996</t>
  </si>
  <si>
    <t>997AFRR250560001</t>
  </si>
  <si>
    <t>SAIMA AKHTAR</t>
  </si>
  <si>
    <t>35401-2589218-2</t>
  </si>
  <si>
    <t>339554</t>
  </si>
  <si>
    <t>1239463</t>
  </si>
  <si>
    <t>997AFRR250790004</t>
  </si>
  <si>
    <t>MUKHTAR AHMAD</t>
  </si>
  <si>
    <t>33100-2761160-1</t>
  </si>
  <si>
    <t>13049233</t>
  </si>
  <si>
    <t>10049227</t>
  </si>
  <si>
    <t>997APD1250510002</t>
  </si>
  <si>
    <t>SARFRAZ AHMED</t>
  </si>
  <si>
    <t>35103-2017470-9</t>
  </si>
  <si>
    <t>130694</t>
  </si>
  <si>
    <t>10030721</t>
  </si>
  <si>
    <t>Policy #</t>
  </si>
  <si>
    <t>Tms Prem</t>
  </si>
  <si>
    <t>Difference</t>
  </si>
  <si>
    <t>KHI/HO/D/MO/PC COMP/C/105332/102/01/2025</t>
  </si>
  <si>
    <t>KHI/HO/D/MO/PC COMP/C/107044/18/02/2025</t>
  </si>
  <si>
    <t>KHI/HO/D/MO/PC COMP/C/107044/20/02/2025</t>
  </si>
  <si>
    <t>KHI/HO/D/MO/PC COMP/C/105332/92/01/2025</t>
  </si>
  <si>
    <t>KHI/HO/D/MO/PC COMP/C/107830/13/03/2025</t>
  </si>
  <si>
    <t>KHI/HO/D/MO/PC COMP/C/107044/33/02/2025</t>
  </si>
  <si>
    <t>KHI/HO/D/MO/PC COMP/C/107044/3/02/2025</t>
  </si>
  <si>
    <t>KHI/HO/D/MO/PC COMP/C/107830/5/03/2025</t>
  </si>
  <si>
    <t>KHI/HO/D/MO/PC COMP/C/107044/2/02/2025</t>
  </si>
  <si>
    <t>KHI/HO/D/MO/PC COMP/C/107044/1/02/2025</t>
  </si>
  <si>
    <t>KHI/HO/D/MO/PC COMP/C/107044/15/02/2025</t>
  </si>
  <si>
    <t>KHI/HO/D/MO/PC COMP/C/107044/49/02/2025</t>
  </si>
  <si>
    <t>KHI/HO/D/MO/PC COMP/C/107044/52/02/2025</t>
  </si>
  <si>
    <t>KHI/HO/D/MO/PC COMP/C/107830/2/03/2025</t>
  </si>
  <si>
    <t>KHI/HO/D/MO/PC COMP/C/107830/3/03/2025</t>
  </si>
  <si>
    <t>KHI/HO/D/MO/PC COMP/C/107830/9/03/2025</t>
  </si>
  <si>
    <t>KHI/HO/D/MO/PC COMP/C/107830/14/03/2025</t>
  </si>
  <si>
    <t>KHI/HO/D/MO/PC COMP/C/107044/8/02/2025</t>
  </si>
  <si>
    <t>KHI/HO/D/MO/PC COMP/C/107044/32/02/2025</t>
  </si>
  <si>
    <t>KHI/HO/D/MO/PC COMP/C/107044/39/02/2025</t>
  </si>
  <si>
    <t>KHI/HO/D/MO/PC COMP/C/107044/54/02/2025</t>
  </si>
  <si>
    <t>KHI/HO/D/MO/PC COMP/C/107044/58/02/2025</t>
  </si>
  <si>
    <t>KHI/HO/D/MO/PC COMP/C/107044/55/02/2025</t>
  </si>
  <si>
    <t>KHI/HO/D/MO/PC COMP/C/105332/103/01/2025</t>
  </si>
  <si>
    <t>KHI/HO/D/MO/PC COMP/C/107044/27/02/2025</t>
  </si>
  <si>
    <t>KHI/HO/D/MO/PC COMP/C/107044/10/02/2025</t>
  </si>
  <si>
    <t>KHI/HO/D/MO/PC COMP/C/107044/13/02/2025</t>
  </si>
  <si>
    <t>KHI/HO/D/MO/PC COMP/C/107044/5/02/2025</t>
  </si>
  <si>
    <t>KHI/HO/D/MO/PC COMP/C/105332/65/01/2025</t>
  </si>
  <si>
    <t>KHI/HO/D/MO/PC COMP/C/107830/1/03/2025</t>
  </si>
  <si>
    <t>KHI/HO/D/MO/PC COMP/C/107044/45/02/2025</t>
  </si>
  <si>
    <t>KHI/HO/D/MO/PC COMP/C/107044/44/02/2025</t>
  </si>
  <si>
    <t>KHI/HO/D/MO/PC COMP/C/107830/11/03/2025</t>
  </si>
  <si>
    <t>KHI/HO/D/MO/PC COMP/C/107044/24/02/2025</t>
  </si>
  <si>
    <t>KHI/HO/D/MO/PC COMP/C/105332/115/01/2025</t>
  </si>
  <si>
    <t>KHI/HO/D/MO/PC COMP/C/107044/11/02/2025</t>
  </si>
  <si>
    <t>KHI/HO/D/MO/PC COMP/C/107044/14/02/2025</t>
  </si>
  <si>
    <t>KHI/HO/D/MO/PC COMP/C/107044/9/02/2025</t>
  </si>
  <si>
    <t>KHI/HO/D/MO/PC COMP/C/107044/21/02/2025</t>
  </si>
  <si>
    <t>KHI/HO/D/MO/PC COMP/C/107044/30/02/2025</t>
  </si>
  <si>
    <t>KHI/HO/D/MO/PC COMP/C/107044/37/02/2025</t>
  </si>
  <si>
    <t>KHI/HO/D/MO/PC COMP/C/107044/34/02/2025</t>
  </si>
  <si>
    <t>KHI/HO/D/MO/PC COMP/C/107044/46/02/2025</t>
  </si>
  <si>
    <t>KHI/HO/D/MO/PC COMP/C/107044/36/02/2025</t>
  </si>
  <si>
    <t>KHI/HO/D/MO/PC COMP/C/107044/56/02/2025</t>
  </si>
  <si>
    <t>KHI/HO/D/MO/PC COMP/C/107044/59/02/2025</t>
  </si>
  <si>
    <t>KHI/HO/D/MO/PC COMP/C/107830/4/03/2025</t>
  </si>
  <si>
    <t>KHI/HO/D/MO/PC COMP/C/107830/7/03/2025</t>
  </si>
  <si>
    <t>KHI/HO/D/MO/PC COMP/C/107830/12/03/2025</t>
  </si>
  <si>
    <t>KHI/HO/D/MO/PC COMP/C/107830/23/03/2025</t>
  </si>
  <si>
    <t>KHI/HO/D/MO/PC COMP/C/105332/148/01/2025</t>
  </si>
  <si>
    <t>KHI/HO/D/MO/PC COMP/C/107044/19/02/2025</t>
  </si>
  <si>
    <t>KHI/HO/D/MO/PC COMP/C/107044/23/02/2025</t>
  </si>
  <si>
    <t>KHI/HO/D/MO/PC COMP/C/107044/26/02/2025</t>
  </si>
  <si>
    <t>KHI/HO/D/MO/PC COMP/C/107044/28/02/2025</t>
  </si>
  <si>
    <t>KHI/HO/D/MO/PC COMP/C/107044/29/02/2025</t>
  </si>
  <si>
    <t>KHI/HO/D/MO/PC COMP/C/107044/38/02/2025</t>
  </si>
  <si>
    <t>KHI/HO/D/MO/PC COMP/C/107044/43/02/2025</t>
  </si>
  <si>
    <t>KHI/HO/D/MO/PC COMP/C/107044/41/02/2025</t>
  </si>
  <si>
    <t>KHI/HO/D/MO/PC COMP/C/107044/40/02/2025</t>
  </si>
  <si>
    <t>KHI/HO/D/MO/PC COMP/C/107044/42/02/2025</t>
  </si>
  <si>
    <t>KHI/HO/D/MO/PC COMP/C/107044/50/02/2025</t>
  </si>
  <si>
    <t>KHI/HO/D/MO/PC COMP/C/107044/51/02/2025</t>
  </si>
  <si>
    <t>KHI/HO/D/MO/PC COMP/C/107044/60/02/2025</t>
  </si>
  <si>
    <t>KHI/HO/D/MO/PC COMP/C/107044/57/02/2025</t>
  </si>
  <si>
    <t>KHI/HO/D/MO/PC COMP/C/107830/20/03/2025</t>
  </si>
  <si>
    <t>KHI/HO/D/MO/PC COMP/C/107044/48/02/2025</t>
  </si>
  <si>
    <t>KHI/HO/D/MO/PC COMP/C/107044/53/02/2025</t>
  </si>
  <si>
    <t>KHI/HO/D/MO/PC COMP/C/107044/4/02/2025</t>
  </si>
  <si>
    <t>KHI/HO/D/MO/PC COMP/C/107830/8/03/2025</t>
  </si>
  <si>
    <t>KHI/HO/D/MO/PC COMP/C/107044/6/02/2025</t>
  </si>
  <si>
    <t>KHI/HO/D/MO/PC COMP/C/107044/16/02/2025</t>
  </si>
  <si>
    <t>KHI/HO/D/MO/PC COMP/C/107044/17/02/2025</t>
  </si>
  <si>
    <t>KHI/HO/D/MO/PC COMP/C/107044/22/02/2025</t>
  </si>
  <si>
    <t>KHI/HO/D/MO/PC COMP/C/107044/25/02/2025</t>
  </si>
  <si>
    <t>KHI/HO/D/MO/PC COMP/C/107044/31/02/2025</t>
  </si>
  <si>
    <t>KHI/HO/D/MO/PC COMP/C/107044/35/02/2025</t>
  </si>
  <si>
    <t>KHI/HO/D/MO/PC COMP/C/107830/21/03/2025</t>
  </si>
  <si>
    <t>KHI/HO/D/MO/PC COMP/C/107044/7/02/2025</t>
  </si>
  <si>
    <t>KHI/HO/D/MO/PC COMP/C/107044/47/02/2025</t>
  </si>
  <si>
    <t>End. #</t>
  </si>
  <si>
    <t>KHI/HO/D/MO/PC COMP/E/58990/00053/03/2025</t>
  </si>
  <si>
    <t>KHI/HO/D/MO/PC COMP/E/58990/00045/03/2025</t>
  </si>
  <si>
    <t>KHI/HO/D/MO/PC COMP/E/58990/00001/03/2025</t>
  </si>
  <si>
    <t>KHI/HO/D/MO/PC COMP/E/58990/00010/03/2025</t>
  </si>
  <si>
    <t>-01-2025</t>
  </si>
  <si>
    <t>-02-2025</t>
  </si>
  <si>
    <t>-03-2025</t>
  </si>
  <si>
    <t>00102</t>
  </si>
  <si>
    <t>00018</t>
  </si>
  <si>
    <t>00020</t>
  </si>
  <si>
    <t>00092</t>
  </si>
  <si>
    <t>00013</t>
  </si>
  <si>
    <t>00033</t>
  </si>
  <si>
    <t>00003</t>
  </si>
  <si>
    <t>00005</t>
  </si>
  <si>
    <t>00045</t>
  </si>
  <si>
    <t>00044</t>
  </si>
  <si>
    <t>00002</t>
  </si>
  <si>
    <t>00011</t>
  </si>
  <si>
    <t>00001</t>
  </si>
  <si>
    <t>00024</t>
  </si>
  <si>
    <t>00115</t>
  </si>
  <si>
    <t>00014</t>
  </si>
  <si>
    <t>00009</t>
  </si>
  <si>
    <t>00015</t>
  </si>
  <si>
    <t>00021</t>
  </si>
  <si>
    <t>00030</t>
  </si>
  <si>
    <t>00037</t>
  </si>
  <si>
    <t>00034</t>
  </si>
  <si>
    <t>00046</t>
  </si>
  <si>
    <t>00036</t>
  </si>
  <si>
    <t>00047</t>
  </si>
  <si>
    <t>00049</t>
  </si>
  <si>
    <t>00056</t>
  </si>
  <si>
    <t>00052</t>
  </si>
  <si>
    <t>00059</t>
  </si>
  <si>
    <t>00004</t>
  </si>
  <si>
    <t>00007</t>
  </si>
  <si>
    <t>00012</t>
  </si>
  <si>
    <t>00023</t>
  </si>
  <si>
    <t>00148</t>
  </si>
  <si>
    <t>00008</t>
  </si>
  <si>
    <t>00019</t>
  </si>
  <si>
    <t>00026</t>
  </si>
  <si>
    <t>00028</t>
  </si>
  <si>
    <t>00029</t>
  </si>
  <si>
    <t>00038</t>
  </si>
  <si>
    <t>00032</t>
  </si>
  <si>
    <t>00043</t>
  </si>
  <si>
    <t>00041</t>
  </si>
  <si>
    <t>00039</t>
  </si>
  <si>
    <t>00040</t>
  </si>
  <si>
    <t>00042</t>
  </si>
  <si>
    <t>00050</t>
  </si>
  <si>
    <t>00051</t>
  </si>
  <si>
    <t>00054</t>
  </si>
  <si>
    <t>00058</t>
  </si>
  <si>
    <t>00055</t>
  </si>
  <si>
    <t>00060</t>
  </si>
  <si>
    <t>00057</t>
  </si>
  <si>
    <t>00103</t>
  </si>
  <si>
    <t>00027</t>
  </si>
  <si>
    <t>00048</t>
  </si>
  <si>
    <t>00010</t>
  </si>
  <si>
    <t>00053</t>
  </si>
  <si>
    <t>00065</t>
  </si>
  <si>
    <t>00006</t>
  </si>
  <si>
    <t>00016</t>
  </si>
  <si>
    <t>00017</t>
  </si>
  <si>
    <t>00022</t>
  </si>
  <si>
    <t>00025</t>
  </si>
  <si>
    <t>00031</t>
  </si>
  <si>
    <t>00035</t>
  </si>
  <si>
    <t xml:space="preserve">   </t>
  </si>
  <si>
    <t>FUNC_ASSORTED_STRING(IA.ASSORTED_CODE)</t>
  </si>
  <si>
    <t>ASSORTED_CODE</t>
  </si>
  <si>
    <t>070000177762</t>
  </si>
  <si>
    <t>070000177768</t>
  </si>
  <si>
    <t>070000177771</t>
  </si>
  <si>
    <t>070000177167</t>
  </si>
  <si>
    <t>070000176533</t>
  </si>
  <si>
    <t>070000176534</t>
  </si>
  <si>
    <t>070000176591</t>
  </si>
  <si>
    <t>070000176415</t>
  </si>
  <si>
    <t>070000176419</t>
  </si>
  <si>
    <t>070000174130</t>
  </si>
  <si>
    <t>070000178408</t>
  </si>
  <si>
    <t>070000178592</t>
  </si>
  <si>
    <t>070000177751</t>
  </si>
  <si>
    <t>070000177086</t>
  </si>
  <si>
    <t>070000177322</t>
  </si>
  <si>
    <t>070000174986</t>
  </si>
  <si>
    <t>070000177316</t>
  </si>
  <si>
    <t>070000176518</t>
  </si>
  <si>
    <t>070000176519</t>
  </si>
  <si>
    <t>070000177711</t>
  </si>
  <si>
    <t>070000176520</t>
  </si>
  <si>
    <t>070000176629</t>
  </si>
  <si>
    <t>070000177160</t>
  </si>
  <si>
    <t>070000177646</t>
  </si>
  <si>
    <t>070000176347</t>
  </si>
  <si>
    <t>070000177641</t>
  </si>
  <si>
    <t>070000176422</t>
  </si>
  <si>
    <t>070000177179</t>
  </si>
  <si>
    <t>070000177704</t>
  </si>
  <si>
    <t>070000177154</t>
  </si>
  <si>
    <t>070000177367</t>
  </si>
  <si>
    <t>070000177842</t>
  </si>
  <si>
    <t>070000176531</t>
  </si>
  <si>
    <t>070000177852</t>
  </si>
  <si>
    <t>070000175204</t>
  </si>
  <si>
    <t>070000177028</t>
  </si>
  <si>
    <t>070000178648</t>
  </si>
  <si>
    <t>070000174818</t>
  </si>
  <si>
    <t>070000177228</t>
  </si>
  <si>
    <t>070000177229</t>
  </si>
  <si>
    <t>070000177312</t>
  </si>
  <si>
    <t>070000177318</t>
  </si>
  <si>
    <t>070000177319</t>
  </si>
  <si>
    <t>070000176451</t>
  </si>
  <si>
    <t>070000177761</t>
  </si>
  <si>
    <t>070000177763</t>
  </si>
  <si>
    <t>070000177752</t>
  </si>
  <si>
    <t>070000177754</t>
  </si>
  <si>
    <t>070000177766</t>
  </si>
  <si>
    <t>070000176565</t>
  </si>
  <si>
    <t>070000176576</t>
  </si>
  <si>
    <t>070000176578</t>
  </si>
  <si>
    <t>070000176611</t>
  </si>
  <si>
    <t>070000176404</t>
  </si>
  <si>
    <t>070000177845</t>
  </si>
  <si>
    <t>070000178665</t>
  </si>
  <si>
    <t>070000179030</t>
  </si>
  <si>
    <t>070000176750</t>
  </si>
  <si>
    <t>070000176560</t>
  </si>
  <si>
    <t>070000179035</t>
  </si>
  <si>
    <t>070000177781</t>
  </si>
  <si>
    <t>070000174988</t>
  </si>
  <si>
    <t>070000176627</t>
  </si>
  <si>
    <t>070000178398</t>
  </si>
  <si>
    <t>070000177765</t>
  </si>
  <si>
    <t>070000176761</t>
  </si>
  <si>
    <t>070000176762</t>
  </si>
  <si>
    <t>070000177315</t>
  </si>
  <si>
    <t>070000177692</t>
  </si>
  <si>
    <t>070000177631</t>
  </si>
  <si>
    <t>070000177649</t>
  </si>
  <si>
    <t>070000178650</t>
  </si>
  <si>
    <t>070000176806</t>
  </si>
  <si>
    <t>070000177650</t>
  </si>
  <si>
    <t>070000177317</t>
  </si>
  <si>
    <t>070000177655</t>
  </si>
  <si>
    <t>070000177656</t>
  </si>
  <si>
    <t>070000178647</t>
  </si>
  <si>
    <t>070000178414</t>
  </si>
  <si>
    <t>070000179021</t>
  </si>
  <si>
    <t>POLICY NO.</t>
  </si>
  <si>
    <t>Assorted_code</t>
  </si>
  <si>
    <t>27Mar250025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</si>
</sst>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4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vertical="top"/>
    </xf>
    <xf numFmtId="165" fontId="2" fillId="2" borderId="1" xfId="4" applyNumberFormat="1" applyFont="1" applyFill="1" applyBorder="1"/>
    <xf numFmtId="165" fontId="2" fillId="0" borderId="1" xfId="4" applyNumberFormat="1" applyFont="1" applyFill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165" fontId="5" fillId="0" borderId="0" xfId="4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6" fillId="0" borderId="0" xfId="0" applyFont="1"/>
    <xf numFmtId="165" fontId="0" fillId="0" borderId="0" xfId="0" applyNumberFormat="1"/>
  </cellXfs>
  <cellStyles count="5">
    <cellStyle name="Comma" xfId="4" builtinId="3"/>
    <cellStyle name="Comma 2" xfId="3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J68" zoomScale="85" zoomScaleNormal="85" workbookViewId="0">
      <selection activeCell="M84" sqref="M84"/>
    </sheetView>
  </sheetViews>
  <sheetFormatPr defaultColWidth="108.140625" defaultRowHeight="15"/>
  <cols>
    <col min="1" max="1" width="18.140625" hidden="1" customWidth="1"/>
    <col min="2" max="2" width="29" hidden="1" customWidth="1"/>
    <col min="3" max="3" width="15.7109375" hidden="1" customWidth="1"/>
    <col min="4" max="4" width="20.7109375" hidden="1" customWidth="1"/>
    <col min="5" max="5" width="21.42578125" hidden="1" customWidth="1"/>
    <col min="6" max="6" width="14.28515625" hidden="1" customWidth="1"/>
    <col min="7" max="7" width="12.140625" hidden="1" customWidth="1"/>
    <col min="8" max="8" width="10.7109375" hidden="1" customWidth="1"/>
    <col min="9" max="9" width="25.28515625" hidden="1" customWidth="1"/>
    <col min="10" max="10" width="44" bestFit="1" customWidth="1"/>
    <col min="11" max="11" width="13.42578125" bestFit="1" customWidth="1"/>
    <col min="12" max="12" width="18.42578125" bestFit="1" customWidth="1"/>
    <col min="13" max="13" width="44" customWidth="1"/>
    <col min="14" max="14" width="13.28515625" bestFit="1" customWidth="1"/>
    <col min="15" max="15" width="9.42578125" bestFit="1" customWidth="1"/>
    <col min="16" max="16" width="10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411</v>
      </c>
      <c r="K1" s="1" t="s">
        <v>412</v>
      </c>
      <c r="L1" s="1" t="s">
        <v>413</v>
      </c>
      <c r="M1" s="1" t="s">
        <v>494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60900</v>
      </c>
      <c r="G2" s="2" t="s">
        <v>9</v>
      </c>
      <c r="H2" s="2" t="s">
        <v>10</v>
      </c>
      <c r="I2" s="2" t="s">
        <v>11</v>
      </c>
      <c r="J2" s="2" t="s">
        <v>414</v>
      </c>
      <c r="K2" s="3">
        <v>60900</v>
      </c>
      <c r="L2" s="4">
        <f>F2-K2</f>
        <v>0</v>
      </c>
      <c r="M2" s="2"/>
    </row>
    <row r="3" spans="1:1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3">
        <v>94380</v>
      </c>
      <c r="G3" s="2" t="s">
        <v>9</v>
      </c>
      <c r="H3" s="2" t="s">
        <v>10</v>
      </c>
      <c r="I3" s="2" t="s">
        <v>11</v>
      </c>
      <c r="J3" s="2" t="s">
        <v>415</v>
      </c>
      <c r="K3" s="3">
        <v>94380</v>
      </c>
      <c r="L3" s="4">
        <f t="shared" ref="L3:L66" si="0">F3-K3</f>
        <v>0</v>
      </c>
      <c r="M3" s="2"/>
    </row>
    <row r="4" spans="1:1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3">
        <v>82583</v>
      </c>
      <c r="G4" s="2" t="s">
        <v>9</v>
      </c>
      <c r="H4" s="2" t="s">
        <v>10</v>
      </c>
      <c r="I4" s="2" t="s">
        <v>11</v>
      </c>
      <c r="J4" s="2" t="s">
        <v>416</v>
      </c>
      <c r="K4" s="3">
        <v>82583</v>
      </c>
      <c r="L4" s="4">
        <f t="shared" si="0"/>
        <v>0</v>
      </c>
      <c r="M4" s="2"/>
    </row>
    <row r="5" spans="1:1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3">
        <v>54140</v>
      </c>
      <c r="G5" s="2" t="s">
        <v>9</v>
      </c>
      <c r="H5" s="2" t="s">
        <v>10</v>
      </c>
      <c r="I5" s="2" t="s">
        <v>11</v>
      </c>
      <c r="J5" s="2" t="s">
        <v>417</v>
      </c>
      <c r="K5" s="3">
        <v>54140</v>
      </c>
      <c r="L5" s="4">
        <f t="shared" si="0"/>
        <v>0</v>
      </c>
      <c r="M5" s="2"/>
    </row>
    <row r="6" spans="1:1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3">
        <v>53288</v>
      </c>
      <c r="G6" s="2" t="s">
        <v>9</v>
      </c>
      <c r="H6" s="2" t="s">
        <v>10</v>
      </c>
      <c r="I6" s="2" t="s">
        <v>11</v>
      </c>
      <c r="J6" s="2" t="s">
        <v>418</v>
      </c>
      <c r="K6" s="3">
        <v>53288</v>
      </c>
      <c r="L6" s="4">
        <f t="shared" si="0"/>
        <v>0</v>
      </c>
      <c r="M6" s="2"/>
    </row>
    <row r="7" spans="1:1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3">
        <v>131440</v>
      </c>
      <c r="G7" s="2" t="s">
        <v>9</v>
      </c>
      <c r="H7" s="2" t="s">
        <v>10</v>
      </c>
      <c r="I7" s="2" t="s">
        <v>11</v>
      </c>
      <c r="J7" s="2" t="s">
        <v>419</v>
      </c>
      <c r="K7" s="3">
        <v>131440</v>
      </c>
      <c r="L7" s="4">
        <f t="shared" si="0"/>
        <v>0</v>
      </c>
      <c r="M7" s="2"/>
    </row>
    <row r="8" spans="1:1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>
        <v>91480</v>
      </c>
      <c r="G8" s="2" t="s">
        <v>9</v>
      </c>
      <c r="H8" s="2" t="s">
        <v>10</v>
      </c>
      <c r="I8" s="2" t="s">
        <v>11</v>
      </c>
      <c r="J8" s="2" t="s">
        <v>420</v>
      </c>
      <c r="K8" s="3">
        <v>91480</v>
      </c>
      <c r="L8" s="4">
        <f t="shared" si="0"/>
        <v>0</v>
      </c>
      <c r="M8" s="2"/>
    </row>
    <row r="9" spans="1:1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3">
        <v>152620</v>
      </c>
      <c r="G9" s="2" t="s">
        <v>9</v>
      </c>
      <c r="H9" s="2" t="s">
        <v>10</v>
      </c>
      <c r="I9" s="2" t="s">
        <v>11</v>
      </c>
      <c r="J9" s="2" t="s">
        <v>421</v>
      </c>
      <c r="K9" s="3">
        <v>152620</v>
      </c>
      <c r="L9" s="4">
        <f t="shared" si="0"/>
        <v>0</v>
      </c>
      <c r="M9" s="2"/>
    </row>
    <row r="10" spans="1:1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3">
        <v>94380</v>
      </c>
      <c r="G10" s="2" t="s">
        <v>9</v>
      </c>
      <c r="H10" s="2" t="s">
        <v>10</v>
      </c>
      <c r="I10" s="2" t="s">
        <v>11</v>
      </c>
      <c r="J10" s="2" t="s">
        <v>444</v>
      </c>
      <c r="K10" s="3">
        <v>82583</v>
      </c>
      <c r="L10" s="4">
        <f t="shared" si="0"/>
        <v>11797</v>
      </c>
      <c r="M10" s="2" t="s">
        <v>496</v>
      </c>
    </row>
    <row r="11" spans="1:1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>
        <v>60900</v>
      </c>
      <c r="G11" s="2" t="s">
        <v>9</v>
      </c>
      <c r="H11" s="2" t="s">
        <v>10</v>
      </c>
      <c r="I11" s="2" t="s">
        <v>11</v>
      </c>
      <c r="J11" s="2" t="s">
        <v>445</v>
      </c>
      <c r="K11" s="3">
        <v>60900</v>
      </c>
      <c r="L11" s="4">
        <f t="shared" si="0"/>
        <v>0</v>
      </c>
      <c r="M11" s="2"/>
    </row>
    <row r="12" spans="1:1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3">
        <v>128020</v>
      </c>
      <c r="G12" s="2" t="s">
        <v>9</v>
      </c>
      <c r="H12" s="2" t="s">
        <v>10</v>
      </c>
      <c r="I12" s="2" t="s">
        <v>11</v>
      </c>
      <c r="J12" s="2" t="s">
        <v>422</v>
      </c>
      <c r="K12" s="3">
        <v>128020</v>
      </c>
      <c r="L12" s="4">
        <f t="shared" si="0"/>
        <v>0</v>
      </c>
      <c r="M12" s="2"/>
    </row>
    <row r="13" spans="1: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3">
        <v>177980</v>
      </c>
      <c r="G13" s="2" t="s">
        <v>9</v>
      </c>
      <c r="H13" s="2" t="s">
        <v>10</v>
      </c>
      <c r="I13" s="2" t="s">
        <v>11</v>
      </c>
      <c r="J13" s="2" t="s">
        <v>446</v>
      </c>
      <c r="K13" s="3">
        <v>177980</v>
      </c>
      <c r="L13" s="4">
        <f t="shared" si="0"/>
        <v>0</v>
      </c>
      <c r="M13" s="2"/>
    </row>
    <row r="14" spans="1:1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3">
        <v>161390</v>
      </c>
      <c r="G14" s="2" t="s">
        <v>9</v>
      </c>
      <c r="H14" s="2" t="s">
        <v>10</v>
      </c>
      <c r="I14" s="2" t="s">
        <v>11</v>
      </c>
      <c r="J14" s="2" t="s">
        <v>423</v>
      </c>
      <c r="K14" s="3">
        <v>141216</v>
      </c>
      <c r="L14" s="4">
        <f t="shared" si="0"/>
        <v>20174</v>
      </c>
      <c r="M14" s="2" t="s">
        <v>497</v>
      </c>
    </row>
    <row r="15" spans="1:13">
      <c r="A15" s="2" t="s">
        <v>78</v>
      </c>
      <c r="B15" s="2" t="s">
        <v>12</v>
      </c>
      <c r="C15" s="2" t="s">
        <v>79</v>
      </c>
      <c r="D15" s="2" t="s">
        <v>80</v>
      </c>
      <c r="E15" s="2" t="s">
        <v>81</v>
      </c>
      <c r="F15" s="3">
        <v>161780</v>
      </c>
      <c r="G15" s="2" t="s">
        <v>9</v>
      </c>
      <c r="H15" s="2" t="s">
        <v>10</v>
      </c>
      <c r="I15" s="2" t="s">
        <v>11</v>
      </c>
      <c r="J15" s="2" t="s">
        <v>447</v>
      </c>
      <c r="K15" s="3">
        <v>161780</v>
      </c>
      <c r="L15" s="4">
        <f t="shared" si="0"/>
        <v>0</v>
      </c>
      <c r="M15" s="2"/>
    </row>
    <row r="16" spans="1:13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3">
        <v>120000</v>
      </c>
      <c r="G16" s="2" t="s">
        <v>9</v>
      </c>
      <c r="H16" s="2" t="s">
        <v>10</v>
      </c>
      <c r="I16" s="2" t="s">
        <v>11</v>
      </c>
      <c r="J16" s="2" t="s">
        <v>448</v>
      </c>
      <c r="K16" s="3">
        <v>120000</v>
      </c>
      <c r="L16" s="4">
        <f t="shared" si="0"/>
        <v>0</v>
      </c>
      <c r="M16" s="2"/>
    </row>
    <row r="17" spans="1:13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3">
        <v>82583</v>
      </c>
      <c r="G17" s="2" t="s">
        <v>9</v>
      </c>
      <c r="H17" s="2" t="s">
        <v>10</v>
      </c>
      <c r="I17" s="2" t="s">
        <v>11</v>
      </c>
      <c r="J17" s="2" t="s">
        <v>449</v>
      </c>
      <c r="K17" s="3">
        <v>82583</v>
      </c>
      <c r="L17" s="4">
        <f t="shared" si="0"/>
        <v>0</v>
      </c>
      <c r="M17" s="2"/>
    </row>
    <row r="18" spans="1:1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3">
        <v>82583</v>
      </c>
      <c r="G18" s="2" t="s">
        <v>9</v>
      </c>
      <c r="H18" s="2" t="s">
        <v>10</v>
      </c>
      <c r="I18" s="2" t="s">
        <v>11</v>
      </c>
      <c r="J18" s="2" t="s">
        <v>450</v>
      </c>
      <c r="K18" s="3">
        <v>82583</v>
      </c>
      <c r="L18" s="4">
        <f t="shared" si="0"/>
        <v>0</v>
      </c>
      <c r="M18" s="2"/>
    </row>
    <row r="19" spans="1:13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3">
        <v>56875</v>
      </c>
      <c r="G19" s="2" t="s">
        <v>9</v>
      </c>
      <c r="H19" s="2" t="s">
        <v>10</v>
      </c>
      <c r="I19" s="2" t="s">
        <v>11</v>
      </c>
      <c r="J19" s="2" t="s">
        <v>451</v>
      </c>
      <c r="K19" s="3">
        <v>56875</v>
      </c>
      <c r="L19" s="4">
        <f t="shared" si="0"/>
        <v>0</v>
      </c>
      <c r="M19" s="2"/>
    </row>
    <row r="20" spans="1:13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3">
        <v>77000</v>
      </c>
      <c r="G20" s="2" t="s">
        <v>9</v>
      </c>
      <c r="H20" s="2" t="s">
        <v>10</v>
      </c>
      <c r="I20" s="2" t="s">
        <v>11</v>
      </c>
      <c r="J20" s="2" t="s">
        <v>424</v>
      </c>
      <c r="K20" s="3">
        <v>77000</v>
      </c>
      <c r="L20" s="4">
        <f t="shared" si="0"/>
        <v>0</v>
      </c>
      <c r="M20" s="2"/>
    </row>
    <row r="21" spans="1:13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3">
        <v>82583</v>
      </c>
      <c r="G21" s="2" t="s">
        <v>9</v>
      </c>
      <c r="H21" s="2" t="s">
        <v>10</v>
      </c>
      <c r="I21" s="2" t="s">
        <v>11</v>
      </c>
      <c r="J21" s="2" t="s">
        <v>452</v>
      </c>
      <c r="K21" s="3">
        <v>82583</v>
      </c>
      <c r="L21" s="4">
        <f t="shared" si="0"/>
        <v>0</v>
      </c>
      <c r="M21" s="2"/>
    </row>
    <row r="22" spans="1:13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3">
        <v>37625</v>
      </c>
      <c r="G22" s="2" t="s">
        <v>9</v>
      </c>
      <c r="H22" s="2" t="s">
        <v>10</v>
      </c>
      <c r="I22" s="2" t="s">
        <v>11</v>
      </c>
      <c r="J22" s="2" t="s">
        <v>453</v>
      </c>
      <c r="K22" s="3">
        <v>37625</v>
      </c>
      <c r="L22" s="4">
        <f t="shared" si="0"/>
        <v>0</v>
      </c>
      <c r="M22" s="2"/>
    </row>
    <row r="23" spans="1:13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3">
        <v>50750</v>
      </c>
      <c r="G23" s="2" t="s">
        <v>9</v>
      </c>
      <c r="H23" s="2" t="s">
        <v>10</v>
      </c>
      <c r="I23" s="2" t="s">
        <v>11</v>
      </c>
      <c r="J23" s="2" t="s">
        <v>454</v>
      </c>
      <c r="K23" s="3">
        <v>50750</v>
      </c>
      <c r="L23" s="4">
        <f t="shared" si="0"/>
        <v>0</v>
      </c>
      <c r="M23" s="2"/>
    </row>
    <row r="24" spans="1:13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3">
        <v>53288</v>
      </c>
      <c r="G24" s="2" t="s">
        <v>9</v>
      </c>
      <c r="H24" s="2" t="s">
        <v>10</v>
      </c>
      <c r="I24" s="2" t="s">
        <v>11</v>
      </c>
      <c r="J24" s="2" t="s">
        <v>455</v>
      </c>
      <c r="K24" s="3">
        <v>53288</v>
      </c>
      <c r="L24" s="4">
        <f t="shared" si="0"/>
        <v>0</v>
      </c>
      <c r="M24" s="2"/>
    </row>
    <row r="25" spans="1:13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3">
        <v>22750</v>
      </c>
      <c r="G25" s="2" t="s">
        <v>9</v>
      </c>
      <c r="H25" s="2" t="s">
        <v>10</v>
      </c>
      <c r="I25" s="2" t="s">
        <v>11</v>
      </c>
      <c r="J25" s="2" t="s">
        <v>456</v>
      </c>
      <c r="K25" s="3">
        <v>22750</v>
      </c>
      <c r="L25" s="4">
        <f t="shared" si="0"/>
        <v>0</v>
      </c>
      <c r="M25" s="2"/>
    </row>
    <row r="26" spans="1:13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3">
        <v>143483</v>
      </c>
      <c r="G26" s="2" t="s">
        <v>9</v>
      </c>
      <c r="H26" s="2" t="s">
        <v>10</v>
      </c>
      <c r="I26" s="2" t="s">
        <v>11</v>
      </c>
      <c r="J26" s="2" t="s">
        <v>457</v>
      </c>
      <c r="K26" s="3">
        <v>143483</v>
      </c>
      <c r="L26" s="4">
        <f t="shared" si="0"/>
        <v>0</v>
      </c>
      <c r="M26" s="2"/>
    </row>
    <row r="27" spans="1:13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3">
        <v>50645</v>
      </c>
      <c r="G27" s="2" t="s">
        <v>9</v>
      </c>
      <c r="H27" s="2" t="s">
        <v>10</v>
      </c>
      <c r="I27" s="2" t="s">
        <v>11</v>
      </c>
      <c r="J27" s="2" t="s">
        <v>493</v>
      </c>
      <c r="K27" s="3">
        <v>50645</v>
      </c>
      <c r="L27" s="4">
        <f t="shared" si="0"/>
        <v>0</v>
      </c>
      <c r="M27" s="2"/>
    </row>
    <row r="28" spans="1:13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3">
        <v>66500</v>
      </c>
      <c r="G28" s="2" t="s">
        <v>9</v>
      </c>
      <c r="H28" s="2" t="s">
        <v>10</v>
      </c>
      <c r="I28" s="2" t="s">
        <v>11</v>
      </c>
      <c r="J28" s="2" t="s">
        <v>425</v>
      </c>
      <c r="K28" s="3">
        <v>66500</v>
      </c>
      <c r="L28" s="4">
        <f t="shared" si="0"/>
        <v>0</v>
      </c>
      <c r="M28" s="2"/>
    </row>
    <row r="29" spans="1:13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3">
        <v>56875</v>
      </c>
      <c r="G29" s="2" t="s">
        <v>9</v>
      </c>
      <c r="H29" s="2" t="s">
        <v>10</v>
      </c>
      <c r="I29" s="2" t="s">
        <v>11</v>
      </c>
      <c r="J29" s="2" t="s">
        <v>458</v>
      </c>
      <c r="K29" s="3">
        <v>56875</v>
      </c>
      <c r="L29" s="4">
        <f t="shared" si="0"/>
        <v>0</v>
      </c>
      <c r="M29" s="2"/>
    </row>
    <row r="30" spans="1:13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3">
        <v>53288</v>
      </c>
      <c r="G30" s="2" t="s">
        <v>9</v>
      </c>
      <c r="H30" s="2" t="s">
        <v>10</v>
      </c>
      <c r="I30" s="2" t="s">
        <v>11</v>
      </c>
      <c r="J30" s="2" t="s">
        <v>426</v>
      </c>
      <c r="K30" s="3">
        <v>53288</v>
      </c>
      <c r="L30" s="4">
        <f t="shared" si="0"/>
        <v>0</v>
      </c>
      <c r="M30" s="2"/>
    </row>
    <row r="31" spans="1:13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3">
        <v>78750</v>
      </c>
      <c r="G31" s="2" t="s">
        <v>9</v>
      </c>
      <c r="H31" s="2" t="s">
        <v>10</v>
      </c>
      <c r="I31" s="2" t="s">
        <v>11</v>
      </c>
      <c r="J31" s="2" t="s">
        <v>459</v>
      </c>
      <c r="K31" s="3">
        <v>78750</v>
      </c>
      <c r="L31" s="4">
        <f t="shared" si="0"/>
        <v>0</v>
      </c>
      <c r="M31" s="2"/>
    </row>
    <row r="32" spans="1:13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3">
        <v>46813</v>
      </c>
      <c r="G32" s="2" t="s">
        <v>9</v>
      </c>
      <c r="H32" s="2" t="s">
        <v>10</v>
      </c>
      <c r="I32" s="2" t="s">
        <v>11</v>
      </c>
      <c r="J32" s="2" t="s">
        <v>427</v>
      </c>
      <c r="K32" s="3">
        <v>46813</v>
      </c>
      <c r="L32" s="4">
        <f t="shared" si="0"/>
        <v>0</v>
      </c>
      <c r="M32" s="2"/>
    </row>
    <row r="33" spans="1:13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3">
        <v>84000</v>
      </c>
      <c r="G33" s="2" t="s">
        <v>9</v>
      </c>
      <c r="H33" s="2" t="s">
        <v>10</v>
      </c>
      <c r="I33" s="2" t="s">
        <v>11</v>
      </c>
      <c r="J33" s="2" t="s">
        <v>428</v>
      </c>
      <c r="K33" s="3">
        <v>84000</v>
      </c>
      <c r="L33" s="4">
        <f t="shared" si="0"/>
        <v>0</v>
      </c>
      <c r="M33" s="2"/>
    </row>
    <row r="34" spans="1:13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3">
        <v>74375</v>
      </c>
      <c r="G34" s="2" t="s">
        <v>9</v>
      </c>
      <c r="H34" s="2" t="s">
        <v>10</v>
      </c>
      <c r="I34" s="2" t="s">
        <v>11</v>
      </c>
      <c r="J34" s="2" t="s">
        <v>460</v>
      </c>
      <c r="K34" s="3">
        <v>74375</v>
      </c>
      <c r="L34" s="4">
        <f t="shared" si="0"/>
        <v>0</v>
      </c>
      <c r="M34" s="2"/>
    </row>
    <row r="35" spans="1:13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3">
        <v>67375</v>
      </c>
      <c r="G35" s="2" t="s">
        <v>9</v>
      </c>
      <c r="H35" s="2" t="s">
        <v>10</v>
      </c>
      <c r="I35" s="2" t="s">
        <v>11</v>
      </c>
      <c r="J35" s="2" t="s">
        <v>461</v>
      </c>
      <c r="K35" s="3">
        <v>67375</v>
      </c>
      <c r="L35" s="4">
        <f t="shared" si="0"/>
        <v>0</v>
      </c>
      <c r="M35" s="2"/>
    </row>
    <row r="36" spans="1:13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3">
        <v>70000</v>
      </c>
      <c r="G36" s="2" t="s">
        <v>9</v>
      </c>
      <c r="H36" s="2" t="s">
        <v>10</v>
      </c>
      <c r="I36" s="2" t="s">
        <v>11</v>
      </c>
      <c r="J36" s="2" t="s">
        <v>429</v>
      </c>
      <c r="K36" s="3">
        <v>70000</v>
      </c>
      <c r="L36" s="4">
        <f t="shared" si="0"/>
        <v>0</v>
      </c>
      <c r="M36" s="2"/>
    </row>
    <row r="37" spans="1:13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3">
        <v>52500</v>
      </c>
      <c r="G37" s="2" t="s">
        <v>9</v>
      </c>
      <c r="H37" s="2" t="s">
        <v>10</v>
      </c>
      <c r="I37" s="2" t="s">
        <v>11</v>
      </c>
      <c r="J37" s="2" t="s">
        <v>462</v>
      </c>
      <c r="K37" s="3">
        <v>52500</v>
      </c>
      <c r="L37" s="4">
        <f t="shared" si="0"/>
        <v>0</v>
      </c>
      <c r="M37" s="2"/>
    </row>
    <row r="38" spans="1:13">
      <c r="A38" s="2" t="s">
        <v>192</v>
      </c>
      <c r="B38" s="2" t="s">
        <v>193</v>
      </c>
      <c r="C38" s="2" t="s">
        <v>194</v>
      </c>
      <c r="D38" s="2" t="s">
        <v>195</v>
      </c>
      <c r="E38" s="2" t="s">
        <v>196</v>
      </c>
      <c r="F38" s="3">
        <v>68250</v>
      </c>
      <c r="G38" s="2" t="s">
        <v>9</v>
      </c>
      <c r="H38" s="2" t="s">
        <v>10</v>
      </c>
      <c r="I38" s="2" t="s">
        <v>11</v>
      </c>
      <c r="J38" s="2" t="s">
        <v>430</v>
      </c>
      <c r="K38" s="3">
        <v>68250</v>
      </c>
      <c r="L38" s="4">
        <f t="shared" si="0"/>
        <v>0</v>
      </c>
      <c r="M38" s="2"/>
    </row>
    <row r="39" spans="1:13">
      <c r="A39" s="2" t="s">
        <v>197</v>
      </c>
      <c r="B39" s="2" t="s">
        <v>198</v>
      </c>
      <c r="C39" s="2" t="s">
        <v>199</v>
      </c>
      <c r="D39" s="2" t="s">
        <v>200</v>
      </c>
      <c r="E39" s="2" t="s">
        <v>201</v>
      </c>
      <c r="F39" s="3">
        <v>63875</v>
      </c>
      <c r="G39" s="2" t="s">
        <v>9</v>
      </c>
      <c r="H39" s="2" t="s">
        <v>10</v>
      </c>
      <c r="I39" s="2" t="s">
        <v>11</v>
      </c>
      <c r="J39" s="2" t="s">
        <v>463</v>
      </c>
      <c r="K39" s="3">
        <v>63875</v>
      </c>
      <c r="L39" s="4">
        <f t="shared" si="0"/>
        <v>0</v>
      </c>
      <c r="M39" s="2"/>
    </row>
    <row r="40" spans="1:13">
      <c r="A40" s="2" t="s">
        <v>202</v>
      </c>
      <c r="B40" s="2" t="s">
        <v>203</v>
      </c>
      <c r="C40" s="2" t="s">
        <v>204</v>
      </c>
      <c r="D40" s="2" t="s">
        <v>205</v>
      </c>
      <c r="E40" s="2" t="s">
        <v>206</v>
      </c>
      <c r="F40" s="3">
        <v>58625</v>
      </c>
      <c r="G40" s="2" t="s">
        <v>9</v>
      </c>
      <c r="H40" s="2" t="s">
        <v>10</v>
      </c>
      <c r="I40" s="2" t="s">
        <v>11</v>
      </c>
      <c r="J40" s="2" t="s">
        <v>464</v>
      </c>
      <c r="K40" s="3">
        <v>58625</v>
      </c>
      <c r="L40" s="4">
        <f t="shared" si="0"/>
        <v>0</v>
      </c>
      <c r="M40" s="2"/>
    </row>
    <row r="41" spans="1:13">
      <c r="A41" s="2" t="s">
        <v>207</v>
      </c>
      <c r="B41" s="2" t="s">
        <v>208</v>
      </c>
      <c r="C41" s="2" t="s">
        <v>209</v>
      </c>
      <c r="D41" s="2" t="s">
        <v>210</v>
      </c>
      <c r="E41" s="2" t="s">
        <v>211</v>
      </c>
      <c r="F41" s="3">
        <v>82583</v>
      </c>
      <c r="G41" s="2" t="s">
        <v>9</v>
      </c>
      <c r="H41" s="2" t="s">
        <v>10</v>
      </c>
      <c r="I41" s="2" t="s">
        <v>11</v>
      </c>
      <c r="J41" s="2" t="s">
        <v>431</v>
      </c>
      <c r="K41" s="3">
        <v>82583</v>
      </c>
      <c r="L41" s="4">
        <f t="shared" si="0"/>
        <v>0</v>
      </c>
      <c r="M41" s="2"/>
    </row>
    <row r="42" spans="1:13">
      <c r="A42" s="2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  <c r="F42" s="3">
        <v>40250</v>
      </c>
      <c r="G42" s="2" t="s">
        <v>9</v>
      </c>
      <c r="H42" s="2" t="s">
        <v>10</v>
      </c>
      <c r="I42" s="2" t="s">
        <v>11</v>
      </c>
      <c r="J42" s="2" t="s">
        <v>465</v>
      </c>
      <c r="K42" s="3">
        <v>40250</v>
      </c>
      <c r="L42" s="4">
        <f t="shared" si="0"/>
        <v>0</v>
      </c>
      <c r="M42" s="2"/>
    </row>
    <row r="43" spans="1:13">
      <c r="A43" s="2" t="s">
        <v>217</v>
      </c>
      <c r="B43" s="2" t="s">
        <v>218</v>
      </c>
      <c r="C43" s="2" t="s">
        <v>219</v>
      </c>
      <c r="D43" s="2" t="s">
        <v>220</v>
      </c>
      <c r="E43" s="2" t="s">
        <v>221</v>
      </c>
      <c r="F43" s="3">
        <v>40250</v>
      </c>
      <c r="G43" s="2" t="s">
        <v>9</v>
      </c>
      <c r="H43" s="2" t="s">
        <v>10</v>
      </c>
      <c r="I43" s="2" t="s">
        <v>11</v>
      </c>
      <c r="J43" s="2" t="s">
        <v>466</v>
      </c>
      <c r="K43" s="3">
        <v>40250</v>
      </c>
      <c r="L43" s="4">
        <f t="shared" si="0"/>
        <v>0</v>
      </c>
      <c r="M43" s="2"/>
    </row>
    <row r="44" spans="1:13">
      <c r="A44" s="2" t="s">
        <v>222</v>
      </c>
      <c r="B44" s="2" t="s">
        <v>223</v>
      </c>
      <c r="C44" s="2" t="s">
        <v>224</v>
      </c>
      <c r="D44" s="2" t="s">
        <v>225</v>
      </c>
      <c r="E44" s="2" t="s">
        <v>226</v>
      </c>
      <c r="F44" s="3">
        <v>47863</v>
      </c>
      <c r="G44" s="2" t="s">
        <v>9</v>
      </c>
      <c r="H44" s="2" t="s">
        <v>10</v>
      </c>
      <c r="I44" s="2" t="s">
        <v>11</v>
      </c>
      <c r="J44" s="2" t="s">
        <v>467</v>
      </c>
      <c r="K44" s="3">
        <v>47863</v>
      </c>
      <c r="L44" s="4">
        <f t="shared" si="0"/>
        <v>0</v>
      </c>
      <c r="M44" s="2"/>
    </row>
    <row r="45" spans="1:13">
      <c r="A45" s="2" t="s">
        <v>227</v>
      </c>
      <c r="B45" s="2" t="s">
        <v>228</v>
      </c>
      <c r="C45" s="2" t="s">
        <v>229</v>
      </c>
      <c r="D45" s="2" t="s">
        <v>230</v>
      </c>
      <c r="E45" s="2" t="s">
        <v>231</v>
      </c>
      <c r="F45" s="3">
        <v>39200</v>
      </c>
      <c r="G45" s="2" t="s">
        <v>9</v>
      </c>
      <c r="H45" s="2" t="s">
        <v>10</v>
      </c>
      <c r="I45" s="2" t="s">
        <v>11</v>
      </c>
      <c r="J45" s="2" t="s">
        <v>468</v>
      </c>
      <c r="K45" s="3">
        <v>39200</v>
      </c>
      <c r="L45" s="4">
        <f t="shared" si="0"/>
        <v>0</v>
      </c>
      <c r="M45" s="2"/>
    </row>
    <row r="46" spans="1:13">
      <c r="A46" s="2" t="s">
        <v>232</v>
      </c>
      <c r="B46" s="2" t="s">
        <v>233</v>
      </c>
      <c r="C46" s="2" t="s">
        <v>234</v>
      </c>
      <c r="D46" s="2" t="s">
        <v>235</v>
      </c>
      <c r="E46" s="2" t="s">
        <v>236</v>
      </c>
      <c r="F46" s="3">
        <v>105000</v>
      </c>
      <c r="G46" s="2" t="s">
        <v>9</v>
      </c>
      <c r="H46" s="2" t="s">
        <v>10</v>
      </c>
      <c r="I46" s="2" t="s">
        <v>11</v>
      </c>
      <c r="J46" s="2" t="s">
        <v>469</v>
      </c>
      <c r="K46" s="3">
        <v>105000</v>
      </c>
      <c r="L46" s="4">
        <f t="shared" si="0"/>
        <v>0</v>
      </c>
      <c r="M46" s="2"/>
    </row>
    <row r="47" spans="1:13">
      <c r="A47" s="2" t="s">
        <v>237</v>
      </c>
      <c r="B47" s="2" t="s">
        <v>238</v>
      </c>
      <c r="C47" s="2" t="s">
        <v>239</v>
      </c>
      <c r="D47" s="2" t="s">
        <v>240</v>
      </c>
      <c r="E47" s="2" t="s">
        <v>241</v>
      </c>
      <c r="F47" s="3">
        <v>85750</v>
      </c>
      <c r="G47" s="2" t="s">
        <v>9</v>
      </c>
      <c r="H47" s="2" t="s">
        <v>10</v>
      </c>
      <c r="I47" s="2" t="s">
        <v>11</v>
      </c>
      <c r="J47" s="2" t="s">
        <v>470</v>
      </c>
      <c r="K47" s="3">
        <v>85750</v>
      </c>
      <c r="L47" s="4">
        <f t="shared" si="0"/>
        <v>0</v>
      </c>
      <c r="M47" s="2"/>
    </row>
    <row r="48" spans="1:13">
      <c r="A48" s="2" t="s">
        <v>242</v>
      </c>
      <c r="B48" s="2" t="s">
        <v>243</v>
      </c>
      <c r="C48" s="2" t="s">
        <v>244</v>
      </c>
      <c r="D48" s="2" t="s">
        <v>245</v>
      </c>
      <c r="E48" s="2" t="s">
        <v>246</v>
      </c>
      <c r="F48" s="3">
        <v>48983</v>
      </c>
      <c r="G48" s="2" t="s">
        <v>9</v>
      </c>
      <c r="H48" s="2" t="s">
        <v>10</v>
      </c>
      <c r="I48" s="2" t="s">
        <v>11</v>
      </c>
      <c r="J48" s="2" t="s">
        <v>432</v>
      </c>
      <c r="K48" s="3">
        <v>48983</v>
      </c>
      <c r="L48" s="4">
        <f t="shared" si="0"/>
        <v>0</v>
      </c>
      <c r="M48" s="2"/>
    </row>
    <row r="49" spans="1:13">
      <c r="A49" s="2" t="s">
        <v>247</v>
      </c>
      <c r="B49" s="2" t="s">
        <v>248</v>
      </c>
      <c r="C49" s="2" t="s">
        <v>249</v>
      </c>
      <c r="D49" s="2" t="s">
        <v>250</v>
      </c>
      <c r="E49" s="2" t="s">
        <v>251</v>
      </c>
      <c r="F49" s="3">
        <v>53288</v>
      </c>
      <c r="G49" s="2" t="s">
        <v>9</v>
      </c>
      <c r="H49" s="2" t="s">
        <v>10</v>
      </c>
      <c r="I49" s="2" t="s">
        <v>11</v>
      </c>
      <c r="J49" s="5" t="s">
        <v>471</v>
      </c>
      <c r="K49" s="3">
        <v>53288</v>
      </c>
      <c r="L49" s="4">
        <f t="shared" si="0"/>
        <v>0</v>
      </c>
      <c r="M49" s="2"/>
    </row>
    <row r="50" spans="1:13">
      <c r="A50" s="2" t="s">
        <v>252</v>
      </c>
      <c r="B50" s="2" t="s">
        <v>253</v>
      </c>
      <c r="C50" s="2" t="s">
        <v>254</v>
      </c>
      <c r="D50" s="2" t="s">
        <v>255</v>
      </c>
      <c r="E50" s="2" t="s">
        <v>256</v>
      </c>
      <c r="F50" s="3">
        <v>53288</v>
      </c>
      <c r="G50" s="2" t="s">
        <v>9</v>
      </c>
      <c r="H50" s="2" t="s">
        <v>10</v>
      </c>
      <c r="I50" s="2" t="s">
        <v>11</v>
      </c>
      <c r="J50" s="2" t="s">
        <v>472</v>
      </c>
      <c r="K50" s="3">
        <v>53288</v>
      </c>
      <c r="L50" s="4">
        <f t="shared" si="0"/>
        <v>0</v>
      </c>
      <c r="M50" s="2"/>
    </row>
    <row r="51" spans="1:13">
      <c r="A51" s="2" t="s">
        <v>257</v>
      </c>
      <c r="B51" s="2" t="s">
        <v>258</v>
      </c>
      <c r="C51" s="2" t="s">
        <v>259</v>
      </c>
      <c r="D51" s="2" t="s">
        <v>260</v>
      </c>
      <c r="E51" s="2" t="s">
        <v>261</v>
      </c>
      <c r="F51" s="3">
        <v>77000</v>
      </c>
      <c r="G51" s="2" t="s">
        <v>9</v>
      </c>
      <c r="H51" s="2" t="s">
        <v>10</v>
      </c>
      <c r="I51" s="2" t="s">
        <v>11</v>
      </c>
      <c r="J51" s="2" t="s">
        <v>433</v>
      </c>
      <c r="K51" s="3">
        <v>77000</v>
      </c>
      <c r="L51" s="4">
        <f t="shared" si="0"/>
        <v>0</v>
      </c>
      <c r="M51" s="2"/>
    </row>
    <row r="52" spans="1:13">
      <c r="A52" s="2" t="s">
        <v>262</v>
      </c>
      <c r="B52" s="2" t="s">
        <v>263</v>
      </c>
      <c r="C52" s="2" t="s">
        <v>264</v>
      </c>
      <c r="D52" s="2" t="s">
        <v>265</v>
      </c>
      <c r="E52" s="2" t="s">
        <v>266</v>
      </c>
      <c r="F52" s="3">
        <v>53288</v>
      </c>
      <c r="G52" s="2" t="s">
        <v>9</v>
      </c>
      <c r="H52" s="2" t="s">
        <v>10</v>
      </c>
      <c r="I52" s="2" t="s">
        <v>11</v>
      </c>
      <c r="J52" s="2" t="s">
        <v>473</v>
      </c>
      <c r="K52" s="3">
        <v>53288</v>
      </c>
      <c r="L52" s="4">
        <f t="shared" si="0"/>
        <v>0</v>
      </c>
      <c r="M52" s="2"/>
    </row>
    <row r="53" spans="1:13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3">
        <v>53288</v>
      </c>
      <c r="G53" s="2" t="s">
        <v>9</v>
      </c>
      <c r="H53" s="2" t="s">
        <v>10</v>
      </c>
      <c r="I53" s="2" t="s">
        <v>11</v>
      </c>
      <c r="J53" s="2" t="s">
        <v>474</v>
      </c>
      <c r="K53" s="3">
        <v>53288</v>
      </c>
      <c r="L53" s="4">
        <f t="shared" si="0"/>
        <v>0</v>
      </c>
      <c r="M53" s="2"/>
    </row>
    <row r="54" spans="1:13">
      <c r="A54" s="2" t="s">
        <v>272</v>
      </c>
      <c r="B54" s="2" t="s">
        <v>273</v>
      </c>
      <c r="C54" s="2" t="s">
        <v>274</v>
      </c>
      <c r="D54" s="2" t="s">
        <v>275</v>
      </c>
      <c r="E54" s="2" t="s">
        <v>276</v>
      </c>
      <c r="F54" s="3">
        <v>57750</v>
      </c>
      <c r="G54" s="2" t="s">
        <v>9</v>
      </c>
      <c r="H54" s="2" t="s">
        <v>10</v>
      </c>
      <c r="I54" s="2" t="s">
        <v>11</v>
      </c>
      <c r="J54" s="2" t="s">
        <v>475</v>
      </c>
      <c r="K54" s="3">
        <v>57750</v>
      </c>
      <c r="L54" s="4">
        <f t="shared" si="0"/>
        <v>0</v>
      </c>
      <c r="M54" s="2"/>
    </row>
    <row r="55" spans="1:13">
      <c r="A55" s="2" t="s">
        <v>277</v>
      </c>
      <c r="B55" s="2" t="s">
        <v>278</v>
      </c>
      <c r="C55" s="2" t="s">
        <v>279</v>
      </c>
      <c r="D55" s="2" t="s">
        <v>280</v>
      </c>
      <c r="E55" s="2" t="s">
        <v>281</v>
      </c>
      <c r="F55" s="3">
        <v>38500</v>
      </c>
      <c r="G55" s="2" t="s">
        <v>9</v>
      </c>
      <c r="H55" s="2" t="s">
        <v>10</v>
      </c>
      <c r="I55" s="2" t="s">
        <v>11</v>
      </c>
      <c r="J55" s="2" t="s">
        <v>476</v>
      </c>
      <c r="K55" s="3">
        <v>38500</v>
      </c>
      <c r="L55" s="4">
        <f t="shared" si="0"/>
        <v>0</v>
      </c>
      <c r="M55" s="2"/>
    </row>
    <row r="56" spans="1:13">
      <c r="A56" s="2" t="s">
        <v>282</v>
      </c>
      <c r="B56" s="2" t="s">
        <v>283</v>
      </c>
      <c r="C56" s="2" t="s">
        <v>284</v>
      </c>
      <c r="D56" s="2" t="s">
        <v>285</v>
      </c>
      <c r="E56" s="2" t="s">
        <v>286</v>
      </c>
      <c r="F56" s="3">
        <v>46375</v>
      </c>
      <c r="G56" s="2" t="s">
        <v>9</v>
      </c>
      <c r="H56" s="2" t="s">
        <v>10</v>
      </c>
      <c r="I56" s="2" t="s">
        <v>11</v>
      </c>
      <c r="J56" s="2" t="s">
        <v>434</v>
      </c>
      <c r="K56" s="3">
        <v>46375</v>
      </c>
      <c r="L56" s="4">
        <f t="shared" si="0"/>
        <v>0</v>
      </c>
      <c r="M56" s="2"/>
    </row>
    <row r="57" spans="1:13">
      <c r="A57" s="2" t="s">
        <v>287</v>
      </c>
      <c r="B57" s="2" t="s">
        <v>288</v>
      </c>
      <c r="C57" s="2" t="s">
        <v>289</v>
      </c>
      <c r="D57" s="2" t="s">
        <v>290</v>
      </c>
      <c r="E57" s="2" t="s">
        <v>291</v>
      </c>
      <c r="F57" s="3">
        <v>79608</v>
      </c>
      <c r="G57" s="2" t="s">
        <v>9</v>
      </c>
      <c r="H57" s="2" t="s">
        <v>10</v>
      </c>
      <c r="I57" s="2" t="s">
        <v>11</v>
      </c>
      <c r="J57" s="2" t="s">
        <v>435</v>
      </c>
      <c r="K57" s="3">
        <v>79608</v>
      </c>
      <c r="L57" s="4">
        <f t="shared" si="0"/>
        <v>0</v>
      </c>
      <c r="M57" s="2"/>
    </row>
    <row r="58" spans="1:13">
      <c r="A58" s="2" t="s">
        <v>292</v>
      </c>
      <c r="B58" s="2" t="s">
        <v>293</v>
      </c>
      <c r="C58" s="2" t="s">
        <v>294</v>
      </c>
      <c r="D58" s="2" t="s">
        <v>295</v>
      </c>
      <c r="E58" s="2" t="s">
        <v>296</v>
      </c>
      <c r="F58" s="3">
        <v>82583</v>
      </c>
      <c r="G58" s="2" t="s">
        <v>9</v>
      </c>
      <c r="H58" s="2" t="s">
        <v>10</v>
      </c>
      <c r="I58" s="2" t="s">
        <v>11</v>
      </c>
      <c r="J58" s="2" t="s">
        <v>436</v>
      </c>
      <c r="K58" s="3">
        <v>82583</v>
      </c>
      <c r="L58" s="4">
        <f t="shared" si="0"/>
        <v>0</v>
      </c>
      <c r="M58" s="2"/>
    </row>
    <row r="59" spans="1:13">
      <c r="A59" s="2" t="s">
        <v>297</v>
      </c>
      <c r="B59" s="2" t="s">
        <v>298</v>
      </c>
      <c r="C59" s="2" t="s">
        <v>299</v>
      </c>
      <c r="D59" s="2" t="s">
        <v>300</v>
      </c>
      <c r="E59" s="2" t="s">
        <v>301</v>
      </c>
      <c r="F59" s="3">
        <v>42000</v>
      </c>
      <c r="G59" s="2" t="s">
        <v>9</v>
      </c>
      <c r="H59" s="2" t="s">
        <v>10</v>
      </c>
      <c r="I59" s="2" t="s">
        <v>11</v>
      </c>
      <c r="J59" s="2" t="s">
        <v>477</v>
      </c>
      <c r="K59" s="3">
        <v>42000</v>
      </c>
      <c r="L59" s="4">
        <f t="shared" si="0"/>
        <v>0</v>
      </c>
      <c r="M59" s="2"/>
    </row>
    <row r="60" spans="1:13">
      <c r="A60" s="2" t="s">
        <v>302</v>
      </c>
      <c r="B60" s="2" t="s">
        <v>303</v>
      </c>
      <c r="C60" s="2" t="s">
        <v>304</v>
      </c>
      <c r="D60" s="2" t="s">
        <v>305</v>
      </c>
      <c r="E60" s="2" t="s">
        <v>306</v>
      </c>
      <c r="F60" s="3">
        <v>99750</v>
      </c>
      <c r="G60" s="2" t="s">
        <v>9</v>
      </c>
      <c r="H60" s="2" t="s">
        <v>10</v>
      </c>
      <c r="I60" s="2" t="s">
        <v>11</v>
      </c>
      <c r="J60" s="2" t="s">
        <v>478</v>
      </c>
      <c r="K60" s="3">
        <v>99750</v>
      </c>
      <c r="L60" s="4">
        <f t="shared" si="0"/>
        <v>0</v>
      </c>
      <c r="M60" s="2"/>
    </row>
    <row r="61" spans="1:13">
      <c r="A61" s="2" t="s">
        <v>307</v>
      </c>
      <c r="B61" s="2" t="s">
        <v>308</v>
      </c>
      <c r="C61" s="2" t="s">
        <v>309</v>
      </c>
      <c r="D61" s="2" t="s">
        <v>310</v>
      </c>
      <c r="E61" s="2" t="s">
        <v>311</v>
      </c>
      <c r="F61" s="3">
        <v>56000</v>
      </c>
      <c r="G61" s="2" t="s">
        <v>9</v>
      </c>
      <c r="H61" s="2" t="s">
        <v>10</v>
      </c>
      <c r="I61" s="2" t="s">
        <v>11</v>
      </c>
      <c r="J61" s="2" t="s">
        <v>479</v>
      </c>
      <c r="K61" s="3">
        <v>56000</v>
      </c>
      <c r="L61" s="4">
        <f t="shared" si="0"/>
        <v>0</v>
      </c>
      <c r="M61" s="2"/>
    </row>
    <row r="62" spans="1:13">
      <c r="A62" s="2" t="s">
        <v>312</v>
      </c>
      <c r="B62" s="2" t="s">
        <v>313</v>
      </c>
      <c r="C62" s="2" t="s">
        <v>314</v>
      </c>
      <c r="D62" s="2" t="s">
        <v>315</v>
      </c>
      <c r="E62" s="2" t="s">
        <v>316</v>
      </c>
      <c r="F62" s="3">
        <v>83300</v>
      </c>
      <c r="G62" s="2" t="s">
        <v>9</v>
      </c>
      <c r="H62" s="2" t="s">
        <v>10</v>
      </c>
      <c r="I62" s="2" t="s">
        <v>11</v>
      </c>
      <c r="J62" s="2" t="s">
        <v>437</v>
      </c>
      <c r="K62" s="3">
        <v>83300</v>
      </c>
      <c r="L62" s="4">
        <f t="shared" si="0"/>
        <v>0</v>
      </c>
      <c r="M62" s="2"/>
    </row>
    <row r="63" spans="1:13">
      <c r="A63" s="2" t="s">
        <v>317</v>
      </c>
      <c r="B63" s="2" t="s">
        <v>318</v>
      </c>
      <c r="C63" s="2" t="s">
        <v>319</v>
      </c>
      <c r="D63" s="2" t="s">
        <v>320</v>
      </c>
      <c r="E63" s="2" t="s">
        <v>321</v>
      </c>
      <c r="F63" s="3">
        <v>60900</v>
      </c>
      <c r="G63" s="2" t="s">
        <v>9</v>
      </c>
      <c r="H63" s="2" t="s">
        <v>10</v>
      </c>
      <c r="I63" s="2" t="s">
        <v>11</v>
      </c>
      <c r="J63" s="2" t="s">
        <v>438</v>
      </c>
      <c r="K63" s="3">
        <v>60900</v>
      </c>
      <c r="L63" s="4">
        <f t="shared" si="0"/>
        <v>0</v>
      </c>
      <c r="M63" s="2"/>
    </row>
    <row r="64" spans="1:13">
      <c r="A64" s="2" t="s">
        <v>322</v>
      </c>
      <c r="B64" s="2" t="s">
        <v>323</v>
      </c>
      <c r="C64" s="2" t="s">
        <v>324</v>
      </c>
      <c r="D64" s="2" t="s">
        <v>325</v>
      </c>
      <c r="E64" s="2" t="s">
        <v>326</v>
      </c>
      <c r="F64" s="3">
        <v>94380</v>
      </c>
      <c r="G64" s="2" t="s">
        <v>9</v>
      </c>
      <c r="H64" s="2" t="s">
        <v>10</v>
      </c>
      <c r="I64" s="2" t="s">
        <v>11</v>
      </c>
      <c r="J64" s="2" t="s">
        <v>480</v>
      </c>
      <c r="K64" s="3">
        <v>94380</v>
      </c>
      <c r="L64" s="4">
        <f t="shared" si="0"/>
        <v>0</v>
      </c>
      <c r="M64" s="2"/>
    </row>
    <row r="65" spans="1:13">
      <c r="A65" s="2" t="s">
        <v>327</v>
      </c>
      <c r="B65" s="2" t="s">
        <v>328</v>
      </c>
      <c r="C65" s="2" t="s">
        <v>329</v>
      </c>
      <c r="D65" s="2" t="s">
        <v>330</v>
      </c>
      <c r="E65" s="2" t="s">
        <v>331</v>
      </c>
      <c r="F65" s="3">
        <v>94380</v>
      </c>
      <c r="G65" s="2" t="s">
        <v>9</v>
      </c>
      <c r="H65" s="2" t="s">
        <v>10</v>
      </c>
      <c r="I65" s="2" t="s">
        <v>11</v>
      </c>
      <c r="J65" s="2" t="s">
        <v>439</v>
      </c>
      <c r="K65" s="3">
        <v>82583</v>
      </c>
      <c r="L65" s="4">
        <f t="shared" si="0"/>
        <v>11797</v>
      </c>
      <c r="M65" s="2" t="s">
        <v>498</v>
      </c>
    </row>
    <row r="66" spans="1:13">
      <c r="A66" s="2" t="s">
        <v>332</v>
      </c>
      <c r="B66" s="2" t="s">
        <v>333</v>
      </c>
      <c r="C66" s="2" t="s">
        <v>334</v>
      </c>
      <c r="D66" s="2" t="s">
        <v>335</v>
      </c>
      <c r="E66" s="2" t="s">
        <v>336</v>
      </c>
      <c r="F66" s="3">
        <v>95200</v>
      </c>
      <c r="G66" s="2" t="s">
        <v>9</v>
      </c>
      <c r="H66" s="2" t="s">
        <v>10</v>
      </c>
      <c r="I66" s="2" t="s">
        <v>11</v>
      </c>
      <c r="J66" s="2" t="s">
        <v>440</v>
      </c>
      <c r="K66" s="3">
        <v>95200</v>
      </c>
      <c r="L66" s="4">
        <f t="shared" si="0"/>
        <v>0</v>
      </c>
      <c r="M66" s="2"/>
    </row>
    <row r="67" spans="1:13">
      <c r="A67" s="2" t="s">
        <v>337</v>
      </c>
      <c r="B67" s="2" t="s">
        <v>338</v>
      </c>
      <c r="C67" s="2" t="s">
        <v>339</v>
      </c>
      <c r="D67" s="2" t="s">
        <v>340</v>
      </c>
      <c r="E67" s="2" t="s">
        <v>341</v>
      </c>
      <c r="F67" s="3">
        <v>60900</v>
      </c>
      <c r="G67" s="2" t="s">
        <v>9</v>
      </c>
      <c r="H67" s="2" t="s">
        <v>10</v>
      </c>
      <c r="I67" s="2" t="s">
        <v>11</v>
      </c>
      <c r="J67" s="2" t="s">
        <v>481</v>
      </c>
      <c r="K67" s="3">
        <v>53288</v>
      </c>
      <c r="L67" s="4">
        <f t="shared" ref="L67:L81" si="1">F67-K67</f>
        <v>7612</v>
      </c>
      <c r="M67" s="2" t="s">
        <v>495</v>
      </c>
    </row>
    <row r="68" spans="1:13">
      <c r="A68" s="2" t="s">
        <v>342</v>
      </c>
      <c r="B68" s="2" t="s">
        <v>343</v>
      </c>
      <c r="C68" s="2" t="s">
        <v>344</v>
      </c>
      <c r="D68" s="2" t="s">
        <v>345</v>
      </c>
      <c r="E68" s="2" t="s">
        <v>346</v>
      </c>
      <c r="F68" s="3">
        <v>94380</v>
      </c>
      <c r="G68" s="2" t="s">
        <v>9</v>
      </c>
      <c r="H68" s="2" t="s">
        <v>10</v>
      </c>
      <c r="I68" s="2" t="s">
        <v>11</v>
      </c>
      <c r="J68" s="2" t="s">
        <v>482</v>
      </c>
      <c r="K68" s="3">
        <v>94380</v>
      </c>
      <c r="L68" s="4">
        <f t="shared" si="1"/>
        <v>0</v>
      </c>
      <c r="M68" s="2"/>
    </row>
    <row r="69" spans="1:13">
      <c r="A69" s="2" t="s">
        <v>347</v>
      </c>
      <c r="B69" s="2" t="s">
        <v>348</v>
      </c>
      <c r="C69" s="2" t="s">
        <v>349</v>
      </c>
      <c r="D69" s="2" t="s">
        <v>350</v>
      </c>
      <c r="E69" s="2" t="s">
        <v>351</v>
      </c>
      <c r="F69" s="3">
        <v>80045</v>
      </c>
      <c r="G69" s="2" t="s">
        <v>9</v>
      </c>
      <c r="H69" s="2" t="s">
        <v>10</v>
      </c>
      <c r="I69" s="2" t="s">
        <v>11</v>
      </c>
      <c r="J69" s="2" t="s">
        <v>441</v>
      </c>
      <c r="K69" s="3">
        <v>80045</v>
      </c>
      <c r="L69" s="4">
        <f t="shared" si="1"/>
        <v>0</v>
      </c>
      <c r="M69" s="2"/>
    </row>
    <row r="70" spans="1:13">
      <c r="A70" s="2" t="s">
        <v>352</v>
      </c>
      <c r="B70" s="2" t="s">
        <v>353</v>
      </c>
      <c r="C70" s="2" t="s">
        <v>354</v>
      </c>
      <c r="D70" s="2" t="s">
        <v>355</v>
      </c>
      <c r="E70" s="2" t="s">
        <v>356</v>
      </c>
      <c r="F70" s="3">
        <v>94380</v>
      </c>
      <c r="G70" s="2" t="s">
        <v>9</v>
      </c>
      <c r="H70" s="2" t="s">
        <v>10</v>
      </c>
      <c r="I70" s="2" t="s">
        <v>11</v>
      </c>
      <c r="J70" s="2" t="s">
        <v>442</v>
      </c>
      <c r="K70" s="3">
        <v>94380</v>
      </c>
      <c r="L70" s="4">
        <f t="shared" si="1"/>
        <v>0</v>
      </c>
      <c r="M70" s="2"/>
    </row>
    <row r="71" spans="1:13">
      <c r="A71" s="2" t="s">
        <v>357</v>
      </c>
      <c r="B71" s="2" t="s">
        <v>358</v>
      </c>
      <c r="C71" s="2" t="s">
        <v>359</v>
      </c>
      <c r="D71" s="2" t="s">
        <v>360</v>
      </c>
      <c r="E71" s="2" t="s">
        <v>361</v>
      </c>
      <c r="F71" s="3">
        <v>96740</v>
      </c>
      <c r="G71" s="2" t="s">
        <v>9</v>
      </c>
      <c r="H71" s="2" t="s">
        <v>10</v>
      </c>
      <c r="I71" s="2" t="s">
        <v>11</v>
      </c>
      <c r="J71" s="2" t="s">
        <v>443</v>
      </c>
      <c r="K71" s="3">
        <v>96740</v>
      </c>
      <c r="L71" s="4">
        <f t="shared" si="1"/>
        <v>0</v>
      </c>
      <c r="M71" s="2"/>
    </row>
    <row r="72" spans="1:13">
      <c r="A72" s="2" t="s">
        <v>362</v>
      </c>
      <c r="B72" s="2" t="s">
        <v>363</v>
      </c>
      <c r="C72" s="2" t="s">
        <v>364</v>
      </c>
      <c r="D72" s="2" t="s">
        <v>365</v>
      </c>
      <c r="E72" s="2" t="s">
        <v>366</v>
      </c>
      <c r="F72" s="3">
        <v>37000</v>
      </c>
      <c r="G72" s="2" t="s">
        <v>9</v>
      </c>
      <c r="H72" s="2" t="s">
        <v>10</v>
      </c>
      <c r="I72" s="2" t="s">
        <v>11</v>
      </c>
      <c r="J72" s="2" t="s">
        <v>483</v>
      </c>
      <c r="K72" s="3">
        <v>37000</v>
      </c>
      <c r="L72" s="4">
        <f t="shared" si="1"/>
        <v>0</v>
      </c>
      <c r="M72" s="2"/>
    </row>
    <row r="73" spans="1:13">
      <c r="A73" s="2" t="s">
        <v>367</v>
      </c>
      <c r="B73" s="2" t="s">
        <v>368</v>
      </c>
      <c r="C73" s="2" t="s">
        <v>369</v>
      </c>
      <c r="D73" s="2" t="s">
        <v>370</v>
      </c>
      <c r="E73" s="2" t="s">
        <v>371</v>
      </c>
      <c r="F73" s="3">
        <v>170135</v>
      </c>
      <c r="G73" s="2" t="s">
        <v>9</v>
      </c>
      <c r="H73" s="2" t="s">
        <v>10</v>
      </c>
      <c r="I73" s="2" t="s">
        <v>11</v>
      </c>
      <c r="J73" s="2" t="s">
        <v>484</v>
      </c>
      <c r="K73" s="3">
        <v>170135</v>
      </c>
      <c r="L73" s="4">
        <f t="shared" si="1"/>
        <v>0</v>
      </c>
      <c r="M73" s="2"/>
    </row>
    <row r="74" spans="1:13">
      <c r="A74" s="2" t="s">
        <v>372</v>
      </c>
      <c r="B74" s="2" t="s">
        <v>373</v>
      </c>
      <c r="C74" s="2" t="s">
        <v>374</v>
      </c>
      <c r="D74" s="2" t="s">
        <v>375</v>
      </c>
      <c r="E74" s="2" t="s">
        <v>376</v>
      </c>
      <c r="F74" s="3">
        <v>64750</v>
      </c>
      <c r="G74" s="2" t="s">
        <v>9</v>
      </c>
      <c r="H74" s="2" t="s">
        <v>10</v>
      </c>
      <c r="I74" s="2" t="s">
        <v>11</v>
      </c>
      <c r="J74" s="2" t="s">
        <v>485</v>
      </c>
      <c r="K74" s="3">
        <v>64750</v>
      </c>
      <c r="L74" s="4">
        <f t="shared" si="1"/>
        <v>0</v>
      </c>
      <c r="M74" s="2"/>
    </row>
    <row r="75" spans="1:13">
      <c r="A75" s="2" t="s">
        <v>377</v>
      </c>
      <c r="B75" s="2" t="s">
        <v>378</v>
      </c>
      <c r="C75" s="2" t="s">
        <v>379</v>
      </c>
      <c r="D75" s="2" t="s">
        <v>380</v>
      </c>
      <c r="E75" s="2" t="s">
        <v>381</v>
      </c>
      <c r="F75" s="3">
        <v>67358</v>
      </c>
      <c r="G75" s="2" t="s">
        <v>9</v>
      </c>
      <c r="H75" s="2" t="s">
        <v>10</v>
      </c>
      <c r="I75" s="2" t="s">
        <v>11</v>
      </c>
      <c r="J75" s="2" t="s">
        <v>486</v>
      </c>
      <c r="K75" s="3">
        <v>67358</v>
      </c>
      <c r="L75" s="4">
        <f t="shared" si="1"/>
        <v>0</v>
      </c>
      <c r="M75" s="2"/>
    </row>
    <row r="76" spans="1:13">
      <c r="A76" s="2" t="s">
        <v>382</v>
      </c>
      <c r="B76" s="2" t="s">
        <v>383</v>
      </c>
      <c r="C76" s="2" t="s">
        <v>384</v>
      </c>
      <c r="D76" s="2" t="s">
        <v>385</v>
      </c>
      <c r="E76" s="2" t="s">
        <v>386</v>
      </c>
      <c r="F76" s="3">
        <v>91000</v>
      </c>
      <c r="G76" s="2" t="s">
        <v>9</v>
      </c>
      <c r="H76" s="2" t="s">
        <v>10</v>
      </c>
      <c r="I76" s="2" t="s">
        <v>11</v>
      </c>
      <c r="J76" s="2" t="s">
        <v>487</v>
      </c>
      <c r="K76" s="3">
        <v>91000</v>
      </c>
      <c r="L76" s="4">
        <f t="shared" si="1"/>
        <v>0</v>
      </c>
      <c r="M76" s="2"/>
    </row>
    <row r="77" spans="1:13">
      <c r="A77" s="2" t="s">
        <v>387</v>
      </c>
      <c r="B77" s="2" t="s">
        <v>213</v>
      </c>
      <c r="C77" s="2" t="s">
        <v>388</v>
      </c>
      <c r="D77" s="2" t="s">
        <v>389</v>
      </c>
      <c r="E77" s="2" t="s">
        <v>390</v>
      </c>
      <c r="F77" s="3">
        <v>35000</v>
      </c>
      <c r="G77" s="2" t="s">
        <v>9</v>
      </c>
      <c r="H77" s="2" t="s">
        <v>10</v>
      </c>
      <c r="I77" s="2" t="s">
        <v>11</v>
      </c>
      <c r="J77" s="2" t="s">
        <v>488</v>
      </c>
      <c r="K77" s="3">
        <v>35000</v>
      </c>
      <c r="L77" s="4">
        <f t="shared" si="1"/>
        <v>0</v>
      </c>
      <c r="M77" s="2"/>
    </row>
    <row r="78" spans="1:13">
      <c r="A78" s="2" t="s">
        <v>391</v>
      </c>
      <c r="B78" s="2" t="s">
        <v>392</v>
      </c>
      <c r="C78" s="2" t="s">
        <v>393</v>
      </c>
      <c r="D78" s="2" t="s">
        <v>394</v>
      </c>
      <c r="E78" s="2" t="s">
        <v>395</v>
      </c>
      <c r="F78" s="3">
        <v>82250</v>
      </c>
      <c r="G78" s="2" t="s">
        <v>9</v>
      </c>
      <c r="H78" s="2" t="s">
        <v>10</v>
      </c>
      <c r="I78" s="2" t="s">
        <v>11</v>
      </c>
      <c r="J78" s="2" t="s">
        <v>489</v>
      </c>
      <c r="K78" s="3">
        <v>82250</v>
      </c>
      <c r="L78" s="4">
        <f t="shared" si="1"/>
        <v>0</v>
      </c>
      <c r="M78" s="2"/>
    </row>
    <row r="79" spans="1:13">
      <c r="A79" s="2" t="s">
        <v>396</v>
      </c>
      <c r="B79" s="2" t="s">
        <v>397</v>
      </c>
      <c r="C79" s="2" t="s">
        <v>398</v>
      </c>
      <c r="D79" s="2" t="s">
        <v>399</v>
      </c>
      <c r="E79" s="2" t="s">
        <v>400</v>
      </c>
      <c r="F79" s="3">
        <v>47373</v>
      </c>
      <c r="G79" s="2" t="s">
        <v>9</v>
      </c>
      <c r="H79" s="2" t="s">
        <v>10</v>
      </c>
      <c r="I79" s="2" t="s">
        <v>11</v>
      </c>
      <c r="J79" s="2" t="s">
        <v>490</v>
      </c>
      <c r="K79" s="3">
        <v>47373</v>
      </c>
      <c r="L79" s="4">
        <f t="shared" si="1"/>
        <v>0</v>
      </c>
      <c r="M79" s="2"/>
    </row>
    <row r="80" spans="1:13">
      <c r="A80" s="2" t="s">
        <v>401</v>
      </c>
      <c r="B80" s="2" t="s">
        <v>402</v>
      </c>
      <c r="C80" s="2" t="s">
        <v>403</v>
      </c>
      <c r="D80" s="2" t="s">
        <v>404</v>
      </c>
      <c r="E80" s="2" t="s">
        <v>405</v>
      </c>
      <c r="F80" s="3">
        <v>45500</v>
      </c>
      <c r="G80" s="2" t="s">
        <v>9</v>
      </c>
      <c r="H80" s="2" t="s">
        <v>10</v>
      </c>
      <c r="I80" s="2" t="s">
        <v>11</v>
      </c>
      <c r="J80" s="2" t="s">
        <v>491</v>
      </c>
      <c r="K80" s="3">
        <v>45500</v>
      </c>
      <c r="L80" s="4">
        <f t="shared" si="1"/>
        <v>0</v>
      </c>
      <c r="M80" s="2"/>
    </row>
    <row r="81" spans="1:13">
      <c r="A81" s="2" t="s">
        <v>406</v>
      </c>
      <c r="B81" s="2" t="s">
        <v>407</v>
      </c>
      <c r="C81" s="2" t="s">
        <v>408</v>
      </c>
      <c r="D81" s="2" t="s">
        <v>409</v>
      </c>
      <c r="E81" s="2" t="s">
        <v>410</v>
      </c>
      <c r="F81" s="3">
        <v>49000</v>
      </c>
      <c r="G81" s="2" t="s">
        <v>9</v>
      </c>
      <c r="H81" s="2" t="s">
        <v>10</v>
      </c>
      <c r="I81" s="2" t="s">
        <v>11</v>
      </c>
      <c r="J81" s="2" t="s">
        <v>492</v>
      </c>
      <c r="K81" s="3">
        <v>49000</v>
      </c>
      <c r="L81" s="4">
        <f t="shared" si="1"/>
        <v>0</v>
      </c>
      <c r="M81" s="2"/>
    </row>
    <row r="83" spans="1:13">
      <c r="F83" s="6">
        <f>SUM(F2:F82)</f>
        <v>6033240</v>
      </c>
      <c r="K83" s="7">
        <f>SUBTOTAL(9,K2:K81)</f>
        <v>5981860</v>
      </c>
    </row>
  </sheetData>
  <autoFilter ref="A1:L8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BCDF-C146-4F0E-AC7D-6A87AE8A2C9C}">
  <dimension ref="A1:H82"/>
  <sheetViews>
    <sheetView topLeftCell="F1" workbookViewId="0">
      <selection activeCell="H81" sqref="H2:H81"/>
    </sheetView>
  </sheetViews>
  <sheetFormatPr defaultRowHeight="15"/>
  <cols>
    <col min="1" max="1" width="44.2851562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6.85546875" customWidth="1"/>
    <col min="7" max="7" width="87.7109375" customWidth="1"/>
    <col min="8" max="8" width="78.42578125" customWidth="1"/>
  </cols>
  <sheetData>
    <row r="1" spans="1:8">
      <c r="A1" s="9" t="s">
        <v>651</v>
      </c>
      <c r="B1" t="s">
        <v>652</v>
      </c>
      <c r="D1" s="1" t="s">
        <v>5</v>
      </c>
      <c r="E1" s="15" t="s">
        <v>653</v>
      </c>
    </row>
    <row r="2" spans="1:8" ht="112.5" customHeight="1">
      <c r="A2" s="2" t="s">
        <v>414</v>
      </c>
      <c r="B2" s="10" t="str">
        <f>VLOOKUP(A2,policy!B:C,2,)</f>
        <v>070000174986</v>
      </c>
      <c r="C2" s="3">
        <v>60900</v>
      </c>
      <c r="D2" s="11">
        <f>ROUND(C2,0)</f>
        <v>60900</v>
      </c>
      <c r="E2" s="15" t="s">
        <v>653</v>
      </c>
      <c r="F2" s="1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3" t="str">
        <f>"('"&amp;E2&amp;"','"&amp;B2&amp;"','"&amp;D2&amp;"',(select max(to_number(i.premium_rcv_detail_code))+1
from ins_premium_det i),'"&amp;D2&amp;"','"&amp;D2&amp;"','02', '11000003','00','Request by Mr. Saqib Saleem 27-Mar-2025');"</f>
        <v>('27Mar250025','070000174986','60900',(select max(to_number(i.premium_rcv_detail_code))+1
from ins_premium_det i),'60900','60900','02', '11000003','00','Request by Mr. Saqib Saleem 27-Mar-2025');</v>
      </c>
      <c r="H2" s="14" t="str">
        <f>F2&amp;G2</f>
        <v>insert into ins_premium_det (premium_rcv_code,assorted_code, rec_amount,premium_rcv_detail_code,remaining_amt, payrec, mode_code,coinsurance_code,class_cd,it_remarks) values('27Mar250025','070000174986','60900',(select max(to_number(i.premium_rcv_detail_code))+1
from ins_premium_det i),'60900','60900','02', '11000003','00','Request by Mr. Saqib Saleem 27-Mar-2025');</v>
      </c>
    </row>
    <row r="3" spans="1:8" ht="105">
      <c r="A3" s="2" t="s">
        <v>415</v>
      </c>
      <c r="B3" s="10" t="str">
        <f>VLOOKUP(A3,policy!B:C,2,)</f>
        <v>070000176611</v>
      </c>
      <c r="C3" s="3">
        <v>94380</v>
      </c>
      <c r="D3" s="11">
        <f t="shared" ref="D3:D66" si="1">ROUND(C3,0)</f>
        <v>94380</v>
      </c>
      <c r="E3" s="15" t="s">
        <v>653</v>
      </c>
      <c r="F3" s="12" t="str">
        <f t="shared" si="0"/>
        <v>insert into ins_premium_det (premium_rcv_code,assorted_code, rec_amount,premium_rcv_detail_code,remaining_amt, payrec, mode_code,coinsurance_code,class_cd,it_remarks) values</v>
      </c>
      <c r="G3" s="13" t="str">
        <f t="shared" ref="G3:G66" si="2">"('"&amp;E3&amp;"','"&amp;B3&amp;"','"&amp;D3&amp;"',(select max(to_number(i.premium_rcv_detail_code))+1
from ins_premium_det i),'"&amp;D3&amp;"','"&amp;D3&amp;"','02', '11000003','00','Request by Mr. Saqib Saleem 27-Mar-2025');"</f>
        <v>('27Mar250025','070000176611','94380',(select max(to_number(i.premium_rcv_detail_code))+1
from ins_premium_det i),'94380','94380','02', '11000003','00','Request by Mr. Saqib Saleem 27-Mar-2025');</v>
      </c>
      <c r="H3" s="14" t="str">
        <f t="shared" ref="H3:H66" si="3">F3&amp;G3</f>
        <v>insert into ins_premium_det (premium_rcv_code,assorted_code, rec_amount,premium_rcv_detail_code,remaining_amt, payrec, mode_code,coinsurance_code,class_cd,it_remarks) values('27Mar250025','070000176611','94380',(select max(to_number(i.premium_rcv_detail_code))+1
from ins_premium_det i),'94380','94380','02', '11000003','00','Request by Mr. Saqib Saleem 27-Mar-2025');</v>
      </c>
    </row>
    <row r="4" spans="1:8" ht="105">
      <c r="A4" s="2" t="s">
        <v>416</v>
      </c>
      <c r="B4" s="10" t="str">
        <f>VLOOKUP(A4,policy!B:C,2,)</f>
        <v>070000176629</v>
      </c>
      <c r="C4" s="3">
        <v>82583</v>
      </c>
      <c r="D4" s="11">
        <f t="shared" si="1"/>
        <v>82583</v>
      </c>
      <c r="E4" s="15" t="s">
        <v>653</v>
      </c>
      <c r="F4" s="12" t="str">
        <f t="shared" si="0"/>
        <v>insert into ins_premium_det (premium_rcv_code,assorted_code, rec_amount,premium_rcv_detail_code,remaining_amt, payrec, mode_code,coinsurance_code,class_cd,it_remarks) values</v>
      </c>
      <c r="G4" s="13" t="str">
        <f t="shared" si="2"/>
        <v>('27Mar250025','070000176629','82583',(select max(to_number(i.premium_rcv_detail_code))+1
from ins_premium_det i),'82583','82583','02', '11000003','00','Request by Mr. Saqib Saleem 27-Mar-2025');</v>
      </c>
      <c r="H4" s="14" t="str">
        <f t="shared" si="3"/>
        <v>insert into ins_premium_det (premium_rcv_code,assorted_code, rec_amount,premium_rcv_detail_code,remaining_amt, payrec, mode_code,coinsurance_code,class_cd,it_remarks) values('27Mar250025','070000176629','82583',(select max(to_number(i.premium_rcv_detail_code))+1
from ins_premium_det i),'82583','82583','02', '11000003','00','Request by Mr. Saqib Saleem 27-Mar-2025');</v>
      </c>
    </row>
    <row r="5" spans="1:8" ht="105">
      <c r="A5" s="2" t="s">
        <v>417</v>
      </c>
      <c r="B5" s="10" t="str">
        <f>VLOOKUP(A5,policy!B:C,2,)</f>
        <v>070000174818</v>
      </c>
      <c r="C5" s="3">
        <v>54140</v>
      </c>
      <c r="D5" s="11">
        <f t="shared" si="1"/>
        <v>54140</v>
      </c>
      <c r="E5" s="15" t="s">
        <v>653</v>
      </c>
      <c r="F5" s="12" t="str">
        <f t="shared" si="0"/>
        <v>insert into ins_premium_det (premium_rcv_code,assorted_code, rec_amount,premium_rcv_detail_code,remaining_amt, payrec, mode_code,coinsurance_code,class_cd,it_remarks) values</v>
      </c>
      <c r="G5" s="13" t="str">
        <f t="shared" si="2"/>
        <v>('27Mar250025','070000174818','54140',(select max(to_number(i.premium_rcv_detail_code))+1
from ins_premium_det i),'54140','54140','02', '11000003','00','Request by Mr. Saqib Saleem 27-Mar-2025');</v>
      </c>
      <c r="H5" s="14" t="str">
        <f t="shared" si="3"/>
        <v>insert into ins_premium_det (premium_rcv_code,assorted_code, rec_amount,premium_rcv_detail_code,remaining_amt, payrec, mode_code,coinsurance_code,class_cd,it_remarks) values('27Mar250025','070000174818','54140',(select max(to_number(i.premium_rcv_detail_code))+1
from ins_premium_det i),'54140','54140','02', '11000003','00','Request by Mr. Saqib Saleem 27-Mar-2025');</v>
      </c>
    </row>
    <row r="6" spans="1:8" ht="105">
      <c r="A6" s="2" t="s">
        <v>418</v>
      </c>
      <c r="B6" s="10" t="str">
        <f>VLOOKUP(A6,policy!B:C,2,)</f>
        <v>070000178650</v>
      </c>
      <c r="C6" s="3">
        <v>53288</v>
      </c>
      <c r="D6" s="11">
        <f t="shared" si="1"/>
        <v>53288</v>
      </c>
      <c r="E6" s="15" t="s">
        <v>653</v>
      </c>
      <c r="F6" s="12" t="str">
        <f t="shared" si="0"/>
        <v>insert into ins_premium_det (premium_rcv_code,assorted_code, rec_amount,premium_rcv_detail_code,remaining_amt, payrec, mode_code,coinsurance_code,class_cd,it_remarks) values</v>
      </c>
      <c r="G6" s="13" t="str">
        <f t="shared" si="2"/>
        <v>('27Mar250025','070000178650','53288',(select max(to_number(i.premium_rcv_detail_code))+1
from ins_premium_det i),'53288','53288','02', '11000003','00','Request by Mr. Saqib Saleem 27-Mar-2025');</v>
      </c>
      <c r="H6" s="14" t="str">
        <f t="shared" si="3"/>
        <v>insert into ins_premium_det (premium_rcv_code,assorted_code, rec_amount,premium_rcv_detail_code,remaining_amt, payrec, mode_code,coinsurance_code,class_cd,it_remarks) values('27Mar250025','070000178650','53288',(select max(to_number(i.premium_rcv_detail_code))+1
from ins_premium_det i),'53288','53288','02', '11000003','00','Request by Mr. Saqib Saleem 27-Mar-2025');</v>
      </c>
    </row>
    <row r="7" spans="1:8" ht="105">
      <c r="A7" s="2" t="s">
        <v>419</v>
      </c>
      <c r="B7" s="10" t="str">
        <f>VLOOKUP(A7,policy!B:C,2,)</f>
        <v>070000177312</v>
      </c>
      <c r="C7" s="3">
        <v>131440</v>
      </c>
      <c r="D7" s="11">
        <f t="shared" si="1"/>
        <v>131440</v>
      </c>
      <c r="E7" s="15" t="s">
        <v>653</v>
      </c>
      <c r="F7" s="12" t="str">
        <f t="shared" si="0"/>
        <v>insert into ins_premium_det (premium_rcv_code,assorted_code, rec_amount,premium_rcv_detail_code,remaining_amt, payrec, mode_code,coinsurance_code,class_cd,it_remarks) values</v>
      </c>
      <c r="G7" s="13" t="str">
        <f t="shared" si="2"/>
        <v>('27Mar250025','070000177312','131440',(select max(to_number(i.premium_rcv_detail_code))+1
from ins_premium_det i),'131440','131440','02', '11000003','00','Request by Mr. Saqib Saleem 27-Mar-2025');</v>
      </c>
      <c r="H7" s="14" t="str">
        <f t="shared" si="3"/>
        <v>insert into ins_premium_det (premium_rcv_code,assorted_code, rec_amount,premium_rcv_detail_code,remaining_amt, payrec, mode_code,coinsurance_code,class_cd,it_remarks) values('27Mar250025','070000177312','131440',(select max(to_number(i.premium_rcv_detail_code))+1
from ins_premium_det i),'131440','131440','02', '11000003','00','Request by Mr. Saqib Saleem 27-Mar-2025');</v>
      </c>
    </row>
    <row r="8" spans="1:8" ht="105">
      <c r="A8" s="2" t="s">
        <v>420</v>
      </c>
      <c r="B8" s="10" t="str">
        <f>VLOOKUP(A8,policy!B:C,2,)</f>
        <v>070000176419</v>
      </c>
      <c r="C8" s="3">
        <v>91480</v>
      </c>
      <c r="D8" s="11">
        <f t="shared" si="1"/>
        <v>91480</v>
      </c>
      <c r="E8" s="15" t="s">
        <v>653</v>
      </c>
      <c r="F8" s="12" t="str">
        <f t="shared" si="0"/>
        <v>insert into ins_premium_det (premium_rcv_code,assorted_code, rec_amount,premium_rcv_detail_code,remaining_amt, payrec, mode_code,coinsurance_code,class_cd,it_remarks) values</v>
      </c>
      <c r="G8" s="13" t="str">
        <f t="shared" si="2"/>
        <v>('27Mar250025','070000176419','91480',(select max(to_number(i.premium_rcv_detail_code))+1
from ins_premium_det i),'91480','91480','02', '11000003','00','Request by Mr. Saqib Saleem 27-Mar-2025');</v>
      </c>
      <c r="H8" s="14" t="str">
        <f t="shared" si="3"/>
        <v>insert into ins_premium_det (premium_rcv_code,assorted_code, rec_amount,premium_rcv_detail_code,remaining_amt, payrec, mode_code,coinsurance_code,class_cd,it_remarks) values('27Mar250025','070000176419','91480',(select max(to_number(i.premium_rcv_detail_code))+1
from ins_premium_det i),'91480','91480','02', '11000003','00','Request by Mr. Saqib Saleem 27-Mar-2025');</v>
      </c>
    </row>
    <row r="9" spans="1:8" ht="105">
      <c r="A9" s="2" t="s">
        <v>421</v>
      </c>
      <c r="B9" s="10" t="str">
        <f>VLOOKUP(A9,policy!B:C,2,)</f>
        <v>070000178398</v>
      </c>
      <c r="C9" s="3">
        <v>152620</v>
      </c>
      <c r="D9" s="11">
        <f t="shared" si="1"/>
        <v>152620</v>
      </c>
      <c r="E9" s="15" t="s">
        <v>653</v>
      </c>
      <c r="F9" s="12" t="str">
        <f t="shared" si="0"/>
        <v>insert into ins_premium_det (premium_rcv_code,assorted_code, rec_amount,premium_rcv_detail_code,remaining_amt, payrec, mode_code,coinsurance_code,class_cd,it_remarks) values</v>
      </c>
      <c r="G9" s="13" t="str">
        <f t="shared" si="2"/>
        <v>('27Mar250025','070000178398','152620',(select max(to_number(i.premium_rcv_detail_code))+1
from ins_premium_det i),'152620','152620','02', '11000003','00','Request by Mr. Saqib Saleem 27-Mar-2025');</v>
      </c>
      <c r="H9" s="14" t="str">
        <f t="shared" si="3"/>
        <v>insert into ins_premium_det (premium_rcv_code,assorted_code, rec_amount,premium_rcv_detail_code,remaining_amt, payrec, mode_code,coinsurance_code,class_cd,it_remarks) values('27Mar250025','070000178398','152620',(select max(to_number(i.premium_rcv_detail_code))+1
from ins_premium_det i),'152620','152620','02', '11000003','00','Request by Mr. Saqib Saleem 27-Mar-2025');</v>
      </c>
    </row>
    <row r="10" spans="1:8" ht="105">
      <c r="A10" s="2" t="s">
        <v>444</v>
      </c>
      <c r="B10" s="10" t="str">
        <f>VLOOKUP(A10,policy!B:C,2,)</f>
        <v>070000177650</v>
      </c>
      <c r="C10" s="3">
        <v>82583</v>
      </c>
      <c r="D10" s="11">
        <f t="shared" si="1"/>
        <v>82583</v>
      </c>
      <c r="E10" s="15" t="s">
        <v>653</v>
      </c>
      <c r="F10" s="12" t="str">
        <f t="shared" si="0"/>
        <v>insert into ins_premium_det (premium_rcv_code,assorted_code, rec_amount,premium_rcv_detail_code,remaining_amt, payrec, mode_code,coinsurance_code,class_cd,it_remarks) values</v>
      </c>
      <c r="G10" s="13" t="str">
        <f t="shared" si="2"/>
        <v>('27Mar250025','070000177650','82583',(select max(to_number(i.premium_rcv_detail_code))+1
from ins_premium_det i),'82583','82583','02', '11000003','00','Request by Mr. Saqib Saleem 27-Mar-2025');</v>
      </c>
      <c r="H10" s="14" t="str">
        <f t="shared" si="3"/>
        <v>insert into ins_premium_det (premium_rcv_code,assorted_code, rec_amount,premium_rcv_detail_code,remaining_amt, payrec, mode_code,coinsurance_code,class_cd,it_remarks) values('27Mar250025','070000177650','82583',(select max(to_number(i.premium_rcv_detail_code))+1
from ins_premium_det i),'82583','82583','02', '11000003','00','Request by Mr. Saqib Saleem 27-Mar-2025');</v>
      </c>
    </row>
    <row r="11" spans="1:8" ht="105">
      <c r="A11" s="2" t="s">
        <v>445</v>
      </c>
      <c r="B11" s="10" t="str">
        <f>VLOOKUP(A11,policy!B:C,2,)</f>
        <v>070000177649</v>
      </c>
      <c r="C11" s="3">
        <v>60900</v>
      </c>
      <c r="D11" s="11">
        <f t="shared" si="1"/>
        <v>60900</v>
      </c>
      <c r="E11" s="15" t="s">
        <v>653</v>
      </c>
      <c r="F11" s="12" t="str">
        <f t="shared" si="0"/>
        <v>insert into ins_premium_det (premium_rcv_code,assorted_code, rec_amount,premium_rcv_detail_code,remaining_amt, payrec, mode_code,coinsurance_code,class_cd,it_remarks) values</v>
      </c>
      <c r="G11" s="13" t="str">
        <f t="shared" si="2"/>
        <v>('27Mar250025','070000177649','60900',(select max(to_number(i.premium_rcv_detail_code))+1
from ins_premium_det i),'60900','60900','02', '11000003','00','Request by Mr. Saqib Saleem 27-Mar-2025');</v>
      </c>
      <c r="H11" s="14" t="str">
        <f t="shared" si="3"/>
        <v>insert into ins_premium_det (premium_rcv_code,assorted_code, rec_amount,premium_rcv_detail_code,remaining_amt, payrec, mode_code,coinsurance_code,class_cd,it_remarks) values('27Mar250025','070000177649','60900',(select max(to_number(i.premium_rcv_detail_code))+1
from ins_premium_det i),'60900','60900','02', '11000003','00','Request by Mr. Saqib Saleem 27-Mar-2025');</v>
      </c>
    </row>
    <row r="12" spans="1:8" ht="105">
      <c r="A12" s="2" t="s">
        <v>422</v>
      </c>
      <c r="B12" s="10" t="str">
        <f>VLOOKUP(A12,policy!B:C,2,)</f>
        <v>070000176415</v>
      </c>
      <c r="C12" s="3">
        <v>128020</v>
      </c>
      <c r="D12" s="11">
        <f t="shared" si="1"/>
        <v>128020</v>
      </c>
      <c r="E12" s="15" t="s">
        <v>653</v>
      </c>
      <c r="F12" s="12" t="str">
        <f t="shared" si="0"/>
        <v>insert into ins_premium_det (premium_rcv_code,assorted_code, rec_amount,premium_rcv_detail_code,remaining_amt, payrec, mode_code,coinsurance_code,class_cd,it_remarks) values</v>
      </c>
      <c r="G12" s="13" t="str">
        <f t="shared" si="2"/>
        <v>('27Mar250025','070000176415','128020',(select max(to_number(i.premium_rcv_detail_code))+1
from ins_premium_det i),'128020','128020','02', '11000003','00','Request by Mr. Saqib Saleem 27-Mar-2025');</v>
      </c>
      <c r="H12" s="14" t="str">
        <f t="shared" si="3"/>
        <v>insert into ins_premium_det (premium_rcv_code,assorted_code, rec_amount,premium_rcv_detail_code,remaining_amt, payrec, mode_code,coinsurance_code,class_cd,it_remarks) values('27Mar250025','070000176415','128020',(select max(to_number(i.premium_rcv_detail_code))+1
from ins_premium_det i),'128020','128020','02', '11000003','00','Request by Mr. Saqib Saleem 27-Mar-2025');</v>
      </c>
    </row>
    <row r="13" spans="1:8" ht="105">
      <c r="A13" s="2" t="s">
        <v>446</v>
      </c>
      <c r="B13" s="10" t="str">
        <f>VLOOKUP(A13,policy!B:C,2,)</f>
        <v>070000178647</v>
      </c>
      <c r="C13" s="3">
        <v>177980</v>
      </c>
      <c r="D13" s="11">
        <f t="shared" si="1"/>
        <v>177980</v>
      </c>
      <c r="E13" s="15" t="s">
        <v>653</v>
      </c>
      <c r="F13" s="12" t="str">
        <f t="shared" si="0"/>
        <v>insert into ins_premium_det (premium_rcv_code,assorted_code, rec_amount,premium_rcv_detail_code,remaining_amt, payrec, mode_code,coinsurance_code,class_cd,it_remarks) values</v>
      </c>
      <c r="G13" s="13" t="str">
        <f t="shared" si="2"/>
        <v>('27Mar250025','070000178647','177980',(select max(to_number(i.premium_rcv_detail_code))+1
from ins_premium_det i),'177980','177980','02', '11000003','00','Request by Mr. Saqib Saleem 27-Mar-2025');</v>
      </c>
      <c r="H13" s="14" t="str">
        <f t="shared" si="3"/>
        <v>insert into ins_premium_det (premium_rcv_code,assorted_code, rec_amount,premium_rcv_detail_code,remaining_amt, payrec, mode_code,coinsurance_code,class_cd,it_remarks) values('27Mar250025','070000178647','177980',(select max(to_number(i.premium_rcv_detail_code))+1
from ins_premium_det i),'177980','177980','02', '11000003','00','Request by Mr. Saqib Saleem 27-Mar-2025');</v>
      </c>
    </row>
    <row r="14" spans="1:8" ht="105">
      <c r="A14" s="2" t="s">
        <v>423</v>
      </c>
      <c r="B14" s="10" t="str">
        <f>VLOOKUP(A14,policy!B:C,2,)</f>
        <v>070000176404</v>
      </c>
      <c r="C14" s="3">
        <v>141216</v>
      </c>
      <c r="D14" s="11">
        <f t="shared" si="1"/>
        <v>141216</v>
      </c>
      <c r="E14" s="15" t="s">
        <v>653</v>
      </c>
      <c r="F14" s="12" t="str">
        <f t="shared" si="0"/>
        <v>insert into ins_premium_det (premium_rcv_code,assorted_code, rec_amount,premium_rcv_detail_code,remaining_amt, payrec, mode_code,coinsurance_code,class_cd,it_remarks) values</v>
      </c>
      <c r="G14" s="13" t="str">
        <f t="shared" si="2"/>
        <v>('27Mar250025','070000176404','141216',(select max(to_number(i.premium_rcv_detail_code))+1
from ins_premium_det i),'141216','141216','02', '11000003','00','Request by Mr. Saqib Saleem 27-Mar-2025');</v>
      </c>
      <c r="H14" s="14" t="str">
        <f t="shared" si="3"/>
        <v>insert into ins_premium_det (premium_rcv_code,assorted_code, rec_amount,premium_rcv_detail_code,remaining_amt, payrec, mode_code,coinsurance_code,class_cd,it_remarks) values('27Mar250025','070000176404','141216',(select max(to_number(i.premium_rcv_detail_code))+1
from ins_premium_det i),'141216','141216','02', '11000003','00','Request by Mr. Saqib Saleem 27-Mar-2025');</v>
      </c>
    </row>
    <row r="15" spans="1:8" ht="105">
      <c r="A15" s="2" t="s">
        <v>447</v>
      </c>
      <c r="B15" s="10" t="str">
        <f>VLOOKUP(A15,policy!B:C,2,)</f>
        <v>070000176806</v>
      </c>
      <c r="C15" s="3">
        <v>161780</v>
      </c>
      <c r="D15" s="11">
        <f t="shared" si="1"/>
        <v>161780</v>
      </c>
      <c r="E15" s="15" t="s">
        <v>653</v>
      </c>
      <c r="F15" s="12" t="str">
        <f t="shared" si="0"/>
        <v>insert into ins_premium_det (premium_rcv_code,assorted_code, rec_amount,premium_rcv_detail_code,remaining_amt, payrec, mode_code,coinsurance_code,class_cd,it_remarks) values</v>
      </c>
      <c r="G15" s="13" t="str">
        <f t="shared" si="2"/>
        <v>('27Mar250025','070000176806','161780',(select max(to_number(i.premium_rcv_detail_code))+1
from ins_premium_det i),'161780','161780','02', '11000003','00','Request by Mr. Saqib Saleem 27-Mar-2025');</v>
      </c>
      <c r="H15" s="14" t="str">
        <f t="shared" si="3"/>
        <v>insert into ins_premium_det (premium_rcv_code,assorted_code, rec_amount,premium_rcv_detail_code,remaining_amt, payrec, mode_code,coinsurance_code,class_cd,it_remarks) values('27Mar250025','070000176806','161780',(select max(to_number(i.premium_rcv_detail_code))+1
from ins_premium_det i),'161780','161780','02', '11000003','00','Request by Mr. Saqib Saleem 27-Mar-2025');</v>
      </c>
    </row>
    <row r="16" spans="1:8" ht="105">
      <c r="A16" s="2" t="s">
        <v>448</v>
      </c>
      <c r="B16" s="10" t="str">
        <f>VLOOKUP(A16,policy!B:C,2,)</f>
        <v>070000175204</v>
      </c>
      <c r="C16" s="3">
        <v>120000</v>
      </c>
      <c r="D16" s="11">
        <f t="shared" si="1"/>
        <v>120000</v>
      </c>
      <c r="E16" s="15" t="s">
        <v>653</v>
      </c>
      <c r="F16" s="12" t="str">
        <f t="shared" si="0"/>
        <v>insert into ins_premium_det (premium_rcv_code,assorted_code, rec_amount,premium_rcv_detail_code,remaining_amt, payrec, mode_code,coinsurance_code,class_cd,it_remarks) values</v>
      </c>
      <c r="G16" s="13" t="str">
        <f t="shared" si="2"/>
        <v>('27Mar250025','070000175204','120000',(select max(to_number(i.premium_rcv_detail_code))+1
from ins_premium_det i),'120000','120000','02', '11000003','00','Request by Mr. Saqib Saleem 27-Mar-2025');</v>
      </c>
      <c r="H16" s="14" t="str">
        <f t="shared" si="3"/>
        <v>insert into ins_premium_det (premium_rcv_code,assorted_code, rec_amount,premium_rcv_detail_code,remaining_amt, payrec, mode_code,coinsurance_code,class_cd,it_remarks) values('27Mar250025','070000175204','120000',(select max(to_number(i.premium_rcv_detail_code))+1
from ins_premium_det i),'120000','120000','02', '11000003','00','Request by Mr. Saqib Saleem 27-Mar-2025');</v>
      </c>
    </row>
    <row r="17" spans="1:8" ht="105">
      <c r="A17" s="2" t="s">
        <v>449</v>
      </c>
      <c r="B17" s="10" t="str">
        <f>VLOOKUP(A17,policy!B:C,2,)</f>
        <v>070000176534</v>
      </c>
      <c r="C17" s="3">
        <v>82583</v>
      </c>
      <c r="D17" s="11">
        <f t="shared" si="1"/>
        <v>82583</v>
      </c>
      <c r="E17" s="15" t="s">
        <v>653</v>
      </c>
      <c r="F17" s="12" t="str">
        <f t="shared" si="0"/>
        <v>insert into ins_premium_det (premium_rcv_code,assorted_code, rec_amount,premium_rcv_detail_code,remaining_amt, payrec, mode_code,coinsurance_code,class_cd,it_remarks) values</v>
      </c>
      <c r="G17" s="13" t="str">
        <f t="shared" si="2"/>
        <v>('27Mar250025','070000176534','82583',(select max(to_number(i.premium_rcv_detail_code))+1
from ins_premium_det i),'82583','82583','02', '11000003','00','Request by Mr. Saqib Saleem 27-Mar-2025');</v>
      </c>
      <c r="H17" s="14" t="str">
        <f t="shared" si="3"/>
        <v>insert into ins_premium_det (premium_rcv_code,assorted_code, rec_amount,premium_rcv_detail_code,remaining_amt, payrec, mode_code,coinsurance_code,class_cd,it_remarks) values('27Mar250025','070000176534','82583',(select max(to_number(i.premium_rcv_detail_code))+1
from ins_premium_det i),'82583','82583','02', '11000003','00','Request by Mr. Saqib Saleem 27-Mar-2025');</v>
      </c>
    </row>
    <row r="18" spans="1:8" ht="105">
      <c r="A18" s="2" t="s">
        <v>450</v>
      </c>
      <c r="B18" s="10" t="str">
        <f>VLOOKUP(A18,policy!B:C,2,)</f>
        <v>070000176565</v>
      </c>
      <c r="C18" s="3">
        <v>82583</v>
      </c>
      <c r="D18" s="11">
        <f t="shared" si="1"/>
        <v>82583</v>
      </c>
      <c r="E18" s="15" t="s">
        <v>653</v>
      </c>
      <c r="F18" s="12" t="str">
        <f t="shared" si="0"/>
        <v>insert into ins_premium_det (premium_rcv_code,assorted_code, rec_amount,premium_rcv_detail_code,remaining_amt, payrec, mode_code,coinsurance_code,class_cd,it_remarks) values</v>
      </c>
      <c r="G18" s="13" t="str">
        <f t="shared" si="2"/>
        <v>('27Mar250025','070000176565','82583',(select max(to_number(i.premium_rcv_detail_code))+1
from ins_premium_det i),'82583','82583','02', '11000003','00','Request by Mr. Saqib Saleem 27-Mar-2025');</v>
      </c>
      <c r="H18" s="14" t="str">
        <f t="shared" si="3"/>
        <v>insert into ins_premium_det (premium_rcv_code,assorted_code, rec_amount,premium_rcv_detail_code,remaining_amt, payrec, mode_code,coinsurance_code,class_cd,it_remarks) values('27Mar250025','070000176565','82583',(select max(to_number(i.premium_rcv_detail_code))+1
from ins_premium_det i),'82583','82583','02', '11000003','00','Request by Mr. Saqib Saleem 27-Mar-2025');</v>
      </c>
    </row>
    <row r="19" spans="1:8" ht="105">
      <c r="A19" s="2" t="s">
        <v>451</v>
      </c>
      <c r="B19" s="10" t="str">
        <f>VLOOKUP(A19,policy!B:C,2,)</f>
        <v>070000176531</v>
      </c>
      <c r="C19" s="3">
        <v>56875</v>
      </c>
      <c r="D19" s="11">
        <f t="shared" si="1"/>
        <v>56875</v>
      </c>
      <c r="E19" s="15" t="s">
        <v>653</v>
      </c>
      <c r="F19" s="12" t="str">
        <f t="shared" si="0"/>
        <v>insert into ins_premium_det (premium_rcv_code,assorted_code, rec_amount,premium_rcv_detail_code,remaining_amt, payrec, mode_code,coinsurance_code,class_cd,it_remarks) values</v>
      </c>
      <c r="G19" s="13" t="str">
        <f t="shared" si="2"/>
        <v>('27Mar250025','070000176531','56875',(select max(to_number(i.premium_rcv_detail_code))+1
from ins_premium_det i),'56875','56875','02', '11000003','00','Request by Mr. Saqib Saleem 27-Mar-2025');</v>
      </c>
      <c r="H19" s="14" t="str">
        <f t="shared" si="3"/>
        <v>insert into ins_premium_det (premium_rcv_code,assorted_code, rec_amount,premium_rcv_detail_code,remaining_amt, payrec, mode_code,coinsurance_code,class_cd,it_remarks) values('27Mar250025','070000176531','56875',(select max(to_number(i.premium_rcv_detail_code))+1
from ins_premium_det i),'56875','56875','02', '11000003','00','Request by Mr. Saqib Saleem 27-Mar-2025');</v>
      </c>
    </row>
    <row r="20" spans="1:8" ht="105">
      <c r="A20" s="2" t="s">
        <v>424</v>
      </c>
      <c r="B20" s="10" t="str">
        <f>VLOOKUP(A20,policy!B:C,2,)</f>
        <v>070000176576</v>
      </c>
      <c r="C20" s="3">
        <v>77000</v>
      </c>
      <c r="D20" s="11">
        <f t="shared" si="1"/>
        <v>77000</v>
      </c>
      <c r="E20" s="15" t="s">
        <v>653</v>
      </c>
      <c r="F20" s="12" t="str">
        <f t="shared" si="0"/>
        <v>insert into ins_premium_det (premium_rcv_code,assorted_code, rec_amount,premium_rcv_detail_code,remaining_amt, payrec, mode_code,coinsurance_code,class_cd,it_remarks) values</v>
      </c>
      <c r="G20" s="13" t="str">
        <f t="shared" si="2"/>
        <v>('27Mar250025','070000176576','77000',(select max(to_number(i.premium_rcv_detail_code))+1
from ins_premium_det i),'77000','77000','02', '11000003','00','Request by Mr. Saqib Saleem 27-Mar-2025');</v>
      </c>
      <c r="H20" s="14" t="str">
        <f t="shared" si="3"/>
        <v>insert into ins_premium_det (premium_rcv_code,assorted_code, rec_amount,premium_rcv_detail_code,remaining_amt, payrec, mode_code,coinsurance_code,class_cd,it_remarks) values('27Mar250025','070000176576','77000',(select max(to_number(i.premium_rcv_detail_code))+1
from ins_premium_det i),'77000','77000','02', '11000003','00','Request by Mr. Saqib Saleem 27-Mar-2025');</v>
      </c>
    </row>
    <row r="21" spans="1:8" ht="105">
      <c r="A21" s="2" t="s">
        <v>452</v>
      </c>
      <c r="B21" s="10" t="str">
        <f>VLOOKUP(A21,policy!B:C,2,)</f>
        <v>070000176750</v>
      </c>
      <c r="C21" s="3">
        <v>82583</v>
      </c>
      <c r="D21" s="11">
        <f t="shared" si="1"/>
        <v>82583</v>
      </c>
      <c r="E21" s="15" t="s">
        <v>653</v>
      </c>
      <c r="F21" s="12" t="str">
        <f t="shared" si="0"/>
        <v>insert into ins_premium_det (premium_rcv_code,assorted_code, rec_amount,premium_rcv_detail_code,remaining_amt, payrec, mode_code,coinsurance_code,class_cd,it_remarks) values</v>
      </c>
      <c r="G21" s="13" t="str">
        <f t="shared" si="2"/>
        <v>('27Mar250025','070000176750','82583',(select max(to_number(i.premium_rcv_detail_code))+1
from ins_premium_det i),'82583','82583','02', '11000003','00','Request by Mr. Saqib Saleem 27-Mar-2025');</v>
      </c>
      <c r="H21" s="14" t="str">
        <f t="shared" si="3"/>
        <v>insert into ins_premium_det (premium_rcv_code,assorted_code, rec_amount,premium_rcv_detail_code,remaining_amt, payrec, mode_code,coinsurance_code,class_cd,it_remarks) values('27Mar250025','070000176750','82583',(select max(to_number(i.premium_rcv_detail_code))+1
from ins_premium_det i),'82583','82583','02', '11000003','00','Request by Mr. Saqib Saleem 27-Mar-2025');</v>
      </c>
    </row>
    <row r="22" spans="1:8" ht="105">
      <c r="A22" s="2" t="s">
        <v>453</v>
      </c>
      <c r="B22" s="10" t="str">
        <f>VLOOKUP(A22,policy!B:C,2,)</f>
        <v>070000177179</v>
      </c>
      <c r="C22" s="3">
        <v>37625</v>
      </c>
      <c r="D22" s="11">
        <f t="shared" si="1"/>
        <v>37625</v>
      </c>
      <c r="E22" s="15" t="s">
        <v>653</v>
      </c>
      <c r="F22" s="12" t="str">
        <f t="shared" si="0"/>
        <v>insert into ins_premium_det (premium_rcv_code,assorted_code, rec_amount,premium_rcv_detail_code,remaining_amt, payrec, mode_code,coinsurance_code,class_cd,it_remarks) values</v>
      </c>
      <c r="G22" s="13" t="str">
        <f t="shared" si="2"/>
        <v>('27Mar250025','070000177179','37625',(select max(to_number(i.premium_rcv_detail_code))+1
from ins_premium_det i),'37625','37625','02', '11000003','00','Request by Mr. Saqib Saleem 27-Mar-2025');</v>
      </c>
      <c r="H22" s="14" t="str">
        <f t="shared" si="3"/>
        <v>insert into ins_premium_det (premium_rcv_code,assorted_code, rec_amount,premium_rcv_detail_code,remaining_amt, payrec, mode_code,coinsurance_code,class_cd,it_remarks) values('27Mar250025','070000177179','37625',(select max(to_number(i.premium_rcv_detail_code))+1
from ins_premium_det i),'37625','37625','02', '11000003','00','Request by Mr. Saqib Saleem 27-Mar-2025');</v>
      </c>
    </row>
    <row r="23" spans="1:8" ht="105">
      <c r="A23" s="2" t="s">
        <v>454</v>
      </c>
      <c r="B23" s="10" t="str">
        <f>VLOOKUP(A23,policy!B:C,2,)</f>
        <v>070000177318</v>
      </c>
      <c r="C23" s="3">
        <v>50750</v>
      </c>
      <c r="D23" s="11">
        <f t="shared" si="1"/>
        <v>50750</v>
      </c>
      <c r="E23" s="15" t="s">
        <v>653</v>
      </c>
      <c r="F23" s="12" t="str">
        <f t="shared" si="0"/>
        <v>insert into ins_premium_det (premium_rcv_code,assorted_code, rec_amount,premium_rcv_detail_code,remaining_amt, payrec, mode_code,coinsurance_code,class_cd,it_remarks) values</v>
      </c>
      <c r="G23" s="13" t="str">
        <f t="shared" si="2"/>
        <v>('27Mar250025','070000177318','50750',(select max(to_number(i.premium_rcv_detail_code))+1
from ins_premium_det i),'50750','50750','02', '11000003','00','Request by Mr. Saqib Saleem 27-Mar-2025');</v>
      </c>
      <c r="H23" s="14" t="str">
        <f t="shared" si="3"/>
        <v>insert into ins_premium_det (premium_rcv_code,assorted_code, rec_amount,premium_rcv_detail_code,remaining_amt, payrec, mode_code,coinsurance_code,class_cd,it_remarks) values('27Mar250025','070000177318','50750',(select max(to_number(i.premium_rcv_detail_code))+1
from ins_premium_det i),'50750','50750','02', '11000003','00','Request by Mr. Saqib Saleem 27-Mar-2025');</v>
      </c>
    </row>
    <row r="24" spans="1:8" ht="105">
      <c r="A24" s="2" t="s">
        <v>455</v>
      </c>
      <c r="B24" s="10" t="str">
        <f>VLOOKUP(A24,policy!B:C,2,)</f>
        <v>070000177315</v>
      </c>
      <c r="C24" s="3">
        <v>53288</v>
      </c>
      <c r="D24" s="11">
        <f t="shared" si="1"/>
        <v>53288</v>
      </c>
      <c r="E24" s="15" t="s">
        <v>653</v>
      </c>
      <c r="F24" s="12" t="str">
        <f t="shared" si="0"/>
        <v>insert into ins_premium_det (premium_rcv_code,assorted_code, rec_amount,premium_rcv_detail_code,remaining_amt, payrec, mode_code,coinsurance_code,class_cd,it_remarks) values</v>
      </c>
      <c r="G24" s="13" t="str">
        <f t="shared" si="2"/>
        <v>('27Mar250025','070000177315','53288',(select max(to_number(i.premium_rcv_detail_code))+1
from ins_premium_det i),'53288','53288','02', '11000003','00','Request by Mr. Saqib Saleem 27-Mar-2025');</v>
      </c>
      <c r="H24" s="14" t="str">
        <f t="shared" si="3"/>
        <v>insert into ins_premium_det (premium_rcv_code,assorted_code, rec_amount,premium_rcv_detail_code,remaining_amt, payrec, mode_code,coinsurance_code,class_cd,it_remarks) values('27Mar250025','070000177315','53288',(select max(to_number(i.premium_rcv_detail_code))+1
from ins_premium_det i),'53288','53288','02', '11000003','00','Request by Mr. Saqib Saleem 27-Mar-2025');</v>
      </c>
    </row>
    <row r="25" spans="1:8" ht="105">
      <c r="A25" s="2" t="s">
        <v>456</v>
      </c>
      <c r="B25" s="10" t="str">
        <f>VLOOKUP(A25,policy!B:C,2,)</f>
        <v>070000177655</v>
      </c>
      <c r="C25" s="3">
        <v>22750</v>
      </c>
      <c r="D25" s="11">
        <f t="shared" si="1"/>
        <v>22750</v>
      </c>
      <c r="E25" s="15" t="s">
        <v>653</v>
      </c>
      <c r="F25" s="12" t="str">
        <f t="shared" si="0"/>
        <v>insert into ins_premium_det (premium_rcv_code,assorted_code, rec_amount,premium_rcv_detail_code,remaining_amt, payrec, mode_code,coinsurance_code,class_cd,it_remarks) values</v>
      </c>
      <c r="G25" s="13" t="str">
        <f t="shared" si="2"/>
        <v>('27Mar250025','070000177655','22750',(select max(to_number(i.premium_rcv_detail_code))+1
from ins_premium_det i),'22750','22750','02', '11000003','00','Request by Mr. Saqib Saleem 27-Mar-2025');</v>
      </c>
      <c r="H25" s="14" t="str">
        <f t="shared" si="3"/>
        <v>insert into ins_premium_det (premium_rcv_code,assorted_code, rec_amount,premium_rcv_detail_code,remaining_amt, payrec, mode_code,coinsurance_code,class_cd,it_remarks) values('27Mar250025','070000177655','22750',(select max(to_number(i.premium_rcv_detail_code))+1
from ins_premium_det i),'22750','22750','02', '11000003','00','Request by Mr. Saqib Saleem 27-Mar-2025');</v>
      </c>
    </row>
    <row r="26" spans="1:8" ht="105">
      <c r="A26" s="2" t="s">
        <v>457</v>
      </c>
      <c r="B26" s="10" t="str">
        <f>VLOOKUP(A26,policy!B:C,2,)</f>
        <v>070000177317</v>
      </c>
      <c r="C26" s="3">
        <v>143483</v>
      </c>
      <c r="D26" s="11">
        <f t="shared" si="1"/>
        <v>143483</v>
      </c>
      <c r="E26" s="15" t="s">
        <v>653</v>
      </c>
      <c r="F26" s="12" t="str">
        <f t="shared" si="0"/>
        <v>insert into ins_premium_det (premium_rcv_code,assorted_code, rec_amount,premium_rcv_detail_code,remaining_amt, payrec, mode_code,coinsurance_code,class_cd,it_remarks) values</v>
      </c>
      <c r="G26" s="13" t="str">
        <f t="shared" si="2"/>
        <v>('27Mar250025','070000177317','143483',(select max(to_number(i.premium_rcv_detail_code))+1
from ins_premium_det i),'143483','143483','02', '11000003','00','Request by Mr. Saqib Saleem 27-Mar-2025');</v>
      </c>
      <c r="H26" s="14" t="str">
        <f t="shared" si="3"/>
        <v>insert into ins_premium_det (premium_rcv_code,assorted_code, rec_amount,premium_rcv_detail_code,remaining_amt, payrec, mode_code,coinsurance_code,class_cd,it_remarks) values('27Mar250025','070000177317','143483',(select max(to_number(i.premium_rcv_detail_code))+1
from ins_premium_det i),'143483','143483','02', '11000003','00','Request by Mr. Saqib Saleem 27-Mar-2025');</v>
      </c>
    </row>
    <row r="27" spans="1:8" ht="105">
      <c r="A27" s="2" t="s">
        <v>493</v>
      </c>
      <c r="B27" s="10" t="str">
        <f>VLOOKUP(A27,policy!B:C,2,)</f>
        <v>070000177656</v>
      </c>
      <c r="C27" s="3">
        <v>50645</v>
      </c>
      <c r="D27" s="11">
        <f t="shared" si="1"/>
        <v>50645</v>
      </c>
      <c r="E27" s="15" t="s">
        <v>653</v>
      </c>
      <c r="F27" s="12" t="str">
        <f t="shared" si="0"/>
        <v>insert into ins_premium_det (premium_rcv_code,assorted_code, rec_amount,premium_rcv_detail_code,remaining_amt, payrec, mode_code,coinsurance_code,class_cd,it_remarks) values</v>
      </c>
      <c r="G27" s="13" t="str">
        <f t="shared" si="2"/>
        <v>('27Mar250025','070000177656','50645',(select max(to_number(i.premium_rcv_detail_code))+1
from ins_premium_det i),'50645','50645','02', '11000003','00','Request by Mr. Saqib Saleem 27-Mar-2025');</v>
      </c>
      <c r="H27" s="14" t="str">
        <f t="shared" si="3"/>
        <v>insert into ins_premium_det (premium_rcv_code,assorted_code, rec_amount,premium_rcv_detail_code,remaining_amt, payrec, mode_code,coinsurance_code,class_cd,it_remarks) values('27Mar250025','070000177656','50645',(select max(to_number(i.premium_rcv_detail_code))+1
from ins_premium_det i),'50645','50645','02', '11000003','00','Request by Mr. Saqib Saleem 27-Mar-2025');</v>
      </c>
    </row>
    <row r="28" spans="1:8" ht="105">
      <c r="A28" s="2" t="s">
        <v>425</v>
      </c>
      <c r="B28" s="10" t="str">
        <f>VLOOKUP(A28,policy!B:C,2,)</f>
        <v>070000177704</v>
      </c>
      <c r="C28" s="3">
        <v>66500</v>
      </c>
      <c r="D28" s="11">
        <f t="shared" si="1"/>
        <v>66500</v>
      </c>
      <c r="E28" s="15" t="s">
        <v>653</v>
      </c>
      <c r="F28" s="12" t="str">
        <f t="shared" si="0"/>
        <v>insert into ins_premium_det (premium_rcv_code,assorted_code, rec_amount,premium_rcv_detail_code,remaining_amt, payrec, mode_code,coinsurance_code,class_cd,it_remarks) values</v>
      </c>
      <c r="G28" s="13" t="str">
        <f t="shared" si="2"/>
        <v>('27Mar250025','070000177704','66500',(select max(to_number(i.premium_rcv_detail_code))+1
from ins_premium_det i),'66500','66500','02', '11000003','00','Request by Mr. Saqib Saleem 27-Mar-2025');</v>
      </c>
      <c r="H28" s="14" t="str">
        <f t="shared" si="3"/>
        <v>insert into ins_premium_det (premium_rcv_code,assorted_code, rec_amount,premium_rcv_detail_code,remaining_amt, payrec, mode_code,coinsurance_code,class_cd,it_remarks) values('27Mar250025','070000177704','66500',(select max(to_number(i.premium_rcv_detail_code))+1
from ins_premium_det i),'66500','66500','02', '11000003','00','Request by Mr. Saqib Saleem 27-Mar-2025');</v>
      </c>
    </row>
    <row r="29" spans="1:8" ht="105">
      <c r="A29" s="2" t="s">
        <v>458</v>
      </c>
      <c r="B29" s="10" t="str">
        <f>VLOOKUP(A29,policy!B:C,2,)</f>
        <v>070000177763</v>
      </c>
      <c r="C29" s="3">
        <v>56875</v>
      </c>
      <c r="D29" s="11">
        <f t="shared" si="1"/>
        <v>56875</v>
      </c>
      <c r="E29" s="15" t="s">
        <v>653</v>
      </c>
      <c r="F29" s="12" t="str">
        <f t="shared" si="0"/>
        <v>insert into ins_premium_det (premium_rcv_code,assorted_code, rec_amount,premium_rcv_detail_code,remaining_amt, payrec, mode_code,coinsurance_code,class_cd,it_remarks) values</v>
      </c>
      <c r="G29" s="13" t="str">
        <f t="shared" si="2"/>
        <v>('27Mar250025','070000177763','56875',(select max(to_number(i.premium_rcv_detail_code))+1
from ins_premium_det i),'56875','56875','02', '11000003','00','Request by Mr. Saqib Saleem 27-Mar-2025');</v>
      </c>
      <c r="H29" s="14" t="str">
        <f t="shared" si="3"/>
        <v>insert into ins_premium_det (premium_rcv_code,assorted_code, rec_amount,premium_rcv_detail_code,remaining_amt, payrec, mode_code,coinsurance_code,class_cd,it_remarks) values('27Mar250025','070000177763','56875',(select max(to_number(i.premium_rcv_detail_code))+1
from ins_premium_det i),'56875','56875','02', '11000003','00','Request by Mr. Saqib Saleem 27-Mar-2025');</v>
      </c>
    </row>
    <row r="30" spans="1:8" ht="105">
      <c r="A30" s="2" t="s">
        <v>426</v>
      </c>
      <c r="B30" s="10" t="str">
        <f>VLOOKUP(A30,policy!B:C,2,)</f>
        <v>070000177752</v>
      </c>
      <c r="C30" s="3">
        <v>53288</v>
      </c>
      <c r="D30" s="11">
        <f t="shared" si="1"/>
        <v>53288</v>
      </c>
      <c r="E30" s="15" t="s">
        <v>653</v>
      </c>
      <c r="F30" s="12" t="str">
        <f t="shared" si="0"/>
        <v>insert into ins_premium_det (premium_rcv_code,assorted_code, rec_amount,premium_rcv_detail_code,remaining_amt, payrec, mode_code,coinsurance_code,class_cd,it_remarks) values</v>
      </c>
      <c r="G30" s="13" t="str">
        <f t="shared" si="2"/>
        <v>('27Mar250025','070000177752','53288',(select max(to_number(i.premium_rcv_detail_code))+1
from ins_premium_det i),'53288','53288','02', '11000003','00','Request by Mr. Saqib Saleem 27-Mar-2025');</v>
      </c>
      <c r="H30" s="14" t="str">
        <f t="shared" si="3"/>
        <v>insert into ins_premium_det (premium_rcv_code,assorted_code, rec_amount,premium_rcv_detail_code,remaining_amt, payrec, mode_code,coinsurance_code,class_cd,it_remarks) values('27Mar250025','070000177752','53288',(select max(to_number(i.premium_rcv_detail_code))+1
from ins_premium_det i),'53288','53288','02', '11000003','00','Request by Mr. Saqib Saleem 27-Mar-2025');</v>
      </c>
    </row>
    <row r="31" spans="1:8" ht="105">
      <c r="A31" s="2" t="s">
        <v>459</v>
      </c>
      <c r="B31" s="10" t="str">
        <f>VLOOKUP(A31,policy!B:C,2,)</f>
        <v>070000177768</v>
      </c>
      <c r="C31" s="3">
        <v>78750</v>
      </c>
      <c r="D31" s="11">
        <f t="shared" si="1"/>
        <v>78750</v>
      </c>
      <c r="E31" s="15" t="s">
        <v>653</v>
      </c>
      <c r="F31" s="12" t="str">
        <f t="shared" si="0"/>
        <v>insert into ins_premium_det (premium_rcv_code,assorted_code, rec_amount,premium_rcv_detail_code,remaining_amt, payrec, mode_code,coinsurance_code,class_cd,it_remarks) values</v>
      </c>
      <c r="G31" s="13" t="str">
        <f t="shared" si="2"/>
        <v>('27Mar250025','070000177768','78750',(select max(to_number(i.premium_rcv_detail_code))+1
from ins_premium_det i),'78750','78750','02', '11000003','00','Request by Mr. Saqib Saleem 27-Mar-2025');</v>
      </c>
      <c r="H31" s="14" t="str">
        <f t="shared" si="3"/>
        <v>insert into ins_premium_det (premium_rcv_code,assorted_code, rec_amount,premium_rcv_detail_code,remaining_amt, payrec, mode_code,coinsurance_code,class_cd,it_remarks) values('27Mar250025','070000177768','78750',(select max(to_number(i.premium_rcv_detail_code))+1
from ins_premium_det i),'78750','78750','02', '11000003','00','Request by Mr. Saqib Saleem 27-Mar-2025');</v>
      </c>
    </row>
    <row r="32" spans="1:8" ht="105">
      <c r="A32" s="2" t="s">
        <v>427</v>
      </c>
      <c r="B32" s="10" t="str">
        <f>VLOOKUP(A32,policy!B:C,2,)</f>
        <v>070000177842</v>
      </c>
      <c r="C32" s="3">
        <v>46813</v>
      </c>
      <c r="D32" s="11">
        <f t="shared" si="1"/>
        <v>46813</v>
      </c>
      <c r="E32" s="15" t="s">
        <v>653</v>
      </c>
      <c r="F32" s="12" t="str">
        <f t="shared" si="0"/>
        <v>insert into ins_premium_det (premium_rcv_code,assorted_code, rec_amount,premium_rcv_detail_code,remaining_amt, payrec, mode_code,coinsurance_code,class_cd,it_remarks) values</v>
      </c>
      <c r="G32" s="13" t="str">
        <f t="shared" si="2"/>
        <v>('27Mar250025','070000177842','46813',(select max(to_number(i.premium_rcv_detail_code))+1
from ins_premium_det i),'46813','46813','02', '11000003','00','Request by Mr. Saqib Saleem 27-Mar-2025');</v>
      </c>
      <c r="H32" s="14" t="str">
        <f t="shared" si="3"/>
        <v>insert into ins_premium_det (premium_rcv_code,assorted_code, rec_amount,premium_rcv_detail_code,remaining_amt, payrec, mode_code,coinsurance_code,class_cd,it_remarks) values('27Mar250025','070000177842','46813',(select max(to_number(i.premium_rcv_detail_code))+1
from ins_premium_det i),'46813','46813','02', '11000003','00','Request by Mr. Saqib Saleem 27-Mar-2025');</v>
      </c>
    </row>
    <row r="33" spans="1:8" ht="105">
      <c r="A33" s="2" t="s">
        <v>428</v>
      </c>
      <c r="B33" s="10" t="str">
        <f>VLOOKUP(A33,policy!B:C,2,)</f>
        <v>070000177845</v>
      </c>
      <c r="C33" s="3">
        <v>84000</v>
      </c>
      <c r="D33" s="11">
        <f t="shared" si="1"/>
        <v>84000</v>
      </c>
      <c r="E33" s="15" t="s">
        <v>653</v>
      </c>
      <c r="F33" s="12" t="str">
        <f t="shared" si="0"/>
        <v>insert into ins_premium_det (premium_rcv_code,assorted_code, rec_amount,premium_rcv_detail_code,remaining_amt, payrec, mode_code,coinsurance_code,class_cd,it_remarks) values</v>
      </c>
      <c r="G33" s="13" t="str">
        <f t="shared" si="2"/>
        <v>('27Mar250025','070000177845','84000',(select max(to_number(i.premium_rcv_detail_code))+1
from ins_premium_det i),'84000','84000','02', '11000003','00','Request by Mr. Saqib Saleem 27-Mar-2025');</v>
      </c>
      <c r="H33" s="14" t="str">
        <f t="shared" si="3"/>
        <v>insert into ins_premium_det (premium_rcv_code,assorted_code, rec_amount,premium_rcv_detail_code,remaining_amt, payrec, mode_code,coinsurance_code,class_cd,it_remarks) values('27Mar250025','070000177845','84000',(select max(to_number(i.premium_rcv_detail_code))+1
from ins_premium_det i),'84000','84000','02', '11000003','00','Request by Mr. Saqib Saleem 27-Mar-2025');</v>
      </c>
    </row>
    <row r="34" spans="1:8" ht="105">
      <c r="A34" s="2" t="s">
        <v>460</v>
      </c>
      <c r="B34" s="10" t="str">
        <f>VLOOKUP(A34,policy!B:C,2,)</f>
        <v>070000177852</v>
      </c>
      <c r="C34" s="3">
        <v>74375</v>
      </c>
      <c r="D34" s="11">
        <f t="shared" si="1"/>
        <v>74375</v>
      </c>
      <c r="E34" s="15" t="s">
        <v>653</v>
      </c>
      <c r="F34" s="12" t="str">
        <f t="shared" si="0"/>
        <v>insert into ins_premium_det (premium_rcv_code,assorted_code, rec_amount,premium_rcv_detail_code,remaining_amt, payrec, mode_code,coinsurance_code,class_cd,it_remarks) values</v>
      </c>
      <c r="G34" s="13" t="str">
        <f t="shared" si="2"/>
        <v>('27Mar250025','070000177852','74375',(select max(to_number(i.premium_rcv_detail_code))+1
from ins_premium_det i),'74375','74375','02', '11000003','00','Request by Mr. Saqib Saleem 27-Mar-2025');</v>
      </c>
      <c r="H34" s="14" t="str">
        <f t="shared" si="3"/>
        <v>insert into ins_premium_det (premium_rcv_code,assorted_code, rec_amount,premium_rcv_detail_code,remaining_amt, payrec, mode_code,coinsurance_code,class_cd,it_remarks) values('27Mar250025','070000177852','74375',(select max(to_number(i.premium_rcv_detail_code))+1
from ins_premium_det i),'74375','74375','02', '11000003','00','Request by Mr. Saqib Saleem 27-Mar-2025');</v>
      </c>
    </row>
    <row r="35" spans="1:8" ht="105">
      <c r="A35" s="2" t="s">
        <v>461</v>
      </c>
      <c r="B35" s="10" t="str">
        <f>VLOOKUP(A35,policy!B:C,2,)</f>
        <v>070000178408</v>
      </c>
      <c r="C35" s="3">
        <v>67375</v>
      </c>
      <c r="D35" s="11">
        <f t="shared" si="1"/>
        <v>67375</v>
      </c>
      <c r="E35" s="15" t="s">
        <v>653</v>
      </c>
      <c r="F35" s="12" t="str">
        <f t="shared" si="0"/>
        <v>insert into ins_premium_det (premium_rcv_code,assorted_code, rec_amount,premium_rcv_detail_code,remaining_amt, payrec, mode_code,coinsurance_code,class_cd,it_remarks) values</v>
      </c>
      <c r="G35" s="13" t="str">
        <f t="shared" si="2"/>
        <v>('27Mar250025','070000178408','67375',(select max(to_number(i.premium_rcv_detail_code))+1
from ins_premium_det i),'67375','67375','02', '11000003','00','Request by Mr. Saqib Saleem 27-Mar-2025');</v>
      </c>
      <c r="H35" s="14" t="str">
        <f t="shared" si="3"/>
        <v>insert into ins_premium_det (premium_rcv_code,assorted_code, rec_amount,premium_rcv_detail_code,remaining_amt, payrec, mode_code,coinsurance_code,class_cd,it_remarks) values('27Mar250025','070000178408','67375',(select max(to_number(i.premium_rcv_detail_code))+1
from ins_premium_det i),'67375','67375','02', '11000003','00','Request by Mr. Saqib Saleem 27-Mar-2025');</v>
      </c>
    </row>
    <row r="36" spans="1:8" ht="105">
      <c r="A36" s="2" t="s">
        <v>429</v>
      </c>
      <c r="B36" s="10" t="str">
        <f>VLOOKUP(A36,policy!B:C,2,)</f>
        <v>070000178592</v>
      </c>
      <c r="C36" s="3">
        <v>70000</v>
      </c>
      <c r="D36" s="11">
        <f t="shared" si="1"/>
        <v>70000</v>
      </c>
      <c r="E36" s="15" t="s">
        <v>653</v>
      </c>
      <c r="F36" s="12" t="str">
        <f t="shared" si="0"/>
        <v>insert into ins_premium_det (premium_rcv_code,assorted_code, rec_amount,premium_rcv_detail_code,remaining_amt, payrec, mode_code,coinsurance_code,class_cd,it_remarks) values</v>
      </c>
      <c r="G36" s="13" t="str">
        <f t="shared" si="2"/>
        <v>('27Mar250025','070000178592','70000',(select max(to_number(i.premium_rcv_detail_code))+1
from ins_premium_det i),'70000','70000','02', '11000003','00','Request by Mr. Saqib Saleem 27-Mar-2025');</v>
      </c>
      <c r="H36" s="14" t="str">
        <f t="shared" si="3"/>
        <v>insert into ins_premium_det (premium_rcv_code,assorted_code, rec_amount,premium_rcv_detail_code,remaining_amt, payrec, mode_code,coinsurance_code,class_cd,it_remarks) values('27Mar250025','070000178592','70000',(select max(to_number(i.premium_rcv_detail_code))+1
from ins_premium_det i),'70000','70000','02', '11000003','00','Request by Mr. Saqib Saleem 27-Mar-2025');</v>
      </c>
    </row>
    <row r="37" spans="1:8" ht="105">
      <c r="A37" s="2" t="s">
        <v>462</v>
      </c>
      <c r="B37" s="10" t="str">
        <f>VLOOKUP(A37,policy!B:C,2,)</f>
        <v>070000178648</v>
      </c>
      <c r="C37" s="3">
        <v>52500</v>
      </c>
      <c r="D37" s="11">
        <f t="shared" si="1"/>
        <v>52500</v>
      </c>
      <c r="E37" s="15" t="s">
        <v>653</v>
      </c>
      <c r="F37" s="12" t="str">
        <f t="shared" si="0"/>
        <v>insert into ins_premium_det (premium_rcv_code,assorted_code, rec_amount,premium_rcv_detail_code,remaining_amt, payrec, mode_code,coinsurance_code,class_cd,it_remarks) values</v>
      </c>
      <c r="G37" s="13" t="str">
        <f t="shared" si="2"/>
        <v>('27Mar250025','070000178648','52500',(select max(to_number(i.premium_rcv_detail_code))+1
from ins_premium_det i),'52500','52500','02', '11000003','00','Request by Mr. Saqib Saleem 27-Mar-2025');</v>
      </c>
      <c r="H37" s="14" t="str">
        <f t="shared" si="3"/>
        <v>insert into ins_premium_det (premium_rcv_code,assorted_code, rec_amount,premium_rcv_detail_code,remaining_amt, payrec, mode_code,coinsurance_code,class_cd,it_remarks) values('27Mar250025','070000178648','52500',(select max(to_number(i.premium_rcv_detail_code))+1
from ins_premium_det i),'52500','52500','02', '11000003','00','Request by Mr. Saqib Saleem 27-Mar-2025');</v>
      </c>
    </row>
    <row r="38" spans="1:8" ht="105">
      <c r="A38" s="2" t="s">
        <v>430</v>
      </c>
      <c r="B38" s="10" t="str">
        <f>VLOOKUP(A38,policy!B:C,2,)</f>
        <v>070000178665</v>
      </c>
      <c r="C38" s="3">
        <v>68250</v>
      </c>
      <c r="D38" s="11">
        <f t="shared" si="1"/>
        <v>68250</v>
      </c>
      <c r="E38" s="15" t="s">
        <v>653</v>
      </c>
      <c r="F38" s="12" t="str">
        <f t="shared" si="0"/>
        <v>insert into ins_premium_det (premium_rcv_code,assorted_code, rec_amount,premium_rcv_detail_code,remaining_amt, payrec, mode_code,coinsurance_code,class_cd,it_remarks) values</v>
      </c>
      <c r="G38" s="13" t="str">
        <f t="shared" si="2"/>
        <v>('27Mar250025','070000178665','68250',(select max(to_number(i.premium_rcv_detail_code))+1
from ins_premium_det i),'68250','68250','02', '11000003','00','Request by Mr. Saqib Saleem 27-Mar-2025');</v>
      </c>
      <c r="H38" s="14" t="str">
        <f t="shared" si="3"/>
        <v>insert into ins_premium_det (premium_rcv_code,assorted_code, rec_amount,premium_rcv_detail_code,remaining_amt, payrec, mode_code,coinsurance_code,class_cd,it_remarks) values('27Mar250025','070000178665','68250',(select max(to_number(i.premium_rcv_detail_code))+1
from ins_premium_det i),'68250','68250','02', '11000003','00','Request by Mr. Saqib Saleem 27-Mar-2025');</v>
      </c>
    </row>
    <row r="39" spans="1:8" ht="105">
      <c r="A39" s="2" t="s">
        <v>463</v>
      </c>
      <c r="B39" s="10" t="str">
        <f>VLOOKUP(A39,policy!B:C,2,)</f>
        <v>070000179035</v>
      </c>
      <c r="C39" s="3">
        <v>63875</v>
      </c>
      <c r="D39" s="11">
        <f t="shared" si="1"/>
        <v>63875</v>
      </c>
      <c r="E39" s="15" t="s">
        <v>653</v>
      </c>
      <c r="F39" s="12" t="str">
        <f t="shared" si="0"/>
        <v>insert into ins_premium_det (premium_rcv_code,assorted_code, rec_amount,premium_rcv_detail_code,remaining_amt, payrec, mode_code,coinsurance_code,class_cd,it_remarks) values</v>
      </c>
      <c r="G39" s="13" t="str">
        <f t="shared" si="2"/>
        <v>('27Mar250025','070000179035','63875',(select max(to_number(i.premium_rcv_detail_code))+1
from ins_premium_det i),'63875','63875','02', '11000003','00','Request by Mr. Saqib Saleem 27-Mar-2025');</v>
      </c>
      <c r="H39" s="14" t="str">
        <f t="shared" si="3"/>
        <v>insert into ins_premium_det (premium_rcv_code,assorted_code, rec_amount,premium_rcv_detail_code,remaining_amt, payrec, mode_code,coinsurance_code,class_cd,it_remarks) values('27Mar250025','070000179035','63875',(select max(to_number(i.premium_rcv_detail_code))+1
from ins_premium_det i),'63875','63875','02', '11000003','00','Request by Mr. Saqib Saleem 27-Mar-2025');</v>
      </c>
    </row>
    <row r="40" spans="1:8" ht="105">
      <c r="A40" s="2" t="s">
        <v>464</v>
      </c>
      <c r="B40" s="10" t="str">
        <f>VLOOKUP(A40,policy!B:C,2,)</f>
        <v>070000176347</v>
      </c>
      <c r="C40" s="3">
        <v>58625</v>
      </c>
      <c r="D40" s="11">
        <f t="shared" si="1"/>
        <v>58625</v>
      </c>
      <c r="E40" s="15" t="s">
        <v>653</v>
      </c>
      <c r="F40" s="12" t="str">
        <f t="shared" si="0"/>
        <v>insert into ins_premium_det (premium_rcv_code,assorted_code, rec_amount,premium_rcv_detail_code,remaining_amt, payrec, mode_code,coinsurance_code,class_cd,it_remarks) values</v>
      </c>
      <c r="G40" s="13" t="str">
        <f t="shared" si="2"/>
        <v>('27Mar250025','070000176347','58625',(select max(to_number(i.premium_rcv_detail_code))+1
from ins_premium_det i),'58625','58625','02', '11000003','00','Request by Mr. Saqib Saleem 27-Mar-2025');</v>
      </c>
      <c r="H40" s="14" t="str">
        <f t="shared" si="3"/>
        <v>insert into ins_premium_det (premium_rcv_code,assorted_code, rec_amount,premium_rcv_detail_code,remaining_amt, payrec, mode_code,coinsurance_code,class_cd,it_remarks) values('27Mar250025','070000176347','58625',(select max(to_number(i.premium_rcv_detail_code))+1
from ins_premium_det i),'58625','58625','02', '11000003','00','Request by Mr. Saqib Saleem 27-Mar-2025');</v>
      </c>
    </row>
    <row r="41" spans="1:8" ht="105">
      <c r="A41" s="2" t="s">
        <v>431</v>
      </c>
      <c r="B41" s="10" t="str">
        <f>VLOOKUP(A41,policy!B:C,2,)</f>
        <v>070000176520</v>
      </c>
      <c r="C41" s="3">
        <v>82583</v>
      </c>
      <c r="D41" s="11">
        <f t="shared" si="1"/>
        <v>82583</v>
      </c>
      <c r="E41" s="15" t="s">
        <v>653</v>
      </c>
      <c r="F41" s="12" t="str">
        <f t="shared" si="0"/>
        <v>insert into ins_premium_det (premium_rcv_code,assorted_code, rec_amount,premium_rcv_detail_code,remaining_amt, payrec, mode_code,coinsurance_code,class_cd,it_remarks) values</v>
      </c>
      <c r="G41" s="13" t="str">
        <f t="shared" si="2"/>
        <v>('27Mar250025','070000176520','82583',(select max(to_number(i.premium_rcv_detail_code))+1
from ins_premium_det i),'82583','82583','02', '11000003','00','Request by Mr. Saqib Saleem 27-Mar-2025');</v>
      </c>
      <c r="H41" s="14" t="str">
        <f t="shared" si="3"/>
        <v>insert into ins_premium_det (premium_rcv_code,assorted_code, rec_amount,premium_rcv_detail_code,remaining_amt, payrec, mode_code,coinsurance_code,class_cd,it_remarks) values('27Mar250025','070000176520','82583',(select max(to_number(i.premium_rcv_detail_code))+1
from ins_premium_det i),'82583','82583','02', '11000003','00','Request by Mr. Saqib Saleem 27-Mar-2025');</v>
      </c>
    </row>
    <row r="42" spans="1:8" ht="105">
      <c r="A42" s="2" t="s">
        <v>465</v>
      </c>
      <c r="B42" s="10" t="str">
        <f>VLOOKUP(A42,policy!B:C,2,)</f>
        <v>070000176627</v>
      </c>
      <c r="C42" s="3">
        <v>40250</v>
      </c>
      <c r="D42" s="11">
        <f t="shared" si="1"/>
        <v>40250</v>
      </c>
      <c r="E42" s="15" t="s">
        <v>653</v>
      </c>
      <c r="F42" s="12" t="str">
        <f t="shared" si="0"/>
        <v>insert into ins_premium_det (premium_rcv_code,assorted_code, rec_amount,premium_rcv_detail_code,remaining_amt, payrec, mode_code,coinsurance_code,class_cd,it_remarks) values</v>
      </c>
      <c r="G42" s="13" t="str">
        <f t="shared" si="2"/>
        <v>('27Mar250025','070000176627','40250',(select max(to_number(i.premium_rcv_detail_code))+1
from ins_premium_det i),'40250','40250','02', '11000003','00','Request by Mr. Saqib Saleem 27-Mar-2025');</v>
      </c>
      <c r="H42" s="14" t="str">
        <f t="shared" si="3"/>
        <v>insert into ins_premium_det (premium_rcv_code,assorted_code, rec_amount,premium_rcv_detail_code,remaining_amt, payrec, mode_code,coinsurance_code,class_cd,it_remarks) values('27Mar250025','070000176627','40250',(select max(to_number(i.premium_rcv_detail_code))+1
from ins_premium_det i),'40250','40250','02', '11000003','00','Request by Mr. Saqib Saleem 27-Mar-2025');</v>
      </c>
    </row>
    <row r="43" spans="1:8" ht="105">
      <c r="A43" s="2" t="s">
        <v>466</v>
      </c>
      <c r="B43" s="10" t="str">
        <f>VLOOKUP(A43,policy!B:C,2,)</f>
        <v>070000176762</v>
      </c>
      <c r="C43" s="3">
        <v>40250</v>
      </c>
      <c r="D43" s="11">
        <f t="shared" si="1"/>
        <v>40250</v>
      </c>
      <c r="E43" s="15" t="s">
        <v>653</v>
      </c>
      <c r="F43" s="12" t="str">
        <f t="shared" si="0"/>
        <v>insert into ins_premium_det (premium_rcv_code,assorted_code, rec_amount,premium_rcv_detail_code,remaining_amt, payrec, mode_code,coinsurance_code,class_cd,it_remarks) values</v>
      </c>
      <c r="G43" s="13" t="str">
        <f t="shared" si="2"/>
        <v>('27Mar250025','070000176762','40250',(select max(to_number(i.premium_rcv_detail_code))+1
from ins_premium_det i),'40250','40250','02', '11000003','00','Request by Mr. Saqib Saleem 27-Mar-2025');</v>
      </c>
      <c r="H43" s="14" t="str">
        <f t="shared" si="3"/>
        <v>insert into ins_premium_det (premium_rcv_code,assorted_code, rec_amount,premium_rcv_detail_code,remaining_amt, payrec, mode_code,coinsurance_code,class_cd,it_remarks) values('27Mar250025','070000176762','40250',(select max(to_number(i.premium_rcv_detail_code))+1
from ins_premium_det i),'40250','40250','02', '11000003','00','Request by Mr. Saqib Saleem 27-Mar-2025');</v>
      </c>
    </row>
    <row r="44" spans="1:8" ht="105">
      <c r="A44" s="2" t="s">
        <v>467</v>
      </c>
      <c r="B44" s="10" t="str">
        <f>VLOOKUP(A44,policy!B:C,2,)</f>
        <v>070000177086</v>
      </c>
      <c r="C44" s="3">
        <v>47863</v>
      </c>
      <c r="D44" s="11">
        <f t="shared" si="1"/>
        <v>47863</v>
      </c>
      <c r="E44" s="15" t="s">
        <v>653</v>
      </c>
      <c r="F44" s="12" t="str">
        <f t="shared" si="0"/>
        <v>insert into ins_premium_det (premium_rcv_code,assorted_code, rec_amount,premium_rcv_detail_code,remaining_amt, payrec, mode_code,coinsurance_code,class_cd,it_remarks) values</v>
      </c>
      <c r="G44" s="13" t="str">
        <f t="shared" si="2"/>
        <v>('27Mar250025','070000177086','47863',(select max(to_number(i.premium_rcv_detail_code))+1
from ins_premium_det i),'47863','47863','02', '11000003','00','Request by Mr. Saqib Saleem 27-Mar-2025');</v>
      </c>
      <c r="H44" s="14" t="str">
        <f t="shared" si="3"/>
        <v>insert into ins_premium_det (premium_rcv_code,assorted_code, rec_amount,premium_rcv_detail_code,remaining_amt, payrec, mode_code,coinsurance_code,class_cd,it_remarks) values('27Mar250025','070000177086','47863',(select max(to_number(i.premium_rcv_detail_code))+1
from ins_premium_det i),'47863','47863','02', '11000003','00','Request by Mr. Saqib Saleem 27-Mar-2025');</v>
      </c>
    </row>
    <row r="45" spans="1:8" ht="105">
      <c r="A45" s="2" t="s">
        <v>468</v>
      </c>
      <c r="B45" s="10" t="str">
        <f>VLOOKUP(A45,policy!B:C,2,)</f>
        <v>070000177160</v>
      </c>
      <c r="C45" s="3">
        <v>39200</v>
      </c>
      <c r="D45" s="11">
        <f t="shared" si="1"/>
        <v>39200</v>
      </c>
      <c r="E45" s="15" t="s">
        <v>653</v>
      </c>
      <c r="F45" s="12" t="str">
        <f t="shared" si="0"/>
        <v>insert into ins_premium_det (premium_rcv_code,assorted_code, rec_amount,premium_rcv_detail_code,remaining_amt, payrec, mode_code,coinsurance_code,class_cd,it_remarks) values</v>
      </c>
      <c r="G45" s="13" t="str">
        <f t="shared" si="2"/>
        <v>('27Mar250025','070000177160','39200',(select max(to_number(i.premium_rcv_detail_code))+1
from ins_premium_det i),'39200','39200','02', '11000003','00','Request by Mr. Saqib Saleem 27-Mar-2025');</v>
      </c>
      <c r="H45" s="14" t="str">
        <f t="shared" si="3"/>
        <v>insert into ins_premium_det (premium_rcv_code,assorted_code, rec_amount,premium_rcv_detail_code,remaining_amt, payrec, mode_code,coinsurance_code,class_cd,it_remarks) values('27Mar250025','070000177160','39200',(select max(to_number(i.premium_rcv_detail_code))+1
from ins_premium_det i),'39200','39200','02', '11000003','00','Request by Mr. Saqib Saleem 27-Mar-2025');</v>
      </c>
    </row>
    <row r="46" spans="1:8" ht="105">
      <c r="A46" s="2" t="s">
        <v>469</v>
      </c>
      <c r="B46" s="10" t="str">
        <f>VLOOKUP(A46,policy!B:C,2,)</f>
        <v>070000177167</v>
      </c>
      <c r="C46" s="3">
        <v>105000</v>
      </c>
      <c r="D46" s="11">
        <f t="shared" si="1"/>
        <v>105000</v>
      </c>
      <c r="E46" s="15" t="s">
        <v>653</v>
      </c>
      <c r="F46" s="12" t="str">
        <f t="shared" si="0"/>
        <v>insert into ins_premium_det (premium_rcv_code,assorted_code, rec_amount,premium_rcv_detail_code,remaining_amt, payrec, mode_code,coinsurance_code,class_cd,it_remarks) values</v>
      </c>
      <c r="G46" s="13" t="str">
        <f t="shared" si="2"/>
        <v>('27Mar250025','070000177167','105000',(select max(to_number(i.premium_rcv_detail_code))+1
from ins_premium_det i),'105000','105000','02', '11000003','00','Request by Mr. Saqib Saleem 27-Mar-2025');</v>
      </c>
      <c r="H46" s="14" t="str">
        <f t="shared" si="3"/>
        <v>insert into ins_premium_det (premium_rcv_code,assorted_code, rec_amount,premium_rcv_detail_code,remaining_amt, payrec, mode_code,coinsurance_code,class_cd,it_remarks) values('27Mar250025','070000177167','105000',(select max(to_number(i.premium_rcv_detail_code))+1
from ins_premium_det i),'105000','105000','02', '11000003','00','Request by Mr. Saqib Saleem 27-Mar-2025');</v>
      </c>
    </row>
    <row r="47" spans="1:8" ht="105">
      <c r="A47" s="2" t="s">
        <v>470</v>
      </c>
      <c r="B47" s="10" t="str">
        <f>VLOOKUP(A47,policy!B:C,2,)</f>
        <v>070000177319</v>
      </c>
      <c r="C47" s="3">
        <v>85750</v>
      </c>
      <c r="D47" s="11">
        <f t="shared" si="1"/>
        <v>85750</v>
      </c>
      <c r="E47" s="15" t="s">
        <v>653</v>
      </c>
      <c r="F47" s="12" t="str">
        <f t="shared" si="0"/>
        <v>insert into ins_premium_det (premium_rcv_code,assorted_code, rec_amount,premium_rcv_detail_code,remaining_amt, payrec, mode_code,coinsurance_code,class_cd,it_remarks) values</v>
      </c>
      <c r="G47" s="13" t="str">
        <f t="shared" si="2"/>
        <v>('27Mar250025','070000177319','85750',(select max(to_number(i.premium_rcv_detail_code))+1
from ins_premium_det i),'85750','85750','02', '11000003','00','Request by Mr. Saqib Saleem 27-Mar-2025');</v>
      </c>
      <c r="H47" s="14" t="str">
        <f t="shared" si="3"/>
        <v>insert into ins_premium_det (premium_rcv_code,assorted_code, rec_amount,premium_rcv_detail_code,remaining_amt, payrec, mode_code,coinsurance_code,class_cd,it_remarks) values('27Mar250025','070000177319','85750',(select max(to_number(i.premium_rcv_detail_code))+1
from ins_premium_det i),'85750','85750','02', '11000003','00','Request by Mr. Saqib Saleem 27-Mar-2025');</v>
      </c>
    </row>
    <row r="48" spans="1:8" ht="105">
      <c r="A48" s="2" t="s">
        <v>432</v>
      </c>
      <c r="B48" s="10" t="str">
        <f>VLOOKUP(A48,policy!B:C,2,)</f>
        <v>070000177229</v>
      </c>
      <c r="C48" s="3">
        <v>48983</v>
      </c>
      <c r="D48" s="11">
        <f t="shared" si="1"/>
        <v>48983</v>
      </c>
      <c r="E48" s="15" t="s">
        <v>653</v>
      </c>
      <c r="F48" s="12" t="str">
        <f t="shared" si="0"/>
        <v>insert into ins_premium_det (premium_rcv_code,assorted_code, rec_amount,premium_rcv_detail_code,remaining_amt, payrec, mode_code,coinsurance_code,class_cd,it_remarks) values</v>
      </c>
      <c r="G48" s="13" t="str">
        <f t="shared" si="2"/>
        <v>('27Mar250025','070000177229','48983',(select max(to_number(i.premium_rcv_detail_code))+1
from ins_premium_det i),'48983','48983','02', '11000003','00','Request by Mr. Saqib Saleem 27-Mar-2025');</v>
      </c>
      <c r="H48" s="14" t="str">
        <f t="shared" si="3"/>
        <v>insert into ins_premium_det (premium_rcv_code,assorted_code, rec_amount,premium_rcv_detail_code,remaining_amt, payrec, mode_code,coinsurance_code,class_cd,it_remarks) values('27Mar250025','070000177229','48983',(select max(to_number(i.premium_rcv_detail_code))+1
from ins_premium_det i),'48983','48983','02', '11000003','00','Request by Mr. Saqib Saleem 27-Mar-2025');</v>
      </c>
    </row>
    <row r="49" spans="1:8" ht="105">
      <c r="A49" s="5" t="s">
        <v>471</v>
      </c>
      <c r="B49" s="10" t="str">
        <f>VLOOKUP(A49,policy!B:C,2,)</f>
        <v>070000177646</v>
      </c>
      <c r="C49" s="3">
        <v>53288</v>
      </c>
      <c r="D49" s="11">
        <f t="shared" si="1"/>
        <v>53288</v>
      </c>
      <c r="E49" s="15" t="s">
        <v>653</v>
      </c>
      <c r="F49" s="12" t="str">
        <f t="shared" si="0"/>
        <v>insert into ins_premium_det (premium_rcv_code,assorted_code, rec_amount,premium_rcv_detail_code,remaining_amt, payrec, mode_code,coinsurance_code,class_cd,it_remarks) values</v>
      </c>
      <c r="G49" s="13" t="str">
        <f t="shared" si="2"/>
        <v>('27Mar250025','070000177646','53288',(select max(to_number(i.premium_rcv_detail_code))+1
from ins_premium_det i),'53288','53288','02', '11000003','00','Request by Mr. Saqib Saleem 27-Mar-2025');</v>
      </c>
      <c r="H49" s="14" t="str">
        <f t="shared" si="3"/>
        <v>insert into ins_premium_det (premium_rcv_code,assorted_code, rec_amount,premium_rcv_detail_code,remaining_amt, payrec, mode_code,coinsurance_code,class_cd,it_remarks) values('27Mar250025','070000177646','53288',(select max(to_number(i.premium_rcv_detail_code))+1
from ins_premium_det i),'53288','53288','02', '11000003','00','Request by Mr. Saqib Saleem 27-Mar-2025');</v>
      </c>
    </row>
    <row r="50" spans="1:8" ht="105">
      <c r="A50" s="2" t="s">
        <v>472</v>
      </c>
      <c r="B50" s="10" t="str">
        <f>VLOOKUP(A50,policy!B:C,2,)</f>
        <v>070000177631</v>
      </c>
      <c r="C50" s="3">
        <v>53288</v>
      </c>
      <c r="D50" s="11">
        <f t="shared" si="1"/>
        <v>53288</v>
      </c>
      <c r="E50" s="15" t="s">
        <v>653</v>
      </c>
      <c r="F50" s="12" t="str">
        <f t="shared" si="0"/>
        <v>insert into ins_premium_det (premium_rcv_code,assorted_code, rec_amount,premium_rcv_detail_code,remaining_amt, payrec, mode_code,coinsurance_code,class_cd,it_remarks) values</v>
      </c>
      <c r="G50" s="13" t="str">
        <f t="shared" si="2"/>
        <v>('27Mar250025','070000177631','53288',(select max(to_number(i.premium_rcv_detail_code))+1
from ins_premium_det i),'53288','53288','02', '11000003','00','Request by Mr. Saqib Saleem 27-Mar-2025');</v>
      </c>
      <c r="H50" s="14" t="str">
        <f t="shared" si="3"/>
        <v>insert into ins_premium_det (premium_rcv_code,assorted_code, rec_amount,premium_rcv_detail_code,remaining_amt, payrec, mode_code,coinsurance_code,class_cd,it_remarks) values('27Mar250025','070000177631','53288',(select max(to_number(i.premium_rcv_detail_code))+1
from ins_premium_det i),'53288','53288','02', '11000003','00','Request by Mr. Saqib Saleem 27-Mar-2025');</v>
      </c>
    </row>
    <row r="51" spans="1:8" ht="105">
      <c r="A51" s="2" t="s">
        <v>433</v>
      </c>
      <c r="B51" s="10" t="str">
        <f>VLOOKUP(A51,policy!B:C,2,)</f>
        <v>070000177322</v>
      </c>
      <c r="C51" s="3">
        <v>77000</v>
      </c>
      <c r="D51" s="11">
        <f t="shared" si="1"/>
        <v>77000</v>
      </c>
      <c r="E51" s="15" t="s">
        <v>653</v>
      </c>
      <c r="F51" s="12" t="str">
        <f t="shared" si="0"/>
        <v>insert into ins_premium_det (premium_rcv_code,assorted_code, rec_amount,premium_rcv_detail_code,remaining_amt, payrec, mode_code,coinsurance_code,class_cd,it_remarks) values</v>
      </c>
      <c r="G51" s="13" t="str">
        <f t="shared" si="2"/>
        <v>('27Mar250025','070000177322','77000',(select max(to_number(i.premium_rcv_detail_code))+1
from ins_premium_det i),'77000','77000','02', '11000003','00','Request by Mr. Saqib Saleem 27-Mar-2025');</v>
      </c>
      <c r="H51" s="14" t="str">
        <f t="shared" si="3"/>
        <v>insert into ins_premium_det (premium_rcv_code,assorted_code, rec_amount,premium_rcv_detail_code,remaining_amt, payrec, mode_code,coinsurance_code,class_cd,it_remarks) values('27Mar250025','070000177322','77000',(select max(to_number(i.premium_rcv_detail_code))+1
from ins_premium_det i),'77000','77000','02', '11000003','00','Request by Mr. Saqib Saleem 27-Mar-2025');</v>
      </c>
    </row>
    <row r="52" spans="1:8" ht="105">
      <c r="A52" s="2" t="s">
        <v>473</v>
      </c>
      <c r="B52" s="10" t="str">
        <f>VLOOKUP(A52,policy!B:C,2,)</f>
        <v>070000177367</v>
      </c>
      <c r="C52" s="3">
        <v>53288</v>
      </c>
      <c r="D52" s="11">
        <f t="shared" si="1"/>
        <v>53288</v>
      </c>
      <c r="E52" s="15" t="s">
        <v>653</v>
      </c>
      <c r="F52" s="12" t="str">
        <f t="shared" si="0"/>
        <v>insert into ins_premium_det (premium_rcv_code,assorted_code, rec_amount,premium_rcv_detail_code,remaining_amt, payrec, mode_code,coinsurance_code,class_cd,it_remarks) values</v>
      </c>
      <c r="G52" s="13" t="str">
        <f t="shared" si="2"/>
        <v>('27Mar250025','070000177367','53288',(select max(to_number(i.premium_rcv_detail_code))+1
from ins_premium_det i),'53288','53288','02', '11000003','00','Request by Mr. Saqib Saleem 27-Mar-2025');</v>
      </c>
      <c r="H52" s="14" t="str">
        <f t="shared" si="3"/>
        <v>insert into ins_premium_det (premium_rcv_code,assorted_code, rec_amount,premium_rcv_detail_code,remaining_amt, payrec, mode_code,coinsurance_code,class_cd,it_remarks) values('27Mar250025','070000177367','53288',(select max(to_number(i.premium_rcv_detail_code))+1
from ins_premium_det i),'53288','53288','02', '11000003','00','Request by Mr. Saqib Saleem 27-Mar-2025');</v>
      </c>
    </row>
    <row r="53" spans="1:8" ht="105">
      <c r="A53" s="2" t="s">
        <v>474</v>
      </c>
      <c r="B53" s="10" t="str">
        <f>VLOOKUP(A53,policy!B:C,2,)</f>
        <v>070000177641</v>
      </c>
      <c r="C53" s="3">
        <v>53288</v>
      </c>
      <c r="D53" s="11">
        <f t="shared" si="1"/>
        <v>53288</v>
      </c>
      <c r="E53" s="15" t="s">
        <v>653</v>
      </c>
      <c r="F53" s="12" t="str">
        <f t="shared" si="0"/>
        <v>insert into ins_premium_det (premium_rcv_code,assorted_code, rec_amount,premium_rcv_detail_code,remaining_amt, payrec, mode_code,coinsurance_code,class_cd,it_remarks) values</v>
      </c>
      <c r="G53" s="13" t="str">
        <f t="shared" si="2"/>
        <v>('27Mar250025','070000177641','53288',(select max(to_number(i.premium_rcv_detail_code))+1
from ins_premium_det i),'53288','53288','02', '11000003','00','Request by Mr. Saqib Saleem 27-Mar-2025');</v>
      </c>
      <c r="H53" s="14" t="str">
        <f t="shared" si="3"/>
        <v>insert into ins_premium_det (premium_rcv_code,assorted_code, rec_amount,premium_rcv_detail_code,remaining_amt, payrec, mode_code,coinsurance_code,class_cd,it_remarks) values('27Mar250025','070000177641','53288',(select max(to_number(i.premium_rcv_detail_code))+1
from ins_premium_det i),'53288','53288','02', '11000003','00','Request by Mr. Saqib Saleem 27-Mar-2025');</v>
      </c>
    </row>
    <row r="54" spans="1:8" ht="105">
      <c r="A54" s="2" t="s">
        <v>475</v>
      </c>
      <c r="B54" s="10" t="str">
        <f>VLOOKUP(A54,policy!B:C,2,)</f>
        <v>070000177711</v>
      </c>
      <c r="C54" s="3">
        <v>57750</v>
      </c>
      <c r="D54" s="11">
        <f t="shared" si="1"/>
        <v>57750</v>
      </c>
      <c r="E54" s="15" t="s">
        <v>653</v>
      </c>
      <c r="F54" s="12" t="str">
        <f t="shared" si="0"/>
        <v>insert into ins_premium_det (premium_rcv_code,assorted_code, rec_amount,premium_rcv_detail_code,remaining_amt, payrec, mode_code,coinsurance_code,class_cd,it_remarks) values</v>
      </c>
      <c r="G54" s="13" t="str">
        <f t="shared" si="2"/>
        <v>('27Mar250025','070000177711','57750',(select max(to_number(i.premium_rcv_detail_code))+1
from ins_premium_det i),'57750','57750','02', '11000003','00','Request by Mr. Saqib Saleem 27-Mar-2025');</v>
      </c>
      <c r="H54" s="14" t="str">
        <f t="shared" si="3"/>
        <v>insert into ins_premium_det (premium_rcv_code,assorted_code, rec_amount,premium_rcv_detail_code,remaining_amt, payrec, mode_code,coinsurance_code,class_cd,it_remarks) values('27Mar250025','070000177711','57750',(select max(to_number(i.premium_rcv_detail_code))+1
from ins_premium_det i),'57750','57750','02', '11000003','00','Request by Mr. Saqib Saleem 27-Mar-2025');</v>
      </c>
    </row>
    <row r="55" spans="1:8" ht="105">
      <c r="A55" s="2" t="s">
        <v>476</v>
      </c>
      <c r="B55" s="10" t="str">
        <f>VLOOKUP(A55,policy!B:C,2,)</f>
        <v>070000177751</v>
      </c>
      <c r="C55" s="3">
        <v>38500</v>
      </c>
      <c r="D55" s="11">
        <f t="shared" si="1"/>
        <v>38500</v>
      </c>
      <c r="E55" s="15" t="s">
        <v>653</v>
      </c>
      <c r="F55" s="12" t="str">
        <f t="shared" si="0"/>
        <v>insert into ins_premium_det (premium_rcv_code,assorted_code, rec_amount,premium_rcv_detail_code,remaining_amt, payrec, mode_code,coinsurance_code,class_cd,it_remarks) values</v>
      </c>
      <c r="G55" s="13" t="str">
        <f t="shared" si="2"/>
        <v>('27Mar250025','070000177751','38500',(select max(to_number(i.premium_rcv_detail_code))+1
from ins_premium_det i),'38500','38500','02', '11000003','00','Request by Mr. Saqib Saleem 27-Mar-2025');</v>
      </c>
      <c r="H55" s="14" t="str">
        <f t="shared" si="3"/>
        <v>insert into ins_premium_det (premium_rcv_code,assorted_code, rec_amount,premium_rcv_detail_code,remaining_amt, payrec, mode_code,coinsurance_code,class_cd,it_remarks) values('27Mar250025','070000177751','38500',(select max(to_number(i.premium_rcv_detail_code))+1
from ins_premium_det i),'38500','38500','02', '11000003','00','Request by Mr. Saqib Saleem 27-Mar-2025');</v>
      </c>
    </row>
    <row r="56" spans="1:8" ht="105">
      <c r="A56" s="2" t="s">
        <v>434</v>
      </c>
      <c r="B56" s="10" t="str">
        <f>VLOOKUP(A56,policy!B:C,2,)</f>
        <v>070000177761</v>
      </c>
      <c r="C56" s="3">
        <v>46375</v>
      </c>
      <c r="D56" s="11">
        <f t="shared" si="1"/>
        <v>46375</v>
      </c>
      <c r="E56" s="15" t="s">
        <v>653</v>
      </c>
      <c r="F56" s="12" t="str">
        <f t="shared" si="0"/>
        <v>insert into ins_premium_det (premium_rcv_code,assorted_code, rec_amount,premium_rcv_detail_code,remaining_amt, payrec, mode_code,coinsurance_code,class_cd,it_remarks) values</v>
      </c>
      <c r="G56" s="13" t="str">
        <f t="shared" si="2"/>
        <v>('27Mar250025','070000177761','46375',(select max(to_number(i.premium_rcv_detail_code))+1
from ins_premium_det i),'46375','46375','02', '11000003','00','Request by Mr. Saqib Saleem 27-Mar-2025');</v>
      </c>
      <c r="H56" s="14" t="str">
        <f t="shared" si="3"/>
        <v>insert into ins_premium_det (premium_rcv_code,assorted_code, rec_amount,premium_rcv_detail_code,remaining_amt, payrec, mode_code,coinsurance_code,class_cd,it_remarks) values('27Mar250025','070000177761','46375',(select max(to_number(i.premium_rcv_detail_code))+1
from ins_premium_det i),'46375','46375','02', '11000003','00','Request by Mr. Saqib Saleem 27-Mar-2025');</v>
      </c>
    </row>
    <row r="57" spans="1:8" ht="105">
      <c r="A57" s="2" t="s">
        <v>435</v>
      </c>
      <c r="B57" s="10" t="str">
        <f>VLOOKUP(A57,policy!B:C,2,)</f>
        <v>070000177766</v>
      </c>
      <c r="C57" s="3">
        <v>79608</v>
      </c>
      <c r="D57" s="11">
        <f t="shared" si="1"/>
        <v>79608</v>
      </c>
      <c r="E57" s="15" t="s">
        <v>653</v>
      </c>
      <c r="F57" s="12" t="str">
        <f t="shared" si="0"/>
        <v>insert into ins_premium_det (premium_rcv_code,assorted_code, rec_amount,premium_rcv_detail_code,remaining_amt, payrec, mode_code,coinsurance_code,class_cd,it_remarks) values</v>
      </c>
      <c r="G57" s="13" t="str">
        <f t="shared" si="2"/>
        <v>('27Mar250025','070000177766','79608',(select max(to_number(i.premium_rcv_detail_code))+1
from ins_premium_det i),'79608','79608','02', '11000003','00','Request by Mr. Saqib Saleem 27-Mar-2025');</v>
      </c>
      <c r="H57" s="14" t="str">
        <f t="shared" si="3"/>
        <v>insert into ins_premium_det (premium_rcv_code,assorted_code, rec_amount,premium_rcv_detail_code,remaining_amt, payrec, mode_code,coinsurance_code,class_cd,it_remarks) values('27Mar250025','070000177766','79608',(select max(to_number(i.premium_rcv_detail_code))+1
from ins_premium_det i),'79608','79608','02', '11000003','00','Request by Mr. Saqib Saleem 27-Mar-2025');</v>
      </c>
    </row>
    <row r="58" spans="1:8" ht="105">
      <c r="A58" s="2" t="s">
        <v>436</v>
      </c>
      <c r="B58" s="10" t="str">
        <f>VLOOKUP(A58,policy!B:C,2,)</f>
        <v>070000177762</v>
      </c>
      <c r="C58" s="3">
        <v>82583</v>
      </c>
      <c r="D58" s="11">
        <f t="shared" si="1"/>
        <v>82583</v>
      </c>
      <c r="E58" s="15" t="s">
        <v>653</v>
      </c>
      <c r="F58" s="12" t="str">
        <f t="shared" si="0"/>
        <v>insert into ins_premium_det (premium_rcv_code,assorted_code, rec_amount,premium_rcv_detail_code,remaining_amt, payrec, mode_code,coinsurance_code,class_cd,it_remarks) values</v>
      </c>
      <c r="G58" s="13" t="str">
        <f t="shared" si="2"/>
        <v>('27Mar250025','070000177762','82583',(select max(to_number(i.premium_rcv_detail_code))+1
from ins_premium_det i),'82583','82583','02', '11000003','00','Request by Mr. Saqib Saleem 27-Mar-2025');</v>
      </c>
      <c r="H58" s="14" t="str">
        <f t="shared" si="3"/>
        <v>insert into ins_premium_det (premium_rcv_code,assorted_code, rec_amount,premium_rcv_detail_code,remaining_amt, payrec, mode_code,coinsurance_code,class_cd,it_remarks) values('27Mar250025','070000177762','82583',(select max(to_number(i.premium_rcv_detail_code))+1
from ins_premium_det i),'82583','82583','02', '11000003','00','Request by Mr. Saqib Saleem 27-Mar-2025');</v>
      </c>
    </row>
    <row r="59" spans="1:8" ht="105">
      <c r="A59" s="2" t="s">
        <v>477</v>
      </c>
      <c r="B59" s="10" t="str">
        <f>VLOOKUP(A59,policy!B:C,2,)</f>
        <v>070000177771</v>
      </c>
      <c r="C59" s="3">
        <v>42000</v>
      </c>
      <c r="D59" s="11">
        <f t="shared" si="1"/>
        <v>42000</v>
      </c>
      <c r="E59" s="15" t="s">
        <v>653</v>
      </c>
      <c r="F59" s="12" t="str">
        <f t="shared" si="0"/>
        <v>insert into ins_premium_det (premium_rcv_code,assorted_code, rec_amount,premium_rcv_detail_code,remaining_amt, payrec, mode_code,coinsurance_code,class_cd,it_remarks) values</v>
      </c>
      <c r="G59" s="13" t="str">
        <f t="shared" si="2"/>
        <v>('27Mar250025','070000177771','42000',(select max(to_number(i.premium_rcv_detail_code))+1
from ins_premium_det i),'42000','42000','02', '11000003','00','Request by Mr. Saqib Saleem 27-Mar-2025');</v>
      </c>
      <c r="H59" s="14" t="str">
        <f t="shared" si="3"/>
        <v>insert into ins_premium_det (premium_rcv_code,assorted_code, rec_amount,premium_rcv_detail_code,remaining_amt, payrec, mode_code,coinsurance_code,class_cd,it_remarks) values('27Mar250025','070000177771','42000',(select max(to_number(i.premium_rcv_detail_code))+1
from ins_premium_det i),'42000','42000','02', '11000003','00','Request by Mr. Saqib Saleem 27-Mar-2025');</v>
      </c>
    </row>
    <row r="60" spans="1:8" ht="105">
      <c r="A60" s="2" t="s">
        <v>478</v>
      </c>
      <c r="B60" s="10" t="str">
        <f>VLOOKUP(A60,policy!B:C,2,)</f>
        <v>070000177765</v>
      </c>
      <c r="C60" s="3">
        <v>99750</v>
      </c>
      <c r="D60" s="11">
        <f t="shared" si="1"/>
        <v>99750</v>
      </c>
      <c r="E60" s="15" t="s">
        <v>653</v>
      </c>
      <c r="F60" s="12" t="str">
        <f t="shared" si="0"/>
        <v>insert into ins_premium_det (premium_rcv_code,assorted_code, rec_amount,premium_rcv_detail_code,remaining_amt, payrec, mode_code,coinsurance_code,class_cd,it_remarks) values</v>
      </c>
      <c r="G60" s="13" t="str">
        <f t="shared" si="2"/>
        <v>('27Mar250025','070000177765','99750',(select max(to_number(i.premium_rcv_detail_code))+1
from ins_premium_det i),'99750','99750','02', '11000003','00','Request by Mr. Saqib Saleem 27-Mar-2025');</v>
      </c>
      <c r="H60" s="14" t="str">
        <f t="shared" si="3"/>
        <v>insert into ins_premium_det (premium_rcv_code,assorted_code, rec_amount,premium_rcv_detail_code,remaining_amt, payrec, mode_code,coinsurance_code,class_cd,it_remarks) values('27Mar250025','070000177765','99750',(select max(to_number(i.premium_rcv_detail_code))+1
from ins_premium_det i),'99750','99750','02', '11000003','00','Request by Mr. Saqib Saleem 27-Mar-2025');</v>
      </c>
    </row>
    <row r="61" spans="1:8" ht="105">
      <c r="A61" s="2" t="s">
        <v>479</v>
      </c>
      <c r="B61" s="10" t="str">
        <f>VLOOKUP(A61,policy!B:C,2,)</f>
        <v>070000179021</v>
      </c>
      <c r="C61" s="3">
        <v>56000</v>
      </c>
      <c r="D61" s="11">
        <f t="shared" si="1"/>
        <v>56000</v>
      </c>
      <c r="E61" s="15" t="s">
        <v>653</v>
      </c>
      <c r="F61" s="12" t="str">
        <f t="shared" si="0"/>
        <v>insert into ins_premium_det (premium_rcv_code,assorted_code, rec_amount,premium_rcv_detail_code,remaining_amt, payrec, mode_code,coinsurance_code,class_cd,it_remarks) values</v>
      </c>
      <c r="G61" s="13" t="str">
        <f t="shared" si="2"/>
        <v>('27Mar250025','070000179021','56000',(select max(to_number(i.premium_rcv_detail_code))+1
from ins_premium_det i),'56000','56000','02', '11000003','00','Request by Mr. Saqib Saleem 27-Mar-2025');</v>
      </c>
      <c r="H61" s="14" t="str">
        <f t="shared" si="3"/>
        <v>insert into ins_premium_det (premium_rcv_code,assorted_code, rec_amount,premium_rcv_detail_code,remaining_amt, payrec, mode_code,coinsurance_code,class_cd,it_remarks) values('27Mar250025','070000179021','56000',(select max(to_number(i.premium_rcv_detail_code))+1
from ins_premium_det i),'56000','56000','02', '11000003','00','Request by Mr. Saqib Saleem 27-Mar-2025');</v>
      </c>
    </row>
    <row r="62" spans="1:8" ht="105">
      <c r="A62" s="2" t="s">
        <v>437</v>
      </c>
      <c r="B62" s="10" t="str">
        <f>VLOOKUP(A62,policy!B:C,2,)</f>
        <v>070000174988</v>
      </c>
      <c r="C62" s="3">
        <v>83300</v>
      </c>
      <c r="D62" s="11">
        <f t="shared" si="1"/>
        <v>83300</v>
      </c>
      <c r="E62" s="15" t="s">
        <v>653</v>
      </c>
      <c r="F62" s="12" t="str">
        <f t="shared" si="0"/>
        <v>insert into ins_premium_det (premium_rcv_code,assorted_code, rec_amount,premium_rcv_detail_code,remaining_amt, payrec, mode_code,coinsurance_code,class_cd,it_remarks) values</v>
      </c>
      <c r="G62" s="13" t="str">
        <f t="shared" si="2"/>
        <v>('27Mar250025','070000174988','83300',(select max(to_number(i.premium_rcv_detail_code))+1
from ins_premium_det i),'83300','83300','02', '11000003','00','Request by Mr. Saqib Saleem 27-Mar-2025');</v>
      </c>
      <c r="H62" s="14" t="str">
        <f t="shared" si="3"/>
        <v>insert into ins_premium_det (premium_rcv_code,assorted_code, rec_amount,premium_rcv_detail_code,remaining_amt, payrec, mode_code,coinsurance_code,class_cd,it_remarks) values('27Mar250025','070000174988','83300',(select max(to_number(i.premium_rcv_detail_code))+1
from ins_premium_det i),'83300','83300','02', '11000003','00','Request by Mr. Saqib Saleem 27-Mar-2025');</v>
      </c>
    </row>
    <row r="63" spans="1:8" ht="105">
      <c r="A63" s="2" t="s">
        <v>438</v>
      </c>
      <c r="B63" s="10" t="str">
        <f>VLOOKUP(A63,policy!B:C,2,)</f>
        <v>070000177154</v>
      </c>
      <c r="C63" s="3">
        <v>60900</v>
      </c>
      <c r="D63" s="11">
        <f t="shared" si="1"/>
        <v>60900</v>
      </c>
      <c r="E63" s="15" t="s">
        <v>653</v>
      </c>
      <c r="F63" s="12" t="str">
        <f t="shared" si="0"/>
        <v>insert into ins_premium_det (premium_rcv_code,assorted_code, rec_amount,premium_rcv_detail_code,remaining_amt, payrec, mode_code,coinsurance_code,class_cd,it_remarks) values</v>
      </c>
      <c r="G63" s="13" t="str">
        <f t="shared" si="2"/>
        <v>('27Mar250025','070000177154','60900',(select max(to_number(i.premium_rcv_detail_code))+1
from ins_premium_det i),'60900','60900','02', '11000003','00','Request by Mr. Saqib Saleem 27-Mar-2025');</v>
      </c>
      <c r="H63" s="14" t="str">
        <f t="shared" si="3"/>
        <v>insert into ins_premium_det (premium_rcv_code,assorted_code, rec_amount,premium_rcv_detail_code,remaining_amt, payrec, mode_code,coinsurance_code,class_cd,it_remarks) values('27Mar250025','070000177154','60900',(select max(to_number(i.premium_rcv_detail_code))+1
from ins_premium_det i),'60900','60900','02', '11000003','00','Request by Mr. Saqib Saleem 27-Mar-2025');</v>
      </c>
    </row>
    <row r="64" spans="1:8" ht="105">
      <c r="A64" s="2" t="s">
        <v>480</v>
      </c>
      <c r="B64" s="10" t="str">
        <f>VLOOKUP(A64,policy!B:C,2,)</f>
        <v>070000177692</v>
      </c>
      <c r="C64" s="3">
        <v>94380</v>
      </c>
      <c r="D64" s="11">
        <f t="shared" si="1"/>
        <v>94380</v>
      </c>
      <c r="E64" s="15" t="s">
        <v>653</v>
      </c>
      <c r="F64" s="12" t="str">
        <f t="shared" si="0"/>
        <v>insert into ins_premium_det (premium_rcv_code,assorted_code, rec_amount,premium_rcv_detail_code,remaining_amt, payrec, mode_code,coinsurance_code,class_cd,it_remarks) values</v>
      </c>
      <c r="G64" s="13" t="str">
        <f t="shared" si="2"/>
        <v>('27Mar250025','070000177692','94380',(select max(to_number(i.premium_rcv_detail_code))+1
from ins_premium_det i),'94380','94380','02', '11000003','00','Request by Mr. Saqib Saleem 27-Mar-2025');</v>
      </c>
      <c r="H64" s="14" t="str">
        <f t="shared" si="3"/>
        <v>insert into ins_premium_det (premium_rcv_code,assorted_code, rec_amount,premium_rcv_detail_code,remaining_amt, payrec, mode_code,coinsurance_code,class_cd,it_remarks) values('27Mar250025','070000177692','94380',(select max(to_number(i.premium_rcv_detail_code))+1
from ins_premium_det i),'94380','94380','02', '11000003','00','Request by Mr. Saqib Saleem 27-Mar-2025');</v>
      </c>
    </row>
    <row r="65" spans="1:8" ht="105">
      <c r="A65" s="2" t="s">
        <v>439</v>
      </c>
      <c r="B65" s="10" t="str">
        <f>VLOOKUP(A65,policy!B:C,2,)</f>
        <v>070000176533</v>
      </c>
      <c r="C65" s="3">
        <v>82583</v>
      </c>
      <c r="D65" s="11">
        <f t="shared" si="1"/>
        <v>82583</v>
      </c>
      <c r="E65" s="15" t="s">
        <v>653</v>
      </c>
      <c r="F65" s="12" t="str">
        <f t="shared" si="0"/>
        <v>insert into ins_premium_det (premium_rcv_code,assorted_code, rec_amount,premium_rcv_detail_code,remaining_amt, payrec, mode_code,coinsurance_code,class_cd,it_remarks) values</v>
      </c>
      <c r="G65" s="13" t="str">
        <f t="shared" si="2"/>
        <v>('27Mar250025','070000176533','82583',(select max(to_number(i.premium_rcv_detail_code))+1
from ins_premium_det i),'82583','82583','02', '11000003','00','Request by Mr. Saqib Saleem 27-Mar-2025');</v>
      </c>
      <c r="H65" s="14" t="str">
        <f t="shared" si="3"/>
        <v>insert into ins_premium_det (premium_rcv_code,assorted_code, rec_amount,premium_rcv_detail_code,remaining_amt, payrec, mode_code,coinsurance_code,class_cd,it_remarks) values('27Mar250025','070000176533','82583',(select max(to_number(i.premium_rcv_detail_code))+1
from ins_premium_det i),'82583','82583','02', '11000003','00','Request by Mr. Saqib Saleem 27-Mar-2025');</v>
      </c>
    </row>
    <row r="66" spans="1:8" ht="105">
      <c r="A66" s="2" t="s">
        <v>440</v>
      </c>
      <c r="B66" s="10" t="str">
        <f>VLOOKUP(A66,policy!B:C,2,)</f>
        <v>070000176560</v>
      </c>
      <c r="C66" s="3">
        <v>95200</v>
      </c>
      <c r="D66" s="11">
        <f t="shared" si="1"/>
        <v>95200</v>
      </c>
      <c r="E66" s="15" t="s">
        <v>653</v>
      </c>
      <c r="F66" s="12" t="str">
        <f t="shared" ref="F66:F81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3" t="str">
        <f t="shared" si="2"/>
        <v>('27Mar250025','070000176560','95200',(select max(to_number(i.premium_rcv_detail_code))+1
from ins_premium_det i),'95200','95200','02', '11000003','00','Request by Mr. Saqib Saleem 27-Mar-2025');</v>
      </c>
      <c r="H66" s="14" t="str">
        <f t="shared" si="3"/>
        <v>insert into ins_premium_det (premium_rcv_code,assorted_code, rec_amount,premium_rcv_detail_code,remaining_amt, payrec, mode_code,coinsurance_code,class_cd,it_remarks) values('27Mar250025','070000176560','95200',(select max(to_number(i.premium_rcv_detail_code))+1
from ins_premium_det i),'95200','95200','02', '11000003','00','Request by Mr. Saqib Saleem 27-Mar-2025');</v>
      </c>
    </row>
    <row r="67" spans="1:8" ht="105">
      <c r="A67" s="2" t="s">
        <v>481</v>
      </c>
      <c r="B67" s="10" t="str">
        <f>VLOOKUP(A67,policy!B:C,2,)</f>
        <v>070000177754</v>
      </c>
      <c r="C67" s="3">
        <v>53288</v>
      </c>
      <c r="D67" s="11">
        <f t="shared" ref="D67:D81" si="5">ROUND(C67,0)</f>
        <v>53288</v>
      </c>
      <c r="E67" s="15" t="s">
        <v>653</v>
      </c>
      <c r="F67" s="12" t="str">
        <f t="shared" si="4"/>
        <v>insert into ins_premium_det (premium_rcv_code,assorted_code, rec_amount,premium_rcv_detail_code,remaining_amt, payrec, mode_code,coinsurance_code,class_cd,it_remarks) values</v>
      </c>
      <c r="G67" s="13" t="str">
        <f t="shared" ref="G67:G81" si="6">"('"&amp;E67&amp;"','"&amp;B67&amp;"','"&amp;D67&amp;"',(select max(to_number(i.premium_rcv_detail_code))+1
from ins_premium_det i),'"&amp;D67&amp;"','"&amp;D67&amp;"','02', '11000003','00','Request by Mr. Saqib Saleem 27-Mar-2025');"</f>
        <v>('27Mar250025','070000177754','53288',(select max(to_number(i.premium_rcv_detail_code))+1
from ins_premium_det i),'53288','53288','02', '11000003','00','Request by Mr. Saqib Saleem 27-Mar-2025');</v>
      </c>
      <c r="H67" s="14" t="str">
        <f t="shared" ref="H67:H81" si="7">F67&amp;G67</f>
        <v>insert into ins_premium_det (premium_rcv_code,assorted_code, rec_amount,premium_rcv_detail_code,remaining_amt, payrec, mode_code,coinsurance_code,class_cd,it_remarks) values('27Mar250025','070000177754','53288',(select max(to_number(i.premium_rcv_detail_code))+1
from ins_premium_det i),'53288','53288','02', '11000003','00','Request by Mr. Saqib Saleem 27-Mar-2025');</v>
      </c>
    </row>
    <row r="68" spans="1:8" ht="105">
      <c r="A68" s="2" t="s">
        <v>482</v>
      </c>
      <c r="B68" s="10" t="str">
        <f>VLOOKUP(A68,policy!B:C,2,)</f>
        <v>070000176422</v>
      </c>
      <c r="C68" s="3">
        <v>94380</v>
      </c>
      <c r="D68" s="11">
        <f t="shared" si="5"/>
        <v>94380</v>
      </c>
      <c r="E68" s="15" t="s">
        <v>653</v>
      </c>
      <c r="F68" s="12" t="str">
        <f t="shared" si="4"/>
        <v>insert into ins_premium_det (premium_rcv_code,assorted_code, rec_amount,premium_rcv_detail_code,remaining_amt, payrec, mode_code,coinsurance_code,class_cd,it_remarks) values</v>
      </c>
      <c r="G68" s="13" t="str">
        <f t="shared" si="6"/>
        <v>('27Mar250025','070000176422','94380',(select max(to_number(i.premium_rcv_detail_code))+1
from ins_premium_det i),'94380','94380','02', '11000003','00','Request by Mr. Saqib Saleem 27-Mar-2025');</v>
      </c>
      <c r="H68" s="14" t="str">
        <f t="shared" si="7"/>
        <v>insert into ins_premium_det (premium_rcv_code,assorted_code, rec_amount,premium_rcv_detail_code,remaining_amt, payrec, mode_code,coinsurance_code,class_cd,it_remarks) values('27Mar250025','070000176422','94380',(select max(to_number(i.premium_rcv_detail_code))+1
from ins_premium_det i),'94380','94380','02', '11000003','00','Request by Mr. Saqib Saleem 27-Mar-2025');</v>
      </c>
    </row>
    <row r="69" spans="1:8" ht="105">
      <c r="A69" s="2" t="s">
        <v>441</v>
      </c>
      <c r="B69" s="10" t="str">
        <f>VLOOKUP(A69,policy!B:C,2,)</f>
        <v>070000176451</v>
      </c>
      <c r="C69" s="3">
        <v>80045</v>
      </c>
      <c r="D69" s="11">
        <f t="shared" si="5"/>
        <v>80045</v>
      </c>
      <c r="E69" s="15" t="s">
        <v>653</v>
      </c>
      <c r="F69" s="12" t="str">
        <f t="shared" si="4"/>
        <v>insert into ins_premium_det (premium_rcv_code,assorted_code, rec_amount,premium_rcv_detail_code,remaining_amt, payrec, mode_code,coinsurance_code,class_cd,it_remarks) values</v>
      </c>
      <c r="G69" s="13" t="str">
        <f t="shared" si="6"/>
        <v>('27Mar250025','070000176451','80045',(select max(to_number(i.premium_rcv_detail_code))+1
from ins_premium_det i),'80045','80045','02', '11000003','00','Request by Mr. Saqib Saleem 27-Mar-2025');</v>
      </c>
      <c r="H69" s="14" t="str">
        <f t="shared" si="7"/>
        <v>insert into ins_premium_det (premium_rcv_code,assorted_code, rec_amount,premium_rcv_detail_code,remaining_amt, payrec, mode_code,coinsurance_code,class_cd,it_remarks) values('27Mar250025','070000176451','80045',(select max(to_number(i.premium_rcv_detail_code))+1
from ins_premium_det i),'80045','80045','02', '11000003','00','Request by Mr. Saqib Saleem 27-Mar-2025');</v>
      </c>
    </row>
    <row r="70" spans="1:8" ht="105">
      <c r="A70" s="2" t="s">
        <v>442</v>
      </c>
      <c r="B70" s="10" t="str">
        <f>VLOOKUP(A70,policy!B:C,2,)</f>
        <v>070000174130</v>
      </c>
      <c r="C70" s="3">
        <v>94380</v>
      </c>
      <c r="D70" s="11">
        <f t="shared" si="5"/>
        <v>94380</v>
      </c>
      <c r="E70" s="15" t="s">
        <v>653</v>
      </c>
      <c r="F70" s="12" t="str">
        <f t="shared" si="4"/>
        <v>insert into ins_premium_det (premium_rcv_code,assorted_code, rec_amount,premium_rcv_detail_code,remaining_amt, payrec, mode_code,coinsurance_code,class_cd,it_remarks) values</v>
      </c>
      <c r="G70" s="13" t="str">
        <f t="shared" si="6"/>
        <v>('27Mar250025','070000174130','94380',(select max(to_number(i.premium_rcv_detail_code))+1
from ins_premium_det i),'94380','94380','02', '11000003','00','Request by Mr. Saqib Saleem 27-Mar-2025');</v>
      </c>
      <c r="H70" s="14" t="str">
        <f t="shared" si="7"/>
        <v>insert into ins_premium_det (premium_rcv_code,assorted_code, rec_amount,premium_rcv_detail_code,remaining_amt, payrec, mode_code,coinsurance_code,class_cd,it_remarks) values('27Mar250025','070000174130','94380',(select max(to_number(i.premium_rcv_detail_code))+1
from ins_premium_det i),'94380','94380','02', '11000003','00','Request by Mr. Saqib Saleem 27-Mar-2025');</v>
      </c>
    </row>
    <row r="71" spans="1:8" ht="105">
      <c r="A71" s="2" t="s">
        <v>443</v>
      </c>
      <c r="B71" s="10" t="str">
        <f>VLOOKUP(A71,policy!B:C,2,)</f>
        <v>070000177781</v>
      </c>
      <c r="C71" s="3">
        <v>96740</v>
      </c>
      <c r="D71" s="11">
        <f t="shared" si="5"/>
        <v>96740</v>
      </c>
      <c r="E71" s="15" t="s">
        <v>653</v>
      </c>
      <c r="F71" s="12" t="str">
        <f t="shared" si="4"/>
        <v>insert into ins_premium_det (premium_rcv_code,assorted_code, rec_amount,premium_rcv_detail_code,remaining_amt, payrec, mode_code,coinsurance_code,class_cd,it_remarks) values</v>
      </c>
      <c r="G71" s="13" t="str">
        <f t="shared" si="6"/>
        <v>('27Mar250025','070000177781','96740',(select max(to_number(i.premium_rcv_detail_code))+1
from ins_premium_det i),'96740','96740','02', '11000003','00','Request by Mr. Saqib Saleem 27-Mar-2025');</v>
      </c>
      <c r="H71" s="14" t="str">
        <f t="shared" si="7"/>
        <v>insert into ins_premium_det (premium_rcv_code,assorted_code, rec_amount,premium_rcv_detail_code,remaining_amt, payrec, mode_code,coinsurance_code,class_cd,it_remarks) values('27Mar250025','070000177781','96740',(select max(to_number(i.premium_rcv_detail_code))+1
from ins_premium_det i),'96740','96740','02', '11000003','00','Request by Mr. Saqib Saleem 27-Mar-2025');</v>
      </c>
    </row>
    <row r="72" spans="1:8" ht="105">
      <c r="A72" s="2" t="s">
        <v>483</v>
      </c>
      <c r="B72" s="10" t="str">
        <f>VLOOKUP(A72,policy!B:C,2,)</f>
        <v>070000178414</v>
      </c>
      <c r="C72" s="3">
        <v>37000</v>
      </c>
      <c r="D72" s="11">
        <f t="shared" si="5"/>
        <v>37000</v>
      </c>
      <c r="E72" s="15" t="s">
        <v>653</v>
      </c>
      <c r="F72" s="12" t="str">
        <f t="shared" si="4"/>
        <v>insert into ins_premium_det (premium_rcv_code,assorted_code, rec_amount,premium_rcv_detail_code,remaining_amt, payrec, mode_code,coinsurance_code,class_cd,it_remarks) values</v>
      </c>
      <c r="G72" s="13" t="str">
        <f t="shared" si="6"/>
        <v>('27Mar250025','070000178414','37000',(select max(to_number(i.premium_rcv_detail_code))+1
from ins_premium_det i),'37000','37000','02', '11000003','00','Request by Mr. Saqib Saleem 27-Mar-2025');</v>
      </c>
      <c r="H72" s="14" t="str">
        <f t="shared" si="7"/>
        <v>insert into ins_premium_det (premium_rcv_code,assorted_code, rec_amount,premium_rcv_detail_code,remaining_amt, payrec, mode_code,coinsurance_code,class_cd,it_remarks) values('27Mar250025','070000178414','37000',(select max(to_number(i.premium_rcv_detail_code))+1
from ins_premium_det i),'37000','37000','02', '11000003','00','Request by Mr. Saqib Saleem 27-Mar-2025');</v>
      </c>
    </row>
    <row r="73" spans="1:8" ht="105">
      <c r="A73" s="2" t="s">
        <v>484</v>
      </c>
      <c r="B73" s="10" t="str">
        <f>VLOOKUP(A73,policy!B:C,2,)</f>
        <v>070000176518</v>
      </c>
      <c r="C73" s="3">
        <v>170135</v>
      </c>
      <c r="D73" s="11">
        <f t="shared" si="5"/>
        <v>170135</v>
      </c>
      <c r="E73" s="15" t="s">
        <v>653</v>
      </c>
      <c r="F73" s="12" t="str">
        <f t="shared" si="4"/>
        <v>insert into ins_premium_det (premium_rcv_code,assorted_code, rec_amount,premium_rcv_detail_code,remaining_amt, payrec, mode_code,coinsurance_code,class_cd,it_remarks) values</v>
      </c>
      <c r="G73" s="13" t="str">
        <f t="shared" si="6"/>
        <v>('27Mar250025','070000176518','170135',(select max(to_number(i.premium_rcv_detail_code))+1
from ins_premium_det i),'170135','170135','02', '11000003','00','Request by Mr. Saqib Saleem 27-Mar-2025');</v>
      </c>
      <c r="H73" s="14" t="str">
        <f t="shared" si="7"/>
        <v>insert into ins_premium_det (premium_rcv_code,assorted_code, rec_amount,premium_rcv_detail_code,remaining_amt, payrec, mode_code,coinsurance_code,class_cd,it_remarks) values('27Mar250025','070000176518','170135',(select max(to_number(i.premium_rcv_detail_code))+1
from ins_premium_det i),'170135','170135','02', '11000003','00','Request by Mr. Saqib Saleem 27-Mar-2025');</v>
      </c>
    </row>
    <row r="74" spans="1:8" ht="105">
      <c r="A74" s="2" t="s">
        <v>485</v>
      </c>
      <c r="B74" s="10" t="str">
        <f>VLOOKUP(A74,policy!B:C,2,)</f>
        <v>070000176578</v>
      </c>
      <c r="C74" s="3">
        <v>64750</v>
      </c>
      <c r="D74" s="11">
        <f t="shared" si="5"/>
        <v>64750</v>
      </c>
      <c r="E74" s="15" t="s">
        <v>653</v>
      </c>
      <c r="F74" s="12" t="str">
        <f t="shared" si="4"/>
        <v>insert into ins_premium_det (premium_rcv_code,assorted_code, rec_amount,premium_rcv_detail_code,remaining_amt, payrec, mode_code,coinsurance_code,class_cd,it_remarks) values</v>
      </c>
      <c r="G74" s="13" t="str">
        <f t="shared" si="6"/>
        <v>('27Mar250025','070000176578','64750',(select max(to_number(i.premium_rcv_detail_code))+1
from ins_premium_det i),'64750','64750','02', '11000003','00','Request by Mr. Saqib Saleem 27-Mar-2025');</v>
      </c>
      <c r="H74" s="14" t="str">
        <f t="shared" si="7"/>
        <v>insert into ins_premium_det (premium_rcv_code,assorted_code, rec_amount,premium_rcv_detail_code,remaining_amt, payrec, mode_code,coinsurance_code,class_cd,it_remarks) values('27Mar250025','070000176578','64750',(select max(to_number(i.premium_rcv_detail_code))+1
from ins_premium_det i),'64750','64750','02', '11000003','00','Request by Mr. Saqib Saleem 27-Mar-2025');</v>
      </c>
    </row>
    <row r="75" spans="1:8" ht="105">
      <c r="A75" s="2" t="s">
        <v>486</v>
      </c>
      <c r="B75" s="10" t="str">
        <f>VLOOKUP(A75,policy!B:C,2,)</f>
        <v>070000176591</v>
      </c>
      <c r="C75" s="3">
        <v>67358</v>
      </c>
      <c r="D75" s="11">
        <f t="shared" si="5"/>
        <v>67358</v>
      </c>
      <c r="E75" s="15" t="s">
        <v>653</v>
      </c>
      <c r="F75" s="12" t="str">
        <f t="shared" si="4"/>
        <v>insert into ins_premium_det (premium_rcv_code,assorted_code, rec_amount,premium_rcv_detail_code,remaining_amt, payrec, mode_code,coinsurance_code,class_cd,it_remarks) values</v>
      </c>
      <c r="G75" s="13" t="str">
        <f t="shared" si="6"/>
        <v>('27Mar250025','070000176591','67358',(select max(to_number(i.premium_rcv_detail_code))+1
from ins_premium_det i),'67358','67358','02', '11000003','00','Request by Mr. Saqib Saleem 27-Mar-2025');</v>
      </c>
      <c r="H75" s="14" t="str">
        <f t="shared" si="7"/>
        <v>insert into ins_premium_det (premium_rcv_code,assorted_code, rec_amount,premium_rcv_detail_code,remaining_amt, payrec, mode_code,coinsurance_code,class_cd,it_remarks) values('27Mar250025','070000176591','67358',(select max(to_number(i.premium_rcv_detail_code))+1
from ins_premium_det i),'67358','67358','02', '11000003','00','Request by Mr. Saqib Saleem 27-Mar-2025');</v>
      </c>
    </row>
    <row r="76" spans="1:8" ht="105">
      <c r="A76" s="2" t="s">
        <v>487</v>
      </c>
      <c r="B76" s="10" t="str">
        <f>VLOOKUP(A76,policy!B:C,2,)</f>
        <v>070000176761</v>
      </c>
      <c r="C76" s="3">
        <v>91000</v>
      </c>
      <c r="D76" s="11">
        <f t="shared" si="5"/>
        <v>91000</v>
      </c>
      <c r="E76" s="15" t="s">
        <v>653</v>
      </c>
      <c r="F76" s="12" t="str">
        <f t="shared" si="4"/>
        <v>insert into ins_premium_det (premium_rcv_code,assorted_code, rec_amount,premium_rcv_detail_code,remaining_amt, payrec, mode_code,coinsurance_code,class_cd,it_remarks) values</v>
      </c>
      <c r="G76" s="13" t="str">
        <f t="shared" si="6"/>
        <v>('27Mar250025','070000176761','91000',(select max(to_number(i.premium_rcv_detail_code))+1
from ins_premium_det i),'91000','91000','02', '11000003','00','Request by Mr. Saqib Saleem 27-Mar-2025');</v>
      </c>
      <c r="H76" s="14" t="str">
        <f t="shared" si="7"/>
        <v>insert into ins_premium_det (premium_rcv_code,assorted_code, rec_amount,premium_rcv_detail_code,remaining_amt, payrec, mode_code,coinsurance_code,class_cd,it_remarks) values('27Mar250025','070000176761','91000',(select max(to_number(i.premium_rcv_detail_code))+1
from ins_premium_det i),'91000','91000','02', '11000003','00','Request by Mr. Saqib Saleem 27-Mar-2025');</v>
      </c>
    </row>
    <row r="77" spans="1:8" ht="105">
      <c r="A77" s="2" t="s">
        <v>488</v>
      </c>
      <c r="B77" s="10" t="str">
        <f>VLOOKUP(A77,policy!B:C,2,)</f>
        <v>070000177028</v>
      </c>
      <c r="C77" s="3">
        <v>35000</v>
      </c>
      <c r="D77" s="11">
        <f t="shared" si="5"/>
        <v>35000</v>
      </c>
      <c r="E77" s="15" t="s">
        <v>653</v>
      </c>
      <c r="F77" s="12" t="str">
        <f t="shared" si="4"/>
        <v>insert into ins_premium_det (premium_rcv_code,assorted_code, rec_amount,premium_rcv_detail_code,remaining_amt, payrec, mode_code,coinsurance_code,class_cd,it_remarks) values</v>
      </c>
      <c r="G77" s="13" t="str">
        <f t="shared" si="6"/>
        <v>('27Mar250025','070000177028','35000',(select max(to_number(i.premium_rcv_detail_code))+1
from ins_premium_det i),'35000','35000','02', '11000003','00','Request by Mr. Saqib Saleem 27-Mar-2025');</v>
      </c>
      <c r="H77" s="14" t="str">
        <f t="shared" si="7"/>
        <v>insert into ins_premium_det (premium_rcv_code,assorted_code, rec_amount,premium_rcv_detail_code,remaining_amt, payrec, mode_code,coinsurance_code,class_cd,it_remarks) values('27Mar250025','070000177028','35000',(select max(to_number(i.premium_rcv_detail_code))+1
from ins_premium_det i),'35000','35000','02', '11000003','00','Request by Mr. Saqib Saleem 27-Mar-2025');</v>
      </c>
    </row>
    <row r="78" spans="1:8" ht="105">
      <c r="A78" s="2" t="s">
        <v>489</v>
      </c>
      <c r="B78" s="10" t="str">
        <f>VLOOKUP(A78,policy!B:C,2,)</f>
        <v>070000177228</v>
      </c>
      <c r="C78" s="3">
        <v>82250</v>
      </c>
      <c r="D78" s="11">
        <f t="shared" si="5"/>
        <v>82250</v>
      </c>
      <c r="E78" s="15" t="s">
        <v>653</v>
      </c>
      <c r="F78" s="12" t="str">
        <f t="shared" si="4"/>
        <v>insert into ins_premium_det (premium_rcv_code,assorted_code, rec_amount,premium_rcv_detail_code,remaining_amt, payrec, mode_code,coinsurance_code,class_cd,it_remarks) values</v>
      </c>
      <c r="G78" s="13" t="str">
        <f t="shared" si="6"/>
        <v>('27Mar250025','070000177228','82250',(select max(to_number(i.premium_rcv_detail_code))+1
from ins_premium_det i),'82250','82250','02', '11000003','00','Request by Mr. Saqib Saleem 27-Mar-2025');</v>
      </c>
      <c r="H78" s="14" t="str">
        <f t="shared" si="7"/>
        <v>insert into ins_premium_det (premium_rcv_code,assorted_code, rec_amount,premium_rcv_detail_code,remaining_amt, payrec, mode_code,coinsurance_code,class_cd,it_remarks) values('27Mar250025','070000177228','82250',(select max(to_number(i.premium_rcv_detail_code))+1
from ins_premium_det i),'82250','82250','02', '11000003','00','Request by Mr. Saqib Saleem 27-Mar-2025');</v>
      </c>
    </row>
    <row r="79" spans="1:8" ht="105">
      <c r="A79" s="2" t="s">
        <v>490</v>
      </c>
      <c r="B79" s="10" t="str">
        <f>VLOOKUP(A79,policy!B:C,2,)</f>
        <v>070000177316</v>
      </c>
      <c r="C79" s="3">
        <v>47373</v>
      </c>
      <c r="D79" s="11">
        <f t="shared" si="5"/>
        <v>47373</v>
      </c>
      <c r="E79" s="15" t="s">
        <v>653</v>
      </c>
      <c r="F79" s="12" t="str">
        <f t="shared" si="4"/>
        <v>insert into ins_premium_det (premium_rcv_code,assorted_code, rec_amount,premium_rcv_detail_code,remaining_amt, payrec, mode_code,coinsurance_code,class_cd,it_remarks) values</v>
      </c>
      <c r="G79" s="13" t="str">
        <f t="shared" si="6"/>
        <v>('27Mar250025','070000177316','47373',(select max(to_number(i.premium_rcv_detail_code))+1
from ins_premium_det i),'47373','47373','02', '11000003','00','Request by Mr. Saqib Saleem 27-Mar-2025');</v>
      </c>
      <c r="H79" s="14" t="str">
        <f t="shared" si="7"/>
        <v>insert into ins_premium_det (premium_rcv_code,assorted_code, rec_amount,premium_rcv_detail_code,remaining_amt, payrec, mode_code,coinsurance_code,class_cd,it_remarks) values('27Mar250025','070000177316','47373',(select max(to_number(i.premium_rcv_detail_code))+1
from ins_premium_det i),'47373','47373','02', '11000003','00','Request by Mr. Saqib Saleem 27-Mar-2025');</v>
      </c>
    </row>
    <row r="80" spans="1:8" ht="105">
      <c r="A80" s="2" t="s">
        <v>491</v>
      </c>
      <c r="B80" s="10" t="str">
        <f>VLOOKUP(A80,policy!B:C,2,)</f>
        <v>070000179030</v>
      </c>
      <c r="C80" s="3">
        <v>45500</v>
      </c>
      <c r="D80" s="11">
        <f t="shared" si="5"/>
        <v>45500</v>
      </c>
      <c r="E80" s="15" t="s">
        <v>653</v>
      </c>
      <c r="F80" s="12" t="str">
        <f t="shared" si="4"/>
        <v>insert into ins_premium_det (premium_rcv_code,assorted_code, rec_amount,premium_rcv_detail_code,remaining_amt, payrec, mode_code,coinsurance_code,class_cd,it_remarks) values</v>
      </c>
      <c r="G80" s="13" t="str">
        <f t="shared" si="6"/>
        <v>('27Mar250025','070000179030','45500',(select max(to_number(i.premium_rcv_detail_code))+1
from ins_premium_det i),'45500','45500','02', '11000003','00','Request by Mr. Saqib Saleem 27-Mar-2025');</v>
      </c>
      <c r="H80" s="14" t="str">
        <f t="shared" si="7"/>
        <v>insert into ins_premium_det (premium_rcv_code,assorted_code, rec_amount,premium_rcv_detail_code,remaining_amt, payrec, mode_code,coinsurance_code,class_cd,it_remarks) values('27Mar250025','070000179030','45500',(select max(to_number(i.premium_rcv_detail_code))+1
from ins_premium_det i),'45500','45500','02', '11000003','00','Request by Mr. Saqib Saleem 27-Mar-2025');</v>
      </c>
    </row>
    <row r="81" spans="1:8" ht="105">
      <c r="A81" s="2" t="s">
        <v>492</v>
      </c>
      <c r="B81" s="10" t="str">
        <f>VLOOKUP(A81,policy!B:C,2,)</f>
        <v>070000176519</v>
      </c>
      <c r="C81" s="3">
        <v>49000</v>
      </c>
      <c r="D81" s="11">
        <f t="shared" si="5"/>
        <v>49000</v>
      </c>
      <c r="E81" s="15" t="s">
        <v>653</v>
      </c>
      <c r="F81" s="12" t="str">
        <f t="shared" si="4"/>
        <v>insert into ins_premium_det (premium_rcv_code,assorted_code, rec_amount,premium_rcv_detail_code,remaining_amt, payrec, mode_code,coinsurance_code,class_cd,it_remarks) values</v>
      </c>
      <c r="G81" s="13" t="str">
        <f t="shared" si="6"/>
        <v>('27Mar250025','070000176519','49000',(select max(to_number(i.premium_rcv_detail_code))+1
from ins_premium_det i),'49000','49000','02', '11000003','00','Request by Mr. Saqib Saleem 27-Mar-2025');</v>
      </c>
      <c r="H81" s="14" t="str">
        <f t="shared" si="7"/>
        <v>insert into ins_premium_det (premium_rcv_code,assorted_code, rec_amount,premium_rcv_detail_code,remaining_amt, payrec, mode_code,coinsurance_code,class_cd,it_remarks) values('27Mar250025','070000176519','49000',(select max(to_number(i.premium_rcv_detail_code))+1
from ins_premium_det i),'49000','49000','02', '11000003','00','Request by Mr. Saqib Saleem 27-Mar-2025');</v>
      </c>
    </row>
    <row r="82" spans="1:8">
      <c r="C82" s="16">
        <f>SUM(C2:C81)</f>
        <v>5981860</v>
      </c>
      <c r="D82" s="16">
        <f>SUM(D2:D81)</f>
        <v>5981860</v>
      </c>
    </row>
  </sheetData>
  <conditionalFormatting sqref="A1">
    <cfRule type="duplicateValues" dxfId="3" priority="1"/>
  </conditionalFormatting>
  <conditionalFormatting sqref="A2:B2 B3:B8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C598-972F-46C7-B023-8D37A1FAD89C}">
  <dimension ref="A1:J80"/>
  <sheetViews>
    <sheetView workbookViewId="0">
      <selection activeCell="E11" sqref="E11"/>
    </sheetView>
  </sheetViews>
  <sheetFormatPr defaultRowHeight="15"/>
  <cols>
    <col min="1" max="1" width="44.28515625" bestFit="1" customWidth="1"/>
  </cols>
  <sheetData>
    <row r="1" spans="1:10">
      <c r="A1" s="2" t="s">
        <v>414</v>
      </c>
      <c r="B1" t="s">
        <v>499</v>
      </c>
      <c r="H1">
        <v>105332</v>
      </c>
      <c r="I1" t="s">
        <v>502</v>
      </c>
      <c r="J1" t="str">
        <f>"ia.assorted_string like '%"&amp;H1&amp;"-"&amp;I1&amp;B1&amp;"%' or"</f>
        <v>ia.assorted_string like '%105332-00102-01-2025%' or</v>
      </c>
    </row>
    <row r="2" spans="1:10">
      <c r="A2" s="2" t="s">
        <v>415</v>
      </c>
      <c r="B2" t="s">
        <v>500</v>
      </c>
      <c r="H2">
        <v>107044</v>
      </c>
      <c r="I2" t="s">
        <v>503</v>
      </c>
      <c r="J2" t="str">
        <f t="shared" ref="J2:J65" si="0">"ia.assorted_string like '%"&amp;H2&amp;"-"&amp;I2&amp;B2&amp;"%' or"</f>
        <v>ia.assorted_string like '%107044-00018-02-2025%' or</v>
      </c>
    </row>
    <row r="3" spans="1:10">
      <c r="A3" s="2" t="s">
        <v>416</v>
      </c>
      <c r="B3" t="s">
        <v>500</v>
      </c>
      <c r="H3">
        <v>107044</v>
      </c>
      <c r="I3" t="s">
        <v>504</v>
      </c>
      <c r="J3" t="str">
        <f t="shared" si="0"/>
        <v>ia.assorted_string like '%107044-00020-02-2025%' or</v>
      </c>
    </row>
    <row r="4" spans="1:10">
      <c r="A4" s="2" t="s">
        <v>417</v>
      </c>
      <c r="B4" t="s">
        <v>499</v>
      </c>
      <c r="H4">
        <v>105332</v>
      </c>
      <c r="I4" t="s">
        <v>505</v>
      </c>
      <c r="J4" t="str">
        <f t="shared" si="0"/>
        <v>ia.assorted_string like '%105332-00092-01-2025%' or</v>
      </c>
    </row>
    <row r="5" spans="1:10">
      <c r="A5" s="2" t="s">
        <v>418</v>
      </c>
      <c r="B5" t="s">
        <v>501</v>
      </c>
      <c r="H5">
        <v>107830</v>
      </c>
      <c r="I5" t="s">
        <v>506</v>
      </c>
      <c r="J5" t="str">
        <f t="shared" si="0"/>
        <v>ia.assorted_string like '%107830-00013-03-2025%' or</v>
      </c>
    </row>
    <row r="6" spans="1:10">
      <c r="A6" s="2" t="s">
        <v>419</v>
      </c>
      <c r="B6" t="s">
        <v>500</v>
      </c>
      <c r="H6">
        <v>107044</v>
      </c>
      <c r="I6" t="s">
        <v>507</v>
      </c>
      <c r="J6" t="str">
        <f t="shared" si="0"/>
        <v>ia.assorted_string like '%107044-00033-02-2025%' or</v>
      </c>
    </row>
    <row r="7" spans="1:10">
      <c r="A7" s="2" t="s">
        <v>420</v>
      </c>
      <c r="B7" t="s">
        <v>500</v>
      </c>
      <c r="H7">
        <v>107044</v>
      </c>
      <c r="I7" t="s">
        <v>508</v>
      </c>
      <c r="J7" t="str">
        <f t="shared" si="0"/>
        <v>ia.assorted_string like '%107044-00003-02-2025%' or</v>
      </c>
    </row>
    <row r="8" spans="1:10">
      <c r="A8" s="2" t="s">
        <v>421</v>
      </c>
      <c r="B8" t="s">
        <v>501</v>
      </c>
      <c r="H8">
        <v>107830</v>
      </c>
      <c r="I8" t="s">
        <v>509</v>
      </c>
      <c r="J8" t="str">
        <f t="shared" si="0"/>
        <v>ia.assorted_string like '%107830-00005-03-2025%' or</v>
      </c>
    </row>
    <row r="9" spans="1:10">
      <c r="A9" s="2" t="s">
        <v>444</v>
      </c>
      <c r="B9" t="s">
        <v>500</v>
      </c>
      <c r="H9">
        <v>107044</v>
      </c>
      <c r="I9" t="s">
        <v>510</v>
      </c>
      <c r="J9" t="str">
        <f t="shared" si="0"/>
        <v>ia.assorted_string like '%107044-00045-02-2025%' or</v>
      </c>
    </row>
    <row r="10" spans="1:10">
      <c r="A10" s="2" t="s">
        <v>445</v>
      </c>
      <c r="B10" t="s">
        <v>500</v>
      </c>
      <c r="H10">
        <v>107044</v>
      </c>
      <c r="I10" t="s">
        <v>511</v>
      </c>
      <c r="J10" t="str">
        <f t="shared" si="0"/>
        <v>ia.assorted_string like '%107044-00044-02-2025%' or</v>
      </c>
    </row>
    <row r="11" spans="1:10">
      <c r="A11" s="2" t="s">
        <v>422</v>
      </c>
      <c r="B11" t="s">
        <v>500</v>
      </c>
      <c r="H11">
        <v>107044</v>
      </c>
      <c r="I11" t="s">
        <v>512</v>
      </c>
      <c r="J11" t="str">
        <f t="shared" si="0"/>
        <v>ia.assorted_string like '%107044-00002-02-2025%' or</v>
      </c>
    </row>
    <row r="12" spans="1:10">
      <c r="A12" s="2" t="s">
        <v>446</v>
      </c>
      <c r="B12" t="s">
        <v>501</v>
      </c>
      <c r="H12">
        <v>107830</v>
      </c>
      <c r="I12" t="s">
        <v>513</v>
      </c>
      <c r="J12" t="str">
        <f t="shared" si="0"/>
        <v>ia.assorted_string like '%107830-00011-03-2025%' or</v>
      </c>
    </row>
    <row r="13" spans="1:10">
      <c r="A13" s="2" t="s">
        <v>423</v>
      </c>
      <c r="B13" t="s">
        <v>500</v>
      </c>
      <c r="H13">
        <v>107044</v>
      </c>
      <c r="I13" t="s">
        <v>514</v>
      </c>
      <c r="J13" t="str">
        <f t="shared" si="0"/>
        <v>ia.assorted_string like '%107044-00001-02-2025%' or</v>
      </c>
    </row>
    <row r="14" spans="1:10">
      <c r="A14" s="2" t="s">
        <v>447</v>
      </c>
      <c r="B14" t="s">
        <v>500</v>
      </c>
      <c r="H14">
        <v>107044</v>
      </c>
      <c r="I14" t="s">
        <v>515</v>
      </c>
      <c r="J14" t="str">
        <f t="shared" si="0"/>
        <v>ia.assorted_string like '%107044-00024-02-2025%' or</v>
      </c>
    </row>
    <row r="15" spans="1:10">
      <c r="A15" s="2" t="s">
        <v>448</v>
      </c>
      <c r="B15" t="s">
        <v>499</v>
      </c>
      <c r="H15">
        <v>105332</v>
      </c>
      <c r="I15" t="s">
        <v>516</v>
      </c>
      <c r="J15" t="str">
        <f t="shared" si="0"/>
        <v>ia.assorted_string like '%105332-00115-01-2025%' or</v>
      </c>
    </row>
    <row r="16" spans="1:10">
      <c r="A16" s="2" t="s">
        <v>449</v>
      </c>
      <c r="B16" t="s">
        <v>500</v>
      </c>
      <c r="H16">
        <v>107044</v>
      </c>
      <c r="I16" t="s">
        <v>513</v>
      </c>
      <c r="J16" t="str">
        <f t="shared" si="0"/>
        <v>ia.assorted_string like '%107044-00011-02-2025%' or</v>
      </c>
    </row>
    <row r="17" spans="1:10">
      <c r="A17" s="2" t="s">
        <v>450</v>
      </c>
      <c r="B17" t="s">
        <v>500</v>
      </c>
      <c r="H17">
        <v>107044</v>
      </c>
      <c r="I17" t="s">
        <v>517</v>
      </c>
      <c r="J17" t="str">
        <f t="shared" si="0"/>
        <v>ia.assorted_string like '%107044-00014-02-2025%' or</v>
      </c>
    </row>
    <row r="18" spans="1:10">
      <c r="A18" s="2" t="s">
        <v>451</v>
      </c>
      <c r="B18" t="s">
        <v>500</v>
      </c>
      <c r="H18">
        <v>107044</v>
      </c>
      <c r="I18" t="s">
        <v>518</v>
      </c>
      <c r="J18" t="str">
        <f t="shared" si="0"/>
        <v>ia.assorted_string like '%107044-00009-02-2025%' or</v>
      </c>
    </row>
    <row r="19" spans="1:10">
      <c r="A19" s="2" t="s">
        <v>424</v>
      </c>
      <c r="B19" t="s">
        <v>500</v>
      </c>
      <c r="H19">
        <v>107044</v>
      </c>
      <c r="I19" t="s">
        <v>519</v>
      </c>
      <c r="J19" t="str">
        <f t="shared" si="0"/>
        <v>ia.assorted_string like '%107044-00015-02-2025%' or</v>
      </c>
    </row>
    <row r="20" spans="1:10">
      <c r="A20" s="2" t="s">
        <v>452</v>
      </c>
      <c r="B20" t="s">
        <v>500</v>
      </c>
      <c r="H20">
        <v>107044</v>
      </c>
      <c r="I20" t="s">
        <v>520</v>
      </c>
      <c r="J20" t="str">
        <f t="shared" si="0"/>
        <v>ia.assorted_string like '%107044-00021-02-2025%' or</v>
      </c>
    </row>
    <row r="21" spans="1:10">
      <c r="A21" s="2" t="s">
        <v>453</v>
      </c>
      <c r="B21" t="s">
        <v>500</v>
      </c>
      <c r="H21">
        <v>107044</v>
      </c>
      <c r="I21" t="s">
        <v>521</v>
      </c>
      <c r="J21" t="str">
        <f t="shared" si="0"/>
        <v>ia.assorted_string like '%107044-00030-02-2025%' or</v>
      </c>
    </row>
    <row r="22" spans="1:10">
      <c r="A22" s="2" t="s">
        <v>454</v>
      </c>
      <c r="B22" t="s">
        <v>500</v>
      </c>
      <c r="H22">
        <v>107044</v>
      </c>
      <c r="I22" t="s">
        <v>522</v>
      </c>
      <c r="J22" t="str">
        <f t="shared" si="0"/>
        <v>ia.assorted_string like '%107044-00037-02-2025%' or</v>
      </c>
    </row>
    <row r="23" spans="1:10">
      <c r="A23" s="2" t="s">
        <v>455</v>
      </c>
      <c r="B23" t="s">
        <v>500</v>
      </c>
      <c r="H23">
        <v>107044</v>
      </c>
      <c r="I23" t="s">
        <v>523</v>
      </c>
      <c r="J23" t="str">
        <f t="shared" si="0"/>
        <v>ia.assorted_string like '%107044-00034-02-2025%' or</v>
      </c>
    </row>
    <row r="24" spans="1:10">
      <c r="A24" s="2" t="s">
        <v>456</v>
      </c>
      <c r="B24" t="s">
        <v>500</v>
      </c>
      <c r="H24">
        <v>107044</v>
      </c>
      <c r="I24" t="s">
        <v>524</v>
      </c>
      <c r="J24" t="str">
        <f t="shared" si="0"/>
        <v>ia.assorted_string like '%107044-00046-02-2025%' or</v>
      </c>
    </row>
    <row r="25" spans="1:10">
      <c r="A25" s="2" t="s">
        <v>457</v>
      </c>
      <c r="B25" t="s">
        <v>500</v>
      </c>
      <c r="H25">
        <v>107044</v>
      </c>
      <c r="I25" t="s">
        <v>525</v>
      </c>
      <c r="J25" t="str">
        <f t="shared" si="0"/>
        <v>ia.assorted_string like '%107044-00036-02-2025%' or</v>
      </c>
    </row>
    <row r="26" spans="1:10">
      <c r="A26" s="2" t="s">
        <v>493</v>
      </c>
      <c r="B26" t="s">
        <v>500</v>
      </c>
      <c r="H26">
        <v>107044</v>
      </c>
      <c r="I26" t="s">
        <v>526</v>
      </c>
      <c r="J26" t="str">
        <f t="shared" si="0"/>
        <v>ia.assorted_string like '%107044-00047-02-2025%' or</v>
      </c>
    </row>
    <row r="27" spans="1:10">
      <c r="A27" s="2" t="s">
        <v>425</v>
      </c>
      <c r="B27" t="s">
        <v>500</v>
      </c>
      <c r="H27">
        <v>107044</v>
      </c>
      <c r="I27" t="s">
        <v>527</v>
      </c>
      <c r="J27" t="str">
        <f t="shared" si="0"/>
        <v>ia.assorted_string like '%107044-00049-02-2025%' or</v>
      </c>
    </row>
    <row r="28" spans="1:10">
      <c r="A28" s="2" t="s">
        <v>458</v>
      </c>
      <c r="B28" t="s">
        <v>500</v>
      </c>
      <c r="H28">
        <v>107044</v>
      </c>
      <c r="I28" t="s">
        <v>528</v>
      </c>
      <c r="J28" t="str">
        <f t="shared" si="0"/>
        <v>ia.assorted_string like '%107044-00056-02-2025%' or</v>
      </c>
    </row>
    <row r="29" spans="1:10">
      <c r="A29" s="2" t="s">
        <v>426</v>
      </c>
      <c r="B29" t="s">
        <v>500</v>
      </c>
      <c r="H29">
        <v>107044</v>
      </c>
      <c r="I29" t="s">
        <v>529</v>
      </c>
      <c r="J29" t="str">
        <f t="shared" si="0"/>
        <v>ia.assorted_string like '%107044-00052-02-2025%' or</v>
      </c>
    </row>
    <row r="30" spans="1:10">
      <c r="A30" s="2" t="s">
        <v>459</v>
      </c>
      <c r="B30" t="s">
        <v>500</v>
      </c>
      <c r="H30">
        <v>107044</v>
      </c>
      <c r="I30" t="s">
        <v>530</v>
      </c>
      <c r="J30" t="str">
        <f t="shared" si="0"/>
        <v>ia.assorted_string like '%107044-00059-02-2025%' or</v>
      </c>
    </row>
    <row r="31" spans="1:10">
      <c r="A31" s="2" t="s">
        <v>427</v>
      </c>
      <c r="B31" t="s">
        <v>501</v>
      </c>
      <c r="H31">
        <v>107830</v>
      </c>
      <c r="I31" t="s">
        <v>512</v>
      </c>
      <c r="J31" t="str">
        <f t="shared" si="0"/>
        <v>ia.assorted_string like '%107830-00002-03-2025%' or</v>
      </c>
    </row>
    <row r="32" spans="1:10">
      <c r="A32" s="2" t="s">
        <v>428</v>
      </c>
      <c r="B32" t="s">
        <v>501</v>
      </c>
      <c r="H32">
        <v>107830</v>
      </c>
      <c r="I32" t="s">
        <v>508</v>
      </c>
      <c r="J32" t="str">
        <f t="shared" si="0"/>
        <v>ia.assorted_string like '%107830-00003-03-2025%' or</v>
      </c>
    </row>
    <row r="33" spans="1:10">
      <c r="A33" s="2" t="s">
        <v>460</v>
      </c>
      <c r="B33" t="s">
        <v>501</v>
      </c>
      <c r="H33">
        <v>107830</v>
      </c>
      <c r="I33" t="s">
        <v>531</v>
      </c>
      <c r="J33" t="str">
        <f t="shared" si="0"/>
        <v>ia.assorted_string like '%107830-00004-03-2025%' or</v>
      </c>
    </row>
    <row r="34" spans="1:10">
      <c r="A34" s="2" t="s">
        <v>461</v>
      </c>
      <c r="B34" t="s">
        <v>501</v>
      </c>
      <c r="H34">
        <v>107830</v>
      </c>
      <c r="I34" t="s">
        <v>532</v>
      </c>
      <c r="J34" t="str">
        <f t="shared" si="0"/>
        <v>ia.assorted_string like '%107830-00007-03-2025%' or</v>
      </c>
    </row>
    <row r="35" spans="1:10">
      <c r="A35" s="2" t="s">
        <v>429</v>
      </c>
      <c r="B35" t="s">
        <v>501</v>
      </c>
      <c r="H35">
        <v>107830</v>
      </c>
      <c r="I35" t="s">
        <v>518</v>
      </c>
      <c r="J35" t="str">
        <f t="shared" si="0"/>
        <v>ia.assorted_string like '%107830-00009-03-2025%' or</v>
      </c>
    </row>
    <row r="36" spans="1:10">
      <c r="A36" s="2" t="s">
        <v>462</v>
      </c>
      <c r="B36" t="s">
        <v>501</v>
      </c>
      <c r="H36">
        <v>107830</v>
      </c>
      <c r="I36" t="s">
        <v>533</v>
      </c>
      <c r="J36" t="str">
        <f t="shared" si="0"/>
        <v>ia.assorted_string like '%107830-00012-03-2025%' or</v>
      </c>
    </row>
    <row r="37" spans="1:10">
      <c r="A37" s="2" t="s">
        <v>430</v>
      </c>
      <c r="B37" t="s">
        <v>501</v>
      </c>
      <c r="H37">
        <v>107830</v>
      </c>
      <c r="I37" t="s">
        <v>517</v>
      </c>
      <c r="J37" t="str">
        <f t="shared" si="0"/>
        <v>ia.assorted_string like '%107830-00014-03-2025%' or</v>
      </c>
    </row>
    <row r="38" spans="1:10">
      <c r="A38" s="2" t="s">
        <v>463</v>
      </c>
      <c r="B38" t="s">
        <v>501</v>
      </c>
      <c r="H38">
        <v>107830</v>
      </c>
      <c r="I38" t="s">
        <v>534</v>
      </c>
      <c r="J38" t="str">
        <f t="shared" si="0"/>
        <v>ia.assorted_string like '%107830-00023-03-2025%' or</v>
      </c>
    </row>
    <row r="39" spans="1:10">
      <c r="A39" s="2" t="s">
        <v>464</v>
      </c>
      <c r="B39" t="s">
        <v>499</v>
      </c>
      <c r="H39">
        <v>105332</v>
      </c>
      <c r="I39" t="s">
        <v>535</v>
      </c>
      <c r="J39" t="str">
        <f t="shared" si="0"/>
        <v>ia.assorted_string like '%105332-00148-01-2025%' or</v>
      </c>
    </row>
    <row r="40" spans="1:10">
      <c r="A40" s="2" t="s">
        <v>431</v>
      </c>
      <c r="B40" t="s">
        <v>500</v>
      </c>
      <c r="H40">
        <v>107044</v>
      </c>
      <c r="I40" t="s">
        <v>536</v>
      </c>
      <c r="J40" t="str">
        <f t="shared" si="0"/>
        <v>ia.assorted_string like '%107044-00008-02-2025%' or</v>
      </c>
    </row>
    <row r="41" spans="1:10">
      <c r="A41" s="2" t="s">
        <v>465</v>
      </c>
      <c r="B41" t="s">
        <v>500</v>
      </c>
      <c r="H41">
        <v>107044</v>
      </c>
      <c r="I41" t="s">
        <v>537</v>
      </c>
      <c r="J41" t="str">
        <f t="shared" si="0"/>
        <v>ia.assorted_string like '%107044-00019-02-2025%' or</v>
      </c>
    </row>
    <row r="42" spans="1:10">
      <c r="A42" s="2" t="s">
        <v>466</v>
      </c>
      <c r="B42" t="s">
        <v>500</v>
      </c>
      <c r="H42">
        <v>107044</v>
      </c>
      <c r="I42" t="s">
        <v>534</v>
      </c>
      <c r="J42" t="str">
        <f t="shared" si="0"/>
        <v>ia.assorted_string like '%107044-00023-02-2025%' or</v>
      </c>
    </row>
    <row r="43" spans="1:10">
      <c r="A43" s="2" t="s">
        <v>467</v>
      </c>
      <c r="B43" t="s">
        <v>500</v>
      </c>
      <c r="H43">
        <v>107044</v>
      </c>
      <c r="I43" t="s">
        <v>538</v>
      </c>
      <c r="J43" t="str">
        <f t="shared" si="0"/>
        <v>ia.assorted_string like '%107044-00026-02-2025%' or</v>
      </c>
    </row>
    <row r="44" spans="1:10">
      <c r="A44" s="2" t="s">
        <v>468</v>
      </c>
      <c r="B44" t="s">
        <v>500</v>
      </c>
      <c r="H44">
        <v>107044</v>
      </c>
      <c r="I44" t="s">
        <v>539</v>
      </c>
      <c r="J44" t="str">
        <f t="shared" si="0"/>
        <v>ia.assorted_string like '%107044-00028-02-2025%' or</v>
      </c>
    </row>
    <row r="45" spans="1:10">
      <c r="A45" s="2" t="s">
        <v>469</v>
      </c>
      <c r="B45" t="s">
        <v>500</v>
      </c>
      <c r="H45">
        <v>107044</v>
      </c>
      <c r="I45" t="s">
        <v>540</v>
      </c>
      <c r="J45" t="str">
        <f t="shared" si="0"/>
        <v>ia.assorted_string like '%107044-00029-02-2025%' or</v>
      </c>
    </row>
    <row r="46" spans="1:10">
      <c r="A46" s="2" t="s">
        <v>470</v>
      </c>
      <c r="B46" t="s">
        <v>500</v>
      </c>
      <c r="H46">
        <v>107044</v>
      </c>
      <c r="I46" t="s">
        <v>541</v>
      </c>
      <c r="J46" t="str">
        <f t="shared" si="0"/>
        <v>ia.assorted_string like '%107044-00038-02-2025%' or</v>
      </c>
    </row>
    <row r="47" spans="1:10">
      <c r="A47" s="2" t="s">
        <v>432</v>
      </c>
      <c r="B47" t="s">
        <v>500</v>
      </c>
      <c r="H47">
        <v>107044</v>
      </c>
      <c r="I47" t="s">
        <v>542</v>
      </c>
      <c r="J47" t="str">
        <f t="shared" si="0"/>
        <v>ia.assorted_string like '%107044-00032-02-2025%' or</v>
      </c>
    </row>
    <row r="48" spans="1:10">
      <c r="A48" s="5" t="s">
        <v>471</v>
      </c>
      <c r="B48" t="s">
        <v>500</v>
      </c>
      <c r="H48">
        <v>107044</v>
      </c>
      <c r="I48" t="s">
        <v>543</v>
      </c>
      <c r="J48" t="str">
        <f t="shared" si="0"/>
        <v>ia.assorted_string like '%107044-00043-02-2025%' or</v>
      </c>
    </row>
    <row r="49" spans="1:10">
      <c r="A49" s="2" t="s">
        <v>472</v>
      </c>
      <c r="B49" t="s">
        <v>500</v>
      </c>
      <c r="H49">
        <v>107044</v>
      </c>
      <c r="I49" t="s">
        <v>544</v>
      </c>
      <c r="J49" t="str">
        <f t="shared" si="0"/>
        <v>ia.assorted_string like '%107044-00041-02-2025%' or</v>
      </c>
    </row>
    <row r="50" spans="1:10">
      <c r="A50" s="2" t="s">
        <v>433</v>
      </c>
      <c r="B50" t="s">
        <v>500</v>
      </c>
      <c r="H50">
        <v>107044</v>
      </c>
      <c r="I50" t="s">
        <v>545</v>
      </c>
      <c r="J50" t="str">
        <f t="shared" si="0"/>
        <v>ia.assorted_string like '%107044-00039-02-2025%' or</v>
      </c>
    </row>
    <row r="51" spans="1:10">
      <c r="A51" s="2" t="s">
        <v>473</v>
      </c>
      <c r="B51" t="s">
        <v>500</v>
      </c>
      <c r="H51">
        <v>107044</v>
      </c>
      <c r="I51" t="s">
        <v>546</v>
      </c>
      <c r="J51" t="str">
        <f t="shared" si="0"/>
        <v>ia.assorted_string like '%107044-00040-02-2025%' or</v>
      </c>
    </row>
    <row r="52" spans="1:10">
      <c r="A52" s="2" t="s">
        <v>474</v>
      </c>
      <c r="B52" t="s">
        <v>500</v>
      </c>
      <c r="H52">
        <v>107044</v>
      </c>
      <c r="I52" t="s">
        <v>547</v>
      </c>
      <c r="J52" t="str">
        <f t="shared" si="0"/>
        <v>ia.assorted_string like '%107044-00042-02-2025%' or</v>
      </c>
    </row>
    <row r="53" spans="1:10">
      <c r="A53" s="2" t="s">
        <v>475</v>
      </c>
      <c r="B53" t="s">
        <v>500</v>
      </c>
      <c r="H53">
        <v>107044</v>
      </c>
      <c r="I53" t="s">
        <v>548</v>
      </c>
      <c r="J53" t="str">
        <f t="shared" si="0"/>
        <v>ia.assorted_string like '%107044-00050-02-2025%' or</v>
      </c>
    </row>
    <row r="54" spans="1:10">
      <c r="A54" s="2" t="s">
        <v>476</v>
      </c>
      <c r="B54" t="s">
        <v>500</v>
      </c>
      <c r="H54">
        <v>107044</v>
      </c>
      <c r="I54" t="s">
        <v>549</v>
      </c>
      <c r="J54" t="str">
        <f t="shared" si="0"/>
        <v>ia.assorted_string like '%107044-00051-02-2025%' or</v>
      </c>
    </row>
    <row r="55" spans="1:10">
      <c r="A55" s="2" t="s">
        <v>434</v>
      </c>
      <c r="B55" t="s">
        <v>500</v>
      </c>
      <c r="H55">
        <v>107044</v>
      </c>
      <c r="I55" t="s">
        <v>550</v>
      </c>
      <c r="J55" t="str">
        <f t="shared" si="0"/>
        <v>ia.assorted_string like '%107044-00054-02-2025%' or</v>
      </c>
    </row>
    <row r="56" spans="1:10">
      <c r="A56" s="2" t="s">
        <v>435</v>
      </c>
      <c r="B56" t="s">
        <v>500</v>
      </c>
      <c r="H56">
        <v>107044</v>
      </c>
      <c r="I56" t="s">
        <v>551</v>
      </c>
      <c r="J56" t="str">
        <f t="shared" si="0"/>
        <v>ia.assorted_string like '%107044-00058-02-2025%' or</v>
      </c>
    </row>
    <row r="57" spans="1:10">
      <c r="A57" s="2" t="s">
        <v>436</v>
      </c>
      <c r="B57" t="s">
        <v>500</v>
      </c>
      <c r="H57">
        <v>107044</v>
      </c>
      <c r="I57" t="s">
        <v>552</v>
      </c>
      <c r="J57" t="str">
        <f t="shared" si="0"/>
        <v>ia.assorted_string like '%107044-00055-02-2025%' or</v>
      </c>
    </row>
    <row r="58" spans="1:10">
      <c r="A58" s="2" t="s">
        <v>477</v>
      </c>
      <c r="B58" t="s">
        <v>500</v>
      </c>
      <c r="H58">
        <v>107044</v>
      </c>
      <c r="I58" t="s">
        <v>553</v>
      </c>
      <c r="J58" t="str">
        <f t="shared" si="0"/>
        <v>ia.assorted_string like '%107044-00060-02-2025%' or</v>
      </c>
    </row>
    <row r="59" spans="1:10">
      <c r="A59" s="2" t="s">
        <v>478</v>
      </c>
      <c r="B59" t="s">
        <v>500</v>
      </c>
      <c r="H59">
        <v>107044</v>
      </c>
      <c r="I59" t="s">
        <v>554</v>
      </c>
      <c r="J59" t="str">
        <f t="shared" si="0"/>
        <v>ia.assorted_string like '%107044-00057-02-2025%' or</v>
      </c>
    </row>
    <row r="60" spans="1:10">
      <c r="A60" s="2" t="s">
        <v>479</v>
      </c>
      <c r="B60" t="s">
        <v>501</v>
      </c>
      <c r="H60">
        <v>107830</v>
      </c>
      <c r="I60" t="s">
        <v>504</v>
      </c>
      <c r="J60" t="str">
        <f t="shared" si="0"/>
        <v>ia.assorted_string like '%107830-00020-03-2025%' or</v>
      </c>
    </row>
    <row r="61" spans="1:10">
      <c r="A61" s="2" t="s">
        <v>437</v>
      </c>
      <c r="B61" t="s">
        <v>499</v>
      </c>
      <c r="H61">
        <v>105332</v>
      </c>
      <c r="I61" t="s">
        <v>555</v>
      </c>
      <c r="J61" t="str">
        <f t="shared" si="0"/>
        <v>ia.assorted_string like '%105332-00103-01-2025%' or</v>
      </c>
    </row>
    <row r="62" spans="1:10">
      <c r="A62" s="2" t="s">
        <v>438</v>
      </c>
      <c r="B62" t="s">
        <v>500</v>
      </c>
      <c r="H62">
        <v>107044</v>
      </c>
      <c r="I62" t="s">
        <v>556</v>
      </c>
      <c r="J62" t="str">
        <f t="shared" si="0"/>
        <v>ia.assorted_string like '%107044-00027-02-2025%' or</v>
      </c>
    </row>
    <row r="63" spans="1:10">
      <c r="A63" s="2" t="s">
        <v>480</v>
      </c>
      <c r="B63" t="s">
        <v>500</v>
      </c>
      <c r="H63">
        <v>107044</v>
      </c>
      <c r="I63" t="s">
        <v>557</v>
      </c>
      <c r="J63" t="str">
        <f t="shared" si="0"/>
        <v>ia.assorted_string like '%107044-00048-02-2025%' or</v>
      </c>
    </row>
    <row r="64" spans="1:10">
      <c r="A64" s="2" t="s">
        <v>439</v>
      </c>
      <c r="B64" t="s">
        <v>500</v>
      </c>
      <c r="H64">
        <v>107044</v>
      </c>
      <c r="I64" t="s">
        <v>558</v>
      </c>
      <c r="J64" t="str">
        <f t="shared" si="0"/>
        <v>ia.assorted_string like '%107044-00010-02-2025%' or</v>
      </c>
    </row>
    <row r="65" spans="1:10">
      <c r="A65" s="2" t="s">
        <v>440</v>
      </c>
      <c r="B65" t="s">
        <v>500</v>
      </c>
      <c r="H65">
        <v>107044</v>
      </c>
      <c r="I65" t="s">
        <v>506</v>
      </c>
      <c r="J65" t="str">
        <f t="shared" si="0"/>
        <v>ia.assorted_string like '%107044-00013-02-2025%' or</v>
      </c>
    </row>
    <row r="66" spans="1:10">
      <c r="A66" s="2" t="s">
        <v>481</v>
      </c>
      <c r="B66" t="s">
        <v>500</v>
      </c>
      <c r="H66">
        <v>107044</v>
      </c>
      <c r="I66" t="s">
        <v>559</v>
      </c>
      <c r="J66" t="str">
        <f t="shared" ref="J66:J80" si="1">"ia.assorted_string like '%"&amp;H66&amp;"-"&amp;I66&amp;B66&amp;"%' or"</f>
        <v>ia.assorted_string like '%107044-00053-02-2025%' or</v>
      </c>
    </row>
    <row r="67" spans="1:10">
      <c r="A67" s="2" t="s">
        <v>482</v>
      </c>
      <c r="B67" t="s">
        <v>500</v>
      </c>
      <c r="H67">
        <v>107044</v>
      </c>
      <c r="I67" t="s">
        <v>531</v>
      </c>
      <c r="J67" t="str">
        <f t="shared" si="1"/>
        <v>ia.assorted_string like '%107044-00004-02-2025%' or</v>
      </c>
    </row>
    <row r="68" spans="1:10">
      <c r="A68" s="2" t="s">
        <v>441</v>
      </c>
      <c r="B68" t="s">
        <v>500</v>
      </c>
      <c r="H68">
        <v>107044</v>
      </c>
      <c r="I68" t="s">
        <v>509</v>
      </c>
      <c r="J68" t="str">
        <f t="shared" si="1"/>
        <v>ia.assorted_string like '%107044-00005-02-2025%' or</v>
      </c>
    </row>
    <row r="69" spans="1:10">
      <c r="A69" s="2" t="s">
        <v>442</v>
      </c>
      <c r="B69" t="s">
        <v>499</v>
      </c>
      <c r="H69">
        <v>105332</v>
      </c>
      <c r="I69" t="s">
        <v>560</v>
      </c>
      <c r="J69" t="str">
        <f t="shared" si="1"/>
        <v>ia.assorted_string like '%105332-00065-01-2025%' or</v>
      </c>
    </row>
    <row r="70" spans="1:10">
      <c r="A70" s="2" t="s">
        <v>443</v>
      </c>
      <c r="B70" t="s">
        <v>501</v>
      </c>
      <c r="H70">
        <v>107830</v>
      </c>
      <c r="I70" t="s">
        <v>514</v>
      </c>
      <c r="J70" t="str">
        <f t="shared" si="1"/>
        <v>ia.assorted_string like '%107830-00001-03-2025%' or</v>
      </c>
    </row>
    <row r="71" spans="1:10">
      <c r="A71" s="2" t="s">
        <v>483</v>
      </c>
      <c r="B71" t="s">
        <v>501</v>
      </c>
      <c r="H71">
        <v>107830</v>
      </c>
      <c r="I71" t="s">
        <v>536</v>
      </c>
      <c r="J71" t="str">
        <f t="shared" si="1"/>
        <v>ia.assorted_string like '%107830-00008-03-2025%' or</v>
      </c>
    </row>
    <row r="72" spans="1:10">
      <c r="A72" s="2" t="s">
        <v>484</v>
      </c>
      <c r="B72" t="s">
        <v>500</v>
      </c>
      <c r="H72">
        <v>107044</v>
      </c>
      <c r="I72" t="s">
        <v>561</v>
      </c>
      <c r="J72" t="str">
        <f t="shared" si="1"/>
        <v>ia.assorted_string like '%107044-00006-02-2025%' or</v>
      </c>
    </row>
    <row r="73" spans="1:10">
      <c r="A73" s="2" t="s">
        <v>485</v>
      </c>
      <c r="B73" t="s">
        <v>500</v>
      </c>
      <c r="H73">
        <v>107044</v>
      </c>
      <c r="I73" t="s">
        <v>562</v>
      </c>
      <c r="J73" t="str">
        <f t="shared" si="1"/>
        <v>ia.assorted_string like '%107044-00016-02-2025%' or</v>
      </c>
    </row>
    <row r="74" spans="1:10">
      <c r="A74" s="2" t="s">
        <v>486</v>
      </c>
      <c r="B74" t="s">
        <v>500</v>
      </c>
      <c r="H74">
        <v>107044</v>
      </c>
      <c r="I74" t="s">
        <v>563</v>
      </c>
      <c r="J74" t="str">
        <f t="shared" si="1"/>
        <v>ia.assorted_string like '%107044-00017-02-2025%' or</v>
      </c>
    </row>
    <row r="75" spans="1:10">
      <c r="A75" s="2" t="s">
        <v>487</v>
      </c>
      <c r="B75" t="s">
        <v>500</v>
      </c>
      <c r="H75">
        <v>107044</v>
      </c>
      <c r="I75" t="s">
        <v>564</v>
      </c>
      <c r="J75" t="str">
        <f t="shared" si="1"/>
        <v>ia.assorted_string like '%107044-00022-02-2025%' or</v>
      </c>
    </row>
    <row r="76" spans="1:10">
      <c r="A76" s="2" t="s">
        <v>488</v>
      </c>
      <c r="B76" t="s">
        <v>500</v>
      </c>
      <c r="H76">
        <v>107044</v>
      </c>
      <c r="I76" t="s">
        <v>565</v>
      </c>
      <c r="J76" t="str">
        <f t="shared" si="1"/>
        <v>ia.assorted_string like '%107044-00025-02-2025%' or</v>
      </c>
    </row>
    <row r="77" spans="1:10">
      <c r="A77" s="2" t="s">
        <v>489</v>
      </c>
      <c r="B77" t="s">
        <v>500</v>
      </c>
      <c r="H77">
        <v>107044</v>
      </c>
      <c r="I77" t="s">
        <v>566</v>
      </c>
      <c r="J77" t="str">
        <f t="shared" si="1"/>
        <v>ia.assorted_string like '%107044-00031-02-2025%' or</v>
      </c>
    </row>
    <row r="78" spans="1:10">
      <c r="A78" s="2" t="s">
        <v>490</v>
      </c>
      <c r="B78" t="s">
        <v>500</v>
      </c>
      <c r="H78">
        <v>107044</v>
      </c>
      <c r="I78" t="s">
        <v>567</v>
      </c>
      <c r="J78" t="str">
        <f t="shared" si="1"/>
        <v>ia.assorted_string like '%107044-00035-02-2025%' or</v>
      </c>
    </row>
    <row r="79" spans="1:10">
      <c r="A79" s="2" t="s">
        <v>491</v>
      </c>
      <c r="B79" t="s">
        <v>501</v>
      </c>
      <c r="H79">
        <v>107830</v>
      </c>
      <c r="I79" t="s">
        <v>520</v>
      </c>
      <c r="J79" t="str">
        <f t="shared" si="1"/>
        <v>ia.assorted_string like '%107830-00021-03-2025%' or</v>
      </c>
    </row>
    <row r="80" spans="1:10">
      <c r="A80" s="2" t="s">
        <v>492</v>
      </c>
      <c r="B80" t="s">
        <v>500</v>
      </c>
      <c r="H80">
        <v>107044</v>
      </c>
      <c r="I80" t="s">
        <v>532</v>
      </c>
      <c r="J80" t="str">
        <f t="shared" si="1"/>
        <v>ia.assorted_string like '%107044-00007-02-2025%'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3FFE-9597-42DE-9DF0-4E36ED19D16F}">
  <dimension ref="A1:C81"/>
  <sheetViews>
    <sheetView workbookViewId="0">
      <selection activeCell="E9" sqref="E9"/>
    </sheetView>
  </sheetViews>
  <sheetFormatPr defaultColWidth="7.85546875" defaultRowHeight="15"/>
  <cols>
    <col min="1" max="1" width="2.42578125" customWidth="1"/>
    <col min="2" max="2" width="44.28515625" bestFit="1" customWidth="1"/>
    <col min="3" max="3" width="14" customWidth="1"/>
  </cols>
  <sheetData>
    <row r="1" spans="1:3" s="8" customFormat="1" ht="12">
      <c r="A1" s="8" t="s">
        <v>568</v>
      </c>
      <c r="B1" s="8" t="s">
        <v>569</v>
      </c>
      <c r="C1" s="8" t="s">
        <v>570</v>
      </c>
    </row>
    <row r="2" spans="1:3">
      <c r="A2">
        <v>1</v>
      </c>
      <c r="B2" t="s">
        <v>436</v>
      </c>
      <c r="C2" t="s">
        <v>571</v>
      </c>
    </row>
    <row r="3" spans="1:3">
      <c r="A3">
        <v>2</v>
      </c>
      <c r="B3" t="s">
        <v>459</v>
      </c>
      <c r="C3" t="s">
        <v>572</v>
      </c>
    </row>
    <row r="4" spans="1:3">
      <c r="A4">
        <v>3</v>
      </c>
      <c r="B4" t="s">
        <v>477</v>
      </c>
      <c r="C4" t="s">
        <v>573</v>
      </c>
    </row>
    <row r="5" spans="1:3">
      <c r="A5">
        <v>4</v>
      </c>
      <c r="B5" t="s">
        <v>469</v>
      </c>
      <c r="C5" t="s">
        <v>574</v>
      </c>
    </row>
    <row r="6" spans="1:3">
      <c r="A6">
        <v>5</v>
      </c>
      <c r="B6" t="s">
        <v>439</v>
      </c>
      <c r="C6" t="s">
        <v>575</v>
      </c>
    </row>
    <row r="7" spans="1:3">
      <c r="A7">
        <v>6</v>
      </c>
      <c r="B7" t="s">
        <v>449</v>
      </c>
      <c r="C7" t="s">
        <v>576</v>
      </c>
    </row>
    <row r="8" spans="1:3">
      <c r="A8">
        <v>7</v>
      </c>
      <c r="B8" t="s">
        <v>486</v>
      </c>
      <c r="C8" t="s">
        <v>577</v>
      </c>
    </row>
    <row r="9" spans="1:3">
      <c r="A9">
        <v>8</v>
      </c>
      <c r="B9" t="s">
        <v>422</v>
      </c>
      <c r="C9" t="s">
        <v>578</v>
      </c>
    </row>
    <row r="10" spans="1:3">
      <c r="A10">
        <v>9</v>
      </c>
      <c r="B10" t="s">
        <v>420</v>
      </c>
      <c r="C10" t="s">
        <v>579</v>
      </c>
    </row>
    <row r="11" spans="1:3">
      <c r="A11">
        <v>10</v>
      </c>
      <c r="B11" t="s">
        <v>442</v>
      </c>
      <c r="C11" t="s">
        <v>580</v>
      </c>
    </row>
    <row r="12" spans="1:3">
      <c r="A12">
        <v>11</v>
      </c>
      <c r="B12" t="s">
        <v>461</v>
      </c>
      <c r="C12" t="s">
        <v>581</v>
      </c>
    </row>
    <row r="13" spans="1:3">
      <c r="A13">
        <v>12</v>
      </c>
      <c r="B13" t="s">
        <v>429</v>
      </c>
      <c r="C13" t="s">
        <v>582</v>
      </c>
    </row>
    <row r="14" spans="1:3">
      <c r="A14">
        <v>13</v>
      </c>
      <c r="B14" t="s">
        <v>476</v>
      </c>
      <c r="C14" t="s">
        <v>583</v>
      </c>
    </row>
    <row r="15" spans="1:3">
      <c r="A15">
        <v>14</v>
      </c>
      <c r="B15" t="s">
        <v>467</v>
      </c>
      <c r="C15" t="s">
        <v>584</v>
      </c>
    </row>
    <row r="16" spans="1:3">
      <c r="A16">
        <v>15</v>
      </c>
      <c r="B16" t="s">
        <v>433</v>
      </c>
      <c r="C16" t="s">
        <v>585</v>
      </c>
    </row>
    <row r="17" spans="1:3">
      <c r="A17">
        <v>16</v>
      </c>
      <c r="B17" t="s">
        <v>414</v>
      </c>
      <c r="C17" t="s">
        <v>586</v>
      </c>
    </row>
    <row r="18" spans="1:3">
      <c r="A18">
        <v>17</v>
      </c>
      <c r="B18" t="s">
        <v>490</v>
      </c>
      <c r="C18" t="s">
        <v>587</v>
      </c>
    </row>
    <row r="19" spans="1:3">
      <c r="A19">
        <v>18</v>
      </c>
      <c r="B19" t="s">
        <v>484</v>
      </c>
      <c r="C19" t="s">
        <v>588</v>
      </c>
    </row>
    <row r="20" spans="1:3">
      <c r="A20">
        <v>19</v>
      </c>
      <c r="B20" t="s">
        <v>492</v>
      </c>
      <c r="C20" t="s">
        <v>589</v>
      </c>
    </row>
    <row r="21" spans="1:3">
      <c r="A21">
        <v>20</v>
      </c>
      <c r="B21" t="s">
        <v>475</v>
      </c>
      <c r="C21" t="s">
        <v>590</v>
      </c>
    </row>
    <row r="22" spans="1:3">
      <c r="A22">
        <v>21</v>
      </c>
      <c r="B22" t="s">
        <v>431</v>
      </c>
      <c r="C22" t="s">
        <v>591</v>
      </c>
    </row>
    <row r="23" spans="1:3">
      <c r="A23">
        <v>22</v>
      </c>
      <c r="B23" t="s">
        <v>416</v>
      </c>
      <c r="C23" t="s">
        <v>592</v>
      </c>
    </row>
    <row r="24" spans="1:3">
      <c r="A24">
        <v>23</v>
      </c>
      <c r="B24" t="s">
        <v>468</v>
      </c>
      <c r="C24" t="s">
        <v>593</v>
      </c>
    </row>
    <row r="25" spans="1:3">
      <c r="A25">
        <v>24</v>
      </c>
      <c r="B25" t="s">
        <v>471</v>
      </c>
      <c r="C25" t="s">
        <v>594</v>
      </c>
    </row>
    <row r="26" spans="1:3">
      <c r="A26">
        <v>25</v>
      </c>
      <c r="B26" t="s">
        <v>464</v>
      </c>
      <c r="C26" t="s">
        <v>595</v>
      </c>
    </row>
    <row r="27" spans="1:3">
      <c r="A27">
        <v>26</v>
      </c>
      <c r="B27" t="s">
        <v>474</v>
      </c>
      <c r="C27" t="s">
        <v>596</v>
      </c>
    </row>
    <row r="28" spans="1:3">
      <c r="A28">
        <v>27</v>
      </c>
      <c r="B28" t="s">
        <v>482</v>
      </c>
      <c r="C28" t="s">
        <v>597</v>
      </c>
    </row>
    <row r="29" spans="1:3">
      <c r="A29">
        <v>28</v>
      </c>
      <c r="B29" t="s">
        <v>453</v>
      </c>
      <c r="C29" t="s">
        <v>598</v>
      </c>
    </row>
    <row r="30" spans="1:3">
      <c r="A30">
        <v>29</v>
      </c>
      <c r="B30" t="s">
        <v>425</v>
      </c>
      <c r="C30" t="s">
        <v>599</v>
      </c>
    </row>
    <row r="31" spans="1:3">
      <c r="A31">
        <v>30</v>
      </c>
      <c r="B31" t="s">
        <v>438</v>
      </c>
      <c r="C31" t="s">
        <v>600</v>
      </c>
    </row>
    <row r="32" spans="1:3">
      <c r="A32">
        <v>31</v>
      </c>
      <c r="B32" t="s">
        <v>473</v>
      </c>
      <c r="C32" t="s">
        <v>601</v>
      </c>
    </row>
    <row r="33" spans="1:3">
      <c r="A33">
        <v>32</v>
      </c>
      <c r="B33" t="s">
        <v>427</v>
      </c>
      <c r="C33" t="s">
        <v>602</v>
      </c>
    </row>
    <row r="34" spans="1:3">
      <c r="A34">
        <v>33</v>
      </c>
      <c r="B34" t="s">
        <v>451</v>
      </c>
      <c r="C34" t="s">
        <v>603</v>
      </c>
    </row>
    <row r="35" spans="1:3">
      <c r="A35">
        <v>34</v>
      </c>
      <c r="B35" t="s">
        <v>460</v>
      </c>
      <c r="C35" t="s">
        <v>604</v>
      </c>
    </row>
    <row r="36" spans="1:3">
      <c r="A36">
        <v>35</v>
      </c>
      <c r="B36" t="s">
        <v>448</v>
      </c>
      <c r="C36" t="s">
        <v>605</v>
      </c>
    </row>
    <row r="37" spans="1:3">
      <c r="A37">
        <v>36</v>
      </c>
      <c r="B37" t="s">
        <v>488</v>
      </c>
      <c r="C37" t="s">
        <v>606</v>
      </c>
    </row>
    <row r="38" spans="1:3">
      <c r="A38">
        <v>37</v>
      </c>
      <c r="B38" t="s">
        <v>462</v>
      </c>
      <c r="C38" t="s">
        <v>607</v>
      </c>
    </row>
    <row r="39" spans="1:3">
      <c r="A39">
        <v>38</v>
      </c>
      <c r="B39" t="s">
        <v>417</v>
      </c>
      <c r="C39" t="s">
        <v>608</v>
      </c>
    </row>
    <row r="40" spans="1:3">
      <c r="A40">
        <v>39</v>
      </c>
      <c r="B40" t="s">
        <v>489</v>
      </c>
      <c r="C40" t="s">
        <v>609</v>
      </c>
    </row>
    <row r="41" spans="1:3">
      <c r="A41">
        <v>40</v>
      </c>
      <c r="B41" t="s">
        <v>432</v>
      </c>
      <c r="C41" t="s">
        <v>610</v>
      </c>
    </row>
    <row r="42" spans="1:3">
      <c r="A42">
        <v>41</v>
      </c>
      <c r="B42" t="s">
        <v>419</v>
      </c>
      <c r="C42" t="s">
        <v>611</v>
      </c>
    </row>
    <row r="43" spans="1:3">
      <c r="A43">
        <v>42</v>
      </c>
      <c r="B43" t="s">
        <v>454</v>
      </c>
      <c r="C43" t="s">
        <v>612</v>
      </c>
    </row>
    <row r="44" spans="1:3">
      <c r="A44">
        <v>43</v>
      </c>
      <c r="B44" t="s">
        <v>470</v>
      </c>
      <c r="C44" t="s">
        <v>613</v>
      </c>
    </row>
    <row r="45" spans="1:3">
      <c r="A45">
        <v>44</v>
      </c>
      <c r="B45" t="s">
        <v>441</v>
      </c>
      <c r="C45" t="s">
        <v>614</v>
      </c>
    </row>
    <row r="46" spans="1:3">
      <c r="A46">
        <v>45</v>
      </c>
      <c r="B46" t="s">
        <v>434</v>
      </c>
      <c r="C46" t="s">
        <v>615</v>
      </c>
    </row>
    <row r="47" spans="1:3">
      <c r="A47">
        <v>46</v>
      </c>
      <c r="B47" t="s">
        <v>458</v>
      </c>
      <c r="C47" t="s">
        <v>616</v>
      </c>
    </row>
    <row r="48" spans="1:3">
      <c r="A48">
        <v>47</v>
      </c>
      <c r="B48" t="s">
        <v>426</v>
      </c>
      <c r="C48" t="s">
        <v>617</v>
      </c>
    </row>
    <row r="49" spans="1:3">
      <c r="A49">
        <v>48</v>
      </c>
      <c r="B49" t="s">
        <v>481</v>
      </c>
      <c r="C49" t="s">
        <v>618</v>
      </c>
    </row>
    <row r="50" spans="1:3">
      <c r="A50">
        <v>49</v>
      </c>
      <c r="B50" t="s">
        <v>435</v>
      </c>
      <c r="C50" t="s">
        <v>619</v>
      </c>
    </row>
    <row r="51" spans="1:3">
      <c r="A51">
        <v>50</v>
      </c>
      <c r="B51" t="s">
        <v>450</v>
      </c>
      <c r="C51" t="s">
        <v>620</v>
      </c>
    </row>
    <row r="52" spans="1:3">
      <c r="A52">
        <v>51</v>
      </c>
      <c r="B52" t="s">
        <v>424</v>
      </c>
      <c r="C52" t="s">
        <v>621</v>
      </c>
    </row>
    <row r="53" spans="1:3">
      <c r="A53">
        <v>52</v>
      </c>
      <c r="B53" t="s">
        <v>485</v>
      </c>
      <c r="C53" t="s">
        <v>622</v>
      </c>
    </row>
    <row r="54" spans="1:3">
      <c r="A54">
        <v>53</v>
      </c>
      <c r="B54" t="s">
        <v>415</v>
      </c>
      <c r="C54" t="s">
        <v>623</v>
      </c>
    </row>
    <row r="55" spans="1:3">
      <c r="A55">
        <v>54</v>
      </c>
      <c r="B55" t="s">
        <v>423</v>
      </c>
      <c r="C55" t="s">
        <v>624</v>
      </c>
    </row>
    <row r="56" spans="1:3">
      <c r="A56">
        <v>55</v>
      </c>
      <c r="B56" t="s">
        <v>428</v>
      </c>
      <c r="C56" t="s">
        <v>625</v>
      </c>
    </row>
    <row r="57" spans="1:3">
      <c r="A57">
        <v>56</v>
      </c>
      <c r="B57" t="s">
        <v>430</v>
      </c>
      <c r="C57" t="s">
        <v>626</v>
      </c>
    </row>
    <row r="58" spans="1:3">
      <c r="A58">
        <v>57</v>
      </c>
      <c r="B58" t="s">
        <v>491</v>
      </c>
      <c r="C58" t="s">
        <v>627</v>
      </c>
    </row>
    <row r="59" spans="1:3">
      <c r="A59">
        <v>58</v>
      </c>
      <c r="B59" t="s">
        <v>452</v>
      </c>
      <c r="C59" t="s">
        <v>628</v>
      </c>
    </row>
    <row r="60" spans="1:3">
      <c r="A60">
        <v>59</v>
      </c>
      <c r="B60" t="s">
        <v>440</v>
      </c>
      <c r="C60" t="s">
        <v>629</v>
      </c>
    </row>
    <row r="61" spans="1:3">
      <c r="A61">
        <v>60</v>
      </c>
      <c r="B61" t="s">
        <v>463</v>
      </c>
      <c r="C61" t="s">
        <v>630</v>
      </c>
    </row>
    <row r="62" spans="1:3">
      <c r="A62">
        <v>61</v>
      </c>
      <c r="B62" t="s">
        <v>443</v>
      </c>
      <c r="C62" t="s">
        <v>631</v>
      </c>
    </row>
    <row r="63" spans="1:3">
      <c r="A63">
        <v>62</v>
      </c>
      <c r="B63" t="s">
        <v>437</v>
      </c>
      <c r="C63" t="s">
        <v>632</v>
      </c>
    </row>
    <row r="64" spans="1:3">
      <c r="A64">
        <v>63</v>
      </c>
      <c r="B64" t="s">
        <v>465</v>
      </c>
      <c r="C64" t="s">
        <v>633</v>
      </c>
    </row>
    <row r="65" spans="1:3">
      <c r="A65">
        <v>64</v>
      </c>
      <c r="B65" t="s">
        <v>421</v>
      </c>
      <c r="C65" t="s">
        <v>634</v>
      </c>
    </row>
    <row r="66" spans="1:3">
      <c r="A66">
        <v>65</v>
      </c>
      <c r="B66" t="s">
        <v>478</v>
      </c>
      <c r="C66" t="s">
        <v>635</v>
      </c>
    </row>
    <row r="67" spans="1:3">
      <c r="A67">
        <v>66</v>
      </c>
      <c r="B67" t="s">
        <v>487</v>
      </c>
      <c r="C67" t="s">
        <v>636</v>
      </c>
    </row>
    <row r="68" spans="1:3">
      <c r="A68">
        <v>67</v>
      </c>
      <c r="B68" t="s">
        <v>466</v>
      </c>
      <c r="C68" t="s">
        <v>637</v>
      </c>
    </row>
    <row r="69" spans="1:3">
      <c r="A69">
        <v>68</v>
      </c>
      <c r="B69" t="s">
        <v>455</v>
      </c>
      <c r="C69" t="s">
        <v>638</v>
      </c>
    </row>
    <row r="70" spans="1:3">
      <c r="A70">
        <v>69</v>
      </c>
      <c r="B70" t="s">
        <v>480</v>
      </c>
      <c r="C70" t="s">
        <v>639</v>
      </c>
    </row>
    <row r="71" spans="1:3">
      <c r="A71">
        <v>70</v>
      </c>
      <c r="B71" t="s">
        <v>472</v>
      </c>
      <c r="C71" t="s">
        <v>640</v>
      </c>
    </row>
    <row r="72" spans="1:3">
      <c r="A72">
        <v>71</v>
      </c>
      <c r="B72" t="s">
        <v>445</v>
      </c>
      <c r="C72" t="s">
        <v>641</v>
      </c>
    </row>
    <row r="73" spans="1:3">
      <c r="A73">
        <v>72</v>
      </c>
      <c r="B73" t="s">
        <v>418</v>
      </c>
      <c r="C73" t="s">
        <v>642</v>
      </c>
    </row>
    <row r="74" spans="1:3">
      <c r="A74">
        <v>73</v>
      </c>
      <c r="B74" t="s">
        <v>447</v>
      </c>
      <c r="C74" t="s">
        <v>643</v>
      </c>
    </row>
    <row r="75" spans="1:3">
      <c r="A75">
        <v>74</v>
      </c>
      <c r="B75" t="s">
        <v>444</v>
      </c>
      <c r="C75" t="s">
        <v>644</v>
      </c>
    </row>
    <row r="76" spans="1:3">
      <c r="A76">
        <v>75</v>
      </c>
      <c r="B76" t="s">
        <v>457</v>
      </c>
      <c r="C76" t="s">
        <v>645</v>
      </c>
    </row>
    <row r="77" spans="1:3">
      <c r="A77">
        <v>76</v>
      </c>
      <c r="B77" t="s">
        <v>456</v>
      </c>
      <c r="C77" t="s">
        <v>646</v>
      </c>
    </row>
    <row r="78" spans="1:3">
      <c r="A78">
        <v>77</v>
      </c>
      <c r="B78" t="s">
        <v>493</v>
      </c>
      <c r="C78" t="s">
        <v>647</v>
      </c>
    </row>
    <row r="79" spans="1:3">
      <c r="A79">
        <v>78</v>
      </c>
      <c r="B79" t="s">
        <v>446</v>
      </c>
      <c r="C79" t="s">
        <v>648</v>
      </c>
    </row>
    <row r="80" spans="1:3">
      <c r="A80">
        <v>79</v>
      </c>
      <c r="B80" t="s">
        <v>483</v>
      </c>
      <c r="C80" t="s">
        <v>649</v>
      </c>
    </row>
    <row r="81" spans="1:3">
      <c r="A81">
        <v>80</v>
      </c>
      <c r="B81" t="s">
        <v>479</v>
      </c>
      <c r="C8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 ON MONTH OF FEB &amp; MAR-2025</vt:lpstr>
      <vt:lpstr>working</vt:lpstr>
      <vt:lpstr>sheet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Ali</dc:creator>
  <cp:lastModifiedBy>IT User Software</cp:lastModifiedBy>
  <dcterms:created xsi:type="dcterms:W3CDTF">2019-01-18T06:35:24Z</dcterms:created>
  <dcterms:modified xsi:type="dcterms:W3CDTF">2025-03-27T09:14:50Z</dcterms:modified>
</cp:coreProperties>
</file>