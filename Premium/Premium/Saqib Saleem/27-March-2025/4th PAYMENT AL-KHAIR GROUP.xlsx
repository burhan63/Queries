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remium\Premium\Saqib Saleem\27-March-2025\"/>
    </mc:Choice>
  </mc:AlternateContent>
  <xr:revisionPtr revIDLastSave="0" documentId="13_ncr:1_{FA61EAEB-096C-44BB-AB22-DAFBEE1CD993}" xr6:coauthVersionLast="47" xr6:coauthVersionMax="47" xr10:uidLastSave="{00000000-0000-0000-0000-000000000000}"/>
  <bookViews>
    <workbookView xWindow="-120" yWindow="-120" windowWidth="20730" windowHeight="11040" tabRatio="742" xr2:uid="{00000000-000D-0000-FFFF-FFFF00000000}"/>
  </bookViews>
  <sheets>
    <sheet name="Sheet1" sheetId="1" r:id="rId1"/>
    <sheet name="working-premium" sheetId="2" r:id="rId2"/>
    <sheet name="Sheet3" sheetId="3" r:id="rId3"/>
    <sheet name="policy" sheetId="4" r:id="rId4"/>
    <sheet name="working-sc" sheetId="5" r:id="rId5"/>
    <sheet name="working-commission" sheetId="7" r:id="rId6"/>
    <sheet name="policywithagency" sheetId="6" r:id="rId7"/>
  </sheets>
  <definedNames>
    <definedName name="_xlnm._FilterDatabase" localSheetId="0" hidden="1">Sheet1!$A$2:$J$78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7" l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G2" i="7"/>
  <c r="F2" i="7"/>
  <c r="H2" i="7" s="1"/>
  <c r="H78" i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2" i="7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2" i="5"/>
  <c r="G2" i="5"/>
  <c r="H2" i="5" s="1"/>
  <c r="F2" i="5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C77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2" i="2"/>
  <c r="F2" i="2"/>
  <c r="D2" i="2"/>
  <c r="H2" i="2" l="1"/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1" i="3"/>
  <c r="F78" i="1" l="1"/>
  <c r="D89" i="1" s="1"/>
  <c r="G78" i="1"/>
  <c r="J78" i="1"/>
  <c r="D91" i="1" s="1"/>
  <c r="J85" i="1" l="1"/>
  <c r="D92" i="1" s="1"/>
  <c r="D93" i="1" l="1"/>
</calcChain>
</file>

<file path=xl/sharedStrings.xml><?xml version="1.0" encoding="utf-8"?>
<sst xmlns="http://schemas.openxmlformats.org/spreadsheetml/2006/main" count="1466" uniqueCount="393">
  <si>
    <t xml:space="preserve">Sr. # </t>
  </si>
  <si>
    <t>Leader PMD No.</t>
  </si>
  <si>
    <t>Our PMD / Endo #</t>
  </si>
  <si>
    <t>Client Name</t>
  </si>
  <si>
    <t>Gross 
Contribution</t>
  </si>
  <si>
    <t>S.Charges 
2.5%</t>
  </si>
  <si>
    <t>Commission %</t>
  </si>
  <si>
    <t>2024-07-303-F01001OP0000120</t>
  </si>
  <si>
    <t>LHR/LHR/F/FR/ND/P/22891/08/2024</t>
  </si>
  <si>
    <t>M/s. SONERI BANK LTD CORPORATE BRANCH , 307 UPPAR MALL LAHORE AS Mortgagees(S)
A/C, M/S. NOBLE FOAM  AS Mortgagors(S).</t>
  </si>
  <si>
    <t>2024-04-303-F010010OP0000121</t>
  </si>
  <si>
    <t>LHR/LHR/F/FR/ND/P/22892/08/2024</t>
  </si>
  <si>
    <t>M/s. SONERI BANK LTD CORPORATE BRANCH , 307 UPPAR MALL LAHORE AS Mortgagees(S)
A/C, M/S. NOBLE FOAM PVT LTD., AS Mortgagors(S).</t>
  </si>
  <si>
    <t>2024-04-303-F010010OP0000122</t>
  </si>
  <si>
    <t>LHR/LHR/F/FR/ND/P/22894/08/2024</t>
  </si>
  <si>
    <t>M/s. SONERI BANK LTD COPORATE BRANCH , 307 UPPER MALL, LAHORE AS Mortgagees(S),
A/C, M/S. NOBLE FOAM PVT LTD. AS Mortgagors(S).</t>
  </si>
  <si>
    <t>2024-07-303-F01001OP0000123</t>
  </si>
  <si>
    <t>LHR/LHR/F/FR/ND/P/22897/08/2024</t>
  </si>
  <si>
    <t>M/s. THE SONERI BANK LTD CORPORATE BRANCH 307-UPPER MALL, LAHORE. AS Mortgagees(S)
A/C, M/S. U.K POLYMERS (PVT) LTD. AS Mortgagors(S)</t>
  </si>
  <si>
    <t>2024-07-303-F01001OP0000125</t>
  </si>
  <si>
    <t>LHR/LHR/F/FR/ND/P/22898/08/2024</t>
  </si>
  <si>
    <t>M/s. BANK AL-FALAH LTD AS Mortgagees(S), A/C, M/S. AL-KHAIR GLOBAL PVT LTD. AS Mortgagors(S).</t>
  </si>
  <si>
    <t>2024-07-303-F010010OP0000126</t>
  </si>
  <si>
    <t>LHR/LHR/F/FR/ND/P/22899/08/2024</t>
  </si>
  <si>
    <t>M/s. U.K. POLYMERS (PVT) LTD.</t>
  </si>
  <si>
    <t>2024-07-303-F010010OP0000128</t>
  </si>
  <si>
    <t>LHR/LHR/F/FR/ND/P/22900/08/2024</t>
  </si>
  <si>
    <t>M/s.  BANK AL-FALAH LTD, SHAHDIN MANZIL, MALL ROAD, LAHORE AS MORTGAGEE(S)  
A/c, M/S. U.K. POLYMERS PVT LTD AS MORTGAGOR(S).</t>
  </si>
  <si>
    <t>2024-07-303-F01001OP0000132</t>
  </si>
  <si>
    <t>LHR/LHR/F/FR/ND/P/22902/08/2024</t>
  </si>
  <si>
    <t>M/s. INTER FOAM (PRIVATE) LIMITED.</t>
  </si>
  <si>
    <t>2024-07-303-F01001OP0000131</t>
  </si>
  <si>
    <t>LHR/LHR/F/FR/ND/P/22903/08/2024</t>
  </si>
  <si>
    <t>M/s. BANK AL-FALAH LTD, SHAHDIN MANZIL MALL ROAD LAHORE AS MORTGAGEE(S),
A/C, M/S. AL-KHAIR GLOBAL PVT LTD.AS MORTGAGOR(S).</t>
  </si>
  <si>
    <t>Al-Khair Gadoon Ltd</t>
  </si>
  <si>
    <t>2024-08-303-V02001OP0000535</t>
  </si>
  <si>
    <t>LHR/LHR/F/MO/CV/P/98382/09/2024</t>
  </si>
  <si>
    <t>AL-KHAIR GLOBAL (PVT) LTD</t>
  </si>
  <si>
    <t>2024-08-303-V02001OP0000542</t>
  </si>
  <si>
    <t>LHR/LHR/F/MO/PC COMP/P/98403/09/2024</t>
  </si>
  <si>
    <t>M/S. U.K.POLYMERS PVT LTD.</t>
  </si>
  <si>
    <t>2024-08-303-V02001OP0000543</t>
  </si>
  <si>
    <t>LHR/LHR/F/MO/PC COMP/P/98454/09/2024</t>
  </si>
  <si>
    <t>AL-KHAIR GLOBAL PVT LTD.</t>
  </si>
  <si>
    <t>2024-08-303-V02001OP0000538</t>
  </si>
  <si>
    <t>LHR/LHR/F/MO/PC COMP/P/98468/09/2024</t>
  </si>
  <si>
    <t>2024-08-303-V02001OP0000536</t>
  </si>
  <si>
    <t>LHR/LHR/F/MO/CV/P/98816/10/2024</t>
  </si>
  <si>
    <t>U.K. POLYMERS PVT LTD.</t>
  </si>
  <si>
    <t>2024-08-303-V02001OP0000537</t>
  </si>
  <si>
    <t>LHR/LHR/F/MO/CV/P/98830/10/2024</t>
  </si>
  <si>
    <t>U.K POLYMERS (PVT) LTD.</t>
  </si>
  <si>
    <t>LHR/LHR/F/MO/CV/P/102404/11/2024</t>
  </si>
  <si>
    <t>2024-07-303-T01001OP0000012</t>
  </si>
  <si>
    <t>LHR/LHR/F/MI/TRR/P/314/08/2024</t>
  </si>
  <si>
    <t>2024-07-303-T01001OP0000013</t>
  </si>
  <si>
    <t>LHR/LHR/F/MI/TRR/P/315/08/2024</t>
  </si>
  <si>
    <t>2024-07-303-T01001OP0000014</t>
  </si>
  <si>
    <t>LHR/LHR/F/MI/TRR/P/316/08/2024</t>
  </si>
  <si>
    <t>2024-07-303-T01001OP0000015</t>
  </si>
  <si>
    <t>LHR/LHR/F/MI/TRR/P/317/08/2024</t>
  </si>
  <si>
    <t>M/s.Soneri Bank Ltd, Corporate Branch , 307- Upper Mall, Lahore as Mortgagee(s) , M/s. Bank Al-Falah Ltd, Shahdin Manzil, Mall Road, Lahore  , A/c, M/s. U.K Polymers (Pvt) Ltd Limited as mortgagor(s).</t>
  </si>
  <si>
    <t xml:space="preserve">Claim Details </t>
  </si>
  <si>
    <t>Sr.#</t>
  </si>
  <si>
    <t xml:space="preserve">Summary </t>
  </si>
  <si>
    <t>Total Contribution Amount</t>
  </si>
  <si>
    <t xml:space="preserve">Less Commission </t>
  </si>
  <si>
    <t>Less claim Amount</t>
  </si>
  <si>
    <t>Total Received Amount</t>
  </si>
  <si>
    <t>Claim Amount 
Our Share 30%</t>
  </si>
  <si>
    <t>Make / Model</t>
  </si>
  <si>
    <t>Engine</t>
  </si>
  <si>
    <t>Chassis</t>
  </si>
  <si>
    <t>Reg #</t>
  </si>
  <si>
    <t>2024-08-303-V01001OP0000544</t>
  </si>
  <si>
    <t>PEW/PEW/F/FR/ND/P/23058/11/2024</t>
  </si>
  <si>
    <t>2024-07-303-F01001OP0000137</t>
  </si>
  <si>
    <t>AL-KHAIR GADOON LIMITED</t>
  </si>
  <si>
    <t>4th Payment Details</t>
  </si>
  <si>
    <t>2024-09-303-M01001OC0000252</t>
  </si>
  <si>
    <t>2024-10-303-M01001OC0000267</t>
  </si>
  <si>
    <t>2024-10-303-M01001OC0000274</t>
  </si>
  <si>
    <t>2024-10-303-M01001OC0000275</t>
  </si>
  <si>
    <t>2024-10-303-M01001OC0000276</t>
  </si>
  <si>
    <t>2024-10-303-M01001OC0000279</t>
  </si>
  <si>
    <t>2024-10-303-M01001OC0000280</t>
  </si>
  <si>
    <t>2024-10-303-M01001OC0000281</t>
  </si>
  <si>
    <t>2024-10-303-M01001OC0000297</t>
  </si>
  <si>
    <t>2024-10-303-M01001OC0000298</t>
  </si>
  <si>
    <t>2024-11-303-M01001OC0000309</t>
  </si>
  <si>
    <t>2024-11-303-M01001OC0000310</t>
  </si>
  <si>
    <t>2024-11-303-M01001OC0000311</t>
  </si>
  <si>
    <t>2024-11-303-M01001OC0000312</t>
  </si>
  <si>
    <t>2024-11-303-M01001OC0000313</t>
  </si>
  <si>
    <t>2024-11-303-M01001OC0000314</t>
  </si>
  <si>
    <t>2024-12-303-M01001OC0000332</t>
  </si>
  <si>
    <t>2024-12-303-M01001OC0000333</t>
  </si>
  <si>
    <t>2024-12-303-M01001OC0000334</t>
  </si>
  <si>
    <t>2024-12-303-M01001OC0000335</t>
  </si>
  <si>
    <t>2024-12-303-M01001OC0000336</t>
  </si>
  <si>
    <t>2024-12-303-M01001OC0000337</t>
  </si>
  <si>
    <t>2024-12-303-M01001OC0000351</t>
  </si>
  <si>
    <t>2024-12-303-M01001OC0000352</t>
  </si>
  <si>
    <t>2024-12-303-M01001OC0000353</t>
  </si>
  <si>
    <t>2024-12-303-M01001OC0000354</t>
  </si>
  <si>
    <t>2024-12-303-M01001OC0000369</t>
  </si>
  <si>
    <t>2024-12-303-M01001OC0000370</t>
  </si>
  <si>
    <t>2024-12-303-M01001OC0000371</t>
  </si>
  <si>
    <t>2024-12-303-M01001OC0000372</t>
  </si>
  <si>
    <t>2024-12-303-M01001OC0000373</t>
  </si>
  <si>
    <t>2024-12-303-M01001OC0000374</t>
  </si>
  <si>
    <t>2024-12-303-F01001OE0000108</t>
  </si>
  <si>
    <t>2024-08-303-M01001OC0000201</t>
  </si>
  <si>
    <t>2024-09-303-M01001OC0000227</t>
  </si>
  <si>
    <t>2024-09-303-M01001OC0000237</t>
  </si>
  <si>
    <t>2024-09-303-M01001OC0000250</t>
  </si>
  <si>
    <t>2024-10-303-M01001OC0000284</t>
  </si>
  <si>
    <t>2024-10-303-M01001OC0000286</t>
  </si>
  <si>
    <t>2024-11-303-M01001OC0000300</t>
  </si>
  <si>
    <t>2024-11-303-M01001OC0000315</t>
  </si>
  <si>
    <t>2024-11-303-M01001OC0000323</t>
  </si>
  <si>
    <t>2024-11-303-M01001OC0000324</t>
  </si>
  <si>
    <t>2024-11-303-M01001OC0000325</t>
  </si>
  <si>
    <t>2024-11-303-M01001OC0000327</t>
  </si>
  <si>
    <t>2024-11-303-M01001OC0000331</t>
  </si>
  <si>
    <t>2024-12-303-M01001OC0000355</t>
  </si>
  <si>
    <t>2024-12-303-M01001OC0000356</t>
  </si>
  <si>
    <t>2024-12-303-M01001OC0000375</t>
  </si>
  <si>
    <t>2024-12-303-M01001OC0000357</t>
  </si>
  <si>
    <t>2024-12-303-M01001OC0000358</t>
  </si>
  <si>
    <t>2025-01-303-M01001OC0000003</t>
  </si>
  <si>
    <t>2024-12-303-M01001OE0000189</t>
  </si>
  <si>
    <t>PEW/PEW/F/MR/IMPORTS/C/21034/01/2025</t>
  </si>
  <si>
    <t>M/s. NOBLE FOAM LTD</t>
  </si>
  <si>
    <t>LHR/LHR/F/MR/IMPORTS/C/21043/01/2025</t>
  </si>
  <si>
    <t xml:space="preserve">AL-KHAIR ROYAL </t>
  </si>
  <si>
    <t>LHR/LHR/F/MR/IMPORTS/C/21044/01/2025</t>
  </si>
  <si>
    <t>LHR/LHR/F/MR/IMPORTS/C/21134/01/2025</t>
  </si>
  <si>
    <t>AL-KHAIR FOAM</t>
  </si>
  <si>
    <t>Al-Khair Global Ltd</t>
  </si>
  <si>
    <t>LHR/LHR/F/MR/IMPORTS/C/20561/10/2024</t>
  </si>
  <si>
    <t>LHR/LHR/F/MR/IMPORTS/C/20639/10/2024</t>
  </si>
  <si>
    <t>LHR/LHR/F/MR/IMPORTS/C/20648/10/2024</t>
  </si>
  <si>
    <t>LHR/LHR/F/MR/IMPORTS/C/20649/10/2024</t>
  </si>
  <si>
    <t>LHR/LHR/F/MR/IMPORTS/C/20650/10/2024</t>
  </si>
  <si>
    <t>LHR/LHR/F/MR/IMPORTS/C/20652/10/2024</t>
  </si>
  <si>
    <t>LHR/LHR/F/MR/IMPORTS/C/20656/10/2024</t>
  </si>
  <si>
    <t>LHR/LHR/F/MR/IMPORTS/C/20660/10/2024</t>
  </si>
  <si>
    <t>LHR/LHR/F/MR/IMPORTS/C/20721/11/2024</t>
  </si>
  <si>
    <t>LHR/LHR/F/MR/IMPORTS/C/20722/11/2024</t>
  </si>
  <si>
    <t>LHR/LHR/F/MR/IMPORTS/C/20800/11/2024</t>
  </si>
  <si>
    <t>LHR/LHR/F/MR/IMPORTS/C/20801/11/2024</t>
  </si>
  <si>
    <t>LHR/LHR/F/MR/IMPORTS/C/20802/11/2024</t>
  </si>
  <si>
    <t>LHR/LHR/F/MR/IMPORTS/C/20803/11/2024</t>
  </si>
  <si>
    <t>LHR/LHR/F/MR/IMPORTS/C/20804/11/2024</t>
  </si>
  <si>
    <t>LHR/LHR/F/MR/IMPORTS/C/20805/11/2024</t>
  </si>
  <si>
    <t>PEW/PEW/F/MR/IMPORTS/C/20933/12/2024</t>
  </si>
  <si>
    <t>PEW/PEW/F/MR/IMPORTS/C/20934/12/2024</t>
  </si>
  <si>
    <t>PEW/PEW/F/MR/IMPORTS/C/20935/12/2024</t>
  </si>
  <si>
    <t>PEW/PEW/F/MR/IMPORTS/C/20936/12/2024</t>
  </si>
  <si>
    <t>PEW/PEW/F/MR/IMPORTS/C/20937/12/2024</t>
  </si>
  <si>
    <t>PEW/PEW/F/MR/IMPORTS/C/20938/12/2024</t>
  </si>
  <si>
    <t>PEW/PEW/F/MR/IMPORTS/C/20951/12/2024</t>
  </si>
  <si>
    <t>PEW/PEW/F/MR/IMPORTS/C/20954/12/2024</t>
  </si>
  <si>
    <t>PEW/PEW/F/MR/IMPORTS/C/20961/12/2024</t>
  </si>
  <si>
    <t>PEW/PEW/F/MR/IMPORTS/C/20962/12/2024</t>
  </si>
  <si>
    <t>PEW/PEW/F/MR/IMPORTS/C/21028/01/2025</t>
  </si>
  <si>
    <t>PEW/PEW/F/MR/IMPORTS/C/21029/01/2025</t>
  </si>
  <si>
    <t>PEW/PEW/F/MR/IMPORTS/C/21030/01/2025</t>
  </si>
  <si>
    <t>PEW/PEW/F/MR/IMPORTS/C/21031/01/2025</t>
  </si>
  <si>
    <t>PEW/PEW/F/MR/IMPORTS/C/21032/01/2025</t>
  </si>
  <si>
    <t>PEW/PEW/F/MR/IMPORTS/C/21033/01/2025</t>
  </si>
  <si>
    <t>LHR/LHR/F/MR/IMPORTS/C/20761/11/2024</t>
  </si>
  <si>
    <t>LHR/LHR/F/MR/IMPORTS/C/20384/09/2024</t>
  </si>
  <si>
    <t>LHR/LHR/F/MR/IMPORTS/C/20437/09/2024</t>
  </si>
  <si>
    <t>LHR/LHR/F/MR/IMPORTS/C/20603/10/2024</t>
  </si>
  <si>
    <t>LHR/LHR/F/MR/IMPORTS/C/20713/11/2024</t>
  </si>
  <si>
    <t>LHR/LHR/F/MR/IMPORTS/C/20714/11/2024</t>
  </si>
  <si>
    <t>LHR/LHR/F/MR/IMPORTS/C/20766/11/2024</t>
  </si>
  <si>
    <t>LHR/LHR/F/MR/IMPORTS/C/20806/11/2024</t>
  </si>
  <si>
    <t>LHR/LHR/F/MR/IMPORTS/C/20826/11/2024</t>
  </si>
  <si>
    <t>LHR/LHR/F/MR/IMPORTS/C/20827/11/2024</t>
  </si>
  <si>
    <t>LHR/LHR/F/MR/IMPORTS/C/20831/11/2024</t>
  </si>
  <si>
    <t>LHR/LHR/F/MR/IMPORTS/C/20916/12/2024</t>
  </si>
  <si>
    <t>LHR/LHR/F/MR/IMPORTS/C/20917/12/2024</t>
  </si>
  <si>
    <t>LHR/LHR/F/MR/IMPORTS/C/20943/12/2024</t>
  </si>
  <si>
    <t>LHR/LHR/F/MR/IMPORTS/C/20944/12/2024</t>
  </si>
  <si>
    <t>LHR/LHR/F/MO/PC COMP/E/52395/02/2025</t>
  </si>
  <si>
    <t>LHR/LHR/F/FR/ND/E/11049/01/2025</t>
  </si>
  <si>
    <t>2024-12-303-V01001OE0000377</t>
  </si>
  <si>
    <t>BAL A/C, AL-KHAIR GADOON</t>
  </si>
  <si>
    <t>PEW/PEW/F/MR/IMPORTS/E/3753/03/2025</t>
  </si>
  <si>
    <t>F528830</t>
  </si>
  <si>
    <t>LEF-08-9486</t>
  </si>
  <si>
    <t>L13Z17431463</t>
  </si>
  <si>
    <t>R170089</t>
  </si>
  <si>
    <t>SUZUKI CULTUS/2008</t>
  </si>
  <si>
    <t>HONDA CITY /2015</t>
  </si>
  <si>
    <t>LEC-15-9942</t>
  </si>
  <si>
    <t>MASTER FORLAND/ 2019</t>
  </si>
  <si>
    <t>J004011</t>
  </si>
  <si>
    <t>JL000965</t>
  </si>
  <si>
    <t>LET-19-1661</t>
  </si>
  <si>
    <t xml:space="preserve">Less S.Charges </t>
  </si>
  <si>
    <t>Net 
Contribution - premiun</t>
  </si>
  <si>
    <t>S.Charges 
2.5% - ye</t>
  </si>
  <si>
    <t>Commission Amount - ye</t>
  </si>
  <si>
    <t>-08-2024</t>
  </si>
  <si>
    <t>-09-2024</t>
  </si>
  <si>
    <t>-10-2024</t>
  </si>
  <si>
    <t>-11-2024</t>
  </si>
  <si>
    <t>-12-2024</t>
  </si>
  <si>
    <t>-01-2025</t>
  </si>
  <si>
    <t>-03-2025</t>
  </si>
  <si>
    <t>-02-2025</t>
  </si>
  <si>
    <t xml:space="preserve">   </t>
  </si>
  <si>
    <t>FUNC_ASSORTED_STRING(IA.ASSORTED_CODE)</t>
  </si>
  <si>
    <t>ASSORTED_CODE</t>
  </si>
  <si>
    <t>KHI/HO/D/MO/PC COMP/C/22892/08/2024</t>
  </si>
  <si>
    <t>020000046511</t>
  </si>
  <si>
    <t>KHI/HO/D/MI/TRR/E/314/08/2024</t>
  </si>
  <si>
    <t>050000777895</t>
  </si>
  <si>
    <t>LHR/LHR/D/MO/PC TPP/C/22894/08/2024</t>
  </si>
  <si>
    <t>020000046513</t>
  </si>
  <si>
    <t>LHR/LHR/D/MO/PC COMP/C/22897/08/2024</t>
  </si>
  <si>
    <t>020000046516</t>
  </si>
  <si>
    <t>KHI/HO/D/MO/PC COMP/C/22898/08/2024</t>
  </si>
  <si>
    <t>020000046517</t>
  </si>
  <si>
    <t>KHI/HO/D/MI/TRR/E/316/08/2024</t>
  </si>
  <si>
    <t>050000777899</t>
  </si>
  <si>
    <t>LHR/LHR/D/MO/PC COMP/C/22900/08/2024</t>
  </si>
  <si>
    <t>020000046520</t>
  </si>
  <si>
    <t>040000182060</t>
  </si>
  <si>
    <t>KHI/HO/D/MO/PC COMP/P/96314/08/2024</t>
  </si>
  <si>
    <t>040000182830</t>
  </si>
  <si>
    <t>040000182920</t>
  </si>
  <si>
    <t>KHI/HO/D/MO/PC COMP/E/45317/08/2024</t>
  </si>
  <si>
    <t>050000782035</t>
  </si>
  <si>
    <t>KHI/HO/D/MI/TRR/E/317/08/2024</t>
  </si>
  <si>
    <t>050000777901</t>
  </si>
  <si>
    <t>LHR/LHR/D/MO/PC COMP/C/22899/08/2024</t>
  </si>
  <si>
    <t>020000046519</t>
  </si>
  <si>
    <t>KHI/HO/D/MR/IMPORTS/P/43317/08/2024</t>
  </si>
  <si>
    <t>040000182490</t>
  </si>
  <si>
    <t>KHI/HO/D/MO/PC COMP/E/45316/08/2024</t>
  </si>
  <si>
    <t>050000782034</t>
  </si>
  <si>
    <t>040000181870</t>
  </si>
  <si>
    <t>KHI/HO/D/MO/PC COMP/R/93317/08/2024</t>
  </si>
  <si>
    <t>080000165828</t>
  </si>
  <si>
    <t>KHI/HO/D/MO/PC COMP/C/22902/08/2024</t>
  </si>
  <si>
    <t>020000046523</t>
  </si>
  <si>
    <t>FSD/FSD/D/FR/ND/R/20603/10/2024</t>
  </si>
  <si>
    <t>080000168851</t>
  </si>
  <si>
    <t>KHI/HO/D/MI/TRR/E/315/08/2024</t>
  </si>
  <si>
    <t>050000777898</t>
  </si>
  <si>
    <t>KHI/HO/D/MO/PC COMP/E/45314/08/2024</t>
  </si>
  <si>
    <t>050000782032</t>
  </si>
  <si>
    <t>070000165419</t>
  </si>
  <si>
    <t>040000182936</t>
  </si>
  <si>
    <t>KHI/HO/D/MO/PC COMP/C/95603/315/08/2024</t>
  </si>
  <si>
    <t>070000164562</t>
  </si>
  <si>
    <t>070000169010</t>
  </si>
  <si>
    <t>FSD/FSD/D/MR/EXPORTS/P/43316/08/2024</t>
  </si>
  <si>
    <t>040000182476</t>
  </si>
  <si>
    <t>KHI/HO/D/MO/PC COMP/C/95603/314/08/2024</t>
  </si>
  <si>
    <t>070000164561</t>
  </si>
  <si>
    <t>KHI/HO/D/MO/PC COMP/C/95603/316/08/2024</t>
  </si>
  <si>
    <t>070000164563</t>
  </si>
  <si>
    <t>KHI/HO/D/MO/PC COMP/C/95603/317/08/2024</t>
  </si>
  <si>
    <t>070000164564</t>
  </si>
  <si>
    <t>070000167639</t>
  </si>
  <si>
    <t>040000181899</t>
  </si>
  <si>
    <t>040000185230</t>
  </si>
  <si>
    <t>040000181954</t>
  </si>
  <si>
    <t>040000182927</t>
  </si>
  <si>
    <t>KHI/HO/D/MO/MC COMP/P/96315/08/2024</t>
  </si>
  <si>
    <t>040000182831</t>
  </si>
  <si>
    <t>KHI/HO/D/MO/MC COMP/P/96316/08/2024</t>
  </si>
  <si>
    <t>040000182832</t>
  </si>
  <si>
    <t>KHI/HO/D/MO/MC COMP/P/96317/08/2024</t>
  </si>
  <si>
    <t>040000182833</t>
  </si>
  <si>
    <t>KHI/HO/D/MO/PC COMP/C/22891/08/2024</t>
  </si>
  <si>
    <t>020000046510</t>
  </si>
  <si>
    <t>KHI/HO/D/MO/PC COMP/P/95316/08/2024</t>
  </si>
  <si>
    <t>040000181612</t>
  </si>
  <si>
    <t>LHR/LHR/D/MO/CV/P/95317/08/2024</t>
  </si>
  <si>
    <t>040000181615</t>
  </si>
  <si>
    <t>040000188379</t>
  </si>
  <si>
    <t>KHI/AR/AR/D/MO/MC TTT/P/95315/08/2024</t>
  </si>
  <si>
    <t>040000181608</t>
  </si>
  <si>
    <t>070000168346</t>
  </si>
  <si>
    <t>040000181923</t>
  </si>
  <si>
    <t>KHI/HO/D/MO/MC COMP/R/75316/08/2024</t>
  </si>
  <si>
    <t>080000165089</t>
  </si>
  <si>
    <t>KHI/HO/D/MR/IMPORTS/P/43314/08/2024</t>
  </si>
  <si>
    <t>040000182462</t>
  </si>
  <si>
    <t>KHI/HO/D/MR/IMPORTS/P/43315/08/2024</t>
  </si>
  <si>
    <t>040000182463</t>
  </si>
  <si>
    <t>070000169023</t>
  </si>
  <si>
    <t>040000185281</t>
  </si>
  <si>
    <t>KHI/HO/D/MO/PC COMP/C/22903/08/2024</t>
  </si>
  <si>
    <t>020000046524</t>
  </si>
  <si>
    <t>040000181958</t>
  </si>
  <si>
    <t>LHR/LHR/D/MO/PC COMP/R/75314/08/2024</t>
  </si>
  <si>
    <t>080000165875</t>
  </si>
  <si>
    <t>070000169031</t>
  </si>
  <si>
    <t>070000167328</t>
  </si>
  <si>
    <t>040000185680</t>
  </si>
  <si>
    <t>KHI/HO/D/MO/PC TPP/P/95314/08/2024</t>
  </si>
  <si>
    <t>040000181604</t>
  </si>
  <si>
    <t>040000182923</t>
  </si>
  <si>
    <t>KHI/HO/D/MO/PC COMP/E/45315/08/2024</t>
  </si>
  <si>
    <t>050000782033</t>
  </si>
  <si>
    <t>040000185205</t>
  </si>
  <si>
    <t>040000185296</t>
  </si>
  <si>
    <t>040000185698</t>
  </si>
  <si>
    <t>040000182056</t>
  </si>
  <si>
    <t>040000181962</t>
  </si>
  <si>
    <t>040000182042</t>
  </si>
  <si>
    <t>070000169027</t>
  </si>
  <si>
    <t>070000169008</t>
  </si>
  <si>
    <t>070000165651</t>
  </si>
  <si>
    <t>070000169007</t>
  </si>
  <si>
    <t>070000169499</t>
  </si>
  <si>
    <t>070000169500</t>
  </si>
  <si>
    <t>070000172719</t>
  </si>
  <si>
    <t>070000169521</t>
  </si>
  <si>
    <t>070000173599</t>
  </si>
  <si>
    <t>070000173623</t>
  </si>
  <si>
    <t>070000172280</t>
  </si>
  <si>
    <t>070000173624</t>
  </si>
  <si>
    <t>070000169786</t>
  </si>
  <si>
    <t>070000172723</t>
  </si>
  <si>
    <t>070000172735</t>
  </si>
  <si>
    <t>070000172292</t>
  </si>
  <si>
    <t>070000171277</t>
  </si>
  <si>
    <t>070000171667</t>
  </si>
  <si>
    <t>KHI/HO/D/FR/ND/R/20802/11/2024</t>
  </si>
  <si>
    <t>080000171934</t>
  </si>
  <si>
    <t>070000169523</t>
  </si>
  <si>
    <t>070000171284</t>
  </si>
  <si>
    <t>070000172291</t>
  </si>
  <si>
    <t>070000173598</t>
  </si>
  <si>
    <t>KHI/HO/D/FR/ND/R/21134/01/2025</t>
  </si>
  <si>
    <t>080000174887</t>
  </si>
  <si>
    <t>070000172732</t>
  </si>
  <si>
    <t>070000171668</t>
  </si>
  <si>
    <t>070000172283</t>
  </si>
  <si>
    <t>070000169784</t>
  </si>
  <si>
    <t>070000169789</t>
  </si>
  <si>
    <t>070000172282</t>
  </si>
  <si>
    <t>070000172284</t>
  </si>
  <si>
    <t>070000172285</t>
  </si>
  <si>
    <t>070000169785</t>
  </si>
  <si>
    <t>070000169584</t>
  </si>
  <si>
    <t>050000842290</t>
  </si>
  <si>
    <t>070000171280</t>
  </si>
  <si>
    <t>070000169788</t>
  </si>
  <si>
    <t>070000169783</t>
  </si>
  <si>
    <t>040000189848</t>
  </si>
  <si>
    <t>070000173600</t>
  </si>
  <si>
    <t>070000172278</t>
  </si>
  <si>
    <t>070000169579</t>
  </si>
  <si>
    <t>070000173597</t>
  </si>
  <si>
    <t>050000855943</t>
  </si>
  <si>
    <t>070000169787</t>
  </si>
  <si>
    <t>070000173602</t>
  </si>
  <si>
    <t>070000173603</t>
  </si>
  <si>
    <t>070000174847</t>
  </si>
  <si>
    <t>070000173604</t>
  </si>
  <si>
    <t>050000867101</t>
  </si>
  <si>
    <t>KHI/HO/D/MO/MC COMP/E/53753/03/2025</t>
  </si>
  <si>
    <t>050000865465</t>
  </si>
  <si>
    <t>POLICY NO.</t>
  </si>
  <si>
    <t>Assorted_code</t>
  </si>
  <si>
    <t>Premium</t>
  </si>
  <si>
    <t>27Mar250004</t>
  </si>
  <si>
    <t>AGENCY_CODE</t>
  </si>
  <si>
    <t>09000210</t>
  </si>
  <si>
    <t>09000221</t>
  </si>
  <si>
    <t>09000800</t>
  </si>
  <si>
    <t>09000499</t>
  </si>
  <si>
    <t>09000920</t>
  </si>
  <si>
    <t>09000116</t>
  </si>
  <si>
    <t>09000738</t>
  </si>
  <si>
    <t>09000462</t>
  </si>
  <si>
    <t>09000683</t>
  </si>
  <si>
    <t>09000551</t>
  </si>
  <si>
    <t>09000650</t>
  </si>
  <si>
    <t>09000497</t>
  </si>
  <si>
    <t>09000427</t>
  </si>
  <si>
    <t>09000329</t>
  </si>
  <si>
    <t>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</si>
</sst>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11"/>
      <color rgb="FF1F497D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165" fontId="0" fillId="0" borderId="1" xfId="1" applyNumberFormat="1" applyFont="1" applyBorder="1" applyAlignment="1">
      <alignment vertical="top"/>
    </xf>
    <xf numFmtId="0" fontId="3" fillId="0" borderId="0" xfId="0" applyFont="1" applyAlignment="1">
      <alignment vertical="top"/>
    </xf>
    <xf numFmtId="165" fontId="2" fillId="0" borderId="0" xfId="0" applyNumberFormat="1" applyFont="1" applyAlignment="1">
      <alignment vertical="top"/>
    </xf>
    <xf numFmtId="165" fontId="2" fillId="0" borderId="0" xfId="1" applyNumberFormat="1" applyFont="1" applyBorder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165" fontId="2" fillId="0" borderId="3" xfId="1" applyNumberFormat="1" applyFont="1" applyBorder="1" applyAlignment="1">
      <alignment vertical="top"/>
    </xf>
    <xf numFmtId="165" fontId="2" fillId="0" borderId="0" xfId="1" applyNumberFormat="1" applyFont="1" applyAlignment="1">
      <alignment vertical="top"/>
    </xf>
    <xf numFmtId="0" fontId="3" fillId="3" borderId="1" xfId="0" applyFont="1" applyFill="1" applyBorder="1" applyAlignment="1">
      <alignment vertical="top"/>
    </xf>
    <xf numFmtId="165" fontId="2" fillId="3" borderId="4" xfId="1" applyNumberFormat="1" applyFont="1" applyFill="1" applyBorder="1" applyAlignment="1">
      <alignment vertical="top"/>
    </xf>
    <xf numFmtId="0" fontId="4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vertical="top"/>
    </xf>
    <xf numFmtId="165" fontId="0" fillId="0" borderId="0" xfId="0" applyNumberFormat="1" applyAlignment="1">
      <alignment vertical="top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top"/>
    </xf>
    <xf numFmtId="0" fontId="0" fillId="2" borderId="1" xfId="0" applyFill="1" applyBorder="1" applyAlignment="1">
      <alignment horizontal="center" vertical="top"/>
    </xf>
    <xf numFmtId="165" fontId="0" fillId="3" borderId="1" xfId="1" applyNumberFormat="1" applyFont="1" applyFill="1" applyBorder="1" applyAlignment="1">
      <alignment vertical="top"/>
    </xf>
    <xf numFmtId="9" fontId="0" fillId="3" borderId="1" xfId="0" applyNumberFormat="1" applyFill="1" applyBorder="1" applyAlignment="1">
      <alignment vertical="top"/>
    </xf>
    <xf numFmtId="165" fontId="3" fillId="3" borderId="1" xfId="1" applyNumberFormat="1" applyFont="1" applyFill="1" applyBorder="1" applyAlignment="1">
      <alignment vertical="top"/>
    </xf>
    <xf numFmtId="10" fontId="0" fillId="3" borderId="1" xfId="0" applyNumberFormat="1" applyFill="1" applyBorder="1" applyAlignment="1">
      <alignment vertical="top"/>
    </xf>
    <xf numFmtId="0" fontId="0" fillId="3" borderId="2" xfId="0" applyFill="1" applyBorder="1" applyAlignment="1">
      <alignment vertical="top"/>
    </xf>
    <xf numFmtId="165" fontId="3" fillId="3" borderId="0" xfId="1" applyNumberFormat="1" applyFont="1" applyFill="1" applyBorder="1" applyAlignment="1">
      <alignment vertical="top"/>
    </xf>
    <xf numFmtId="0" fontId="0" fillId="3" borderId="0" xfId="0" applyFill="1"/>
    <xf numFmtId="0" fontId="0" fillId="3" borderId="1" xfId="0" applyFill="1" applyBorder="1"/>
    <xf numFmtId="0" fontId="0" fillId="0" borderId="0" xfId="0" applyAlignment="1">
      <alignment horizontal="center" vertical="top"/>
    </xf>
    <xf numFmtId="165" fontId="2" fillId="3" borderId="1" xfId="0" applyNumberFormat="1" applyFont="1" applyFill="1" applyBorder="1" applyAlignment="1">
      <alignment vertical="top"/>
    </xf>
    <xf numFmtId="165" fontId="2" fillId="3" borderId="1" xfId="1" applyNumberFormat="1" applyFont="1" applyFill="1" applyBorder="1" applyAlignment="1">
      <alignment vertical="top"/>
    </xf>
    <xf numFmtId="165" fontId="4" fillId="0" borderId="0" xfId="0" applyNumberFormat="1" applyFont="1" applyAlignment="1">
      <alignment vertical="top"/>
    </xf>
    <xf numFmtId="165" fontId="4" fillId="0" borderId="0" xfId="1" applyNumberFormat="1" applyFont="1" applyAlignment="1">
      <alignment vertical="top"/>
    </xf>
    <xf numFmtId="0" fontId="0" fillId="0" borderId="1" xfId="0" applyBorder="1" applyAlignment="1">
      <alignment horizontal="right" vertical="top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6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5" fontId="7" fillId="0" borderId="0" xfId="1" applyNumberFormat="1" applyFont="1" applyAlignment="1">
      <alignment vertical="top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wrapText="1"/>
    </xf>
    <xf numFmtId="0" fontId="8" fillId="0" borderId="0" xfId="0" applyFont="1"/>
    <xf numFmtId="165" fontId="0" fillId="0" borderId="0" xfId="0" applyNumberFormat="1"/>
    <xf numFmtId="0" fontId="9" fillId="0" borderId="0" xfId="0" applyFont="1" applyAlignment="1">
      <alignment vertical="top"/>
    </xf>
    <xf numFmtId="164" fontId="0" fillId="0" borderId="1" xfId="1" applyFont="1" applyBorder="1" applyAlignment="1">
      <alignment horizontal="center" vertical="top"/>
    </xf>
    <xf numFmtId="164" fontId="3" fillId="0" borderId="1" xfId="1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"/>
  <sheetViews>
    <sheetView tabSelected="1" topLeftCell="A68" zoomScaleNormal="100" workbookViewId="0">
      <selection activeCell="F81" sqref="F81"/>
    </sheetView>
  </sheetViews>
  <sheetFormatPr defaultRowHeight="15" x14ac:dyDescent="0.25"/>
  <cols>
    <col min="1" max="1" width="12.42578125" style="1" customWidth="1"/>
    <col min="2" max="2" width="29.28515625" style="1" bestFit="1" customWidth="1"/>
    <col min="3" max="3" width="39.85546875" style="1" customWidth="1"/>
    <col min="4" max="4" width="33.85546875" style="1" hidden="1" customWidth="1"/>
    <col min="5" max="5" width="21.140625" style="1" hidden="1" customWidth="1"/>
    <col min="6" max="6" width="28.28515625" style="1" customWidth="1"/>
    <col min="7" max="8" width="14.85546875" style="1" bestFit="1" customWidth="1"/>
    <col min="9" max="9" width="14.7109375" style="1" customWidth="1"/>
    <col min="10" max="10" width="19.140625" style="1" bestFit="1" customWidth="1"/>
    <col min="11" max="257" width="8.85546875" style="22"/>
    <col min="258" max="258" width="12.85546875" style="22" bestFit="1" customWidth="1"/>
    <col min="259" max="259" width="29.140625" style="22" bestFit="1" customWidth="1"/>
    <col min="260" max="260" width="39.85546875" style="22" customWidth="1"/>
    <col min="261" max="261" width="31.140625" style="22" customWidth="1"/>
    <col min="262" max="262" width="16.85546875" style="22" customWidth="1"/>
    <col min="263" max="263" width="14.7109375" style="22" bestFit="1" customWidth="1"/>
    <col min="264" max="264" width="14.140625" style="22" customWidth="1"/>
    <col min="265" max="265" width="14.7109375" style="22" customWidth="1"/>
    <col min="266" max="266" width="19.140625" style="22" bestFit="1" customWidth="1"/>
    <col min="267" max="513" width="8.85546875" style="22"/>
    <col min="514" max="514" width="12.85546875" style="22" bestFit="1" customWidth="1"/>
    <col min="515" max="515" width="29.140625" style="22" bestFit="1" customWidth="1"/>
    <col min="516" max="516" width="39.85546875" style="22" customWidth="1"/>
    <col min="517" max="517" width="31.140625" style="22" customWidth="1"/>
    <col min="518" max="518" width="16.85546875" style="22" customWidth="1"/>
    <col min="519" max="519" width="14.7109375" style="22" bestFit="1" customWidth="1"/>
    <col min="520" max="520" width="14.140625" style="22" customWidth="1"/>
    <col min="521" max="521" width="14.7109375" style="22" customWidth="1"/>
    <col min="522" max="522" width="19.140625" style="22" bestFit="1" customWidth="1"/>
    <col min="523" max="769" width="8.85546875" style="22"/>
    <col min="770" max="770" width="12.85546875" style="22" bestFit="1" customWidth="1"/>
    <col min="771" max="771" width="29.140625" style="22" bestFit="1" customWidth="1"/>
    <col min="772" max="772" width="39.85546875" style="22" customWidth="1"/>
    <col min="773" max="773" width="31.140625" style="22" customWidth="1"/>
    <col min="774" max="774" width="16.85546875" style="22" customWidth="1"/>
    <col min="775" max="775" width="14.7109375" style="22" bestFit="1" customWidth="1"/>
    <col min="776" max="776" width="14.140625" style="22" customWidth="1"/>
    <col min="777" max="777" width="14.7109375" style="22" customWidth="1"/>
    <col min="778" max="778" width="19.140625" style="22" bestFit="1" customWidth="1"/>
    <col min="779" max="1025" width="8.85546875" style="22"/>
    <col min="1026" max="1026" width="12.85546875" style="22" bestFit="1" customWidth="1"/>
    <col min="1027" max="1027" width="29.140625" style="22" bestFit="1" customWidth="1"/>
    <col min="1028" max="1028" width="39.85546875" style="22" customWidth="1"/>
    <col min="1029" max="1029" width="31.140625" style="22" customWidth="1"/>
    <col min="1030" max="1030" width="16.85546875" style="22" customWidth="1"/>
    <col min="1031" max="1031" width="14.7109375" style="22" bestFit="1" customWidth="1"/>
    <col min="1032" max="1032" width="14.140625" style="22" customWidth="1"/>
    <col min="1033" max="1033" width="14.7109375" style="22" customWidth="1"/>
    <col min="1034" max="1034" width="19.140625" style="22" bestFit="1" customWidth="1"/>
    <col min="1035" max="1281" width="8.85546875" style="22"/>
    <col min="1282" max="1282" width="12.85546875" style="22" bestFit="1" customWidth="1"/>
    <col min="1283" max="1283" width="29.140625" style="22" bestFit="1" customWidth="1"/>
    <col min="1284" max="1284" width="39.85546875" style="22" customWidth="1"/>
    <col min="1285" max="1285" width="31.140625" style="22" customWidth="1"/>
    <col min="1286" max="1286" width="16.85546875" style="22" customWidth="1"/>
    <col min="1287" max="1287" width="14.7109375" style="22" bestFit="1" customWidth="1"/>
    <col min="1288" max="1288" width="14.140625" style="22" customWidth="1"/>
    <col min="1289" max="1289" width="14.7109375" style="22" customWidth="1"/>
    <col min="1290" max="1290" width="19.140625" style="22" bestFit="1" customWidth="1"/>
    <col min="1291" max="1537" width="8.85546875" style="22"/>
    <col min="1538" max="1538" width="12.85546875" style="22" bestFit="1" customWidth="1"/>
    <col min="1539" max="1539" width="29.140625" style="22" bestFit="1" customWidth="1"/>
    <col min="1540" max="1540" width="39.85546875" style="22" customWidth="1"/>
    <col min="1541" max="1541" width="31.140625" style="22" customWidth="1"/>
    <col min="1542" max="1542" width="16.85546875" style="22" customWidth="1"/>
    <col min="1543" max="1543" width="14.7109375" style="22" bestFit="1" customWidth="1"/>
    <col min="1544" max="1544" width="14.140625" style="22" customWidth="1"/>
    <col min="1545" max="1545" width="14.7109375" style="22" customWidth="1"/>
    <col min="1546" max="1546" width="19.140625" style="22" bestFit="1" customWidth="1"/>
    <col min="1547" max="1793" width="8.85546875" style="22"/>
    <col min="1794" max="1794" width="12.85546875" style="22" bestFit="1" customWidth="1"/>
    <col min="1795" max="1795" width="29.140625" style="22" bestFit="1" customWidth="1"/>
    <col min="1796" max="1796" width="39.85546875" style="22" customWidth="1"/>
    <col min="1797" max="1797" width="31.140625" style="22" customWidth="1"/>
    <col min="1798" max="1798" width="16.85546875" style="22" customWidth="1"/>
    <col min="1799" max="1799" width="14.7109375" style="22" bestFit="1" customWidth="1"/>
    <col min="1800" max="1800" width="14.140625" style="22" customWidth="1"/>
    <col min="1801" max="1801" width="14.7109375" style="22" customWidth="1"/>
    <col min="1802" max="1802" width="19.140625" style="22" bestFit="1" customWidth="1"/>
    <col min="1803" max="2049" width="8.85546875" style="22"/>
    <col min="2050" max="2050" width="12.85546875" style="22" bestFit="1" customWidth="1"/>
    <col min="2051" max="2051" width="29.140625" style="22" bestFit="1" customWidth="1"/>
    <col min="2052" max="2052" width="39.85546875" style="22" customWidth="1"/>
    <col min="2053" max="2053" width="31.140625" style="22" customWidth="1"/>
    <col min="2054" max="2054" width="16.85546875" style="22" customWidth="1"/>
    <col min="2055" max="2055" width="14.7109375" style="22" bestFit="1" customWidth="1"/>
    <col min="2056" max="2056" width="14.140625" style="22" customWidth="1"/>
    <col min="2057" max="2057" width="14.7109375" style="22" customWidth="1"/>
    <col min="2058" max="2058" width="19.140625" style="22" bestFit="1" customWidth="1"/>
    <col min="2059" max="2305" width="8.85546875" style="22"/>
    <col min="2306" max="2306" width="12.85546875" style="22" bestFit="1" customWidth="1"/>
    <col min="2307" max="2307" width="29.140625" style="22" bestFit="1" customWidth="1"/>
    <col min="2308" max="2308" width="39.85546875" style="22" customWidth="1"/>
    <col min="2309" max="2309" width="31.140625" style="22" customWidth="1"/>
    <col min="2310" max="2310" width="16.85546875" style="22" customWidth="1"/>
    <col min="2311" max="2311" width="14.7109375" style="22" bestFit="1" customWidth="1"/>
    <col min="2312" max="2312" width="14.140625" style="22" customWidth="1"/>
    <col min="2313" max="2313" width="14.7109375" style="22" customWidth="1"/>
    <col min="2314" max="2314" width="19.140625" style="22" bestFit="1" customWidth="1"/>
    <col min="2315" max="2561" width="8.85546875" style="22"/>
    <col min="2562" max="2562" width="12.85546875" style="22" bestFit="1" customWidth="1"/>
    <col min="2563" max="2563" width="29.140625" style="22" bestFit="1" customWidth="1"/>
    <col min="2564" max="2564" width="39.85546875" style="22" customWidth="1"/>
    <col min="2565" max="2565" width="31.140625" style="22" customWidth="1"/>
    <col min="2566" max="2566" width="16.85546875" style="22" customWidth="1"/>
    <col min="2567" max="2567" width="14.7109375" style="22" bestFit="1" customWidth="1"/>
    <col min="2568" max="2568" width="14.140625" style="22" customWidth="1"/>
    <col min="2569" max="2569" width="14.7109375" style="22" customWidth="1"/>
    <col min="2570" max="2570" width="19.140625" style="22" bestFit="1" customWidth="1"/>
    <col min="2571" max="2817" width="8.85546875" style="22"/>
    <col min="2818" max="2818" width="12.85546875" style="22" bestFit="1" customWidth="1"/>
    <col min="2819" max="2819" width="29.140625" style="22" bestFit="1" customWidth="1"/>
    <col min="2820" max="2820" width="39.85546875" style="22" customWidth="1"/>
    <col min="2821" max="2821" width="31.140625" style="22" customWidth="1"/>
    <col min="2822" max="2822" width="16.85546875" style="22" customWidth="1"/>
    <col min="2823" max="2823" width="14.7109375" style="22" bestFit="1" customWidth="1"/>
    <col min="2824" max="2824" width="14.140625" style="22" customWidth="1"/>
    <col min="2825" max="2825" width="14.7109375" style="22" customWidth="1"/>
    <col min="2826" max="2826" width="19.140625" style="22" bestFit="1" customWidth="1"/>
    <col min="2827" max="3073" width="8.85546875" style="22"/>
    <col min="3074" max="3074" width="12.85546875" style="22" bestFit="1" customWidth="1"/>
    <col min="3075" max="3075" width="29.140625" style="22" bestFit="1" customWidth="1"/>
    <col min="3076" max="3076" width="39.85546875" style="22" customWidth="1"/>
    <col min="3077" max="3077" width="31.140625" style="22" customWidth="1"/>
    <col min="3078" max="3078" width="16.85546875" style="22" customWidth="1"/>
    <col min="3079" max="3079" width="14.7109375" style="22" bestFit="1" customWidth="1"/>
    <col min="3080" max="3080" width="14.140625" style="22" customWidth="1"/>
    <col min="3081" max="3081" width="14.7109375" style="22" customWidth="1"/>
    <col min="3082" max="3082" width="19.140625" style="22" bestFit="1" customWidth="1"/>
    <col min="3083" max="3329" width="8.85546875" style="22"/>
    <col min="3330" max="3330" width="12.85546875" style="22" bestFit="1" customWidth="1"/>
    <col min="3331" max="3331" width="29.140625" style="22" bestFit="1" customWidth="1"/>
    <col min="3332" max="3332" width="39.85546875" style="22" customWidth="1"/>
    <col min="3333" max="3333" width="31.140625" style="22" customWidth="1"/>
    <col min="3334" max="3334" width="16.85546875" style="22" customWidth="1"/>
    <col min="3335" max="3335" width="14.7109375" style="22" bestFit="1" customWidth="1"/>
    <col min="3336" max="3336" width="14.140625" style="22" customWidth="1"/>
    <col min="3337" max="3337" width="14.7109375" style="22" customWidth="1"/>
    <col min="3338" max="3338" width="19.140625" style="22" bestFit="1" customWidth="1"/>
    <col min="3339" max="3585" width="8.85546875" style="22"/>
    <col min="3586" max="3586" width="12.85546875" style="22" bestFit="1" customWidth="1"/>
    <col min="3587" max="3587" width="29.140625" style="22" bestFit="1" customWidth="1"/>
    <col min="3588" max="3588" width="39.85546875" style="22" customWidth="1"/>
    <col min="3589" max="3589" width="31.140625" style="22" customWidth="1"/>
    <col min="3590" max="3590" width="16.85546875" style="22" customWidth="1"/>
    <col min="3591" max="3591" width="14.7109375" style="22" bestFit="1" customWidth="1"/>
    <col min="3592" max="3592" width="14.140625" style="22" customWidth="1"/>
    <col min="3593" max="3593" width="14.7109375" style="22" customWidth="1"/>
    <col min="3594" max="3594" width="19.140625" style="22" bestFit="1" customWidth="1"/>
    <col min="3595" max="3841" width="8.85546875" style="22"/>
    <col min="3842" max="3842" width="12.85546875" style="22" bestFit="1" customWidth="1"/>
    <col min="3843" max="3843" width="29.140625" style="22" bestFit="1" customWidth="1"/>
    <col min="3844" max="3844" width="39.85546875" style="22" customWidth="1"/>
    <col min="3845" max="3845" width="31.140625" style="22" customWidth="1"/>
    <col min="3846" max="3846" width="16.85546875" style="22" customWidth="1"/>
    <col min="3847" max="3847" width="14.7109375" style="22" bestFit="1" customWidth="1"/>
    <col min="3848" max="3848" width="14.140625" style="22" customWidth="1"/>
    <col min="3849" max="3849" width="14.7109375" style="22" customWidth="1"/>
    <col min="3850" max="3850" width="19.140625" style="22" bestFit="1" customWidth="1"/>
    <col min="3851" max="4097" width="8.85546875" style="22"/>
    <col min="4098" max="4098" width="12.85546875" style="22" bestFit="1" customWidth="1"/>
    <col min="4099" max="4099" width="29.140625" style="22" bestFit="1" customWidth="1"/>
    <col min="4100" max="4100" width="39.85546875" style="22" customWidth="1"/>
    <col min="4101" max="4101" width="31.140625" style="22" customWidth="1"/>
    <col min="4102" max="4102" width="16.85546875" style="22" customWidth="1"/>
    <col min="4103" max="4103" width="14.7109375" style="22" bestFit="1" customWidth="1"/>
    <col min="4104" max="4104" width="14.140625" style="22" customWidth="1"/>
    <col min="4105" max="4105" width="14.7109375" style="22" customWidth="1"/>
    <col min="4106" max="4106" width="19.140625" style="22" bestFit="1" customWidth="1"/>
    <col min="4107" max="4353" width="8.85546875" style="22"/>
    <col min="4354" max="4354" width="12.85546875" style="22" bestFit="1" customWidth="1"/>
    <col min="4355" max="4355" width="29.140625" style="22" bestFit="1" customWidth="1"/>
    <col min="4356" max="4356" width="39.85546875" style="22" customWidth="1"/>
    <col min="4357" max="4357" width="31.140625" style="22" customWidth="1"/>
    <col min="4358" max="4358" width="16.85546875" style="22" customWidth="1"/>
    <col min="4359" max="4359" width="14.7109375" style="22" bestFit="1" customWidth="1"/>
    <col min="4360" max="4360" width="14.140625" style="22" customWidth="1"/>
    <col min="4361" max="4361" width="14.7109375" style="22" customWidth="1"/>
    <col min="4362" max="4362" width="19.140625" style="22" bestFit="1" customWidth="1"/>
    <col min="4363" max="4609" width="8.85546875" style="22"/>
    <col min="4610" max="4610" width="12.85546875" style="22" bestFit="1" customWidth="1"/>
    <col min="4611" max="4611" width="29.140625" style="22" bestFit="1" customWidth="1"/>
    <col min="4612" max="4612" width="39.85546875" style="22" customWidth="1"/>
    <col min="4613" max="4613" width="31.140625" style="22" customWidth="1"/>
    <col min="4614" max="4614" width="16.85546875" style="22" customWidth="1"/>
    <col min="4615" max="4615" width="14.7109375" style="22" bestFit="1" customWidth="1"/>
    <col min="4616" max="4616" width="14.140625" style="22" customWidth="1"/>
    <col min="4617" max="4617" width="14.7109375" style="22" customWidth="1"/>
    <col min="4618" max="4618" width="19.140625" style="22" bestFit="1" customWidth="1"/>
    <col min="4619" max="4865" width="8.85546875" style="22"/>
    <col min="4866" max="4866" width="12.85546875" style="22" bestFit="1" customWidth="1"/>
    <col min="4867" max="4867" width="29.140625" style="22" bestFit="1" customWidth="1"/>
    <col min="4868" max="4868" width="39.85546875" style="22" customWidth="1"/>
    <col min="4869" max="4869" width="31.140625" style="22" customWidth="1"/>
    <col min="4870" max="4870" width="16.85546875" style="22" customWidth="1"/>
    <col min="4871" max="4871" width="14.7109375" style="22" bestFit="1" customWidth="1"/>
    <col min="4872" max="4872" width="14.140625" style="22" customWidth="1"/>
    <col min="4873" max="4873" width="14.7109375" style="22" customWidth="1"/>
    <col min="4874" max="4874" width="19.140625" style="22" bestFit="1" customWidth="1"/>
    <col min="4875" max="5121" width="8.85546875" style="22"/>
    <col min="5122" max="5122" width="12.85546875" style="22" bestFit="1" customWidth="1"/>
    <col min="5123" max="5123" width="29.140625" style="22" bestFit="1" customWidth="1"/>
    <col min="5124" max="5124" width="39.85546875" style="22" customWidth="1"/>
    <col min="5125" max="5125" width="31.140625" style="22" customWidth="1"/>
    <col min="5126" max="5126" width="16.85546875" style="22" customWidth="1"/>
    <col min="5127" max="5127" width="14.7109375" style="22" bestFit="1" customWidth="1"/>
    <col min="5128" max="5128" width="14.140625" style="22" customWidth="1"/>
    <col min="5129" max="5129" width="14.7109375" style="22" customWidth="1"/>
    <col min="5130" max="5130" width="19.140625" style="22" bestFit="1" customWidth="1"/>
    <col min="5131" max="5377" width="8.85546875" style="22"/>
    <col min="5378" max="5378" width="12.85546875" style="22" bestFit="1" customWidth="1"/>
    <col min="5379" max="5379" width="29.140625" style="22" bestFit="1" customWidth="1"/>
    <col min="5380" max="5380" width="39.85546875" style="22" customWidth="1"/>
    <col min="5381" max="5381" width="31.140625" style="22" customWidth="1"/>
    <col min="5382" max="5382" width="16.85546875" style="22" customWidth="1"/>
    <col min="5383" max="5383" width="14.7109375" style="22" bestFit="1" customWidth="1"/>
    <col min="5384" max="5384" width="14.140625" style="22" customWidth="1"/>
    <col min="5385" max="5385" width="14.7109375" style="22" customWidth="1"/>
    <col min="5386" max="5386" width="19.140625" style="22" bestFit="1" customWidth="1"/>
    <col min="5387" max="5633" width="8.85546875" style="22"/>
    <col min="5634" max="5634" width="12.85546875" style="22" bestFit="1" customWidth="1"/>
    <col min="5635" max="5635" width="29.140625" style="22" bestFit="1" customWidth="1"/>
    <col min="5636" max="5636" width="39.85546875" style="22" customWidth="1"/>
    <col min="5637" max="5637" width="31.140625" style="22" customWidth="1"/>
    <col min="5638" max="5638" width="16.85546875" style="22" customWidth="1"/>
    <col min="5639" max="5639" width="14.7109375" style="22" bestFit="1" customWidth="1"/>
    <col min="5640" max="5640" width="14.140625" style="22" customWidth="1"/>
    <col min="5641" max="5641" width="14.7109375" style="22" customWidth="1"/>
    <col min="5642" max="5642" width="19.140625" style="22" bestFit="1" customWidth="1"/>
    <col min="5643" max="5889" width="8.85546875" style="22"/>
    <col min="5890" max="5890" width="12.85546875" style="22" bestFit="1" customWidth="1"/>
    <col min="5891" max="5891" width="29.140625" style="22" bestFit="1" customWidth="1"/>
    <col min="5892" max="5892" width="39.85546875" style="22" customWidth="1"/>
    <col min="5893" max="5893" width="31.140625" style="22" customWidth="1"/>
    <col min="5894" max="5894" width="16.85546875" style="22" customWidth="1"/>
    <col min="5895" max="5895" width="14.7109375" style="22" bestFit="1" customWidth="1"/>
    <col min="5896" max="5896" width="14.140625" style="22" customWidth="1"/>
    <col min="5897" max="5897" width="14.7109375" style="22" customWidth="1"/>
    <col min="5898" max="5898" width="19.140625" style="22" bestFit="1" customWidth="1"/>
    <col min="5899" max="6145" width="8.85546875" style="22"/>
    <col min="6146" max="6146" width="12.85546875" style="22" bestFit="1" customWidth="1"/>
    <col min="6147" max="6147" width="29.140625" style="22" bestFit="1" customWidth="1"/>
    <col min="6148" max="6148" width="39.85546875" style="22" customWidth="1"/>
    <col min="6149" max="6149" width="31.140625" style="22" customWidth="1"/>
    <col min="6150" max="6150" width="16.85546875" style="22" customWidth="1"/>
    <col min="6151" max="6151" width="14.7109375" style="22" bestFit="1" customWidth="1"/>
    <col min="6152" max="6152" width="14.140625" style="22" customWidth="1"/>
    <col min="6153" max="6153" width="14.7109375" style="22" customWidth="1"/>
    <col min="6154" max="6154" width="19.140625" style="22" bestFit="1" customWidth="1"/>
    <col min="6155" max="6401" width="8.85546875" style="22"/>
    <col min="6402" max="6402" width="12.85546875" style="22" bestFit="1" customWidth="1"/>
    <col min="6403" max="6403" width="29.140625" style="22" bestFit="1" customWidth="1"/>
    <col min="6404" max="6404" width="39.85546875" style="22" customWidth="1"/>
    <col min="6405" max="6405" width="31.140625" style="22" customWidth="1"/>
    <col min="6406" max="6406" width="16.85546875" style="22" customWidth="1"/>
    <col min="6407" max="6407" width="14.7109375" style="22" bestFit="1" customWidth="1"/>
    <col min="6408" max="6408" width="14.140625" style="22" customWidth="1"/>
    <col min="6409" max="6409" width="14.7109375" style="22" customWidth="1"/>
    <col min="6410" max="6410" width="19.140625" style="22" bestFit="1" customWidth="1"/>
    <col min="6411" max="6657" width="8.85546875" style="22"/>
    <col min="6658" max="6658" width="12.85546875" style="22" bestFit="1" customWidth="1"/>
    <col min="6659" max="6659" width="29.140625" style="22" bestFit="1" customWidth="1"/>
    <col min="6660" max="6660" width="39.85546875" style="22" customWidth="1"/>
    <col min="6661" max="6661" width="31.140625" style="22" customWidth="1"/>
    <col min="6662" max="6662" width="16.85546875" style="22" customWidth="1"/>
    <col min="6663" max="6663" width="14.7109375" style="22" bestFit="1" customWidth="1"/>
    <col min="6664" max="6664" width="14.140625" style="22" customWidth="1"/>
    <col min="6665" max="6665" width="14.7109375" style="22" customWidth="1"/>
    <col min="6666" max="6666" width="19.140625" style="22" bestFit="1" customWidth="1"/>
    <col min="6667" max="6913" width="8.85546875" style="22"/>
    <col min="6914" max="6914" width="12.85546875" style="22" bestFit="1" customWidth="1"/>
    <col min="6915" max="6915" width="29.140625" style="22" bestFit="1" customWidth="1"/>
    <col min="6916" max="6916" width="39.85546875" style="22" customWidth="1"/>
    <col min="6917" max="6917" width="31.140625" style="22" customWidth="1"/>
    <col min="6918" max="6918" width="16.85546875" style="22" customWidth="1"/>
    <col min="6919" max="6919" width="14.7109375" style="22" bestFit="1" customWidth="1"/>
    <col min="6920" max="6920" width="14.140625" style="22" customWidth="1"/>
    <col min="6921" max="6921" width="14.7109375" style="22" customWidth="1"/>
    <col min="6922" max="6922" width="19.140625" style="22" bestFit="1" customWidth="1"/>
    <col min="6923" max="7169" width="8.85546875" style="22"/>
    <col min="7170" max="7170" width="12.85546875" style="22" bestFit="1" customWidth="1"/>
    <col min="7171" max="7171" width="29.140625" style="22" bestFit="1" customWidth="1"/>
    <col min="7172" max="7172" width="39.85546875" style="22" customWidth="1"/>
    <col min="7173" max="7173" width="31.140625" style="22" customWidth="1"/>
    <col min="7174" max="7174" width="16.85546875" style="22" customWidth="1"/>
    <col min="7175" max="7175" width="14.7109375" style="22" bestFit="1" customWidth="1"/>
    <col min="7176" max="7176" width="14.140625" style="22" customWidth="1"/>
    <col min="7177" max="7177" width="14.7109375" style="22" customWidth="1"/>
    <col min="7178" max="7178" width="19.140625" style="22" bestFit="1" customWidth="1"/>
    <col min="7179" max="7425" width="8.85546875" style="22"/>
    <col min="7426" max="7426" width="12.85546875" style="22" bestFit="1" customWidth="1"/>
    <col min="7427" max="7427" width="29.140625" style="22" bestFit="1" customWidth="1"/>
    <col min="7428" max="7428" width="39.85546875" style="22" customWidth="1"/>
    <col min="7429" max="7429" width="31.140625" style="22" customWidth="1"/>
    <col min="7430" max="7430" width="16.85546875" style="22" customWidth="1"/>
    <col min="7431" max="7431" width="14.7109375" style="22" bestFit="1" customWidth="1"/>
    <col min="7432" max="7432" width="14.140625" style="22" customWidth="1"/>
    <col min="7433" max="7433" width="14.7109375" style="22" customWidth="1"/>
    <col min="7434" max="7434" width="19.140625" style="22" bestFit="1" customWidth="1"/>
    <col min="7435" max="7681" width="8.85546875" style="22"/>
    <col min="7682" max="7682" width="12.85546875" style="22" bestFit="1" customWidth="1"/>
    <col min="7683" max="7683" width="29.140625" style="22" bestFit="1" customWidth="1"/>
    <col min="7684" max="7684" width="39.85546875" style="22" customWidth="1"/>
    <col min="7685" max="7685" width="31.140625" style="22" customWidth="1"/>
    <col min="7686" max="7686" width="16.85546875" style="22" customWidth="1"/>
    <col min="7687" max="7687" width="14.7109375" style="22" bestFit="1" customWidth="1"/>
    <col min="7688" max="7688" width="14.140625" style="22" customWidth="1"/>
    <col min="7689" max="7689" width="14.7109375" style="22" customWidth="1"/>
    <col min="7690" max="7690" width="19.140625" style="22" bestFit="1" customWidth="1"/>
    <col min="7691" max="7937" width="8.85546875" style="22"/>
    <col min="7938" max="7938" width="12.85546875" style="22" bestFit="1" customWidth="1"/>
    <col min="7939" max="7939" width="29.140625" style="22" bestFit="1" customWidth="1"/>
    <col min="7940" max="7940" width="39.85546875" style="22" customWidth="1"/>
    <col min="7941" max="7941" width="31.140625" style="22" customWidth="1"/>
    <col min="7942" max="7942" width="16.85546875" style="22" customWidth="1"/>
    <col min="7943" max="7943" width="14.7109375" style="22" bestFit="1" customWidth="1"/>
    <col min="7944" max="7944" width="14.140625" style="22" customWidth="1"/>
    <col min="7945" max="7945" width="14.7109375" style="22" customWidth="1"/>
    <col min="7946" max="7946" width="19.140625" style="22" bestFit="1" customWidth="1"/>
    <col min="7947" max="8193" width="8.85546875" style="22"/>
    <col min="8194" max="8194" width="12.85546875" style="22" bestFit="1" customWidth="1"/>
    <col min="8195" max="8195" width="29.140625" style="22" bestFit="1" customWidth="1"/>
    <col min="8196" max="8196" width="39.85546875" style="22" customWidth="1"/>
    <col min="8197" max="8197" width="31.140625" style="22" customWidth="1"/>
    <col min="8198" max="8198" width="16.85546875" style="22" customWidth="1"/>
    <col min="8199" max="8199" width="14.7109375" style="22" bestFit="1" customWidth="1"/>
    <col min="8200" max="8200" width="14.140625" style="22" customWidth="1"/>
    <col min="8201" max="8201" width="14.7109375" style="22" customWidth="1"/>
    <col min="8202" max="8202" width="19.140625" style="22" bestFit="1" customWidth="1"/>
    <col min="8203" max="8449" width="8.85546875" style="22"/>
    <col min="8450" max="8450" width="12.85546875" style="22" bestFit="1" customWidth="1"/>
    <col min="8451" max="8451" width="29.140625" style="22" bestFit="1" customWidth="1"/>
    <col min="8452" max="8452" width="39.85546875" style="22" customWidth="1"/>
    <col min="8453" max="8453" width="31.140625" style="22" customWidth="1"/>
    <col min="8454" max="8454" width="16.85546875" style="22" customWidth="1"/>
    <col min="8455" max="8455" width="14.7109375" style="22" bestFit="1" customWidth="1"/>
    <col min="8456" max="8456" width="14.140625" style="22" customWidth="1"/>
    <col min="8457" max="8457" width="14.7109375" style="22" customWidth="1"/>
    <col min="8458" max="8458" width="19.140625" style="22" bestFit="1" customWidth="1"/>
    <col min="8459" max="8705" width="8.85546875" style="22"/>
    <col min="8706" max="8706" width="12.85546875" style="22" bestFit="1" customWidth="1"/>
    <col min="8707" max="8707" width="29.140625" style="22" bestFit="1" customWidth="1"/>
    <col min="8708" max="8708" width="39.85546875" style="22" customWidth="1"/>
    <col min="8709" max="8709" width="31.140625" style="22" customWidth="1"/>
    <col min="8710" max="8710" width="16.85546875" style="22" customWidth="1"/>
    <col min="8711" max="8711" width="14.7109375" style="22" bestFit="1" customWidth="1"/>
    <col min="8712" max="8712" width="14.140625" style="22" customWidth="1"/>
    <col min="8713" max="8713" width="14.7109375" style="22" customWidth="1"/>
    <col min="8714" max="8714" width="19.140625" style="22" bestFit="1" customWidth="1"/>
    <col min="8715" max="8961" width="8.85546875" style="22"/>
    <col min="8962" max="8962" width="12.85546875" style="22" bestFit="1" customWidth="1"/>
    <col min="8963" max="8963" width="29.140625" style="22" bestFit="1" customWidth="1"/>
    <col min="8964" max="8964" width="39.85546875" style="22" customWidth="1"/>
    <col min="8965" max="8965" width="31.140625" style="22" customWidth="1"/>
    <col min="8966" max="8966" width="16.85546875" style="22" customWidth="1"/>
    <col min="8967" max="8967" width="14.7109375" style="22" bestFit="1" customWidth="1"/>
    <col min="8968" max="8968" width="14.140625" style="22" customWidth="1"/>
    <col min="8969" max="8969" width="14.7109375" style="22" customWidth="1"/>
    <col min="8970" max="8970" width="19.140625" style="22" bestFit="1" customWidth="1"/>
    <col min="8971" max="9217" width="8.85546875" style="22"/>
    <col min="9218" max="9218" width="12.85546875" style="22" bestFit="1" customWidth="1"/>
    <col min="9219" max="9219" width="29.140625" style="22" bestFit="1" customWidth="1"/>
    <col min="9220" max="9220" width="39.85546875" style="22" customWidth="1"/>
    <col min="9221" max="9221" width="31.140625" style="22" customWidth="1"/>
    <col min="9222" max="9222" width="16.85546875" style="22" customWidth="1"/>
    <col min="9223" max="9223" width="14.7109375" style="22" bestFit="1" customWidth="1"/>
    <col min="9224" max="9224" width="14.140625" style="22" customWidth="1"/>
    <col min="9225" max="9225" width="14.7109375" style="22" customWidth="1"/>
    <col min="9226" max="9226" width="19.140625" style="22" bestFit="1" customWidth="1"/>
    <col min="9227" max="9473" width="8.85546875" style="22"/>
    <col min="9474" max="9474" width="12.85546875" style="22" bestFit="1" customWidth="1"/>
    <col min="9475" max="9475" width="29.140625" style="22" bestFit="1" customWidth="1"/>
    <col min="9476" max="9476" width="39.85546875" style="22" customWidth="1"/>
    <col min="9477" max="9477" width="31.140625" style="22" customWidth="1"/>
    <col min="9478" max="9478" width="16.85546875" style="22" customWidth="1"/>
    <col min="9479" max="9479" width="14.7109375" style="22" bestFit="1" customWidth="1"/>
    <col min="9480" max="9480" width="14.140625" style="22" customWidth="1"/>
    <col min="9481" max="9481" width="14.7109375" style="22" customWidth="1"/>
    <col min="9482" max="9482" width="19.140625" style="22" bestFit="1" customWidth="1"/>
    <col min="9483" max="9729" width="8.85546875" style="22"/>
    <col min="9730" max="9730" width="12.85546875" style="22" bestFit="1" customWidth="1"/>
    <col min="9731" max="9731" width="29.140625" style="22" bestFit="1" customWidth="1"/>
    <col min="9732" max="9732" width="39.85546875" style="22" customWidth="1"/>
    <col min="9733" max="9733" width="31.140625" style="22" customWidth="1"/>
    <col min="9734" max="9734" width="16.85546875" style="22" customWidth="1"/>
    <col min="9735" max="9735" width="14.7109375" style="22" bestFit="1" customWidth="1"/>
    <col min="9736" max="9736" width="14.140625" style="22" customWidth="1"/>
    <col min="9737" max="9737" width="14.7109375" style="22" customWidth="1"/>
    <col min="9738" max="9738" width="19.140625" style="22" bestFit="1" customWidth="1"/>
    <col min="9739" max="9985" width="8.85546875" style="22"/>
    <col min="9986" max="9986" width="12.85546875" style="22" bestFit="1" customWidth="1"/>
    <col min="9987" max="9987" width="29.140625" style="22" bestFit="1" customWidth="1"/>
    <col min="9988" max="9988" width="39.85546875" style="22" customWidth="1"/>
    <col min="9989" max="9989" width="31.140625" style="22" customWidth="1"/>
    <col min="9990" max="9990" width="16.85546875" style="22" customWidth="1"/>
    <col min="9991" max="9991" width="14.7109375" style="22" bestFit="1" customWidth="1"/>
    <col min="9992" max="9992" width="14.140625" style="22" customWidth="1"/>
    <col min="9993" max="9993" width="14.7109375" style="22" customWidth="1"/>
    <col min="9994" max="9994" width="19.140625" style="22" bestFit="1" customWidth="1"/>
    <col min="9995" max="10241" width="8.85546875" style="22"/>
    <col min="10242" max="10242" width="12.85546875" style="22" bestFit="1" customWidth="1"/>
    <col min="10243" max="10243" width="29.140625" style="22" bestFit="1" customWidth="1"/>
    <col min="10244" max="10244" width="39.85546875" style="22" customWidth="1"/>
    <col min="10245" max="10245" width="31.140625" style="22" customWidth="1"/>
    <col min="10246" max="10246" width="16.85546875" style="22" customWidth="1"/>
    <col min="10247" max="10247" width="14.7109375" style="22" bestFit="1" customWidth="1"/>
    <col min="10248" max="10248" width="14.140625" style="22" customWidth="1"/>
    <col min="10249" max="10249" width="14.7109375" style="22" customWidth="1"/>
    <col min="10250" max="10250" width="19.140625" style="22" bestFit="1" customWidth="1"/>
    <col min="10251" max="10497" width="8.85546875" style="22"/>
    <col min="10498" max="10498" width="12.85546875" style="22" bestFit="1" customWidth="1"/>
    <col min="10499" max="10499" width="29.140625" style="22" bestFit="1" customWidth="1"/>
    <col min="10500" max="10500" width="39.85546875" style="22" customWidth="1"/>
    <col min="10501" max="10501" width="31.140625" style="22" customWidth="1"/>
    <col min="10502" max="10502" width="16.85546875" style="22" customWidth="1"/>
    <col min="10503" max="10503" width="14.7109375" style="22" bestFit="1" customWidth="1"/>
    <col min="10504" max="10504" width="14.140625" style="22" customWidth="1"/>
    <col min="10505" max="10505" width="14.7109375" style="22" customWidth="1"/>
    <col min="10506" max="10506" width="19.140625" style="22" bestFit="1" customWidth="1"/>
    <col min="10507" max="10753" width="8.85546875" style="22"/>
    <col min="10754" max="10754" width="12.85546875" style="22" bestFit="1" customWidth="1"/>
    <col min="10755" max="10755" width="29.140625" style="22" bestFit="1" customWidth="1"/>
    <col min="10756" max="10756" width="39.85546875" style="22" customWidth="1"/>
    <col min="10757" max="10757" width="31.140625" style="22" customWidth="1"/>
    <col min="10758" max="10758" width="16.85546875" style="22" customWidth="1"/>
    <col min="10759" max="10759" width="14.7109375" style="22" bestFit="1" customWidth="1"/>
    <col min="10760" max="10760" width="14.140625" style="22" customWidth="1"/>
    <col min="10761" max="10761" width="14.7109375" style="22" customWidth="1"/>
    <col min="10762" max="10762" width="19.140625" style="22" bestFit="1" customWidth="1"/>
    <col min="10763" max="11009" width="8.85546875" style="22"/>
    <col min="11010" max="11010" width="12.85546875" style="22" bestFit="1" customWidth="1"/>
    <col min="11011" max="11011" width="29.140625" style="22" bestFit="1" customWidth="1"/>
    <col min="11012" max="11012" width="39.85546875" style="22" customWidth="1"/>
    <col min="11013" max="11013" width="31.140625" style="22" customWidth="1"/>
    <col min="11014" max="11014" width="16.85546875" style="22" customWidth="1"/>
    <col min="11015" max="11015" width="14.7109375" style="22" bestFit="1" customWidth="1"/>
    <col min="11016" max="11016" width="14.140625" style="22" customWidth="1"/>
    <col min="11017" max="11017" width="14.7109375" style="22" customWidth="1"/>
    <col min="11018" max="11018" width="19.140625" style="22" bestFit="1" customWidth="1"/>
    <col min="11019" max="11265" width="8.85546875" style="22"/>
    <col min="11266" max="11266" width="12.85546875" style="22" bestFit="1" customWidth="1"/>
    <col min="11267" max="11267" width="29.140625" style="22" bestFit="1" customWidth="1"/>
    <col min="11268" max="11268" width="39.85546875" style="22" customWidth="1"/>
    <col min="11269" max="11269" width="31.140625" style="22" customWidth="1"/>
    <col min="11270" max="11270" width="16.85546875" style="22" customWidth="1"/>
    <col min="11271" max="11271" width="14.7109375" style="22" bestFit="1" customWidth="1"/>
    <col min="11272" max="11272" width="14.140625" style="22" customWidth="1"/>
    <col min="11273" max="11273" width="14.7109375" style="22" customWidth="1"/>
    <col min="11274" max="11274" width="19.140625" style="22" bestFit="1" customWidth="1"/>
    <col min="11275" max="11521" width="8.85546875" style="22"/>
    <col min="11522" max="11522" width="12.85546875" style="22" bestFit="1" customWidth="1"/>
    <col min="11523" max="11523" width="29.140625" style="22" bestFit="1" customWidth="1"/>
    <col min="11524" max="11524" width="39.85546875" style="22" customWidth="1"/>
    <col min="11525" max="11525" width="31.140625" style="22" customWidth="1"/>
    <col min="11526" max="11526" width="16.85546875" style="22" customWidth="1"/>
    <col min="11527" max="11527" width="14.7109375" style="22" bestFit="1" customWidth="1"/>
    <col min="11528" max="11528" width="14.140625" style="22" customWidth="1"/>
    <col min="11529" max="11529" width="14.7109375" style="22" customWidth="1"/>
    <col min="11530" max="11530" width="19.140625" style="22" bestFit="1" customWidth="1"/>
    <col min="11531" max="11777" width="8.85546875" style="22"/>
    <col min="11778" max="11778" width="12.85546875" style="22" bestFit="1" customWidth="1"/>
    <col min="11779" max="11779" width="29.140625" style="22" bestFit="1" customWidth="1"/>
    <col min="11780" max="11780" width="39.85546875" style="22" customWidth="1"/>
    <col min="11781" max="11781" width="31.140625" style="22" customWidth="1"/>
    <col min="11782" max="11782" width="16.85546875" style="22" customWidth="1"/>
    <col min="11783" max="11783" width="14.7109375" style="22" bestFit="1" customWidth="1"/>
    <col min="11784" max="11784" width="14.140625" style="22" customWidth="1"/>
    <col min="11785" max="11785" width="14.7109375" style="22" customWidth="1"/>
    <col min="11786" max="11786" width="19.140625" style="22" bestFit="1" customWidth="1"/>
    <col min="11787" max="12033" width="8.85546875" style="22"/>
    <col min="12034" max="12034" width="12.85546875" style="22" bestFit="1" customWidth="1"/>
    <col min="12035" max="12035" width="29.140625" style="22" bestFit="1" customWidth="1"/>
    <col min="12036" max="12036" width="39.85546875" style="22" customWidth="1"/>
    <col min="12037" max="12037" width="31.140625" style="22" customWidth="1"/>
    <col min="12038" max="12038" width="16.85546875" style="22" customWidth="1"/>
    <col min="12039" max="12039" width="14.7109375" style="22" bestFit="1" customWidth="1"/>
    <col min="12040" max="12040" width="14.140625" style="22" customWidth="1"/>
    <col min="12041" max="12041" width="14.7109375" style="22" customWidth="1"/>
    <col min="12042" max="12042" width="19.140625" style="22" bestFit="1" customWidth="1"/>
    <col min="12043" max="12289" width="8.85546875" style="22"/>
    <col min="12290" max="12290" width="12.85546875" style="22" bestFit="1" customWidth="1"/>
    <col min="12291" max="12291" width="29.140625" style="22" bestFit="1" customWidth="1"/>
    <col min="12292" max="12292" width="39.85546875" style="22" customWidth="1"/>
    <col min="12293" max="12293" width="31.140625" style="22" customWidth="1"/>
    <col min="12294" max="12294" width="16.85546875" style="22" customWidth="1"/>
    <col min="12295" max="12295" width="14.7109375" style="22" bestFit="1" customWidth="1"/>
    <col min="12296" max="12296" width="14.140625" style="22" customWidth="1"/>
    <col min="12297" max="12297" width="14.7109375" style="22" customWidth="1"/>
    <col min="12298" max="12298" width="19.140625" style="22" bestFit="1" customWidth="1"/>
    <col min="12299" max="12545" width="8.85546875" style="22"/>
    <col min="12546" max="12546" width="12.85546875" style="22" bestFit="1" customWidth="1"/>
    <col min="12547" max="12547" width="29.140625" style="22" bestFit="1" customWidth="1"/>
    <col min="12548" max="12548" width="39.85546875" style="22" customWidth="1"/>
    <col min="12549" max="12549" width="31.140625" style="22" customWidth="1"/>
    <col min="12550" max="12550" width="16.85546875" style="22" customWidth="1"/>
    <col min="12551" max="12551" width="14.7109375" style="22" bestFit="1" customWidth="1"/>
    <col min="12552" max="12552" width="14.140625" style="22" customWidth="1"/>
    <col min="12553" max="12553" width="14.7109375" style="22" customWidth="1"/>
    <col min="12554" max="12554" width="19.140625" style="22" bestFit="1" customWidth="1"/>
    <col min="12555" max="12801" width="8.85546875" style="22"/>
    <col min="12802" max="12802" width="12.85546875" style="22" bestFit="1" customWidth="1"/>
    <col min="12803" max="12803" width="29.140625" style="22" bestFit="1" customWidth="1"/>
    <col min="12804" max="12804" width="39.85546875" style="22" customWidth="1"/>
    <col min="12805" max="12805" width="31.140625" style="22" customWidth="1"/>
    <col min="12806" max="12806" width="16.85546875" style="22" customWidth="1"/>
    <col min="12807" max="12807" width="14.7109375" style="22" bestFit="1" customWidth="1"/>
    <col min="12808" max="12808" width="14.140625" style="22" customWidth="1"/>
    <col min="12809" max="12809" width="14.7109375" style="22" customWidth="1"/>
    <col min="12810" max="12810" width="19.140625" style="22" bestFit="1" customWidth="1"/>
    <col min="12811" max="13057" width="8.85546875" style="22"/>
    <col min="13058" max="13058" width="12.85546875" style="22" bestFit="1" customWidth="1"/>
    <col min="13059" max="13059" width="29.140625" style="22" bestFit="1" customWidth="1"/>
    <col min="13060" max="13060" width="39.85546875" style="22" customWidth="1"/>
    <col min="13061" max="13061" width="31.140625" style="22" customWidth="1"/>
    <col min="13062" max="13062" width="16.85546875" style="22" customWidth="1"/>
    <col min="13063" max="13063" width="14.7109375" style="22" bestFit="1" customWidth="1"/>
    <col min="13064" max="13064" width="14.140625" style="22" customWidth="1"/>
    <col min="13065" max="13065" width="14.7109375" style="22" customWidth="1"/>
    <col min="13066" max="13066" width="19.140625" style="22" bestFit="1" customWidth="1"/>
    <col min="13067" max="13313" width="8.85546875" style="22"/>
    <col min="13314" max="13314" width="12.85546875" style="22" bestFit="1" customWidth="1"/>
    <col min="13315" max="13315" width="29.140625" style="22" bestFit="1" customWidth="1"/>
    <col min="13316" max="13316" width="39.85546875" style="22" customWidth="1"/>
    <col min="13317" max="13317" width="31.140625" style="22" customWidth="1"/>
    <col min="13318" max="13318" width="16.85546875" style="22" customWidth="1"/>
    <col min="13319" max="13319" width="14.7109375" style="22" bestFit="1" customWidth="1"/>
    <col min="13320" max="13320" width="14.140625" style="22" customWidth="1"/>
    <col min="13321" max="13321" width="14.7109375" style="22" customWidth="1"/>
    <col min="13322" max="13322" width="19.140625" style="22" bestFit="1" customWidth="1"/>
    <col min="13323" max="13569" width="8.85546875" style="22"/>
    <col min="13570" max="13570" width="12.85546875" style="22" bestFit="1" customWidth="1"/>
    <col min="13571" max="13571" width="29.140625" style="22" bestFit="1" customWidth="1"/>
    <col min="13572" max="13572" width="39.85546875" style="22" customWidth="1"/>
    <col min="13573" max="13573" width="31.140625" style="22" customWidth="1"/>
    <col min="13574" max="13574" width="16.85546875" style="22" customWidth="1"/>
    <col min="13575" max="13575" width="14.7109375" style="22" bestFit="1" customWidth="1"/>
    <col min="13576" max="13576" width="14.140625" style="22" customWidth="1"/>
    <col min="13577" max="13577" width="14.7109375" style="22" customWidth="1"/>
    <col min="13578" max="13578" width="19.140625" style="22" bestFit="1" customWidth="1"/>
    <col min="13579" max="13825" width="8.85546875" style="22"/>
    <col min="13826" max="13826" width="12.85546875" style="22" bestFit="1" customWidth="1"/>
    <col min="13827" max="13827" width="29.140625" style="22" bestFit="1" customWidth="1"/>
    <col min="13828" max="13828" width="39.85546875" style="22" customWidth="1"/>
    <col min="13829" max="13829" width="31.140625" style="22" customWidth="1"/>
    <col min="13830" max="13830" width="16.85546875" style="22" customWidth="1"/>
    <col min="13831" max="13831" width="14.7109375" style="22" bestFit="1" customWidth="1"/>
    <col min="13832" max="13832" width="14.140625" style="22" customWidth="1"/>
    <col min="13833" max="13833" width="14.7109375" style="22" customWidth="1"/>
    <col min="13834" max="13834" width="19.140625" style="22" bestFit="1" customWidth="1"/>
    <col min="13835" max="14081" width="8.85546875" style="22"/>
    <col min="14082" max="14082" width="12.85546875" style="22" bestFit="1" customWidth="1"/>
    <col min="14083" max="14083" width="29.140625" style="22" bestFit="1" customWidth="1"/>
    <col min="14084" max="14084" width="39.85546875" style="22" customWidth="1"/>
    <col min="14085" max="14085" width="31.140625" style="22" customWidth="1"/>
    <col min="14086" max="14086" width="16.85546875" style="22" customWidth="1"/>
    <col min="14087" max="14087" width="14.7109375" style="22" bestFit="1" customWidth="1"/>
    <col min="14088" max="14088" width="14.140625" style="22" customWidth="1"/>
    <col min="14089" max="14089" width="14.7109375" style="22" customWidth="1"/>
    <col min="14090" max="14090" width="19.140625" style="22" bestFit="1" customWidth="1"/>
    <col min="14091" max="14337" width="8.85546875" style="22"/>
    <col min="14338" max="14338" width="12.85546875" style="22" bestFit="1" customWidth="1"/>
    <col min="14339" max="14339" width="29.140625" style="22" bestFit="1" customWidth="1"/>
    <col min="14340" max="14340" width="39.85546875" style="22" customWidth="1"/>
    <col min="14341" max="14341" width="31.140625" style="22" customWidth="1"/>
    <col min="14342" max="14342" width="16.85546875" style="22" customWidth="1"/>
    <col min="14343" max="14343" width="14.7109375" style="22" bestFit="1" customWidth="1"/>
    <col min="14344" max="14344" width="14.140625" style="22" customWidth="1"/>
    <col min="14345" max="14345" width="14.7109375" style="22" customWidth="1"/>
    <col min="14346" max="14346" width="19.140625" style="22" bestFit="1" customWidth="1"/>
    <col min="14347" max="14593" width="8.85546875" style="22"/>
    <col min="14594" max="14594" width="12.85546875" style="22" bestFit="1" customWidth="1"/>
    <col min="14595" max="14595" width="29.140625" style="22" bestFit="1" customWidth="1"/>
    <col min="14596" max="14596" width="39.85546875" style="22" customWidth="1"/>
    <col min="14597" max="14597" width="31.140625" style="22" customWidth="1"/>
    <col min="14598" max="14598" width="16.85546875" style="22" customWidth="1"/>
    <col min="14599" max="14599" width="14.7109375" style="22" bestFit="1" customWidth="1"/>
    <col min="14600" max="14600" width="14.140625" style="22" customWidth="1"/>
    <col min="14601" max="14601" width="14.7109375" style="22" customWidth="1"/>
    <col min="14602" max="14602" width="19.140625" style="22" bestFit="1" customWidth="1"/>
    <col min="14603" max="14849" width="8.85546875" style="22"/>
    <col min="14850" max="14850" width="12.85546875" style="22" bestFit="1" customWidth="1"/>
    <col min="14851" max="14851" width="29.140625" style="22" bestFit="1" customWidth="1"/>
    <col min="14852" max="14852" width="39.85546875" style="22" customWidth="1"/>
    <col min="14853" max="14853" width="31.140625" style="22" customWidth="1"/>
    <col min="14854" max="14854" width="16.85546875" style="22" customWidth="1"/>
    <col min="14855" max="14855" width="14.7109375" style="22" bestFit="1" customWidth="1"/>
    <col min="14856" max="14856" width="14.140625" style="22" customWidth="1"/>
    <col min="14857" max="14857" width="14.7109375" style="22" customWidth="1"/>
    <col min="14858" max="14858" width="19.140625" style="22" bestFit="1" customWidth="1"/>
    <col min="14859" max="15105" width="8.85546875" style="22"/>
    <col min="15106" max="15106" width="12.85546875" style="22" bestFit="1" customWidth="1"/>
    <col min="15107" max="15107" width="29.140625" style="22" bestFit="1" customWidth="1"/>
    <col min="15108" max="15108" width="39.85546875" style="22" customWidth="1"/>
    <col min="15109" max="15109" width="31.140625" style="22" customWidth="1"/>
    <col min="15110" max="15110" width="16.85546875" style="22" customWidth="1"/>
    <col min="15111" max="15111" width="14.7109375" style="22" bestFit="1" customWidth="1"/>
    <col min="15112" max="15112" width="14.140625" style="22" customWidth="1"/>
    <col min="15113" max="15113" width="14.7109375" style="22" customWidth="1"/>
    <col min="15114" max="15114" width="19.140625" style="22" bestFit="1" customWidth="1"/>
    <col min="15115" max="15361" width="8.85546875" style="22"/>
    <col min="15362" max="15362" width="12.85546875" style="22" bestFit="1" customWidth="1"/>
    <col min="15363" max="15363" width="29.140625" style="22" bestFit="1" customWidth="1"/>
    <col min="15364" max="15364" width="39.85546875" style="22" customWidth="1"/>
    <col min="15365" max="15365" width="31.140625" style="22" customWidth="1"/>
    <col min="15366" max="15366" width="16.85546875" style="22" customWidth="1"/>
    <col min="15367" max="15367" width="14.7109375" style="22" bestFit="1" customWidth="1"/>
    <col min="15368" max="15368" width="14.140625" style="22" customWidth="1"/>
    <col min="15369" max="15369" width="14.7109375" style="22" customWidth="1"/>
    <col min="15370" max="15370" width="19.140625" style="22" bestFit="1" customWidth="1"/>
    <col min="15371" max="15617" width="8.85546875" style="22"/>
    <col min="15618" max="15618" width="12.85546875" style="22" bestFit="1" customWidth="1"/>
    <col min="15619" max="15619" width="29.140625" style="22" bestFit="1" customWidth="1"/>
    <col min="15620" max="15620" width="39.85546875" style="22" customWidth="1"/>
    <col min="15621" max="15621" width="31.140625" style="22" customWidth="1"/>
    <col min="15622" max="15622" width="16.85546875" style="22" customWidth="1"/>
    <col min="15623" max="15623" width="14.7109375" style="22" bestFit="1" customWidth="1"/>
    <col min="15624" max="15624" width="14.140625" style="22" customWidth="1"/>
    <col min="15625" max="15625" width="14.7109375" style="22" customWidth="1"/>
    <col min="15626" max="15626" width="19.140625" style="22" bestFit="1" customWidth="1"/>
    <col min="15627" max="15873" width="8.85546875" style="22"/>
    <col min="15874" max="15874" width="12.85546875" style="22" bestFit="1" customWidth="1"/>
    <col min="15875" max="15875" width="29.140625" style="22" bestFit="1" customWidth="1"/>
    <col min="15876" max="15876" width="39.85546875" style="22" customWidth="1"/>
    <col min="15877" max="15877" width="31.140625" style="22" customWidth="1"/>
    <col min="15878" max="15878" width="16.85546875" style="22" customWidth="1"/>
    <col min="15879" max="15879" width="14.7109375" style="22" bestFit="1" customWidth="1"/>
    <col min="15880" max="15880" width="14.140625" style="22" customWidth="1"/>
    <col min="15881" max="15881" width="14.7109375" style="22" customWidth="1"/>
    <col min="15882" max="15882" width="19.140625" style="22" bestFit="1" customWidth="1"/>
    <col min="15883" max="16129" width="8.85546875" style="22"/>
    <col min="16130" max="16130" width="12.85546875" style="22" bestFit="1" customWidth="1"/>
    <col min="16131" max="16131" width="29.140625" style="22" bestFit="1" customWidth="1"/>
    <col min="16132" max="16132" width="39.85546875" style="22" customWidth="1"/>
    <col min="16133" max="16133" width="31.140625" style="22" customWidth="1"/>
    <col min="16134" max="16134" width="16.85546875" style="22" customWidth="1"/>
    <col min="16135" max="16135" width="14.7109375" style="22" bestFit="1" customWidth="1"/>
    <col min="16136" max="16136" width="14.140625" style="22" customWidth="1"/>
    <col min="16137" max="16137" width="14.7109375" style="22" customWidth="1"/>
    <col min="16138" max="16138" width="19.140625" style="22" bestFit="1" customWidth="1"/>
    <col min="16139" max="16384" width="8.85546875" style="22"/>
  </cols>
  <sheetData>
    <row r="1" spans="1:10" s="1" customFormat="1" ht="19.149999999999999" customHeight="1" thickBot="1" x14ac:dyDescent="0.3">
      <c r="A1" s="38" t="s">
        <v>78</v>
      </c>
      <c r="B1" s="39"/>
      <c r="C1" s="39"/>
      <c r="D1" s="39"/>
      <c r="E1" s="39"/>
      <c r="F1" s="39"/>
      <c r="G1" s="39"/>
      <c r="H1" s="39"/>
      <c r="I1" s="39"/>
      <c r="J1" s="40"/>
    </row>
    <row r="2" spans="1:10" s="21" customFormat="1" ht="36.6" customHeight="1" x14ac:dyDescent="0.25">
      <c r="A2" s="19" t="s">
        <v>0</v>
      </c>
      <c r="B2" s="19" t="s">
        <v>1</v>
      </c>
      <c r="C2" s="19" t="s">
        <v>2</v>
      </c>
      <c r="D2" s="19" t="s">
        <v>3</v>
      </c>
      <c r="E2" s="20" t="s">
        <v>4</v>
      </c>
      <c r="F2" s="20" t="s">
        <v>204</v>
      </c>
      <c r="G2" s="20" t="s">
        <v>5</v>
      </c>
      <c r="H2" s="20" t="s">
        <v>205</v>
      </c>
      <c r="I2" s="19" t="s">
        <v>6</v>
      </c>
      <c r="J2" s="19" t="s">
        <v>206</v>
      </c>
    </row>
    <row r="3" spans="1:10" x14ac:dyDescent="0.25">
      <c r="A3" s="23">
        <v>1</v>
      </c>
      <c r="B3" s="17" t="s">
        <v>7</v>
      </c>
      <c r="C3" s="17" t="s">
        <v>8</v>
      </c>
      <c r="D3" s="17" t="s">
        <v>9</v>
      </c>
      <c r="E3" s="17">
        <v>0</v>
      </c>
      <c r="F3" s="26">
        <v>61240</v>
      </c>
      <c r="G3" s="24">
        <v>1299</v>
      </c>
      <c r="H3" s="24">
        <v>-1299</v>
      </c>
      <c r="I3" s="27">
        <v>0.13500000000000001</v>
      </c>
      <c r="J3" s="24">
        <v>7016</v>
      </c>
    </row>
    <row r="4" spans="1:10" x14ac:dyDescent="0.25">
      <c r="A4" s="23">
        <v>2</v>
      </c>
      <c r="B4" s="17" t="s">
        <v>10</v>
      </c>
      <c r="C4" s="17" t="s">
        <v>11</v>
      </c>
      <c r="D4" s="17" t="s">
        <v>12</v>
      </c>
      <c r="E4" s="17">
        <v>0</v>
      </c>
      <c r="F4" s="26">
        <v>338277</v>
      </c>
      <c r="G4" s="24">
        <v>7219</v>
      </c>
      <c r="H4" s="24">
        <v>-7219</v>
      </c>
      <c r="I4" s="27">
        <v>0.13500000000000001</v>
      </c>
      <c r="J4" s="24">
        <v>38981</v>
      </c>
    </row>
    <row r="5" spans="1:10" x14ac:dyDescent="0.25">
      <c r="A5" s="23">
        <v>3</v>
      </c>
      <c r="B5" s="17" t="s">
        <v>13</v>
      </c>
      <c r="C5" s="17" t="s">
        <v>14</v>
      </c>
      <c r="D5" s="17" t="s">
        <v>15</v>
      </c>
      <c r="E5" s="17">
        <v>0</v>
      </c>
      <c r="F5" s="24">
        <v>51334</v>
      </c>
      <c r="G5" s="24">
        <v>1088</v>
      </c>
      <c r="H5" s="24">
        <v>-1088</v>
      </c>
      <c r="I5" s="27">
        <v>0.13500000000000001</v>
      </c>
      <c r="J5" s="24">
        <v>5873</v>
      </c>
    </row>
    <row r="6" spans="1:10" x14ac:dyDescent="0.25">
      <c r="A6" s="23">
        <v>4</v>
      </c>
      <c r="B6" s="17" t="s">
        <v>16</v>
      </c>
      <c r="C6" s="17" t="s">
        <v>17</v>
      </c>
      <c r="D6" s="17" t="s">
        <v>18</v>
      </c>
      <c r="E6" s="17">
        <v>0</v>
      </c>
      <c r="F6" s="24">
        <v>218321</v>
      </c>
      <c r="G6" s="24">
        <v>4656</v>
      </c>
      <c r="H6" s="24">
        <v>-4656</v>
      </c>
      <c r="I6" s="27">
        <v>0.13500000000000001</v>
      </c>
      <c r="J6" s="24">
        <v>25140</v>
      </c>
    </row>
    <row r="7" spans="1:10" x14ac:dyDescent="0.25">
      <c r="A7" s="23">
        <v>5</v>
      </c>
      <c r="B7" s="17" t="s">
        <v>19</v>
      </c>
      <c r="C7" s="17" t="s">
        <v>20</v>
      </c>
      <c r="D7" s="17" t="s">
        <v>21</v>
      </c>
      <c r="E7" s="17">
        <v>0</v>
      </c>
      <c r="F7" s="24">
        <v>39418</v>
      </c>
      <c r="G7" s="24">
        <v>833</v>
      </c>
      <c r="H7" s="24">
        <v>-833</v>
      </c>
      <c r="I7" s="27">
        <v>0.13500000000000001</v>
      </c>
      <c r="J7" s="24">
        <v>4498</v>
      </c>
    </row>
    <row r="8" spans="1:10" x14ac:dyDescent="0.25">
      <c r="A8" s="23">
        <v>6</v>
      </c>
      <c r="B8" s="17" t="s">
        <v>22</v>
      </c>
      <c r="C8" s="17" t="s">
        <v>23</v>
      </c>
      <c r="D8" s="17" t="s">
        <v>24</v>
      </c>
      <c r="E8" s="17">
        <v>0</v>
      </c>
      <c r="F8" s="24">
        <v>18033</v>
      </c>
      <c r="G8" s="24">
        <v>376</v>
      </c>
      <c r="H8" s="24">
        <v>-376</v>
      </c>
      <c r="I8" s="27">
        <v>0.13500000000000001</v>
      </c>
      <c r="J8" s="24">
        <v>2030</v>
      </c>
    </row>
    <row r="9" spans="1:10" x14ac:dyDescent="0.25">
      <c r="A9" s="23">
        <v>7</v>
      </c>
      <c r="B9" s="17" t="s">
        <v>25</v>
      </c>
      <c r="C9" s="17" t="s">
        <v>26</v>
      </c>
      <c r="D9" s="17" t="s">
        <v>27</v>
      </c>
      <c r="E9" s="17">
        <v>0</v>
      </c>
      <c r="F9" s="26">
        <v>169358</v>
      </c>
      <c r="G9" s="24">
        <v>3609</v>
      </c>
      <c r="H9" s="24">
        <v>-3609</v>
      </c>
      <c r="I9" s="27">
        <v>0.13500000000000001</v>
      </c>
      <c r="J9" s="24">
        <v>19491</v>
      </c>
    </row>
    <row r="10" spans="1:10" x14ac:dyDescent="0.25">
      <c r="A10" s="23">
        <v>8</v>
      </c>
      <c r="B10" s="17" t="s">
        <v>28</v>
      </c>
      <c r="C10" s="17" t="s">
        <v>29</v>
      </c>
      <c r="D10" s="17" t="s">
        <v>30</v>
      </c>
      <c r="E10" s="17">
        <v>0</v>
      </c>
      <c r="F10" s="26">
        <v>40960</v>
      </c>
      <c r="G10" s="24">
        <v>873</v>
      </c>
      <c r="H10" s="24">
        <v>-873</v>
      </c>
      <c r="I10" s="27">
        <v>0.13500000000000001</v>
      </c>
      <c r="J10" s="24">
        <v>4716</v>
      </c>
    </row>
    <row r="11" spans="1:10" x14ac:dyDescent="0.25">
      <c r="A11" s="23">
        <v>9</v>
      </c>
      <c r="B11" s="17" t="s">
        <v>31</v>
      </c>
      <c r="C11" s="17" t="s">
        <v>32</v>
      </c>
      <c r="D11" s="17" t="s">
        <v>33</v>
      </c>
      <c r="E11" s="17">
        <v>0</v>
      </c>
      <c r="F11" s="26">
        <v>339771.25</v>
      </c>
      <c r="G11" s="24">
        <v>7251</v>
      </c>
      <c r="H11" s="24">
        <v>-7251</v>
      </c>
      <c r="I11" s="27">
        <v>0.13500000000000001</v>
      </c>
      <c r="J11" s="24">
        <v>39154</v>
      </c>
    </row>
    <row r="12" spans="1:10" x14ac:dyDescent="0.25">
      <c r="A12" s="23">
        <v>10</v>
      </c>
      <c r="B12" s="17" t="s">
        <v>35</v>
      </c>
      <c r="C12" s="28" t="s">
        <v>36</v>
      </c>
      <c r="D12" s="17" t="s">
        <v>37</v>
      </c>
      <c r="E12" s="17">
        <v>0</v>
      </c>
      <c r="F12" s="26">
        <v>35993</v>
      </c>
      <c r="G12" s="24">
        <v>765</v>
      </c>
      <c r="H12" s="24">
        <v>-765</v>
      </c>
      <c r="I12" s="27">
        <v>8.7499999999999994E-2</v>
      </c>
      <c r="J12" s="24">
        <v>2679</v>
      </c>
    </row>
    <row r="13" spans="1:10" x14ac:dyDescent="0.25">
      <c r="A13" s="23">
        <v>11</v>
      </c>
      <c r="B13" s="17" t="s">
        <v>38</v>
      </c>
      <c r="C13" s="17" t="s">
        <v>39</v>
      </c>
      <c r="D13" s="17" t="s">
        <v>40</v>
      </c>
      <c r="E13" s="17">
        <v>0</v>
      </c>
      <c r="F13" s="26">
        <v>17121</v>
      </c>
      <c r="G13" s="24">
        <v>362</v>
      </c>
      <c r="H13" s="24">
        <v>-362</v>
      </c>
      <c r="I13" s="27">
        <v>8.7499999999999994E-2</v>
      </c>
      <c r="J13" s="24">
        <v>1267</v>
      </c>
    </row>
    <row r="14" spans="1:10" x14ac:dyDescent="0.25">
      <c r="A14" s="23">
        <v>12</v>
      </c>
      <c r="B14" s="17" t="s">
        <v>41</v>
      </c>
      <c r="C14" s="17" t="s">
        <v>42</v>
      </c>
      <c r="D14" s="17" t="s">
        <v>43</v>
      </c>
      <c r="E14" s="17">
        <v>0</v>
      </c>
      <c r="F14" s="26">
        <v>35242</v>
      </c>
      <c r="G14" s="24">
        <v>749</v>
      </c>
      <c r="H14" s="24">
        <v>-749</v>
      </c>
      <c r="I14" s="27">
        <v>8.7499999999999994E-2</v>
      </c>
      <c r="J14" s="24">
        <v>2623</v>
      </c>
    </row>
    <row r="15" spans="1:10" x14ac:dyDescent="0.25">
      <c r="A15" s="23">
        <v>13</v>
      </c>
      <c r="B15" s="17" t="s">
        <v>44</v>
      </c>
      <c r="C15" s="17" t="s">
        <v>45</v>
      </c>
      <c r="D15" s="17" t="s">
        <v>43</v>
      </c>
      <c r="E15" s="17">
        <v>0</v>
      </c>
      <c r="F15" s="26">
        <v>62534</v>
      </c>
      <c r="G15" s="24">
        <v>1332</v>
      </c>
      <c r="H15" s="24">
        <v>-1332</v>
      </c>
      <c r="I15" s="27">
        <v>8.7499999999999994E-2</v>
      </c>
      <c r="J15" s="24">
        <v>4663</v>
      </c>
    </row>
    <row r="16" spans="1:10" x14ac:dyDescent="0.25">
      <c r="A16" s="23">
        <v>14</v>
      </c>
      <c r="B16" s="17" t="s">
        <v>46</v>
      </c>
      <c r="C16" s="17" t="s">
        <v>47</v>
      </c>
      <c r="D16" s="17" t="s">
        <v>48</v>
      </c>
      <c r="E16" s="17">
        <v>0</v>
      </c>
      <c r="F16" s="26">
        <v>38392</v>
      </c>
      <c r="G16" s="24">
        <v>817</v>
      </c>
      <c r="H16" s="24">
        <v>-817</v>
      </c>
      <c r="I16" s="27">
        <v>8.7499999999999994E-2</v>
      </c>
      <c r="J16" s="24">
        <v>2858</v>
      </c>
    </row>
    <row r="17" spans="1:10" x14ac:dyDescent="0.25">
      <c r="A17" s="23">
        <v>15</v>
      </c>
      <c r="B17" s="17" t="s">
        <v>49</v>
      </c>
      <c r="C17" s="17" t="s">
        <v>50</v>
      </c>
      <c r="D17" s="17" t="s">
        <v>51</v>
      </c>
      <c r="E17" s="17">
        <v>0</v>
      </c>
      <c r="F17" s="26">
        <v>76552</v>
      </c>
      <c r="G17" s="24">
        <v>1632</v>
      </c>
      <c r="H17" s="24">
        <v>-1632</v>
      </c>
      <c r="I17" s="27">
        <v>8.7499999999999994E-2</v>
      </c>
      <c r="J17" s="24">
        <v>5712</v>
      </c>
    </row>
    <row r="18" spans="1:10" x14ac:dyDescent="0.25">
      <c r="A18" s="23">
        <v>16</v>
      </c>
      <c r="B18" s="17" t="s">
        <v>74</v>
      </c>
      <c r="C18" s="17" t="s">
        <v>52</v>
      </c>
      <c r="D18" s="17" t="s">
        <v>37</v>
      </c>
      <c r="E18" s="17">
        <v>0</v>
      </c>
      <c r="F18" s="29">
        <v>5768</v>
      </c>
      <c r="G18" s="24">
        <v>120</v>
      </c>
      <c r="H18" s="24">
        <v>-120</v>
      </c>
      <c r="I18" s="27">
        <v>8.7499999999999994E-2</v>
      </c>
      <c r="J18" s="24">
        <v>418</v>
      </c>
    </row>
    <row r="19" spans="1:10" x14ac:dyDescent="0.25">
      <c r="A19" s="23">
        <v>17</v>
      </c>
      <c r="B19" s="17" t="s">
        <v>53</v>
      </c>
      <c r="C19" s="17" t="s">
        <v>54</v>
      </c>
      <c r="D19" s="17" t="s">
        <v>133</v>
      </c>
      <c r="E19" s="17">
        <v>0</v>
      </c>
      <c r="F19" s="26">
        <v>3133</v>
      </c>
      <c r="G19" s="24">
        <v>64</v>
      </c>
      <c r="H19" s="24">
        <v>-64</v>
      </c>
      <c r="I19" s="25">
        <v>0.1</v>
      </c>
      <c r="J19" s="24">
        <v>255</v>
      </c>
    </row>
    <row r="20" spans="1:10" x14ac:dyDescent="0.25">
      <c r="A20" s="23">
        <v>18</v>
      </c>
      <c r="B20" s="17" t="s">
        <v>55</v>
      </c>
      <c r="C20" s="17" t="s">
        <v>56</v>
      </c>
      <c r="D20" s="17" t="s">
        <v>133</v>
      </c>
      <c r="E20" s="17">
        <v>0</v>
      </c>
      <c r="F20" s="26">
        <v>2950</v>
      </c>
      <c r="G20" s="24">
        <v>60</v>
      </c>
      <c r="H20" s="24">
        <v>-60</v>
      </c>
      <c r="I20" s="25">
        <v>0.1</v>
      </c>
      <c r="J20" s="24">
        <v>240</v>
      </c>
    </row>
    <row r="21" spans="1:10" x14ac:dyDescent="0.25">
      <c r="A21" s="23">
        <v>19</v>
      </c>
      <c r="B21" s="17" t="s">
        <v>57</v>
      </c>
      <c r="C21" s="17" t="s">
        <v>58</v>
      </c>
      <c r="D21" s="17" t="s">
        <v>133</v>
      </c>
      <c r="E21" s="17">
        <v>0</v>
      </c>
      <c r="F21" s="26">
        <v>17988.75</v>
      </c>
      <c r="G21" s="24">
        <v>375</v>
      </c>
      <c r="H21" s="24">
        <v>-375</v>
      </c>
      <c r="I21" s="25">
        <v>0.1</v>
      </c>
      <c r="J21" s="24">
        <v>1500</v>
      </c>
    </row>
    <row r="22" spans="1:10" x14ac:dyDescent="0.25">
      <c r="A22" s="23">
        <v>20</v>
      </c>
      <c r="B22" s="17" t="s">
        <v>59</v>
      </c>
      <c r="C22" s="17" t="s">
        <v>60</v>
      </c>
      <c r="D22" s="17" t="s">
        <v>61</v>
      </c>
      <c r="E22" s="17">
        <v>0</v>
      </c>
      <c r="F22" s="26">
        <v>31907.75</v>
      </c>
      <c r="G22" s="24">
        <v>672</v>
      </c>
      <c r="H22" s="24">
        <v>-672</v>
      </c>
      <c r="I22" s="25">
        <v>0.1</v>
      </c>
      <c r="J22" s="24">
        <v>2690</v>
      </c>
    </row>
    <row r="23" spans="1:10" x14ac:dyDescent="0.25">
      <c r="A23" s="23">
        <v>21</v>
      </c>
      <c r="B23" s="14" t="s">
        <v>79</v>
      </c>
      <c r="C23" s="14" t="s">
        <v>140</v>
      </c>
      <c r="D23" s="14" t="s">
        <v>51</v>
      </c>
      <c r="E23" s="17">
        <v>0</v>
      </c>
      <c r="F23" s="24">
        <v>3197</v>
      </c>
      <c r="G23" s="24">
        <v>130</v>
      </c>
      <c r="H23" s="24">
        <v>-130</v>
      </c>
      <c r="I23" s="25">
        <v>0.15</v>
      </c>
      <c r="J23" s="24">
        <v>390.45</v>
      </c>
    </row>
    <row r="24" spans="1:10" x14ac:dyDescent="0.25">
      <c r="A24" s="23">
        <v>22</v>
      </c>
      <c r="B24" s="14" t="s">
        <v>80</v>
      </c>
      <c r="C24" s="17" t="s">
        <v>141</v>
      </c>
      <c r="D24" s="14" t="s">
        <v>51</v>
      </c>
      <c r="E24" s="17">
        <v>0</v>
      </c>
      <c r="F24" s="24">
        <v>1520</v>
      </c>
      <c r="G24" s="24">
        <v>62</v>
      </c>
      <c r="H24" s="24">
        <v>-62</v>
      </c>
      <c r="I24" s="25">
        <v>0.15</v>
      </c>
      <c r="J24" s="24">
        <v>185.54999999999998</v>
      </c>
    </row>
    <row r="25" spans="1:10" x14ac:dyDescent="0.25">
      <c r="A25" s="23">
        <v>23</v>
      </c>
      <c r="B25" s="14" t="s">
        <v>81</v>
      </c>
      <c r="C25" s="14" t="s">
        <v>142</v>
      </c>
      <c r="D25" s="14" t="s">
        <v>51</v>
      </c>
      <c r="E25" s="17">
        <v>0</v>
      </c>
      <c r="F25" s="24">
        <v>3790</v>
      </c>
      <c r="G25" s="24">
        <v>154</v>
      </c>
      <c r="H25" s="24">
        <v>-154</v>
      </c>
      <c r="I25" s="25">
        <v>0.15</v>
      </c>
      <c r="J25" s="24">
        <v>462.9</v>
      </c>
    </row>
    <row r="26" spans="1:10" x14ac:dyDescent="0.25">
      <c r="A26" s="23">
        <v>24</v>
      </c>
      <c r="B26" s="14" t="s">
        <v>82</v>
      </c>
      <c r="C26" s="17" t="s">
        <v>143</v>
      </c>
      <c r="D26" s="14" t="s">
        <v>51</v>
      </c>
      <c r="E26" s="17">
        <v>0</v>
      </c>
      <c r="F26" s="24">
        <v>5817</v>
      </c>
      <c r="G26" s="24">
        <v>237</v>
      </c>
      <c r="H26" s="24">
        <v>-237</v>
      </c>
      <c r="I26" s="25">
        <v>0.15</v>
      </c>
      <c r="J26" s="24">
        <v>710.25</v>
      </c>
    </row>
    <row r="27" spans="1:10" x14ac:dyDescent="0.25">
      <c r="A27" s="23">
        <v>25</v>
      </c>
      <c r="B27" s="14" t="s">
        <v>83</v>
      </c>
      <c r="C27" s="14" t="s">
        <v>144</v>
      </c>
      <c r="D27" s="14" t="s">
        <v>51</v>
      </c>
      <c r="E27" s="17">
        <v>0</v>
      </c>
      <c r="F27" s="24">
        <v>3338</v>
      </c>
      <c r="G27" s="24">
        <v>136</v>
      </c>
      <c r="H27" s="24">
        <v>-136</v>
      </c>
      <c r="I27" s="25">
        <v>0.15</v>
      </c>
      <c r="J27" s="24">
        <v>407.55</v>
      </c>
    </row>
    <row r="28" spans="1:10" x14ac:dyDescent="0.25">
      <c r="A28" s="23">
        <v>26</v>
      </c>
      <c r="B28" s="14" t="s">
        <v>84</v>
      </c>
      <c r="C28" s="17" t="s">
        <v>145</v>
      </c>
      <c r="D28" s="14" t="s">
        <v>51</v>
      </c>
      <c r="E28" s="17">
        <v>0</v>
      </c>
      <c r="F28" s="24">
        <v>5817</v>
      </c>
      <c r="G28" s="24">
        <v>237</v>
      </c>
      <c r="H28" s="24">
        <v>-237</v>
      </c>
      <c r="I28" s="25">
        <v>0.15</v>
      </c>
      <c r="J28" s="24">
        <v>710.25</v>
      </c>
    </row>
    <row r="29" spans="1:10" x14ac:dyDescent="0.25">
      <c r="A29" s="23">
        <v>27</v>
      </c>
      <c r="B29" s="14" t="s">
        <v>85</v>
      </c>
      <c r="C29" s="17" t="s">
        <v>146</v>
      </c>
      <c r="D29" s="14" t="s">
        <v>51</v>
      </c>
      <c r="E29" s="17">
        <v>0</v>
      </c>
      <c r="F29" s="24">
        <v>5817</v>
      </c>
      <c r="G29" s="24">
        <v>237</v>
      </c>
      <c r="H29" s="24">
        <v>-237</v>
      </c>
      <c r="I29" s="25">
        <v>0.15</v>
      </c>
      <c r="J29" s="24">
        <v>710.25</v>
      </c>
    </row>
    <row r="30" spans="1:10" x14ac:dyDescent="0.25">
      <c r="A30" s="23">
        <v>28</v>
      </c>
      <c r="B30" s="14" t="s">
        <v>86</v>
      </c>
      <c r="C30" s="17" t="s">
        <v>147</v>
      </c>
      <c r="D30" s="14" t="s">
        <v>51</v>
      </c>
      <c r="E30" s="17">
        <v>0</v>
      </c>
      <c r="F30" s="24">
        <v>5817</v>
      </c>
      <c r="G30" s="24">
        <v>237</v>
      </c>
      <c r="H30" s="24">
        <v>-237</v>
      </c>
      <c r="I30" s="25">
        <v>0.15</v>
      </c>
      <c r="J30" s="24">
        <v>710.25</v>
      </c>
    </row>
    <row r="31" spans="1:10" x14ac:dyDescent="0.25">
      <c r="A31" s="23">
        <v>29</v>
      </c>
      <c r="B31" s="14" t="s">
        <v>87</v>
      </c>
      <c r="C31" s="17" t="s">
        <v>148</v>
      </c>
      <c r="D31" s="14" t="s">
        <v>51</v>
      </c>
      <c r="E31" s="17">
        <v>0</v>
      </c>
      <c r="F31" s="24">
        <v>6555</v>
      </c>
      <c r="G31" s="24">
        <v>267</v>
      </c>
      <c r="H31" s="24">
        <v>-267</v>
      </c>
      <c r="I31" s="25">
        <v>0.15</v>
      </c>
      <c r="J31" s="24">
        <v>800.4</v>
      </c>
    </row>
    <row r="32" spans="1:10" x14ac:dyDescent="0.25">
      <c r="A32" s="23">
        <v>30</v>
      </c>
      <c r="B32" s="14" t="s">
        <v>88</v>
      </c>
      <c r="C32" s="17" t="s">
        <v>149</v>
      </c>
      <c r="D32" s="14" t="s">
        <v>51</v>
      </c>
      <c r="E32" s="17">
        <v>0</v>
      </c>
      <c r="F32" s="24">
        <v>971</v>
      </c>
      <c r="G32" s="24">
        <v>40</v>
      </c>
      <c r="H32" s="24">
        <v>-40</v>
      </c>
      <c r="I32" s="25">
        <v>0.15</v>
      </c>
      <c r="J32" s="24">
        <v>118.5</v>
      </c>
    </row>
    <row r="33" spans="1:10" x14ac:dyDescent="0.25">
      <c r="A33" s="23">
        <v>31</v>
      </c>
      <c r="B33" s="14" t="s">
        <v>89</v>
      </c>
      <c r="C33" s="17" t="s">
        <v>150</v>
      </c>
      <c r="D33" s="14" t="s">
        <v>51</v>
      </c>
      <c r="E33" s="17">
        <v>0</v>
      </c>
      <c r="F33" s="24">
        <v>3338</v>
      </c>
      <c r="G33" s="24">
        <v>136</v>
      </c>
      <c r="H33" s="24">
        <v>-136</v>
      </c>
      <c r="I33" s="25">
        <v>0.15</v>
      </c>
      <c r="J33" s="24">
        <v>407.55</v>
      </c>
    </row>
    <row r="34" spans="1:10" x14ac:dyDescent="0.25">
      <c r="A34" s="23">
        <v>32</v>
      </c>
      <c r="B34" s="14" t="s">
        <v>90</v>
      </c>
      <c r="C34" s="14" t="s">
        <v>151</v>
      </c>
      <c r="D34" s="14" t="s">
        <v>51</v>
      </c>
      <c r="E34" s="17">
        <v>0</v>
      </c>
      <c r="F34" s="24">
        <v>3338</v>
      </c>
      <c r="G34" s="24">
        <v>136</v>
      </c>
      <c r="H34" s="24">
        <v>-136</v>
      </c>
      <c r="I34" s="25">
        <v>0.15</v>
      </c>
      <c r="J34" s="24">
        <v>407.55</v>
      </c>
    </row>
    <row r="35" spans="1:10" x14ac:dyDescent="0.25">
      <c r="A35" s="23">
        <v>33</v>
      </c>
      <c r="B35" s="14" t="s">
        <v>91</v>
      </c>
      <c r="C35" s="17" t="s">
        <v>152</v>
      </c>
      <c r="D35" s="14" t="s">
        <v>51</v>
      </c>
      <c r="E35" s="17">
        <v>0</v>
      </c>
      <c r="F35" s="24">
        <v>3338</v>
      </c>
      <c r="G35" s="24">
        <v>136</v>
      </c>
      <c r="H35" s="24">
        <v>-136</v>
      </c>
      <c r="I35" s="25">
        <v>0.15</v>
      </c>
      <c r="J35" s="24">
        <v>407.55</v>
      </c>
    </row>
    <row r="36" spans="1:10" x14ac:dyDescent="0.25">
      <c r="A36" s="23">
        <v>34</v>
      </c>
      <c r="B36" s="14" t="s">
        <v>92</v>
      </c>
      <c r="C36" s="30" t="s">
        <v>153</v>
      </c>
      <c r="D36" s="14" t="s">
        <v>51</v>
      </c>
      <c r="E36" s="17">
        <v>0</v>
      </c>
      <c r="F36" s="24">
        <v>3338</v>
      </c>
      <c r="G36" s="24">
        <v>136</v>
      </c>
      <c r="H36" s="24">
        <v>-136</v>
      </c>
      <c r="I36" s="25">
        <v>0.15</v>
      </c>
      <c r="J36" s="24">
        <v>407.55</v>
      </c>
    </row>
    <row r="37" spans="1:10" x14ac:dyDescent="0.25">
      <c r="A37" s="23">
        <v>35</v>
      </c>
      <c r="B37" s="14" t="s">
        <v>93</v>
      </c>
      <c r="C37" s="17" t="s">
        <v>154</v>
      </c>
      <c r="D37" s="14" t="s">
        <v>51</v>
      </c>
      <c r="E37" s="17">
        <v>0</v>
      </c>
      <c r="F37" s="24">
        <v>3338</v>
      </c>
      <c r="G37" s="24">
        <v>136</v>
      </c>
      <c r="H37" s="24">
        <v>-136</v>
      </c>
      <c r="I37" s="25">
        <v>0.15</v>
      </c>
      <c r="J37" s="24">
        <v>407.55</v>
      </c>
    </row>
    <row r="38" spans="1:10" x14ac:dyDescent="0.25">
      <c r="A38" s="23">
        <v>36</v>
      </c>
      <c r="B38" s="14" t="s">
        <v>94</v>
      </c>
      <c r="C38" s="17" t="s">
        <v>155</v>
      </c>
      <c r="D38" s="14" t="s">
        <v>51</v>
      </c>
      <c r="E38" s="17">
        <v>0</v>
      </c>
      <c r="F38" s="24">
        <v>557</v>
      </c>
      <c r="G38" s="24">
        <v>23</v>
      </c>
      <c r="H38" s="24">
        <v>-23</v>
      </c>
      <c r="I38" s="25">
        <v>0.15</v>
      </c>
      <c r="J38" s="24">
        <v>67.95</v>
      </c>
    </row>
    <row r="39" spans="1:10" x14ac:dyDescent="0.25">
      <c r="A39" s="23">
        <v>37</v>
      </c>
      <c r="B39" s="14" t="s">
        <v>95</v>
      </c>
      <c r="C39" s="17" t="s">
        <v>156</v>
      </c>
      <c r="D39" s="14" t="s">
        <v>34</v>
      </c>
      <c r="E39" s="17">
        <v>0</v>
      </c>
      <c r="F39" s="24">
        <v>5004</v>
      </c>
      <c r="G39" s="24">
        <v>205</v>
      </c>
      <c r="H39" s="24">
        <v>-205</v>
      </c>
      <c r="I39" s="25">
        <v>0.15</v>
      </c>
      <c r="J39" s="24">
        <v>616.19999999999993</v>
      </c>
    </row>
    <row r="40" spans="1:10" x14ac:dyDescent="0.25">
      <c r="A40" s="23">
        <v>38</v>
      </c>
      <c r="B40" s="14" t="s">
        <v>96</v>
      </c>
      <c r="C40" s="17" t="s">
        <v>157</v>
      </c>
      <c r="D40" s="14" t="s">
        <v>34</v>
      </c>
      <c r="E40" s="17">
        <v>0</v>
      </c>
      <c r="F40" s="24">
        <v>5004</v>
      </c>
      <c r="G40" s="24">
        <v>205</v>
      </c>
      <c r="H40" s="24">
        <v>-205</v>
      </c>
      <c r="I40" s="25">
        <v>0.15</v>
      </c>
      <c r="J40" s="24">
        <v>616.19999999999993</v>
      </c>
    </row>
    <row r="41" spans="1:10" x14ac:dyDescent="0.25">
      <c r="A41" s="23">
        <v>39</v>
      </c>
      <c r="B41" s="14" t="s">
        <v>97</v>
      </c>
      <c r="C41" s="17" t="s">
        <v>158</v>
      </c>
      <c r="D41" s="14" t="s">
        <v>34</v>
      </c>
      <c r="E41" s="17">
        <v>0</v>
      </c>
      <c r="F41" s="24">
        <v>5830</v>
      </c>
      <c r="G41" s="24">
        <v>239</v>
      </c>
      <c r="H41" s="24">
        <v>-239</v>
      </c>
      <c r="I41" s="25">
        <v>0.15</v>
      </c>
      <c r="J41" s="24">
        <v>718.05</v>
      </c>
    </row>
    <row r="42" spans="1:10" x14ac:dyDescent="0.25">
      <c r="A42" s="23">
        <v>40</v>
      </c>
      <c r="B42" s="14" t="s">
        <v>98</v>
      </c>
      <c r="C42" s="17" t="s">
        <v>159</v>
      </c>
      <c r="D42" s="14" t="s">
        <v>34</v>
      </c>
      <c r="E42" s="17">
        <v>0</v>
      </c>
      <c r="F42" s="24">
        <v>5830</v>
      </c>
      <c r="G42" s="24">
        <v>239</v>
      </c>
      <c r="H42" s="24">
        <v>-239</v>
      </c>
      <c r="I42" s="25">
        <v>0.15</v>
      </c>
      <c r="J42" s="24">
        <v>718.05</v>
      </c>
    </row>
    <row r="43" spans="1:10" x14ac:dyDescent="0.25">
      <c r="A43" s="23">
        <v>41</v>
      </c>
      <c r="B43" s="14" t="s">
        <v>99</v>
      </c>
      <c r="C43" s="17" t="s">
        <v>160</v>
      </c>
      <c r="D43" s="14" t="s">
        <v>34</v>
      </c>
      <c r="E43" s="17">
        <v>0</v>
      </c>
      <c r="F43" s="24">
        <v>3875</v>
      </c>
      <c r="G43" s="24">
        <v>159</v>
      </c>
      <c r="H43" s="24">
        <v>-159</v>
      </c>
      <c r="I43" s="25">
        <v>0.15</v>
      </c>
      <c r="J43" s="24">
        <v>477.29999999999995</v>
      </c>
    </row>
    <row r="44" spans="1:10" x14ac:dyDescent="0.25">
      <c r="A44" s="23">
        <v>42</v>
      </c>
      <c r="B44" s="14" t="s">
        <v>100</v>
      </c>
      <c r="C44" s="17" t="s">
        <v>161</v>
      </c>
      <c r="D44" s="14" t="s">
        <v>34</v>
      </c>
      <c r="E44" s="17">
        <v>0</v>
      </c>
      <c r="F44" s="24">
        <v>3758</v>
      </c>
      <c r="G44" s="24">
        <v>154</v>
      </c>
      <c r="H44" s="24">
        <v>-154</v>
      </c>
      <c r="I44" s="25">
        <v>0.15</v>
      </c>
      <c r="J44" s="24">
        <v>462.9</v>
      </c>
    </row>
    <row r="45" spans="1:10" x14ac:dyDescent="0.25">
      <c r="A45" s="23">
        <v>43</v>
      </c>
      <c r="B45" s="14" t="s">
        <v>101</v>
      </c>
      <c r="C45" s="17" t="s">
        <v>162</v>
      </c>
      <c r="D45" s="14" t="s">
        <v>34</v>
      </c>
      <c r="E45" s="17">
        <v>0</v>
      </c>
      <c r="F45" s="24">
        <v>1004</v>
      </c>
      <c r="G45" s="24">
        <v>41</v>
      </c>
      <c r="H45" s="24">
        <v>-41</v>
      </c>
      <c r="I45" s="25">
        <v>0.15</v>
      </c>
      <c r="J45" s="24">
        <v>123.6</v>
      </c>
    </row>
    <row r="46" spans="1:10" x14ac:dyDescent="0.25">
      <c r="A46" s="23">
        <v>44</v>
      </c>
      <c r="B46" s="14" t="s">
        <v>102</v>
      </c>
      <c r="C46" s="17" t="s">
        <v>163</v>
      </c>
      <c r="D46" s="14" t="s">
        <v>34</v>
      </c>
      <c r="E46" s="17">
        <v>0</v>
      </c>
      <c r="F46" s="24">
        <v>3377</v>
      </c>
      <c r="G46" s="24">
        <v>139</v>
      </c>
      <c r="H46" s="24">
        <v>-139</v>
      </c>
      <c r="I46" s="25">
        <v>0.15</v>
      </c>
      <c r="J46" s="24">
        <v>415.8</v>
      </c>
    </row>
    <row r="47" spans="1:10" x14ac:dyDescent="0.25">
      <c r="A47" s="23">
        <v>45</v>
      </c>
      <c r="B47" s="14" t="s">
        <v>103</v>
      </c>
      <c r="C47" s="17" t="s">
        <v>164</v>
      </c>
      <c r="D47" s="14" t="s">
        <v>34</v>
      </c>
      <c r="E47" s="17">
        <v>0</v>
      </c>
      <c r="F47" s="24">
        <v>2449</v>
      </c>
      <c r="G47" s="24">
        <v>101</v>
      </c>
      <c r="H47" s="24">
        <v>-101</v>
      </c>
      <c r="I47" s="25">
        <v>0.15</v>
      </c>
      <c r="J47" s="24">
        <v>301.5</v>
      </c>
    </row>
    <row r="48" spans="1:10" x14ac:dyDescent="0.25">
      <c r="A48" s="23">
        <v>46</v>
      </c>
      <c r="B48" s="14" t="s">
        <v>104</v>
      </c>
      <c r="C48" s="17" t="s">
        <v>165</v>
      </c>
      <c r="D48" s="14" t="s">
        <v>34</v>
      </c>
      <c r="E48" s="17">
        <v>0</v>
      </c>
      <c r="F48" s="24">
        <v>5861</v>
      </c>
      <c r="G48" s="24">
        <v>241</v>
      </c>
      <c r="H48" s="24">
        <v>-241</v>
      </c>
      <c r="I48" s="25">
        <v>0.15</v>
      </c>
      <c r="J48" s="24">
        <v>721.8</v>
      </c>
    </row>
    <row r="49" spans="1:10" x14ac:dyDescent="0.25">
      <c r="A49" s="23">
        <v>47</v>
      </c>
      <c r="B49" s="14" t="s">
        <v>105</v>
      </c>
      <c r="C49" s="17" t="s">
        <v>166</v>
      </c>
      <c r="D49" s="14" t="s">
        <v>34</v>
      </c>
      <c r="E49" s="17">
        <v>0</v>
      </c>
      <c r="F49" s="24">
        <v>5004</v>
      </c>
      <c r="G49" s="24">
        <v>205</v>
      </c>
      <c r="H49" s="24">
        <v>-205</v>
      </c>
      <c r="I49" s="25">
        <v>0.15</v>
      </c>
      <c r="J49" s="24">
        <v>616.19999999999993</v>
      </c>
    </row>
    <row r="50" spans="1:10" x14ac:dyDescent="0.25">
      <c r="A50" s="23">
        <v>48</v>
      </c>
      <c r="B50" s="14" t="s">
        <v>106</v>
      </c>
      <c r="C50" s="17" t="s">
        <v>167</v>
      </c>
      <c r="D50" s="14" t="s">
        <v>34</v>
      </c>
      <c r="E50" s="17">
        <v>0</v>
      </c>
      <c r="F50" s="24">
        <v>1879</v>
      </c>
      <c r="G50" s="24">
        <v>77</v>
      </c>
      <c r="H50" s="24">
        <v>-77</v>
      </c>
      <c r="I50" s="25">
        <v>0.15</v>
      </c>
      <c r="J50" s="24">
        <v>231.45</v>
      </c>
    </row>
    <row r="51" spans="1:10" x14ac:dyDescent="0.25">
      <c r="A51" s="23">
        <v>49</v>
      </c>
      <c r="B51" s="14" t="s">
        <v>107</v>
      </c>
      <c r="C51" s="17" t="s">
        <v>168</v>
      </c>
      <c r="D51" s="14" t="s">
        <v>34</v>
      </c>
      <c r="E51" s="17">
        <v>0</v>
      </c>
      <c r="F51" s="24">
        <v>5768</v>
      </c>
      <c r="G51" s="24">
        <v>237</v>
      </c>
      <c r="H51" s="24">
        <v>-237</v>
      </c>
      <c r="I51" s="25">
        <v>0.15</v>
      </c>
      <c r="J51" s="24">
        <v>710.25</v>
      </c>
    </row>
    <row r="52" spans="1:10" x14ac:dyDescent="0.25">
      <c r="A52" s="23">
        <v>50</v>
      </c>
      <c r="B52" s="14" t="s">
        <v>108</v>
      </c>
      <c r="C52" s="17" t="s">
        <v>169</v>
      </c>
      <c r="D52" s="14" t="s">
        <v>34</v>
      </c>
      <c r="E52" s="17">
        <v>0</v>
      </c>
      <c r="F52" s="24">
        <v>5768</v>
      </c>
      <c r="G52" s="24">
        <v>237</v>
      </c>
      <c r="H52" s="24">
        <v>-237</v>
      </c>
      <c r="I52" s="25">
        <v>0.15</v>
      </c>
      <c r="J52" s="24">
        <v>710.25</v>
      </c>
    </row>
    <row r="53" spans="1:10" x14ac:dyDescent="0.25">
      <c r="A53" s="23">
        <v>51</v>
      </c>
      <c r="B53" s="14" t="s">
        <v>109</v>
      </c>
      <c r="C53" s="17" t="s">
        <v>170</v>
      </c>
      <c r="D53" s="14" t="s">
        <v>34</v>
      </c>
      <c r="E53" s="17">
        <v>0</v>
      </c>
      <c r="F53" s="24">
        <v>4924</v>
      </c>
      <c r="G53" s="24">
        <v>202</v>
      </c>
      <c r="H53" s="24">
        <v>-202</v>
      </c>
      <c r="I53" s="25">
        <v>0.15</v>
      </c>
      <c r="J53" s="24">
        <v>606.44999999999993</v>
      </c>
    </row>
    <row r="54" spans="1:10" x14ac:dyDescent="0.25">
      <c r="A54" s="23">
        <v>52</v>
      </c>
      <c r="B54" s="14" t="s">
        <v>110</v>
      </c>
      <c r="C54" s="17" t="s">
        <v>171</v>
      </c>
      <c r="D54" s="14" t="s">
        <v>34</v>
      </c>
      <c r="E54" s="17">
        <v>0</v>
      </c>
      <c r="F54" s="24">
        <v>3758</v>
      </c>
      <c r="G54" s="24">
        <v>154</v>
      </c>
      <c r="H54" s="24">
        <v>-154</v>
      </c>
      <c r="I54" s="25">
        <v>0.15</v>
      </c>
      <c r="J54" s="24">
        <v>462.9</v>
      </c>
    </row>
    <row r="55" spans="1:10" x14ac:dyDescent="0.25">
      <c r="A55" s="23">
        <v>53</v>
      </c>
      <c r="B55" s="14" t="s">
        <v>112</v>
      </c>
      <c r="C55" s="17" t="s">
        <v>172</v>
      </c>
      <c r="D55" s="14" t="s">
        <v>139</v>
      </c>
      <c r="E55" s="17">
        <v>0</v>
      </c>
      <c r="F55" s="24">
        <v>4722</v>
      </c>
      <c r="G55" s="24">
        <v>192</v>
      </c>
      <c r="H55" s="24">
        <v>-192</v>
      </c>
      <c r="I55" s="25">
        <v>0.15</v>
      </c>
      <c r="J55" s="24">
        <v>576.44999999999993</v>
      </c>
    </row>
    <row r="56" spans="1:10" x14ac:dyDescent="0.25">
      <c r="A56" s="23">
        <v>54</v>
      </c>
      <c r="B56" s="14" t="s">
        <v>113</v>
      </c>
      <c r="C56" s="31" t="s">
        <v>173</v>
      </c>
      <c r="D56" s="14" t="s">
        <v>139</v>
      </c>
      <c r="E56" s="17">
        <v>0</v>
      </c>
      <c r="F56" s="24">
        <v>1134</v>
      </c>
      <c r="G56" s="24">
        <v>46</v>
      </c>
      <c r="H56" s="24">
        <v>-46</v>
      </c>
      <c r="I56" s="25">
        <v>0.15</v>
      </c>
      <c r="J56" s="24">
        <v>138.44999999999999</v>
      </c>
    </row>
    <row r="57" spans="1:10" x14ac:dyDescent="0.25">
      <c r="A57" s="23">
        <v>55</v>
      </c>
      <c r="B57" s="14" t="s">
        <v>114</v>
      </c>
      <c r="C57" s="31" t="s">
        <v>174</v>
      </c>
      <c r="D57" s="14" t="s">
        <v>139</v>
      </c>
      <c r="E57" s="17">
        <v>0</v>
      </c>
      <c r="F57" s="24">
        <v>1908</v>
      </c>
      <c r="G57" s="24">
        <v>78</v>
      </c>
      <c r="H57" s="24">
        <v>-78</v>
      </c>
      <c r="I57" s="25">
        <v>0.15</v>
      </c>
      <c r="J57" s="24">
        <v>232.95</v>
      </c>
    </row>
    <row r="58" spans="1:10" x14ac:dyDescent="0.25">
      <c r="A58" s="23">
        <v>56</v>
      </c>
      <c r="B58" s="14" t="s">
        <v>115</v>
      </c>
      <c r="C58" s="17" t="s">
        <v>175</v>
      </c>
      <c r="D58" s="14" t="s">
        <v>139</v>
      </c>
      <c r="E58" s="17">
        <v>0</v>
      </c>
      <c r="F58" s="24">
        <v>4722</v>
      </c>
      <c r="G58" s="24">
        <v>192</v>
      </c>
      <c r="H58" s="24">
        <v>-192</v>
      </c>
      <c r="I58" s="25">
        <v>0.15</v>
      </c>
      <c r="J58" s="24">
        <v>576.44999999999993</v>
      </c>
    </row>
    <row r="59" spans="1:10" x14ac:dyDescent="0.25">
      <c r="A59" s="23">
        <v>57</v>
      </c>
      <c r="B59" s="14" t="s">
        <v>116</v>
      </c>
      <c r="C59" s="17" t="s">
        <v>176</v>
      </c>
      <c r="D59" s="14" t="s">
        <v>139</v>
      </c>
      <c r="E59" s="17">
        <v>0</v>
      </c>
      <c r="F59" s="24">
        <v>773</v>
      </c>
      <c r="G59" s="24">
        <v>31</v>
      </c>
      <c r="H59" s="24">
        <v>-31</v>
      </c>
      <c r="I59" s="25">
        <v>0.15</v>
      </c>
      <c r="J59" s="24">
        <v>94.2</v>
      </c>
    </row>
    <row r="60" spans="1:10" x14ac:dyDescent="0.25">
      <c r="A60" s="23">
        <v>58</v>
      </c>
      <c r="B60" s="14" t="s">
        <v>117</v>
      </c>
      <c r="C60" s="17" t="s">
        <v>177</v>
      </c>
      <c r="D60" s="14" t="s">
        <v>139</v>
      </c>
      <c r="E60" s="17">
        <v>0</v>
      </c>
      <c r="F60" s="24">
        <v>368</v>
      </c>
      <c r="G60" s="24">
        <v>15</v>
      </c>
      <c r="H60" s="24">
        <v>-15</v>
      </c>
      <c r="I60" s="25">
        <v>0.15</v>
      </c>
      <c r="J60" s="24">
        <v>45</v>
      </c>
    </row>
    <row r="61" spans="1:10" x14ac:dyDescent="0.25">
      <c r="A61" s="23">
        <v>59</v>
      </c>
      <c r="B61" s="14" t="s">
        <v>118</v>
      </c>
      <c r="C61" s="17" t="s">
        <v>178</v>
      </c>
      <c r="D61" s="14" t="s">
        <v>139</v>
      </c>
      <c r="E61" s="17">
        <v>0</v>
      </c>
      <c r="F61" s="24">
        <v>5107</v>
      </c>
      <c r="G61" s="24">
        <v>208</v>
      </c>
      <c r="H61" s="24">
        <v>-208</v>
      </c>
      <c r="I61" s="25">
        <v>0.15</v>
      </c>
      <c r="J61" s="24">
        <v>623.54999999999995</v>
      </c>
    </row>
    <row r="62" spans="1:10" x14ac:dyDescent="0.25">
      <c r="A62" s="23">
        <v>60</v>
      </c>
      <c r="B62" s="14" t="s">
        <v>119</v>
      </c>
      <c r="C62" s="17" t="s">
        <v>179</v>
      </c>
      <c r="D62" s="14" t="s">
        <v>139</v>
      </c>
      <c r="E62" s="17">
        <v>0</v>
      </c>
      <c r="F62" s="24">
        <v>4642</v>
      </c>
      <c r="G62" s="24">
        <v>189</v>
      </c>
      <c r="H62" s="24">
        <v>-189</v>
      </c>
      <c r="I62" s="25">
        <v>0.15</v>
      </c>
      <c r="J62" s="24">
        <v>566.69999999999993</v>
      </c>
    </row>
    <row r="63" spans="1:10" x14ac:dyDescent="0.25">
      <c r="A63" s="23">
        <v>61</v>
      </c>
      <c r="B63" s="14" t="s">
        <v>120</v>
      </c>
      <c r="C63" s="17" t="s">
        <v>180</v>
      </c>
      <c r="D63" s="14" t="s">
        <v>139</v>
      </c>
      <c r="E63" s="17">
        <v>0</v>
      </c>
      <c r="F63" s="24">
        <v>1491</v>
      </c>
      <c r="G63" s="24">
        <v>61</v>
      </c>
      <c r="H63" s="24">
        <v>-61</v>
      </c>
      <c r="I63" s="25">
        <v>0.15</v>
      </c>
      <c r="J63" s="24">
        <v>181.95</v>
      </c>
    </row>
    <row r="64" spans="1:10" x14ac:dyDescent="0.25">
      <c r="A64" s="23">
        <v>62</v>
      </c>
      <c r="B64" s="14" t="s">
        <v>121</v>
      </c>
      <c r="C64" s="17" t="s">
        <v>181</v>
      </c>
      <c r="D64" s="14" t="s">
        <v>139</v>
      </c>
      <c r="E64" s="17">
        <v>0</v>
      </c>
      <c r="F64" s="24">
        <v>1491</v>
      </c>
      <c r="G64" s="24">
        <v>61</v>
      </c>
      <c r="H64" s="24">
        <v>-61</v>
      </c>
      <c r="I64" s="25">
        <v>0.15</v>
      </c>
      <c r="J64" s="24">
        <v>181.95</v>
      </c>
    </row>
    <row r="65" spans="1:10" x14ac:dyDescent="0.25">
      <c r="A65" s="23">
        <v>63</v>
      </c>
      <c r="B65" s="14" t="s">
        <v>122</v>
      </c>
      <c r="C65" s="17" t="s">
        <v>182</v>
      </c>
      <c r="D65" s="14" t="s">
        <v>139</v>
      </c>
      <c r="E65" s="17">
        <v>0</v>
      </c>
      <c r="F65" s="24">
        <v>4563</v>
      </c>
      <c r="G65" s="24">
        <v>186</v>
      </c>
      <c r="H65" s="24">
        <v>-186</v>
      </c>
      <c r="I65" s="25">
        <v>0.15</v>
      </c>
      <c r="J65" s="24">
        <v>557.1</v>
      </c>
    </row>
    <row r="66" spans="1:10" x14ac:dyDescent="0.25">
      <c r="A66" s="23">
        <v>64</v>
      </c>
      <c r="B66" s="14" t="s">
        <v>123</v>
      </c>
      <c r="C66" s="17" t="s">
        <v>183</v>
      </c>
      <c r="D66" s="14" t="s">
        <v>139</v>
      </c>
      <c r="E66" s="17">
        <v>0</v>
      </c>
      <c r="F66" s="24">
        <v>4563</v>
      </c>
      <c r="G66" s="24">
        <v>186</v>
      </c>
      <c r="H66" s="24">
        <v>-186</v>
      </c>
      <c r="I66" s="25">
        <v>0.15</v>
      </c>
      <c r="J66" s="24">
        <v>557.1</v>
      </c>
    </row>
    <row r="67" spans="1:10" x14ac:dyDescent="0.25">
      <c r="A67" s="23">
        <v>65</v>
      </c>
      <c r="B67" s="14" t="s">
        <v>124</v>
      </c>
      <c r="C67" s="17" t="s">
        <v>184</v>
      </c>
      <c r="D67" s="14" t="s">
        <v>139</v>
      </c>
      <c r="E67" s="17">
        <v>0</v>
      </c>
      <c r="F67" s="24">
        <v>1134</v>
      </c>
      <c r="G67" s="24">
        <v>46</v>
      </c>
      <c r="H67" s="24">
        <v>-46</v>
      </c>
      <c r="I67" s="25">
        <v>0.15</v>
      </c>
      <c r="J67" s="24">
        <v>138.44999999999999</v>
      </c>
    </row>
    <row r="68" spans="1:10" x14ac:dyDescent="0.25">
      <c r="A68" s="23">
        <v>66</v>
      </c>
      <c r="B68" s="14" t="s">
        <v>125</v>
      </c>
      <c r="C68" s="17" t="s">
        <v>185</v>
      </c>
      <c r="D68" s="14" t="s">
        <v>139</v>
      </c>
      <c r="E68" s="17">
        <v>0</v>
      </c>
      <c r="F68" s="24">
        <v>4701</v>
      </c>
      <c r="G68" s="24">
        <v>191</v>
      </c>
      <c r="H68" s="24">
        <v>-191</v>
      </c>
      <c r="I68" s="25">
        <v>0.15</v>
      </c>
      <c r="J68" s="24">
        <v>574.04999999999995</v>
      </c>
    </row>
    <row r="69" spans="1:10" x14ac:dyDescent="0.25">
      <c r="A69" s="23">
        <v>67</v>
      </c>
      <c r="B69" s="14" t="s">
        <v>126</v>
      </c>
      <c r="C69" s="17" t="s">
        <v>186</v>
      </c>
      <c r="D69" s="14" t="s">
        <v>139</v>
      </c>
      <c r="E69" s="17">
        <v>0</v>
      </c>
      <c r="F69" s="24">
        <v>4701</v>
      </c>
      <c r="G69" s="24">
        <v>191</v>
      </c>
      <c r="H69" s="24">
        <v>-191</v>
      </c>
      <c r="I69" s="25">
        <v>0.15</v>
      </c>
      <c r="J69" s="24">
        <v>574.04999999999995</v>
      </c>
    </row>
    <row r="70" spans="1:10" x14ac:dyDescent="0.25">
      <c r="A70" s="23">
        <v>68</v>
      </c>
      <c r="B70" s="14" t="s">
        <v>127</v>
      </c>
      <c r="C70" s="17" t="s">
        <v>132</v>
      </c>
      <c r="D70" s="14" t="s">
        <v>77</v>
      </c>
      <c r="E70" s="17">
        <v>0</v>
      </c>
      <c r="F70" s="24">
        <v>4924</v>
      </c>
      <c r="G70" s="24">
        <v>202</v>
      </c>
      <c r="H70" s="24">
        <v>-202</v>
      </c>
      <c r="I70" s="25">
        <v>0.15</v>
      </c>
      <c r="J70" s="24">
        <v>606.44999999999993</v>
      </c>
    </row>
    <row r="71" spans="1:10" x14ac:dyDescent="0.25">
      <c r="A71" s="23">
        <v>69</v>
      </c>
      <c r="B71" s="14" t="s">
        <v>128</v>
      </c>
      <c r="C71" s="17" t="s">
        <v>134</v>
      </c>
      <c r="D71" s="14" t="s">
        <v>135</v>
      </c>
      <c r="E71" s="17">
        <v>0</v>
      </c>
      <c r="F71" s="24">
        <v>368</v>
      </c>
      <c r="G71" s="24">
        <v>15</v>
      </c>
      <c r="H71" s="24">
        <v>-15</v>
      </c>
      <c r="I71" s="25">
        <v>0.15</v>
      </c>
      <c r="J71" s="24">
        <v>45</v>
      </c>
    </row>
    <row r="72" spans="1:10" x14ac:dyDescent="0.25">
      <c r="A72" s="23">
        <v>70</v>
      </c>
      <c r="B72" s="14" t="s">
        <v>129</v>
      </c>
      <c r="C72" s="17" t="s">
        <v>136</v>
      </c>
      <c r="D72" s="14" t="s">
        <v>135</v>
      </c>
      <c r="E72" s="17">
        <v>0</v>
      </c>
      <c r="F72" s="24">
        <v>368</v>
      </c>
      <c r="G72" s="24">
        <v>15</v>
      </c>
      <c r="H72" s="24">
        <v>-15</v>
      </c>
      <c r="I72" s="25">
        <v>0.15</v>
      </c>
      <c r="J72" s="24">
        <v>45</v>
      </c>
    </row>
    <row r="73" spans="1:10" x14ac:dyDescent="0.25">
      <c r="A73" s="23">
        <v>71</v>
      </c>
      <c r="B73" s="14" t="s">
        <v>130</v>
      </c>
      <c r="C73" s="17" t="s">
        <v>137</v>
      </c>
      <c r="D73" s="14" t="s">
        <v>138</v>
      </c>
      <c r="E73" s="17">
        <v>0</v>
      </c>
      <c r="F73" s="24">
        <v>1805</v>
      </c>
      <c r="G73" s="24">
        <v>73</v>
      </c>
      <c r="H73" s="24">
        <v>-73</v>
      </c>
      <c r="I73" s="25">
        <v>0.15</v>
      </c>
      <c r="J73" s="24">
        <v>220.35</v>
      </c>
    </row>
    <row r="74" spans="1:10" x14ac:dyDescent="0.25">
      <c r="A74" s="23">
        <v>72</v>
      </c>
      <c r="B74" s="14" t="s">
        <v>131</v>
      </c>
      <c r="C74" s="30" t="s">
        <v>191</v>
      </c>
      <c r="D74" s="14" t="s">
        <v>190</v>
      </c>
      <c r="E74" s="17">
        <v>0</v>
      </c>
      <c r="F74" s="24">
        <v>-2769</v>
      </c>
      <c r="G74" s="24">
        <v>0</v>
      </c>
      <c r="H74" s="24">
        <v>0</v>
      </c>
      <c r="I74" s="25">
        <v>0.15</v>
      </c>
      <c r="J74" s="24">
        <v>-358</v>
      </c>
    </row>
    <row r="75" spans="1:10" x14ac:dyDescent="0.25">
      <c r="A75" s="23">
        <v>73</v>
      </c>
      <c r="B75" s="14" t="s">
        <v>111</v>
      </c>
      <c r="C75" s="17" t="s">
        <v>188</v>
      </c>
      <c r="D75" s="14" t="s">
        <v>43</v>
      </c>
      <c r="E75" s="17">
        <v>0</v>
      </c>
      <c r="F75" s="24">
        <v>59435</v>
      </c>
      <c r="G75" s="24">
        <v>1270</v>
      </c>
      <c r="H75" s="24">
        <v>-1270</v>
      </c>
      <c r="I75" s="27">
        <v>0.13500000000000001</v>
      </c>
      <c r="J75" s="24">
        <v>6858</v>
      </c>
    </row>
    <row r="76" spans="1:10" x14ac:dyDescent="0.25">
      <c r="A76" s="23">
        <v>74</v>
      </c>
      <c r="B76" s="14" t="s">
        <v>76</v>
      </c>
      <c r="C76" s="17" t="s">
        <v>75</v>
      </c>
      <c r="D76" s="14" t="s">
        <v>77</v>
      </c>
      <c r="E76" s="17">
        <v>0</v>
      </c>
      <c r="F76" s="24">
        <v>361877</v>
      </c>
      <c r="G76" s="24">
        <v>7790</v>
      </c>
      <c r="H76" s="24">
        <v>-7790</v>
      </c>
      <c r="I76" s="27">
        <v>0.13500000000000001</v>
      </c>
      <c r="J76" s="24">
        <v>42064</v>
      </c>
    </row>
    <row r="77" spans="1:10" x14ac:dyDescent="0.25">
      <c r="A77" s="3">
        <v>75</v>
      </c>
      <c r="B77" s="14" t="s">
        <v>189</v>
      </c>
      <c r="C77" s="17" t="s">
        <v>187</v>
      </c>
      <c r="D77" s="14" t="s">
        <v>43</v>
      </c>
      <c r="E77" s="17">
        <v>0</v>
      </c>
      <c r="F77" s="33">
        <v>-12911</v>
      </c>
      <c r="G77" s="34">
        <v>0</v>
      </c>
      <c r="H77" s="24">
        <v>0</v>
      </c>
      <c r="I77" s="27">
        <v>8.7499999999999994E-2</v>
      </c>
      <c r="J77" s="33">
        <v>-966</v>
      </c>
    </row>
    <row r="78" spans="1:10" x14ac:dyDescent="0.25">
      <c r="A78" s="32"/>
      <c r="F78" s="35">
        <f>SUM(F3:F77)</f>
        <v>2192389.75</v>
      </c>
      <c r="G78" s="36">
        <f>SUM(G3:G77)</f>
        <v>50665</v>
      </c>
      <c r="H78" s="36">
        <f>SUM(H3:H77)</f>
        <v>-50665</v>
      </c>
      <c r="J78" s="35">
        <f>SUM(J3:J77)</f>
        <v>241758.15000000002</v>
      </c>
    </row>
    <row r="79" spans="1:10" x14ac:dyDescent="0.25">
      <c r="B79" s="6"/>
      <c r="F79" s="7"/>
      <c r="G79" s="8"/>
      <c r="H79" s="8"/>
      <c r="J79" s="8"/>
    </row>
    <row r="80" spans="1:10" x14ac:dyDescent="0.25">
      <c r="A80" s="9" t="s">
        <v>62</v>
      </c>
    </row>
    <row r="81" spans="1:10" ht="25.5" x14ac:dyDescent="0.25">
      <c r="A81" s="10" t="s">
        <v>63</v>
      </c>
      <c r="B81" s="10" t="s">
        <v>1</v>
      </c>
      <c r="C81" s="2" t="s">
        <v>2</v>
      </c>
      <c r="D81" s="2" t="s">
        <v>3</v>
      </c>
      <c r="E81" s="16" t="s">
        <v>70</v>
      </c>
      <c r="F81" s="16" t="s">
        <v>71</v>
      </c>
      <c r="G81" s="16" t="s">
        <v>72</v>
      </c>
      <c r="H81" s="16"/>
      <c r="I81" s="16" t="s">
        <v>73</v>
      </c>
      <c r="J81" s="11" t="s">
        <v>69</v>
      </c>
    </row>
    <row r="82" spans="1:10" x14ac:dyDescent="0.25">
      <c r="A82" s="3">
        <v>1</v>
      </c>
      <c r="B82" s="4" t="s">
        <v>44</v>
      </c>
      <c r="C82" s="4" t="s">
        <v>45</v>
      </c>
      <c r="D82" s="4" t="s">
        <v>43</v>
      </c>
      <c r="E82" s="4" t="s">
        <v>196</v>
      </c>
      <c r="F82" s="4" t="s">
        <v>192</v>
      </c>
      <c r="G82" s="4">
        <v>432723</v>
      </c>
      <c r="H82" s="4"/>
      <c r="I82" s="4" t="s">
        <v>193</v>
      </c>
      <c r="J82" s="5">
        <v>8280</v>
      </c>
    </row>
    <row r="83" spans="1:10" x14ac:dyDescent="0.25">
      <c r="A83" s="3">
        <v>2</v>
      </c>
      <c r="B83" s="4" t="s">
        <v>44</v>
      </c>
      <c r="C83" s="4" t="s">
        <v>45</v>
      </c>
      <c r="D83" s="4" t="s">
        <v>43</v>
      </c>
      <c r="E83" s="4" t="s">
        <v>197</v>
      </c>
      <c r="F83" s="4" t="s">
        <v>194</v>
      </c>
      <c r="G83" s="37" t="s">
        <v>195</v>
      </c>
      <c r="H83" s="37"/>
      <c r="I83" s="4" t="s">
        <v>198</v>
      </c>
      <c r="J83" s="5">
        <v>19920</v>
      </c>
    </row>
    <row r="84" spans="1:10" x14ac:dyDescent="0.25">
      <c r="A84" s="3">
        <v>3</v>
      </c>
      <c r="B84" s="4" t="s">
        <v>35</v>
      </c>
      <c r="C84" s="4" t="s">
        <v>36</v>
      </c>
      <c r="D84" s="4" t="s">
        <v>43</v>
      </c>
      <c r="E84" s="4" t="s">
        <v>199</v>
      </c>
      <c r="F84" s="4" t="s">
        <v>200</v>
      </c>
      <c r="G84" s="37" t="s">
        <v>201</v>
      </c>
      <c r="H84" s="37"/>
      <c r="I84" s="4" t="s">
        <v>202</v>
      </c>
      <c r="J84" s="5">
        <v>8504</v>
      </c>
    </row>
    <row r="85" spans="1:10" ht="15.75" thickBot="1" x14ac:dyDescent="0.3">
      <c r="J85" s="12">
        <f>SUM(J82:J84)</f>
        <v>36704</v>
      </c>
    </row>
    <row r="86" spans="1:10" ht="15.75" thickTop="1" x14ac:dyDescent="0.25"/>
    <row r="87" spans="1:10" x14ac:dyDescent="0.25">
      <c r="C87" s="9" t="s">
        <v>64</v>
      </c>
    </row>
    <row r="89" spans="1:10" x14ac:dyDescent="0.25">
      <c r="C89" s="6" t="s">
        <v>65</v>
      </c>
      <c r="D89" s="13">
        <f>F78</f>
        <v>2192389.75</v>
      </c>
    </row>
    <row r="90" spans="1:10" x14ac:dyDescent="0.25">
      <c r="C90" s="6" t="s">
        <v>203</v>
      </c>
      <c r="D90" s="13">
        <v>50663</v>
      </c>
    </row>
    <row r="91" spans="1:10" x14ac:dyDescent="0.25">
      <c r="C91" s="6" t="s">
        <v>66</v>
      </c>
      <c r="D91" s="13">
        <f>J78</f>
        <v>241758.15000000002</v>
      </c>
    </row>
    <row r="92" spans="1:10" x14ac:dyDescent="0.25">
      <c r="C92" s="6" t="s">
        <v>67</v>
      </c>
      <c r="D92" s="13">
        <f>J85</f>
        <v>36704</v>
      </c>
    </row>
    <row r="93" spans="1:10" ht="15.75" thickBot="1" x14ac:dyDescent="0.3">
      <c r="C93" s="14" t="s">
        <v>68</v>
      </c>
      <c r="D93" s="15">
        <f>D89-D90-D91-D92</f>
        <v>1863264.6</v>
      </c>
    </row>
    <row r="94" spans="1:10" ht="15.75" thickTop="1" x14ac:dyDescent="0.25">
      <c r="D94" s="18"/>
    </row>
  </sheetData>
  <autoFilter ref="A2:J78" xr:uid="{00000000-0009-0000-0000-000000000000}"/>
  <mergeCells count="1">
    <mergeCell ref="A1:J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81EF-A0EA-4531-B69C-89ED9A5E7310}">
  <dimension ref="A1:H77"/>
  <sheetViews>
    <sheetView topLeftCell="F75" workbookViewId="0">
      <selection activeCell="H2" sqref="H2:H76"/>
    </sheetView>
  </sheetViews>
  <sheetFormatPr defaultRowHeight="15" x14ac:dyDescent="0.25"/>
  <cols>
    <col min="1" max="1" width="38.7109375" bestFit="1" customWidth="1"/>
    <col min="2" max="3" width="14" bestFit="1" customWidth="1"/>
    <col min="4" max="4" width="9.5703125" bestFit="1" customWidth="1"/>
    <col min="5" max="5" width="13.7109375" bestFit="1" customWidth="1"/>
    <col min="6" max="6" width="95.28515625" customWidth="1"/>
    <col min="7" max="7" width="87.5703125" customWidth="1"/>
    <col min="8" max="8" width="79.5703125" customWidth="1"/>
  </cols>
  <sheetData>
    <row r="1" spans="1:8" x14ac:dyDescent="0.25">
      <c r="A1" s="42" t="s">
        <v>373</v>
      </c>
      <c r="B1" t="s">
        <v>374</v>
      </c>
      <c r="D1" s="43" t="s">
        <v>375</v>
      </c>
      <c r="E1" s="48" t="s">
        <v>376</v>
      </c>
    </row>
    <row r="2" spans="1:8" ht="110.25" customHeight="1" x14ac:dyDescent="0.25">
      <c r="A2" s="17" t="s">
        <v>8</v>
      </c>
      <c r="B2" s="1" t="str">
        <f>VLOOKUP(A2,policy!B:C,2,0)</f>
        <v>040000181870</v>
      </c>
      <c r="C2" s="26">
        <v>61240</v>
      </c>
      <c r="D2" s="44">
        <f>ROUND(C2,0)</f>
        <v>61240</v>
      </c>
      <c r="E2" s="48" t="s">
        <v>376</v>
      </c>
      <c r="F2" s="45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46" t="str">
        <f>"('"&amp;E2&amp;"','"&amp;B2&amp;"','"&amp;D2&amp;"',(select max(to_number(i.premium_rcv_detail_code))+1
from ins_premium_det i),'"&amp;D2&amp;"','"&amp;D2&amp;"','02', '11000003','00','Request by Mr. Saqib Saleem 27-March-2025');"</f>
        <v>('27Mar250004','040000181870','61240',(select max(to_number(i.premium_rcv_detail_code))+1
from ins_premium_det i),'61240','61240','02', '11000003','00','Request by Mr. Saqib Saleem 27-March-2025');</v>
      </c>
      <c r="H2" s="47" t="str">
        <f>F2&amp;G2</f>
        <v>insert into ins_premium_det (premium_rcv_code,assorted_code, rec_amount,premium_rcv_detail_code,remaining_amt, payrec, mode_code,coinsurance_code,class_cd,it_remarks) values('27Mar250004','040000181870','61240',(select max(to_number(i.premium_rcv_detail_code))+1
from ins_premium_det i),'61240','61240','02', '11000003','00','Request by Mr. Saqib Saleem 27-March-2025');</v>
      </c>
    </row>
    <row r="3" spans="1:8" ht="105" x14ac:dyDescent="0.25">
      <c r="A3" s="17" t="s">
        <v>11</v>
      </c>
      <c r="B3" s="1" t="str">
        <f>VLOOKUP(A3,policy!B:C,2,0)</f>
        <v>040000181899</v>
      </c>
      <c r="C3" s="26">
        <v>338277</v>
      </c>
      <c r="D3" s="44">
        <f t="shared" ref="D3:D66" si="1">ROUND(C3,0)</f>
        <v>338277</v>
      </c>
      <c r="E3" s="48" t="s">
        <v>376</v>
      </c>
      <c r="F3" s="45" t="str">
        <f t="shared" si="0"/>
        <v>insert into ins_premium_det (premium_rcv_code,assorted_code, rec_amount,premium_rcv_detail_code,remaining_amt, payrec, mode_code,coinsurance_code,class_cd,it_remarks) values</v>
      </c>
      <c r="G3" s="46" t="str">
        <f t="shared" ref="G3:G66" si="2">"('"&amp;E3&amp;"','"&amp;B3&amp;"','"&amp;D3&amp;"',(select max(to_number(i.premium_rcv_detail_code))+1
from ins_premium_det i),'"&amp;D3&amp;"','"&amp;D3&amp;"','02', '11000003','00','Request by Mr. Saqib Saleem 27-March-2025');"</f>
        <v>('27Mar250004','040000181899','338277',(select max(to_number(i.premium_rcv_detail_code))+1
from ins_premium_det i),'338277','338277','02', '11000003','00','Request by Mr. Saqib Saleem 27-March-2025');</v>
      </c>
      <c r="H3" s="47" t="str">
        <f t="shared" ref="H3:H66" si="3">F3&amp;G3</f>
        <v>insert into ins_premium_det (premium_rcv_code,assorted_code, rec_amount,premium_rcv_detail_code,remaining_amt, payrec, mode_code,coinsurance_code,class_cd,it_remarks) values('27Mar250004','040000181899','338277',(select max(to_number(i.premium_rcv_detail_code))+1
from ins_premium_det i),'338277','338277','02', '11000003','00','Request by Mr. Saqib Saleem 27-March-2025');</v>
      </c>
    </row>
    <row r="4" spans="1:8" ht="105" x14ac:dyDescent="0.25">
      <c r="A4" s="17" t="s">
        <v>14</v>
      </c>
      <c r="B4" s="1" t="str">
        <f>VLOOKUP(A4,policy!B:C,2,0)</f>
        <v>040000181923</v>
      </c>
      <c r="C4" s="24">
        <v>51334</v>
      </c>
      <c r="D4" s="44">
        <f t="shared" si="1"/>
        <v>51334</v>
      </c>
      <c r="E4" s="48" t="s">
        <v>376</v>
      </c>
      <c r="F4" s="45" t="str">
        <f t="shared" si="0"/>
        <v>insert into ins_premium_det (premium_rcv_code,assorted_code, rec_amount,premium_rcv_detail_code,remaining_amt, payrec, mode_code,coinsurance_code,class_cd,it_remarks) values</v>
      </c>
      <c r="G4" s="46" t="str">
        <f t="shared" si="2"/>
        <v>('27Mar250004','040000181923','51334',(select max(to_number(i.premium_rcv_detail_code))+1
from ins_premium_det i),'51334','51334','02', '11000003','00','Request by Mr. Saqib Saleem 27-March-2025');</v>
      </c>
      <c r="H4" s="47" t="str">
        <f t="shared" si="3"/>
        <v>insert into ins_premium_det (premium_rcv_code,assorted_code, rec_amount,premium_rcv_detail_code,remaining_amt, payrec, mode_code,coinsurance_code,class_cd,it_remarks) values('27Mar250004','040000181923','51334',(select max(to_number(i.premium_rcv_detail_code))+1
from ins_premium_det i),'51334','51334','02', '11000003','00','Request by Mr. Saqib Saleem 27-March-2025');</v>
      </c>
    </row>
    <row r="5" spans="1:8" ht="105" x14ac:dyDescent="0.25">
      <c r="A5" s="17" t="s">
        <v>17</v>
      </c>
      <c r="B5" s="1" t="str">
        <f>VLOOKUP(A5,policy!B:C,2,0)</f>
        <v>040000181954</v>
      </c>
      <c r="C5" s="24">
        <v>218321</v>
      </c>
      <c r="D5" s="44">
        <f t="shared" si="1"/>
        <v>218321</v>
      </c>
      <c r="E5" s="48" t="s">
        <v>376</v>
      </c>
      <c r="F5" s="45" t="str">
        <f t="shared" si="0"/>
        <v>insert into ins_premium_det (premium_rcv_code,assorted_code, rec_amount,premium_rcv_detail_code,remaining_amt, payrec, mode_code,coinsurance_code,class_cd,it_remarks) values</v>
      </c>
      <c r="G5" s="46" t="str">
        <f t="shared" si="2"/>
        <v>('27Mar250004','040000181954','218321',(select max(to_number(i.premium_rcv_detail_code))+1
from ins_premium_det i),'218321','218321','02', '11000003','00','Request by Mr. Saqib Saleem 27-March-2025');</v>
      </c>
      <c r="H5" s="47" t="str">
        <f t="shared" si="3"/>
        <v>insert into ins_premium_det (premium_rcv_code,assorted_code, rec_amount,premium_rcv_detail_code,remaining_amt, payrec, mode_code,coinsurance_code,class_cd,it_remarks) values('27Mar250004','040000181954','218321',(select max(to_number(i.premium_rcv_detail_code))+1
from ins_premium_det i),'218321','218321','02', '11000003','00','Request by Mr. Saqib Saleem 27-March-2025');</v>
      </c>
    </row>
    <row r="6" spans="1:8" ht="105" x14ac:dyDescent="0.25">
      <c r="A6" s="17" t="s">
        <v>20</v>
      </c>
      <c r="B6" s="1" t="str">
        <f>VLOOKUP(A6,policy!B:C,2,0)</f>
        <v>040000181958</v>
      </c>
      <c r="C6" s="24">
        <v>39418</v>
      </c>
      <c r="D6" s="44">
        <f t="shared" si="1"/>
        <v>39418</v>
      </c>
      <c r="E6" s="48" t="s">
        <v>376</v>
      </c>
      <c r="F6" s="45" t="str">
        <f t="shared" si="0"/>
        <v>insert into ins_premium_det (premium_rcv_code,assorted_code, rec_amount,premium_rcv_detail_code,remaining_amt, payrec, mode_code,coinsurance_code,class_cd,it_remarks) values</v>
      </c>
      <c r="G6" s="46" t="str">
        <f t="shared" si="2"/>
        <v>('27Mar250004','040000181958','39418',(select max(to_number(i.premium_rcv_detail_code))+1
from ins_premium_det i),'39418','39418','02', '11000003','00','Request by Mr. Saqib Saleem 27-March-2025');</v>
      </c>
      <c r="H6" s="47" t="str">
        <f t="shared" si="3"/>
        <v>insert into ins_premium_det (premium_rcv_code,assorted_code, rec_amount,premium_rcv_detail_code,remaining_amt, payrec, mode_code,coinsurance_code,class_cd,it_remarks) values('27Mar250004','040000181958','39418',(select max(to_number(i.premium_rcv_detail_code))+1
from ins_premium_det i),'39418','39418','02', '11000003','00','Request by Mr. Saqib Saleem 27-March-2025');</v>
      </c>
    </row>
    <row r="7" spans="1:8" ht="105" x14ac:dyDescent="0.25">
      <c r="A7" s="17" t="s">
        <v>23</v>
      </c>
      <c r="B7" s="1" t="str">
        <f>VLOOKUP(A7,policy!B:C,2,0)</f>
        <v>040000181962</v>
      </c>
      <c r="C7" s="24">
        <v>18033</v>
      </c>
      <c r="D7" s="44">
        <f t="shared" si="1"/>
        <v>18033</v>
      </c>
      <c r="E7" s="48" t="s">
        <v>376</v>
      </c>
      <c r="F7" s="45" t="str">
        <f t="shared" si="0"/>
        <v>insert into ins_premium_det (premium_rcv_code,assorted_code, rec_amount,premium_rcv_detail_code,remaining_amt, payrec, mode_code,coinsurance_code,class_cd,it_remarks) values</v>
      </c>
      <c r="G7" s="46" t="str">
        <f t="shared" si="2"/>
        <v>('27Mar250004','040000181962','18033',(select max(to_number(i.premium_rcv_detail_code))+1
from ins_premium_det i),'18033','18033','02', '11000003','00','Request by Mr. Saqib Saleem 27-March-2025');</v>
      </c>
      <c r="H7" s="47" t="str">
        <f t="shared" si="3"/>
        <v>insert into ins_premium_det (premium_rcv_code,assorted_code, rec_amount,premium_rcv_detail_code,remaining_amt, payrec, mode_code,coinsurance_code,class_cd,it_remarks) values('27Mar250004','040000181962','18033',(select max(to_number(i.premium_rcv_detail_code))+1
from ins_premium_det i),'18033','18033','02', '11000003','00','Request by Mr. Saqib Saleem 27-March-2025');</v>
      </c>
    </row>
    <row r="8" spans="1:8" ht="105" x14ac:dyDescent="0.25">
      <c r="A8" s="17" t="s">
        <v>26</v>
      </c>
      <c r="B8" s="1" t="str">
        <f>VLOOKUP(A8,policy!B:C,2,0)</f>
        <v>040000182042</v>
      </c>
      <c r="C8" s="26">
        <v>169358</v>
      </c>
      <c r="D8" s="44">
        <f t="shared" si="1"/>
        <v>169358</v>
      </c>
      <c r="E8" s="48" t="s">
        <v>376</v>
      </c>
      <c r="F8" s="45" t="str">
        <f t="shared" si="0"/>
        <v>insert into ins_premium_det (premium_rcv_code,assorted_code, rec_amount,premium_rcv_detail_code,remaining_amt, payrec, mode_code,coinsurance_code,class_cd,it_remarks) values</v>
      </c>
      <c r="G8" s="46" t="str">
        <f t="shared" si="2"/>
        <v>('27Mar250004','040000182042','169358',(select max(to_number(i.premium_rcv_detail_code))+1
from ins_premium_det i),'169358','169358','02', '11000003','00','Request by Mr. Saqib Saleem 27-March-2025');</v>
      </c>
      <c r="H8" s="47" t="str">
        <f t="shared" si="3"/>
        <v>insert into ins_premium_det (premium_rcv_code,assorted_code, rec_amount,premium_rcv_detail_code,remaining_amt, payrec, mode_code,coinsurance_code,class_cd,it_remarks) values('27Mar250004','040000182042','169358',(select max(to_number(i.premium_rcv_detail_code))+1
from ins_premium_det i),'169358','169358','02', '11000003','00','Request by Mr. Saqib Saleem 27-March-2025');</v>
      </c>
    </row>
    <row r="9" spans="1:8" ht="105" x14ac:dyDescent="0.25">
      <c r="A9" s="17" t="s">
        <v>29</v>
      </c>
      <c r="B9" s="1" t="str">
        <f>VLOOKUP(A9,policy!B:C,2,0)</f>
        <v>040000182056</v>
      </c>
      <c r="C9" s="26">
        <v>40960</v>
      </c>
      <c r="D9" s="44">
        <f t="shared" si="1"/>
        <v>40960</v>
      </c>
      <c r="E9" s="48" t="s">
        <v>376</v>
      </c>
      <c r="F9" s="45" t="str">
        <f t="shared" si="0"/>
        <v>insert into ins_premium_det (premium_rcv_code,assorted_code, rec_amount,premium_rcv_detail_code,remaining_amt, payrec, mode_code,coinsurance_code,class_cd,it_remarks) values</v>
      </c>
      <c r="G9" s="46" t="str">
        <f t="shared" si="2"/>
        <v>('27Mar250004','040000182056','40960',(select max(to_number(i.premium_rcv_detail_code))+1
from ins_premium_det i),'40960','40960','02', '11000003','00','Request by Mr. Saqib Saleem 27-March-2025');</v>
      </c>
      <c r="H9" s="47" t="str">
        <f t="shared" si="3"/>
        <v>insert into ins_premium_det (premium_rcv_code,assorted_code, rec_amount,premium_rcv_detail_code,remaining_amt, payrec, mode_code,coinsurance_code,class_cd,it_remarks) values('27Mar250004','040000182056','40960',(select max(to_number(i.premium_rcv_detail_code))+1
from ins_premium_det i),'40960','40960','02', '11000003','00','Request by Mr. Saqib Saleem 27-March-2025');</v>
      </c>
    </row>
    <row r="10" spans="1:8" ht="105" x14ac:dyDescent="0.25">
      <c r="A10" s="17" t="s">
        <v>32</v>
      </c>
      <c r="B10" s="1" t="str">
        <f>VLOOKUP(A10,policy!B:C,2,0)</f>
        <v>040000182060</v>
      </c>
      <c r="C10" s="26">
        <v>339771.25</v>
      </c>
      <c r="D10" s="44">
        <f t="shared" si="1"/>
        <v>339771</v>
      </c>
      <c r="E10" s="48" t="s">
        <v>376</v>
      </c>
      <c r="F10" s="45" t="str">
        <f t="shared" si="0"/>
        <v>insert into ins_premium_det (premium_rcv_code,assorted_code, rec_amount,premium_rcv_detail_code,remaining_amt, payrec, mode_code,coinsurance_code,class_cd,it_remarks) values</v>
      </c>
      <c r="G10" s="46" t="str">
        <f t="shared" si="2"/>
        <v>('27Mar250004','040000182060','339771',(select max(to_number(i.premium_rcv_detail_code))+1
from ins_premium_det i),'339771','339771','02', '11000003','00','Request by Mr. Saqib Saleem 27-March-2025');</v>
      </c>
      <c r="H10" s="47" t="str">
        <f t="shared" si="3"/>
        <v>insert into ins_premium_det (premium_rcv_code,assorted_code, rec_amount,premium_rcv_detail_code,remaining_amt, payrec, mode_code,coinsurance_code,class_cd,it_remarks) values('27Mar250004','040000182060','339771',(select max(to_number(i.premium_rcv_detail_code))+1
from ins_premium_det i),'339771','339771','02', '11000003','00','Request by Mr. Saqib Saleem 27-March-2025');</v>
      </c>
    </row>
    <row r="11" spans="1:8" ht="105" x14ac:dyDescent="0.25">
      <c r="A11" s="28" t="s">
        <v>36</v>
      </c>
      <c r="B11" s="1" t="str">
        <f>VLOOKUP(A11,policy!B:C,2,0)</f>
        <v>040000185205</v>
      </c>
      <c r="C11" s="26">
        <v>35993</v>
      </c>
      <c r="D11" s="44">
        <f t="shared" si="1"/>
        <v>35993</v>
      </c>
      <c r="E11" s="48" t="s">
        <v>376</v>
      </c>
      <c r="F11" s="45" t="str">
        <f t="shared" si="0"/>
        <v>insert into ins_premium_det (premium_rcv_code,assorted_code, rec_amount,premium_rcv_detail_code,remaining_amt, payrec, mode_code,coinsurance_code,class_cd,it_remarks) values</v>
      </c>
      <c r="G11" s="46" t="str">
        <f t="shared" si="2"/>
        <v>('27Mar250004','040000185205','35993',(select max(to_number(i.premium_rcv_detail_code))+1
from ins_premium_det i),'35993','35993','02', '11000003','00','Request by Mr. Saqib Saleem 27-March-2025');</v>
      </c>
      <c r="H11" s="47" t="str">
        <f t="shared" si="3"/>
        <v>insert into ins_premium_det (premium_rcv_code,assorted_code, rec_amount,premium_rcv_detail_code,remaining_amt, payrec, mode_code,coinsurance_code,class_cd,it_remarks) values('27Mar250004','040000185205','35993',(select max(to_number(i.premium_rcv_detail_code))+1
from ins_premium_det i),'35993','35993','02', '11000003','00','Request by Mr. Saqib Saleem 27-March-2025');</v>
      </c>
    </row>
    <row r="12" spans="1:8" ht="105" x14ac:dyDescent="0.25">
      <c r="A12" s="17" t="s">
        <v>39</v>
      </c>
      <c r="B12" s="1" t="str">
        <f>VLOOKUP(A12,policy!B:C,2,0)</f>
        <v>040000185230</v>
      </c>
      <c r="C12" s="26">
        <v>17121</v>
      </c>
      <c r="D12" s="44">
        <f t="shared" si="1"/>
        <v>17121</v>
      </c>
      <c r="E12" s="48" t="s">
        <v>376</v>
      </c>
      <c r="F12" s="45" t="str">
        <f t="shared" si="0"/>
        <v>insert into ins_premium_det (premium_rcv_code,assorted_code, rec_amount,premium_rcv_detail_code,remaining_amt, payrec, mode_code,coinsurance_code,class_cd,it_remarks) values</v>
      </c>
      <c r="G12" s="46" t="str">
        <f t="shared" si="2"/>
        <v>('27Mar250004','040000185230','17121',(select max(to_number(i.premium_rcv_detail_code))+1
from ins_premium_det i),'17121','17121','02', '11000003','00','Request by Mr. Saqib Saleem 27-March-2025');</v>
      </c>
      <c r="H12" s="47" t="str">
        <f t="shared" si="3"/>
        <v>insert into ins_premium_det (premium_rcv_code,assorted_code, rec_amount,premium_rcv_detail_code,remaining_amt, payrec, mode_code,coinsurance_code,class_cd,it_remarks) values('27Mar250004','040000185230','17121',(select max(to_number(i.premium_rcv_detail_code))+1
from ins_premium_det i),'17121','17121','02', '11000003','00','Request by Mr. Saqib Saleem 27-March-2025');</v>
      </c>
    </row>
    <row r="13" spans="1:8" ht="105" x14ac:dyDescent="0.25">
      <c r="A13" s="17" t="s">
        <v>42</v>
      </c>
      <c r="B13" s="1" t="str">
        <f>VLOOKUP(A13,policy!B:C,2,0)</f>
        <v>040000185281</v>
      </c>
      <c r="C13" s="26">
        <v>35242</v>
      </c>
      <c r="D13" s="44">
        <f t="shared" si="1"/>
        <v>35242</v>
      </c>
      <c r="E13" s="48" t="s">
        <v>376</v>
      </c>
      <c r="F13" s="45" t="str">
        <f t="shared" si="0"/>
        <v>insert into ins_premium_det (premium_rcv_code,assorted_code, rec_amount,premium_rcv_detail_code,remaining_amt, payrec, mode_code,coinsurance_code,class_cd,it_remarks) values</v>
      </c>
      <c r="G13" s="46" t="str">
        <f t="shared" si="2"/>
        <v>('27Mar250004','040000185281','35242',(select max(to_number(i.premium_rcv_detail_code))+1
from ins_premium_det i),'35242','35242','02', '11000003','00','Request by Mr. Saqib Saleem 27-March-2025');</v>
      </c>
      <c r="H13" s="47" t="str">
        <f t="shared" si="3"/>
        <v>insert into ins_premium_det (premium_rcv_code,assorted_code, rec_amount,premium_rcv_detail_code,remaining_amt, payrec, mode_code,coinsurance_code,class_cd,it_remarks) values('27Mar250004','040000185281','35242',(select max(to_number(i.premium_rcv_detail_code))+1
from ins_premium_det i),'35242','35242','02', '11000003','00','Request by Mr. Saqib Saleem 27-March-2025');</v>
      </c>
    </row>
    <row r="14" spans="1:8" ht="105" x14ac:dyDescent="0.25">
      <c r="A14" s="17" t="s">
        <v>45</v>
      </c>
      <c r="B14" s="1" t="str">
        <f>VLOOKUP(A14,policy!B:C,2,0)</f>
        <v>040000185296</v>
      </c>
      <c r="C14" s="26">
        <v>62534</v>
      </c>
      <c r="D14" s="44">
        <f t="shared" si="1"/>
        <v>62534</v>
      </c>
      <c r="E14" s="48" t="s">
        <v>376</v>
      </c>
      <c r="F14" s="45" t="str">
        <f t="shared" si="0"/>
        <v>insert into ins_premium_det (premium_rcv_code,assorted_code, rec_amount,premium_rcv_detail_code,remaining_amt, payrec, mode_code,coinsurance_code,class_cd,it_remarks) values</v>
      </c>
      <c r="G14" s="46" t="str">
        <f t="shared" si="2"/>
        <v>('27Mar250004','040000185296','62534',(select max(to_number(i.premium_rcv_detail_code))+1
from ins_premium_det i),'62534','62534','02', '11000003','00','Request by Mr. Saqib Saleem 27-March-2025');</v>
      </c>
      <c r="H14" s="47" t="str">
        <f t="shared" si="3"/>
        <v>insert into ins_premium_det (premium_rcv_code,assorted_code, rec_amount,premium_rcv_detail_code,remaining_amt, payrec, mode_code,coinsurance_code,class_cd,it_remarks) values('27Mar250004','040000185296','62534',(select max(to_number(i.premium_rcv_detail_code))+1
from ins_premium_det i),'62534','62534','02', '11000003','00','Request by Mr. Saqib Saleem 27-March-2025');</v>
      </c>
    </row>
    <row r="15" spans="1:8" ht="105" x14ac:dyDescent="0.25">
      <c r="A15" s="17" t="s">
        <v>47</v>
      </c>
      <c r="B15" s="1" t="str">
        <f>VLOOKUP(A15,policy!B:C,2,0)</f>
        <v>040000185680</v>
      </c>
      <c r="C15" s="26">
        <v>38392</v>
      </c>
      <c r="D15" s="44">
        <f t="shared" si="1"/>
        <v>38392</v>
      </c>
      <c r="E15" s="48" t="s">
        <v>376</v>
      </c>
      <c r="F15" s="45" t="str">
        <f t="shared" si="0"/>
        <v>insert into ins_premium_det (premium_rcv_code,assorted_code, rec_amount,premium_rcv_detail_code,remaining_amt, payrec, mode_code,coinsurance_code,class_cd,it_remarks) values</v>
      </c>
      <c r="G15" s="46" t="str">
        <f t="shared" si="2"/>
        <v>('27Mar250004','040000185680','38392',(select max(to_number(i.premium_rcv_detail_code))+1
from ins_premium_det i),'38392','38392','02', '11000003','00','Request by Mr. Saqib Saleem 27-March-2025');</v>
      </c>
      <c r="H15" s="47" t="str">
        <f t="shared" si="3"/>
        <v>insert into ins_premium_det (premium_rcv_code,assorted_code, rec_amount,premium_rcv_detail_code,remaining_amt, payrec, mode_code,coinsurance_code,class_cd,it_remarks) values('27Mar250004','040000185680','38392',(select max(to_number(i.premium_rcv_detail_code))+1
from ins_premium_det i),'38392','38392','02', '11000003','00','Request by Mr. Saqib Saleem 27-March-2025');</v>
      </c>
    </row>
    <row r="16" spans="1:8" ht="105" x14ac:dyDescent="0.25">
      <c r="A16" s="17" t="s">
        <v>50</v>
      </c>
      <c r="B16" s="1" t="str">
        <f>VLOOKUP(A16,policy!B:C,2,0)</f>
        <v>040000185698</v>
      </c>
      <c r="C16" s="26">
        <v>76552</v>
      </c>
      <c r="D16" s="44">
        <f t="shared" si="1"/>
        <v>76552</v>
      </c>
      <c r="E16" s="48" t="s">
        <v>376</v>
      </c>
      <c r="F16" s="45" t="str">
        <f t="shared" si="0"/>
        <v>insert into ins_premium_det (premium_rcv_code,assorted_code, rec_amount,premium_rcv_detail_code,remaining_amt, payrec, mode_code,coinsurance_code,class_cd,it_remarks) values</v>
      </c>
      <c r="G16" s="46" t="str">
        <f t="shared" si="2"/>
        <v>('27Mar250004','040000185698','76552',(select max(to_number(i.premium_rcv_detail_code))+1
from ins_premium_det i),'76552','76552','02', '11000003','00','Request by Mr. Saqib Saleem 27-March-2025');</v>
      </c>
      <c r="H16" s="47" t="str">
        <f t="shared" si="3"/>
        <v>insert into ins_premium_det (premium_rcv_code,assorted_code, rec_amount,premium_rcv_detail_code,remaining_amt, payrec, mode_code,coinsurance_code,class_cd,it_remarks) values('27Mar250004','040000185698','76552',(select max(to_number(i.premium_rcv_detail_code))+1
from ins_premium_det i),'76552','76552','02', '11000003','00','Request by Mr. Saqib Saleem 27-March-2025');</v>
      </c>
    </row>
    <row r="17" spans="1:8" ht="105" x14ac:dyDescent="0.25">
      <c r="A17" s="17" t="s">
        <v>52</v>
      </c>
      <c r="B17" s="1" t="str">
        <f>VLOOKUP(A17,policy!B:C,2,0)</f>
        <v>040000189848</v>
      </c>
      <c r="C17" s="29">
        <v>5768</v>
      </c>
      <c r="D17" s="44">
        <f t="shared" si="1"/>
        <v>5768</v>
      </c>
      <c r="E17" s="48" t="s">
        <v>376</v>
      </c>
      <c r="F17" s="45" t="str">
        <f t="shared" si="0"/>
        <v>insert into ins_premium_det (premium_rcv_code,assorted_code, rec_amount,premium_rcv_detail_code,remaining_amt, payrec, mode_code,coinsurance_code,class_cd,it_remarks) values</v>
      </c>
      <c r="G17" s="46" t="str">
        <f t="shared" si="2"/>
        <v>('27Mar250004','040000189848','5768',(select max(to_number(i.premium_rcv_detail_code))+1
from ins_premium_det i),'5768','5768','02', '11000003','00','Request by Mr. Saqib Saleem 27-March-2025');</v>
      </c>
      <c r="H17" s="47" t="str">
        <f t="shared" si="3"/>
        <v>insert into ins_premium_det (premium_rcv_code,assorted_code, rec_amount,premium_rcv_detail_code,remaining_amt, payrec, mode_code,coinsurance_code,class_cd,it_remarks) values('27Mar250004','040000189848','5768',(select max(to_number(i.premium_rcv_detail_code))+1
from ins_premium_det i),'5768','5768','02', '11000003','00','Request by Mr. Saqib Saleem 27-March-2025');</v>
      </c>
    </row>
    <row r="18" spans="1:8" ht="105" x14ac:dyDescent="0.25">
      <c r="A18" s="17" t="s">
        <v>54</v>
      </c>
      <c r="B18" s="1" t="str">
        <f>VLOOKUP(A18,policy!B:C,2,0)</f>
        <v>040000182920</v>
      </c>
      <c r="C18" s="26">
        <v>3133</v>
      </c>
      <c r="D18" s="44">
        <f t="shared" si="1"/>
        <v>3133</v>
      </c>
      <c r="E18" s="48" t="s">
        <v>376</v>
      </c>
      <c r="F18" s="45" t="str">
        <f t="shared" si="0"/>
        <v>insert into ins_premium_det (premium_rcv_code,assorted_code, rec_amount,premium_rcv_detail_code,remaining_amt, payrec, mode_code,coinsurance_code,class_cd,it_remarks) values</v>
      </c>
      <c r="G18" s="46" t="str">
        <f t="shared" si="2"/>
        <v>('27Mar250004','040000182920','3133',(select max(to_number(i.premium_rcv_detail_code))+1
from ins_premium_det i),'3133','3133','02', '11000003','00','Request by Mr. Saqib Saleem 27-March-2025');</v>
      </c>
      <c r="H18" s="47" t="str">
        <f t="shared" si="3"/>
        <v>insert into ins_premium_det (premium_rcv_code,assorted_code, rec_amount,premium_rcv_detail_code,remaining_amt, payrec, mode_code,coinsurance_code,class_cd,it_remarks) values('27Mar250004','040000182920','3133',(select max(to_number(i.premium_rcv_detail_code))+1
from ins_premium_det i),'3133','3133','02', '11000003','00','Request by Mr. Saqib Saleem 27-March-2025');</v>
      </c>
    </row>
    <row r="19" spans="1:8" ht="105" x14ac:dyDescent="0.25">
      <c r="A19" s="17" t="s">
        <v>56</v>
      </c>
      <c r="B19" s="1" t="str">
        <f>VLOOKUP(A19,policy!B:C,2,0)</f>
        <v>040000182923</v>
      </c>
      <c r="C19" s="26">
        <v>2950</v>
      </c>
      <c r="D19" s="44">
        <f t="shared" si="1"/>
        <v>2950</v>
      </c>
      <c r="E19" s="48" t="s">
        <v>376</v>
      </c>
      <c r="F19" s="45" t="str">
        <f t="shared" si="0"/>
        <v>insert into ins_premium_det (premium_rcv_code,assorted_code, rec_amount,premium_rcv_detail_code,remaining_amt, payrec, mode_code,coinsurance_code,class_cd,it_remarks) values</v>
      </c>
      <c r="G19" s="46" t="str">
        <f t="shared" si="2"/>
        <v>('27Mar250004','040000182923','2950',(select max(to_number(i.premium_rcv_detail_code))+1
from ins_premium_det i),'2950','2950','02', '11000003','00','Request by Mr. Saqib Saleem 27-March-2025');</v>
      </c>
      <c r="H19" s="47" t="str">
        <f t="shared" si="3"/>
        <v>insert into ins_premium_det (premium_rcv_code,assorted_code, rec_amount,premium_rcv_detail_code,remaining_amt, payrec, mode_code,coinsurance_code,class_cd,it_remarks) values('27Mar250004','040000182923','2950',(select max(to_number(i.premium_rcv_detail_code))+1
from ins_premium_det i),'2950','2950','02', '11000003','00','Request by Mr. Saqib Saleem 27-March-2025');</v>
      </c>
    </row>
    <row r="20" spans="1:8" ht="105" x14ac:dyDescent="0.25">
      <c r="A20" s="17" t="s">
        <v>58</v>
      </c>
      <c r="B20" s="1" t="str">
        <f>VLOOKUP(A20,policy!B:C,2,0)</f>
        <v>040000182927</v>
      </c>
      <c r="C20" s="26">
        <v>17988.75</v>
      </c>
      <c r="D20" s="44">
        <f t="shared" si="1"/>
        <v>17989</v>
      </c>
      <c r="E20" s="48" t="s">
        <v>376</v>
      </c>
      <c r="F20" s="45" t="str">
        <f t="shared" si="0"/>
        <v>insert into ins_premium_det (premium_rcv_code,assorted_code, rec_amount,premium_rcv_detail_code,remaining_amt, payrec, mode_code,coinsurance_code,class_cd,it_remarks) values</v>
      </c>
      <c r="G20" s="46" t="str">
        <f t="shared" si="2"/>
        <v>('27Mar250004','040000182927','17989',(select max(to_number(i.premium_rcv_detail_code))+1
from ins_premium_det i),'17989','17989','02', '11000003','00','Request by Mr. Saqib Saleem 27-March-2025');</v>
      </c>
      <c r="H20" s="47" t="str">
        <f t="shared" si="3"/>
        <v>insert into ins_premium_det (premium_rcv_code,assorted_code, rec_amount,premium_rcv_detail_code,remaining_amt, payrec, mode_code,coinsurance_code,class_cd,it_remarks) values('27Mar250004','040000182927','17989',(select max(to_number(i.premium_rcv_detail_code))+1
from ins_premium_det i),'17989','17989','02', '11000003','00','Request by Mr. Saqib Saleem 27-March-2025');</v>
      </c>
    </row>
    <row r="21" spans="1:8" ht="105" x14ac:dyDescent="0.25">
      <c r="A21" s="17" t="s">
        <v>60</v>
      </c>
      <c r="B21" s="1" t="str">
        <f>VLOOKUP(A21,policy!B:C,2,0)</f>
        <v>040000182936</v>
      </c>
      <c r="C21" s="26">
        <v>31907.75</v>
      </c>
      <c r="D21" s="44">
        <f t="shared" si="1"/>
        <v>31908</v>
      </c>
      <c r="E21" s="48" t="s">
        <v>376</v>
      </c>
      <c r="F21" s="45" t="str">
        <f t="shared" si="0"/>
        <v>insert into ins_premium_det (premium_rcv_code,assorted_code, rec_amount,premium_rcv_detail_code,remaining_amt, payrec, mode_code,coinsurance_code,class_cd,it_remarks) values</v>
      </c>
      <c r="G21" s="46" t="str">
        <f t="shared" si="2"/>
        <v>('27Mar250004','040000182936','31908',(select max(to_number(i.premium_rcv_detail_code))+1
from ins_premium_det i),'31908','31908','02', '11000003','00','Request by Mr. Saqib Saleem 27-March-2025');</v>
      </c>
      <c r="H21" s="47" t="str">
        <f t="shared" si="3"/>
        <v>insert into ins_premium_det (premium_rcv_code,assorted_code, rec_amount,premium_rcv_detail_code,remaining_amt, payrec, mode_code,coinsurance_code,class_cd,it_remarks) values('27Mar250004','040000182936','31908',(select max(to_number(i.premium_rcv_detail_code))+1
from ins_premium_det i),'31908','31908','02', '11000003','00','Request by Mr. Saqib Saleem 27-March-2025');</v>
      </c>
    </row>
    <row r="22" spans="1:8" ht="105" x14ac:dyDescent="0.25">
      <c r="A22" s="14" t="s">
        <v>140</v>
      </c>
      <c r="B22" s="1" t="str">
        <f>VLOOKUP(A22,policy!B:C,2,0)</f>
        <v>070000167328</v>
      </c>
      <c r="C22" s="24">
        <v>3197</v>
      </c>
      <c r="D22" s="44">
        <f t="shared" si="1"/>
        <v>3197</v>
      </c>
      <c r="E22" s="48" t="s">
        <v>376</v>
      </c>
      <c r="F22" s="45" t="str">
        <f t="shared" si="0"/>
        <v>insert into ins_premium_det (premium_rcv_code,assorted_code, rec_amount,premium_rcv_detail_code,remaining_amt, payrec, mode_code,coinsurance_code,class_cd,it_remarks) values</v>
      </c>
      <c r="G22" s="46" t="str">
        <f t="shared" si="2"/>
        <v>('27Mar250004','070000167328','3197',(select max(to_number(i.premium_rcv_detail_code))+1
from ins_premium_det i),'3197','3197','02', '11000003','00','Request by Mr. Saqib Saleem 27-March-2025');</v>
      </c>
      <c r="H22" s="47" t="str">
        <f t="shared" si="3"/>
        <v>insert into ins_premium_det (premium_rcv_code,assorted_code, rec_amount,premium_rcv_detail_code,remaining_amt, payrec, mode_code,coinsurance_code,class_cd,it_remarks) values('27Mar250004','070000167328','3197',(select max(to_number(i.premium_rcv_detail_code))+1
from ins_premium_det i),'3197','3197','02', '11000003','00','Request by Mr. Saqib Saleem 27-March-2025');</v>
      </c>
    </row>
    <row r="23" spans="1:8" ht="105" x14ac:dyDescent="0.25">
      <c r="A23" s="17" t="s">
        <v>141</v>
      </c>
      <c r="B23" s="1" t="str">
        <f>VLOOKUP(A23,policy!B:C,2,0)</f>
        <v>070000168346</v>
      </c>
      <c r="C23" s="24">
        <v>1520</v>
      </c>
      <c r="D23" s="44">
        <f t="shared" si="1"/>
        <v>1520</v>
      </c>
      <c r="E23" s="48" t="s">
        <v>376</v>
      </c>
      <c r="F23" s="45" t="str">
        <f t="shared" si="0"/>
        <v>insert into ins_premium_det (premium_rcv_code,assorted_code, rec_amount,premium_rcv_detail_code,remaining_amt, payrec, mode_code,coinsurance_code,class_cd,it_remarks) values</v>
      </c>
      <c r="G23" s="46" t="str">
        <f t="shared" si="2"/>
        <v>('27Mar250004','070000168346','1520',(select max(to_number(i.premium_rcv_detail_code))+1
from ins_premium_det i),'1520','1520','02', '11000003','00','Request by Mr. Saqib Saleem 27-March-2025');</v>
      </c>
      <c r="H23" s="47" t="str">
        <f t="shared" si="3"/>
        <v>insert into ins_premium_det (premium_rcv_code,assorted_code, rec_amount,premium_rcv_detail_code,remaining_amt, payrec, mode_code,coinsurance_code,class_cd,it_remarks) values('27Mar250004','070000168346','1520',(select max(to_number(i.premium_rcv_detail_code))+1
from ins_premium_det i),'1520','1520','02', '11000003','00','Request by Mr. Saqib Saleem 27-March-2025');</v>
      </c>
    </row>
    <row r="24" spans="1:8" ht="105" x14ac:dyDescent="0.25">
      <c r="A24" s="14" t="s">
        <v>142</v>
      </c>
      <c r="B24" s="1" t="str">
        <f>VLOOKUP(A24,policy!B:C,2,0)</f>
        <v>070000169007</v>
      </c>
      <c r="C24" s="24">
        <v>3790</v>
      </c>
      <c r="D24" s="44">
        <f t="shared" si="1"/>
        <v>3790</v>
      </c>
      <c r="E24" s="48" t="s">
        <v>376</v>
      </c>
      <c r="F24" s="45" t="str">
        <f t="shared" si="0"/>
        <v>insert into ins_premium_det (premium_rcv_code,assorted_code, rec_amount,premium_rcv_detail_code,remaining_amt, payrec, mode_code,coinsurance_code,class_cd,it_remarks) values</v>
      </c>
      <c r="G24" s="46" t="str">
        <f t="shared" si="2"/>
        <v>('27Mar250004','070000169007','3790',(select max(to_number(i.premium_rcv_detail_code))+1
from ins_premium_det i),'3790','3790','02', '11000003','00','Request by Mr. Saqib Saleem 27-March-2025');</v>
      </c>
      <c r="H24" s="47" t="str">
        <f t="shared" si="3"/>
        <v>insert into ins_premium_det (premium_rcv_code,assorted_code, rec_amount,premium_rcv_detail_code,remaining_amt, payrec, mode_code,coinsurance_code,class_cd,it_remarks) values('27Mar250004','070000169007','3790',(select max(to_number(i.premium_rcv_detail_code))+1
from ins_premium_det i),'3790','3790','02', '11000003','00','Request by Mr. Saqib Saleem 27-March-2025');</v>
      </c>
    </row>
    <row r="25" spans="1:8" ht="105" x14ac:dyDescent="0.25">
      <c r="A25" s="17" t="s">
        <v>143</v>
      </c>
      <c r="B25" s="1" t="str">
        <f>VLOOKUP(A25,policy!B:C,2,0)</f>
        <v>070000169008</v>
      </c>
      <c r="C25" s="24">
        <v>5817</v>
      </c>
      <c r="D25" s="44">
        <f t="shared" si="1"/>
        <v>5817</v>
      </c>
      <c r="E25" s="48" t="s">
        <v>376</v>
      </c>
      <c r="F25" s="45" t="str">
        <f t="shared" si="0"/>
        <v>insert into ins_premium_det (premium_rcv_code,assorted_code, rec_amount,premium_rcv_detail_code,remaining_amt, payrec, mode_code,coinsurance_code,class_cd,it_remarks) values</v>
      </c>
      <c r="G25" s="46" t="str">
        <f t="shared" si="2"/>
        <v>('27Mar250004','070000169008','5817',(select max(to_number(i.premium_rcv_detail_code))+1
from ins_premium_det i),'5817','5817','02', '11000003','00','Request by Mr. Saqib Saleem 27-March-2025');</v>
      </c>
      <c r="H25" s="47" t="str">
        <f t="shared" si="3"/>
        <v>insert into ins_premium_det (premium_rcv_code,assorted_code, rec_amount,premium_rcv_detail_code,remaining_amt, payrec, mode_code,coinsurance_code,class_cd,it_remarks) values('27Mar250004','070000169008','5817',(select max(to_number(i.premium_rcv_detail_code))+1
from ins_premium_det i),'5817','5817','02', '11000003','00','Request by Mr. Saqib Saleem 27-March-2025');</v>
      </c>
    </row>
    <row r="26" spans="1:8" ht="105" x14ac:dyDescent="0.25">
      <c r="A26" s="14" t="s">
        <v>144</v>
      </c>
      <c r="B26" s="1" t="str">
        <f>VLOOKUP(A26,policy!B:C,2,0)</f>
        <v>070000169010</v>
      </c>
      <c r="C26" s="24">
        <v>3338</v>
      </c>
      <c r="D26" s="44">
        <f t="shared" si="1"/>
        <v>3338</v>
      </c>
      <c r="E26" s="48" t="s">
        <v>376</v>
      </c>
      <c r="F26" s="45" t="str">
        <f t="shared" si="0"/>
        <v>insert into ins_premium_det (premium_rcv_code,assorted_code, rec_amount,premium_rcv_detail_code,remaining_amt, payrec, mode_code,coinsurance_code,class_cd,it_remarks) values</v>
      </c>
      <c r="G26" s="46" t="str">
        <f t="shared" si="2"/>
        <v>('27Mar250004','070000169010','3338',(select max(to_number(i.premium_rcv_detail_code))+1
from ins_premium_det i),'3338','3338','02', '11000003','00','Request by Mr. Saqib Saleem 27-March-2025');</v>
      </c>
      <c r="H26" s="47" t="str">
        <f t="shared" si="3"/>
        <v>insert into ins_premium_det (premium_rcv_code,assorted_code, rec_amount,premium_rcv_detail_code,remaining_amt, payrec, mode_code,coinsurance_code,class_cd,it_remarks) values('27Mar250004','070000169010','3338',(select max(to_number(i.premium_rcv_detail_code))+1
from ins_premium_det i),'3338','3338','02', '11000003','00','Request by Mr. Saqib Saleem 27-March-2025');</v>
      </c>
    </row>
    <row r="27" spans="1:8" ht="105" x14ac:dyDescent="0.25">
      <c r="A27" s="17" t="s">
        <v>145</v>
      </c>
      <c r="B27" s="1" t="str">
        <f>VLOOKUP(A27,policy!B:C,2,0)</f>
        <v>070000169023</v>
      </c>
      <c r="C27" s="24">
        <v>5817</v>
      </c>
      <c r="D27" s="44">
        <f t="shared" si="1"/>
        <v>5817</v>
      </c>
      <c r="E27" s="48" t="s">
        <v>376</v>
      </c>
      <c r="F27" s="45" t="str">
        <f t="shared" si="0"/>
        <v>insert into ins_premium_det (premium_rcv_code,assorted_code, rec_amount,premium_rcv_detail_code,remaining_amt, payrec, mode_code,coinsurance_code,class_cd,it_remarks) values</v>
      </c>
      <c r="G27" s="46" t="str">
        <f t="shared" si="2"/>
        <v>('27Mar250004','070000169023','5817',(select max(to_number(i.premium_rcv_detail_code))+1
from ins_premium_det i),'5817','5817','02', '11000003','00','Request by Mr. Saqib Saleem 27-March-2025');</v>
      </c>
      <c r="H27" s="47" t="str">
        <f t="shared" si="3"/>
        <v>insert into ins_premium_det (premium_rcv_code,assorted_code, rec_amount,premium_rcv_detail_code,remaining_amt, payrec, mode_code,coinsurance_code,class_cd,it_remarks) values('27Mar250004','070000169023','5817',(select max(to_number(i.premium_rcv_detail_code))+1
from ins_premium_det i),'5817','5817','02', '11000003','00','Request by Mr. Saqib Saleem 27-March-2025');</v>
      </c>
    </row>
    <row r="28" spans="1:8" ht="105" x14ac:dyDescent="0.25">
      <c r="A28" s="17" t="s">
        <v>146</v>
      </c>
      <c r="B28" s="1" t="str">
        <f>VLOOKUP(A28,policy!B:C,2,0)</f>
        <v>070000169027</v>
      </c>
      <c r="C28" s="24">
        <v>5817</v>
      </c>
      <c r="D28" s="44">
        <f t="shared" si="1"/>
        <v>5817</v>
      </c>
      <c r="E28" s="48" t="s">
        <v>376</v>
      </c>
      <c r="F28" s="45" t="str">
        <f t="shared" si="0"/>
        <v>insert into ins_premium_det (premium_rcv_code,assorted_code, rec_amount,premium_rcv_detail_code,remaining_amt, payrec, mode_code,coinsurance_code,class_cd,it_remarks) values</v>
      </c>
      <c r="G28" s="46" t="str">
        <f t="shared" si="2"/>
        <v>('27Mar250004','070000169027','5817',(select max(to_number(i.premium_rcv_detail_code))+1
from ins_premium_det i),'5817','5817','02', '11000003','00','Request by Mr. Saqib Saleem 27-March-2025');</v>
      </c>
      <c r="H28" s="47" t="str">
        <f t="shared" si="3"/>
        <v>insert into ins_premium_det (premium_rcv_code,assorted_code, rec_amount,premium_rcv_detail_code,remaining_amt, payrec, mode_code,coinsurance_code,class_cd,it_remarks) values('27Mar250004','070000169027','5817',(select max(to_number(i.premium_rcv_detail_code))+1
from ins_premium_det i),'5817','5817','02', '11000003','00','Request by Mr. Saqib Saleem 27-March-2025');</v>
      </c>
    </row>
    <row r="29" spans="1:8" ht="105" x14ac:dyDescent="0.25">
      <c r="A29" s="17" t="s">
        <v>147</v>
      </c>
      <c r="B29" s="1" t="str">
        <f>VLOOKUP(A29,policy!B:C,2,0)</f>
        <v>070000169031</v>
      </c>
      <c r="C29" s="24">
        <v>5817</v>
      </c>
      <c r="D29" s="44">
        <f t="shared" si="1"/>
        <v>5817</v>
      </c>
      <c r="E29" s="48" t="s">
        <v>376</v>
      </c>
      <c r="F29" s="45" t="str">
        <f t="shared" si="0"/>
        <v>insert into ins_premium_det (premium_rcv_code,assorted_code, rec_amount,premium_rcv_detail_code,remaining_amt, payrec, mode_code,coinsurance_code,class_cd,it_remarks) values</v>
      </c>
      <c r="G29" s="46" t="str">
        <f t="shared" si="2"/>
        <v>('27Mar250004','070000169031','5817',(select max(to_number(i.premium_rcv_detail_code))+1
from ins_premium_det i),'5817','5817','02', '11000003','00','Request by Mr. Saqib Saleem 27-March-2025');</v>
      </c>
      <c r="H29" s="47" t="str">
        <f t="shared" si="3"/>
        <v>insert into ins_premium_det (premium_rcv_code,assorted_code, rec_amount,premium_rcv_detail_code,remaining_amt, payrec, mode_code,coinsurance_code,class_cd,it_remarks) values('27Mar250004','070000169031','5817',(select max(to_number(i.premium_rcv_detail_code))+1
from ins_premium_det i),'5817','5817','02', '11000003','00','Request by Mr. Saqib Saleem 27-March-2025');</v>
      </c>
    </row>
    <row r="30" spans="1:8" ht="105" x14ac:dyDescent="0.25">
      <c r="A30" s="17" t="s">
        <v>148</v>
      </c>
      <c r="B30" s="1" t="str">
        <f>VLOOKUP(A30,policy!B:C,2,0)</f>
        <v>070000169521</v>
      </c>
      <c r="C30" s="24">
        <v>6555</v>
      </c>
      <c r="D30" s="44">
        <f t="shared" si="1"/>
        <v>6555</v>
      </c>
      <c r="E30" s="48" t="s">
        <v>376</v>
      </c>
      <c r="F30" s="45" t="str">
        <f t="shared" si="0"/>
        <v>insert into ins_premium_det (premium_rcv_code,assorted_code, rec_amount,premium_rcv_detail_code,remaining_amt, payrec, mode_code,coinsurance_code,class_cd,it_remarks) values</v>
      </c>
      <c r="G30" s="46" t="str">
        <f t="shared" si="2"/>
        <v>('27Mar250004','070000169521','6555',(select max(to_number(i.premium_rcv_detail_code))+1
from ins_premium_det i),'6555','6555','02', '11000003','00','Request by Mr. Saqib Saleem 27-March-2025');</v>
      </c>
      <c r="H30" s="47" t="str">
        <f t="shared" si="3"/>
        <v>insert into ins_premium_det (premium_rcv_code,assorted_code, rec_amount,premium_rcv_detail_code,remaining_amt, payrec, mode_code,coinsurance_code,class_cd,it_remarks) values('27Mar250004','070000169521','6555',(select max(to_number(i.premium_rcv_detail_code))+1
from ins_premium_det i),'6555','6555','02', '11000003','00','Request by Mr. Saqib Saleem 27-March-2025');</v>
      </c>
    </row>
    <row r="31" spans="1:8" ht="105" x14ac:dyDescent="0.25">
      <c r="A31" s="17" t="s">
        <v>149</v>
      </c>
      <c r="B31" s="1" t="str">
        <f>VLOOKUP(A31,policy!B:C,2,0)</f>
        <v>070000169523</v>
      </c>
      <c r="C31" s="24">
        <v>971</v>
      </c>
      <c r="D31" s="44">
        <f t="shared" si="1"/>
        <v>971</v>
      </c>
      <c r="E31" s="48" t="s">
        <v>376</v>
      </c>
      <c r="F31" s="45" t="str">
        <f t="shared" si="0"/>
        <v>insert into ins_premium_det (premium_rcv_code,assorted_code, rec_amount,premium_rcv_detail_code,remaining_amt, payrec, mode_code,coinsurance_code,class_cd,it_remarks) values</v>
      </c>
      <c r="G31" s="46" t="str">
        <f t="shared" si="2"/>
        <v>('27Mar250004','070000169523','971',(select max(to_number(i.premium_rcv_detail_code))+1
from ins_premium_det i),'971','971','02', '11000003','00','Request by Mr. Saqib Saleem 27-March-2025');</v>
      </c>
      <c r="H31" s="47" t="str">
        <f t="shared" si="3"/>
        <v>insert into ins_premium_det (premium_rcv_code,assorted_code, rec_amount,premium_rcv_detail_code,remaining_amt, payrec, mode_code,coinsurance_code,class_cd,it_remarks) values('27Mar250004','070000169523','971',(select max(to_number(i.premium_rcv_detail_code))+1
from ins_premium_det i),'971','971','02', '11000003','00','Request by Mr. Saqib Saleem 27-March-2025');</v>
      </c>
    </row>
    <row r="32" spans="1:8" ht="105" x14ac:dyDescent="0.25">
      <c r="A32" s="17" t="s">
        <v>150</v>
      </c>
      <c r="B32" s="1" t="str">
        <f>VLOOKUP(A32,policy!B:C,2,0)</f>
        <v>070000169783</v>
      </c>
      <c r="C32" s="24">
        <v>3338</v>
      </c>
      <c r="D32" s="44">
        <f t="shared" si="1"/>
        <v>3338</v>
      </c>
      <c r="E32" s="48" t="s">
        <v>376</v>
      </c>
      <c r="F32" s="45" t="str">
        <f t="shared" si="0"/>
        <v>insert into ins_premium_det (premium_rcv_code,assorted_code, rec_amount,premium_rcv_detail_code,remaining_amt, payrec, mode_code,coinsurance_code,class_cd,it_remarks) values</v>
      </c>
      <c r="G32" s="46" t="str">
        <f t="shared" si="2"/>
        <v>('27Mar250004','070000169783','3338',(select max(to_number(i.premium_rcv_detail_code))+1
from ins_premium_det i),'3338','3338','02', '11000003','00','Request by Mr. Saqib Saleem 27-March-2025');</v>
      </c>
      <c r="H32" s="47" t="str">
        <f t="shared" si="3"/>
        <v>insert into ins_premium_det (premium_rcv_code,assorted_code, rec_amount,premium_rcv_detail_code,remaining_amt, payrec, mode_code,coinsurance_code,class_cd,it_remarks) values('27Mar250004','070000169783','3338',(select max(to_number(i.premium_rcv_detail_code))+1
from ins_premium_det i),'3338','3338','02', '11000003','00','Request by Mr. Saqib Saleem 27-March-2025');</v>
      </c>
    </row>
    <row r="33" spans="1:8" ht="105" x14ac:dyDescent="0.25">
      <c r="A33" s="14" t="s">
        <v>151</v>
      </c>
      <c r="B33" s="1" t="str">
        <f>VLOOKUP(A33,policy!B:C,2,0)</f>
        <v>070000169784</v>
      </c>
      <c r="C33" s="24">
        <v>3338</v>
      </c>
      <c r="D33" s="44">
        <f t="shared" si="1"/>
        <v>3338</v>
      </c>
      <c r="E33" s="48" t="s">
        <v>376</v>
      </c>
      <c r="F33" s="45" t="str">
        <f t="shared" si="0"/>
        <v>insert into ins_premium_det (premium_rcv_code,assorted_code, rec_amount,premium_rcv_detail_code,remaining_amt, payrec, mode_code,coinsurance_code,class_cd,it_remarks) values</v>
      </c>
      <c r="G33" s="46" t="str">
        <f t="shared" si="2"/>
        <v>('27Mar250004','070000169784','3338',(select max(to_number(i.premium_rcv_detail_code))+1
from ins_premium_det i),'3338','3338','02', '11000003','00','Request by Mr. Saqib Saleem 27-March-2025');</v>
      </c>
      <c r="H33" s="47" t="str">
        <f t="shared" si="3"/>
        <v>insert into ins_premium_det (premium_rcv_code,assorted_code, rec_amount,premium_rcv_detail_code,remaining_amt, payrec, mode_code,coinsurance_code,class_cd,it_remarks) values('27Mar250004','070000169784','3338',(select max(to_number(i.premium_rcv_detail_code))+1
from ins_premium_det i),'3338','3338','02', '11000003','00','Request by Mr. Saqib Saleem 27-March-2025');</v>
      </c>
    </row>
    <row r="34" spans="1:8" ht="105" x14ac:dyDescent="0.25">
      <c r="A34" s="17" t="s">
        <v>152</v>
      </c>
      <c r="B34" s="1" t="str">
        <f>VLOOKUP(A34,policy!B:C,2,0)</f>
        <v>070000169785</v>
      </c>
      <c r="C34" s="24">
        <v>3338</v>
      </c>
      <c r="D34" s="44">
        <f t="shared" si="1"/>
        <v>3338</v>
      </c>
      <c r="E34" s="48" t="s">
        <v>376</v>
      </c>
      <c r="F34" s="45" t="str">
        <f t="shared" si="0"/>
        <v>insert into ins_premium_det (premium_rcv_code,assorted_code, rec_amount,premium_rcv_detail_code,remaining_amt, payrec, mode_code,coinsurance_code,class_cd,it_remarks) values</v>
      </c>
      <c r="G34" s="46" t="str">
        <f t="shared" si="2"/>
        <v>('27Mar250004','070000169785','3338',(select max(to_number(i.premium_rcv_detail_code))+1
from ins_premium_det i),'3338','3338','02', '11000003','00','Request by Mr. Saqib Saleem 27-March-2025');</v>
      </c>
      <c r="H34" s="47" t="str">
        <f t="shared" si="3"/>
        <v>insert into ins_premium_det (premium_rcv_code,assorted_code, rec_amount,premium_rcv_detail_code,remaining_amt, payrec, mode_code,coinsurance_code,class_cd,it_remarks) values('27Mar250004','070000169785','3338',(select max(to_number(i.premium_rcv_detail_code))+1
from ins_premium_det i),'3338','3338','02', '11000003','00','Request by Mr. Saqib Saleem 27-March-2025');</v>
      </c>
    </row>
    <row r="35" spans="1:8" ht="105" x14ac:dyDescent="0.25">
      <c r="A35" s="30" t="s">
        <v>153</v>
      </c>
      <c r="B35" s="1" t="str">
        <f>VLOOKUP(A35,policy!B:C,2,0)</f>
        <v>070000169786</v>
      </c>
      <c r="C35" s="24">
        <v>3338</v>
      </c>
      <c r="D35" s="44">
        <f t="shared" si="1"/>
        <v>3338</v>
      </c>
      <c r="E35" s="48" t="s">
        <v>376</v>
      </c>
      <c r="F35" s="45" t="str">
        <f t="shared" si="0"/>
        <v>insert into ins_premium_det (premium_rcv_code,assorted_code, rec_amount,premium_rcv_detail_code,remaining_amt, payrec, mode_code,coinsurance_code,class_cd,it_remarks) values</v>
      </c>
      <c r="G35" s="46" t="str">
        <f t="shared" si="2"/>
        <v>('27Mar250004','070000169786','3338',(select max(to_number(i.premium_rcv_detail_code))+1
from ins_premium_det i),'3338','3338','02', '11000003','00','Request by Mr. Saqib Saleem 27-March-2025');</v>
      </c>
      <c r="H35" s="47" t="str">
        <f t="shared" si="3"/>
        <v>insert into ins_premium_det (premium_rcv_code,assorted_code, rec_amount,premium_rcv_detail_code,remaining_amt, payrec, mode_code,coinsurance_code,class_cd,it_remarks) values('27Mar250004','070000169786','3338',(select max(to_number(i.premium_rcv_detail_code))+1
from ins_premium_det i),'3338','3338','02', '11000003','00','Request by Mr. Saqib Saleem 27-March-2025');</v>
      </c>
    </row>
    <row r="36" spans="1:8" ht="105" x14ac:dyDescent="0.25">
      <c r="A36" s="17" t="s">
        <v>154</v>
      </c>
      <c r="B36" s="1" t="str">
        <f>VLOOKUP(A36,policy!B:C,2,0)</f>
        <v>070000169787</v>
      </c>
      <c r="C36" s="24">
        <v>3338</v>
      </c>
      <c r="D36" s="44">
        <f t="shared" si="1"/>
        <v>3338</v>
      </c>
      <c r="E36" s="48" t="s">
        <v>376</v>
      </c>
      <c r="F36" s="45" t="str">
        <f t="shared" si="0"/>
        <v>insert into ins_premium_det (premium_rcv_code,assorted_code, rec_amount,premium_rcv_detail_code,remaining_amt, payrec, mode_code,coinsurance_code,class_cd,it_remarks) values</v>
      </c>
      <c r="G36" s="46" t="str">
        <f t="shared" si="2"/>
        <v>('27Mar250004','070000169787','3338',(select max(to_number(i.premium_rcv_detail_code))+1
from ins_premium_det i),'3338','3338','02', '11000003','00','Request by Mr. Saqib Saleem 27-March-2025');</v>
      </c>
      <c r="H36" s="47" t="str">
        <f t="shared" si="3"/>
        <v>insert into ins_premium_det (premium_rcv_code,assorted_code, rec_amount,premium_rcv_detail_code,remaining_amt, payrec, mode_code,coinsurance_code,class_cd,it_remarks) values('27Mar250004','070000169787','3338',(select max(to_number(i.premium_rcv_detail_code))+1
from ins_premium_det i),'3338','3338','02', '11000003','00','Request by Mr. Saqib Saleem 27-March-2025');</v>
      </c>
    </row>
    <row r="37" spans="1:8" ht="105" x14ac:dyDescent="0.25">
      <c r="A37" s="17" t="s">
        <v>155</v>
      </c>
      <c r="B37" s="1" t="str">
        <f>VLOOKUP(A37,policy!B:C,2,0)</f>
        <v>070000169788</v>
      </c>
      <c r="C37" s="24">
        <v>557</v>
      </c>
      <c r="D37" s="44">
        <f t="shared" si="1"/>
        <v>557</v>
      </c>
      <c r="E37" s="48" t="s">
        <v>376</v>
      </c>
      <c r="F37" s="45" t="str">
        <f t="shared" si="0"/>
        <v>insert into ins_premium_det (premium_rcv_code,assorted_code, rec_amount,premium_rcv_detail_code,remaining_amt, payrec, mode_code,coinsurance_code,class_cd,it_remarks) values</v>
      </c>
      <c r="G37" s="46" t="str">
        <f t="shared" si="2"/>
        <v>('27Mar250004','070000169788','557',(select max(to_number(i.premium_rcv_detail_code))+1
from ins_premium_det i),'557','557','02', '11000003','00','Request by Mr. Saqib Saleem 27-March-2025');</v>
      </c>
      <c r="H37" s="47" t="str">
        <f t="shared" si="3"/>
        <v>insert into ins_premium_det (premium_rcv_code,assorted_code, rec_amount,premium_rcv_detail_code,remaining_amt, payrec, mode_code,coinsurance_code,class_cd,it_remarks) values('27Mar250004','070000169788','557',(select max(to_number(i.premium_rcv_detail_code))+1
from ins_premium_det i),'557','557','02', '11000003','00','Request by Mr. Saqib Saleem 27-March-2025');</v>
      </c>
    </row>
    <row r="38" spans="1:8" ht="105" x14ac:dyDescent="0.25">
      <c r="A38" s="17" t="s">
        <v>156</v>
      </c>
      <c r="B38" s="1" t="str">
        <f>VLOOKUP(A38,policy!B:C,2,0)</f>
        <v>070000172278</v>
      </c>
      <c r="C38" s="24">
        <v>5004</v>
      </c>
      <c r="D38" s="44">
        <f t="shared" si="1"/>
        <v>5004</v>
      </c>
      <c r="E38" s="48" t="s">
        <v>376</v>
      </c>
      <c r="F38" s="45" t="str">
        <f t="shared" si="0"/>
        <v>insert into ins_premium_det (premium_rcv_code,assorted_code, rec_amount,premium_rcv_detail_code,remaining_amt, payrec, mode_code,coinsurance_code,class_cd,it_remarks) values</v>
      </c>
      <c r="G38" s="46" t="str">
        <f t="shared" si="2"/>
        <v>('27Mar250004','070000172278','5004',(select max(to_number(i.premium_rcv_detail_code))+1
from ins_premium_det i),'5004','5004','02', '11000003','00','Request by Mr. Saqib Saleem 27-March-2025');</v>
      </c>
      <c r="H38" s="47" t="str">
        <f t="shared" si="3"/>
        <v>insert into ins_premium_det (premium_rcv_code,assorted_code, rec_amount,premium_rcv_detail_code,remaining_amt, payrec, mode_code,coinsurance_code,class_cd,it_remarks) values('27Mar250004','070000172278','5004',(select max(to_number(i.premium_rcv_detail_code))+1
from ins_premium_det i),'5004','5004','02', '11000003','00','Request by Mr. Saqib Saleem 27-March-2025');</v>
      </c>
    </row>
    <row r="39" spans="1:8" ht="105" x14ac:dyDescent="0.25">
      <c r="A39" s="17" t="s">
        <v>157</v>
      </c>
      <c r="B39" s="1" t="str">
        <f>VLOOKUP(A39,policy!B:C,2,0)</f>
        <v>070000172280</v>
      </c>
      <c r="C39" s="24">
        <v>5004</v>
      </c>
      <c r="D39" s="44">
        <f t="shared" si="1"/>
        <v>5004</v>
      </c>
      <c r="E39" s="48" t="s">
        <v>376</v>
      </c>
      <c r="F39" s="45" t="str">
        <f t="shared" si="0"/>
        <v>insert into ins_premium_det (premium_rcv_code,assorted_code, rec_amount,premium_rcv_detail_code,remaining_amt, payrec, mode_code,coinsurance_code,class_cd,it_remarks) values</v>
      </c>
      <c r="G39" s="46" t="str">
        <f t="shared" si="2"/>
        <v>('27Mar250004','070000172280','5004',(select max(to_number(i.premium_rcv_detail_code))+1
from ins_premium_det i),'5004','5004','02', '11000003','00','Request by Mr. Saqib Saleem 27-March-2025');</v>
      </c>
      <c r="H39" s="47" t="str">
        <f t="shared" si="3"/>
        <v>insert into ins_premium_det (premium_rcv_code,assorted_code, rec_amount,premium_rcv_detail_code,remaining_amt, payrec, mode_code,coinsurance_code,class_cd,it_remarks) values('27Mar250004','070000172280','5004',(select max(to_number(i.premium_rcv_detail_code))+1
from ins_premium_det i),'5004','5004','02', '11000003','00','Request by Mr. Saqib Saleem 27-March-2025');</v>
      </c>
    </row>
    <row r="40" spans="1:8" ht="105" x14ac:dyDescent="0.25">
      <c r="A40" s="17" t="s">
        <v>158</v>
      </c>
      <c r="B40" s="1" t="str">
        <f>VLOOKUP(A40,policy!B:C,2,0)</f>
        <v>070000172282</v>
      </c>
      <c r="C40" s="24">
        <v>5830</v>
      </c>
      <c r="D40" s="44">
        <f t="shared" si="1"/>
        <v>5830</v>
      </c>
      <c r="E40" s="48" t="s">
        <v>376</v>
      </c>
      <c r="F40" s="45" t="str">
        <f t="shared" si="0"/>
        <v>insert into ins_premium_det (premium_rcv_code,assorted_code, rec_amount,premium_rcv_detail_code,remaining_amt, payrec, mode_code,coinsurance_code,class_cd,it_remarks) values</v>
      </c>
      <c r="G40" s="46" t="str">
        <f t="shared" si="2"/>
        <v>('27Mar250004','070000172282','5830',(select max(to_number(i.premium_rcv_detail_code))+1
from ins_premium_det i),'5830','5830','02', '11000003','00','Request by Mr. Saqib Saleem 27-March-2025');</v>
      </c>
      <c r="H40" s="47" t="str">
        <f t="shared" si="3"/>
        <v>insert into ins_premium_det (premium_rcv_code,assorted_code, rec_amount,premium_rcv_detail_code,remaining_amt, payrec, mode_code,coinsurance_code,class_cd,it_remarks) values('27Mar250004','070000172282','5830',(select max(to_number(i.premium_rcv_detail_code))+1
from ins_premium_det i),'5830','5830','02', '11000003','00','Request by Mr. Saqib Saleem 27-March-2025');</v>
      </c>
    </row>
    <row r="41" spans="1:8" ht="105" x14ac:dyDescent="0.25">
      <c r="A41" s="17" t="s">
        <v>159</v>
      </c>
      <c r="B41" s="1" t="str">
        <f>VLOOKUP(A41,policy!B:C,2,0)</f>
        <v>070000172283</v>
      </c>
      <c r="C41" s="24">
        <v>5830</v>
      </c>
      <c r="D41" s="44">
        <f t="shared" si="1"/>
        <v>5830</v>
      </c>
      <c r="E41" s="48" t="s">
        <v>376</v>
      </c>
      <c r="F41" s="45" t="str">
        <f t="shared" si="0"/>
        <v>insert into ins_premium_det (premium_rcv_code,assorted_code, rec_amount,premium_rcv_detail_code,remaining_amt, payrec, mode_code,coinsurance_code,class_cd,it_remarks) values</v>
      </c>
      <c r="G41" s="46" t="str">
        <f t="shared" si="2"/>
        <v>('27Mar250004','070000172283','5830',(select max(to_number(i.premium_rcv_detail_code))+1
from ins_premium_det i),'5830','5830','02', '11000003','00','Request by Mr. Saqib Saleem 27-March-2025');</v>
      </c>
      <c r="H41" s="47" t="str">
        <f t="shared" si="3"/>
        <v>insert into ins_premium_det (premium_rcv_code,assorted_code, rec_amount,premium_rcv_detail_code,remaining_amt, payrec, mode_code,coinsurance_code,class_cd,it_remarks) values('27Mar250004','070000172283','5830',(select max(to_number(i.premium_rcv_detail_code))+1
from ins_premium_det i),'5830','5830','02', '11000003','00','Request by Mr. Saqib Saleem 27-March-2025');</v>
      </c>
    </row>
    <row r="42" spans="1:8" ht="105" x14ac:dyDescent="0.25">
      <c r="A42" s="17" t="s">
        <v>160</v>
      </c>
      <c r="B42" s="1" t="str">
        <f>VLOOKUP(A42,policy!B:C,2,0)</f>
        <v>070000172284</v>
      </c>
      <c r="C42" s="24">
        <v>3875</v>
      </c>
      <c r="D42" s="44">
        <f t="shared" si="1"/>
        <v>3875</v>
      </c>
      <c r="E42" s="48" t="s">
        <v>376</v>
      </c>
      <c r="F42" s="45" t="str">
        <f t="shared" si="0"/>
        <v>insert into ins_premium_det (premium_rcv_code,assorted_code, rec_amount,premium_rcv_detail_code,remaining_amt, payrec, mode_code,coinsurance_code,class_cd,it_remarks) values</v>
      </c>
      <c r="G42" s="46" t="str">
        <f t="shared" si="2"/>
        <v>('27Mar250004','070000172284','3875',(select max(to_number(i.premium_rcv_detail_code))+1
from ins_premium_det i),'3875','3875','02', '11000003','00','Request by Mr. Saqib Saleem 27-March-2025');</v>
      </c>
      <c r="H42" s="47" t="str">
        <f t="shared" si="3"/>
        <v>insert into ins_premium_det (premium_rcv_code,assorted_code, rec_amount,premium_rcv_detail_code,remaining_amt, payrec, mode_code,coinsurance_code,class_cd,it_remarks) values('27Mar250004','070000172284','3875',(select max(to_number(i.premium_rcv_detail_code))+1
from ins_premium_det i),'3875','3875','02', '11000003','00','Request by Mr. Saqib Saleem 27-March-2025');</v>
      </c>
    </row>
    <row r="43" spans="1:8" ht="105" x14ac:dyDescent="0.25">
      <c r="A43" s="17" t="s">
        <v>161</v>
      </c>
      <c r="B43" s="1" t="str">
        <f>VLOOKUP(A43,policy!B:C,2,0)</f>
        <v>070000172285</v>
      </c>
      <c r="C43" s="24">
        <v>3758</v>
      </c>
      <c r="D43" s="44">
        <f t="shared" si="1"/>
        <v>3758</v>
      </c>
      <c r="E43" s="48" t="s">
        <v>376</v>
      </c>
      <c r="F43" s="45" t="str">
        <f t="shared" si="0"/>
        <v>insert into ins_premium_det (premium_rcv_code,assorted_code, rec_amount,premium_rcv_detail_code,remaining_amt, payrec, mode_code,coinsurance_code,class_cd,it_remarks) values</v>
      </c>
      <c r="G43" s="46" t="str">
        <f t="shared" si="2"/>
        <v>('27Mar250004','070000172285','3758',(select max(to_number(i.premium_rcv_detail_code))+1
from ins_premium_det i),'3758','3758','02', '11000003','00','Request by Mr. Saqib Saleem 27-March-2025');</v>
      </c>
      <c r="H43" s="47" t="str">
        <f t="shared" si="3"/>
        <v>insert into ins_premium_det (premium_rcv_code,assorted_code, rec_amount,premium_rcv_detail_code,remaining_amt, payrec, mode_code,coinsurance_code,class_cd,it_remarks) values('27Mar250004','070000172285','3758',(select max(to_number(i.premium_rcv_detail_code))+1
from ins_premium_det i),'3758','3758','02', '11000003','00','Request by Mr. Saqib Saleem 27-March-2025');</v>
      </c>
    </row>
    <row r="44" spans="1:8" ht="105" x14ac:dyDescent="0.25">
      <c r="A44" s="17" t="s">
        <v>162</v>
      </c>
      <c r="B44" s="1" t="str">
        <f>VLOOKUP(A44,policy!B:C,2,0)</f>
        <v>070000172719</v>
      </c>
      <c r="C44" s="24">
        <v>1004</v>
      </c>
      <c r="D44" s="44">
        <f t="shared" si="1"/>
        <v>1004</v>
      </c>
      <c r="E44" s="48" t="s">
        <v>376</v>
      </c>
      <c r="F44" s="45" t="str">
        <f t="shared" si="0"/>
        <v>insert into ins_premium_det (premium_rcv_code,assorted_code, rec_amount,premium_rcv_detail_code,remaining_amt, payrec, mode_code,coinsurance_code,class_cd,it_remarks) values</v>
      </c>
      <c r="G44" s="46" t="str">
        <f t="shared" si="2"/>
        <v>('27Mar250004','070000172719','1004',(select max(to_number(i.premium_rcv_detail_code))+1
from ins_premium_det i),'1004','1004','02', '11000003','00','Request by Mr. Saqib Saleem 27-March-2025');</v>
      </c>
      <c r="H44" s="47" t="str">
        <f t="shared" si="3"/>
        <v>insert into ins_premium_det (premium_rcv_code,assorted_code, rec_amount,premium_rcv_detail_code,remaining_amt, payrec, mode_code,coinsurance_code,class_cd,it_remarks) values('27Mar250004','070000172719','1004',(select max(to_number(i.premium_rcv_detail_code))+1
from ins_premium_det i),'1004','1004','02', '11000003','00','Request by Mr. Saqib Saleem 27-March-2025');</v>
      </c>
    </row>
    <row r="45" spans="1:8" ht="105" x14ac:dyDescent="0.25">
      <c r="A45" s="17" t="s">
        <v>163</v>
      </c>
      <c r="B45" s="1" t="str">
        <f>VLOOKUP(A45,policy!B:C,2,0)</f>
        <v>070000172723</v>
      </c>
      <c r="C45" s="24">
        <v>3377</v>
      </c>
      <c r="D45" s="44">
        <f t="shared" si="1"/>
        <v>3377</v>
      </c>
      <c r="E45" s="48" t="s">
        <v>376</v>
      </c>
      <c r="F45" s="45" t="str">
        <f t="shared" si="0"/>
        <v>insert into ins_premium_det (premium_rcv_code,assorted_code, rec_amount,premium_rcv_detail_code,remaining_amt, payrec, mode_code,coinsurance_code,class_cd,it_remarks) values</v>
      </c>
      <c r="G45" s="46" t="str">
        <f t="shared" si="2"/>
        <v>('27Mar250004','070000172723','3377',(select max(to_number(i.premium_rcv_detail_code))+1
from ins_premium_det i),'3377','3377','02', '11000003','00','Request by Mr. Saqib Saleem 27-March-2025');</v>
      </c>
      <c r="H45" s="47" t="str">
        <f t="shared" si="3"/>
        <v>insert into ins_premium_det (premium_rcv_code,assorted_code, rec_amount,premium_rcv_detail_code,remaining_amt, payrec, mode_code,coinsurance_code,class_cd,it_remarks) values('27Mar250004','070000172723','3377',(select max(to_number(i.premium_rcv_detail_code))+1
from ins_premium_det i),'3377','3377','02', '11000003','00','Request by Mr. Saqib Saleem 27-March-2025');</v>
      </c>
    </row>
    <row r="46" spans="1:8" ht="105" x14ac:dyDescent="0.25">
      <c r="A46" s="17" t="s">
        <v>164</v>
      </c>
      <c r="B46" s="1" t="str">
        <f>VLOOKUP(A46,policy!B:C,2,0)</f>
        <v>070000172732</v>
      </c>
      <c r="C46" s="24">
        <v>2449</v>
      </c>
      <c r="D46" s="44">
        <f t="shared" si="1"/>
        <v>2449</v>
      </c>
      <c r="E46" s="48" t="s">
        <v>376</v>
      </c>
      <c r="F46" s="45" t="str">
        <f t="shared" si="0"/>
        <v>insert into ins_premium_det (premium_rcv_code,assorted_code, rec_amount,premium_rcv_detail_code,remaining_amt, payrec, mode_code,coinsurance_code,class_cd,it_remarks) values</v>
      </c>
      <c r="G46" s="46" t="str">
        <f t="shared" si="2"/>
        <v>('27Mar250004','070000172732','2449',(select max(to_number(i.premium_rcv_detail_code))+1
from ins_premium_det i),'2449','2449','02', '11000003','00','Request by Mr. Saqib Saleem 27-March-2025');</v>
      </c>
      <c r="H46" s="47" t="str">
        <f t="shared" si="3"/>
        <v>insert into ins_premium_det (premium_rcv_code,assorted_code, rec_amount,premium_rcv_detail_code,remaining_amt, payrec, mode_code,coinsurance_code,class_cd,it_remarks) values('27Mar250004','070000172732','2449',(select max(to_number(i.premium_rcv_detail_code))+1
from ins_premium_det i),'2449','2449','02', '11000003','00','Request by Mr. Saqib Saleem 27-March-2025');</v>
      </c>
    </row>
    <row r="47" spans="1:8" ht="105" x14ac:dyDescent="0.25">
      <c r="A47" s="17" t="s">
        <v>165</v>
      </c>
      <c r="B47" s="1" t="str">
        <f>VLOOKUP(A47,policy!B:C,2,0)</f>
        <v>070000172735</v>
      </c>
      <c r="C47" s="24">
        <v>5861</v>
      </c>
      <c r="D47" s="44">
        <f t="shared" si="1"/>
        <v>5861</v>
      </c>
      <c r="E47" s="48" t="s">
        <v>376</v>
      </c>
      <c r="F47" s="45" t="str">
        <f t="shared" si="0"/>
        <v>insert into ins_premium_det (premium_rcv_code,assorted_code, rec_amount,premium_rcv_detail_code,remaining_amt, payrec, mode_code,coinsurance_code,class_cd,it_remarks) values</v>
      </c>
      <c r="G47" s="46" t="str">
        <f t="shared" si="2"/>
        <v>('27Mar250004','070000172735','5861',(select max(to_number(i.premium_rcv_detail_code))+1
from ins_premium_det i),'5861','5861','02', '11000003','00','Request by Mr. Saqib Saleem 27-March-2025');</v>
      </c>
      <c r="H47" s="47" t="str">
        <f t="shared" si="3"/>
        <v>insert into ins_premium_det (premium_rcv_code,assorted_code, rec_amount,premium_rcv_detail_code,remaining_amt, payrec, mode_code,coinsurance_code,class_cd,it_remarks) values('27Mar250004','070000172735','5861',(select max(to_number(i.premium_rcv_detail_code))+1
from ins_premium_det i),'5861','5861','02', '11000003','00','Request by Mr. Saqib Saleem 27-March-2025');</v>
      </c>
    </row>
    <row r="48" spans="1:8" ht="105" x14ac:dyDescent="0.25">
      <c r="A48" s="17" t="s">
        <v>166</v>
      </c>
      <c r="B48" s="1" t="str">
        <f>VLOOKUP(A48,policy!B:C,2,0)</f>
        <v>070000173597</v>
      </c>
      <c r="C48" s="24">
        <v>5004</v>
      </c>
      <c r="D48" s="44">
        <f t="shared" si="1"/>
        <v>5004</v>
      </c>
      <c r="E48" s="48" t="s">
        <v>376</v>
      </c>
      <c r="F48" s="45" t="str">
        <f t="shared" si="0"/>
        <v>insert into ins_premium_det (premium_rcv_code,assorted_code, rec_amount,premium_rcv_detail_code,remaining_amt, payrec, mode_code,coinsurance_code,class_cd,it_remarks) values</v>
      </c>
      <c r="G48" s="46" t="str">
        <f t="shared" si="2"/>
        <v>('27Mar250004','070000173597','5004',(select max(to_number(i.premium_rcv_detail_code))+1
from ins_premium_det i),'5004','5004','02', '11000003','00','Request by Mr. Saqib Saleem 27-March-2025');</v>
      </c>
      <c r="H48" s="47" t="str">
        <f t="shared" si="3"/>
        <v>insert into ins_premium_det (premium_rcv_code,assorted_code, rec_amount,premium_rcv_detail_code,remaining_amt, payrec, mode_code,coinsurance_code,class_cd,it_remarks) values('27Mar250004','070000173597','5004',(select max(to_number(i.premium_rcv_detail_code))+1
from ins_premium_det i),'5004','5004','02', '11000003','00','Request by Mr. Saqib Saleem 27-March-2025');</v>
      </c>
    </row>
    <row r="49" spans="1:8" ht="105" x14ac:dyDescent="0.25">
      <c r="A49" s="17" t="s">
        <v>167</v>
      </c>
      <c r="B49" s="1" t="str">
        <f>VLOOKUP(A49,policy!B:C,2,0)</f>
        <v>070000173598</v>
      </c>
      <c r="C49" s="24">
        <v>1879</v>
      </c>
      <c r="D49" s="44">
        <f t="shared" si="1"/>
        <v>1879</v>
      </c>
      <c r="E49" s="48" t="s">
        <v>376</v>
      </c>
      <c r="F49" s="45" t="str">
        <f t="shared" si="0"/>
        <v>insert into ins_premium_det (premium_rcv_code,assorted_code, rec_amount,premium_rcv_detail_code,remaining_amt, payrec, mode_code,coinsurance_code,class_cd,it_remarks) values</v>
      </c>
      <c r="G49" s="46" t="str">
        <f t="shared" si="2"/>
        <v>('27Mar250004','070000173598','1879',(select max(to_number(i.premium_rcv_detail_code))+1
from ins_premium_det i),'1879','1879','02', '11000003','00','Request by Mr. Saqib Saleem 27-March-2025');</v>
      </c>
      <c r="H49" s="47" t="str">
        <f t="shared" si="3"/>
        <v>insert into ins_premium_det (premium_rcv_code,assorted_code, rec_amount,premium_rcv_detail_code,remaining_amt, payrec, mode_code,coinsurance_code,class_cd,it_remarks) values('27Mar250004','070000173598','1879',(select max(to_number(i.premium_rcv_detail_code))+1
from ins_premium_det i),'1879','1879','02', '11000003','00','Request by Mr. Saqib Saleem 27-March-2025');</v>
      </c>
    </row>
    <row r="50" spans="1:8" ht="105" x14ac:dyDescent="0.25">
      <c r="A50" s="17" t="s">
        <v>168</v>
      </c>
      <c r="B50" s="1" t="str">
        <f>VLOOKUP(A50,policy!B:C,2,0)</f>
        <v>070000173599</v>
      </c>
      <c r="C50" s="24">
        <v>5768</v>
      </c>
      <c r="D50" s="44">
        <f t="shared" si="1"/>
        <v>5768</v>
      </c>
      <c r="E50" s="48" t="s">
        <v>376</v>
      </c>
      <c r="F50" s="45" t="str">
        <f t="shared" si="0"/>
        <v>insert into ins_premium_det (premium_rcv_code,assorted_code, rec_amount,premium_rcv_detail_code,remaining_amt, payrec, mode_code,coinsurance_code,class_cd,it_remarks) values</v>
      </c>
      <c r="G50" s="46" t="str">
        <f t="shared" si="2"/>
        <v>('27Mar250004','070000173599','5768',(select max(to_number(i.premium_rcv_detail_code))+1
from ins_premium_det i),'5768','5768','02', '11000003','00','Request by Mr. Saqib Saleem 27-March-2025');</v>
      </c>
      <c r="H50" s="47" t="str">
        <f t="shared" si="3"/>
        <v>insert into ins_premium_det (premium_rcv_code,assorted_code, rec_amount,premium_rcv_detail_code,remaining_amt, payrec, mode_code,coinsurance_code,class_cd,it_remarks) values('27Mar250004','070000173599','5768',(select max(to_number(i.premium_rcv_detail_code))+1
from ins_premium_det i),'5768','5768','02', '11000003','00','Request by Mr. Saqib Saleem 27-March-2025');</v>
      </c>
    </row>
    <row r="51" spans="1:8" ht="105" x14ac:dyDescent="0.25">
      <c r="A51" s="17" t="s">
        <v>169</v>
      </c>
      <c r="B51" s="1" t="str">
        <f>VLOOKUP(A51,policy!B:C,2,0)</f>
        <v>070000173600</v>
      </c>
      <c r="C51" s="24">
        <v>5768</v>
      </c>
      <c r="D51" s="44">
        <f t="shared" si="1"/>
        <v>5768</v>
      </c>
      <c r="E51" s="48" t="s">
        <v>376</v>
      </c>
      <c r="F51" s="45" t="str">
        <f t="shared" si="0"/>
        <v>insert into ins_premium_det (premium_rcv_code,assorted_code, rec_amount,premium_rcv_detail_code,remaining_amt, payrec, mode_code,coinsurance_code,class_cd,it_remarks) values</v>
      </c>
      <c r="G51" s="46" t="str">
        <f t="shared" si="2"/>
        <v>('27Mar250004','070000173600','5768',(select max(to_number(i.premium_rcv_detail_code))+1
from ins_premium_det i),'5768','5768','02', '11000003','00','Request by Mr. Saqib Saleem 27-March-2025');</v>
      </c>
      <c r="H51" s="47" t="str">
        <f t="shared" si="3"/>
        <v>insert into ins_premium_det (premium_rcv_code,assorted_code, rec_amount,premium_rcv_detail_code,remaining_amt, payrec, mode_code,coinsurance_code,class_cd,it_remarks) values('27Mar250004','070000173600','5768',(select max(to_number(i.premium_rcv_detail_code))+1
from ins_premium_det i),'5768','5768','02', '11000003','00','Request by Mr. Saqib Saleem 27-March-2025');</v>
      </c>
    </row>
    <row r="52" spans="1:8" ht="105" x14ac:dyDescent="0.25">
      <c r="A52" s="17" t="s">
        <v>170</v>
      </c>
      <c r="B52" s="1" t="str">
        <f>VLOOKUP(A52,policy!B:C,2,0)</f>
        <v>070000173602</v>
      </c>
      <c r="C52" s="24">
        <v>4924</v>
      </c>
      <c r="D52" s="44">
        <f t="shared" si="1"/>
        <v>4924</v>
      </c>
      <c r="E52" s="48" t="s">
        <v>376</v>
      </c>
      <c r="F52" s="45" t="str">
        <f t="shared" si="0"/>
        <v>insert into ins_premium_det (premium_rcv_code,assorted_code, rec_amount,premium_rcv_detail_code,remaining_amt, payrec, mode_code,coinsurance_code,class_cd,it_remarks) values</v>
      </c>
      <c r="G52" s="46" t="str">
        <f t="shared" si="2"/>
        <v>('27Mar250004','070000173602','4924',(select max(to_number(i.premium_rcv_detail_code))+1
from ins_premium_det i),'4924','4924','02', '11000003','00','Request by Mr. Saqib Saleem 27-March-2025');</v>
      </c>
      <c r="H52" s="47" t="str">
        <f t="shared" si="3"/>
        <v>insert into ins_premium_det (premium_rcv_code,assorted_code, rec_amount,premium_rcv_detail_code,remaining_amt, payrec, mode_code,coinsurance_code,class_cd,it_remarks) values('27Mar250004','070000173602','4924',(select max(to_number(i.premium_rcv_detail_code))+1
from ins_premium_det i),'4924','4924','02', '11000003','00','Request by Mr. Saqib Saleem 27-March-2025');</v>
      </c>
    </row>
    <row r="53" spans="1:8" ht="105" x14ac:dyDescent="0.25">
      <c r="A53" s="17" t="s">
        <v>171</v>
      </c>
      <c r="B53" s="1" t="str">
        <f>VLOOKUP(A53,policy!B:C,2,0)</f>
        <v>070000173603</v>
      </c>
      <c r="C53" s="24">
        <v>3758</v>
      </c>
      <c r="D53" s="44">
        <f t="shared" si="1"/>
        <v>3758</v>
      </c>
      <c r="E53" s="48" t="s">
        <v>376</v>
      </c>
      <c r="F53" s="45" t="str">
        <f t="shared" si="0"/>
        <v>insert into ins_premium_det (premium_rcv_code,assorted_code, rec_amount,premium_rcv_detail_code,remaining_amt, payrec, mode_code,coinsurance_code,class_cd,it_remarks) values</v>
      </c>
      <c r="G53" s="46" t="str">
        <f t="shared" si="2"/>
        <v>('27Mar250004','070000173603','3758',(select max(to_number(i.premium_rcv_detail_code))+1
from ins_premium_det i),'3758','3758','02', '11000003','00','Request by Mr. Saqib Saleem 27-March-2025');</v>
      </c>
      <c r="H53" s="47" t="str">
        <f t="shared" si="3"/>
        <v>insert into ins_premium_det (premium_rcv_code,assorted_code, rec_amount,premium_rcv_detail_code,remaining_amt, payrec, mode_code,coinsurance_code,class_cd,it_remarks) values('27Mar250004','070000173603','3758',(select max(to_number(i.premium_rcv_detail_code))+1
from ins_premium_det i),'3758','3758','02', '11000003','00','Request by Mr. Saqib Saleem 27-March-2025');</v>
      </c>
    </row>
    <row r="54" spans="1:8" ht="105" x14ac:dyDescent="0.25">
      <c r="A54" s="17" t="s">
        <v>172</v>
      </c>
      <c r="B54" s="1" t="str">
        <f>VLOOKUP(A54,policy!B:C,2,0)</f>
        <v>070000169579</v>
      </c>
      <c r="C54" s="24">
        <v>4722</v>
      </c>
      <c r="D54" s="44">
        <f t="shared" si="1"/>
        <v>4722</v>
      </c>
      <c r="E54" s="48" t="s">
        <v>376</v>
      </c>
      <c r="F54" s="45" t="str">
        <f t="shared" si="0"/>
        <v>insert into ins_premium_det (premium_rcv_code,assorted_code, rec_amount,premium_rcv_detail_code,remaining_amt, payrec, mode_code,coinsurance_code,class_cd,it_remarks) values</v>
      </c>
      <c r="G54" s="46" t="str">
        <f t="shared" si="2"/>
        <v>('27Mar250004','070000169579','4722',(select max(to_number(i.premium_rcv_detail_code))+1
from ins_premium_det i),'4722','4722','02', '11000003','00','Request by Mr. Saqib Saleem 27-March-2025');</v>
      </c>
      <c r="H54" s="47" t="str">
        <f t="shared" si="3"/>
        <v>insert into ins_premium_det (premium_rcv_code,assorted_code, rec_amount,premium_rcv_detail_code,remaining_amt, payrec, mode_code,coinsurance_code,class_cd,it_remarks) values('27Mar250004','070000169579','4722',(select max(to_number(i.premium_rcv_detail_code))+1
from ins_premium_det i),'4722','4722','02', '11000003','00','Request by Mr. Saqib Saleem 27-March-2025');</v>
      </c>
    </row>
    <row r="55" spans="1:8" ht="105" x14ac:dyDescent="0.25">
      <c r="A55" s="31" t="s">
        <v>173</v>
      </c>
      <c r="B55" s="1" t="str">
        <f>VLOOKUP(A55,policy!B:C,2,0)</f>
        <v>070000165419</v>
      </c>
      <c r="C55" s="24">
        <v>1134</v>
      </c>
      <c r="D55" s="44">
        <f t="shared" si="1"/>
        <v>1134</v>
      </c>
      <c r="E55" s="48" t="s">
        <v>376</v>
      </c>
      <c r="F55" s="45" t="str">
        <f t="shared" si="0"/>
        <v>insert into ins_premium_det (premium_rcv_code,assorted_code, rec_amount,premium_rcv_detail_code,remaining_amt, payrec, mode_code,coinsurance_code,class_cd,it_remarks) values</v>
      </c>
      <c r="G55" s="46" t="str">
        <f t="shared" si="2"/>
        <v>('27Mar250004','070000165419','1134',(select max(to_number(i.premium_rcv_detail_code))+1
from ins_premium_det i),'1134','1134','02', '11000003','00','Request by Mr. Saqib Saleem 27-March-2025');</v>
      </c>
      <c r="H55" s="47" t="str">
        <f t="shared" si="3"/>
        <v>insert into ins_premium_det (premium_rcv_code,assorted_code, rec_amount,premium_rcv_detail_code,remaining_amt, payrec, mode_code,coinsurance_code,class_cd,it_remarks) values('27Mar250004','070000165419','1134',(select max(to_number(i.premium_rcv_detail_code))+1
from ins_premium_det i),'1134','1134','02', '11000003','00','Request by Mr. Saqib Saleem 27-March-2025');</v>
      </c>
    </row>
    <row r="56" spans="1:8" ht="105" x14ac:dyDescent="0.25">
      <c r="A56" s="31" t="s">
        <v>174</v>
      </c>
      <c r="B56" s="1" t="str">
        <f>VLOOKUP(A56,policy!B:C,2,0)</f>
        <v>070000165651</v>
      </c>
      <c r="C56" s="24">
        <v>1908</v>
      </c>
      <c r="D56" s="44">
        <f t="shared" si="1"/>
        <v>1908</v>
      </c>
      <c r="E56" s="48" t="s">
        <v>376</v>
      </c>
      <c r="F56" s="45" t="str">
        <f t="shared" si="0"/>
        <v>insert into ins_premium_det (premium_rcv_code,assorted_code, rec_amount,premium_rcv_detail_code,remaining_amt, payrec, mode_code,coinsurance_code,class_cd,it_remarks) values</v>
      </c>
      <c r="G56" s="46" t="str">
        <f t="shared" si="2"/>
        <v>('27Mar250004','070000165651','1908',(select max(to_number(i.premium_rcv_detail_code))+1
from ins_premium_det i),'1908','1908','02', '11000003','00','Request by Mr. Saqib Saleem 27-March-2025');</v>
      </c>
      <c r="H56" s="47" t="str">
        <f t="shared" si="3"/>
        <v>insert into ins_premium_det (premium_rcv_code,assorted_code, rec_amount,premium_rcv_detail_code,remaining_amt, payrec, mode_code,coinsurance_code,class_cd,it_remarks) values('27Mar250004','070000165651','1908',(select max(to_number(i.premium_rcv_detail_code))+1
from ins_premium_det i),'1908','1908','02', '11000003','00','Request by Mr. Saqib Saleem 27-March-2025');</v>
      </c>
    </row>
    <row r="57" spans="1:8" ht="105" x14ac:dyDescent="0.25">
      <c r="A57" s="17" t="s">
        <v>175</v>
      </c>
      <c r="B57" s="1" t="str">
        <f>VLOOKUP(A57,policy!B:C,2,0)</f>
        <v>070000167639</v>
      </c>
      <c r="C57" s="24">
        <v>4722</v>
      </c>
      <c r="D57" s="44">
        <f t="shared" si="1"/>
        <v>4722</v>
      </c>
      <c r="E57" s="48" t="s">
        <v>376</v>
      </c>
      <c r="F57" s="45" t="str">
        <f t="shared" si="0"/>
        <v>insert into ins_premium_det (premium_rcv_code,assorted_code, rec_amount,premium_rcv_detail_code,remaining_amt, payrec, mode_code,coinsurance_code,class_cd,it_remarks) values</v>
      </c>
      <c r="G57" s="46" t="str">
        <f t="shared" si="2"/>
        <v>('27Mar250004','070000167639','4722',(select max(to_number(i.premium_rcv_detail_code))+1
from ins_premium_det i),'4722','4722','02', '11000003','00','Request by Mr. Saqib Saleem 27-March-2025');</v>
      </c>
      <c r="H57" s="47" t="str">
        <f t="shared" si="3"/>
        <v>insert into ins_premium_det (premium_rcv_code,assorted_code, rec_amount,premium_rcv_detail_code,remaining_amt, payrec, mode_code,coinsurance_code,class_cd,it_remarks) values('27Mar250004','070000167639','4722',(select max(to_number(i.premium_rcv_detail_code))+1
from ins_premium_det i),'4722','4722','02', '11000003','00','Request by Mr. Saqib Saleem 27-March-2025');</v>
      </c>
    </row>
    <row r="58" spans="1:8" ht="105" x14ac:dyDescent="0.25">
      <c r="A58" s="17" t="s">
        <v>176</v>
      </c>
      <c r="B58" s="1" t="str">
        <f>VLOOKUP(A58,policy!B:C,2,0)</f>
        <v>070000169499</v>
      </c>
      <c r="C58" s="24">
        <v>773</v>
      </c>
      <c r="D58" s="44">
        <f t="shared" si="1"/>
        <v>773</v>
      </c>
      <c r="E58" s="48" t="s">
        <v>376</v>
      </c>
      <c r="F58" s="45" t="str">
        <f t="shared" si="0"/>
        <v>insert into ins_premium_det (premium_rcv_code,assorted_code, rec_amount,premium_rcv_detail_code,remaining_amt, payrec, mode_code,coinsurance_code,class_cd,it_remarks) values</v>
      </c>
      <c r="G58" s="46" t="str">
        <f t="shared" si="2"/>
        <v>('27Mar250004','070000169499','773',(select max(to_number(i.premium_rcv_detail_code))+1
from ins_premium_det i),'773','773','02', '11000003','00','Request by Mr. Saqib Saleem 27-March-2025');</v>
      </c>
      <c r="H58" s="47" t="str">
        <f t="shared" si="3"/>
        <v>insert into ins_premium_det (premium_rcv_code,assorted_code, rec_amount,premium_rcv_detail_code,remaining_amt, payrec, mode_code,coinsurance_code,class_cd,it_remarks) values('27Mar250004','070000169499','773',(select max(to_number(i.premium_rcv_detail_code))+1
from ins_premium_det i),'773','773','02', '11000003','00','Request by Mr. Saqib Saleem 27-March-2025');</v>
      </c>
    </row>
    <row r="59" spans="1:8" ht="105" x14ac:dyDescent="0.25">
      <c r="A59" s="17" t="s">
        <v>177</v>
      </c>
      <c r="B59" s="1" t="str">
        <f>VLOOKUP(A59,policy!B:C,2,0)</f>
        <v>070000169500</v>
      </c>
      <c r="C59" s="24">
        <v>368</v>
      </c>
      <c r="D59" s="44">
        <f t="shared" si="1"/>
        <v>368</v>
      </c>
      <c r="E59" s="48" t="s">
        <v>376</v>
      </c>
      <c r="F59" s="45" t="str">
        <f t="shared" si="0"/>
        <v>insert into ins_premium_det (premium_rcv_code,assorted_code, rec_amount,premium_rcv_detail_code,remaining_amt, payrec, mode_code,coinsurance_code,class_cd,it_remarks) values</v>
      </c>
      <c r="G59" s="46" t="str">
        <f t="shared" si="2"/>
        <v>('27Mar250004','070000169500','368',(select max(to_number(i.premium_rcv_detail_code))+1
from ins_premium_det i),'368','368','02', '11000003','00','Request by Mr. Saqib Saleem 27-March-2025');</v>
      </c>
      <c r="H59" s="47" t="str">
        <f t="shared" si="3"/>
        <v>insert into ins_premium_det (premium_rcv_code,assorted_code, rec_amount,premium_rcv_detail_code,remaining_amt, payrec, mode_code,coinsurance_code,class_cd,it_remarks) values('27Mar250004','070000169500','368',(select max(to_number(i.premium_rcv_detail_code))+1
from ins_premium_det i),'368','368','02', '11000003','00','Request by Mr. Saqib Saleem 27-March-2025');</v>
      </c>
    </row>
    <row r="60" spans="1:8" ht="105" x14ac:dyDescent="0.25">
      <c r="A60" s="17" t="s">
        <v>178</v>
      </c>
      <c r="B60" s="1" t="str">
        <f>VLOOKUP(A60,policy!B:C,2,0)</f>
        <v>070000169584</v>
      </c>
      <c r="C60" s="24">
        <v>5107</v>
      </c>
      <c r="D60" s="44">
        <f t="shared" si="1"/>
        <v>5107</v>
      </c>
      <c r="E60" s="48" t="s">
        <v>376</v>
      </c>
      <c r="F60" s="45" t="str">
        <f t="shared" si="0"/>
        <v>insert into ins_premium_det (premium_rcv_code,assorted_code, rec_amount,premium_rcv_detail_code,remaining_amt, payrec, mode_code,coinsurance_code,class_cd,it_remarks) values</v>
      </c>
      <c r="G60" s="46" t="str">
        <f t="shared" si="2"/>
        <v>('27Mar250004','070000169584','5107',(select max(to_number(i.premium_rcv_detail_code))+1
from ins_premium_det i),'5107','5107','02', '11000003','00','Request by Mr. Saqib Saleem 27-March-2025');</v>
      </c>
      <c r="H60" s="47" t="str">
        <f t="shared" si="3"/>
        <v>insert into ins_premium_det (premium_rcv_code,assorted_code, rec_amount,premium_rcv_detail_code,remaining_amt, payrec, mode_code,coinsurance_code,class_cd,it_remarks) values('27Mar250004','070000169584','5107',(select max(to_number(i.premium_rcv_detail_code))+1
from ins_premium_det i),'5107','5107','02', '11000003','00','Request by Mr. Saqib Saleem 27-March-2025');</v>
      </c>
    </row>
    <row r="61" spans="1:8" ht="105" x14ac:dyDescent="0.25">
      <c r="A61" s="17" t="s">
        <v>179</v>
      </c>
      <c r="B61" s="1" t="str">
        <f>VLOOKUP(A61,policy!B:C,2,0)</f>
        <v>070000169789</v>
      </c>
      <c r="C61" s="24">
        <v>4642</v>
      </c>
      <c r="D61" s="44">
        <f t="shared" si="1"/>
        <v>4642</v>
      </c>
      <c r="E61" s="48" t="s">
        <v>376</v>
      </c>
      <c r="F61" s="45" t="str">
        <f t="shared" si="0"/>
        <v>insert into ins_premium_det (premium_rcv_code,assorted_code, rec_amount,premium_rcv_detail_code,remaining_amt, payrec, mode_code,coinsurance_code,class_cd,it_remarks) values</v>
      </c>
      <c r="G61" s="46" t="str">
        <f t="shared" si="2"/>
        <v>('27Mar250004','070000169789','4642',(select max(to_number(i.premium_rcv_detail_code))+1
from ins_premium_det i),'4642','4642','02', '11000003','00','Request by Mr. Saqib Saleem 27-March-2025');</v>
      </c>
      <c r="H61" s="47" t="str">
        <f t="shared" si="3"/>
        <v>insert into ins_premium_det (premium_rcv_code,assorted_code, rec_amount,premium_rcv_detail_code,remaining_amt, payrec, mode_code,coinsurance_code,class_cd,it_remarks) values('27Mar250004','070000169789','4642',(select max(to_number(i.premium_rcv_detail_code))+1
from ins_premium_det i),'4642','4642','02', '11000003','00','Request by Mr. Saqib Saleem 27-March-2025');</v>
      </c>
    </row>
    <row r="62" spans="1:8" ht="105" x14ac:dyDescent="0.25">
      <c r="A62" s="17" t="s">
        <v>180</v>
      </c>
      <c r="B62" s="1" t="str">
        <f>VLOOKUP(A62,policy!B:C,2,0)</f>
        <v>070000171277</v>
      </c>
      <c r="C62" s="24">
        <v>1491</v>
      </c>
      <c r="D62" s="44">
        <f t="shared" si="1"/>
        <v>1491</v>
      </c>
      <c r="E62" s="48" t="s">
        <v>376</v>
      </c>
      <c r="F62" s="45" t="str">
        <f t="shared" si="0"/>
        <v>insert into ins_premium_det (premium_rcv_code,assorted_code, rec_amount,premium_rcv_detail_code,remaining_amt, payrec, mode_code,coinsurance_code,class_cd,it_remarks) values</v>
      </c>
      <c r="G62" s="46" t="str">
        <f t="shared" si="2"/>
        <v>('27Mar250004','070000171277','1491',(select max(to_number(i.premium_rcv_detail_code))+1
from ins_premium_det i),'1491','1491','02', '11000003','00','Request by Mr. Saqib Saleem 27-March-2025');</v>
      </c>
      <c r="H62" s="47" t="str">
        <f t="shared" si="3"/>
        <v>insert into ins_premium_det (premium_rcv_code,assorted_code, rec_amount,premium_rcv_detail_code,remaining_amt, payrec, mode_code,coinsurance_code,class_cd,it_remarks) values('27Mar250004','070000171277','1491',(select max(to_number(i.premium_rcv_detail_code))+1
from ins_premium_det i),'1491','1491','02', '11000003','00','Request by Mr. Saqib Saleem 27-March-2025');</v>
      </c>
    </row>
    <row r="63" spans="1:8" ht="105" x14ac:dyDescent="0.25">
      <c r="A63" s="17" t="s">
        <v>181</v>
      </c>
      <c r="B63" s="1" t="str">
        <f>VLOOKUP(A63,policy!B:C,2,0)</f>
        <v>070000171280</v>
      </c>
      <c r="C63" s="24">
        <v>1491</v>
      </c>
      <c r="D63" s="44">
        <f t="shared" si="1"/>
        <v>1491</v>
      </c>
      <c r="E63" s="48" t="s">
        <v>376</v>
      </c>
      <c r="F63" s="45" t="str">
        <f t="shared" si="0"/>
        <v>insert into ins_premium_det (premium_rcv_code,assorted_code, rec_amount,premium_rcv_detail_code,remaining_amt, payrec, mode_code,coinsurance_code,class_cd,it_remarks) values</v>
      </c>
      <c r="G63" s="46" t="str">
        <f t="shared" si="2"/>
        <v>('27Mar250004','070000171280','1491',(select max(to_number(i.premium_rcv_detail_code))+1
from ins_premium_det i),'1491','1491','02', '11000003','00','Request by Mr. Saqib Saleem 27-March-2025');</v>
      </c>
      <c r="H63" s="47" t="str">
        <f t="shared" si="3"/>
        <v>insert into ins_premium_det (premium_rcv_code,assorted_code, rec_amount,premium_rcv_detail_code,remaining_amt, payrec, mode_code,coinsurance_code,class_cd,it_remarks) values('27Mar250004','070000171280','1491',(select max(to_number(i.premium_rcv_detail_code))+1
from ins_premium_det i),'1491','1491','02', '11000003','00','Request by Mr. Saqib Saleem 27-March-2025');</v>
      </c>
    </row>
    <row r="64" spans="1:8" ht="105" x14ac:dyDescent="0.25">
      <c r="A64" s="17" t="s">
        <v>182</v>
      </c>
      <c r="B64" s="1" t="str">
        <f>VLOOKUP(A64,policy!B:C,2,0)</f>
        <v>070000171284</v>
      </c>
      <c r="C64" s="24">
        <v>4563</v>
      </c>
      <c r="D64" s="44">
        <f t="shared" si="1"/>
        <v>4563</v>
      </c>
      <c r="E64" s="48" t="s">
        <v>376</v>
      </c>
      <c r="F64" s="45" t="str">
        <f t="shared" si="0"/>
        <v>insert into ins_premium_det (premium_rcv_code,assorted_code, rec_amount,premium_rcv_detail_code,remaining_amt, payrec, mode_code,coinsurance_code,class_cd,it_remarks) values</v>
      </c>
      <c r="G64" s="46" t="str">
        <f t="shared" si="2"/>
        <v>('27Mar250004','070000171284','4563',(select max(to_number(i.premium_rcv_detail_code))+1
from ins_premium_det i),'4563','4563','02', '11000003','00','Request by Mr. Saqib Saleem 27-March-2025');</v>
      </c>
      <c r="H64" s="47" t="str">
        <f t="shared" si="3"/>
        <v>insert into ins_premium_det (premium_rcv_code,assorted_code, rec_amount,premium_rcv_detail_code,remaining_amt, payrec, mode_code,coinsurance_code,class_cd,it_remarks) values('27Mar250004','070000171284','4563',(select max(to_number(i.premium_rcv_detail_code))+1
from ins_premium_det i),'4563','4563','02', '11000003','00','Request by Mr. Saqib Saleem 27-March-2025');</v>
      </c>
    </row>
    <row r="65" spans="1:8" ht="105" x14ac:dyDescent="0.25">
      <c r="A65" s="17" t="s">
        <v>183</v>
      </c>
      <c r="B65" s="1" t="str">
        <f>VLOOKUP(A65,policy!B:C,2,0)</f>
        <v>070000171667</v>
      </c>
      <c r="C65" s="24">
        <v>4563</v>
      </c>
      <c r="D65" s="44">
        <f t="shared" si="1"/>
        <v>4563</v>
      </c>
      <c r="E65" s="48" t="s">
        <v>376</v>
      </c>
      <c r="F65" s="45" t="str">
        <f t="shared" si="0"/>
        <v>insert into ins_premium_det (premium_rcv_code,assorted_code, rec_amount,premium_rcv_detail_code,remaining_amt, payrec, mode_code,coinsurance_code,class_cd,it_remarks) values</v>
      </c>
      <c r="G65" s="46" t="str">
        <f t="shared" si="2"/>
        <v>('27Mar250004','070000171667','4563',(select max(to_number(i.premium_rcv_detail_code))+1
from ins_premium_det i),'4563','4563','02', '11000003','00','Request by Mr. Saqib Saleem 27-March-2025');</v>
      </c>
      <c r="H65" s="47" t="str">
        <f t="shared" si="3"/>
        <v>insert into ins_premium_det (premium_rcv_code,assorted_code, rec_amount,premium_rcv_detail_code,remaining_amt, payrec, mode_code,coinsurance_code,class_cd,it_remarks) values('27Mar250004','070000171667','4563',(select max(to_number(i.premium_rcv_detail_code))+1
from ins_premium_det i),'4563','4563','02', '11000003','00','Request by Mr. Saqib Saleem 27-March-2025');</v>
      </c>
    </row>
    <row r="66" spans="1:8" ht="105" x14ac:dyDescent="0.25">
      <c r="A66" s="17" t="s">
        <v>184</v>
      </c>
      <c r="B66" s="1" t="str">
        <f>VLOOKUP(A66,policy!B:C,2,0)</f>
        <v>070000171668</v>
      </c>
      <c r="C66" s="24">
        <v>1134</v>
      </c>
      <c r="D66" s="44">
        <f t="shared" si="1"/>
        <v>1134</v>
      </c>
      <c r="E66" s="48" t="s">
        <v>376</v>
      </c>
      <c r="F66" s="45" t="str">
        <f t="shared" ref="F66:F76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46" t="str">
        <f t="shared" si="2"/>
        <v>('27Mar250004','070000171668','1134',(select max(to_number(i.premium_rcv_detail_code))+1
from ins_premium_det i),'1134','1134','02', '11000003','00','Request by Mr. Saqib Saleem 27-March-2025');</v>
      </c>
      <c r="H66" s="47" t="str">
        <f t="shared" si="3"/>
        <v>insert into ins_premium_det (premium_rcv_code,assorted_code, rec_amount,premium_rcv_detail_code,remaining_amt, payrec, mode_code,coinsurance_code,class_cd,it_remarks) values('27Mar250004','070000171668','1134',(select max(to_number(i.premium_rcv_detail_code))+1
from ins_premium_det i),'1134','1134','02', '11000003','00','Request by Mr. Saqib Saleem 27-March-2025');</v>
      </c>
    </row>
    <row r="67" spans="1:8" ht="105" x14ac:dyDescent="0.25">
      <c r="A67" s="17" t="s">
        <v>185</v>
      </c>
      <c r="B67" s="1" t="str">
        <f>VLOOKUP(A67,policy!B:C,2,0)</f>
        <v>070000172291</v>
      </c>
      <c r="C67" s="24">
        <v>4701</v>
      </c>
      <c r="D67" s="44">
        <f t="shared" ref="D67:D76" si="5">ROUND(C67,0)</f>
        <v>4701</v>
      </c>
      <c r="E67" s="48" t="s">
        <v>376</v>
      </c>
      <c r="F67" s="45" t="str">
        <f t="shared" si="4"/>
        <v>insert into ins_premium_det (premium_rcv_code,assorted_code, rec_amount,premium_rcv_detail_code,remaining_amt, payrec, mode_code,coinsurance_code,class_cd,it_remarks) values</v>
      </c>
      <c r="G67" s="46" t="str">
        <f t="shared" ref="G67:G76" si="6">"('"&amp;E67&amp;"','"&amp;B67&amp;"','"&amp;D67&amp;"',(select max(to_number(i.premium_rcv_detail_code))+1
from ins_premium_det i),'"&amp;D67&amp;"','"&amp;D67&amp;"','02', '11000003','00','Request by Mr. Saqib Saleem 27-March-2025');"</f>
        <v>('27Mar250004','070000172291','4701',(select max(to_number(i.premium_rcv_detail_code))+1
from ins_premium_det i),'4701','4701','02', '11000003','00','Request by Mr. Saqib Saleem 27-March-2025');</v>
      </c>
      <c r="H67" s="47" t="str">
        <f t="shared" ref="H67:H76" si="7">F67&amp;G67</f>
        <v>insert into ins_premium_det (premium_rcv_code,assorted_code, rec_amount,premium_rcv_detail_code,remaining_amt, payrec, mode_code,coinsurance_code,class_cd,it_remarks) values('27Mar250004','070000172291','4701',(select max(to_number(i.premium_rcv_detail_code))+1
from ins_premium_det i),'4701','4701','02', '11000003','00','Request by Mr. Saqib Saleem 27-March-2025');</v>
      </c>
    </row>
    <row r="68" spans="1:8" ht="105" x14ac:dyDescent="0.25">
      <c r="A68" s="17" t="s">
        <v>186</v>
      </c>
      <c r="B68" s="1" t="str">
        <f>VLOOKUP(A68,policy!B:C,2,0)</f>
        <v>070000172292</v>
      </c>
      <c r="C68" s="24">
        <v>4701</v>
      </c>
      <c r="D68" s="44">
        <f t="shared" si="5"/>
        <v>4701</v>
      </c>
      <c r="E68" s="48" t="s">
        <v>376</v>
      </c>
      <c r="F68" s="45" t="str">
        <f t="shared" si="4"/>
        <v>insert into ins_premium_det (premium_rcv_code,assorted_code, rec_amount,premium_rcv_detail_code,remaining_amt, payrec, mode_code,coinsurance_code,class_cd,it_remarks) values</v>
      </c>
      <c r="G68" s="46" t="str">
        <f t="shared" si="6"/>
        <v>('27Mar250004','070000172292','4701',(select max(to_number(i.premium_rcv_detail_code))+1
from ins_premium_det i),'4701','4701','02', '11000003','00','Request by Mr. Saqib Saleem 27-March-2025');</v>
      </c>
      <c r="H68" s="47" t="str">
        <f t="shared" si="7"/>
        <v>insert into ins_premium_det (premium_rcv_code,assorted_code, rec_amount,premium_rcv_detail_code,remaining_amt, payrec, mode_code,coinsurance_code,class_cd,it_remarks) values('27Mar250004','070000172292','4701',(select max(to_number(i.premium_rcv_detail_code))+1
from ins_premium_det i),'4701','4701','02', '11000003','00','Request by Mr. Saqib Saleem 27-March-2025');</v>
      </c>
    </row>
    <row r="69" spans="1:8" ht="105" x14ac:dyDescent="0.25">
      <c r="A69" s="17" t="s">
        <v>132</v>
      </c>
      <c r="B69" s="1" t="str">
        <f>VLOOKUP(A69,policy!B:C,2,0)</f>
        <v>070000173604</v>
      </c>
      <c r="C69" s="24">
        <v>4924</v>
      </c>
      <c r="D69" s="44">
        <f t="shared" si="5"/>
        <v>4924</v>
      </c>
      <c r="E69" s="48" t="s">
        <v>376</v>
      </c>
      <c r="F69" s="45" t="str">
        <f t="shared" si="4"/>
        <v>insert into ins_premium_det (premium_rcv_code,assorted_code, rec_amount,premium_rcv_detail_code,remaining_amt, payrec, mode_code,coinsurance_code,class_cd,it_remarks) values</v>
      </c>
      <c r="G69" s="46" t="str">
        <f t="shared" si="6"/>
        <v>('27Mar250004','070000173604','4924',(select max(to_number(i.premium_rcv_detail_code))+1
from ins_premium_det i),'4924','4924','02', '11000003','00','Request by Mr. Saqib Saleem 27-March-2025');</v>
      </c>
      <c r="H69" s="47" t="str">
        <f t="shared" si="7"/>
        <v>insert into ins_premium_det (premium_rcv_code,assorted_code, rec_amount,premium_rcv_detail_code,remaining_amt, payrec, mode_code,coinsurance_code,class_cd,it_remarks) values('27Mar250004','070000173604','4924',(select max(to_number(i.premium_rcv_detail_code))+1
from ins_premium_det i),'4924','4924','02', '11000003','00','Request by Mr. Saqib Saleem 27-March-2025');</v>
      </c>
    </row>
    <row r="70" spans="1:8" ht="105" x14ac:dyDescent="0.25">
      <c r="A70" s="17" t="s">
        <v>134</v>
      </c>
      <c r="B70" s="1" t="str">
        <f>VLOOKUP(A70,policy!B:C,2,0)</f>
        <v>070000173623</v>
      </c>
      <c r="C70" s="24">
        <v>368</v>
      </c>
      <c r="D70" s="44">
        <f t="shared" si="5"/>
        <v>368</v>
      </c>
      <c r="E70" s="48" t="s">
        <v>376</v>
      </c>
      <c r="F70" s="45" t="str">
        <f t="shared" si="4"/>
        <v>insert into ins_premium_det (premium_rcv_code,assorted_code, rec_amount,premium_rcv_detail_code,remaining_amt, payrec, mode_code,coinsurance_code,class_cd,it_remarks) values</v>
      </c>
      <c r="G70" s="46" t="str">
        <f t="shared" si="6"/>
        <v>('27Mar250004','070000173623','368',(select max(to_number(i.premium_rcv_detail_code))+1
from ins_premium_det i),'368','368','02', '11000003','00','Request by Mr. Saqib Saleem 27-March-2025');</v>
      </c>
      <c r="H70" s="47" t="str">
        <f t="shared" si="7"/>
        <v>insert into ins_premium_det (premium_rcv_code,assorted_code, rec_amount,premium_rcv_detail_code,remaining_amt, payrec, mode_code,coinsurance_code,class_cd,it_remarks) values('27Mar250004','070000173623','368',(select max(to_number(i.premium_rcv_detail_code))+1
from ins_premium_det i),'368','368','02', '11000003','00','Request by Mr. Saqib Saleem 27-March-2025');</v>
      </c>
    </row>
    <row r="71" spans="1:8" ht="105" x14ac:dyDescent="0.25">
      <c r="A71" s="17" t="s">
        <v>136</v>
      </c>
      <c r="B71" s="1" t="str">
        <f>VLOOKUP(A71,policy!B:C,2,0)</f>
        <v>070000173624</v>
      </c>
      <c r="C71" s="24">
        <v>368</v>
      </c>
      <c r="D71" s="44">
        <f t="shared" si="5"/>
        <v>368</v>
      </c>
      <c r="E71" s="48" t="s">
        <v>376</v>
      </c>
      <c r="F71" s="45" t="str">
        <f t="shared" si="4"/>
        <v>insert into ins_premium_det (premium_rcv_code,assorted_code, rec_amount,premium_rcv_detail_code,remaining_amt, payrec, mode_code,coinsurance_code,class_cd,it_remarks) values</v>
      </c>
      <c r="G71" s="46" t="str">
        <f t="shared" si="6"/>
        <v>('27Mar250004','070000173624','368',(select max(to_number(i.premium_rcv_detail_code))+1
from ins_premium_det i),'368','368','02', '11000003','00','Request by Mr. Saqib Saleem 27-March-2025');</v>
      </c>
      <c r="H71" s="47" t="str">
        <f t="shared" si="7"/>
        <v>insert into ins_premium_det (premium_rcv_code,assorted_code, rec_amount,premium_rcv_detail_code,remaining_amt, payrec, mode_code,coinsurance_code,class_cd,it_remarks) values('27Mar250004','070000173624','368',(select max(to_number(i.premium_rcv_detail_code))+1
from ins_premium_det i),'368','368','02', '11000003','00','Request by Mr. Saqib Saleem 27-March-2025');</v>
      </c>
    </row>
    <row r="72" spans="1:8" ht="105" x14ac:dyDescent="0.25">
      <c r="A72" s="17" t="s">
        <v>137</v>
      </c>
      <c r="B72" s="1" t="str">
        <f>VLOOKUP(A72,policy!B:C,2,0)</f>
        <v>070000174847</v>
      </c>
      <c r="C72" s="24">
        <v>1805</v>
      </c>
      <c r="D72" s="44">
        <f t="shared" si="5"/>
        <v>1805</v>
      </c>
      <c r="E72" s="48" t="s">
        <v>376</v>
      </c>
      <c r="F72" s="45" t="str">
        <f t="shared" si="4"/>
        <v>insert into ins_premium_det (premium_rcv_code,assorted_code, rec_amount,premium_rcv_detail_code,remaining_amt, payrec, mode_code,coinsurance_code,class_cd,it_remarks) values</v>
      </c>
      <c r="G72" s="46" t="str">
        <f t="shared" si="6"/>
        <v>('27Mar250004','070000174847','1805',(select max(to_number(i.premium_rcv_detail_code))+1
from ins_premium_det i),'1805','1805','02', '11000003','00','Request by Mr. Saqib Saleem 27-March-2025');</v>
      </c>
      <c r="H72" s="47" t="str">
        <f t="shared" si="7"/>
        <v>insert into ins_premium_det (premium_rcv_code,assorted_code, rec_amount,premium_rcv_detail_code,remaining_amt, payrec, mode_code,coinsurance_code,class_cd,it_remarks) values('27Mar250004','070000174847','1805',(select max(to_number(i.premium_rcv_detail_code))+1
from ins_premium_det i),'1805','1805','02', '11000003','00','Request by Mr. Saqib Saleem 27-March-2025');</v>
      </c>
    </row>
    <row r="73" spans="1:8" ht="105" x14ac:dyDescent="0.25">
      <c r="A73" s="30" t="s">
        <v>191</v>
      </c>
      <c r="B73" s="1" t="str">
        <f>VLOOKUP(A73,policy!B:C,2,0)</f>
        <v>050000867101</v>
      </c>
      <c r="C73" s="24">
        <v>-2769</v>
      </c>
      <c r="D73" s="44">
        <f t="shared" si="5"/>
        <v>-2769</v>
      </c>
      <c r="E73" s="48" t="s">
        <v>376</v>
      </c>
      <c r="F73" s="45" t="str">
        <f t="shared" si="4"/>
        <v>insert into ins_premium_det (premium_rcv_code,assorted_code, rec_amount,premium_rcv_detail_code,remaining_amt, payrec, mode_code,coinsurance_code,class_cd,it_remarks) values</v>
      </c>
      <c r="G73" s="46" t="str">
        <f t="shared" si="6"/>
        <v>('27Mar250004','050000867101','-2769',(select max(to_number(i.premium_rcv_detail_code))+1
from ins_premium_det i),'-2769','-2769','02', '11000003','00','Request by Mr. Saqib Saleem 27-March-2025');</v>
      </c>
      <c r="H73" s="47" t="str">
        <f t="shared" si="7"/>
        <v>insert into ins_premium_det (premium_rcv_code,assorted_code, rec_amount,premium_rcv_detail_code,remaining_amt, payrec, mode_code,coinsurance_code,class_cd,it_remarks) values('27Mar250004','050000867101','-2769',(select max(to_number(i.premium_rcv_detail_code))+1
from ins_premium_det i),'-2769','-2769','02', '11000003','00','Request by Mr. Saqib Saleem 27-March-2025');</v>
      </c>
    </row>
    <row r="74" spans="1:8" ht="105" x14ac:dyDescent="0.25">
      <c r="A74" s="17" t="s">
        <v>188</v>
      </c>
      <c r="B74" s="1" t="str">
        <f>VLOOKUP(A74,policy!B:C,2,0)</f>
        <v>050000842290</v>
      </c>
      <c r="C74" s="24">
        <v>59435</v>
      </c>
      <c r="D74" s="44">
        <f t="shared" si="5"/>
        <v>59435</v>
      </c>
      <c r="E74" s="48" t="s">
        <v>376</v>
      </c>
      <c r="F74" s="45" t="str">
        <f t="shared" si="4"/>
        <v>insert into ins_premium_det (premium_rcv_code,assorted_code, rec_amount,premium_rcv_detail_code,remaining_amt, payrec, mode_code,coinsurance_code,class_cd,it_remarks) values</v>
      </c>
      <c r="G74" s="46" t="str">
        <f t="shared" si="6"/>
        <v>('27Mar250004','050000842290','59435',(select max(to_number(i.premium_rcv_detail_code))+1
from ins_premium_det i),'59435','59435','02', '11000003','00','Request by Mr. Saqib Saleem 27-March-2025');</v>
      </c>
      <c r="H74" s="47" t="str">
        <f t="shared" si="7"/>
        <v>insert into ins_premium_det (premium_rcv_code,assorted_code, rec_amount,premium_rcv_detail_code,remaining_amt, payrec, mode_code,coinsurance_code,class_cd,it_remarks) values('27Mar250004','050000842290','59435',(select max(to_number(i.premium_rcv_detail_code))+1
from ins_premium_det i),'59435','59435','02', '11000003','00','Request by Mr. Saqib Saleem 27-March-2025');</v>
      </c>
    </row>
    <row r="75" spans="1:8" ht="105" x14ac:dyDescent="0.25">
      <c r="A75" s="17" t="s">
        <v>75</v>
      </c>
      <c r="B75" s="1" t="str">
        <f>VLOOKUP(A75,policy!B:C,2,0)</f>
        <v>040000188379</v>
      </c>
      <c r="C75" s="24">
        <v>361877</v>
      </c>
      <c r="D75" s="44">
        <f t="shared" si="5"/>
        <v>361877</v>
      </c>
      <c r="E75" s="48" t="s">
        <v>376</v>
      </c>
      <c r="F75" s="45" t="str">
        <f t="shared" si="4"/>
        <v>insert into ins_premium_det (premium_rcv_code,assorted_code, rec_amount,premium_rcv_detail_code,remaining_amt, payrec, mode_code,coinsurance_code,class_cd,it_remarks) values</v>
      </c>
      <c r="G75" s="46" t="str">
        <f t="shared" si="6"/>
        <v>('27Mar250004','040000188379','361877',(select max(to_number(i.premium_rcv_detail_code))+1
from ins_premium_det i),'361877','361877','02', '11000003','00','Request by Mr. Saqib Saleem 27-March-2025');</v>
      </c>
      <c r="H75" s="47" t="str">
        <f t="shared" si="7"/>
        <v>insert into ins_premium_det (premium_rcv_code,assorted_code, rec_amount,premium_rcv_detail_code,remaining_amt, payrec, mode_code,coinsurance_code,class_cd,it_remarks) values('27Mar250004','040000188379','361877',(select max(to_number(i.premium_rcv_detail_code))+1
from ins_premium_det i),'361877','361877','02', '11000003','00','Request by Mr. Saqib Saleem 27-March-2025');</v>
      </c>
    </row>
    <row r="76" spans="1:8" ht="105" x14ac:dyDescent="0.25">
      <c r="A76" s="17" t="s">
        <v>187</v>
      </c>
      <c r="B76" s="1" t="str">
        <f>VLOOKUP(A76,policy!B:C,2,0)</f>
        <v>050000855943</v>
      </c>
      <c r="C76" s="33">
        <v>-12911</v>
      </c>
      <c r="D76" s="44">
        <f t="shared" si="5"/>
        <v>-12911</v>
      </c>
      <c r="E76" s="48" t="s">
        <v>376</v>
      </c>
      <c r="F76" s="45" t="str">
        <f t="shared" si="4"/>
        <v>insert into ins_premium_det (premium_rcv_code,assorted_code, rec_amount,premium_rcv_detail_code,remaining_amt, payrec, mode_code,coinsurance_code,class_cd,it_remarks) values</v>
      </c>
      <c r="G76" s="46" t="str">
        <f t="shared" si="6"/>
        <v>('27Mar250004','050000855943','-12911',(select max(to_number(i.premium_rcv_detail_code))+1
from ins_premium_det i),'-12911','-12911','02', '11000003','00','Request by Mr. Saqib Saleem 27-March-2025');</v>
      </c>
      <c r="H76" s="47" t="str">
        <f t="shared" si="7"/>
        <v>insert into ins_premium_det (premium_rcv_code,assorted_code, rec_amount,premium_rcv_detail_code,remaining_amt, payrec, mode_code,coinsurance_code,class_cd,it_remarks) values('27Mar250004','050000855943','-12911',(select max(to_number(i.premium_rcv_detail_code))+1
from ins_premium_det i),'-12911','-12911','02', '11000003','00','Request by Mr. Saqib Saleem 27-March-2025');</v>
      </c>
    </row>
    <row r="77" spans="1:8" x14ac:dyDescent="0.25">
      <c r="C77" s="49">
        <f>SUM(C2:C76)</f>
        <v>2192389.75</v>
      </c>
    </row>
  </sheetData>
  <conditionalFormatting sqref="A1">
    <cfRule type="duplicateValues" dxfId="8" priority="1"/>
  </conditionalFormatting>
  <conditionalFormatting sqref="A2:B2 B3:B76">
    <cfRule type="duplicateValues" dxfId="7" priority="2"/>
    <cfRule type="duplicateValues" dxfId="6" priority="3"/>
    <cfRule type="duplicateValues" dxfId="5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FE681-F933-434D-8BA4-A2493AAF1245}">
  <dimension ref="A1:E75"/>
  <sheetViews>
    <sheetView topLeftCell="A56" workbookViewId="0">
      <selection activeCell="E66" sqref="E66"/>
    </sheetView>
  </sheetViews>
  <sheetFormatPr defaultRowHeight="15" x14ac:dyDescent="0.25"/>
  <cols>
    <col min="1" max="1" width="39.140625" bestFit="1" customWidth="1"/>
    <col min="5" max="5" width="41.5703125" bestFit="1" customWidth="1"/>
  </cols>
  <sheetData>
    <row r="1" spans="1:5" x14ac:dyDescent="0.25">
      <c r="A1" s="17" t="s">
        <v>8</v>
      </c>
      <c r="B1" t="s">
        <v>207</v>
      </c>
      <c r="D1">
        <v>22891</v>
      </c>
      <c r="E1" t="str">
        <f>"ia.assorted_string like '%"&amp;D1&amp;B1&amp;"%' or"</f>
        <v>ia.assorted_string like '%22891-08-2024%' or</v>
      </c>
    </row>
    <row r="2" spans="1:5" x14ac:dyDescent="0.25">
      <c r="A2" s="17" t="s">
        <v>11</v>
      </c>
      <c r="B2" t="s">
        <v>207</v>
      </c>
      <c r="D2">
        <v>22892</v>
      </c>
      <c r="E2" t="str">
        <f t="shared" ref="E2:E65" si="0">"ia.assorted_string like '%"&amp;D2&amp;B2&amp;"%' or"</f>
        <v>ia.assorted_string like '%22892-08-2024%' or</v>
      </c>
    </row>
    <row r="3" spans="1:5" x14ac:dyDescent="0.25">
      <c r="A3" s="17" t="s">
        <v>14</v>
      </c>
      <c r="B3" t="s">
        <v>207</v>
      </c>
      <c r="D3">
        <v>22894</v>
      </c>
      <c r="E3" t="str">
        <f t="shared" si="0"/>
        <v>ia.assorted_string like '%22894-08-2024%' or</v>
      </c>
    </row>
    <row r="4" spans="1:5" x14ac:dyDescent="0.25">
      <c r="A4" s="17" t="s">
        <v>17</v>
      </c>
      <c r="B4" t="s">
        <v>207</v>
      </c>
      <c r="D4">
        <v>22897</v>
      </c>
      <c r="E4" t="str">
        <f t="shared" si="0"/>
        <v>ia.assorted_string like '%22897-08-2024%' or</v>
      </c>
    </row>
    <row r="5" spans="1:5" x14ac:dyDescent="0.25">
      <c r="A5" s="17" t="s">
        <v>20</v>
      </c>
      <c r="B5" t="s">
        <v>207</v>
      </c>
      <c r="D5">
        <v>22898</v>
      </c>
      <c r="E5" t="str">
        <f t="shared" si="0"/>
        <v>ia.assorted_string like '%22898-08-2024%' or</v>
      </c>
    </row>
    <row r="6" spans="1:5" x14ac:dyDescent="0.25">
      <c r="A6" s="17" t="s">
        <v>23</v>
      </c>
      <c r="B6" t="s">
        <v>207</v>
      </c>
      <c r="D6">
        <v>22899</v>
      </c>
      <c r="E6" t="str">
        <f t="shared" si="0"/>
        <v>ia.assorted_string like '%22899-08-2024%' or</v>
      </c>
    </row>
    <row r="7" spans="1:5" x14ac:dyDescent="0.25">
      <c r="A7" s="17" t="s">
        <v>26</v>
      </c>
      <c r="B7" t="s">
        <v>207</v>
      </c>
      <c r="D7">
        <v>22900</v>
      </c>
      <c r="E7" t="str">
        <f t="shared" si="0"/>
        <v>ia.assorted_string like '%22900-08-2024%' or</v>
      </c>
    </row>
    <row r="8" spans="1:5" x14ac:dyDescent="0.25">
      <c r="A8" s="17" t="s">
        <v>29</v>
      </c>
      <c r="B8" t="s">
        <v>207</v>
      </c>
      <c r="D8">
        <v>22902</v>
      </c>
      <c r="E8" t="str">
        <f t="shared" si="0"/>
        <v>ia.assorted_string like '%22902-08-2024%' or</v>
      </c>
    </row>
    <row r="9" spans="1:5" x14ac:dyDescent="0.25">
      <c r="A9" s="17" t="s">
        <v>32</v>
      </c>
      <c r="B9" t="s">
        <v>207</v>
      </c>
      <c r="D9">
        <v>22903</v>
      </c>
      <c r="E9" t="str">
        <f t="shared" si="0"/>
        <v>ia.assorted_string like '%22903-08-2024%' or</v>
      </c>
    </row>
    <row r="10" spans="1:5" x14ac:dyDescent="0.25">
      <c r="A10" s="28" t="s">
        <v>36</v>
      </c>
      <c r="B10" t="s">
        <v>208</v>
      </c>
      <c r="D10">
        <v>98382</v>
      </c>
      <c r="E10" t="str">
        <f t="shared" si="0"/>
        <v>ia.assorted_string like '%98382-09-2024%' or</v>
      </c>
    </row>
    <row r="11" spans="1:5" x14ac:dyDescent="0.25">
      <c r="A11" s="17" t="s">
        <v>39</v>
      </c>
      <c r="B11" t="s">
        <v>208</v>
      </c>
      <c r="D11">
        <v>98403</v>
      </c>
      <c r="E11" t="str">
        <f t="shared" si="0"/>
        <v>ia.assorted_string like '%98403-09-2024%' or</v>
      </c>
    </row>
    <row r="12" spans="1:5" x14ac:dyDescent="0.25">
      <c r="A12" s="17" t="s">
        <v>42</v>
      </c>
      <c r="B12" t="s">
        <v>208</v>
      </c>
      <c r="D12">
        <v>98454</v>
      </c>
      <c r="E12" t="str">
        <f t="shared" si="0"/>
        <v>ia.assorted_string like '%98454-09-2024%' or</v>
      </c>
    </row>
    <row r="13" spans="1:5" x14ac:dyDescent="0.25">
      <c r="A13" s="17" t="s">
        <v>45</v>
      </c>
      <c r="B13" t="s">
        <v>208</v>
      </c>
      <c r="D13">
        <v>98468</v>
      </c>
      <c r="E13" t="str">
        <f t="shared" si="0"/>
        <v>ia.assorted_string like '%98468-09-2024%' or</v>
      </c>
    </row>
    <row r="14" spans="1:5" x14ac:dyDescent="0.25">
      <c r="A14" s="17" t="s">
        <v>47</v>
      </c>
      <c r="B14" t="s">
        <v>209</v>
      </c>
      <c r="D14">
        <v>98816</v>
      </c>
      <c r="E14" t="str">
        <f t="shared" si="0"/>
        <v>ia.assorted_string like '%98816-10-2024%' or</v>
      </c>
    </row>
    <row r="15" spans="1:5" x14ac:dyDescent="0.25">
      <c r="A15" s="17" t="s">
        <v>50</v>
      </c>
      <c r="B15" t="s">
        <v>209</v>
      </c>
      <c r="D15">
        <v>98830</v>
      </c>
      <c r="E15" t="str">
        <f t="shared" si="0"/>
        <v>ia.assorted_string like '%98830-10-2024%' or</v>
      </c>
    </row>
    <row r="16" spans="1:5" x14ac:dyDescent="0.25">
      <c r="A16" s="17" t="s">
        <v>52</v>
      </c>
      <c r="B16" t="s">
        <v>210</v>
      </c>
      <c r="D16">
        <v>102404</v>
      </c>
      <c r="E16" t="str">
        <f t="shared" si="0"/>
        <v>ia.assorted_string like '%102404-11-2024%' or</v>
      </c>
    </row>
    <row r="17" spans="1:5" x14ac:dyDescent="0.25">
      <c r="A17" s="17" t="s">
        <v>54</v>
      </c>
      <c r="B17" t="s">
        <v>207</v>
      </c>
      <c r="D17">
        <v>314</v>
      </c>
      <c r="E17" t="str">
        <f t="shared" si="0"/>
        <v>ia.assorted_string like '%314-08-2024%' or</v>
      </c>
    </row>
    <row r="18" spans="1:5" x14ac:dyDescent="0.25">
      <c r="A18" s="17" t="s">
        <v>56</v>
      </c>
      <c r="B18" t="s">
        <v>207</v>
      </c>
      <c r="D18">
        <v>315</v>
      </c>
      <c r="E18" t="str">
        <f t="shared" si="0"/>
        <v>ia.assorted_string like '%315-08-2024%' or</v>
      </c>
    </row>
    <row r="19" spans="1:5" x14ac:dyDescent="0.25">
      <c r="A19" s="17" t="s">
        <v>58</v>
      </c>
      <c r="B19" t="s">
        <v>207</v>
      </c>
      <c r="D19">
        <v>316</v>
      </c>
      <c r="E19" t="str">
        <f t="shared" si="0"/>
        <v>ia.assorted_string like '%316-08-2024%' or</v>
      </c>
    </row>
    <row r="20" spans="1:5" x14ac:dyDescent="0.25">
      <c r="A20" s="17" t="s">
        <v>60</v>
      </c>
      <c r="B20" t="s">
        <v>207</v>
      </c>
      <c r="D20">
        <v>317</v>
      </c>
      <c r="E20" t="str">
        <f t="shared" si="0"/>
        <v>ia.assorted_string like '%317-08-2024%' or</v>
      </c>
    </row>
    <row r="21" spans="1:5" x14ac:dyDescent="0.25">
      <c r="A21" s="14" t="s">
        <v>140</v>
      </c>
      <c r="B21" t="s">
        <v>209</v>
      </c>
      <c r="D21">
        <v>20561</v>
      </c>
      <c r="E21" t="str">
        <f t="shared" si="0"/>
        <v>ia.assorted_string like '%20561-10-2024%' or</v>
      </c>
    </row>
    <row r="22" spans="1:5" x14ac:dyDescent="0.25">
      <c r="A22" s="17" t="s">
        <v>141</v>
      </c>
      <c r="B22" t="s">
        <v>209</v>
      </c>
      <c r="D22">
        <v>20639</v>
      </c>
      <c r="E22" t="str">
        <f t="shared" si="0"/>
        <v>ia.assorted_string like '%20639-10-2024%' or</v>
      </c>
    </row>
    <row r="23" spans="1:5" x14ac:dyDescent="0.25">
      <c r="A23" s="14" t="s">
        <v>142</v>
      </c>
      <c r="B23" t="s">
        <v>209</v>
      </c>
      <c r="D23">
        <v>20648</v>
      </c>
      <c r="E23" t="str">
        <f t="shared" si="0"/>
        <v>ia.assorted_string like '%20648-10-2024%' or</v>
      </c>
    </row>
    <row r="24" spans="1:5" x14ac:dyDescent="0.25">
      <c r="A24" s="17" t="s">
        <v>143</v>
      </c>
      <c r="B24" t="s">
        <v>209</v>
      </c>
      <c r="D24">
        <v>20649</v>
      </c>
      <c r="E24" t="str">
        <f t="shared" si="0"/>
        <v>ia.assorted_string like '%20649-10-2024%' or</v>
      </c>
    </row>
    <row r="25" spans="1:5" x14ac:dyDescent="0.25">
      <c r="A25" s="14" t="s">
        <v>144</v>
      </c>
      <c r="B25" t="s">
        <v>209</v>
      </c>
      <c r="D25">
        <v>20650</v>
      </c>
      <c r="E25" t="str">
        <f t="shared" si="0"/>
        <v>ia.assorted_string like '%20650-10-2024%' or</v>
      </c>
    </row>
    <row r="26" spans="1:5" x14ac:dyDescent="0.25">
      <c r="A26" s="17" t="s">
        <v>145</v>
      </c>
      <c r="B26" t="s">
        <v>209</v>
      </c>
      <c r="D26">
        <v>20652</v>
      </c>
      <c r="E26" t="str">
        <f t="shared" si="0"/>
        <v>ia.assorted_string like '%20652-10-2024%' or</v>
      </c>
    </row>
    <row r="27" spans="1:5" x14ac:dyDescent="0.25">
      <c r="A27" s="17" t="s">
        <v>146</v>
      </c>
      <c r="B27" t="s">
        <v>209</v>
      </c>
      <c r="D27">
        <v>20656</v>
      </c>
      <c r="E27" t="str">
        <f t="shared" si="0"/>
        <v>ia.assorted_string like '%20656-10-2024%' or</v>
      </c>
    </row>
    <row r="28" spans="1:5" x14ac:dyDescent="0.25">
      <c r="A28" s="17" t="s">
        <v>147</v>
      </c>
      <c r="B28" t="s">
        <v>209</v>
      </c>
      <c r="D28">
        <v>20660</v>
      </c>
      <c r="E28" t="str">
        <f t="shared" si="0"/>
        <v>ia.assorted_string like '%20660-10-2024%' or</v>
      </c>
    </row>
    <row r="29" spans="1:5" x14ac:dyDescent="0.25">
      <c r="A29" s="17" t="s">
        <v>148</v>
      </c>
      <c r="B29" t="s">
        <v>210</v>
      </c>
      <c r="D29">
        <v>20721</v>
      </c>
      <c r="E29" t="str">
        <f t="shared" si="0"/>
        <v>ia.assorted_string like '%20721-11-2024%' or</v>
      </c>
    </row>
    <row r="30" spans="1:5" x14ac:dyDescent="0.25">
      <c r="A30" s="17" t="s">
        <v>149</v>
      </c>
      <c r="B30" t="s">
        <v>210</v>
      </c>
      <c r="D30">
        <v>20722</v>
      </c>
      <c r="E30" t="str">
        <f t="shared" si="0"/>
        <v>ia.assorted_string like '%20722-11-2024%' or</v>
      </c>
    </row>
    <row r="31" spans="1:5" x14ac:dyDescent="0.25">
      <c r="A31" s="17" t="s">
        <v>150</v>
      </c>
      <c r="B31" t="s">
        <v>210</v>
      </c>
      <c r="D31">
        <v>20800</v>
      </c>
      <c r="E31" t="str">
        <f t="shared" si="0"/>
        <v>ia.assorted_string like '%20800-11-2024%' or</v>
      </c>
    </row>
    <row r="32" spans="1:5" x14ac:dyDescent="0.25">
      <c r="A32" s="14" t="s">
        <v>151</v>
      </c>
      <c r="B32" t="s">
        <v>210</v>
      </c>
      <c r="D32">
        <v>20801</v>
      </c>
      <c r="E32" t="str">
        <f t="shared" si="0"/>
        <v>ia.assorted_string like '%20801-11-2024%' or</v>
      </c>
    </row>
    <row r="33" spans="1:5" x14ac:dyDescent="0.25">
      <c r="A33" s="17" t="s">
        <v>152</v>
      </c>
      <c r="B33" t="s">
        <v>210</v>
      </c>
      <c r="D33">
        <v>20802</v>
      </c>
      <c r="E33" t="str">
        <f t="shared" si="0"/>
        <v>ia.assorted_string like '%20802-11-2024%' or</v>
      </c>
    </row>
    <row r="34" spans="1:5" x14ac:dyDescent="0.25">
      <c r="A34" s="30" t="s">
        <v>153</v>
      </c>
      <c r="B34" t="s">
        <v>210</v>
      </c>
      <c r="D34">
        <v>20803</v>
      </c>
      <c r="E34" t="str">
        <f t="shared" si="0"/>
        <v>ia.assorted_string like '%20803-11-2024%' or</v>
      </c>
    </row>
    <row r="35" spans="1:5" x14ac:dyDescent="0.25">
      <c r="A35" s="17" t="s">
        <v>154</v>
      </c>
      <c r="B35" t="s">
        <v>210</v>
      </c>
      <c r="D35">
        <v>20804</v>
      </c>
      <c r="E35" t="str">
        <f t="shared" si="0"/>
        <v>ia.assorted_string like '%20804-11-2024%' or</v>
      </c>
    </row>
    <row r="36" spans="1:5" x14ac:dyDescent="0.25">
      <c r="A36" s="17" t="s">
        <v>155</v>
      </c>
      <c r="B36" t="s">
        <v>210</v>
      </c>
      <c r="D36">
        <v>20805</v>
      </c>
      <c r="E36" t="str">
        <f t="shared" si="0"/>
        <v>ia.assorted_string like '%20805-11-2024%' or</v>
      </c>
    </row>
    <row r="37" spans="1:5" x14ac:dyDescent="0.25">
      <c r="A37" s="17" t="s">
        <v>156</v>
      </c>
      <c r="B37" t="s">
        <v>211</v>
      </c>
      <c r="D37">
        <v>20933</v>
      </c>
      <c r="E37" t="str">
        <f t="shared" si="0"/>
        <v>ia.assorted_string like '%20933-12-2024%' or</v>
      </c>
    </row>
    <row r="38" spans="1:5" x14ac:dyDescent="0.25">
      <c r="A38" s="17" t="s">
        <v>157</v>
      </c>
      <c r="B38" t="s">
        <v>211</v>
      </c>
      <c r="D38">
        <v>20934</v>
      </c>
      <c r="E38" t="str">
        <f t="shared" si="0"/>
        <v>ia.assorted_string like '%20934-12-2024%' or</v>
      </c>
    </row>
    <row r="39" spans="1:5" x14ac:dyDescent="0.25">
      <c r="A39" s="17" t="s">
        <v>158</v>
      </c>
      <c r="B39" t="s">
        <v>211</v>
      </c>
      <c r="D39">
        <v>20935</v>
      </c>
      <c r="E39" t="str">
        <f t="shared" si="0"/>
        <v>ia.assorted_string like '%20935-12-2024%' or</v>
      </c>
    </row>
    <row r="40" spans="1:5" x14ac:dyDescent="0.25">
      <c r="A40" s="17" t="s">
        <v>159</v>
      </c>
      <c r="B40" t="s">
        <v>211</v>
      </c>
      <c r="D40">
        <v>20936</v>
      </c>
      <c r="E40" t="str">
        <f t="shared" si="0"/>
        <v>ia.assorted_string like '%20936-12-2024%' or</v>
      </c>
    </row>
    <row r="41" spans="1:5" x14ac:dyDescent="0.25">
      <c r="A41" s="17" t="s">
        <v>160</v>
      </c>
      <c r="B41" t="s">
        <v>211</v>
      </c>
      <c r="D41">
        <v>20937</v>
      </c>
      <c r="E41" t="str">
        <f t="shared" si="0"/>
        <v>ia.assorted_string like '%20937-12-2024%' or</v>
      </c>
    </row>
    <row r="42" spans="1:5" x14ac:dyDescent="0.25">
      <c r="A42" s="17" t="s">
        <v>161</v>
      </c>
      <c r="B42" t="s">
        <v>211</v>
      </c>
      <c r="D42">
        <v>20938</v>
      </c>
      <c r="E42" t="str">
        <f t="shared" si="0"/>
        <v>ia.assorted_string like '%20938-12-2024%' or</v>
      </c>
    </row>
    <row r="43" spans="1:5" x14ac:dyDescent="0.25">
      <c r="A43" s="17" t="s">
        <v>162</v>
      </c>
      <c r="B43" t="s">
        <v>211</v>
      </c>
      <c r="D43">
        <v>20951</v>
      </c>
      <c r="E43" t="str">
        <f t="shared" si="0"/>
        <v>ia.assorted_string like '%20951-12-2024%' or</v>
      </c>
    </row>
    <row r="44" spans="1:5" x14ac:dyDescent="0.25">
      <c r="A44" s="17" t="s">
        <v>163</v>
      </c>
      <c r="B44" t="s">
        <v>211</v>
      </c>
      <c r="D44">
        <v>20954</v>
      </c>
      <c r="E44" t="str">
        <f t="shared" si="0"/>
        <v>ia.assorted_string like '%20954-12-2024%' or</v>
      </c>
    </row>
    <row r="45" spans="1:5" x14ac:dyDescent="0.25">
      <c r="A45" s="17" t="s">
        <v>164</v>
      </c>
      <c r="B45" t="s">
        <v>211</v>
      </c>
      <c r="D45">
        <v>20961</v>
      </c>
      <c r="E45" t="str">
        <f t="shared" si="0"/>
        <v>ia.assorted_string like '%20961-12-2024%' or</v>
      </c>
    </row>
    <row r="46" spans="1:5" x14ac:dyDescent="0.25">
      <c r="A46" s="17" t="s">
        <v>165</v>
      </c>
      <c r="B46" t="s">
        <v>211</v>
      </c>
      <c r="D46">
        <v>20962</v>
      </c>
      <c r="E46" t="str">
        <f t="shared" si="0"/>
        <v>ia.assorted_string like '%20962-12-2024%' or</v>
      </c>
    </row>
    <row r="47" spans="1:5" x14ac:dyDescent="0.25">
      <c r="A47" s="17" t="s">
        <v>166</v>
      </c>
      <c r="B47" t="s">
        <v>212</v>
      </c>
      <c r="D47">
        <v>21028</v>
      </c>
      <c r="E47" t="str">
        <f t="shared" si="0"/>
        <v>ia.assorted_string like '%21028-01-2025%' or</v>
      </c>
    </row>
    <row r="48" spans="1:5" x14ac:dyDescent="0.25">
      <c r="A48" s="17" t="s">
        <v>167</v>
      </c>
      <c r="B48" t="s">
        <v>212</v>
      </c>
      <c r="D48">
        <v>21029</v>
      </c>
      <c r="E48" t="str">
        <f t="shared" si="0"/>
        <v>ia.assorted_string like '%21029-01-2025%' or</v>
      </c>
    </row>
    <row r="49" spans="1:5" x14ac:dyDescent="0.25">
      <c r="A49" s="17" t="s">
        <v>168</v>
      </c>
      <c r="B49" t="s">
        <v>212</v>
      </c>
      <c r="D49">
        <v>21030</v>
      </c>
      <c r="E49" t="str">
        <f t="shared" si="0"/>
        <v>ia.assorted_string like '%21030-01-2025%' or</v>
      </c>
    </row>
    <row r="50" spans="1:5" x14ac:dyDescent="0.25">
      <c r="A50" s="17" t="s">
        <v>169</v>
      </c>
      <c r="B50" t="s">
        <v>212</v>
      </c>
      <c r="D50">
        <v>21031</v>
      </c>
      <c r="E50" t="str">
        <f t="shared" si="0"/>
        <v>ia.assorted_string like '%21031-01-2025%' or</v>
      </c>
    </row>
    <row r="51" spans="1:5" x14ac:dyDescent="0.25">
      <c r="A51" s="17" t="s">
        <v>170</v>
      </c>
      <c r="B51" t="s">
        <v>212</v>
      </c>
      <c r="D51">
        <v>21032</v>
      </c>
      <c r="E51" t="str">
        <f t="shared" si="0"/>
        <v>ia.assorted_string like '%21032-01-2025%' or</v>
      </c>
    </row>
    <row r="52" spans="1:5" x14ac:dyDescent="0.25">
      <c r="A52" s="17" t="s">
        <v>171</v>
      </c>
      <c r="B52" t="s">
        <v>212</v>
      </c>
      <c r="D52">
        <v>21033</v>
      </c>
      <c r="E52" t="str">
        <f t="shared" si="0"/>
        <v>ia.assorted_string like '%21033-01-2025%' or</v>
      </c>
    </row>
    <row r="53" spans="1:5" x14ac:dyDescent="0.25">
      <c r="A53" s="17" t="s">
        <v>172</v>
      </c>
      <c r="B53" t="s">
        <v>210</v>
      </c>
      <c r="D53">
        <v>20761</v>
      </c>
      <c r="E53" t="str">
        <f t="shared" si="0"/>
        <v>ia.assorted_string like '%20761-11-2024%' or</v>
      </c>
    </row>
    <row r="54" spans="1:5" x14ac:dyDescent="0.25">
      <c r="A54" s="31" t="s">
        <v>173</v>
      </c>
      <c r="B54" t="s">
        <v>208</v>
      </c>
      <c r="D54">
        <v>20384</v>
      </c>
      <c r="E54" t="str">
        <f t="shared" si="0"/>
        <v>ia.assorted_string like '%20384-09-2024%' or</v>
      </c>
    </row>
    <row r="55" spans="1:5" x14ac:dyDescent="0.25">
      <c r="A55" s="31" t="s">
        <v>174</v>
      </c>
      <c r="B55" t="s">
        <v>208</v>
      </c>
      <c r="D55">
        <v>20437</v>
      </c>
      <c r="E55" t="str">
        <f t="shared" si="0"/>
        <v>ia.assorted_string like '%20437-09-2024%' or</v>
      </c>
    </row>
    <row r="56" spans="1:5" x14ac:dyDescent="0.25">
      <c r="A56" s="17" t="s">
        <v>175</v>
      </c>
      <c r="B56" t="s">
        <v>209</v>
      </c>
      <c r="D56">
        <v>20603</v>
      </c>
      <c r="E56" t="str">
        <f t="shared" si="0"/>
        <v>ia.assorted_string like '%20603-10-2024%' or</v>
      </c>
    </row>
    <row r="57" spans="1:5" x14ac:dyDescent="0.25">
      <c r="A57" s="17" t="s">
        <v>176</v>
      </c>
      <c r="B57" t="s">
        <v>210</v>
      </c>
      <c r="D57">
        <v>20713</v>
      </c>
      <c r="E57" t="str">
        <f t="shared" si="0"/>
        <v>ia.assorted_string like '%20713-11-2024%' or</v>
      </c>
    </row>
    <row r="58" spans="1:5" x14ac:dyDescent="0.25">
      <c r="A58" s="17" t="s">
        <v>177</v>
      </c>
      <c r="B58" t="s">
        <v>210</v>
      </c>
      <c r="D58">
        <v>20714</v>
      </c>
      <c r="E58" t="str">
        <f t="shared" si="0"/>
        <v>ia.assorted_string like '%20714-11-2024%' or</v>
      </c>
    </row>
    <row r="59" spans="1:5" x14ac:dyDescent="0.25">
      <c r="A59" s="17" t="s">
        <v>178</v>
      </c>
      <c r="B59" t="s">
        <v>210</v>
      </c>
      <c r="D59">
        <v>20766</v>
      </c>
      <c r="E59" t="str">
        <f t="shared" si="0"/>
        <v>ia.assorted_string like '%20766-11-2024%' or</v>
      </c>
    </row>
    <row r="60" spans="1:5" x14ac:dyDescent="0.25">
      <c r="A60" s="17" t="s">
        <v>179</v>
      </c>
      <c r="B60" t="s">
        <v>210</v>
      </c>
      <c r="D60">
        <v>20806</v>
      </c>
      <c r="E60" t="str">
        <f t="shared" si="0"/>
        <v>ia.assorted_string like '%20806-11-2024%' or</v>
      </c>
    </row>
    <row r="61" spans="1:5" x14ac:dyDescent="0.25">
      <c r="A61" s="17" t="s">
        <v>180</v>
      </c>
      <c r="B61" t="s">
        <v>210</v>
      </c>
      <c r="D61">
        <v>20826</v>
      </c>
      <c r="E61" t="str">
        <f t="shared" si="0"/>
        <v>ia.assorted_string like '%20826-11-2024%' or</v>
      </c>
    </row>
    <row r="62" spans="1:5" x14ac:dyDescent="0.25">
      <c r="A62" s="17" t="s">
        <v>181</v>
      </c>
      <c r="B62" t="s">
        <v>210</v>
      </c>
      <c r="D62">
        <v>20827</v>
      </c>
      <c r="E62" t="str">
        <f t="shared" si="0"/>
        <v>ia.assorted_string like '%20827-11-2024%' or</v>
      </c>
    </row>
    <row r="63" spans="1:5" x14ac:dyDescent="0.25">
      <c r="A63" s="17" t="s">
        <v>182</v>
      </c>
      <c r="B63" t="s">
        <v>210</v>
      </c>
      <c r="D63">
        <v>20831</v>
      </c>
      <c r="E63" t="str">
        <f t="shared" si="0"/>
        <v>ia.assorted_string like '%20831-11-2024%' or</v>
      </c>
    </row>
    <row r="64" spans="1:5" x14ac:dyDescent="0.25">
      <c r="A64" s="17" t="s">
        <v>183</v>
      </c>
      <c r="B64" t="s">
        <v>211</v>
      </c>
      <c r="D64">
        <v>20916</v>
      </c>
      <c r="E64" t="str">
        <f t="shared" si="0"/>
        <v>ia.assorted_string like '%20916-12-2024%' or</v>
      </c>
    </row>
    <row r="65" spans="1:5" x14ac:dyDescent="0.25">
      <c r="A65" s="17" t="s">
        <v>184</v>
      </c>
      <c r="B65" t="s">
        <v>211</v>
      </c>
      <c r="D65">
        <v>20917</v>
      </c>
      <c r="E65" t="str">
        <f t="shared" si="0"/>
        <v>ia.assorted_string like '%20917-12-2024%' or</v>
      </c>
    </row>
    <row r="66" spans="1:5" x14ac:dyDescent="0.25">
      <c r="A66" s="17" t="s">
        <v>185</v>
      </c>
      <c r="B66" t="s">
        <v>211</v>
      </c>
      <c r="D66">
        <v>20943</v>
      </c>
      <c r="E66" t="str">
        <f t="shared" ref="E66:E75" si="1">"ia.assorted_string like '%"&amp;D66&amp;B66&amp;"%' or"</f>
        <v>ia.assorted_string like '%20943-12-2024%' or</v>
      </c>
    </row>
    <row r="67" spans="1:5" x14ac:dyDescent="0.25">
      <c r="A67" s="17" t="s">
        <v>186</v>
      </c>
      <c r="B67" t="s">
        <v>211</v>
      </c>
      <c r="D67">
        <v>20944</v>
      </c>
      <c r="E67" t="str">
        <f t="shared" si="1"/>
        <v>ia.assorted_string like '%20944-12-2024%' or</v>
      </c>
    </row>
    <row r="68" spans="1:5" x14ac:dyDescent="0.25">
      <c r="A68" s="17" t="s">
        <v>132</v>
      </c>
      <c r="B68" t="s">
        <v>212</v>
      </c>
      <c r="D68">
        <v>21034</v>
      </c>
      <c r="E68" t="str">
        <f t="shared" si="1"/>
        <v>ia.assorted_string like '%21034-01-2025%' or</v>
      </c>
    </row>
    <row r="69" spans="1:5" x14ac:dyDescent="0.25">
      <c r="A69" s="17" t="s">
        <v>134</v>
      </c>
      <c r="B69" t="s">
        <v>212</v>
      </c>
      <c r="D69">
        <v>21043</v>
      </c>
      <c r="E69" t="str">
        <f t="shared" si="1"/>
        <v>ia.assorted_string like '%21043-01-2025%' or</v>
      </c>
    </row>
    <row r="70" spans="1:5" x14ac:dyDescent="0.25">
      <c r="A70" s="17" t="s">
        <v>136</v>
      </c>
      <c r="B70" t="s">
        <v>212</v>
      </c>
      <c r="D70">
        <v>21044</v>
      </c>
      <c r="E70" t="str">
        <f t="shared" si="1"/>
        <v>ia.assorted_string like '%21044-01-2025%' or</v>
      </c>
    </row>
    <row r="71" spans="1:5" x14ac:dyDescent="0.25">
      <c r="A71" s="17" t="s">
        <v>137</v>
      </c>
      <c r="B71" t="s">
        <v>212</v>
      </c>
      <c r="D71">
        <v>21134</v>
      </c>
      <c r="E71" t="str">
        <f t="shared" si="1"/>
        <v>ia.assorted_string like '%21134-01-2025%' or</v>
      </c>
    </row>
    <row r="72" spans="1:5" x14ac:dyDescent="0.25">
      <c r="A72" s="30" t="s">
        <v>191</v>
      </c>
      <c r="B72" t="s">
        <v>213</v>
      </c>
      <c r="D72">
        <v>3753</v>
      </c>
      <c r="E72" t="str">
        <f t="shared" si="1"/>
        <v>ia.assorted_string like '%3753-03-2025%' or</v>
      </c>
    </row>
    <row r="73" spans="1:5" x14ac:dyDescent="0.25">
      <c r="A73" s="17" t="s">
        <v>188</v>
      </c>
      <c r="B73" t="s">
        <v>212</v>
      </c>
      <c r="D73">
        <v>11049</v>
      </c>
      <c r="E73" t="str">
        <f t="shared" si="1"/>
        <v>ia.assorted_string like '%11049-01-2025%' or</v>
      </c>
    </row>
    <row r="74" spans="1:5" x14ac:dyDescent="0.25">
      <c r="A74" s="17" t="s">
        <v>75</v>
      </c>
      <c r="B74" t="s">
        <v>210</v>
      </c>
      <c r="D74">
        <v>23058</v>
      </c>
      <c r="E74" t="str">
        <f t="shared" si="1"/>
        <v>ia.assorted_string like '%23058-11-2024%' or</v>
      </c>
    </row>
    <row r="75" spans="1:5" x14ac:dyDescent="0.25">
      <c r="A75" s="17" t="s">
        <v>187</v>
      </c>
      <c r="B75" t="s">
        <v>214</v>
      </c>
      <c r="D75">
        <v>52395</v>
      </c>
      <c r="E75" t="str">
        <f t="shared" si="1"/>
        <v>ia.assorted_string like '%52395-02-2025%' or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3A032-C636-40D7-94F4-6680FFAFA5CD}">
  <dimension ref="A1:C116"/>
  <sheetViews>
    <sheetView workbookViewId="0">
      <selection activeCell="F15" sqref="F15"/>
    </sheetView>
  </sheetViews>
  <sheetFormatPr defaultColWidth="7.85546875" defaultRowHeight="15" x14ac:dyDescent="0.25"/>
  <cols>
    <col min="1" max="1" width="3.140625" customWidth="1"/>
    <col min="2" max="2" width="33.5703125" customWidth="1"/>
    <col min="3" max="3" width="14" customWidth="1"/>
  </cols>
  <sheetData>
    <row r="1" spans="1:3" s="41" customFormat="1" ht="12" x14ac:dyDescent="0.2">
      <c r="A1" s="41" t="s">
        <v>215</v>
      </c>
      <c r="B1" s="41" t="s">
        <v>216</v>
      </c>
      <c r="C1" s="41" t="s">
        <v>217</v>
      </c>
    </row>
    <row r="2" spans="1:3" x14ac:dyDescent="0.25">
      <c r="A2">
        <v>1</v>
      </c>
      <c r="B2" t="s">
        <v>218</v>
      </c>
      <c r="C2" t="s">
        <v>219</v>
      </c>
    </row>
    <row r="3" spans="1:3" x14ac:dyDescent="0.25">
      <c r="A3">
        <v>2</v>
      </c>
      <c r="B3" t="s">
        <v>220</v>
      </c>
      <c r="C3" t="s">
        <v>221</v>
      </c>
    </row>
    <row r="4" spans="1:3" x14ac:dyDescent="0.25">
      <c r="A4">
        <v>3</v>
      </c>
      <c r="B4" t="s">
        <v>222</v>
      </c>
      <c r="C4" t="s">
        <v>223</v>
      </c>
    </row>
    <row r="5" spans="1:3" x14ac:dyDescent="0.25">
      <c r="A5">
        <v>4</v>
      </c>
      <c r="B5" t="s">
        <v>224</v>
      </c>
      <c r="C5" t="s">
        <v>225</v>
      </c>
    </row>
    <row r="6" spans="1:3" x14ac:dyDescent="0.25">
      <c r="A6">
        <v>5</v>
      </c>
      <c r="B6" t="s">
        <v>226</v>
      </c>
      <c r="C6" t="s">
        <v>227</v>
      </c>
    </row>
    <row r="7" spans="1:3" x14ac:dyDescent="0.25">
      <c r="A7">
        <v>6</v>
      </c>
      <c r="B7" t="s">
        <v>228</v>
      </c>
      <c r="C7" t="s">
        <v>229</v>
      </c>
    </row>
    <row r="8" spans="1:3" x14ac:dyDescent="0.25">
      <c r="A8">
        <v>7</v>
      </c>
      <c r="B8" t="s">
        <v>230</v>
      </c>
      <c r="C8" t="s">
        <v>231</v>
      </c>
    </row>
    <row r="9" spans="1:3" x14ac:dyDescent="0.25">
      <c r="A9">
        <v>8</v>
      </c>
      <c r="B9" t="s">
        <v>32</v>
      </c>
      <c r="C9" t="s">
        <v>232</v>
      </c>
    </row>
    <row r="10" spans="1:3" x14ac:dyDescent="0.25">
      <c r="A10">
        <v>9</v>
      </c>
      <c r="B10" t="s">
        <v>233</v>
      </c>
      <c r="C10" t="s">
        <v>234</v>
      </c>
    </row>
    <row r="11" spans="1:3" x14ac:dyDescent="0.25">
      <c r="A11">
        <v>10</v>
      </c>
      <c r="B11" t="s">
        <v>54</v>
      </c>
      <c r="C11" t="s">
        <v>235</v>
      </c>
    </row>
    <row r="12" spans="1:3" x14ac:dyDescent="0.25">
      <c r="A12">
        <v>11</v>
      </c>
      <c r="B12" t="s">
        <v>236</v>
      </c>
      <c r="C12" t="s">
        <v>237</v>
      </c>
    </row>
    <row r="13" spans="1:3" x14ac:dyDescent="0.25">
      <c r="A13">
        <v>12</v>
      </c>
      <c r="B13" t="s">
        <v>238</v>
      </c>
      <c r="C13" t="s">
        <v>239</v>
      </c>
    </row>
    <row r="14" spans="1:3" x14ac:dyDescent="0.25">
      <c r="A14">
        <v>13</v>
      </c>
      <c r="B14" t="s">
        <v>240</v>
      </c>
      <c r="C14" t="s">
        <v>241</v>
      </c>
    </row>
    <row r="15" spans="1:3" x14ac:dyDescent="0.25">
      <c r="A15">
        <v>14</v>
      </c>
      <c r="B15" t="s">
        <v>242</v>
      </c>
      <c r="C15" t="s">
        <v>243</v>
      </c>
    </row>
    <row r="16" spans="1:3" x14ac:dyDescent="0.25">
      <c r="A16">
        <v>15</v>
      </c>
      <c r="B16" t="s">
        <v>244</v>
      </c>
      <c r="C16" t="s">
        <v>245</v>
      </c>
    </row>
    <row r="17" spans="1:3" x14ac:dyDescent="0.25">
      <c r="A17">
        <v>16</v>
      </c>
      <c r="B17" t="s">
        <v>8</v>
      </c>
      <c r="C17" t="s">
        <v>246</v>
      </c>
    </row>
    <row r="18" spans="1:3" x14ac:dyDescent="0.25">
      <c r="A18">
        <v>17</v>
      </c>
      <c r="B18" t="s">
        <v>247</v>
      </c>
      <c r="C18" t="s">
        <v>248</v>
      </c>
    </row>
    <row r="19" spans="1:3" x14ac:dyDescent="0.25">
      <c r="A19">
        <v>18</v>
      </c>
      <c r="B19" t="s">
        <v>249</v>
      </c>
      <c r="C19" t="s">
        <v>250</v>
      </c>
    </row>
    <row r="20" spans="1:3" x14ac:dyDescent="0.25">
      <c r="A20">
        <v>19</v>
      </c>
      <c r="B20" t="s">
        <v>251</v>
      </c>
      <c r="C20" t="s">
        <v>252</v>
      </c>
    </row>
    <row r="21" spans="1:3" x14ac:dyDescent="0.25">
      <c r="A21">
        <v>20</v>
      </c>
      <c r="B21" t="s">
        <v>253</v>
      </c>
      <c r="C21" t="s">
        <v>254</v>
      </c>
    </row>
    <row r="22" spans="1:3" x14ac:dyDescent="0.25">
      <c r="A22">
        <v>21</v>
      </c>
      <c r="B22" t="s">
        <v>255</v>
      </c>
      <c r="C22" t="s">
        <v>256</v>
      </c>
    </row>
    <row r="23" spans="1:3" x14ac:dyDescent="0.25">
      <c r="A23">
        <v>22</v>
      </c>
      <c r="B23" t="s">
        <v>173</v>
      </c>
      <c r="C23" t="s">
        <v>257</v>
      </c>
    </row>
    <row r="24" spans="1:3" x14ac:dyDescent="0.25">
      <c r="A24">
        <v>23</v>
      </c>
      <c r="B24" t="s">
        <v>60</v>
      </c>
      <c r="C24" t="s">
        <v>258</v>
      </c>
    </row>
    <row r="25" spans="1:3" x14ac:dyDescent="0.25">
      <c r="A25">
        <v>24</v>
      </c>
      <c r="B25" t="s">
        <v>259</v>
      </c>
      <c r="C25" t="s">
        <v>260</v>
      </c>
    </row>
    <row r="26" spans="1:3" x14ac:dyDescent="0.25">
      <c r="A26">
        <v>25</v>
      </c>
      <c r="B26" t="s">
        <v>144</v>
      </c>
      <c r="C26" t="s">
        <v>261</v>
      </c>
    </row>
    <row r="27" spans="1:3" x14ac:dyDescent="0.25">
      <c r="A27">
        <v>26</v>
      </c>
      <c r="B27" t="s">
        <v>262</v>
      </c>
      <c r="C27" t="s">
        <v>263</v>
      </c>
    </row>
    <row r="28" spans="1:3" x14ac:dyDescent="0.25">
      <c r="A28">
        <v>27</v>
      </c>
      <c r="B28" t="s">
        <v>264</v>
      </c>
      <c r="C28" t="s">
        <v>265</v>
      </c>
    </row>
    <row r="29" spans="1:3" x14ac:dyDescent="0.25">
      <c r="A29">
        <v>28</v>
      </c>
      <c r="B29" t="s">
        <v>266</v>
      </c>
      <c r="C29" t="s">
        <v>267</v>
      </c>
    </row>
    <row r="30" spans="1:3" x14ac:dyDescent="0.25">
      <c r="A30">
        <v>29</v>
      </c>
      <c r="B30" t="s">
        <v>268</v>
      </c>
      <c r="C30" t="s">
        <v>269</v>
      </c>
    </row>
    <row r="31" spans="1:3" x14ac:dyDescent="0.25">
      <c r="A31">
        <v>30</v>
      </c>
      <c r="B31" t="s">
        <v>175</v>
      </c>
      <c r="C31" t="s">
        <v>270</v>
      </c>
    </row>
    <row r="32" spans="1:3" x14ac:dyDescent="0.25">
      <c r="A32">
        <v>31</v>
      </c>
      <c r="B32" t="s">
        <v>11</v>
      </c>
      <c r="C32" t="s">
        <v>271</v>
      </c>
    </row>
    <row r="33" spans="1:3" x14ac:dyDescent="0.25">
      <c r="A33">
        <v>32</v>
      </c>
      <c r="B33" t="s">
        <v>39</v>
      </c>
      <c r="C33" t="s">
        <v>272</v>
      </c>
    </row>
    <row r="34" spans="1:3" x14ac:dyDescent="0.25">
      <c r="A34">
        <v>33</v>
      </c>
      <c r="B34" t="s">
        <v>17</v>
      </c>
      <c r="C34" t="s">
        <v>273</v>
      </c>
    </row>
    <row r="35" spans="1:3" x14ac:dyDescent="0.25">
      <c r="A35">
        <v>34</v>
      </c>
      <c r="B35" t="s">
        <v>58</v>
      </c>
      <c r="C35" t="s">
        <v>274</v>
      </c>
    </row>
    <row r="36" spans="1:3" x14ac:dyDescent="0.25">
      <c r="A36">
        <v>35</v>
      </c>
      <c r="B36" t="s">
        <v>275</v>
      </c>
      <c r="C36" t="s">
        <v>276</v>
      </c>
    </row>
    <row r="37" spans="1:3" x14ac:dyDescent="0.25">
      <c r="A37">
        <v>36</v>
      </c>
      <c r="B37" t="s">
        <v>277</v>
      </c>
      <c r="C37" t="s">
        <v>278</v>
      </c>
    </row>
    <row r="38" spans="1:3" x14ac:dyDescent="0.25">
      <c r="A38">
        <v>37</v>
      </c>
      <c r="B38" t="s">
        <v>279</v>
      </c>
      <c r="C38" t="s">
        <v>280</v>
      </c>
    </row>
    <row r="39" spans="1:3" x14ac:dyDescent="0.25">
      <c r="A39">
        <v>38</v>
      </c>
      <c r="B39" t="s">
        <v>281</v>
      </c>
      <c r="C39" t="s">
        <v>282</v>
      </c>
    </row>
    <row r="40" spans="1:3" x14ac:dyDescent="0.25">
      <c r="A40">
        <v>39</v>
      </c>
      <c r="B40" t="s">
        <v>283</v>
      </c>
      <c r="C40" t="s">
        <v>284</v>
      </c>
    </row>
    <row r="41" spans="1:3" x14ac:dyDescent="0.25">
      <c r="A41">
        <v>40</v>
      </c>
      <c r="B41" t="s">
        <v>285</v>
      </c>
      <c r="C41" t="s">
        <v>286</v>
      </c>
    </row>
    <row r="42" spans="1:3" x14ac:dyDescent="0.25">
      <c r="A42">
        <v>41</v>
      </c>
      <c r="B42" t="s">
        <v>75</v>
      </c>
      <c r="C42" t="s">
        <v>287</v>
      </c>
    </row>
    <row r="43" spans="1:3" x14ac:dyDescent="0.25">
      <c r="A43">
        <v>42</v>
      </c>
      <c r="B43" t="s">
        <v>288</v>
      </c>
      <c r="C43" t="s">
        <v>289</v>
      </c>
    </row>
    <row r="44" spans="1:3" x14ac:dyDescent="0.25">
      <c r="A44">
        <v>43</v>
      </c>
      <c r="B44" t="s">
        <v>141</v>
      </c>
      <c r="C44" t="s">
        <v>290</v>
      </c>
    </row>
    <row r="45" spans="1:3" x14ac:dyDescent="0.25">
      <c r="A45">
        <v>44</v>
      </c>
      <c r="B45" t="s">
        <v>14</v>
      </c>
      <c r="C45" t="s">
        <v>291</v>
      </c>
    </row>
    <row r="46" spans="1:3" x14ac:dyDescent="0.25">
      <c r="A46">
        <v>45</v>
      </c>
      <c r="B46" t="s">
        <v>292</v>
      </c>
      <c r="C46" t="s">
        <v>293</v>
      </c>
    </row>
    <row r="47" spans="1:3" x14ac:dyDescent="0.25">
      <c r="A47">
        <v>46</v>
      </c>
      <c r="B47" t="s">
        <v>294</v>
      </c>
      <c r="C47" t="s">
        <v>295</v>
      </c>
    </row>
    <row r="48" spans="1:3" x14ac:dyDescent="0.25">
      <c r="A48">
        <v>47</v>
      </c>
      <c r="B48" t="s">
        <v>296</v>
      </c>
      <c r="C48" t="s">
        <v>297</v>
      </c>
    </row>
    <row r="49" spans="1:3" x14ac:dyDescent="0.25">
      <c r="A49">
        <v>48</v>
      </c>
      <c r="B49" t="s">
        <v>145</v>
      </c>
      <c r="C49" t="s">
        <v>298</v>
      </c>
    </row>
    <row r="50" spans="1:3" x14ac:dyDescent="0.25">
      <c r="A50">
        <v>49</v>
      </c>
      <c r="B50" t="s">
        <v>42</v>
      </c>
      <c r="C50" t="s">
        <v>299</v>
      </c>
    </row>
    <row r="51" spans="1:3" x14ac:dyDescent="0.25">
      <c r="A51">
        <v>50</v>
      </c>
      <c r="B51" t="s">
        <v>300</v>
      </c>
      <c r="C51" t="s">
        <v>301</v>
      </c>
    </row>
    <row r="52" spans="1:3" x14ac:dyDescent="0.25">
      <c r="A52">
        <v>51</v>
      </c>
      <c r="B52" t="s">
        <v>20</v>
      </c>
      <c r="C52" t="s">
        <v>302</v>
      </c>
    </row>
    <row r="53" spans="1:3" x14ac:dyDescent="0.25">
      <c r="A53">
        <v>52</v>
      </c>
      <c r="B53" t="s">
        <v>303</v>
      </c>
      <c r="C53" t="s">
        <v>304</v>
      </c>
    </row>
    <row r="54" spans="1:3" x14ac:dyDescent="0.25">
      <c r="A54">
        <v>53</v>
      </c>
      <c r="B54" t="s">
        <v>147</v>
      </c>
      <c r="C54" t="s">
        <v>305</v>
      </c>
    </row>
    <row r="55" spans="1:3" x14ac:dyDescent="0.25">
      <c r="A55">
        <v>54</v>
      </c>
      <c r="B55" t="s">
        <v>140</v>
      </c>
      <c r="C55" t="s">
        <v>306</v>
      </c>
    </row>
    <row r="56" spans="1:3" x14ac:dyDescent="0.25">
      <c r="A56">
        <v>55</v>
      </c>
      <c r="B56" t="s">
        <v>47</v>
      </c>
      <c r="C56" t="s">
        <v>307</v>
      </c>
    </row>
    <row r="57" spans="1:3" x14ac:dyDescent="0.25">
      <c r="A57">
        <v>56</v>
      </c>
      <c r="B57" t="s">
        <v>308</v>
      </c>
      <c r="C57" t="s">
        <v>309</v>
      </c>
    </row>
    <row r="58" spans="1:3" x14ac:dyDescent="0.25">
      <c r="A58">
        <v>57</v>
      </c>
      <c r="B58" t="s">
        <v>56</v>
      </c>
      <c r="C58" t="s">
        <v>310</v>
      </c>
    </row>
    <row r="59" spans="1:3" x14ac:dyDescent="0.25">
      <c r="A59">
        <v>58</v>
      </c>
      <c r="B59" t="s">
        <v>311</v>
      </c>
      <c r="C59" t="s">
        <v>312</v>
      </c>
    </row>
    <row r="60" spans="1:3" x14ac:dyDescent="0.25">
      <c r="A60">
        <v>59</v>
      </c>
      <c r="B60" t="s">
        <v>36</v>
      </c>
      <c r="C60" t="s">
        <v>313</v>
      </c>
    </row>
    <row r="61" spans="1:3" x14ac:dyDescent="0.25">
      <c r="A61">
        <v>60</v>
      </c>
      <c r="B61" t="s">
        <v>45</v>
      </c>
      <c r="C61" t="s">
        <v>314</v>
      </c>
    </row>
    <row r="62" spans="1:3" x14ac:dyDescent="0.25">
      <c r="A62">
        <v>61</v>
      </c>
      <c r="B62" t="s">
        <v>50</v>
      </c>
      <c r="C62" t="s">
        <v>315</v>
      </c>
    </row>
    <row r="63" spans="1:3" x14ac:dyDescent="0.25">
      <c r="A63">
        <v>62</v>
      </c>
      <c r="B63" t="s">
        <v>29</v>
      </c>
      <c r="C63" t="s">
        <v>316</v>
      </c>
    </row>
    <row r="64" spans="1:3" x14ac:dyDescent="0.25">
      <c r="A64">
        <v>63</v>
      </c>
      <c r="B64" t="s">
        <v>23</v>
      </c>
      <c r="C64" t="s">
        <v>317</v>
      </c>
    </row>
    <row r="65" spans="1:3" x14ac:dyDescent="0.25">
      <c r="A65">
        <v>64</v>
      </c>
      <c r="B65" t="s">
        <v>26</v>
      </c>
      <c r="C65" t="s">
        <v>318</v>
      </c>
    </row>
    <row r="66" spans="1:3" x14ac:dyDescent="0.25">
      <c r="A66">
        <v>65</v>
      </c>
      <c r="B66" t="s">
        <v>146</v>
      </c>
      <c r="C66" t="s">
        <v>319</v>
      </c>
    </row>
    <row r="67" spans="1:3" x14ac:dyDescent="0.25">
      <c r="A67">
        <v>66</v>
      </c>
      <c r="B67" t="s">
        <v>143</v>
      </c>
      <c r="C67" t="s">
        <v>320</v>
      </c>
    </row>
    <row r="68" spans="1:3" x14ac:dyDescent="0.25">
      <c r="A68">
        <v>67</v>
      </c>
      <c r="B68" t="s">
        <v>174</v>
      </c>
      <c r="C68" t="s">
        <v>321</v>
      </c>
    </row>
    <row r="69" spans="1:3" x14ac:dyDescent="0.25">
      <c r="A69">
        <v>68</v>
      </c>
      <c r="B69" t="s">
        <v>142</v>
      </c>
      <c r="C69" t="s">
        <v>322</v>
      </c>
    </row>
    <row r="70" spans="1:3" x14ac:dyDescent="0.25">
      <c r="A70">
        <v>69</v>
      </c>
      <c r="B70" t="s">
        <v>176</v>
      </c>
      <c r="C70" t="s">
        <v>323</v>
      </c>
    </row>
    <row r="71" spans="1:3" x14ac:dyDescent="0.25">
      <c r="A71">
        <v>70</v>
      </c>
      <c r="B71" t="s">
        <v>177</v>
      </c>
      <c r="C71" t="s">
        <v>324</v>
      </c>
    </row>
    <row r="72" spans="1:3" x14ac:dyDescent="0.25">
      <c r="A72">
        <v>71</v>
      </c>
      <c r="B72" t="s">
        <v>162</v>
      </c>
      <c r="C72" t="s">
        <v>325</v>
      </c>
    </row>
    <row r="73" spans="1:3" x14ac:dyDescent="0.25">
      <c r="A73">
        <v>72</v>
      </c>
      <c r="B73" t="s">
        <v>148</v>
      </c>
      <c r="C73" t="s">
        <v>326</v>
      </c>
    </row>
    <row r="74" spans="1:3" x14ac:dyDescent="0.25">
      <c r="A74">
        <v>73</v>
      </c>
      <c r="B74" t="s">
        <v>168</v>
      </c>
      <c r="C74" t="s">
        <v>327</v>
      </c>
    </row>
    <row r="75" spans="1:3" x14ac:dyDescent="0.25">
      <c r="A75">
        <v>74</v>
      </c>
      <c r="B75" t="s">
        <v>134</v>
      </c>
      <c r="C75" t="s">
        <v>328</v>
      </c>
    </row>
    <row r="76" spans="1:3" x14ac:dyDescent="0.25">
      <c r="A76">
        <v>75</v>
      </c>
      <c r="B76" t="s">
        <v>157</v>
      </c>
      <c r="C76" t="s">
        <v>329</v>
      </c>
    </row>
    <row r="77" spans="1:3" x14ac:dyDescent="0.25">
      <c r="A77">
        <v>76</v>
      </c>
      <c r="B77" t="s">
        <v>136</v>
      </c>
      <c r="C77" t="s">
        <v>330</v>
      </c>
    </row>
    <row r="78" spans="1:3" x14ac:dyDescent="0.25">
      <c r="A78">
        <v>77</v>
      </c>
      <c r="B78" t="s">
        <v>153</v>
      </c>
      <c r="C78" t="s">
        <v>331</v>
      </c>
    </row>
    <row r="79" spans="1:3" x14ac:dyDescent="0.25">
      <c r="A79">
        <v>78</v>
      </c>
      <c r="B79" t="s">
        <v>163</v>
      </c>
      <c r="C79" t="s">
        <v>332</v>
      </c>
    </row>
    <row r="80" spans="1:3" x14ac:dyDescent="0.25">
      <c r="A80">
        <v>79</v>
      </c>
      <c r="B80" t="s">
        <v>165</v>
      </c>
      <c r="C80" t="s">
        <v>333</v>
      </c>
    </row>
    <row r="81" spans="1:3" x14ac:dyDescent="0.25">
      <c r="A81">
        <v>80</v>
      </c>
      <c r="B81" t="s">
        <v>186</v>
      </c>
      <c r="C81" t="s">
        <v>334</v>
      </c>
    </row>
    <row r="82" spans="1:3" x14ac:dyDescent="0.25">
      <c r="A82">
        <v>81</v>
      </c>
      <c r="B82" t="s">
        <v>180</v>
      </c>
      <c r="C82" t="s">
        <v>335</v>
      </c>
    </row>
    <row r="83" spans="1:3" x14ac:dyDescent="0.25">
      <c r="A83">
        <v>82</v>
      </c>
      <c r="B83" t="s">
        <v>183</v>
      </c>
      <c r="C83" t="s">
        <v>336</v>
      </c>
    </row>
    <row r="84" spans="1:3" x14ac:dyDescent="0.25">
      <c r="A84">
        <v>83</v>
      </c>
      <c r="B84" t="s">
        <v>337</v>
      </c>
      <c r="C84" t="s">
        <v>338</v>
      </c>
    </row>
    <row r="85" spans="1:3" x14ac:dyDescent="0.25">
      <c r="A85">
        <v>84</v>
      </c>
      <c r="B85" t="s">
        <v>149</v>
      </c>
      <c r="C85" t="s">
        <v>339</v>
      </c>
    </row>
    <row r="86" spans="1:3" x14ac:dyDescent="0.25">
      <c r="A86">
        <v>85</v>
      </c>
      <c r="B86" t="s">
        <v>182</v>
      </c>
      <c r="C86" t="s">
        <v>340</v>
      </c>
    </row>
    <row r="87" spans="1:3" x14ac:dyDescent="0.25">
      <c r="A87">
        <v>86</v>
      </c>
      <c r="B87" t="s">
        <v>185</v>
      </c>
      <c r="C87" t="s">
        <v>341</v>
      </c>
    </row>
    <row r="88" spans="1:3" x14ac:dyDescent="0.25">
      <c r="A88">
        <v>87</v>
      </c>
      <c r="B88" t="s">
        <v>167</v>
      </c>
      <c r="C88" t="s">
        <v>342</v>
      </c>
    </row>
    <row r="89" spans="1:3" x14ac:dyDescent="0.25">
      <c r="A89">
        <v>88</v>
      </c>
      <c r="B89" t="s">
        <v>343</v>
      </c>
      <c r="C89" t="s">
        <v>344</v>
      </c>
    </row>
    <row r="90" spans="1:3" x14ac:dyDescent="0.25">
      <c r="A90">
        <v>89</v>
      </c>
      <c r="B90" t="s">
        <v>164</v>
      </c>
      <c r="C90" t="s">
        <v>345</v>
      </c>
    </row>
    <row r="91" spans="1:3" x14ac:dyDescent="0.25">
      <c r="A91">
        <v>90</v>
      </c>
      <c r="B91" t="s">
        <v>184</v>
      </c>
      <c r="C91" t="s">
        <v>346</v>
      </c>
    </row>
    <row r="92" spans="1:3" x14ac:dyDescent="0.25">
      <c r="A92">
        <v>91</v>
      </c>
      <c r="B92" t="s">
        <v>159</v>
      </c>
      <c r="C92" t="s">
        <v>347</v>
      </c>
    </row>
    <row r="93" spans="1:3" x14ac:dyDescent="0.25">
      <c r="A93">
        <v>92</v>
      </c>
      <c r="B93" t="s">
        <v>151</v>
      </c>
      <c r="C93" t="s">
        <v>348</v>
      </c>
    </row>
    <row r="94" spans="1:3" x14ac:dyDescent="0.25">
      <c r="A94">
        <v>93</v>
      </c>
      <c r="B94" t="s">
        <v>179</v>
      </c>
      <c r="C94" t="s">
        <v>349</v>
      </c>
    </row>
    <row r="95" spans="1:3" x14ac:dyDescent="0.25">
      <c r="A95">
        <v>94</v>
      </c>
      <c r="B95" t="s">
        <v>158</v>
      </c>
      <c r="C95" t="s">
        <v>350</v>
      </c>
    </row>
    <row r="96" spans="1:3" x14ac:dyDescent="0.25">
      <c r="A96">
        <v>95</v>
      </c>
      <c r="B96" t="s">
        <v>160</v>
      </c>
      <c r="C96" t="s">
        <v>351</v>
      </c>
    </row>
    <row r="97" spans="1:3" x14ac:dyDescent="0.25">
      <c r="A97">
        <v>96</v>
      </c>
      <c r="B97" t="s">
        <v>161</v>
      </c>
      <c r="C97" t="s">
        <v>352</v>
      </c>
    </row>
    <row r="98" spans="1:3" x14ac:dyDescent="0.25">
      <c r="A98">
        <v>97</v>
      </c>
      <c r="B98" t="s">
        <v>152</v>
      </c>
      <c r="C98" t="s">
        <v>353</v>
      </c>
    </row>
    <row r="99" spans="1:3" x14ac:dyDescent="0.25">
      <c r="A99">
        <v>98</v>
      </c>
      <c r="B99" t="s">
        <v>178</v>
      </c>
      <c r="C99" t="s">
        <v>354</v>
      </c>
    </row>
    <row r="100" spans="1:3" x14ac:dyDescent="0.25">
      <c r="A100">
        <v>99</v>
      </c>
      <c r="B100" t="s">
        <v>188</v>
      </c>
      <c r="C100" t="s">
        <v>355</v>
      </c>
    </row>
    <row r="101" spans="1:3" x14ac:dyDescent="0.25">
      <c r="A101">
        <v>100</v>
      </c>
      <c r="B101" t="s">
        <v>181</v>
      </c>
      <c r="C101" t="s">
        <v>356</v>
      </c>
    </row>
    <row r="102" spans="1:3" x14ac:dyDescent="0.25">
      <c r="A102">
        <v>101</v>
      </c>
      <c r="B102" t="s">
        <v>155</v>
      </c>
      <c r="C102" t="s">
        <v>357</v>
      </c>
    </row>
    <row r="103" spans="1:3" x14ac:dyDescent="0.25">
      <c r="A103">
        <v>102</v>
      </c>
      <c r="B103" t="s">
        <v>150</v>
      </c>
      <c r="C103" t="s">
        <v>358</v>
      </c>
    </row>
    <row r="104" spans="1:3" x14ac:dyDescent="0.25">
      <c r="A104">
        <v>103</v>
      </c>
      <c r="B104" t="s">
        <v>52</v>
      </c>
      <c r="C104" t="s">
        <v>359</v>
      </c>
    </row>
    <row r="105" spans="1:3" x14ac:dyDescent="0.25">
      <c r="A105">
        <v>104</v>
      </c>
      <c r="B105" t="s">
        <v>169</v>
      </c>
      <c r="C105" t="s">
        <v>360</v>
      </c>
    </row>
    <row r="106" spans="1:3" x14ac:dyDescent="0.25">
      <c r="A106">
        <v>105</v>
      </c>
      <c r="B106" t="s">
        <v>156</v>
      </c>
      <c r="C106" t="s">
        <v>361</v>
      </c>
    </row>
    <row r="107" spans="1:3" x14ac:dyDescent="0.25">
      <c r="A107">
        <v>106</v>
      </c>
      <c r="B107" t="s">
        <v>172</v>
      </c>
      <c r="C107" t="s">
        <v>362</v>
      </c>
    </row>
    <row r="108" spans="1:3" x14ac:dyDescent="0.25">
      <c r="A108">
        <v>107</v>
      </c>
      <c r="B108" t="s">
        <v>166</v>
      </c>
      <c r="C108" t="s">
        <v>363</v>
      </c>
    </row>
    <row r="109" spans="1:3" x14ac:dyDescent="0.25">
      <c r="A109">
        <v>108</v>
      </c>
      <c r="B109" t="s">
        <v>187</v>
      </c>
      <c r="C109" t="s">
        <v>364</v>
      </c>
    </row>
    <row r="110" spans="1:3" x14ac:dyDescent="0.25">
      <c r="A110">
        <v>109</v>
      </c>
      <c r="B110" t="s">
        <v>154</v>
      </c>
      <c r="C110" t="s">
        <v>365</v>
      </c>
    </row>
    <row r="111" spans="1:3" x14ac:dyDescent="0.25">
      <c r="A111">
        <v>110</v>
      </c>
      <c r="B111" t="s">
        <v>170</v>
      </c>
      <c r="C111" t="s">
        <v>366</v>
      </c>
    </row>
    <row r="112" spans="1:3" x14ac:dyDescent="0.25">
      <c r="A112">
        <v>111</v>
      </c>
      <c r="B112" t="s">
        <v>171</v>
      </c>
      <c r="C112" t="s">
        <v>367</v>
      </c>
    </row>
    <row r="113" spans="1:3" x14ac:dyDescent="0.25">
      <c r="A113">
        <v>112</v>
      </c>
      <c r="B113" t="s">
        <v>137</v>
      </c>
      <c r="C113" t="s">
        <v>368</v>
      </c>
    </row>
    <row r="114" spans="1:3" x14ac:dyDescent="0.25">
      <c r="A114">
        <v>113</v>
      </c>
      <c r="B114" t="s">
        <v>132</v>
      </c>
      <c r="C114" t="s">
        <v>369</v>
      </c>
    </row>
    <row r="115" spans="1:3" x14ac:dyDescent="0.25">
      <c r="A115">
        <v>114</v>
      </c>
      <c r="B115" t="s">
        <v>191</v>
      </c>
      <c r="C115" t="s">
        <v>370</v>
      </c>
    </row>
    <row r="116" spans="1:3" x14ac:dyDescent="0.25">
      <c r="A116">
        <v>115</v>
      </c>
      <c r="B116" t="s">
        <v>371</v>
      </c>
      <c r="C116" t="s">
        <v>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6B616-E3CE-4D30-916C-406F12CED2F1}">
  <dimension ref="A1:H76"/>
  <sheetViews>
    <sheetView topLeftCell="G73" workbookViewId="0">
      <selection activeCell="H2" sqref="H2:H76"/>
    </sheetView>
  </sheetViews>
  <sheetFormatPr defaultRowHeight="15" x14ac:dyDescent="0.25"/>
  <cols>
    <col min="1" max="1" width="39.140625" bestFit="1" customWidth="1"/>
    <col min="2" max="2" width="14.5703125" bestFit="1" customWidth="1"/>
    <col min="3" max="3" width="12.42578125" bestFit="1" customWidth="1"/>
    <col min="4" max="4" width="12" bestFit="1" customWidth="1"/>
    <col min="5" max="5" width="10.140625" bestFit="1" customWidth="1"/>
    <col min="6" max="6" width="107" customWidth="1"/>
    <col min="7" max="7" width="98.28515625" customWidth="1"/>
    <col min="8" max="8" width="89.5703125" customWidth="1"/>
  </cols>
  <sheetData>
    <row r="1" spans="1:8" x14ac:dyDescent="0.25">
      <c r="A1" s="42" t="s">
        <v>373</v>
      </c>
      <c r="B1" t="s">
        <v>374</v>
      </c>
      <c r="C1" s="43" t="s">
        <v>392</v>
      </c>
      <c r="D1" s="48" t="s">
        <v>376</v>
      </c>
      <c r="E1" s="50"/>
    </row>
    <row r="2" spans="1:8" ht="110.25" customHeight="1" x14ac:dyDescent="0.25">
      <c r="A2" s="17" t="s">
        <v>8</v>
      </c>
      <c r="B2" s="51" t="str">
        <f>VLOOKUP(A2,policywithagency!B:C,2,0)</f>
        <v>040000181870</v>
      </c>
      <c r="C2" s="24">
        <v>-1299</v>
      </c>
      <c r="D2" s="48" t="s">
        <v>376</v>
      </c>
      <c r="E2" s="52" t="str">
        <f>VLOOKUP(A2,policywithagency!B:D,3,0)</f>
        <v>09000800</v>
      </c>
      <c r="F2" s="53" t="str">
        <f>"insert into ins_premium_det (premium_rcv_code,assorted_code, rec_amount,premium_rcv_detail_code,remaining_amt, payrec, mode_code,paid_to_code,class_cd) values"</f>
        <v>insert into ins_premium_det (premium_rcv_code,assorted_code, rec_amount,premium_rcv_detail_code,remaining_amt, payrec, mode_code,paid_to_code,class_cd) values</v>
      </c>
      <c r="G2" s="54" t="str">
        <f>"('"&amp;D1&amp;"','"&amp;B2&amp;"','"&amp;C2&amp;"',(select max(to_number(i.premium_rcv_detail_code))+1 from ins_premium_det i),'"&amp;C2&amp;"','"&amp;C2&amp;"','05', '"&amp;E2&amp;"','00');"</f>
        <v>('27Mar250004','040000181870','-1299',(select max(to_number(i.premium_rcv_detail_code))+1 from ins_premium_det i),'-1299','-1299','05', '09000800','00');</v>
      </c>
      <c r="H2" s="55" t="str">
        <f t="shared" ref="H2:H65" si="0">F2&amp;G2</f>
        <v>insert into ins_premium_det (premium_rcv_code,assorted_code, rec_amount,premium_rcv_detail_code,remaining_amt, payrec, mode_code,paid_to_code,class_cd) values('27Mar250004','040000181870','-1299',(select max(to_number(i.premium_rcv_detail_code))+1 from ins_premium_det i),'-1299','-1299','05', '09000800','00');</v>
      </c>
    </row>
    <row r="3" spans="1:8" ht="75" x14ac:dyDescent="0.25">
      <c r="A3" s="17" t="s">
        <v>11</v>
      </c>
      <c r="B3" s="51" t="str">
        <f>VLOOKUP(A3,policywithagency!B:C,2,0)</f>
        <v>040000181899</v>
      </c>
      <c r="C3" s="24">
        <v>-7219</v>
      </c>
      <c r="D3" s="48" t="s">
        <v>376</v>
      </c>
      <c r="E3" s="52" t="str">
        <f>VLOOKUP(A3,policywithagency!B:D,3,0)</f>
        <v>09000800</v>
      </c>
      <c r="F3" s="53" t="str">
        <f t="shared" ref="F3:F66" si="1">"insert into ins_premium_det (premium_rcv_code,assorted_code, rec_amount,premium_rcv_detail_code,remaining_amt, payrec, mode_code,paid_to_code,class_cd) values"</f>
        <v>insert into ins_premium_det (premium_rcv_code,assorted_code, rec_amount,premium_rcv_detail_code,remaining_amt, payrec, mode_code,paid_to_code,class_cd) values</v>
      </c>
      <c r="G3" s="54" t="str">
        <f t="shared" ref="G3:G66" si="2">"('"&amp;D2&amp;"','"&amp;B3&amp;"','"&amp;C3&amp;"',(select max(to_number(i.premium_rcv_detail_code))+1 from ins_premium_det i),'"&amp;C3&amp;"','"&amp;C3&amp;"','05', '"&amp;E3&amp;"','00');"</f>
        <v>('27Mar250004','040000181899','-7219',(select max(to_number(i.premium_rcv_detail_code))+1 from ins_premium_det i),'-7219','-7219','05', '09000800','00');</v>
      </c>
      <c r="H3" s="55" t="str">
        <f t="shared" si="0"/>
        <v>insert into ins_premium_det (premium_rcv_code,assorted_code, rec_amount,premium_rcv_detail_code,remaining_amt, payrec, mode_code,paid_to_code,class_cd) values('27Mar250004','040000181899','-7219',(select max(to_number(i.premium_rcv_detail_code))+1 from ins_premium_det i),'-7219','-7219','05', '09000800','00');</v>
      </c>
    </row>
    <row r="4" spans="1:8" ht="75" x14ac:dyDescent="0.25">
      <c r="A4" s="17" t="s">
        <v>14</v>
      </c>
      <c r="B4" s="51" t="str">
        <f>VLOOKUP(A4,policywithagency!B:C,2,0)</f>
        <v>040000181923</v>
      </c>
      <c r="C4" s="24">
        <v>-1088</v>
      </c>
      <c r="D4" s="48" t="s">
        <v>376</v>
      </c>
      <c r="E4" s="52" t="str">
        <f>VLOOKUP(A4,policywithagency!B:D,3,0)</f>
        <v>09000800</v>
      </c>
      <c r="F4" s="53" t="str">
        <f t="shared" si="1"/>
        <v>insert into ins_premium_det (premium_rcv_code,assorted_code, rec_amount,premium_rcv_detail_code,remaining_amt, payrec, mode_code,paid_to_code,class_cd) values</v>
      </c>
      <c r="G4" s="54" t="str">
        <f t="shared" si="2"/>
        <v>('27Mar250004','040000181923','-1088',(select max(to_number(i.premium_rcv_detail_code))+1 from ins_premium_det i),'-1088','-1088','05', '09000800','00');</v>
      </c>
      <c r="H4" s="55" t="str">
        <f t="shared" si="0"/>
        <v>insert into ins_premium_det (premium_rcv_code,assorted_code, rec_amount,premium_rcv_detail_code,remaining_amt, payrec, mode_code,paid_to_code,class_cd) values('27Mar250004','040000181923','-1088',(select max(to_number(i.premium_rcv_detail_code))+1 from ins_premium_det i),'-1088','-1088','05', '09000800','00');</v>
      </c>
    </row>
    <row r="5" spans="1:8" ht="75" x14ac:dyDescent="0.25">
      <c r="A5" s="17" t="s">
        <v>17</v>
      </c>
      <c r="B5" s="51" t="str">
        <f>VLOOKUP(A5,policywithagency!B:C,2,0)</f>
        <v>040000181954</v>
      </c>
      <c r="C5" s="24">
        <v>-4656</v>
      </c>
      <c r="D5" s="48" t="s">
        <v>376</v>
      </c>
      <c r="E5" s="52" t="str">
        <f>VLOOKUP(A5,policywithagency!B:D,3,0)</f>
        <v>09000800</v>
      </c>
      <c r="F5" s="53" t="str">
        <f t="shared" si="1"/>
        <v>insert into ins_premium_det (premium_rcv_code,assorted_code, rec_amount,premium_rcv_detail_code,remaining_amt, payrec, mode_code,paid_to_code,class_cd) values</v>
      </c>
      <c r="G5" s="54" t="str">
        <f t="shared" si="2"/>
        <v>('27Mar250004','040000181954','-4656',(select max(to_number(i.premium_rcv_detail_code))+1 from ins_premium_det i),'-4656','-4656','05', '09000800','00');</v>
      </c>
      <c r="H5" s="55" t="str">
        <f t="shared" si="0"/>
        <v>insert into ins_premium_det (premium_rcv_code,assorted_code, rec_amount,premium_rcv_detail_code,remaining_amt, payrec, mode_code,paid_to_code,class_cd) values('27Mar250004','040000181954','-4656',(select max(to_number(i.premium_rcv_detail_code))+1 from ins_premium_det i),'-4656','-4656','05', '09000800','00');</v>
      </c>
    </row>
    <row r="6" spans="1:8" ht="75" x14ac:dyDescent="0.25">
      <c r="A6" s="17" t="s">
        <v>20</v>
      </c>
      <c r="B6" s="51" t="str">
        <f>VLOOKUP(A6,policywithagency!B:C,2,0)</f>
        <v>040000181958</v>
      </c>
      <c r="C6" s="24">
        <v>-833</v>
      </c>
      <c r="D6" s="48" t="s">
        <v>376</v>
      </c>
      <c r="E6" s="52" t="str">
        <f>VLOOKUP(A6,policywithagency!B:D,3,0)</f>
        <v>09000800</v>
      </c>
      <c r="F6" s="53" t="str">
        <f t="shared" si="1"/>
        <v>insert into ins_premium_det (premium_rcv_code,assorted_code, rec_amount,premium_rcv_detail_code,remaining_amt, payrec, mode_code,paid_to_code,class_cd) values</v>
      </c>
      <c r="G6" s="54" t="str">
        <f t="shared" si="2"/>
        <v>('27Mar250004','040000181958','-833',(select max(to_number(i.premium_rcv_detail_code))+1 from ins_premium_det i),'-833','-833','05', '09000800','00');</v>
      </c>
      <c r="H6" s="55" t="str">
        <f t="shared" si="0"/>
        <v>insert into ins_premium_det (premium_rcv_code,assorted_code, rec_amount,premium_rcv_detail_code,remaining_amt, payrec, mode_code,paid_to_code,class_cd) values('27Mar250004','040000181958','-833',(select max(to_number(i.premium_rcv_detail_code))+1 from ins_premium_det i),'-833','-833','05', '09000800','00');</v>
      </c>
    </row>
    <row r="7" spans="1:8" ht="75" x14ac:dyDescent="0.25">
      <c r="A7" s="17" t="s">
        <v>23</v>
      </c>
      <c r="B7" s="51" t="str">
        <f>VLOOKUP(A7,policywithagency!B:C,2,0)</f>
        <v>040000181962</v>
      </c>
      <c r="C7" s="24">
        <v>-376</v>
      </c>
      <c r="D7" s="48" t="s">
        <v>376</v>
      </c>
      <c r="E7" s="52" t="str">
        <f>VLOOKUP(A7,policywithagency!B:D,3,0)</f>
        <v>09000800</v>
      </c>
      <c r="F7" s="53" t="str">
        <f t="shared" si="1"/>
        <v>insert into ins_premium_det (premium_rcv_code,assorted_code, rec_amount,premium_rcv_detail_code,remaining_amt, payrec, mode_code,paid_to_code,class_cd) values</v>
      </c>
      <c r="G7" s="54" t="str">
        <f t="shared" si="2"/>
        <v>('27Mar250004','040000181962','-376',(select max(to_number(i.premium_rcv_detail_code))+1 from ins_premium_det i),'-376','-376','05', '09000800','00');</v>
      </c>
      <c r="H7" s="55" t="str">
        <f t="shared" si="0"/>
        <v>insert into ins_premium_det (premium_rcv_code,assorted_code, rec_amount,premium_rcv_detail_code,remaining_amt, payrec, mode_code,paid_to_code,class_cd) values('27Mar250004','040000181962','-376',(select max(to_number(i.premium_rcv_detail_code))+1 from ins_premium_det i),'-376','-376','05', '09000800','00');</v>
      </c>
    </row>
    <row r="8" spans="1:8" ht="75" x14ac:dyDescent="0.25">
      <c r="A8" s="17" t="s">
        <v>26</v>
      </c>
      <c r="B8" s="51" t="str">
        <f>VLOOKUP(A8,policywithagency!B:C,2,0)</f>
        <v>040000182042</v>
      </c>
      <c r="C8" s="24">
        <v>-3609</v>
      </c>
      <c r="D8" s="48" t="s">
        <v>376</v>
      </c>
      <c r="E8" s="52" t="str">
        <f>VLOOKUP(A8,policywithagency!B:D,3,0)</f>
        <v>09000800</v>
      </c>
      <c r="F8" s="53" t="str">
        <f t="shared" si="1"/>
        <v>insert into ins_premium_det (premium_rcv_code,assorted_code, rec_amount,premium_rcv_detail_code,remaining_amt, payrec, mode_code,paid_to_code,class_cd) values</v>
      </c>
      <c r="G8" s="54" t="str">
        <f t="shared" si="2"/>
        <v>('27Mar250004','040000182042','-3609',(select max(to_number(i.premium_rcv_detail_code))+1 from ins_premium_det i),'-3609','-3609','05', '09000800','00');</v>
      </c>
      <c r="H8" s="55" t="str">
        <f t="shared" si="0"/>
        <v>insert into ins_premium_det (premium_rcv_code,assorted_code, rec_amount,premium_rcv_detail_code,remaining_amt, payrec, mode_code,paid_to_code,class_cd) values('27Mar250004','040000182042','-3609',(select max(to_number(i.premium_rcv_detail_code))+1 from ins_premium_det i),'-3609','-3609','05', '09000800','00');</v>
      </c>
    </row>
    <row r="9" spans="1:8" ht="75" x14ac:dyDescent="0.25">
      <c r="A9" s="17" t="s">
        <v>29</v>
      </c>
      <c r="B9" s="51" t="str">
        <f>VLOOKUP(A9,policywithagency!B:C,2,0)</f>
        <v>040000182056</v>
      </c>
      <c r="C9" s="24">
        <v>-873</v>
      </c>
      <c r="D9" s="48" t="s">
        <v>376</v>
      </c>
      <c r="E9" s="52" t="str">
        <f>VLOOKUP(A9,policywithagency!B:D,3,0)</f>
        <v>09000800</v>
      </c>
      <c r="F9" s="53" t="str">
        <f t="shared" si="1"/>
        <v>insert into ins_premium_det (premium_rcv_code,assorted_code, rec_amount,premium_rcv_detail_code,remaining_amt, payrec, mode_code,paid_to_code,class_cd) values</v>
      </c>
      <c r="G9" s="54" t="str">
        <f t="shared" si="2"/>
        <v>('27Mar250004','040000182056','-873',(select max(to_number(i.premium_rcv_detail_code))+1 from ins_premium_det i),'-873','-873','05', '09000800','00');</v>
      </c>
      <c r="H9" s="55" t="str">
        <f t="shared" si="0"/>
        <v>insert into ins_premium_det (premium_rcv_code,assorted_code, rec_amount,premium_rcv_detail_code,remaining_amt, payrec, mode_code,paid_to_code,class_cd) values('27Mar250004','040000182056','-873',(select max(to_number(i.premium_rcv_detail_code))+1 from ins_premium_det i),'-873','-873','05', '09000800','00');</v>
      </c>
    </row>
    <row r="10" spans="1:8" ht="75" x14ac:dyDescent="0.25">
      <c r="A10" s="17" t="s">
        <v>32</v>
      </c>
      <c r="B10" s="51" t="str">
        <f>VLOOKUP(A10,policywithagency!B:C,2,0)</f>
        <v>040000182060</v>
      </c>
      <c r="C10" s="24">
        <v>-7251</v>
      </c>
      <c r="D10" s="48" t="s">
        <v>376</v>
      </c>
      <c r="E10" s="52" t="str">
        <f>VLOOKUP(A10,policywithagency!B:D,3,0)</f>
        <v>09000800</v>
      </c>
      <c r="F10" s="53" t="str">
        <f t="shared" si="1"/>
        <v>insert into ins_premium_det (premium_rcv_code,assorted_code, rec_amount,premium_rcv_detail_code,remaining_amt, payrec, mode_code,paid_to_code,class_cd) values</v>
      </c>
      <c r="G10" s="54" t="str">
        <f t="shared" si="2"/>
        <v>('27Mar250004','040000182060','-7251',(select max(to_number(i.premium_rcv_detail_code))+1 from ins_premium_det i),'-7251','-7251','05', '09000800','00');</v>
      </c>
      <c r="H10" s="55" t="str">
        <f t="shared" si="0"/>
        <v>insert into ins_premium_det (premium_rcv_code,assorted_code, rec_amount,premium_rcv_detail_code,remaining_amt, payrec, mode_code,paid_to_code,class_cd) values('27Mar250004','040000182060','-7251',(select max(to_number(i.premium_rcv_detail_code))+1 from ins_premium_det i),'-7251','-7251','05', '09000800','00');</v>
      </c>
    </row>
    <row r="11" spans="1:8" ht="75" x14ac:dyDescent="0.25">
      <c r="A11" s="28" t="s">
        <v>36</v>
      </c>
      <c r="B11" s="51" t="str">
        <f>VLOOKUP(A11,policywithagency!B:C,2,0)</f>
        <v>040000185205</v>
      </c>
      <c r="C11" s="24">
        <v>-765</v>
      </c>
      <c r="D11" s="48" t="s">
        <v>376</v>
      </c>
      <c r="E11" s="52" t="str">
        <f>VLOOKUP(A11,policywithagency!B:D,3,0)</f>
        <v>09000800</v>
      </c>
      <c r="F11" s="53" t="str">
        <f t="shared" si="1"/>
        <v>insert into ins_premium_det (premium_rcv_code,assorted_code, rec_amount,premium_rcv_detail_code,remaining_amt, payrec, mode_code,paid_to_code,class_cd) values</v>
      </c>
      <c r="G11" s="54" t="str">
        <f t="shared" si="2"/>
        <v>('27Mar250004','040000185205','-765',(select max(to_number(i.premium_rcv_detail_code))+1 from ins_premium_det i),'-765','-765','05', '09000800','00');</v>
      </c>
      <c r="H11" s="55" t="str">
        <f t="shared" si="0"/>
        <v>insert into ins_premium_det (premium_rcv_code,assorted_code, rec_amount,premium_rcv_detail_code,remaining_amt, payrec, mode_code,paid_to_code,class_cd) values('27Mar250004','040000185205','-765',(select max(to_number(i.premium_rcv_detail_code))+1 from ins_premium_det i),'-765','-765','05', '09000800','00');</v>
      </c>
    </row>
    <row r="12" spans="1:8" ht="75" x14ac:dyDescent="0.25">
      <c r="A12" s="17" t="s">
        <v>39</v>
      </c>
      <c r="B12" s="51" t="str">
        <f>VLOOKUP(A12,policywithagency!B:C,2,0)</f>
        <v>040000185230</v>
      </c>
      <c r="C12" s="24">
        <v>-362</v>
      </c>
      <c r="D12" s="48" t="s">
        <v>376</v>
      </c>
      <c r="E12" s="52" t="str">
        <f>VLOOKUP(A12,policywithagency!B:D,3,0)</f>
        <v>09000800</v>
      </c>
      <c r="F12" s="53" t="str">
        <f t="shared" si="1"/>
        <v>insert into ins_premium_det (premium_rcv_code,assorted_code, rec_amount,premium_rcv_detail_code,remaining_amt, payrec, mode_code,paid_to_code,class_cd) values</v>
      </c>
      <c r="G12" s="54" t="str">
        <f t="shared" si="2"/>
        <v>('27Mar250004','040000185230','-362',(select max(to_number(i.premium_rcv_detail_code))+1 from ins_premium_det i),'-362','-362','05', '09000800','00');</v>
      </c>
      <c r="H12" s="55" t="str">
        <f t="shared" si="0"/>
        <v>insert into ins_premium_det (premium_rcv_code,assorted_code, rec_amount,premium_rcv_detail_code,remaining_amt, payrec, mode_code,paid_to_code,class_cd) values('27Mar250004','040000185230','-362',(select max(to_number(i.premium_rcv_detail_code))+1 from ins_premium_det i),'-362','-362','05', '09000800','00');</v>
      </c>
    </row>
    <row r="13" spans="1:8" ht="75" x14ac:dyDescent="0.25">
      <c r="A13" s="17" t="s">
        <v>42</v>
      </c>
      <c r="B13" s="51" t="str">
        <f>VLOOKUP(A13,policywithagency!B:C,2,0)</f>
        <v>040000185281</v>
      </c>
      <c r="C13" s="24">
        <v>-749</v>
      </c>
      <c r="D13" s="48" t="s">
        <v>376</v>
      </c>
      <c r="E13" s="52" t="str">
        <f>VLOOKUP(A13,policywithagency!B:D,3,0)</f>
        <v>09000800</v>
      </c>
      <c r="F13" s="53" t="str">
        <f t="shared" si="1"/>
        <v>insert into ins_premium_det (premium_rcv_code,assorted_code, rec_amount,premium_rcv_detail_code,remaining_amt, payrec, mode_code,paid_to_code,class_cd) values</v>
      </c>
      <c r="G13" s="54" t="str">
        <f t="shared" si="2"/>
        <v>('27Mar250004','040000185281','-749',(select max(to_number(i.premium_rcv_detail_code))+1 from ins_premium_det i),'-749','-749','05', '09000800','00');</v>
      </c>
      <c r="H13" s="55" t="str">
        <f t="shared" si="0"/>
        <v>insert into ins_premium_det (premium_rcv_code,assorted_code, rec_amount,premium_rcv_detail_code,remaining_amt, payrec, mode_code,paid_to_code,class_cd) values('27Mar250004','040000185281','-749',(select max(to_number(i.premium_rcv_detail_code))+1 from ins_premium_det i),'-749','-749','05', '09000800','00');</v>
      </c>
    </row>
    <row r="14" spans="1:8" ht="75" x14ac:dyDescent="0.25">
      <c r="A14" s="17" t="s">
        <v>45</v>
      </c>
      <c r="B14" s="51" t="str">
        <f>VLOOKUP(A14,policywithagency!B:C,2,0)</f>
        <v>040000185296</v>
      </c>
      <c r="C14" s="24">
        <v>-1332</v>
      </c>
      <c r="D14" s="48" t="s">
        <v>376</v>
      </c>
      <c r="E14" s="52" t="str">
        <f>VLOOKUP(A14,policywithagency!B:D,3,0)</f>
        <v>09000800</v>
      </c>
      <c r="F14" s="53" t="str">
        <f t="shared" si="1"/>
        <v>insert into ins_premium_det (premium_rcv_code,assorted_code, rec_amount,premium_rcv_detail_code,remaining_amt, payrec, mode_code,paid_to_code,class_cd) values</v>
      </c>
      <c r="G14" s="54" t="str">
        <f t="shared" si="2"/>
        <v>('27Mar250004','040000185296','-1332',(select max(to_number(i.premium_rcv_detail_code))+1 from ins_premium_det i),'-1332','-1332','05', '09000800','00');</v>
      </c>
      <c r="H14" s="55" t="str">
        <f t="shared" si="0"/>
        <v>insert into ins_premium_det (premium_rcv_code,assorted_code, rec_amount,premium_rcv_detail_code,remaining_amt, payrec, mode_code,paid_to_code,class_cd) values('27Mar250004','040000185296','-1332',(select max(to_number(i.premium_rcv_detail_code))+1 from ins_premium_det i),'-1332','-1332','05', '09000800','00');</v>
      </c>
    </row>
    <row r="15" spans="1:8" ht="75" x14ac:dyDescent="0.25">
      <c r="A15" s="17" t="s">
        <v>47</v>
      </c>
      <c r="B15" s="51" t="str">
        <f>VLOOKUP(A15,policywithagency!B:C,2,0)</f>
        <v>040000185680</v>
      </c>
      <c r="C15" s="24">
        <v>-817</v>
      </c>
      <c r="D15" s="48" t="s">
        <v>376</v>
      </c>
      <c r="E15" s="52" t="str">
        <f>VLOOKUP(A15,policywithagency!B:D,3,0)</f>
        <v>09000800</v>
      </c>
      <c r="F15" s="53" t="str">
        <f t="shared" si="1"/>
        <v>insert into ins_premium_det (premium_rcv_code,assorted_code, rec_amount,premium_rcv_detail_code,remaining_amt, payrec, mode_code,paid_to_code,class_cd) values</v>
      </c>
      <c r="G15" s="54" t="str">
        <f t="shared" si="2"/>
        <v>('27Mar250004','040000185680','-817',(select max(to_number(i.premium_rcv_detail_code))+1 from ins_premium_det i),'-817','-817','05', '09000800','00');</v>
      </c>
      <c r="H15" s="55" t="str">
        <f t="shared" si="0"/>
        <v>insert into ins_premium_det (premium_rcv_code,assorted_code, rec_amount,premium_rcv_detail_code,remaining_amt, payrec, mode_code,paid_to_code,class_cd) values('27Mar250004','040000185680','-817',(select max(to_number(i.premium_rcv_detail_code))+1 from ins_premium_det i),'-817','-817','05', '09000800','00');</v>
      </c>
    </row>
    <row r="16" spans="1:8" ht="75" x14ac:dyDescent="0.25">
      <c r="A16" s="17" t="s">
        <v>50</v>
      </c>
      <c r="B16" s="51" t="str">
        <f>VLOOKUP(A16,policywithagency!B:C,2,0)</f>
        <v>040000185698</v>
      </c>
      <c r="C16" s="24">
        <v>-1632</v>
      </c>
      <c r="D16" s="48" t="s">
        <v>376</v>
      </c>
      <c r="E16" s="52" t="str">
        <f>VLOOKUP(A16,policywithagency!B:D,3,0)</f>
        <v>09000800</v>
      </c>
      <c r="F16" s="53" t="str">
        <f t="shared" si="1"/>
        <v>insert into ins_premium_det (premium_rcv_code,assorted_code, rec_amount,premium_rcv_detail_code,remaining_amt, payrec, mode_code,paid_to_code,class_cd) values</v>
      </c>
      <c r="G16" s="54" t="str">
        <f t="shared" si="2"/>
        <v>('27Mar250004','040000185698','-1632',(select max(to_number(i.premium_rcv_detail_code))+1 from ins_premium_det i),'-1632','-1632','05', '09000800','00');</v>
      </c>
      <c r="H16" s="55" t="str">
        <f t="shared" si="0"/>
        <v>insert into ins_premium_det (premium_rcv_code,assorted_code, rec_amount,premium_rcv_detail_code,remaining_amt, payrec, mode_code,paid_to_code,class_cd) values('27Mar250004','040000185698','-1632',(select max(to_number(i.premium_rcv_detail_code))+1 from ins_premium_det i),'-1632','-1632','05', '09000800','00');</v>
      </c>
    </row>
    <row r="17" spans="1:8" ht="75" x14ac:dyDescent="0.25">
      <c r="A17" s="17" t="s">
        <v>52</v>
      </c>
      <c r="B17" s="51" t="str">
        <f>VLOOKUP(A17,policywithagency!B:C,2,0)</f>
        <v>040000189848</v>
      </c>
      <c r="C17" s="24">
        <v>-120</v>
      </c>
      <c r="D17" s="48" t="s">
        <v>376</v>
      </c>
      <c r="E17" s="52" t="str">
        <f>VLOOKUP(A17,policywithagency!B:D,3,0)</f>
        <v>09000800</v>
      </c>
      <c r="F17" s="53" t="str">
        <f t="shared" si="1"/>
        <v>insert into ins_premium_det (premium_rcv_code,assorted_code, rec_amount,premium_rcv_detail_code,remaining_amt, payrec, mode_code,paid_to_code,class_cd) values</v>
      </c>
      <c r="G17" s="54" t="str">
        <f t="shared" si="2"/>
        <v>('27Mar250004','040000189848','-120',(select max(to_number(i.premium_rcv_detail_code))+1 from ins_premium_det i),'-120','-120','05', '09000800','00');</v>
      </c>
      <c r="H17" s="55" t="str">
        <f t="shared" si="0"/>
        <v>insert into ins_premium_det (premium_rcv_code,assorted_code, rec_amount,premium_rcv_detail_code,remaining_amt, payrec, mode_code,paid_to_code,class_cd) values('27Mar250004','040000189848','-120',(select max(to_number(i.premium_rcv_detail_code))+1 from ins_premium_det i),'-120','-120','05', '09000800','00');</v>
      </c>
    </row>
    <row r="18" spans="1:8" ht="75" x14ac:dyDescent="0.25">
      <c r="A18" s="17" t="s">
        <v>54</v>
      </c>
      <c r="B18" s="51" t="str">
        <f>VLOOKUP(A18,policywithagency!B:C,2,0)</f>
        <v>040000182920</v>
      </c>
      <c r="C18" s="24">
        <v>-64</v>
      </c>
      <c r="D18" s="48" t="s">
        <v>376</v>
      </c>
      <c r="E18" s="52" t="str">
        <f>VLOOKUP(A18,policywithagency!B:D,3,0)</f>
        <v>09000800</v>
      </c>
      <c r="F18" s="53" t="str">
        <f t="shared" si="1"/>
        <v>insert into ins_premium_det (premium_rcv_code,assorted_code, rec_amount,premium_rcv_detail_code,remaining_amt, payrec, mode_code,paid_to_code,class_cd) values</v>
      </c>
      <c r="G18" s="54" t="str">
        <f t="shared" si="2"/>
        <v>('27Mar250004','040000182920','-64',(select max(to_number(i.premium_rcv_detail_code))+1 from ins_premium_det i),'-64','-64','05', '09000800','00');</v>
      </c>
      <c r="H18" s="55" t="str">
        <f t="shared" si="0"/>
        <v>insert into ins_premium_det (premium_rcv_code,assorted_code, rec_amount,premium_rcv_detail_code,remaining_amt, payrec, mode_code,paid_to_code,class_cd) values('27Mar250004','040000182920','-64',(select max(to_number(i.premium_rcv_detail_code))+1 from ins_premium_det i),'-64','-64','05', '09000800','00');</v>
      </c>
    </row>
    <row r="19" spans="1:8" ht="75" x14ac:dyDescent="0.25">
      <c r="A19" s="17" t="s">
        <v>56</v>
      </c>
      <c r="B19" s="51" t="str">
        <f>VLOOKUP(A19,policywithagency!B:C,2,0)</f>
        <v>040000182923</v>
      </c>
      <c r="C19" s="24">
        <v>-60</v>
      </c>
      <c r="D19" s="48" t="s">
        <v>376</v>
      </c>
      <c r="E19" s="52" t="str">
        <f>VLOOKUP(A19,policywithagency!B:D,3,0)</f>
        <v>09000800</v>
      </c>
      <c r="F19" s="53" t="str">
        <f t="shared" si="1"/>
        <v>insert into ins_premium_det (premium_rcv_code,assorted_code, rec_amount,premium_rcv_detail_code,remaining_amt, payrec, mode_code,paid_to_code,class_cd) values</v>
      </c>
      <c r="G19" s="54" t="str">
        <f t="shared" si="2"/>
        <v>('27Mar250004','040000182923','-60',(select max(to_number(i.premium_rcv_detail_code))+1 from ins_premium_det i),'-60','-60','05', '09000800','00');</v>
      </c>
      <c r="H19" s="55" t="str">
        <f t="shared" si="0"/>
        <v>insert into ins_premium_det (premium_rcv_code,assorted_code, rec_amount,premium_rcv_detail_code,remaining_amt, payrec, mode_code,paid_to_code,class_cd) values('27Mar250004','040000182923','-60',(select max(to_number(i.premium_rcv_detail_code))+1 from ins_premium_det i),'-60','-60','05', '09000800','00');</v>
      </c>
    </row>
    <row r="20" spans="1:8" ht="75" x14ac:dyDescent="0.25">
      <c r="A20" s="17" t="s">
        <v>58</v>
      </c>
      <c r="B20" s="51" t="str">
        <f>VLOOKUP(A20,policywithagency!B:C,2,0)</f>
        <v>040000182927</v>
      </c>
      <c r="C20" s="24">
        <v>-375</v>
      </c>
      <c r="D20" s="48" t="s">
        <v>376</v>
      </c>
      <c r="E20" s="52" t="str">
        <f>VLOOKUP(A20,policywithagency!B:D,3,0)</f>
        <v>09000800</v>
      </c>
      <c r="F20" s="53" t="str">
        <f t="shared" si="1"/>
        <v>insert into ins_premium_det (premium_rcv_code,assorted_code, rec_amount,premium_rcv_detail_code,remaining_amt, payrec, mode_code,paid_to_code,class_cd) values</v>
      </c>
      <c r="G20" s="54" t="str">
        <f t="shared" si="2"/>
        <v>('27Mar250004','040000182927','-375',(select max(to_number(i.premium_rcv_detail_code))+1 from ins_premium_det i),'-375','-375','05', '09000800','00');</v>
      </c>
      <c r="H20" s="55" t="str">
        <f t="shared" si="0"/>
        <v>insert into ins_premium_det (premium_rcv_code,assorted_code, rec_amount,premium_rcv_detail_code,remaining_amt, payrec, mode_code,paid_to_code,class_cd) values('27Mar250004','040000182927','-375',(select max(to_number(i.premium_rcv_detail_code))+1 from ins_premium_det i),'-375','-375','05', '09000800','00');</v>
      </c>
    </row>
    <row r="21" spans="1:8" ht="75" x14ac:dyDescent="0.25">
      <c r="A21" s="17" t="s">
        <v>60</v>
      </c>
      <c r="B21" s="51" t="str">
        <f>VLOOKUP(A21,policywithagency!B:C,2,0)</f>
        <v>040000182936</v>
      </c>
      <c r="C21" s="24">
        <v>-672</v>
      </c>
      <c r="D21" s="48" t="s">
        <v>376</v>
      </c>
      <c r="E21" s="52" t="str">
        <f>VLOOKUP(A21,policywithagency!B:D,3,0)</f>
        <v>09000800</v>
      </c>
      <c r="F21" s="53" t="str">
        <f t="shared" si="1"/>
        <v>insert into ins_premium_det (premium_rcv_code,assorted_code, rec_amount,premium_rcv_detail_code,remaining_amt, payrec, mode_code,paid_to_code,class_cd) values</v>
      </c>
      <c r="G21" s="54" t="str">
        <f t="shared" si="2"/>
        <v>('27Mar250004','040000182936','-672',(select max(to_number(i.premium_rcv_detail_code))+1 from ins_premium_det i),'-672','-672','05', '09000800','00');</v>
      </c>
      <c r="H21" s="55" t="str">
        <f t="shared" si="0"/>
        <v>insert into ins_premium_det (premium_rcv_code,assorted_code, rec_amount,premium_rcv_detail_code,remaining_amt, payrec, mode_code,paid_to_code,class_cd) values('27Mar250004','040000182936','-672',(select max(to_number(i.premium_rcv_detail_code))+1 from ins_premium_det i),'-672','-672','05', '09000800','00');</v>
      </c>
    </row>
    <row r="22" spans="1:8" ht="75" x14ac:dyDescent="0.25">
      <c r="A22" s="14" t="s">
        <v>140</v>
      </c>
      <c r="B22" s="51" t="str">
        <f>VLOOKUP(A22,policywithagency!B:C,2,0)</f>
        <v>070000167328</v>
      </c>
      <c r="C22" s="24">
        <v>-130</v>
      </c>
      <c r="D22" s="48" t="s">
        <v>376</v>
      </c>
      <c r="E22" s="52" t="str">
        <f>VLOOKUP(A22,policywithagency!B:D,3,0)</f>
        <v>09000800</v>
      </c>
      <c r="F22" s="53" t="str">
        <f t="shared" si="1"/>
        <v>insert into ins_premium_det (premium_rcv_code,assorted_code, rec_amount,premium_rcv_detail_code,remaining_amt, payrec, mode_code,paid_to_code,class_cd) values</v>
      </c>
      <c r="G22" s="54" t="str">
        <f t="shared" si="2"/>
        <v>('27Mar250004','070000167328','-130',(select max(to_number(i.premium_rcv_detail_code))+1 from ins_premium_det i),'-130','-130','05', '09000800','00');</v>
      </c>
      <c r="H22" s="55" t="str">
        <f t="shared" si="0"/>
        <v>insert into ins_premium_det (premium_rcv_code,assorted_code, rec_amount,premium_rcv_detail_code,remaining_amt, payrec, mode_code,paid_to_code,class_cd) values('27Mar250004','070000167328','-130',(select max(to_number(i.premium_rcv_detail_code))+1 from ins_premium_det i),'-130','-130','05', '09000800','00');</v>
      </c>
    </row>
    <row r="23" spans="1:8" ht="75" x14ac:dyDescent="0.25">
      <c r="A23" s="17" t="s">
        <v>141</v>
      </c>
      <c r="B23" s="51" t="str">
        <f>VLOOKUP(A23,policywithagency!B:C,2,0)</f>
        <v>070000168346</v>
      </c>
      <c r="C23" s="24">
        <v>-62</v>
      </c>
      <c r="D23" s="48" t="s">
        <v>376</v>
      </c>
      <c r="E23" s="52" t="str">
        <f>VLOOKUP(A23,policywithagency!B:D,3,0)</f>
        <v>09000800</v>
      </c>
      <c r="F23" s="53" t="str">
        <f t="shared" si="1"/>
        <v>insert into ins_premium_det (premium_rcv_code,assorted_code, rec_amount,premium_rcv_detail_code,remaining_amt, payrec, mode_code,paid_to_code,class_cd) values</v>
      </c>
      <c r="G23" s="54" t="str">
        <f t="shared" si="2"/>
        <v>('27Mar250004','070000168346','-62',(select max(to_number(i.premium_rcv_detail_code))+1 from ins_premium_det i),'-62','-62','05', '09000800','00');</v>
      </c>
      <c r="H23" s="55" t="str">
        <f t="shared" si="0"/>
        <v>insert into ins_premium_det (premium_rcv_code,assorted_code, rec_amount,premium_rcv_detail_code,remaining_amt, payrec, mode_code,paid_to_code,class_cd) values('27Mar250004','070000168346','-62',(select max(to_number(i.premium_rcv_detail_code))+1 from ins_premium_det i),'-62','-62','05', '09000800','00');</v>
      </c>
    </row>
    <row r="24" spans="1:8" ht="75" x14ac:dyDescent="0.25">
      <c r="A24" s="14" t="s">
        <v>142</v>
      </c>
      <c r="B24" s="51" t="str">
        <f>VLOOKUP(A24,policywithagency!B:C,2,0)</f>
        <v>070000169007</v>
      </c>
      <c r="C24" s="24">
        <v>-154</v>
      </c>
      <c r="D24" s="48" t="s">
        <v>376</v>
      </c>
      <c r="E24" s="52" t="str">
        <f>VLOOKUP(A24,policywithagency!B:D,3,0)</f>
        <v>09000800</v>
      </c>
      <c r="F24" s="53" t="str">
        <f t="shared" si="1"/>
        <v>insert into ins_premium_det (premium_rcv_code,assorted_code, rec_amount,premium_rcv_detail_code,remaining_amt, payrec, mode_code,paid_to_code,class_cd) values</v>
      </c>
      <c r="G24" s="54" t="str">
        <f t="shared" si="2"/>
        <v>('27Mar250004','070000169007','-154',(select max(to_number(i.premium_rcv_detail_code))+1 from ins_premium_det i),'-154','-154','05', '09000800','00');</v>
      </c>
      <c r="H24" s="55" t="str">
        <f t="shared" si="0"/>
        <v>insert into ins_premium_det (premium_rcv_code,assorted_code, rec_amount,premium_rcv_detail_code,remaining_amt, payrec, mode_code,paid_to_code,class_cd) values('27Mar250004','070000169007','-154',(select max(to_number(i.premium_rcv_detail_code))+1 from ins_premium_det i),'-154','-154','05', '09000800','00');</v>
      </c>
    </row>
    <row r="25" spans="1:8" ht="75" x14ac:dyDescent="0.25">
      <c r="A25" s="17" t="s">
        <v>143</v>
      </c>
      <c r="B25" s="51" t="str">
        <f>VLOOKUP(A25,policywithagency!B:C,2,0)</f>
        <v>070000169008</v>
      </c>
      <c r="C25" s="24">
        <v>-237</v>
      </c>
      <c r="D25" s="48" t="s">
        <v>376</v>
      </c>
      <c r="E25" s="52" t="str">
        <f>VLOOKUP(A25,policywithagency!B:D,3,0)</f>
        <v>09000800</v>
      </c>
      <c r="F25" s="53" t="str">
        <f t="shared" si="1"/>
        <v>insert into ins_premium_det (premium_rcv_code,assorted_code, rec_amount,premium_rcv_detail_code,remaining_amt, payrec, mode_code,paid_to_code,class_cd) values</v>
      </c>
      <c r="G25" s="54" t="str">
        <f t="shared" si="2"/>
        <v>('27Mar250004','070000169008','-237',(select max(to_number(i.premium_rcv_detail_code))+1 from ins_premium_det i),'-237','-237','05', '09000800','00');</v>
      </c>
      <c r="H25" s="55" t="str">
        <f t="shared" si="0"/>
        <v>insert into ins_premium_det (premium_rcv_code,assorted_code, rec_amount,premium_rcv_detail_code,remaining_amt, payrec, mode_code,paid_to_code,class_cd) values('27Mar250004','070000169008','-237',(select max(to_number(i.premium_rcv_detail_code))+1 from ins_premium_det i),'-237','-237','05', '09000800','00');</v>
      </c>
    </row>
    <row r="26" spans="1:8" ht="75" x14ac:dyDescent="0.25">
      <c r="A26" s="14" t="s">
        <v>144</v>
      </c>
      <c r="B26" s="51" t="str">
        <f>VLOOKUP(A26,policywithagency!B:C,2,0)</f>
        <v>070000169010</v>
      </c>
      <c r="C26" s="24">
        <v>-136</v>
      </c>
      <c r="D26" s="48" t="s">
        <v>376</v>
      </c>
      <c r="E26" s="52" t="str">
        <f>VLOOKUP(A26,policywithagency!B:D,3,0)</f>
        <v>09000800</v>
      </c>
      <c r="F26" s="53" t="str">
        <f t="shared" si="1"/>
        <v>insert into ins_premium_det (premium_rcv_code,assorted_code, rec_amount,premium_rcv_detail_code,remaining_amt, payrec, mode_code,paid_to_code,class_cd) values</v>
      </c>
      <c r="G26" s="54" t="str">
        <f t="shared" si="2"/>
        <v>('27Mar250004','070000169010','-136',(select max(to_number(i.premium_rcv_detail_code))+1 from ins_premium_det i),'-136','-136','05', '09000800','00');</v>
      </c>
      <c r="H26" s="55" t="str">
        <f t="shared" si="0"/>
        <v>insert into ins_premium_det (premium_rcv_code,assorted_code, rec_amount,premium_rcv_detail_code,remaining_amt, payrec, mode_code,paid_to_code,class_cd) values('27Mar250004','070000169010','-136',(select max(to_number(i.premium_rcv_detail_code))+1 from ins_premium_det i),'-136','-136','05', '09000800','00');</v>
      </c>
    </row>
    <row r="27" spans="1:8" ht="75" x14ac:dyDescent="0.25">
      <c r="A27" s="17" t="s">
        <v>145</v>
      </c>
      <c r="B27" s="51" t="str">
        <f>VLOOKUP(A27,policywithagency!B:C,2,0)</f>
        <v>070000169023</v>
      </c>
      <c r="C27" s="24">
        <v>-237</v>
      </c>
      <c r="D27" s="48" t="s">
        <v>376</v>
      </c>
      <c r="E27" s="52" t="str">
        <f>VLOOKUP(A27,policywithagency!B:D,3,0)</f>
        <v>09000800</v>
      </c>
      <c r="F27" s="53" t="str">
        <f t="shared" si="1"/>
        <v>insert into ins_premium_det (premium_rcv_code,assorted_code, rec_amount,premium_rcv_detail_code,remaining_amt, payrec, mode_code,paid_to_code,class_cd) values</v>
      </c>
      <c r="G27" s="54" t="str">
        <f t="shared" si="2"/>
        <v>('27Mar250004','070000169023','-237',(select max(to_number(i.premium_rcv_detail_code))+1 from ins_premium_det i),'-237','-237','05', '09000800','00');</v>
      </c>
      <c r="H27" s="55" t="str">
        <f t="shared" si="0"/>
        <v>insert into ins_premium_det (premium_rcv_code,assorted_code, rec_amount,premium_rcv_detail_code,remaining_amt, payrec, mode_code,paid_to_code,class_cd) values('27Mar250004','070000169023','-237',(select max(to_number(i.premium_rcv_detail_code))+1 from ins_premium_det i),'-237','-237','05', '09000800','00');</v>
      </c>
    </row>
    <row r="28" spans="1:8" ht="75" x14ac:dyDescent="0.25">
      <c r="A28" s="17" t="s">
        <v>146</v>
      </c>
      <c r="B28" s="51" t="str">
        <f>VLOOKUP(A28,policywithagency!B:C,2,0)</f>
        <v>070000169027</v>
      </c>
      <c r="C28" s="24">
        <v>-237</v>
      </c>
      <c r="D28" s="48" t="s">
        <v>376</v>
      </c>
      <c r="E28" s="52" t="str">
        <f>VLOOKUP(A28,policywithagency!B:D,3,0)</f>
        <v>09000800</v>
      </c>
      <c r="F28" s="53" t="str">
        <f t="shared" si="1"/>
        <v>insert into ins_premium_det (premium_rcv_code,assorted_code, rec_amount,premium_rcv_detail_code,remaining_amt, payrec, mode_code,paid_to_code,class_cd) values</v>
      </c>
      <c r="G28" s="54" t="str">
        <f t="shared" si="2"/>
        <v>('27Mar250004','070000169027','-237',(select max(to_number(i.premium_rcv_detail_code))+1 from ins_premium_det i),'-237','-237','05', '09000800','00');</v>
      </c>
      <c r="H28" s="55" t="str">
        <f t="shared" si="0"/>
        <v>insert into ins_premium_det (premium_rcv_code,assorted_code, rec_amount,premium_rcv_detail_code,remaining_amt, payrec, mode_code,paid_to_code,class_cd) values('27Mar250004','070000169027','-237',(select max(to_number(i.premium_rcv_detail_code))+1 from ins_premium_det i),'-237','-237','05', '09000800','00');</v>
      </c>
    </row>
    <row r="29" spans="1:8" ht="75" x14ac:dyDescent="0.25">
      <c r="A29" s="17" t="s">
        <v>147</v>
      </c>
      <c r="B29" s="51" t="str">
        <f>VLOOKUP(A29,policywithagency!B:C,2,0)</f>
        <v>070000169031</v>
      </c>
      <c r="C29" s="24">
        <v>-237</v>
      </c>
      <c r="D29" s="48" t="s">
        <v>376</v>
      </c>
      <c r="E29" s="52" t="str">
        <f>VLOOKUP(A29,policywithagency!B:D,3,0)</f>
        <v>09000800</v>
      </c>
      <c r="F29" s="53" t="str">
        <f t="shared" si="1"/>
        <v>insert into ins_premium_det (premium_rcv_code,assorted_code, rec_amount,premium_rcv_detail_code,remaining_amt, payrec, mode_code,paid_to_code,class_cd) values</v>
      </c>
      <c r="G29" s="54" t="str">
        <f t="shared" si="2"/>
        <v>('27Mar250004','070000169031','-237',(select max(to_number(i.premium_rcv_detail_code))+1 from ins_premium_det i),'-237','-237','05', '09000800','00');</v>
      </c>
      <c r="H29" s="55" t="str">
        <f t="shared" si="0"/>
        <v>insert into ins_premium_det (premium_rcv_code,assorted_code, rec_amount,premium_rcv_detail_code,remaining_amt, payrec, mode_code,paid_to_code,class_cd) values('27Mar250004','070000169031','-237',(select max(to_number(i.premium_rcv_detail_code))+1 from ins_premium_det i),'-237','-237','05', '09000800','00');</v>
      </c>
    </row>
    <row r="30" spans="1:8" ht="75" x14ac:dyDescent="0.25">
      <c r="A30" s="17" t="s">
        <v>148</v>
      </c>
      <c r="B30" s="51" t="str">
        <f>VLOOKUP(A30,policywithagency!B:C,2,0)</f>
        <v>070000169521</v>
      </c>
      <c r="C30" s="24">
        <v>-267</v>
      </c>
      <c r="D30" s="48" t="s">
        <v>376</v>
      </c>
      <c r="E30" s="52" t="str">
        <f>VLOOKUP(A30,policywithagency!B:D,3,0)</f>
        <v>09000800</v>
      </c>
      <c r="F30" s="53" t="str">
        <f t="shared" si="1"/>
        <v>insert into ins_premium_det (premium_rcv_code,assorted_code, rec_amount,premium_rcv_detail_code,remaining_amt, payrec, mode_code,paid_to_code,class_cd) values</v>
      </c>
      <c r="G30" s="54" t="str">
        <f t="shared" si="2"/>
        <v>('27Mar250004','070000169521','-267',(select max(to_number(i.premium_rcv_detail_code))+1 from ins_premium_det i),'-267','-267','05', '09000800','00');</v>
      </c>
      <c r="H30" s="55" t="str">
        <f t="shared" si="0"/>
        <v>insert into ins_premium_det (premium_rcv_code,assorted_code, rec_amount,premium_rcv_detail_code,remaining_amt, payrec, mode_code,paid_to_code,class_cd) values('27Mar250004','070000169521','-267',(select max(to_number(i.premium_rcv_detail_code))+1 from ins_premium_det i),'-267','-267','05', '09000800','00');</v>
      </c>
    </row>
    <row r="31" spans="1:8" ht="75" x14ac:dyDescent="0.25">
      <c r="A31" s="17" t="s">
        <v>149</v>
      </c>
      <c r="B31" s="51" t="str">
        <f>VLOOKUP(A31,policywithagency!B:C,2,0)</f>
        <v>070000169523</v>
      </c>
      <c r="C31" s="24">
        <v>-40</v>
      </c>
      <c r="D31" s="48" t="s">
        <v>376</v>
      </c>
      <c r="E31" s="52" t="str">
        <f>VLOOKUP(A31,policywithagency!B:D,3,0)</f>
        <v>09000800</v>
      </c>
      <c r="F31" s="53" t="str">
        <f t="shared" si="1"/>
        <v>insert into ins_premium_det (premium_rcv_code,assorted_code, rec_amount,premium_rcv_detail_code,remaining_amt, payrec, mode_code,paid_to_code,class_cd) values</v>
      </c>
      <c r="G31" s="54" t="str">
        <f t="shared" si="2"/>
        <v>('27Mar250004','070000169523','-40',(select max(to_number(i.premium_rcv_detail_code))+1 from ins_premium_det i),'-40','-40','05', '09000800','00');</v>
      </c>
      <c r="H31" s="55" t="str">
        <f t="shared" si="0"/>
        <v>insert into ins_premium_det (premium_rcv_code,assorted_code, rec_amount,premium_rcv_detail_code,remaining_amt, payrec, mode_code,paid_to_code,class_cd) values('27Mar250004','070000169523','-40',(select max(to_number(i.premium_rcv_detail_code))+1 from ins_premium_det i),'-40','-40','05', '09000800','00');</v>
      </c>
    </row>
    <row r="32" spans="1:8" ht="75" x14ac:dyDescent="0.25">
      <c r="A32" s="17" t="s">
        <v>150</v>
      </c>
      <c r="B32" s="51" t="str">
        <f>VLOOKUP(A32,policywithagency!B:C,2,0)</f>
        <v>070000169783</v>
      </c>
      <c r="C32" s="24">
        <v>-136</v>
      </c>
      <c r="D32" s="48" t="s">
        <v>376</v>
      </c>
      <c r="E32" s="52" t="str">
        <f>VLOOKUP(A32,policywithagency!B:D,3,0)</f>
        <v>09000800</v>
      </c>
      <c r="F32" s="53" t="str">
        <f t="shared" si="1"/>
        <v>insert into ins_premium_det (premium_rcv_code,assorted_code, rec_amount,premium_rcv_detail_code,remaining_amt, payrec, mode_code,paid_to_code,class_cd) values</v>
      </c>
      <c r="G32" s="54" t="str">
        <f t="shared" si="2"/>
        <v>('27Mar250004','070000169783','-136',(select max(to_number(i.premium_rcv_detail_code))+1 from ins_premium_det i),'-136','-136','05', '09000800','00');</v>
      </c>
      <c r="H32" s="55" t="str">
        <f t="shared" si="0"/>
        <v>insert into ins_premium_det (premium_rcv_code,assorted_code, rec_amount,premium_rcv_detail_code,remaining_amt, payrec, mode_code,paid_to_code,class_cd) values('27Mar250004','070000169783','-136',(select max(to_number(i.premium_rcv_detail_code))+1 from ins_premium_det i),'-136','-136','05', '09000800','00');</v>
      </c>
    </row>
    <row r="33" spans="1:8" ht="75" x14ac:dyDescent="0.25">
      <c r="A33" s="14" t="s">
        <v>151</v>
      </c>
      <c r="B33" s="51" t="str">
        <f>VLOOKUP(A33,policywithagency!B:C,2,0)</f>
        <v>070000169784</v>
      </c>
      <c r="C33" s="24">
        <v>-136</v>
      </c>
      <c r="D33" s="48" t="s">
        <v>376</v>
      </c>
      <c r="E33" s="52" t="str">
        <f>VLOOKUP(A33,policywithagency!B:D,3,0)</f>
        <v>09000800</v>
      </c>
      <c r="F33" s="53" t="str">
        <f t="shared" si="1"/>
        <v>insert into ins_premium_det (premium_rcv_code,assorted_code, rec_amount,premium_rcv_detail_code,remaining_amt, payrec, mode_code,paid_to_code,class_cd) values</v>
      </c>
      <c r="G33" s="54" t="str">
        <f t="shared" si="2"/>
        <v>('27Mar250004','070000169784','-136',(select max(to_number(i.premium_rcv_detail_code))+1 from ins_premium_det i),'-136','-136','05', '09000800','00');</v>
      </c>
      <c r="H33" s="55" t="str">
        <f t="shared" si="0"/>
        <v>insert into ins_premium_det (premium_rcv_code,assorted_code, rec_amount,premium_rcv_detail_code,remaining_amt, payrec, mode_code,paid_to_code,class_cd) values('27Mar250004','070000169784','-136',(select max(to_number(i.premium_rcv_detail_code))+1 from ins_premium_det i),'-136','-136','05', '09000800','00');</v>
      </c>
    </row>
    <row r="34" spans="1:8" ht="75" x14ac:dyDescent="0.25">
      <c r="A34" s="17" t="s">
        <v>152</v>
      </c>
      <c r="B34" s="51" t="str">
        <f>VLOOKUP(A34,policywithagency!B:C,2,0)</f>
        <v>070000169785</v>
      </c>
      <c r="C34" s="24">
        <v>-136</v>
      </c>
      <c r="D34" s="48" t="s">
        <v>376</v>
      </c>
      <c r="E34" s="52" t="str">
        <f>VLOOKUP(A34,policywithagency!B:D,3,0)</f>
        <v>09000800</v>
      </c>
      <c r="F34" s="53" t="str">
        <f t="shared" si="1"/>
        <v>insert into ins_premium_det (premium_rcv_code,assorted_code, rec_amount,premium_rcv_detail_code,remaining_amt, payrec, mode_code,paid_to_code,class_cd) values</v>
      </c>
      <c r="G34" s="54" t="str">
        <f t="shared" si="2"/>
        <v>('27Mar250004','070000169785','-136',(select max(to_number(i.premium_rcv_detail_code))+1 from ins_premium_det i),'-136','-136','05', '09000800','00');</v>
      </c>
      <c r="H34" s="55" t="str">
        <f t="shared" si="0"/>
        <v>insert into ins_premium_det (premium_rcv_code,assorted_code, rec_amount,premium_rcv_detail_code,remaining_amt, payrec, mode_code,paid_to_code,class_cd) values('27Mar250004','070000169785','-136',(select max(to_number(i.premium_rcv_detail_code))+1 from ins_premium_det i),'-136','-136','05', '09000800','00');</v>
      </c>
    </row>
    <row r="35" spans="1:8" ht="75" x14ac:dyDescent="0.25">
      <c r="A35" s="30" t="s">
        <v>153</v>
      </c>
      <c r="B35" s="51" t="str">
        <f>VLOOKUP(A35,policywithagency!B:C,2,0)</f>
        <v>070000169786</v>
      </c>
      <c r="C35" s="24">
        <v>-136</v>
      </c>
      <c r="D35" s="48" t="s">
        <v>376</v>
      </c>
      <c r="E35" s="52" t="str">
        <f>VLOOKUP(A35,policywithagency!B:D,3,0)</f>
        <v>09000800</v>
      </c>
      <c r="F35" s="53" t="str">
        <f t="shared" si="1"/>
        <v>insert into ins_premium_det (premium_rcv_code,assorted_code, rec_amount,premium_rcv_detail_code,remaining_amt, payrec, mode_code,paid_to_code,class_cd) values</v>
      </c>
      <c r="G35" s="54" t="str">
        <f t="shared" si="2"/>
        <v>('27Mar250004','070000169786','-136',(select max(to_number(i.premium_rcv_detail_code))+1 from ins_premium_det i),'-136','-136','05', '09000800','00');</v>
      </c>
      <c r="H35" s="55" t="str">
        <f t="shared" si="0"/>
        <v>insert into ins_premium_det (premium_rcv_code,assorted_code, rec_amount,premium_rcv_detail_code,remaining_amt, payrec, mode_code,paid_to_code,class_cd) values('27Mar250004','070000169786','-136',(select max(to_number(i.premium_rcv_detail_code))+1 from ins_premium_det i),'-136','-136','05', '09000800','00');</v>
      </c>
    </row>
    <row r="36" spans="1:8" ht="75" x14ac:dyDescent="0.25">
      <c r="A36" s="17" t="s">
        <v>154</v>
      </c>
      <c r="B36" s="51" t="str">
        <f>VLOOKUP(A36,policywithagency!B:C,2,0)</f>
        <v>070000169787</v>
      </c>
      <c r="C36" s="24">
        <v>-136</v>
      </c>
      <c r="D36" s="48" t="s">
        <v>376</v>
      </c>
      <c r="E36" s="52" t="str">
        <f>VLOOKUP(A36,policywithagency!B:D,3,0)</f>
        <v>09000800</v>
      </c>
      <c r="F36" s="53" t="str">
        <f t="shared" si="1"/>
        <v>insert into ins_premium_det (premium_rcv_code,assorted_code, rec_amount,premium_rcv_detail_code,remaining_amt, payrec, mode_code,paid_to_code,class_cd) values</v>
      </c>
      <c r="G36" s="54" t="str">
        <f t="shared" si="2"/>
        <v>('27Mar250004','070000169787','-136',(select max(to_number(i.premium_rcv_detail_code))+1 from ins_premium_det i),'-136','-136','05', '09000800','00');</v>
      </c>
      <c r="H36" s="55" t="str">
        <f t="shared" si="0"/>
        <v>insert into ins_premium_det (premium_rcv_code,assorted_code, rec_amount,premium_rcv_detail_code,remaining_amt, payrec, mode_code,paid_to_code,class_cd) values('27Mar250004','070000169787','-136',(select max(to_number(i.premium_rcv_detail_code))+1 from ins_premium_det i),'-136','-136','05', '09000800','00');</v>
      </c>
    </row>
    <row r="37" spans="1:8" ht="75" x14ac:dyDescent="0.25">
      <c r="A37" s="17" t="s">
        <v>155</v>
      </c>
      <c r="B37" s="51" t="str">
        <f>VLOOKUP(A37,policywithagency!B:C,2,0)</f>
        <v>070000169788</v>
      </c>
      <c r="C37" s="24">
        <v>-23</v>
      </c>
      <c r="D37" s="48" t="s">
        <v>376</v>
      </c>
      <c r="E37" s="52" t="str">
        <f>VLOOKUP(A37,policywithagency!B:D,3,0)</f>
        <v>09000800</v>
      </c>
      <c r="F37" s="53" t="str">
        <f t="shared" si="1"/>
        <v>insert into ins_premium_det (premium_rcv_code,assorted_code, rec_amount,premium_rcv_detail_code,remaining_amt, payrec, mode_code,paid_to_code,class_cd) values</v>
      </c>
      <c r="G37" s="54" t="str">
        <f t="shared" si="2"/>
        <v>('27Mar250004','070000169788','-23',(select max(to_number(i.premium_rcv_detail_code))+1 from ins_premium_det i),'-23','-23','05', '09000800','00');</v>
      </c>
      <c r="H37" s="55" t="str">
        <f t="shared" si="0"/>
        <v>insert into ins_premium_det (premium_rcv_code,assorted_code, rec_amount,premium_rcv_detail_code,remaining_amt, payrec, mode_code,paid_to_code,class_cd) values('27Mar250004','070000169788','-23',(select max(to_number(i.premium_rcv_detail_code))+1 from ins_premium_det i),'-23','-23','05', '09000800','00');</v>
      </c>
    </row>
    <row r="38" spans="1:8" ht="75" x14ac:dyDescent="0.25">
      <c r="A38" s="17" t="s">
        <v>156</v>
      </c>
      <c r="B38" s="51" t="str">
        <f>VLOOKUP(A38,policywithagency!B:C,2,0)</f>
        <v>070000172278</v>
      </c>
      <c r="C38" s="24">
        <v>-205</v>
      </c>
      <c r="D38" s="48" t="s">
        <v>376</v>
      </c>
      <c r="E38" s="52" t="str">
        <f>VLOOKUP(A38,policywithagency!B:D,3,0)</f>
        <v>09000800</v>
      </c>
      <c r="F38" s="53" t="str">
        <f t="shared" si="1"/>
        <v>insert into ins_premium_det (premium_rcv_code,assorted_code, rec_amount,premium_rcv_detail_code,remaining_amt, payrec, mode_code,paid_to_code,class_cd) values</v>
      </c>
      <c r="G38" s="54" t="str">
        <f t="shared" si="2"/>
        <v>('27Mar250004','070000172278','-205',(select max(to_number(i.premium_rcv_detail_code))+1 from ins_premium_det i),'-205','-205','05', '09000800','00');</v>
      </c>
      <c r="H38" s="55" t="str">
        <f t="shared" si="0"/>
        <v>insert into ins_premium_det (premium_rcv_code,assorted_code, rec_amount,premium_rcv_detail_code,remaining_amt, payrec, mode_code,paid_to_code,class_cd) values('27Mar250004','070000172278','-205',(select max(to_number(i.premium_rcv_detail_code))+1 from ins_premium_det i),'-205','-205','05', '09000800','00');</v>
      </c>
    </row>
    <row r="39" spans="1:8" ht="75" x14ac:dyDescent="0.25">
      <c r="A39" s="17" t="s">
        <v>157</v>
      </c>
      <c r="B39" s="51" t="str">
        <f>VLOOKUP(A39,policywithagency!B:C,2,0)</f>
        <v>070000172280</v>
      </c>
      <c r="C39" s="24">
        <v>-205</v>
      </c>
      <c r="D39" s="48" t="s">
        <v>376</v>
      </c>
      <c r="E39" s="52" t="str">
        <f>VLOOKUP(A39,policywithagency!B:D,3,0)</f>
        <v>09000800</v>
      </c>
      <c r="F39" s="53" t="str">
        <f t="shared" si="1"/>
        <v>insert into ins_premium_det (premium_rcv_code,assorted_code, rec_amount,premium_rcv_detail_code,remaining_amt, payrec, mode_code,paid_to_code,class_cd) values</v>
      </c>
      <c r="G39" s="54" t="str">
        <f t="shared" si="2"/>
        <v>('27Mar250004','070000172280','-205',(select max(to_number(i.premium_rcv_detail_code))+1 from ins_premium_det i),'-205','-205','05', '09000800','00');</v>
      </c>
      <c r="H39" s="55" t="str">
        <f t="shared" si="0"/>
        <v>insert into ins_premium_det (premium_rcv_code,assorted_code, rec_amount,premium_rcv_detail_code,remaining_amt, payrec, mode_code,paid_to_code,class_cd) values('27Mar250004','070000172280','-205',(select max(to_number(i.premium_rcv_detail_code))+1 from ins_premium_det i),'-205','-205','05', '09000800','00');</v>
      </c>
    </row>
    <row r="40" spans="1:8" ht="75" x14ac:dyDescent="0.25">
      <c r="A40" s="17" t="s">
        <v>158</v>
      </c>
      <c r="B40" s="51" t="str">
        <f>VLOOKUP(A40,policywithagency!B:C,2,0)</f>
        <v>070000172282</v>
      </c>
      <c r="C40" s="24">
        <v>-239</v>
      </c>
      <c r="D40" s="48" t="s">
        <v>376</v>
      </c>
      <c r="E40" s="52" t="str">
        <f>VLOOKUP(A40,policywithagency!B:D,3,0)</f>
        <v>09000800</v>
      </c>
      <c r="F40" s="53" t="str">
        <f t="shared" si="1"/>
        <v>insert into ins_premium_det (premium_rcv_code,assorted_code, rec_amount,premium_rcv_detail_code,remaining_amt, payrec, mode_code,paid_to_code,class_cd) values</v>
      </c>
      <c r="G40" s="54" t="str">
        <f t="shared" si="2"/>
        <v>('27Mar250004','070000172282','-239',(select max(to_number(i.premium_rcv_detail_code))+1 from ins_premium_det i),'-239','-239','05', '09000800','00');</v>
      </c>
      <c r="H40" s="55" t="str">
        <f t="shared" si="0"/>
        <v>insert into ins_premium_det (premium_rcv_code,assorted_code, rec_amount,premium_rcv_detail_code,remaining_amt, payrec, mode_code,paid_to_code,class_cd) values('27Mar250004','070000172282','-239',(select max(to_number(i.premium_rcv_detail_code))+1 from ins_premium_det i),'-239','-239','05', '09000800','00');</v>
      </c>
    </row>
    <row r="41" spans="1:8" ht="75" x14ac:dyDescent="0.25">
      <c r="A41" s="17" t="s">
        <v>159</v>
      </c>
      <c r="B41" s="51" t="str">
        <f>VLOOKUP(A41,policywithagency!B:C,2,0)</f>
        <v>070000172283</v>
      </c>
      <c r="C41" s="24">
        <v>-239</v>
      </c>
      <c r="D41" s="48" t="s">
        <v>376</v>
      </c>
      <c r="E41" s="52" t="str">
        <f>VLOOKUP(A41,policywithagency!B:D,3,0)</f>
        <v>09000800</v>
      </c>
      <c r="F41" s="53" t="str">
        <f t="shared" si="1"/>
        <v>insert into ins_premium_det (premium_rcv_code,assorted_code, rec_amount,premium_rcv_detail_code,remaining_amt, payrec, mode_code,paid_to_code,class_cd) values</v>
      </c>
      <c r="G41" s="54" t="str">
        <f t="shared" si="2"/>
        <v>('27Mar250004','070000172283','-239',(select max(to_number(i.premium_rcv_detail_code))+1 from ins_premium_det i),'-239','-239','05', '09000800','00');</v>
      </c>
      <c r="H41" s="55" t="str">
        <f t="shared" si="0"/>
        <v>insert into ins_premium_det (premium_rcv_code,assorted_code, rec_amount,premium_rcv_detail_code,remaining_amt, payrec, mode_code,paid_to_code,class_cd) values('27Mar250004','070000172283','-239',(select max(to_number(i.premium_rcv_detail_code))+1 from ins_premium_det i),'-239','-239','05', '09000800','00');</v>
      </c>
    </row>
    <row r="42" spans="1:8" ht="75" x14ac:dyDescent="0.25">
      <c r="A42" s="17" t="s">
        <v>160</v>
      </c>
      <c r="B42" s="51" t="str">
        <f>VLOOKUP(A42,policywithagency!B:C,2,0)</f>
        <v>070000172284</v>
      </c>
      <c r="C42" s="24">
        <v>-159</v>
      </c>
      <c r="D42" s="48" t="s">
        <v>376</v>
      </c>
      <c r="E42" s="52" t="str">
        <f>VLOOKUP(A42,policywithagency!B:D,3,0)</f>
        <v>09000800</v>
      </c>
      <c r="F42" s="53" t="str">
        <f t="shared" si="1"/>
        <v>insert into ins_premium_det (premium_rcv_code,assorted_code, rec_amount,premium_rcv_detail_code,remaining_amt, payrec, mode_code,paid_to_code,class_cd) values</v>
      </c>
      <c r="G42" s="54" t="str">
        <f t="shared" si="2"/>
        <v>('27Mar250004','070000172284','-159',(select max(to_number(i.premium_rcv_detail_code))+1 from ins_premium_det i),'-159','-159','05', '09000800','00');</v>
      </c>
      <c r="H42" s="55" t="str">
        <f t="shared" si="0"/>
        <v>insert into ins_premium_det (premium_rcv_code,assorted_code, rec_amount,premium_rcv_detail_code,remaining_amt, payrec, mode_code,paid_to_code,class_cd) values('27Mar250004','070000172284','-159',(select max(to_number(i.premium_rcv_detail_code))+1 from ins_premium_det i),'-159','-159','05', '09000800','00');</v>
      </c>
    </row>
    <row r="43" spans="1:8" ht="75" x14ac:dyDescent="0.25">
      <c r="A43" s="17" t="s">
        <v>161</v>
      </c>
      <c r="B43" s="51" t="str">
        <f>VLOOKUP(A43,policywithagency!B:C,2,0)</f>
        <v>070000172285</v>
      </c>
      <c r="C43" s="24">
        <v>-154</v>
      </c>
      <c r="D43" s="48" t="s">
        <v>376</v>
      </c>
      <c r="E43" s="52" t="str">
        <f>VLOOKUP(A43,policywithagency!B:D,3,0)</f>
        <v>09000800</v>
      </c>
      <c r="F43" s="53" t="str">
        <f t="shared" si="1"/>
        <v>insert into ins_premium_det (premium_rcv_code,assorted_code, rec_amount,premium_rcv_detail_code,remaining_amt, payrec, mode_code,paid_to_code,class_cd) values</v>
      </c>
      <c r="G43" s="54" t="str">
        <f t="shared" si="2"/>
        <v>('27Mar250004','070000172285','-154',(select max(to_number(i.premium_rcv_detail_code))+1 from ins_premium_det i),'-154','-154','05', '09000800','00');</v>
      </c>
      <c r="H43" s="55" t="str">
        <f t="shared" si="0"/>
        <v>insert into ins_premium_det (premium_rcv_code,assorted_code, rec_amount,premium_rcv_detail_code,remaining_amt, payrec, mode_code,paid_to_code,class_cd) values('27Mar250004','070000172285','-154',(select max(to_number(i.premium_rcv_detail_code))+1 from ins_premium_det i),'-154','-154','05', '09000800','00');</v>
      </c>
    </row>
    <row r="44" spans="1:8" ht="75" x14ac:dyDescent="0.25">
      <c r="A44" s="17" t="s">
        <v>162</v>
      </c>
      <c r="B44" s="51" t="str">
        <f>VLOOKUP(A44,policywithagency!B:C,2,0)</f>
        <v>070000172719</v>
      </c>
      <c r="C44" s="24">
        <v>-41</v>
      </c>
      <c r="D44" s="48" t="s">
        <v>376</v>
      </c>
      <c r="E44" s="52" t="str">
        <f>VLOOKUP(A44,policywithagency!B:D,3,0)</f>
        <v>09000800</v>
      </c>
      <c r="F44" s="53" t="str">
        <f t="shared" si="1"/>
        <v>insert into ins_premium_det (premium_rcv_code,assorted_code, rec_amount,premium_rcv_detail_code,remaining_amt, payrec, mode_code,paid_to_code,class_cd) values</v>
      </c>
      <c r="G44" s="54" t="str">
        <f t="shared" si="2"/>
        <v>('27Mar250004','070000172719','-41',(select max(to_number(i.premium_rcv_detail_code))+1 from ins_premium_det i),'-41','-41','05', '09000800','00');</v>
      </c>
      <c r="H44" s="55" t="str">
        <f t="shared" si="0"/>
        <v>insert into ins_premium_det (premium_rcv_code,assorted_code, rec_amount,premium_rcv_detail_code,remaining_amt, payrec, mode_code,paid_to_code,class_cd) values('27Mar250004','070000172719','-41',(select max(to_number(i.premium_rcv_detail_code))+1 from ins_premium_det i),'-41','-41','05', '09000800','00');</v>
      </c>
    </row>
    <row r="45" spans="1:8" ht="75" x14ac:dyDescent="0.25">
      <c r="A45" s="17" t="s">
        <v>163</v>
      </c>
      <c r="B45" s="51" t="str">
        <f>VLOOKUP(A45,policywithagency!B:C,2,0)</f>
        <v>070000172723</v>
      </c>
      <c r="C45" s="24">
        <v>-139</v>
      </c>
      <c r="D45" s="48" t="s">
        <v>376</v>
      </c>
      <c r="E45" s="52" t="str">
        <f>VLOOKUP(A45,policywithagency!B:D,3,0)</f>
        <v>09000800</v>
      </c>
      <c r="F45" s="53" t="str">
        <f t="shared" si="1"/>
        <v>insert into ins_premium_det (premium_rcv_code,assorted_code, rec_amount,premium_rcv_detail_code,remaining_amt, payrec, mode_code,paid_to_code,class_cd) values</v>
      </c>
      <c r="G45" s="54" t="str">
        <f t="shared" si="2"/>
        <v>('27Mar250004','070000172723','-139',(select max(to_number(i.premium_rcv_detail_code))+1 from ins_premium_det i),'-139','-139','05', '09000800','00');</v>
      </c>
      <c r="H45" s="55" t="str">
        <f t="shared" si="0"/>
        <v>insert into ins_premium_det (premium_rcv_code,assorted_code, rec_amount,premium_rcv_detail_code,remaining_amt, payrec, mode_code,paid_to_code,class_cd) values('27Mar250004','070000172723','-139',(select max(to_number(i.premium_rcv_detail_code))+1 from ins_premium_det i),'-139','-139','05', '09000800','00');</v>
      </c>
    </row>
    <row r="46" spans="1:8" ht="75" x14ac:dyDescent="0.25">
      <c r="A46" s="17" t="s">
        <v>164</v>
      </c>
      <c r="B46" s="51" t="str">
        <f>VLOOKUP(A46,policywithagency!B:C,2,0)</f>
        <v>070000172732</v>
      </c>
      <c r="C46" s="24">
        <v>-101</v>
      </c>
      <c r="D46" s="48" t="s">
        <v>376</v>
      </c>
      <c r="E46" s="52" t="str">
        <f>VLOOKUP(A46,policywithagency!B:D,3,0)</f>
        <v>09000800</v>
      </c>
      <c r="F46" s="53" t="str">
        <f t="shared" si="1"/>
        <v>insert into ins_premium_det (premium_rcv_code,assorted_code, rec_amount,premium_rcv_detail_code,remaining_amt, payrec, mode_code,paid_to_code,class_cd) values</v>
      </c>
      <c r="G46" s="54" t="str">
        <f t="shared" si="2"/>
        <v>('27Mar250004','070000172732','-101',(select max(to_number(i.premium_rcv_detail_code))+1 from ins_premium_det i),'-101','-101','05', '09000800','00');</v>
      </c>
      <c r="H46" s="55" t="str">
        <f t="shared" si="0"/>
        <v>insert into ins_premium_det (premium_rcv_code,assorted_code, rec_amount,premium_rcv_detail_code,remaining_amt, payrec, mode_code,paid_to_code,class_cd) values('27Mar250004','070000172732','-101',(select max(to_number(i.premium_rcv_detail_code))+1 from ins_premium_det i),'-101','-101','05', '09000800','00');</v>
      </c>
    </row>
    <row r="47" spans="1:8" ht="75" x14ac:dyDescent="0.25">
      <c r="A47" s="17" t="s">
        <v>165</v>
      </c>
      <c r="B47" s="51" t="str">
        <f>VLOOKUP(A47,policywithagency!B:C,2,0)</f>
        <v>070000172735</v>
      </c>
      <c r="C47" s="24">
        <v>-241</v>
      </c>
      <c r="D47" s="48" t="s">
        <v>376</v>
      </c>
      <c r="E47" s="52" t="str">
        <f>VLOOKUP(A47,policywithagency!B:D,3,0)</f>
        <v>09000800</v>
      </c>
      <c r="F47" s="53" t="str">
        <f t="shared" si="1"/>
        <v>insert into ins_premium_det (premium_rcv_code,assorted_code, rec_amount,premium_rcv_detail_code,remaining_amt, payrec, mode_code,paid_to_code,class_cd) values</v>
      </c>
      <c r="G47" s="54" t="str">
        <f t="shared" si="2"/>
        <v>('27Mar250004','070000172735','-241',(select max(to_number(i.premium_rcv_detail_code))+1 from ins_premium_det i),'-241','-241','05', '09000800','00');</v>
      </c>
      <c r="H47" s="55" t="str">
        <f t="shared" si="0"/>
        <v>insert into ins_premium_det (premium_rcv_code,assorted_code, rec_amount,premium_rcv_detail_code,remaining_amt, payrec, mode_code,paid_to_code,class_cd) values('27Mar250004','070000172735','-241',(select max(to_number(i.premium_rcv_detail_code))+1 from ins_premium_det i),'-241','-241','05', '09000800','00');</v>
      </c>
    </row>
    <row r="48" spans="1:8" ht="75" x14ac:dyDescent="0.25">
      <c r="A48" s="17" t="s">
        <v>166</v>
      </c>
      <c r="B48" s="51" t="str">
        <f>VLOOKUP(A48,policywithagency!B:C,2,0)</f>
        <v>070000173597</v>
      </c>
      <c r="C48" s="24">
        <v>-205</v>
      </c>
      <c r="D48" s="48" t="s">
        <v>376</v>
      </c>
      <c r="E48" s="52" t="str">
        <f>VLOOKUP(A48,policywithagency!B:D,3,0)</f>
        <v>09000800</v>
      </c>
      <c r="F48" s="53" t="str">
        <f t="shared" si="1"/>
        <v>insert into ins_premium_det (premium_rcv_code,assorted_code, rec_amount,premium_rcv_detail_code,remaining_amt, payrec, mode_code,paid_to_code,class_cd) values</v>
      </c>
      <c r="G48" s="54" t="str">
        <f t="shared" si="2"/>
        <v>('27Mar250004','070000173597','-205',(select max(to_number(i.premium_rcv_detail_code))+1 from ins_premium_det i),'-205','-205','05', '09000800','00');</v>
      </c>
      <c r="H48" s="55" t="str">
        <f t="shared" si="0"/>
        <v>insert into ins_premium_det (premium_rcv_code,assorted_code, rec_amount,premium_rcv_detail_code,remaining_amt, payrec, mode_code,paid_to_code,class_cd) values('27Mar250004','070000173597','-205',(select max(to_number(i.premium_rcv_detail_code))+1 from ins_premium_det i),'-205','-205','05', '09000800','00');</v>
      </c>
    </row>
    <row r="49" spans="1:8" ht="75" x14ac:dyDescent="0.25">
      <c r="A49" s="17" t="s">
        <v>167</v>
      </c>
      <c r="B49" s="51" t="str">
        <f>VLOOKUP(A49,policywithagency!B:C,2,0)</f>
        <v>070000173598</v>
      </c>
      <c r="C49" s="24">
        <v>-77</v>
      </c>
      <c r="D49" s="48" t="s">
        <v>376</v>
      </c>
      <c r="E49" s="52" t="str">
        <f>VLOOKUP(A49,policywithagency!B:D,3,0)</f>
        <v>09000800</v>
      </c>
      <c r="F49" s="53" t="str">
        <f t="shared" si="1"/>
        <v>insert into ins_premium_det (premium_rcv_code,assorted_code, rec_amount,premium_rcv_detail_code,remaining_amt, payrec, mode_code,paid_to_code,class_cd) values</v>
      </c>
      <c r="G49" s="54" t="str">
        <f t="shared" si="2"/>
        <v>('27Mar250004','070000173598','-77',(select max(to_number(i.premium_rcv_detail_code))+1 from ins_premium_det i),'-77','-77','05', '09000800','00');</v>
      </c>
      <c r="H49" s="55" t="str">
        <f t="shared" si="0"/>
        <v>insert into ins_premium_det (premium_rcv_code,assorted_code, rec_amount,premium_rcv_detail_code,remaining_amt, payrec, mode_code,paid_to_code,class_cd) values('27Mar250004','070000173598','-77',(select max(to_number(i.premium_rcv_detail_code))+1 from ins_premium_det i),'-77','-77','05', '09000800','00');</v>
      </c>
    </row>
    <row r="50" spans="1:8" ht="75" x14ac:dyDescent="0.25">
      <c r="A50" s="17" t="s">
        <v>168</v>
      </c>
      <c r="B50" s="51" t="str">
        <f>VLOOKUP(A50,policywithagency!B:C,2,0)</f>
        <v>070000173599</v>
      </c>
      <c r="C50" s="24">
        <v>-237</v>
      </c>
      <c r="D50" s="48" t="s">
        <v>376</v>
      </c>
      <c r="E50" s="52" t="str">
        <f>VLOOKUP(A50,policywithagency!B:D,3,0)</f>
        <v>09000800</v>
      </c>
      <c r="F50" s="53" t="str">
        <f t="shared" si="1"/>
        <v>insert into ins_premium_det (premium_rcv_code,assorted_code, rec_amount,premium_rcv_detail_code,remaining_amt, payrec, mode_code,paid_to_code,class_cd) values</v>
      </c>
      <c r="G50" s="54" t="str">
        <f t="shared" si="2"/>
        <v>('27Mar250004','070000173599','-237',(select max(to_number(i.premium_rcv_detail_code))+1 from ins_premium_det i),'-237','-237','05', '09000800','00');</v>
      </c>
      <c r="H50" s="55" t="str">
        <f t="shared" si="0"/>
        <v>insert into ins_premium_det (premium_rcv_code,assorted_code, rec_amount,premium_rcv_detail_code,remaining_amt, payrec, mode_code,paid_to_code,class_cd) values('27Mar250004','070000173599','-237',(select max(to_number(i.premium_rcv_detail_code))+1 from ins_premium_det i),'-237','-237','05', '09000800','00');</v>
      </c>
    </row>
    <row r="51" spans="1:8" ht="75" x14ac:dyDescent="0.25">
      <c r="A51" s="17" t="s">
        <v>169</v>
      </c>
      <c r="B51" s="51" t="str">
        <f>VLOOKUP(A51,policywithagency!B:C,2,0)</f>
        <v>070000173600</v>
      </c>
      <c r="C51" s="24">
        <v>-237</v>
      </c>
      <c r="D51" s="48" t="s">
        <v>376</v>
      </c>
      <c r="E51" s="52" t="str">
        <f>VLOOKUP(A51,policywithagency!B:D,3,0)</f>
        <v>09000800</v>
      </c>
      <c r="F51" s="53" t="str">
        <f t="shared" si="1"/>
        <v>insert into ins_premium_det (premium_rcv_code,assorted_code, rec_amount,premium_rcv_detail_code,remaining_amt, payrec, mode_code,paid_to_code,class_cd) values</v>
      </c>
      <c r="G51" s="54" t="str">
        <f t="shared" si="2"/>
        <v>('27Mar250004','070000173600','-237',(select max(to_number(i.premium_rcv_detail_code))+1 from ins_premium_det i),'-237','-237','05', '09000800','00');</v>
      </c>
      <c r="H51" s="55" t="str">
        <f t="shared" si="0"/>
        <v>insert into ins_premium_det (premium_rcv_code,assorted_code, rec_amount,premium_rcv_detail_code,remaining_amt, payrec, mode_code,paid_to_code,class_cd) values('27Mar250004','070000173600','-237',(select max(to_number(i.premium_rcv_detail_code))+1 from ins_premium_det i),'-237','-237','05', '09000800','00');</v>
      </c>
    </row>
    <row r="52" spans="1:8" ht="75" x14ac:dyDescent="0.25">
      <c r="A52" s="17" t="s">
        <v>170</v>
      </c>
      <c r="B52" s="51" t="str">
        <f>VLOOKUP(A52,policywithagency!B:C,2,0)</f>
        <v>070000173602</v>
      </c>
      <c r="C52" s="24">
        <v>-202</v>
      </c>
      <c r="D52" s="48" t="s">
        <v>376</v>
      </c>
      <c r="E52" s="52" t="str">
        <f>VLOOKUP(A52,policywithagency!B:D,3,0)</f>
        <v>09000800</v>
      </c>
      <c r="F52" s="53" t="str">
        <f t="shared" si="1"/>
        <v>insert into ins_premium_det (premium_rcv_code,assorted_code, rec_amount,premium_rcv_detail_code,remaining_amt, payrec, mode_code,paid_to_code,class_cd) values</v>
      </c>
      <c r="G52" s="54" t="str">
        <f t="shared" si="2"/>
        <v>('27Mar250004','070000173602','-202',(select max(to_number(i.premium_rcv_detail_code))+1 from ins_premium_det i),'-202','-202','05', '09000800','00');</v>
      </c>
      <c r="H52" s="55" t="str">
        <f t="shared" si="0"/>
        <v>insert into ins_premium_det (premium_rcv_code,assorted_code, rec_amount,premium_rcv_detail_code,remaining_amt, payrec, mode_code,paid_to_code,class_cd) values('27Mar250004','070000173602','-202',(select max(to_number(i.premium_rcv_detail_code))+1 from ins_premium_det i),'-202','-202','05', '09000800','00');</v>
      </c>
    </row>
    <row r="53" spans="1:8" ht="75" x14ac:dyDescent="0.25">
      <c r="A53" s="17" t="s">
        <v>171</v>
      </c>
      <c r="B53" s="51" t="str">
        <f>VLOOKUP(A53,policywithagency!B:C,2,0)</f>
        <v>070000173603</v>
      </c>
      <c r="C53" s="24">
        <v>-154</v>
      </c>
      <c r="D53" s="48" t="s">
        <v>376</v>
      </c>
      <c r="E53" s="52" t="str">
        <f>VLOOKUP(A53,policywithagency!B:D,3,0)</f>
        <v>09000800</v>
      </c>
      <c r="F53" s="53" t="str">
        <f t="shared" si="1"/>
        <v>insert into ins_premium_det (premium_rcv_code,assorted_code, rec_amount,premium_rcv_detail_code,remaining_amt, payrec, mode_code,paid_to_code,class_cd) values</v>
      </c>
      <c r="G53" s="54" t="str">
        <f t="shared" si="2"/>
        <v>('27Mar250004','070000173603','-154',(select max(to_number(i.premium_rcv_detail_code))+1 from ins_premium_det i),'-154','-154','05', '09000800','00');</v>
      </c>
      <c r="H53" s="55" t="str">
        <f t="shared" si="0"/>
        <v>insert into ins_premium_det (premium_rcv_code,assorted_code, rec_amount,premium_rcv_detail_code,remaining_amt, payrec, mode_code,paid_to_code,class_cd) values('27Mar250004','070000173603','-154',(select max(to_number(i.premium_rcv_detail_code))+1 from ins_premium_det i),'-154','-154','05', '09000800','00');</v>
      </c>
    </row>
    <row r="54" spans="1:8" ht="75" x14ac:dyDescent="0.25">
      <c r="A54" s="17" t="s">
        <v>172</v>
      </c>
      <c r="B54" s="51" t="str">
        <f>VLOOKUP(A54,policywithagency!B:C,2,0)</f>
        <v>070000169579</v>
      </c>
      <c r="C54" s="24">
        <v>-192</v>
      </c>
      <c r="D54" s="48" t="s">
        <v>376</v>
      </c>
      <c r="E54" s="52" t="str">
        <f>VLOOKUP(A54,policywithagency!B:D,3,0)</f>
        <v>09000800</v>
      </c>
      <c r="F54" s="53" t="str">
        <f t="shared" si="1"/>
        <v>insert into ins_premium_det (premium_rcv_code,assorted_code, rec_amount,premium_rcv_detail_code,remaining_amt, payrec, mode_code,paid_to_code,class_cd) values</v>
      </c>
      <c r="G54" s="54" t="str">
        <f t="shared" si="2"/>
        <v>('27Mar250004','070000169579','-192',(select max(to_number(i.premium_rcv_detail_code))+1 from ins_premium_det i),'-192','-192','05', '09000800','00');</v>
      </c>
      <c r="H54" s="55" t="str">
        <f t="shared" si="0"/>
        <v>insert into ins_premium_det (premium_rcv_code,assorted_code, rec_amount,premium_rcv_detail_code,remaining_amt, payrec, mode_code,paid_to_code,class_cd) values('27Mar250004','070000169579','-192',(select max(to_number(i.premium_rcv_detail_code))+1 from ins_premium_det i),'-192','-192','05', '09000800','00');</v>
      </c>
    </row>
    <row r="55" spans="1:8" ht="75" x14ac:dyDescent="0.25">
      <c r="A55" s="31" t="s">
        <v>173</v>
      </c>
      <c r="B55" s="51" t="str">
        <f>VLOOKUP(A55,policywithagency!B:C,2,0)</f>
        <v>070000165419</v>
      </c>
      <c r="C55" s="24">
        <v>-46</v>
      </c>
      <c r="D55" s="48" t="s">
        <v>376</v>
      </c>
      <c r="E55" s="52" t="str">
        <f>VLOOKUP(A55,policywithagency!B:D,3,0)</f>
        <v>09000800</v>
      </c>
      <c r="F55" s="53" t="str">
        <f t="shared" si="1"/>
        <v>insert into ins_premium_det (premium_rcv_code,assorted_code, rec_amount,premium_rcv_detail_code,remaining_amt, payrec, mode_code,paid_to_code,class_cd) values</v>
      </c>
      <c r="G55" s="54" t="str">
        <f t="shared" si="2"/>
        <v>('27Mar250004','070000165419','-46',(select max(to_number(i.premium_rcv_detail_code))+1 from ins_premium_det i),'-46','-46','05', '09000800','00');</v>
      </c>
      <c r="H55" s="55" t="str">
        <f t="shared" si="0"/>
        <v>insert into ins_premium_det (premium_rcv_code,assorted_code, rec_amount,premium_rcv_detail_code,remaining_amt, payrec, mode_code,paid_to_code,class_cd) values('27Mar250004','070000165419','-46',(select max(to_number(i.premium_rcv_detail_code))+1 from ins_premium_det i),'-46','-46','05', '09000800','00');</v>
      </c>
    </row>
    <row r="56" spans="1:8" ht="75" x14ac:dyDescent="0.25">
      <c r="A56" s="31" t="s">
        <v>174</v>
      </c>
      <c r="B56" s="51" t="str">
        <f>VLOOKUP(A56,policywithagency!B:C,2,0)</f>
        <v>070000165651</v>
      </c>
      <c r="C56" s="24">
        <v>-78</v>
      </c>
      <c r="D56" s="48" t="s">
        <v>376</v>
      </c>
      <c r="E56" s="52" t="str">
        <f>VLOOKUP(A56,policywithagency!B:D,3,0)</f>
        <v>09000800</v>
      </c>
      <c r="F56" s="53" t="str">
        <f t="shared" si="1"/>
        <v>insert into ins_premium_det (premium_rcv_code,assorted_code, rec_amount,premium_rcv_detail_code,remaining_amt, payrec, mode_code,paid_to_code,class_cd) values</v>
      </c>
      <c r="G56" s="54" t="str">
        <f t="shared" si="2"/>
        <v>('27Mar250004','070000165651','-78',(select max(to_number(i.premium_rcv_detail_code))+1 from ins_premium_det i),'-78','-78','05', '09000800','00');</v>
      </c>
      <c r="H56" s="55" t="str">
        <f t="shared" si="0"/>
        <v>insert into ins_premium_det (premium_rcv_code,assorted_code, rec_amount,premium_rcv_detail_code,remaining_amt, payrec, mode_code,paid_to_code,class_cd) values('27Mar250004','070000165651','-78',(select max(to_number(i.premium_rcv_detail_code))+1 from ins_premium_det i),'-78','-78','05', '09000800','00');</v>
      </c>
    </row>
    <row r="57" spans="1:8" ht="75" x14ac:dyDescent="0.25">
      <c r="A57" s="17" t="s">
        <v>175</v>
      </c>
      <c r="B57" s="51" t="str">
        <f>VLOOKUP(A57,policywithagency!B:C,2,0)</f>
        <v>070000167639</v>
      </c>
      <c r="C57" s="24">
        <v>-192</v>
      </c>
      <c r="D57" s="48" t="s">
        <v>376</v>
      </c>
      <c r="E57" s="52" t="str">
        <f>VLOOKUP(A57,policywithagency!B:D,3,0)</f>
        <v>09000800</v>
      </c>
      <c r="F57" s="53" t="str">
        <f t="shared" si="1"/>
        <v>insert into ins_premium_det (premium_rcv_code,assorted_code, rec_amount,premium_rcv_detail_code,remaining_amt, payrec, mode_code,paid_to_code,class_cd) values</v>
      </c>
      <c r="G57" s="54" t="str">
        <f t="shared" si="2"/>
        <v>('27Mar250004','070000167639','-192',(select max(to_number(i.premium_rcv_detail_code))+1 from ins_premium_det i),'-192','-192','05', '09000800','00');</v>
      </c>
      <c r="H57" s="55" t="str">
        <f t="shared" si="0"/>
        <v>insert into ins_premium_det (premium_rcv_code,assorted_code, rec_amount,premium_rcv_detail_code,remaining_amt, payrec, mode_code,paid_to_code,class_cd) values('27Mar250004','070000167639','-192',(select max(to_number(i.premium_rcv_detail_code))+1 from ins_premium_det i),'-192','-192','05', '09000800','00');</v>
      </c>
    </row>
    <row r="58" spans="1:8" ht="75" x14ac:dyDescent="0.25">
      <c r="A58" s="17" t="s">
        <v>176</v>
      </c>
      <c r="B58" s="51" t="str">
        <f>VLOOKUP(A58,policywithagency!B:C,2,0)</f>
        <v>070000169499</v>
      </c>
      <c r="C58" s="24">
        <v>-31</v>
      </c>
      <c r="D58" s="48" t="s">
        <v>376</v>
      </c>
      <c r="E58" s="52" t="str">
        <f>VLOOKUP(A58,policywithagency!B:D,3,0)</f>
        <v>09000800</v>
      </c>
      <c r="F58" s="53" t="str">
        <f t="shared" si="1"/>
        <v>insert into ins_premium_det (premium_rcv_code,assorted_code, rec_amount,premium_rcv_detail_code,remaining_amt, payrec, mode_code,paid_to_code,class_cd) values</v>
      </c>
      <c r="G58" s="54" t="str">
        <f t="shared" si="2"/>
        <v>('27Mar250004','070000169499','-31',(select max(to_number(i.premium_rcv_detail_code))+1 from ins_premium_det i),'-31','-31','05', '09000800','00');</v>
      </c>
      <c r="H58" s="55" t="str">
        <f t="shared" si="0"/>
        <v>insert into ins_premium_det (premium_rcv_code,assorted_code, rec_amount,premium_rcv_detail_code,remaining_amt, payrec, mode_code,paid_to_code,class_cd) values('27Mar250004','070000169499','-31',(select max(to_number(i.premium_rcv_detail_code))+1 from ins_premium_det i),'-31','-31','05', '09000800','00');</v>
      </c>
    </row>
    <row r="59" spans="1:8" ht="75" x14ac:dyDescent="0.25">
      <c r="A59" s="17" t="s">
        <v>177</v>
      </c>
      <c r="B59" s="51" t="str">
        <f>VLOOKUP(A59,policywithagency!B:C,2,0)</f>
        <v>070000169500</v>
      </c>
      <c r="C59" s="24">
        <v>-15</v>
      </c>
      <c r="D59" s="48" t="s">
        <v>376</v>
      </c>
      <c r="E59" s="52" t="str">
        <f>VLOOKUP(A59,policywithagency!B:D,3,0)</f>
        <v>09000800</v>
      </c>
      <c r="F59" s="53" t="str">
        <f t="shared" si="1"/>
        <v>insert into ins_premium_det (premium_rcv_code,assorted_code, rec_amount,premium_rcv_detail_code,remaining_amt, payrec, mode_code,paid_to_code,class_cd) values</v>
      </c>
      <c r="G59" s="54" t="str">
        <f t="shared" si="2"/>
        <v>('27Mar250004','070000169500','-15',(select max(to_number(i.premium_rcv_detail_code))+1 from ins_premium_det i),'-15','-15','05', '09000800','00');</v>
      </c>
      <c r="H59" s="55" t="str">
        <f t="shared" si="0"/>
        <v>insert into ins_premium_det (premium_rcv_code,assorted_code, rec_amount,premium_rcv_detail_code,remaining_amt, payrec, mode_code,paid_to_code,class_cd) values('27Mar250004','070000169500','-15',(select max(to_number(i.premium_rcv_detail_code))+1 from ins_premium_det i),'-15','-15','05', '09000800','00');</v>
      </c>
    </row>
    <row r="60" spans="1:8" ht="75" x14ac:dyDescent="0.25">
      <c r="A60" s="17" t="s">
        <v>178</v>
      </c>
      <c r="B60" s="51" t="str">
        <f>VLOOKUP(A60,policywithagency!B:C,2,0)</f>
        <v>070000169584</v>
      </c>
      <c r="C60" s="24">
        <v>-208</v>
      </c>
      <c r="D60" s="48" t="s">
        <v>376</v>
      </c>
      <c r="E60" s="52" t="str">
        <f>VLOOKUP(A60,policywithagency!B:D,3,0)</f>
        <v>09000800</v>
      </c>
      <c r="F60" s="53" t="str">
        <f t="shared" si="1"/>
        <v>insert into ins_premium_det (premium_rcv_code,assorted_code, rec_amount,premium_rcv_detail_code,remaining_amt, payrec, mode_code,paid_to_code,class_cd) values</v>
      </c>
      <c r="G60" s="54" t="str">
        <f t="shared" si="2"/>
        <v>('27Mar250004','070000169584','-208',(select max(to_number(i.premium_rcv_detail_code))+1 from ins_premium_det i),'-208','-208','05', '09000800','00');</v>
      </c>
      <c r="H60" s="55" t="str">
        <f t="shared" si="0"/>
        <v>insert into ins_premium_det (premium_rcv_code,assorted_code, rec_amount,premium_rcv_detail_code,remaining_amt, payrec, mode_code,paid_to_code,class_cd) values('27Mar250004','070000169584','-208',(select max(to_number(i.premium_rcv_detail_code))+1 from ins_premium_det i),'-208','-208','05', '09000800','00');</v>
      </c>
    </row>
    <row r="61" spans="1:8" ht="75" x14ac:dyDescent="0.25">
      <c r="A61" s="17" t="s">
        <v>179</v>
      </c>
      <c r="B61" s="51" t="str">
        <f>VLOOKUP(A61,policywithagency!B:C,2,0)</f>
        <v>070000169789</v>
      </c>
      <c r="C61" s="24">
        <v>-189</v>
      </c>
      <c r="D61" s="48" t="s">
        <v>376</v>
      </c>
      <c r="E61" s="52" t="str">
        <f>VLOOKUP(A61,policywithagency!B:D,3,0)</f>
        <v>09000800</v>
      </c>
      <c r="F61" s="53" t="str">
        <f t="shared" si="1"/>
        <v>insert into ins_premium_det (premium_rcv_code,assorted_code, rec_amount,premium_rcv_detail_code,remaining_amt, payrec, mode_code,paid_to_code,class_cd) values</v>
      </c>
      <c r="G61" s="54" t="str">
        <f t="shared" si="2"/>
        <v>('27Mar250004','070000169789','-189',(select max(to_number(i.premium_rcv_detail_code))+1 from ins_premium_det i),'-189','-189','05', '09000800','00');</v>
      </c>
      <c r="H61" s="55" t="str">
        <f t="shared" si="0"/>
        <v>insert into ins_premium_det (premium_rcv_code,assorted_code, rec_amount,premium_rcv_detail_code,remaining_amt, payrec, mode_code,paid_to_code,class_cd) values('27Mar250004','070000169789','-189',(select max(to_number(i.premium_rcv_detail_code))+1 from ins_premium_det i),'-189','-189','05', '09000800','00');</v>
      </c>
    </row>
    <row r="62" spans="1:8" ht="75" x14ac:dyDescent="0.25">
      <c r="A62" s="17" t="s">
        <v>180</v>
      </c>
      <c r="B62" s="51" t="str">
        <f>VLOOKUP(A62,policywithagency!B:C,2,0)</f>
        <v>070000171277</v>
      </c>
      <c r="C62" s="24">
        <v>-61</v>
      </c>
      <c r="D62" s="48" t="s">
        <v>376</v>
      </c>
      <c r="E62" s="52" t="str">
        <f>VLOOKUP(A62,policywithagency!B:D,3,0)</f>
        <v>09000800</v>
      </c>
      <c r="F62" s="53" t="str">
        <f t="shared" si="1"/>
        <v>insert into ins_premium_det (premium_rcv_code,assorted_code, rec_amount,premium_rcv_detail_code,remaining_amt, payrec, mode_code,paid_to_code,class_cd) values</v>
      </c>
      <c r="G62" s="54" t="str">
        <f t="shared" si="2"/>
        <v>('27Mar250004','070000171277','-61',(select max(to_number(i.premium_rcv_detail_code))+1 from ins_premium_det i),'-61','-61','05', '09000800','00');</v>
      </c>
      <c r="H62" s="55" t="str">
        <f t="shared" si="0"/>
        <v>insert into ins_premium_det (premium_rcv_code,assorted_code, rec_amount,premium_rcv_detail_code,remaining_amt, payrec, mode_code,paid_to_code,class_cd) values('27Mar250004','070000171277','-61',(select max(to_number(i.premium_rcv_detail_code))+1 from ins_premium_det i),'-61','-61','05', '09000800','00');</v>
      </c>
    </row>
    <row r="63" spans="1:8" ht="75" x14ac:dyDescent="0.25">
      <c r="A63" s="17" t="s">
        <v>181</v>
      </c>
      <c r="B63" s="51" t="str">
        <f>VLOOKUP(A63,policywithagency!B:C,2,0)</f>
        <v>070000171280</v>
      </c>
      <c r="C63" s="24">
        <v>-61</v>
      </c>
      <c r="D63" s="48" t="s">
        <v>376</v>
      </c>
      <c r="E63" s="52" t="str">
        <f>VLOOKUP(A63,policywithagency!B:D,3,0)</f>
        <v>09000800</v>
      </c>
      <c r="F63" s="53" t="str">
        <f t="shared" si="1"/>
        <v>insert into ins_premium_det (premium_rcv_code,assorted_code, rec_amount,premium_rcv_detail_code,remaining_amt, payrec, mode_code,paid_to_code,class_cd) values</v>
      </c>
      <c r="G63" s="54" t="str">
        <f t="shared" si="2"/>
        <v>('27Mar250004','070000171280','-61',(select max(to_number(i.premium_rcv_detail_code))+1 from ins_premium_det i),'-61','-61','05', '09000800','00');</v>
      </c>
      <c r="H63" s="55" t="str">
        <f t="shared" si="0"/>
        <v>insert into ins_premium_det (premium_rcv_code,assorted_code, rec_amount,premium_rcv_detail_code,remaining_amt, payrec, mode_code,paid_to_code,class_cd) values('27Mar250004','070000171280','-61',(select max(to_number(i.premium_rcv_detail_code))+1 from ins_premium_det i),'-61','-61','05', '09000800','00');</v>
      </c>
    </row>
    <row r="64" spans="1:8" ht="75" x14ac:dyDescent="0.25">
      <c r="A64" s="17" t="s">
        <v>182</v>
      </c>
      <c r="B64" s="51" t="str">
        <f>VLOOKUP(A64,policywithagency!B:C,2,0)</f>
        <v>070000171284</v>
      </c>
      <c r="C64" s="24">
        <v>-186</v>
      </c>
      <c r="D64" s="48" t="s">
        <v>376</v>
      </c>
      <c r="E64" s="52" t="str">
        <f>VLOOKUP(A64,policywithagency!B:D,3,0)</f>
        <v>09000800</v>
      </c>
      <c r="F64" s="53" t="str">
        <f t="shared" si="1"/>
        <v>insert into ins_premium_det (premium_rcv_code,assorted_code, rec_amount,premium_rcv_detail_code,remaining_amt, payrec, mode_code,paid_to_code,class_cd) values</v>
      </c>
      <c r="G64" s="54" t="str">
        <f t="shared" si="2"/>
        <v>('27Mar250004','070000171284','-186',(select max(to_number(i.premium_rcv_detail_code))+1 from ins_premium_det i),'-186','-186','05', '09000800','00');</v>
      </c>
      <c r="H64" s="55" t="str">
        <f t="shared" si="0"/>
        <v>insert into ins_premium_det (premium_rcv_code,assorted_code, rec_amount,premium_rcv_detail_code,remaining_amt, payrec, mode_code,paid_to_code,class_cd) values('27Mar250004','070000171284','-186',(select max(to_number(i.premium_rcv_detail_code))+1 from ins_premium_det i),'-186','-186','05', '09000800','00');</v>
      </c>
    </row>
    <row r="65" spans="1:8" ht="75" x14ac:dyDescent="0.25">
      <c r="A65" s="17" t="s">
        <v>183</v>
      </c>
      <c r="B65" s="51" t="str">
        <f>VLOOKUP(A65,policywithagency!B:C,2,0)</f>
        <v>070000171667</v>
      </c>
      <c r="C65" s="24">
        <v>-186</v>
      </c>
      <c r="D65" s="48" t="s">
        <v>376</v>
      </c>
      <c r="E65" s="52" t="str">
        <f>VLOOKUP(A65,policywithagency!B:D,3,0)</f>
        <v>09000800</v>
      </c>
      <c r="F65" s="53" t="str">
        <f t="shared" si="1"/>
        <v>insert into ins_premium_det (premium_rcv_code,assorted_code, rec_amount,premium_rcv_detail_code,remaining_amt, payrec, mode_code,paid_to_code,class_cd) values</v>
      </c>
      <c r="G65" s="54" t="str">
        <f t="shared" si="2"/>
        <v>('27Mar250004','070000171667','-186',(select max(to_number(i.premium_rcv_detail_code))+1 from ins_premium_det i),'-186','-186','05', '09000800','00');</v>
      </c>
      <c r="H65" s="55" t="str">
        <f t="shared" si="0"/>
        <v>insert into ins_premium_det (premium_rcv_code,assorted_code, rec_amount,premium_rcv_detail_code,remaining_amt, payrec, mode_code,paid_to_code,class_cd) values('27Mar250004','070000171667','-186',(select max(to_number(i.premium_rcv_detail_code))+1 from ins_premium_det i),'-186','-186','05', '09000800','00');</v>
      </c>
    </row>
    <row r="66" spans="1:8" ht="75" x14ac:dyDescent="0.25">
      <c r="A66" s="17" t="s">
        <v>184</v>
      </c>
      <c r="B66" s="51" t="str">
        <f>VLOOKUP(A66,policywithagency!B:C,2,0)</f>
        <v>070000171668</v>
      </c>
      <c r="C66" s="24">
        <v>-46</v>
      </c>
      <c r="D66" s="48" t="s">
        <v>376</v>
      </c>
      <c r="E66" s="52" t="str">
        <f>VLOOKUP(A66,policywithagency!B:D,3,0)</f>
        <v>09000800</v>
      </c>
      <c r="F66" s="53" t="str">
        <f t="shared" si="1"/>
        <v>insert into ins_premium_det (premium_rcv_code,assorted_code, rec_amount,premium_rcv_detail_code,remaining_amt, payrec, mode_code,paid_to_code,class_cd) values</v>
      </c>
      <c r="G66" s="54" t="str">
        <f t="shared" si="2"/>
        <v>('27Mar250004','070000171668','-46',(select max(to_number(i.premium_rcv_detail_code))+1 from ins_premium_det i),'-46','-46','05', '09000800','00');</v>
      </c>
      <c r="H66" s="55" t="str">
        <f t="shared" ref="H66:H76" si="3">F66&amp;G66</f>
        <v>insert into ins_premium_det (premium_rcv_code,assorted_code, rec_amount,premium_rcv_detail_code,remaining_amt, payrec, mode_code,paid_to_code,class_cd) values('27Mar250004','070000171668','-46',(select max(to_number(i.premium_rcv_detail_code))+1 from ins_premium_det i),'-46','-46','05', '09000800','00');</v>
      </c>
    </row>
    <row r="67" spans="1:8" ht="75" x14ac:dyDescent="0.25">
      <c r="A67" s="17" t="s">
        <v>185</v>
      </c>
      <c r="B67" s="51" t="str">
        <f>VLOOKUP(A67,policywithagency!B:C,2,0)</f>
        <v>070000172291</v>
      </c>
      <c r="C67" s="24">
        <v>-191</v>
      </c>
      <c r="D67" s="48" t="s">
        <v>376</v>
      </c>
      <c r="E67" s="52" t="str">
        <f>VLOOKUP(A67,policywithagency!B:D,3,0)</f>
        <v>09000800</v>
      </c>
      <c r="F67" s="53" t="str">
        <f t="shared" ref="F67:F76" si="4">"insert into ins_premium_det (premium_rcv_code,assorted_code, rec_amount,premium_rcv_detail_code,remaining_amt, payrec, mode_code,paid_to_code,class_cd) values"</f>
        <v>insert into ins_premium_det (premium_rcv_code,assorted_code, rec_amount,premium_rcv_detail_code,remaining_amt, payrec, mode_code,paid_to_code,class_cd) values</v>
      </c>
      <c r="G67" s="54" t="str">
        <f t="shared" ref="G67:G76" si="5">"('"&amp;D66&amp;"','"&amp;B67&amp;"','"&amp;C67&amp;"',(select max(to_number(i.premium_rcv_detail_code))+1 from ins_premium_det i),'"&amp;C67&amp;"','"&amp;C67&amp;"','05', '"&amp;E67&amp;"','00');"</f>
        <v>('27Mar250004','070000172291','-191',(select max(to_number(i.premium_rcv_detail_code))+1 from ins_premium_det i),'-191','-191','05', '09000800','00');</v>
      </c>
      <c r="H67" s="55" t="str">
        <f t="shared" si="3"/>
        <v>insert into ins_premium_det (premium_rcv_code,assorted_code, rec_amount,premium_rcv_detail_code,remaining_amt, payrec, mode_code,paid_to_code,class_cd) values('27Mar250004','070000172291','-191',(select max(to_number(i.premium_rcv_detail_code))+1 from ins_premium_det i),'-191','-191','05', '09000800','00');</v>
      </c>
    </row>
    <row r="68" spans="1:8" ht="75" x14ac:dyDescent="0.25">
      <c r="A68" s="17" t="s">
        <v>186</v>
      </c>
      <c r="B68" s="51" t="str">
        <f>VLOOKUP(A68,policywithagency!B:C,2,0)</f>
        <v>070000172292</v>
      </c>
      <c r="C68" s="24">
        <v>-191</v>
      </c>
      <c r="D68" s="48" t="s">
        <v>376</v>
      </c>
      <c r="E68" s="52" t="str">
        <f>VLOOKUP(A68,policywithagency!B:D,3,0)</f>
        <v>09000800</v>
      </c>
      <c r="F68" s="53" t="str">
        <f t="shared" si="4"/>
        <v>insert into ins_premium_det (premium_rcv_code,assorted_code, rec_amount,premium_rcv_detail_code,remaining_amt, payrec, mode_code,paid_to_code,class_cd) values</v>
      </c>
      <c r="G68" s="54" t="str">
        <f t="shared" si="5"/>
        <v>('27Mar250004','070000172292','-191',(select max(to_number(i.premium_rcv_detail_code))+1 from ins_premium_det i),'-191','-191','05', '09000800','00');</v>
      </c>
      <c r="H68" s="55" t="str">
        <f t="shared" si="3"/>
        <v>insert into ins_premium_det (premium_rcv_code,assorted_code, rec_amount,premium_rcv_detail_code,remaining_amt, payrec, mode_code,paid_to_code,class_cd) values('27Mar250004','070000172292','-191',(select max(to_number(i.premium_rcv_detail_code))+1 from ins_premium_det i),'-191','-191','05', '09000800','00');</v>
      </c>
    </row>
    <row r="69" spans="1:8" ht="75" x14ac:dyDescent="0.25">
      <c r="A69" s="17" t="s">
        <v>132</v>
      </c>
      <c r="B69" s="51" t="str">
        <f>VLOOKUP(A69,policywithagency!B:C,2,0)</f>
        <v>070000173604</v>
      </c>
      <c r="C69" s="24">
        <v>-202</v>
      </c>
      <c r="D69" s="48" t="s">
        <v>376</v>
      </c>
      <c r="E69" s="52" t="str">
        <f>VLOOKUP(A69,policywithagency!B:D,3,0)</f>
        <v>09000800</v>
      </c>
      <c r="F69" s="53" t="str">
        <f t="shared" si="4"/>
        <v>insert into ins_premium_det (premium_rcv_code,assorted_code, rec_amount,premium_rcv_detail_code,remaining_amt, payrec, mode_code,paid_to_code,class_cd) values</v>
      </c>
      <c r="G69" s="54" t="str">
        <f t="shared" si="5"/>
        <v>('27Mar250004','070000173604','-202',(select max(to_number(i.premium_rcv_detail_code))+1 from ins_premium_det i),'-202','-202','05', '09000800','00');</v>
      </c>
      <c r="H69" s="55" t="str">
        <f t="shared" si="3"/>
        <v>insert into ins_premium_det (premium_rcv_code,assorted_code, rec_amount,premium_rcv_detail_code,remaining_amt, payrec, mode_code,paid_to_code,class_cd) values('27Mar250004','070000173604','-202',(select max(to_number(i.premium_rcv_detail_code))+1 from ins_premium_det i),'-202','-202','05', '09000800','00');</v>
      </c>
    </row>
    <row r="70" spans="1:8" ht="75" x14ac:dyDescent="0.25">
      <c r="A70" s="17" t="s">
        <v>134</v>
      </c>
      <c r="B70" s="51" t="str">
        <f>VLOOKUP(A70,policywithagency!B:C,2,0)</f>
        <v>070000173623</v>
      </c>
      <c r="C70" s="24">
        <v>-15</v>
      </c>
      <c r="D70" s="48" t="s">
        <v>376</v>
      </c>
      <c r="E70" s="52" t="str">
        <f>VLOOKUP(A70,policywithagency!B:D,3,0)</f>
        <v>09000800</v>
      </c>
      <c r="F70" s="53" t="str">
        <f t="shared" si="4"/>
        <v>insert into ins_premium_det (premium_rcv_code,assorted_code, rec_amount,premium_rcv_detail_code,remaining_amt, payrec, mode_code,paid_to_code,class_cd) values</v>
      </c>
      <c r="G70" s="54" t="str">
        <f t="shared" si="5"/>
        <v>('27Mar250004','070000173623','-15',(select max(to_number(i.premium_rcv_detail_code))+1 from ins_premium_det i),'-15','-15','05', '09000800','00');</v>
      </c>
      <c r="H70" s="55" t="str">
        <f t="shared" si="3"/>
        <v>insert into ins_premium_det (premium_rcv_code,assorted_code, rec_amount,premium_rcv_detail_code,remaining_amt, payrec, mode_code,paid_to_code,class_cd) values('27Mar250004','070000173623','-15',(select max(to_number(i.premium_rcv_detail_code))+1 from ins_premium_det i),'-15','-15','05', '09000800','00');</v>
      </c>
    </row>
    <row r="71" spans="1:8" ht="75" x14ac:dyDescent="0.25">
      <c r="A71" s="17" t="s">
        <v>136</v>
      </c>
      <c r="B71" s="51" t="str">
        <f>VLOOKUP(A71,policywithagency!B:C,2,0)</f>
        <v>070000173624</v>
      </c>
      <c r="C71" s="24">
        <v>-15</v>
      </c>
      <c r="D71" s="48" t="s">
        <v>376</v>
      </c>
      <c r="E71" s="52" t="str">
        <f>VLOOKUP(A71,policywithagency!B:D,3,0)</f>
        <v>09000800</v>
      </c>
      <c r="F71" s="53" t="str">
        <f t="shared" si="4"/>
        <v>insert into ins_premium_det (premium_rcv_code,assorted_code, rec_amount,premium_rcv_detail_code,remaining_amt, payrec, mode_code,paid_to_code,class_cd) values</v>
      </c>
      <c r="G71" s="54" t="str">
        <f t="shared" si="5"/>
        <v>('27Mar250004','070000173624','-15',(select max(to_number(i.premium_rcv_detail_code))+1 from ins_premium_det i),'-15','-15','05', '09000800','00');</v>
      </c>
      <c r="H71" s="55" t="str">
        <f t="shared" si="3"/>
        <v>insert into ins_premium_det (premium_rcv_code,assorted_code, rec_amount,premium_rcv_detail_code,remaining_amt, payrec, mode_code,paid_to_code,class_cd) values('27Mar250004','070000173624','-15',(select max(to_number(i.premium_rcv_detail_code))+1 from ins_premium_det i),'-15','-15','05', '09000800','00');</v>
      </c>
    </row>
    <row r="72" spans="1:8" ht="75" x14ac:dyDescent="0.25">
      <c r="A72" s="17" t="s">
        <v>137</v>
      </c>
      <c r="B72" s="51" t="str">
        <f>VLOOKUP(A72,policywithagency!B:C,2,0)</f>
        <v>070000174847</v>
      </c>
      <c r="C72" s="24">
        <v>-73</v>
      </c>
      <c r="D72" s="48" t="s">
        <v>376</v>
      </c>
      <c r="E72" s="52" t="str">
        <f>VLOOKUP(A72,policywithagency!B:D,3,0)</f>
        <v>09000800</v>
      </c>
      <c r="F72" s="53" t="str">
        <f t="shared" si="4"/>
        <v>insert into ins_premium_det (premium_rcv_code,assorted_code, rec_amount,premium_rcv_detail_code,remaining_amt, payrec, mode_code,paid_to_code,class_cd) values</v>
      </c>
      <c r="G72" s="54" t="str">
        <f t="shared" si="5"/>
        <v>('27Mar250004','070000174847','-73',(select max(to_number(i.premium_rcv_detail_code))+1 from ins_premium_det i),'-73','-73','05', '09000800','00');</v>
      </c>
      <c r="H72" s="55" t="str">
        <f t="shared" si="3"/>
        <v>insert into ins_premium_det (premium_rcv_code,assorted_code, rec_amount,premium_rcv_detail_code,remaining_amt, payrec, mode_code,paid_to_code,class_cd) values('27Mar250004','070000174847','-73',(select max(to_number(i.premium_rcv_detail_code))+1 from ins_premium_det i),'-73','-73','05', '09000800','00');</v>
      </c>
    </row>
    <row r="73" spans="1:8" ht="75" x14ac:dyDescent="0.25">
      <c r="A73" s="30" t="s">
        <v>191</v>
      </c>
      <c r="B73" s="51" t="str">
        <f>VLOOKUP(A73,policywithagency!B:C,2,0)</f>
        <v>050000867101</v>
      </c>
      <c r="C73" s="24">
        <v>0</v>
      </c>
      <c r="D73" s="48" t="s">
        <v>376</v>
      </c>
      <c r="E73" s="52" t="str">
        <f>VLOOKUP(A73,policywithagency!B:D,3,0)</f>
        <v>09000800</v>
      </c>
      <c r="F73" s="53" t="str">
        <f t="shared" si="4"/>
        <v>insert into ins_premium_det (premium_rcv_code,assorted_code, rec_amount,premium_rcv_detail_code,remaining_amt, payrec, mode_code,paid_to_code,class_cd) values</v>
      </c>
      <c r="G73" s="54" t="str">
        <f t="shared" si="5"/>
        <v>('27Mar250004','050000867101','0',(select max(to_number(i.premium_rcv_detail_code))+1 from ins_premium_det i),'0','0','05', '09000800','00');</v>
      </c>
      <c r="H73" s="55" t="str">
        <f t="shared" si="3"/>
        <v>insert into ins_premium_det (premium_rcv_code,assorted_code, rec_amount,premium_rcv_detail_code,remaining_amt, payrec, mode_code,paid_to_code,class_cd) values('27Mar250004','050000867101','0',(select max(to_number(i.premium_rcv_detail_code))+1 from ins_premium_det i),'0','0','05', '09000800','00');</v>
      </c>
    </row>
    <row r="74" spans="1:8" ht="75" x14ac:dyDescent="0.25">
      <c r="A74" s="17" t="s">
        <v>188</v>
      </c>
      <c r="B74" s="51" t="str">
        <f>VLOOKUP(A74,policywithagency!B:C,2,0)</f>
        <v>050000842290</v>
      </c>
      <c r="C74" s="24">
        <v>-1270</v>
      </c>
      <c r="D74" s="48" t="s">
        <v>376</v>
      </c>
      <c r="E74" s="52" t="str">
        <f>VLOOKUP(A74,policywithagency!B:D,3,0)</f>
        <v>09000800</v>
      </c>
      <c r="F74" s="53" t="str">
        <f t="shared" si="4"/>
        <v>insert into ins_premium_det (premium_rcv_code,assorted_code, rec_amount,premium_rcv_detail_code,remaining_amt, payrec, mode_code,paid_to_code,class_cd) values</v>
      </c>
      <c r="G74" s="54" t="str">
        <f t="shared" si="5"/>
        <v>('27Mar250004','050000842290','-1270',(select max(to_number(i.premium_rcv_detail_code))+1 from ins_premium_det i),'-1270','-1270','05', '09000800','00');</v>
      </c>
      <c r="H74" s="55" t="str">
        <f t="shared" si="3"/>
        <v>insert into ins_premium_det (premium_rcv_code,assorted_code, rec_amount,premium_rcv_detail_code,remaining_amt, payrec, mode_code,paid_to_code,class_cd) values('27Mar250004','050000842290','-1270',(select max(to_number(i.premium_rcv_detail_code))+1 from ins_premium_det i),'-1270','-1270','05', '09000800','00');</v>
      </c>
    </row>
    <row r="75" spans="1:8" ht="75" x14ac:dyDescent="0.25">
      <c r="A75" s="17" t="s">
        <v>75</v>
      </c>
      <c r="B75" s="51" t="str">
        <f>VLOOKUP(A75,policywithagency!B:C,2,0)</f>
        <v>040000188379</v>
      </c>
      <c r="C75" s="24">
        <v>-7790</v>
      </c>
      <c r="D75" s="48" t="s">
        <v>376</v>
      </c>
      <c r="E75" s="52" t="str">
        <f>VLOOKUP(A75,policywithagency!B:D,3,0)</f>
        <v>09000800</v>
      </c>
      <c r="F75" s="53" t="str">
        <f t="shared" si="4"/>
        <v>insert into ins_premium_det (premium_rcv_code,assorted_code, rec_amount,premium_rcv_detail_code,remaining_amt, payrec, mode_code,paid_to_code,class_cd) values</v>
      </c>
      <c r="G75" s="54" t="str">
        <f t="shared" si="5"/>
        <v>('27Mar250004','040000188379','-7790',(select max(to_number(i.premium_rcv_detail_code))+1 from ins_premium_det i),'-7790','-7790','05', '09000800','00');</v>
      </c>
      <c r="H75" s="55" t="str">
        <f t="shared" si="3"/>
        <v>insert into ins_premium_det (premium_rcv_code,assorted_code, rec_amount,premium_rcv_detail_code,remaining_amt, payrec, mode_code,paid_to_code,class_cd) values('27Mar250004','040000188379','-7790',(select max(to_number(i.premium_rcv_detail_code))+1 from ins_premium_det i),'-7790','-7790','05', '09000800','00');</v>
      </c>
    </row>
    <row r="76" spans="1:8" ht="75" x14ac:dyDescent="0.25">
      <c r="A76" s="17" t="s">
        <v>187</v>
      </c>
      <c r="B76" s="51" t="str">
        <f>VLOOKUP(A76,policywithagency!B:C,2,0)</f>
        <v>050000855943</v>
      </c>
      <c r="C76" s="24">
        <v>0</v>
      </c>
      <c r="D76" s="48" t="s">
        <v>376</v>
      </c>
      <c r="E76" s="52" t="str">
        <f>VLOOKUP(A76,policywithagency!B:D,3,0)</f>
        <v>09000800</v>
      </c>
      <c r="F76" s="53" t="str">
        <f t="shared" si="4"/>
        <v>insert into ins_premium_det (premium_rcv_code,assorted_code, rec_amount,premium_rcv_detail_code,remaining_amt, payrec, mode_code,paid_to_code,class_cd) values</v>
      </c>
      <c r="G76" s="54" t="str">
        <f t="shared" si="5"/>
        <v>('27Mar250004','050000855943','0',(select max(to_number(i.premium_rcv_detail_code))+1 from ins_premium_det i),'0','0','05', '09000800','00');</v>
      </c>
      <c r="H76" s="55" t="str">
        <f t="shared" si="3"/>
        <v>insert into ins_premium_det (premium_rcv_code,assorted_code, rec_amount,premium_rcv_detail_code,remaining_amt, payrec, mode_code,paid_to_code,class_cd) values('27Mar250004','050000855943','0',(select max(to_number(i.premium_rcv_detail_code))+1 from ins_premium_det i),'0','0','05', '09000800','00');</v>
      </c>
    </row>
  </sheetData>
  <conditionalFormatting sqref="A1">
    <cfRule type="duplicateValues" dxfId="4" priority="4"/>
  </conditionalFormatting>
  <conditionalFormatting sqref="A2">
    <cfRule type="duplicateValues" dxfId="3" priority="1"/>
    <cfRule type="duplicateValues" dxfId="2" priority="2"/>
    <cfRule type="duplicateValues" dxfId="1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6ADF4-807D-4710-A28A-16A6FF484601}">
  <dimension ref="A1:H76"/>
  <sheetViews>
    <sheetView topLeftCell="G72" workbookViewId="0">
      <selection activeCell="H2" sqref="H2:H76"/>
    </sheetView>
  </sheetViews>
  <sheetFormatPr defaultRowHeight="15" x14ac:dyDescent="0.25"/>
  <cols>
    <col min="1" max="1" width="39.140625" bestFit="1" customWidth="1"/>
    <col min="2" max="2" width="14.5703125" bestFit="1" customWidth="1"/>
    <col min="3" max="3" width="12.42578125" bestFit="1" customWidth="1"/>
    <col min="4" max="4" width="12" bestFit="1" customWidth="1"/>
    <col min="5" max="5" width="10.140625" bestFit="1" customWidth="1"/>
    <col min="6" max="6" width="104.140625" customWidth="1"/>
    <col min="7" max="7" width="95.85546875" customWidth="1"/>
    <col min="8" max="8" width="88" customWidth="1"/>
  </cols>
  <sheetData>
    <row r="1" spans="1:8" x14ac:dyDescent="0.25">
      <c r="A1" s="42" t="s">
        <v>373</v>
      </c>
      <c r="B1" t="s">
        <v>374</v>
      </c>
      <c r="C1" s="43" t="s">
        <v>392</v>
      </c>
      <c r="D1" s="48" t="s">
        <v>376</v>
      </c>
      <c r="E1" s="50"/>
    </row>
    <row r="2" spans="1:8" ht="126.75" customHeight="1" x14ac:dyDescent="0.25">
      <c r="A2" s="17" t="s">
        <v>8</v>
      </c>
      <c r="B2" s="51" t="str">
        <f>VLOOKUP(A2,policywithagency!B:C,2,0)</f>
        <v>040000181870</v>
      </c>
      <c r="C2" s="24">
        <v>7016</v>
      </c>
      <c r="D2" s="48" t="s">
        <v>376</v>
      </c>
      <c r="E2" s="52" t="str">
        <f>VLOOKUP(A2,policywithagency!B:D,3,0)</f>
        <v>09000800</v>
      </c>
      <c r="F2" s="53" t="str">
        <f t="shared" ref="F2:F65" si="0">"insert into ins_premium_det (premium_rcv_code,assorted_code, rec_amount,premium_rcv_detail_code,remaining_amt, payrec, mode_code,paid_to_code,class_cd) values"</f>
        <v>insert into ins_premium_det (premium_rcv_code,assorted_code, rec_amount,premium_rcv_detail_code,remaining_amt, payrec, mode_code,paid_to_code,class_cd) values</v>
      </c>
      <c r="G2" s="54" t="str">
        <f t="shared" ref="G2:G65" si="1">"('"&amp;D1&amp;"','"&amp;B2&amp;"','"&amp;C2&amp;"',(select max(to_number(i.premium_rcv_detail_code))+1 from ins_premium_det i),'"&amp;C2&amp;"','"&amp;C2&amp;"','03', '"&amp;E2&amp;"','00');"</f>
        <v>('27Mar250004','040000181870','7016',(select max(to_number(i.premium_rcv_detail_code))+1 from ins_premium_det i),'7016','7016','03', '09000800','00');</v>
      </c>
      <c r="H2" s="55" t="str">
        <f t="shared" ref="H2:H65" si="2">F2&amp;G2</f>
        <v>insert into ins_premium_det (premium_rcv_code,assorted_code, rec_amount,premium_rcv_detail_code,remaining_amt, payrec, mode_code,paid_to_code,class_cd) values('27Mar250004','040000181870','7016',(select max(to_number(i.premium_rcv_detail_code))+1 from ins_premium_det i),'7016','7016','03', '09000800','00');</v>
      </c>
    </row>
    <row r="3" spans="1:8" ht="75" x14ac:dyDescent="0.25">
      <c r="A3" s="17" t="s">
        <v>11</v>
      </c>
      <c r="B3" s="51" t="str">
        <f>VLOOKUP(A3,policywithagency!B:C,2,0)</f>
        <v>040000181899</v>
      </c>
      <c r="C3" s="24">
        <v>38981</v>
      </c>
      <c r="D3" s="48" t="s">
        <v>376</v>
      </c>
      <c r="E3" s="52" t="str">
        <f>VLOOKUP(A3,policywithagency!B:D,3,0)</f>
        <v>09000800</v>
      </c>
      <c r="F3" s="53" t="str">
        <f t="shared" si="0"/>
        <v>insert into ins_premium_det (premium_rcv_code,assorted_code, rec_amount,premium_rcv_detail_code,remaining_amt, payrec, mode_code,paid_to_code,class_cd) values</v>
      </c>
      <c r="G3" s="54" t="str">
        <f t="shared" si="1"/>
        <v>('27Mar250004','040000181899','38981',(select max(to_number(i.premium_rcv_detail_code))+1 from ins_premium_det i),'38981','38981','03', '09000800','00');</v>
      </c>
      <c r="H3" s="55" t="str">
        <f t="shared" si="2"/>
        <v>insert into ins_premium_det (premium_rcv_code,assorted_code, rec_amount,premium_rcv_detail_code,remaining_amt, payrec, mode_code,paid_to_code,class_cd) values('27Mar250004','040000181899','38981',(select max(to_number(i.premium_rcv_detail_code))+1 from ins_premium_det i),'38981','38981','03', '09000800','00');</v>
      </c>
    </row>
    <row r="4" spans="1:8" ht="75" x14ac:dyDescent="0.25">
      <c r="A4" s="17" t="s">
        <v>14</v>
      </c>
      <c r="B4" s="51" t="str">
        <f>VLOOKUP(A4,policywithagency!B:C,2,0)</f>
        <v>040000181923</v>
      </c>
      <c r="C4" s="24">
        <v>5873</v>
      </c>
      <c r="D4" s="48" t="s">
        <v>376</v>
      </c>
      <c r="E4" s="52" t="str">
        <f>VLOOKUP(A4,policywithagency!B:D,3,0)</f>
        <v>09000800</v>
      </c>
      <c r="F4" s="53" t="str">
        <f t="shared" si="0"/>
        <v>insert into ins_premium_det (premium_rcv_code,assorted_code, rec_amount,premium_rcv_detail_code,remaining_amt, payrec, mode_code,paid_to_code,class_cd) values</v>
      </c>
      <c r="G4" s="54" t="str">
        <f t="shared" si="1"/>
        <v>('27Mar250004','040000181923','5873',(select max(to_number(i.premium_rcv_detail_code))+1 from ins_premium_det i),'5873','5873','03', '09000800','00');</v>
      </c>
      <c r="H4" s="55" t="str">
        <f t="shared" si="2"/>
        <v>insert into ins_premium_det (premium_rcv_code,assorted_code, rec_amount,premium_rcv_detail_code,remaining_amt, payrec, mode_code,paid_to_code,class_cd) values('27Mar250004','040000181923','5873',(select max(to_number(i.premium_rcv_detail_code))+1 from ins_premium_det i),'5873','5873','03', '09000800','00');</v>
      </c>
    </row>
    <row r="5" spans="1:8" ht="75" x14ac:dyDescent="0.25">
      <c r="A5" s="17" t="s">
        <v>17</v>
      </c>
      <c r="B5" s="51" t="str">
        <f>VLOOKUP(A5,policywithagency!B:C,2,0)</f>
        <v>040000181954</v>
      </c>
      <c r="C5" s="24">
        <v>25140</v>
      </c>
      <c r="D5" s="48" t="s">
        <v>376</v>
      </c>
      <c r="E5" s="52" t="str">
        <f>VLOOKUP(A5,policywithagency!B:D,3,0)</f>
        <v>09000800</v>
      </c>
      <c r="F5" s="53" t="str">
        <f t="shared" si="0"/>
        <v>insert into ins_premium_det (premium_rcv_code,assorted_code, rec_amount,premium_rcv_detail_code,remaining_amt, payrec, mode_code,paid_to_code,class_cd) values</v>
      </c>
      <c r="G5" s="54" t="str">
        <f t="shared" si="1"/>
        <v>('27Mar250004','040000181954','25140',(select max(to_number(i.premium_rcv_detail_code))+1 from ins_premium_det i),'25140','25140','03', '09000800','00');</v>
      </c>
      <c r="H5" s="55" t="str">
        <f t="shared" si="2"/>
        <v>insert into ins_premium_det (premium_rcv_code,assorted_code, rec_amount,premium_rcv_detail_code,remaining_amt, payrec, mode_code,paid_to_code,class_cd) values('27Mar250004','040000181954','25140',(select max(to_number(i.premium_rcv_detail_code))+1 from ins_premium_det i),'25140','25140','03', '09000800','00');</v>
      </c>
    </row>
    <row r="6" spans="1:8" ht="75" x14ac:dyDescent="0.25">
      <c r="A6" s="17" t="s">
        <v>20</v>
      </c>
      <c r="B6" s="51" t="str">
        <f>VLOOKUP(A6,policywithagency!B:C,2,0)</f>
        <v>040000181958</v>
      </c>
      <c r="C6" s="24">
        <v>4498</v>
      </c>
      <c r="D6" s="48" t="s">
        <v>376</v>
      </c>
      <c r="E6" s="52" t="str">
        <f>VLOOKUP(A6,policywithagency!B:D,3,0)</f>
        <v>09000800</v>
      </c>
      <c r="F6" s="53" t="str">
        <f t="shared" si="0"/>
        <v>insert into ins_premium_det (premium_rcv_code,assorted_code, rec_amount,premium_rcv_detail_code,remaining_amt, payrec, mode_code,paid_to_code,class_cd) values</v>
      </c>
      <c r="G6" s="54" t="str">
        <f t="shared" si="1"/>
        <v>('27Mar250004','040000181958','4498',(select max(to_number(i.premium_rcv_detail_code))+1 from ins_premium_det i),'4498','4498','03', '09000800','00');</v>
      </c>
      <c r="H6" s="55" t="str">
        <f t="shared" si="2"/>
        <v>insert into ins_premium_det (premium_rcv_code,assorted_code, rec_amount,premium_rcv_detail_code,remaining_amt, payrec, mode_code,paid_to_code,class_cd) values('27Mar250004','040000181958','4498',(select max(to_number(i.premium_rcv_detail_code))+1 from ins_premium_det i),'4498','4498','03', '09000800','00');</v>
      </c>
    </row>
    <row r="7" spans="1:8" ht="75" x14ac:dyDescent="0.25">
      <c r="A7" s="17" t="s">
        <v>23</v>
      </c>
      <c r="B7" s="51" t="str">
        <f>VLOOKUP(A7,policywithagency!B:C,2,0)</f>
        <v>040000181962</v>
      </c>
      <c r="C7" s="24">
        <v>2030</v>
      </c>
      <c r="D7" s="48" t="s">
        <v>376</v>
      </c>
      <c r="E7" s="52" t="str">
        <f>VLOOKUP(A7,policywithagency!B:D,3,0)</f>
        <v>09000800</v>
      </c>
      <c r="F7" s="53" t="str">
        <f t="shared" si="0"/>
        <v>insert into ins_premium_det (premium_rcv_code,assorted_code, rec_amount,premium_rcv_detail_code,remaining_amt, payrec, mode_code,paid_to_code,class_cd) values</v>
      </c>
      <c r="G7" s="54" t="str">
        <f t="shared" si="1"/>
        <v>('27Mar250004','040000181962','2030',(select max(to_number(i.premium_rcv_detail_code))+1 from ins_premium_det i),'2030','2030','03', '09000800','00');</v>
      </c>
      <c r="H7" s="55" t="str">
        <f t="shared" si="2"/>
        <v>insert into ins_premium_det (premium_rcv_code,assorted_code, rec_amount,premium_rcv_detail_code,remaining_amt, payrec, mode_code,paid_to_code,class_cd) values('27Mar250004','040000181962','2030',(select max(to_number(i.premium_rcv_detail_code))+1 from ins_premium_det i),'2030','2030','03', '09000800','00');</v>
      </c>
    </row>
    <row r="8" spans="1:8" ht="75" x14ac:dyDescent="0.25">
      <c r="A8" s="17" t="s">
        <v>26</v>
      </c>
      <c r="B8" s="51" t="str">
        <f>VLOOKUP(A8,policywithagency!B:C,2,0)</f>
        <v>040000182042</v>
      </c>
      <c r="C8" s="24">
        <v>19491</v>
      </c>
      <c r="D8" s="48" t="s">
        <v>376</v>
      </c>
      <c r="E8" s="52" t="str">
        <f>VLOOKUP(A8,policywithagency!B:D,3,0)</f>
        <v>09000800</v>
      </c>
      <c r="F8" s="53" t="str">
        <f t="shared" si="0"/>
        <v>insert into ins_premium_det (premium_rcv_code,assorted_code, rec_amount,premium_rcv_detail_code,remaining_amt, payrec, mode_code,paid_to_code,class_cd) values</v>
      </c>
      <c r="G8" s="54" t="str">
        <f t="shared" si="1"/>
        <v>('27Mar250004','040000182042','19491',(select max(to_number(i.premium_rcv_detail_code))+1 from ins_premium_det i),'19491','19491','03', '09000800','00');</v>
      </c>
      <c r="H8" s="55" t="str">
        <f t="shared" si="2"/>
        <v>insert into ins_premium_det (premium_rcv_code,assorted_code, rec_amount,premium_rcv_detail_code,remaining_amt, payrec, mode_code,paid_to_code,class_cd) values('27Mar250004','040000182042','19491',(select max(to_number(i.premium_rcv_detail_code))+1 from ins_premium_det i),'19491','19491','03', '09000800','00');</v>
      </c>
    </row>
    <row r="9" spans="1:8" ht="75" x14ac:dyDescent="0.25">
      <c r="A9" s="17" t="s">
        <v>29</v>
      </c>
      <c r="B9" s="51" t="str">
        <f>VLOOKUP(A9,policywithagency!B:C,2,0)</f>
        <v>040000182056</v>
      </c>
      <c r="C9" s="24">
        <v>4716</v>
      </c>
      <c r="D9" s="48" t="s">
        <v>376</v>
      </c>
      <c r="E9" s="52" t="str">
        <f>VLOOKUP(A9,policywithagency!B:D,3,0)</f>
        <v>09000800</v>
      </c>
      <c r="F9" s="53" t="str">
        <f t="shared" si="0"/>
        <v>insert into ins_premium_det (premium_rcv_code,assorted_code, rec_amount,premium_rcv_detail_code,remaining_amt, payrec, mode_code,paid_to_code,class_cd) values</v>
      </c>
      <c r="G9" s="54" t="str">
        <f t="shared" si="1"/>
        <v>('27Mar250004','040000182056','4716',(select max(to_number(i.premium_rcv_detail_code))+1 from ins_premium_det i),'4716','4716','03', '09000800','00');</v>
      </c>
      <c r="H9" s="55" t="str">
        <f t="shared" si="2"/>
        <v>insert into ins_premium_det (premium_rcv_code,assorted_code, rec_amount,premium_rcv_detail_code,remaining_amt, payrec, mode_code,paid_to_code,class_cd) values('27Mar250004','040000182056','4716',(select max(to_number(i.premium_rcv_detail_code))+1 from ins_premium_det i),'4716','4716','03', '09000800','00');</v>
      </c>
    </row>
    <row r="10" spans="1:8" ht="75" x14ac:dyDescent="0.25">
      <c r="A10" s="17" t="s">
        <v>32</v>
      </c>
      <c r="B10" s="51" t="str">
        <f>VLOOKUP(A10,policywithagency!B:C,2,0)</f>
        <v>040000182060</v>
      </c>
      <c r="C10" s="24">
        <v>39154</v>
      </c>
      <c r="D10" s="48" t="s">
        <v>376</v>
      </c>
      <c r="E10" s="52" t="str">
        <f>VLOOKUP(A10,policywithagency!B:D,3,0)</f>
        <v>09000800</v>
      </c>
      <c r="F10" s="53" t="str">
        <f t="shared" si="0"/>
        <v>insert into ins_premium_det (premium_rcv_code,assorted_code, rec_amount,premium_rcv_detail_code,remaining_amt, payrec, mode_code,paid_to_code,class_cd) values</v>
      </c>
      <c r="G10" s="54" t="str">
        <f t="shared" si="1"/>
        <v>('27Mar250004','040000182060','39154',(select max(to_number(i.premium_rcv_detail_code))+1 from ins_premium_det i),'39154','39154','03', '09000800','00');</v>
      </c>
      <c r="H10" s="55" t="str">
        <f t="shared" si="2"/>
        <v>insert into ins_premium_det (premium_rcv_code,assorted_code, rec_amount,premium_rcv_detail_code,remaining_amt, payrec, mode_code,paid_to_code,class_cd) values('27Mar250004','040000182060','39154',(select max(to_number(i.premium_rcv_detail_code))+1 from ins_premium_det i),'39154','39154','03', '09000800','00');</v>
      </c>
    </row>
    <row r="11" spans="1:8" ht="75" x14ac:dyDescent="0.25">
      <c r="A11" s="28" t="s">
        <v>36</v>
      </c>
      <c r="B11" s="51" t="str">
        <f>VLOOKUP(A11,policywithagency!B:C,2,0)</f>
        <v>040000185205</v>
      </c>
      <c r="C11" s="24">
        <v>2679</v>
      </c>
      <c r="D11" s="48" t="s">
        <v>376</v>
      </c>
      <c r="E11" s="52" t="str">
        <f>VLOOKUP(A11,policywithagency!B:D,3,0)</f>
        <v>09000800</v>
      </c>
      <c r="F11" s="53" t="str">
        <f t="shared" si="0"/>
        <v>insert into ins_premium_det (premium_rcv_code,assorted_code, rec_amount,premium_rcv_detail_code,remaining_amt, payrec, mode_code,paid_to_code,class_cd) values</v>
      </c>
      <c r="G11" s="54" t="str">
        <f t="shared" si="1"/>
        <v>('27Mar250004','040000185205','2679',(select max(to_number(i.premium_rcv_detail_code))+1 from ins_premium_det i),'2679','2679','03', '09000800','00');</v>
      </c>
      <c r="H11" s="55" t="str">
        <f t="shared" si="2"/>
        <v>insert into ins_premium_det (premium_rcv_code,assorted_code, rec_amount,premium_rcv_detail_code,remaining_amt, payrec, mode_code,paid_to_code,class_cd) values('27Mar250004','040000185205','2679',(select max(to_number(i.premium_rcv_detail_code))+1 from ins_premium_det i),'2679','2679','03', '09000800','00');</v>
      </c>
    </row>
    <row r="12" spans="1:8" ht="75" x14ac:dyDescent="0.25">
      <c r="A12" s="17" t="s">
        <v>39</v>
      </c>
      <c r="B12" s="51" t="str">
        <f>VLOOKUP(A12,policywithagency!B:C,2,0)</f>
        <v>040000185230</v>
      </c>
      <c r="C12" s="24">
        <v>1267</v>
      </c>
      <c r="D12" s="48" t="s">
        <v>376</v>
      </c>
      <c r="E12" s="52" t="str">
        <f>VLOOKUP(A12,policywithagency!B:D,3,0)</f>
        <v>09000800</v>
      </c>
      <c r="F12" s="53" t="str">
        <f t="shared" si="0"/>
        <v>insert into ins_premium_det (premium_rcv_code,assorted_code, rec_amount,premium_rcv_detail_code,remaining_amt, payrec, mode_code,paid_to_code,class_cd) values</v>
      </c>
      <c r="G12" s="54" t="str">
        <f t="shared" si="1"/>
        <v>('27Mar250004','040000185230','1267',(select max(to_number(i.premium_rcv_detail_code))+1 from ins_premium_det i),'1267','1267','03', '09000800','00');</v>
      </c>
      <c r="H12" s="55" t="str">
        <f t="shared" si="2"/>
        <v>insert into ins_premium_det (premium_rcv_code,assorted_code, rec_amount,premium_rcv_detail_code,remaining_amt, payrec, mode_code,paid_to_code,class_cd) values('27Mar250004','040000185230','1267',(select max(to_number(i.premium_rcv_detail_code))+1 from ins_premium_det i),'1267','1267','03', '09000800','00');</v>
      </c>
    </row>
    <row r="13" spans="1:8" ht="75" x14ac:dyDescent="0.25">
      <c r="A13" s="17" t="s">
        <v>42</v>
      </c>
      <c r="B13" s="51" t="str">
        <f>VLOOKUP(A13,policywithagency!B:C,2,0)</f>
        <v>040000185281</v>
      </c>
      <c r="C13" s="24">
        <v>2623</v>
      </c>
      <c r="D13" s="48" t="s">
        <v>376</v>
      </c>
      <c r="E13" s="52" t="str">
        <f>VLOOKUP(A13,policywithagency!B:D,3,0)</f>
        <v>09000800</v>
      </c>
      <c r="F13" s="53" t="str">
        <f t="shared" si="0"/>
        <v>insert into ins_premium_det (premium_rcv_code,assorted_code, rec_amount,premium_rcv_detail_code,remaining_amt, payrec, mode_code,paid_to_code,class_cd) values</v>
      </c>
      <c r="G13" s="54" t="str">
        <f t="shared" si="1"/>
        <v>('27Mar250004','040000185281','2623',(select max(to_number(i.premium_rcv_detail_code))+1 from ins_premium_det i),'2623','2623','03', '09000800','00');</v>
      </c>
      <c r="H13" s="55" t="str">
        <f t="shared" si="2"/>
        <v>insert into ins_premium_det (premium_rcv_code,assorted_code, rec_amount,premium_rcv_detail_code,remaining_amt, payrec, mode_code,paid_to_code,class_cd) values('27Mar250004','040000185281','2623',(select max(to_number(i.premium_rcv_detail_code))+1 from ins_premium_det i),'2623','2623','03', '09000800','00');</v>
      </c>
    </row>
    <row r="14" spans="1:8" ht="75" x14ac:dyDescent="0.25">
      <c r="A14" s="17" t="s">
        <v>45</v>
      </c>
      <c r="B14" s="51" t="str">
        <f>VLOOKUP(A14,policywithagency!B:C,2,0)</f>
        <v>040000185296</v>
      </c>
      <c r="C14" s="24">
        <v>4663</v>
      </c>
      <c r="D14" s="48" t="s">
        <v>376</v>
      </c>
      <c r="E14" s="52" t="str">
        <f>VLOOKUP(A14,policywithagency!B:D,3,0)</f>
        <v>09000800</v>
      </c>
      <c r="F14" s="53" t="str">
        <f t="shared" si="0"/>
        <v>insert into ins_premium_det (premium_rcv_code,assorted_code, rec_amount,premium_rcv_detail_code,remaining_amt, payrec, mode_code,paid_to_code,class_cd) values</v>
      </c>
      <c r="G14" s="54" t="str">
        <f t="shared" si="1"/>
        <v>('27Mar250004','040000185296','4663',(select max(to_number(i.premium_rcv_detail_code))+1 from ins_premium_det i),'4663','4663','03', '09000800','00');</v>
      </c>
      <c r="H14" s="55" t="str">
        <f t="shared" si="2"/>
        <v>insert into ins_premium_det (premium_rcv_code,assorted_code, rec_amount,premium_rcv_detail_code,remaining_amt, payrec, mode_code,paid_to_code,class_cd) values('27Mar250004','040000185296','4663',(select max(to_number(i.premium_rcv_detail_code))+1 from ins_premium_det i),'4663','4663','03', '09000800','00');</v>
      </c>
    </row>
    <row r="15" spans="1:8" ht="75" x14ac:dyDescent="0.25">
      <c r="A15" s="17" t="s">
        <v>47</v>
      </c>
      <c r="B15" s="51" t="str">
        <f>VLOOKUP(A15,policywithagency!B:C,2,0)</f>
        <v>040000185680</v>
      </c>
      <c r="C15" s="24">
        <v>2858</v>
      </c>
      <c r="D15" s="48" t="s">
        <v>376</v>
      </c>
      <c r="E15" s="52" t="str">
        <f>VLOOKUP(A15,policywithagency!B:D,3,0)</f>
        <v>09000800</v>
      </c>
      <c r="F15" s="53" t="str">
        <f t="shared" si="0"/>
        <v>insert into ins_premium_det (premium_rcv_code,assorted_code, rec_amount,premium_rcv_detail_code,remaining_amt, payrec, mode_code,paid_to_code,class_cd) values</v>
      </c>
      <c r="G15" s="54" t="str">
        <f t="shared" si="1"/>
        <v>('27Mar250004','040000185680','2858',(select max(to_number(i.premium_rcv_detail_code))+1 from ins_premium_det i),'2858','2858','03', '09000800','00');</v>
      </c>
      <c r="H15" s="55" t="str">
        <f t="shared" si="2"/>
        <v>insert into ins_premium_det (premium_rcv_code,assorted_code, rec_amount,premium_rcv_detail_code,remaining_amt, payrec, mode_code,paid_to_code,class_cd) values('27Mar250004','040000185680','2858',(select max(to_number(i.premium_rcv_detail_code))+1 from ins_premium_det i),'2858','2858','03', '09000800','00');</v>
      </c>
    </row>
    <row r="16" spans="1:8" ht="75" x14ac:dyDescent="0.25">
      <c r="A16" s="17" t="s">
        <v>50</v>
      </c>
      <c r="B16" s="51" t="str">
        <f>VLOOKUP(A16,policywithagency!B:C,2,0)</f>
        <v>040000185698</v>
      </c>
      <c r="C16" s="24">
        <v>5712</v>
      </c>
      <c r="D16" s="48" t="s">
        <v>376</v>
      </c>
      <c r="E16" s="52" t="str">
        <f>VLOOKUP(A16,policywithagency!B:D,3,0)</f>
        <v>09000800</v>
      </c>
      <c r="F16" s="53" t="str">
        <f t="shared" si="0"/>
        <v>insert into ins_premium_det (premium_rcv_code,assorted_code, rec_amount,premium_rcv_detail_code,remaining_amt, payrec, mode_code,paid_to_code,class_cd) values</v>
      </c>
      <c r="G16" s="54" t="str">
        <f t="shared" si="1"/>
        <v>('27Mar250004','040000185698','5712',(select max(to_number(i.premium_rcv_detail_code))+1 from ins_premium_det i),'5712','5712','03', '09000800','00');</v>
      </c>
      <c r="H16" s="55" t="str">
        <f t="shared" si="2"/>
        <v>insert into ins_premium_det (premium_rcv_code,assorted_code, rec_amount,premium_rcv_detail_code,remaining_amt, payrec, mode_code,paid_to_code,class_cd) values('27Mar250004','040000185698','5712',(select max(to_number(i.premium_rcv_detail_code))+1 from ins_premium_det i),'5712','5712','03', '09000800','00');</v>
      </c>
    </row>
    <row r="17" spans="1:8" ht="75" x14ac:dyDescent="0.25">
      <c r="A17" s="17" t="s">
        <v>52</v>
      </c>
      <c r="B17" s="51" t="str">
        <f>VLOOKUP(A17,policywithagency!B:C,2,0)</f>
        <v>040000189848</v>
      </c>
      <c r="C17" s="24">
        <v>418</v>
      </c>
      <c r="D17" s="48" t="s">
        <v>376</v>
      </c>
      <c r="E17" s="52" t="str">
        <f>VLOOKUP(A17,policywithagency!B:D,3,0)</f>
        <v>09000800</v>
      </c>
      <c r="F17" s="53" t="str">
        <f t="shared" si="0"/>
        <v>insert into ins_premium_det (premium_rcv_code,assorted_code, rec_amount,premium_rcv_detail_code,remaining_amt, payrec, mode_code,paid_to_code,class_cd) values</v>
      </c>
      <c r="G17" s="54" t="str">
        <f t="shared" si="1"/>
        <v>('27Mar250004','040000189848','418',(select max(to_number(i.premium_rcv_detail_code))+1 from ins_premium_det i),'418','418','03', '09000800','00');</v>
      </c>
      <c r="H17" s="55" t="str">
        <f t="shared" si="2"/>
        <v>insert into ins_premium_det (premium_rcv_code,assorted_code, rec_amount,premium_rcv_detail_code,remaining_amt, payrec, mode_code,paid_to_code,class_cd) values('27Mar250004','040000189848','418',(select max(to_number(i.premium_rcv_detail_code))+1 from ins_premium_det i),'418','418','03', '09000800','00');</v>
      </c>
    </row>
    <row r="18" spans="1:8" ht="75" x14ac:dyDescent="0.25">
      <c r="A18" s="17" t="s">
        <v>54</v>
      </c>
      <c r="B18" s="51" t="str">
        <f>VLOOKUP(A18,policywithagency!B:C,2,0)</f>
        <v>040000182920</v>
      </c>
      <c r="C18" s="24">
        <v>255</v>
      </c>
      <c r="D18" s="48" t="s">
        <v>376</v>
      </c>
      <c r="E18" s="52" t="str">
        <f>VLOOKUP(A18,policywithagency!B:D,3,0)</f>
        <v>09000800</v>
      </c>
      <c r="F18" s="53" t="str">
        <f t="shared" si="0"/>
        <v>insert into ins_premium_det (premium_rcv_code,assorted_code, rec_amount,premium_rcv_detail_code,remaining_amt, payrec, mode_code,paid_to_code,class_cd) values</v>
      </c>
      <c r="G18" s="54" t="str">
        <f t="shared" si="1"/>
        <v>('27Mar250004','040000182920','255',(select max(to_number(i.premium_rcv_detail_code))+1 from ins_premium_det i),'255','255','03', '09000800','00');</v>
      </c>
      <c r="H18" s="55" t="str">
        <f t="shared" si="2"/>
        <v>insert into ins_premium_det (premium_rcv_code,assorted_code, rec_amount,premium_rcv_detail_code,remaining_amt, payrec, mode_code,paid_to_code,class_cd) values('27Mar250004','040000182920','255',(select max(to_number(i.premium_rcv_detail_code))+1 from ins_premium_det i),'255','255','03', '09000800','00');</v>
      </c>
    </row>
    <row r="19" spans="1:8" ht="75" x14ac:dyDescent="0.25">
      <c r="A19" s="17" t="s">
        <v>56</v>
      </c>
      <c r="B19" s="51" t="str">
        <f>VLOOKUP(A19,policywithagency!B:C,2,0)</f>
        <v>040000182923</v>
      </c>
      <c r="C19" s="24">
        <v>240</v>
      </c>
      <c r="D19" s="48" t="s">
        <v>376</v>
      </c>
      <c r="E19" s="52" t="str">
        <f>VLOOKUP(A19,policywithagency!B:D,3,0)</f>
        <v>09000800</v>
      </c>
      <c r="F19" s="53" t="str">
        <f t="shared" si="0"/>
        <v>insert into ins_premium_det (premium_rcv_code,assorted_code, rec_amount,premium_rcv_detail_code,remaining_amt, payrec, mode_code,paid_to_code,class_cd) values</v>
      </c>
      <c r="G19" s="54" t="str">
        <f t="shared" si="1"/>
        <v>('27Mar250004','040000182923','240',(select max(to_number(i.premium_rcv_detail_code))+1 from ins_premium_det i),'240','240','03', '09000800','00');</v>
      </c>
      <c r="H19" s="55" t="str">
        <f t="shared" si="2"/>
        <v>insert into ins_premium_det (premium_rcv_code,assorted_code, rec_amount,premium_rcv_detail_code,remaining_amt, payrec, mode_code,paid_to_code,class_cd) values('27Mar250004','040000182923','240',(select max(to_number(i.premium_rcv_detail_code))+1 from ins_premium_det i),'240','240','03', '09000800','00');</v>
      </c>
    </row>
    <row r="20" spans="1:8" ht="75" x14ac:dyDescent="0.25">
      <c r="A20" s="17" t="s">
        <v>58</v>
      </c>
      <c r="B20" s="51" t="str">
        <f>VLOOKUP(A20,policywithagency!B:C,2,0)</f>
        <v>040000182927</v>
      </c>
      <c r="C20" s="24">
        <v>1500</v>
      </c>
      <c r="D20" s="48" t="s">
        <v>376</v>
      </c>
      <c r="E20" s="52" t="str">
        <f>VLOOKUP(A20,policywithagency!B:D,3,0)</f>
        <v>09000800</v>
      </c>
      <c r="F20" s="53" t="str">
        <f t="shared" si="0"/>
        <v>insert into ins_premium_det (premium_rcv_code,assorted_code, rec_amount,premium_rcv_detail_code,remaining_amt, payrec, mode_code,paid_to_code,class_cd) values</v>
      </c>
      <c r="G20" s="54" t="str">
        <f t="shared" si="1"/>
        <v>('27Mar250004','040000182927','1500',(select max(to_number(i.premium_rcv_detail_code))+1 from ins_premium_det i),'1500','1500','03', '09000800','00');</v>
      </c>
      <c r="H20" s="55" t="str">
        <f t="shared" si="2"/>
        <v>insert into ins_premium_det (premium_rcv_code,assorted_code, rec_amount,premium_rcv_detail_code,remaining_amt, payrec, mode_code,paid_to_code,class_cd) values('27Mar250004','040000182927','1500',(select max(to_number(i.premium_rcv_detail_code))+1 from ins_premium_det i),'1500','1500','03', '09000800','00');</v>
      </c>
    </row>
    <row r="21" spans="1:8" ht="75" x14ac:dyDescent="0.25">
      <c r="A21" s="17" t="s">
        <v>60</v>
      </c>
      <c r="B21" s="51" t="str">
        <f>VLOOKUP(A21,policywithagency!B:C,2,0)</f>
        <v>040000182936</v>
      </c>
      <c r="C21" s="24">
        <v>2690</v>
      </c>
      <c r="D21" s="48" t="s">
        <v>376</v>
      </c>
      <c r="E21" s="52" t="str">
        <f>VLOOKUP(A21,policywithagency!B:D,3,0)</f>
        <v>09000800</v>
      </c>
      <c r="F21" s="53" t="str">
        <f t="shared" si="0"/>
        <v>insert into ins_premium_det (premium_rcv_code,assorted_code, rec_amount,premium_rcv_detail_code,remaining_amt, payrec, mode_code,paid_to_code,class_cd) values</v>
      </c>
      <c r="G21" s="54" t="str">
        <f t="shared" si="1"/>
        <v>('27Mar250004','040000182936','2690',(select max(to_number(i.premium_rcv_detail_code))+1 from ins_premium_det i),'2690','2690','03', '09000800','00');</v>
      </c>
      <c r="H21" s="55" t="str">
        <f t="shared" si="2"/>
        <v>insert into ins_premium_det (premium_rcv_code,assorted_code, rec_amount,premium_rcv_detail_code,remaining_amt, payrec, mode_code,paid_to_code,class_cd) values('27Mar250004','040000182936','2690',(select max(to_number(i.premium_rcv_detail_code))+1 from ins_premium_det i),'2690','2690','03', '09000800','00');</v>
      </c>
    </row>
    <row r="22" spans="1:8" ht="75" x14ac:dyDescent="0.25">
      <c r="A22" s="14" t="s">
        <v>140</v>
      </c>
      <c r="B22" s="51" t="str">
        <f>VLOOKUP(A22,policywithagency!B:C,2,0)</f>
        <v>070000167328</v>
      </c>
      <c r="C22" s="24">
        <v>390.45</v>
      </c>
      <c r="D22" s="48" t="s">
        <v>376</v>
      </c>
      <c r="E22" s="52" t="str">
        <f>VLOOKUP(A22,policywithagency!B:D,3,0)</f>
        <v>09000800</v>
      </c>
      <c r="F22" s="53" t="str">
        <f t="shared" si="0"/>
        <v>insert into ins_premium_det (premium_rcv_code,assorted_code, rec_amount,premium_rcv_detail_code,remaining_amt, payrec, mode_code,paid_to_code,class_cd) values</v>
      </c>
      <c r="G22" s="54" t="str">
        <f t="shared" si="1"/>
        <v>('27Mar250004','070000167328','390.45',(select max(to_number(i.premium_rcv_detail_code))+1 from ins_premium_det i),'390.45','390.45','03', '09000800','00');</v>
      </c>
      <c r="H22" s="55" t="str">
        <f t="shared" si="2"/>
        <v>insert into ins_premium_det (premium_rcv_code,assorted_code, rec_amount,premium_rcv_detail_code,remaining_amt, payrec, mode_code,paid_to_code,class_cd) values('27Mar250004','070000167328','390.45',(select max(to_number(i.premium_rcv_detail_code))+1 from ins_premium_det i),'390.45','390.45','03', '09000800','00');</v>
      </c>
    </row>
    <row r="23" spans="1:8" ht="75" x14ac:dyDescent="0.25">
      <c r="A23" s="17" t="s">
        <v>141</v>
      </c>
      <c r="B23" s="51" t="str">
        <f>VLOOKUP(A23,policywithagency!B:C,2,0)</f>
        <v>070000168346</v>
      </c>
      <c r="C23" s="24">
        <v>185.54999999999998</v>
      </c>
      <c r="D23" s="48" t="s">
        <v>376</v>
      </c>
      <c r="E23" s="52" t="str">
        <f>VLOOKUP(A23,policywithagency!B:D,3,0)</f>
        <v>09000800</v>
      </c>
      <c r="F23" s="53" t="str">
        <f t="shared" si="0"/>
        <v>insert into ins_premium_det (premium_rcv_code,assorted_code, rec_amount,premium_rcv_detail_code,remaining_amt, payrec, mode_code,paid_to_code,class_cd) values</v>
      </c>
      <c r="G23" s="54" t="str">
        <f t="shared" si="1"/>
        <v>('27Mar250004','070000168346','185.55',(select max(to_number(i.premium_rcv_detail_code))+1 from ins_premium_det i),'185.55','185.55','03', '09000800','00');</v>
      </c>
      <c r="H23" s="55" t="str">
        <f t="shared" si="2"/>
        <v>insert into ins_premium_det (premium_rcv_code,assorted_code, rec_amount,premium_rcv_detail_code,remaining_amt, payrec, mode_code,paid_to_code,class_cd) values('27Mar250004','070000168346','185.55',(select max(to_number(i.premium_rcv_detail_code))+1 from ins_premium_det i),'185.55','185.55','03', '09000800','00');</v>
      </c>
    </row>
    <row r="24" spans="1:8" ht="75" x14ac:dyDescent="0.25">
      <c r="A24" s="14" t="s">
        <v>142</v>
      </c>
      <c r="B24" s="51" t="str">
        <f>VLOOKUP(A24,policywithagency!B:C,2,0)</f>
        <v>070000169007</v>
      </c>
      <c r="C24" s="24">
        <v>462.9</v>
      </c>
      <c r="D24" s="48" t="s">
        <v>376</v>
      </c>
      <c r="E24" s="52" t="str">
        <f>VLOOKUP(A24,policywithagency!B:D,3,0)</f>
        <v>09000800</v>
      </c>
      <c r="F24" s="53" t="str">
        <f t="shared" si="0"/>
        <v>insert into ins_premium_det (premium_rcv_code,assorted_code, rec_amount,premium_rcv_detail_code,remaining_amt, payrec, mode_code,paid_to_code,class_cd) values</v>
      </c>
      <c r="G24" s="54" t="str">
        <f t="shared" si="1"/>
        <v>('27Mar250004','070000169007','462.9',(select max(to_number(i.premium_rcv_detail_code))+1 from ins_premium_det i),'462.9','462.9','03', '09000800','00');</v>
      </c>
      <c r="H24" s="55" t="str">
        <f t="shared" si="2"/>
        <v>insert into ins_premium_det (premium_rcv_code,assorted_code, rec_amount,premium_rcv_detail_code,remaining_amt, payrec, mode_code,paid_to_code,class_cd) values('27Mar250004','070000169007','462.9',(select max(to_number(i.premium_rcv_detail_code))+1 from ins_premium_det i),'462.9','462.9','03', '09000800','00');</v>
      </c>
    </row>
    <row r="25" spans="1:8" ht="75" x14ac:dyDescent="0.25">
      <c r="A25" s="17" t="s">
        <v>143</v>
      </c>
      <c r="B25" s="51" t="str">
        <f>VLOOKUP(A25,policywithagency!B:C,2,0)</f>
        <v>070000169008</v>
      </c>
      <c r="C25" s="24">
        <v>710.25</v>
      </c>
      <c r="D25" s="48" t="s">
        <v>376</v>
      </c>
      <c r="E25" s="52" t="str">
        <f>VLOOKUP(A25,policywithagency!B:D,3,0)</f>
        <v>09000800</v>
      </c>
      <c r="F25" s="53" t="str">
        <f t="shared" si="0"/>
        <v>insert into ins_premium_det (premium_rcv_code,assorted_code, rec_amount,premium_rcv_detail_code,remaining_amt, payrec, mode_code,paid_to_code,class_cd) values</v>
      </c>
      <c r="G25" s="54" t="str">
        <f t="shared" si="1"/>
        <v>('27Mar250004','070000169008','710.25',(select max(to_number(i.premium_rcv_detail_code))+1 from ins_premium_det i),'710.25','710.25','03', '09000800','00');</v>
      </c>
      <c r="H25" s="55" t="str">
        <f t="shared" si="2"/>
        <v>insert into ins_premium_det (premium_rcv_code,assorted_code, rec_amount,premium_rcv_detail_code,remaining_amt, payrec, mode_code,paid_to_code,class_cd) values('27Mar250004','070000169008','710.25',(select max(to_number(i.premium_rcv_detail_code))+1 from ins_premium_det i),'710.25','710.25','03', '09000800','00');</v>
      </c>
    </row>
    <row r="26" spans="1:8" ht="75" x14ac:dyDescent="0.25">
      <c r="A26" s="14" t="s">
        <v>144</v>
      </c>
      <c r="B26" s="51" t="str">
        <f>VLOOKUP(A26,policywithagency!B:C,2,0)</f>
        <v>070000169010</v>
      </c>
      <c r="C26" s="24">
        <v>407.55</v>
      </c>
      <c r="D26" s="48" t="s">
        <v>376</v>
      </c>
      <c r="E26" s="52" t="str">
        <f>VLOOKUP(A26,policywithagency!B:D,3,0)</f>
        <v>09000800</v>
      </c>
      <c r="F26" s="53" t="str">
        <f t="shared" si="0"/>
        <v>insert into ins_premium_det (premium_rcv_code,assorted_code, rec_amount,premium_rcv_detail_code,remaining_amt, payrec, mode_code,paid_to_code,class_cd) values</v>
      </c>
      <c r="G26" s="54" t="str">
        <f t="shared" si="1"/>
        <v>('27Mar250004','070000169010','407.55',(select max(to_number(i.premium_rcv_detail_code))+1 from ins_premium_det i),'407.55','407.55','03', '09000800','00');</v>
      </c>
      <c r="H26" s="55" t="str">
        <f t="shared" si="2"/>
        <v>insert into ins_premium_det (premium_rcv_code,assorted_code, rec_amount,premium_rcv_detail_code,remaining_amt, payrec, mode_code,paid_to_code,class_cd) values('27Mar250004','070000169010','407.55',(select max(to_number(i.premium_rcv_detail_code))+1 from ins_premium_det i),'407.55','407.55','03', '09000800','00');</v>
      </c>
    </row>
    <row r="27" spans="1:8" ht="75" x14ac:dyDescent="0.25">
      <c r="A27" s="17" t="s">
        <v>145</v>
      </c>
      <c r="B27" s="51" t="str">
        <f>VLOOKUP(A27,policywithagency!B:C,2,0)</f>
        <v>070000169023</v>
      </c>
      <c r="C27" s="24">
        <v>710.25</v>
      </c>
      <c r="D27" s="48" t="s">
        <v>376</v>
      </c>
      <c r="E27" s="52" t="str">
        <f>VLOOKUP(A27,policywithagency!B:D,3,0)</f>
        <v>09000800</v>
      </c>
      <c r="F27" s="53" t="str">
        <f t="shared" si="0"/>
        <v>insert into ins_premium_det (premium_rcv_code,assorted_code, rec_amount,premium_rcv_detail_code,remaining_amt, payrec, mode_code,paid_to_code,class_cd) values</v>
      </c>
      <c r="G27" s="54" t="str">
        <f t="shared" si="1"/>
        <v>('27Mar250004','070000169023','710.25',(select max(to_number(i.premium_rcv_detail_code))+1 from ins_premium_det i),'710.25','710.25','03', '09000800','00');</v>
      </c>
      <c r="H27" s="55" t="str">
        <f t="shared" si="2"/>
        <v>insert into ins_premium_det (premium_rcv_code,assorted_code, rec_amount,premium_rcv_detail_code,remaining_amt, payrec, mode_code,paid_to_code,class_cd) values('27Mar250004','070000169023','710.25',(select max(to_number(i.premium_rcv_detail_code))+1 from ins_premium_det i),'710.25','710.25','03', '09000800','00');</v>
      </c>
    </row>
    <row r="28" spans="1:8" ht="75" x14ac:dyDescent="0.25">
      <c r="A28" s="17" t="s">
        <v>146</v>
      </c>
      <c r="B28" s="51" t="str">
        <f>VLOOKUP(A28,policywithagency!B:C,2,0)</f>
        <v>070000169027</v>
      </c>
      <c r="C28" s="24">
        <v>710.25</v>
      </c>
      <c r="D28" s="48" t="s">
        <v>376</v>
      </c>
      <c r="E28" s="52" t="str">
        <f>VLOOKUP(A28,policywithagency!B:D,3,0)</f>
        <v>09000800</v>
      </c>
      <c r="F28" s="53" t="str">
        <f t="shared" si="0"/>
        <v>insert into ins_premium_det (premium_rcv_code,assorted_code, rec_amount,premium_rcv_detail_code,remaining_amt, payrec, mode_code,paid_to_code,class_cd) values</v>
      </c>
      <c r="G28" s="54" t="str">
        <f t="shared" si="1"/>
        <v>('27Mar250004','070000169027','710.25',(select max(to_number(i.premium_rcv_detail_code))+1 from ins_premium_det i),'710.25','710.25','03', '09000800','00');</v>
      </c>
      <c r="H28" s="55" t="str">
        <f t="shared" si="2"/>
        <v>insert into ins_premium_det (premium_rcv_code,assorted_code, rec_amount,premium_rcv_detail_code,remaining_amt, payrec, mode_code,paid_to_code,class_cd) values('27Mar250004','070000169027','710.25',(select max(to_number(i.premium_rcv_detail_code))+1 from ins_premium_det i),'710.25','710.25','03', '09000800','00');</v>
      </c>
    </row>
    <row r="29" spans="1:8" ht="75" x14ac:dyDescent="0.25">
      <c r="A29" s="17" t="s">
        <v>147</v>
      </c>
      <c r="B29" s="51" t="str">
        <f>VLOOKUP(A29,policywithagency!B:C,2,0)</f>
        <v>070000169031</v>
      </c>
      <c r="C29" s="24">
        <v>710.25</v>
      </c>
      <c r="D29" s="48" t="s">
        <v>376</v>
      </c>
      <c r="E29" s="52" t="str">
        <f>VLOOKUP(A29,policywithagency!B:D,3,0)</f>
        <v>09000800</v>
      </c>
      <c r="F29" s="53" t="str">
        <f t="shared" si="0"/>
        <v>insert into ins_premium_det (premium_rcv_code,assorted_code, rec_amount,premium_rcv_detail_code,remaining_amt, payrec, mode_code,paid_to_code,class_cd) values</v>
      </c>
      <c r="G29" s="54" t="str">
        <f t="shared" si="1"/>
        <v>('27Mar250004','070000169031','710.25',(select max(to_number(i.premium_rcv_detail_code))+1 from ins_premium_det i),'710.25','710.25','03', '09000800','00');</v>
      </c>
      <c r="H29" s="55" t="str">
        <f t="shared" si="2"/>
        <v>insert into ins_premium_det (premium_rcv_code,assorted_code, rec_amount,premium_rcv_detail_code,remaining_amt, payrec, mode_code,paid_to_code,class_cd) values('27Mar250004','070000169031','710.25',(select max(to_number(i.premium_rcv_detail_code))+1 from ins_premium_det i),'710.25','710.25','03', '09000800','00');</v>
      </c>
    </row>
    <row r="30" spans="1:8" ht="75" x14ac:dyDescent="0.25">
      <c r="A30" s="17" t="s">
        <v>148</v>
      </c>
      <c r="B30" s="51" t="str">
        <f>VLOOKUP(A30,policywithagency!B:C,2,0)</f>
        <v>070000169521</v>
      </c>
      <c r="C30" s="24">
        <v>800.4</v>
      </c>
      <c r="D30" s="48" t="s">
        <v>376</v>
      </c>
      <c r="E30" s="52" t="str">
        <f>VLOOKUP(A30,policywithagency!B:D,3,0)</f>
        <v>09000800</v>
      </c>
      <c r="F30" s="53" t="str">
        <f t="shared" si="0"/>
        <v>insert into ins_premium_det (premium_rcv_code,assorted_code, rec_amount,premium_rcv_detail_code,remaining_amt, payrec, mode_code,paid_to_code,class_cd) values</v>
      </c>
      <c r="G30" s="54" t="str">
        <f t="shared" si="1"/>
        <v>('27Mar250004','070000169521','800.4',(select max(to_number(i.premium_rcv_detail_code))+1 from ins_premium_det i),'800.4','800.4','03', '09000800','00');</v>
      </c>
      <c r="H30" s="55" t="str">
        <f t="shared" si="2"/>
        <v>insert into ins_premium_det (premium_rcv_code,assorted_code, rec_amount,premium_rcv_detail_code,remaining_amt, payrec, mode_code,paid_to_code,class_cd) values('27Mar250004','070000169521','800.4',(select max(to_number(i.premium_rcv_detail_code))+1 from ins_premium_det i),'800.4','800.4','03', '09000800','00');</v>
      </c>
    </row>
    <row r="31" spans="1:8" ht="75" x14ac:dyDescent="0.25">
      <c r="A31" s="17" t="s">
        <v>149</v>
      </c>
      <c r="B31" s="51" t="str">
        <f>VLOOKUP(A31,policywithagency!B:C,2,0)</f>
        <v>070000169523</v>
      </c>
      <c r="C31" s="24">
        <v>118.5</v>
      </c>
      <c r="D31" s="48" t="s">
        <v>376</v>
      </c>
      <c r="E31" s="52" t="str">
        <f>VLOOKUP(A31,policywithagency!B:D,3,0)</f>
        <v>09000800</v>
      </c>
      <c r="F31" s="53" t="str">
        <f t="shared" si="0"/>
        <v>insert into ins_premium_det (premium_rcv_code,assorted_code, rec_amount,premium_rcv_detail_code,remaining_amt, payrec, mode_code,paid_to_code,class_cd) values</v>
      </c>
      <c r="G31" s="54" t="str">
        <f t="shared" si="1"/>
        <v>('27Mar250004','070000169523','118.5',(select max(to_number(i.premium_rcv_detail_code))+1 from ins_premium_det i),'118.5','118.5','03', '09000800','00');</v>
      </c>
      <c r="H31" s="55" t="str">
        <f t="shared" si="2"/>
        <v>insert into ins_premium_det (premium_rcv_code,assorted_code, rec_amount,premium_rcv_detail_code,remaining_amt, payrec, mode_code,paid_to_code,class_cd) values('27Mar250004','070000169523','118.5',(select max(to_number(i.premium_rcv_detail_code))+1 from ins_premium_det i),'118.5','118.5','03', '09000800','00');</v>
      </c>
    </row>
    <row r="32" spans="1:8" ht="75" x14ac:dyDescent="0.25">
      <c r="A32" s="17" t="s">
        <v>150</v>
      </c>
      <c r="B32" s="51" t="str">
        <f>VLOOKUP(A32,policywithagency!B:C,2,0)</f>
        <v>070000169783</v>
      </c>
      <c r="C32" s="24">
        <v>407.55</v>
      </c>
      <c r="D32" s="48" t="s">
        <v>376</v>
      </c>
      <c r="E32" s="52" t="str">
        <f>VLOOKUP(A32,policywithagency!B:D,3,0)</f>
        <v>09000800</v>
      </c>
      <c r="F32" s="53" t="str">
        <f t="shared" si="0"/>
        <v>insert into ins_premium_det (premium_rcv_code,assorted_code, rec_amount,premium_rcv_detail_code,remaining_amt, payrec, mode_code,paid_to_code,class_cd) values</v>
      </c>
      <c r="G32" s="54" t="str">
        <f t="shared" si="1"/>
        <v>('27Mar250004','070000169783','407.55',(select max(to_number(i.premium_rcv_detail_code))+1 from ins_premium_det i),'407.55','407.55','03', '09000800','00');</v>
      </c>
      <c r="H32" s="55" t="str">
        <f t="shared" si="2"/>
        <v>insert into ins_premium_det (premium_rcv_code,assorted_code, rec_amount,premium_rcv_detail_code,remaining_amt, payrec, mode_code,paid_to_code,class_cd) values('27Mar250004','070000169783','407.55',(select max(to_number(i.premium_rcv_detail_code))+1 from ins_premium_det i),'407.55','407.55','03', '09000800','00');</v>
      </c>
    </row>
    <row r="33" spans="1:8" ht="75" x14ac:dyDescent="0.25">
      <c r="A33" s="14" t="s">
        <v>151</v>
      </c>
      <c r="B33" s="51" t="str">
        <f>VLOOKUP(A33,policywithagency!B:C,2,0)</f>
        <v>070000169784</v>
      </c>
      <c r="C33" s="24">
        <v>407.55</v>
      </c>
      <c r="D33" s="48" t="s">
        <v>376</v>
      </c>
      <c r="E33" s="52" t="str">
        <f>VLOOKUP(A33,policywithagency!B:D,3,0)</f>
        <v>09000800</v>
      </c>
      <c r="F33" s="53" t="str">
        <f t="shared" si="0"/>
        <v>insert into ins_premium_det (premium_rcv_code,assorted_code, rec_amount,premium_rcv_detail_code,remaining_amt, payrec, mode_code,paid_to_code,class_cd) values</v>
      </c>
      <c r="G33" s="54" t="str">
        <f t="shared" si="1"/>
        <v>('27Mar250004','070000169784','407.55',(select max(to_number(i.premium_rcv_detail_code))+1 from ins_premium_det i),'407.55','407.55','03', '09000800','00');</v>
      </c>
      <c r="H33" s="55" t="str">
        <f t="shared" si="2"/>
        <v>insert into ins_premium_det (premium_rcv_code,assorted_code, rec_amount,premium_rcv_detail_code,remaining_amt, payrec, mode_code,paid_to_code,class_cd) values('27Mar250004','070000169784','407.55',(select max(to_number(i.premium_rcv_detail_code))+1 from ins_premium_det i),'407.55','407.55','03', '09000800','00');</v>
      </c>
    </row>
    <row r="34" spans="1:8" ht="75" x14ac:dyDescent="0.25">
      <c r="A34" s="17" t="s">
        <v>152</v>
      </c>
      <c r="B34" s="51" t="str">
        <f>VLOOKUP(A34,policywithagency!B:C,2,0)</f>
        <v>070000169785</v>
      </c>
      <c r="C34" s="24">
        <v>407.55</v>
      </c>
      <c r="D34" s="48" t="s">
        <v>376</v>
      </c>
      <c r="E34" s="52" t="str">
        <f>VLOOKUP(A34,policywithagency!B:D,3,0)</f>
        <v>09000800</v>
      </c>
      <c r="F34" s="53" t="str">
        <f t="shared" si="0"/>
        <v>insert into ins_premium_det (premium_rcv_code,assorted_code, rec_amount,premium_rcv_detail_code,remaining_amt, payrec, mode_code,paid_to_code,class_cd) values</v>
      </c>
      <c r="G34" s="54" t="str">
        <f t="shared" si="1"/>
        <v>('27Mar250004','070000169785','407.55',(select max(to_number(i.premium_rcv_detail_code))+1 from ins_premium_det i),'407.55','407.55','03', '09000800','00');</v>
      </c>
      <c r="H34" s="55" t="str">
        <f t="shared" si="2"/>
        <v>insert into ins_premium_det (premium_rcv_code,assorted_code, rec_amount,premium_rcv_detail_code,remaining_amt, payrec, mode_code,paid_to_code,class_cd) values('27Mar250004','070000169785','407.55',(select max(to_number(i.premium_rcv_detail_code))+1 from ins_premium_det i),'407.55','407.55','03', '09000800','00');</v>
      </c>
    </row>
    <row r="35" spans="1:8" ht="75" x14ac:dyDescent="0.25">
      <c r="A35" s="30" t="s">
        <v>153</v>
      </c>
      <c r="B35" s="51" t="str">
        <f>VLOOKUP(A35,policywithagency!B:C,2,0)</f>
        <v>070000169786</v>
      </c>
      <c r="C35" s="24">
        <v>407.55</v>
      </c>
      <c r="D35" s="48" t="s">
        <v>376</v>
      </c>
      <c r="E35" s="52" t="str">
        <f>VLOOKUP(A35,policywithagency!B:D,3,0)</f>
        <v>09000800</v>
      </c>
      <c r="F35" s="53" t="str">
        <f t="shared" si="0"/>
        <v>insert into ins_premium_det (premium_rcv_code,assorted_code, rec_amount,premium_rcv_detail_code,remaining_amt, payrec, mode_code,paid_to_code,class_cd) values</v>
      </c>
      <c r="G35" s="54" t="str">
        <f t="shared" si="1"/>
        <v>('27Mar250004','070000169786','407.55',(select max(to_number(i.premium_rcv_detail_code))+1 from ins_premium_det i),'407.55','407.55','03', '09000800','00');</v>
      </c>
      <c r="H35" s="55" t="str">
        <f t="shared" si="2"/>
        <v>insert into ins_premium_det (premium_rcv_code,assorted_code, rec_amount,premium_rcv_detail_code,remaining_amt, payrec, mode_code,paid_to_code,class_cd) values('27Mar250004','070000169786','407.55',(select max(to_number(i.premium_rcv_detail_code))+1 from ins_premium_det i),'407.55','407.55','03', '09000800','00');</v>
      </c>
    </row>
    <row r="36" spans="1:8" ht="75" x14ac:dyDescent="0.25">
      <c r="A36" s="17" t="s">
        <v>154</v>
      </c>
      <c r="B36" s="51" t="str">
        <f>VLOOKUP(A36,policywithagency!B:C,2,0)</f>
        <v>070000169787</v>
      </c>
      <c r="C36" s="24">
        <v>407.55</v>
      </c>
      <c r="D36" s="48" t="s">
        <v>376</v>
      </c>
      <c r="E36" s="52" t="str">
        <f>VLOOKUP(A36,policywithagency!B:D,3,0)</f>
        <v>09000800</v>
      </c>
      <c r="F36" s="53" t="str">
        <f t="shared" si="0"/>
        <v>insert into ins_premium_det (premium_rcv_code,assorted_code, rec_amount,premium_rcv_detail_code,remaining_amt, payrec, mode_code,paid_to_code,class_cd) values</v>
      </c>
      <c r="G36" s="54" t="str">
        <f t="shared" si="1"/>
        <v>('27Mar250004','070000169787','407.55',(select max(to_number(i.premium_rcv_detail_code))+1 from ins_premium_det i),'407.55','407.55','03', '09000800','00');</v>
      </c>
      <c r="H36" s="55" t="str">
        <f t="shared" si="2"/>
        <v>insert into ins_premium_det (premium_rcv_code,assorted_code, rec_amount,premium_rcv_detail_code,remaining_amt, payrec, mode_code,paid_to_code,class_cd) values('27Mar250004','070000169787','407.55',(select max(to_number(i.premium_rcv_detail_code))+1 from ins_premium_det i),'407.55','407.55','03', '09000800','00');</v>
      </c>
    </row>
    <row r="37" spans="1:8" ht="75" x14ac:dyDescent="0.25">
      <c r="A37" s="17" t="s">
        <v>155</v>
      </c>
      <c r="B37" s="51" t="str">
        <f>VLOOKUP(A37,policywithagency!B:C,2,0)</f>
        <v>070000169788</v>
      </c>
      <c r="C37" s="24">
        <v>67.95</v>
      </c>
      <c r="D37" s="48" t="s">
        <v>376</v>
      </c>
      <c r="E37" s="52" t="str">
        <f>VLOOKUP(A37,policywithagency!B:D,3,0)</f>
        <v>09000800</v>
      </c>
      <c r="F37" s="53" t="str">
        <f t="shared" si="0"/>
        <v>insert into ins_premium_det (premium_rcv_code,assorted_code, rec_amount,premium_rcv_detail_code,remaining_amt, payrec, mode_code,paid_to_code,class_cd) values</v>
      </c>
      <c r="G37" s="54" t="str">
        <f t="shared" si="1"/>
        <v>('27Mar250004','070000169788','67.95',(select max(to_number(i.premium_rcv_detail_code))+1 from ins_premium_det i),'67.95','67.95','03', '09000800','00');</v>
      </c>
      <c r="H37" s="55" t="str">
        <f t="shared" si="2"/>
        <v>insert into ins_premium_det (premium_rcv_code,assorted_code, rec_amount,premium_rcv_detail_code,remaining_amt, payrec, mode_code,paid_to_code,class_cd) values('27Mar250004','070000169788','67.95',(select max(to_number(i.premium_rcv_detail_code))+1 from ins_premium_det i),'67.95','67.95','03', '09000800','00');</v>
      </c>
    </row>
    <row r="38" spans="1:8" ht="75" x14ac:dyDescent="0.25">
      <c r="A38" s="17" t="s">
        <v>156</v>
      </c>
      <c r="B38" s="51" t="str">
        <f>VLOOKUP(A38,policywithagency!B:C,2,0)</f>
        <v>070000172278</v>
      </c>
      <c r="C38" s="24">
        <v>616.19999999999993</v>
      </c>
      <c r="D38" s="48" t="s">
        <v>376</v>
      </c>
      <c r="E38" s="52" t="str">
        <f>VLOOKUP(A38,policywithagency!B:D,3,0)</f>
        <v>09000800</v>
      </c>
      <c r="F38" s="53" t="str">
        <f t="shared" si="0"/>
        <v>insert into ins_premium_det (premium_rcv_code,assorted_code, rec_amount,premium_rcv_detail_code,remaining_amt, payrec, mode_code,paid_to_code,class_cd) values</v>
      </c>
      <c r="G38" s="54" t="str">
        <f t="shared" si="1"/>
        <v>('27Mar250004','070000172278','616.2',(select max(to_number(i.premium_rcv_detail_code))+1 from ins_premium_det i),'616.2','616.2','03', '09000800','00');</v>
      </c>
      <c r="H38" s="55" t="str">
        <f t="shared" si="2"/>
        <v>insert into ins_premium_det (premium_rcv_code,assorted_code, rec_amount,premium_rcv_detail_code,remaining_amt, payrec, mode_code,paid_to_code,class_cd) values('27Mar250004','070000172278','616.2',(select max(to_number(i.premium_rcv_detail_code))+1 from ins_premium_det i),'616.2','616.2','03', '09000800','00');</v>
      </c>
    </row>
    <row r="39" spans="1:8" ht="75" x14ac:dyDescent="0.25">
      <c r="A39" s="17" t="s">
        <v>157</v>
      </c>
      <c r="B39" s="51" t="str">
        <f>VLOOKUP(A39,policywithagency!B:C,2,0)</f>
        <v>070000172280</v>
      </c>
      <c r="C39" s="24">
        <v>616.19999999999993</v>
      </c>
      <c r="D39" s="48" t="s">
        <v>376</v>
      </c>
      <c r="E39" s="52" t="str">
        <f>VLOOKUP(A39,policywithagency!B:D,3,0)</f>
        <v>09000800</v>
      </c>
      <c r="F39" s="53" t="str">
        <f t="shared" si="0"/>
        <v>insert into ins_premium_det (premium_rcv_code,assorted_code, rec_amount,premium_rcv_detail_code,remaining_amt, payrec, mode_code,paid_to_code,class_cd) values</v>
      </c>
      <c r="G39" s="54" t="str">
        <f t="shared" si="1"/>
        <v>('27Mar250004','070000172280','616.2',(select max(to_number(i.premium_rcv_detail_code))+1 from ins_premium_det i),'616.2','616.2','03', '09000800','00');</v>
      </c>
      <c r="H39" s="55" t="str">
        <f t="shared" si="2"/>
        <v>insert into ins_premium_det (premium_rcv_code,assorted_code, rec_amount,premium_rcv_detail_code,remaining_amt, payrec, mode_code,paid_to_code,class_cd) values('27Mar250004','070000172280','616.2',(select max(to_number(i.premium_rcv_detail_code))+1 from ins_premium_det i),'616.2','616.2','03', '09000800','00');</v>
      </c>
    </row>
    <row r="40" spans="1:8" ht="75" x14ac:dyDescent="0.25">
      <c r="A40" s="17" t="s">
        <v>158</v>
      </c>
      <c r="B40" s="51" t="str">
        <f>VLOOKUP(A40,policywithagency!B:C,2,0)</f>
        <v>070000172282</v>
      </c>
      <c r="C40" s="24">
        <v>718.05</v>
      </c>
      <c r="D40" s="48" t="s">
        <v>376</v>
      </c>
      <c r="E40" s="52" t="str">
        <f>VLOOKUP(A40,policywithagency!B:D,3,0)</f>
        <v>09000800</v>
      </c>
      <c r="F40" s="53" t="str">
        <f t="shared" si="0"/>
        <v>insert into ins_premium_det (premium_rcv_code,assorted_code, rec_amount,premium_rcv_detail_code,remaining_amt, payrec, mode_code,paid_to_code,class_cd) values</v>
      </c>
      <c r="G40" s="54" t="str">
        <f t="shared" si="1"/>
        <v>('27Mar250004','070000172282','718.05',(select max(to_number(i.premium_rcv_detail_code))+1 from ins_premium_det i),'718.05','718.05','03', '09000800','00');</v>
      </c>
      <c r="H40" s="55" t="str">
        <f t="shared" si="2"/>
        <v>insert into ins_premium_det (premium_rcv_code,assorted_code, rec_amount,premium_rcv_detail_code,remaining_amt, payrec, mode_code,paid_to_code,class_cd) values('27Mar250004','070000172282','718.05',(select max(to_number(i.premium_rcv_detail_code))+1 from ins_premium_det i),'718.05','718.05','03', '09000800','00');</v>
      </c>
    </row>
    <row r="41" spans="1:8" ht="75" x14ac:dyDescent="0.25">
      <c r="A41" s="17" t="s">
        <v>159</v>
      </c>
      <c r="B41" s="51" t="str">
        <f>VLOOKUP(A41,policywithagency!B:C,2,0)</f>
        <v>070000172283</v>
      </c>
      <c r="C41" s="24">
        <v>718.05</v>
      </c>
      <c r="D41" s="48" t="s">
        <v>376</v>
      </c>
      <c r="E41" s="52" t="str">
        <f>VLOOKUP(A41,policywithagency!B:D,3,0)</f>
        <v>09000800</v>
      </c>
      <c r="F41" s="53" t="str">
        <f t="shared" si="0"/>
        <v>insert into ins_premium_det (premium_rcv_code,assorted_code, rec_amount,premium_rcv_detail_code,remaining_amt, payrec, mode_code,paid_to_code,class_cd) values</v>
      </c>
      <c r="G41" s="54" t="str">
        <f t="shared" si="1"/>
        <v>('27Mar250004','070000172283','718.05',(select max(to_number(i.premium_rcv_detail_code))+1 from ins_premium_det i),'718.05','718.05','03', '09000800','00');</v>
      </c>
      <c r="H41" s="55" t="str">
        <f t="shared" si="2"/>
        <v>insert into ins_premium_det (premium_rcv_code,assorted_code, rec_amount,premium_rcv_detail_code,remaining_amt, payrec, mode_code,paid_to_code,class_cd) values('27Mar250004','070000172283','718.05',(select max(to_number(i.premium_rcv_detail_code))+1 from ins_premium_det i),'718.05','718.05','03', '09000800','00');</v>
      </c>
    </row>
    <row r="42" spans="1:8" ht="75" x14ac:dyDescent="0.25">
      <c r="A42" s="17" t="s">
        <v>160</v>
      </c>
      <c r="B42" s="51" t="str">
        <f>VLOOKUP(A42,policywithagency!B:C,2,0)</f>
        <v>070000172284</v>
      </c>
      <c r="C42" s="24">
        <v>477.29999999999995</v>
      </c>
      <c r="D42" s="48" t="s">
        <v>376</v>
      </c>
      <c r="E42" s="52" t="str">
        <f>VLOOKUP(A42,policywithagency!B:D,3,0)</f>
        <v>09000800</v>
      </c>
      <c r="F42" s="53" t="str">
        <f t="shared" si="0"/>
        <v>insert into ins_premium_det (premium_rcv_code,assorted_code, rec_amount,premium_rcv_detail_code,remaining_amt, payrec, mode_code,paid_to_code,class_cd) values</v>
      </c>
      <c r="G42" s="54" t="str">
        <f t="shared" si="1"/>
        <v>('27Mar250004','070000172284','477.3',(select max(to_number(i.premium_rcv_detail_code))+1 from ins_premium_det i),'477.3','477.3','03', '09000800','00');</v>
      </c>
      <c r="H42" s="55" t="str">
        <f t="shared" si="2"/>
        <v>insert into ins_premium_det (premium_rcv_code,assorted_code, rec_amount,premium_rcv_detail_code,remaining_amt, payrec, mode_code,paid_to_code,class_cd) values('27Mar250004','070000172284','477.3',(select max(to_number(i.premium_rcv_detail_code))+1 from ins_premium_det i),'477.3','477.3','03', '09000800','00');</v>
      </c>
    </row>
    <row r="43" spans="1:8" ht="75" x14ac:dyDescent="0.25">
      <c r="A43" s="17" t="s">
        <v>161</v>
      </c>
      <c r="B43" s="51" t="str">
        <f>VLOOKUP(A43,policywithagency!B:C,2,0)</f>
        <v>070000172285</v>
      </c>
      <c r="C43" s="24">
        <v>462.9</v>
      </c>
      <c r="D43" s="48" t="s">
        <v>376</v>
      </c>
      <c r="E43" s="52" t="str">
        <f>VLOOKUP(A43,policywithagency!B:D,3,0)</f>
        <v>09000800</v>
      </c>
      <c r="F43" s="53" t="str">
        <f t="shared" si="0"/>
        <v>insert into ins_premium_det (premium_rcv_code,assorted_code, rec_amount,premium_rcv_detail_code,remaining_amt, payrec, mode_code,paid_to_code,class_cd) values</v>
      </c>
      <c r="G43" s="54" t="str">
        <f t="shared" si="1"/>
        <v>('27Mar250004','070000172285','462.9',(select max(to_number(i.premium_rcv_detail_code))+1 from ins_premium_det i),'462.9','462.9','03', '09000800','00');</v>
      </c>
      <c r="H43" s="55" t="str">
        <f t="shared" si="2"/>
        <v>insert into ins_premium_det (premium_rcv_code,assorted_code, rec_amount,premium_rcv_detail_code,remaining_amt, payrec, mode_code,paid_to_code,class_cd) values('27Mar250004','070000172285','462.9',(select max(to_number(i.premium_rcv_detail_code))+1 from ins_premium_det i),'462.9','462.9','03', '09000800','00');</v>
      </c>
    </row>
    <row r="44" spans="1:8" ht="75" x14ac:dyDescent="0.25">
      <c r="A44" s="17" t="s">
        <v>162</v>
      </c>
      <c r="B44" s="51" t="str">
        <f>VLOOKUP(A44,policywithagency!B:C,2,0)</f>
        <v>070000172719</v>
      </c>
      <c r="C44" s="24">
        <v>123.6</v>
      </c>
      <c r="D44" s="48" t="s">
        <v>376</v>
      </c>
      <c r="E44" s="52" t="str">
        <f>VLOOKUP(A44,policywithagency!B:D,3,0)</f>
        <v>09000800</v>
      </c>
      <c r="F44" s="53" t="str">
        <f t="shared" si="0"/>
        <v>insert into ins_premium_det (premium_rcv_code,assorted_code, rec_amount,premium_rcv_detail_code,remaining_amt, payrec, mode_code,paid_to_code,class_cd) values</v>
      </c>
      <c r="G44" s="54" t="str">
        <f t="shared" si="1"/>
        <v>('27Mar250004','070000172719','123.6',(select max(to_number(i.premium_rcv_detail_code))+1 from ins_premium_det i),'123.6','123.6','03', '09000800','00');</v>
      </c>
      <c r="H44" s="55" t="str">
        <f t="shared" si="2"/>
        <v>insert into ins_premium_det (premium_rcv_code,assorted_code, rec_amount,premium_rcv_detail_code,remaining_amt, payrec, mode_code,paid_to_code,class_cd) values('27Mar250004','070000172719','123.6',(select max(to_number(i.premium_rcv_detail_code))+1 from ins_premium_det i),'123.6','123.6','03', '09000800','00');</v>
      </c>
    </row>
    <row r="45" spans="1:8" ht="75" x14ac:dyDescent="0.25">
      <c r="A45" s="17" t="s">
        <v>163</v>
      </c>
      <c r="B45" s="51" t="str">
        <f>VLOOKUP(A45,policywithagency!B:C,2,0)</f>
        <v>070000172723</v>
      </c>
      <c r="C45" s="24">
        <v>415.8</v>
      </c>
      <c r="D45" s="48" t="s">
        <v>376</v>
      </c>
      <c r="E45" s="52" t="str">
        <f>VLOOKUP(A45,policywithagency!B:D,3,0)</f>
        <v>09000800</v>
      </c>
      <c r="F45" s="53" t="str">
        <f t="shared" si="0"/>
        <v>insert into ins_premium_det (premium_rcv_code,assorted_code, rec_amount,premium_rcv_detail_code,remaining_amt, payrec, mode_code,paid_to_code,class_cd) values</v>
      </c>
      <c r="G45" s="54" t="str">
        <f t="shared" si="1"/>
        <v>('27Mar250004','070000172723','415.8',(select max(to_number(i.premium_rcv_detail_code))+1 from ins_premium_det i),'415.8','415.8','03', '09000800','00');</v>
      </c>
      <c r="H45" s="55" t="str">
        <f t="shared" si="2"/>
        <v>insert into ins_premium_det (premium_rcv_code,assorted_code, rec_amount,premium_rcv_detail_code,remaining_amt, payrec, mode_code,paid_to_code,class_cd) values('27Mar250004','070000172723','415.8',(select max(to_number(i.premium_rcv_detail_code))+1 from ins_premium_det i),'415.8','415.8','03', '09000800','00');</v>
      </c>
    </row>
    <row r="46" spans="1:8" ht="75" x14ac:dyDescent="0.25">
      <c r="A46" s="17" t="s">
        <v>164</v>
      </c>
      <c r="B46" s="51" t="str">
        <f>VLOOKUP(A46,policywithagency!B:C,2,0)</f>
        <v>070000172732</v>
      </c>
      <c r="C46" s="24">
        <v>301.5</v>
      </c>
      <c r="D46" s="48" t="s">
        <v>376</v>
      </c>
      <c r="E46" s="52" t="str">
        <f>VLOOKUP(A46,policywithagency!B:D,3,0)</f>
        <v>09000800</v>
      </c>
      <c r="F46" s="53" t="str">
        <f t="shared" si="0"/>
        <v>insert into ins_premium_det (premium_rcv_code,assorted_code, rec_amount,premium_rcv_detail_code,remaining_amt, payrec, mode_code,paid_to_code,class_cd) values</v>
      </c>
      <c r="G46" s="54" t="str">
        <f t="shared" si="1"/>
        <v>('27Mar250004','070000172732','301.5',(select max(to_number(i.premium_rcv_detail_code))+1 from ins_premium_det i),'301.5','301.5','03', '09000800','00');</v>
      </c>
      <c r="H46" s="55" t="str">
        <f t="shared" si="2"/>
        <v>insert into ins_premium_det (premium_rcv_code,assorted_code, rec_amount,premium_rcv_detail_code,remaining_amt, payrec, mode_code,paid_to_code,class_cd) values('27Mar250004','070000172732','301.5',(select max(to_number(i.premium_rcv_detail_code))+1 from ins_premium_det i),'301.5','301.5','03', '09000800','00');</v>
      </c>
    </row>
    <row r="47" spans="1:8" ht="75" x14ac:dyDescent="0.25">
      <c r="A47" s="17" t="s">
        <v>165</v>
      </c>
      <c r="B47" s="51" t="str">
        <f>VLOOKUP(A47,policywithagency!B:C,2,0)</f>
        <v>070000172735</v>
      </c>
      <c r="C47" s="24">
        <v>721.8</v>
      </c>
      <c r="D47" s="48" t="s">
        <v>376</v>
      </c>
      <c r="E47" s="52" t="str">
        <f>VLOOKUP(A47,policywithagency!B:D,3,0)</f>
        <v>09000800</v>
      </c>
      <c r="F47" s="53" t="str">
        <f t="shared" si="0"/>
        <v>insert into ins_premium_det (premium_rcv_code,assorted_code, rec_amount,premium_rcv_detail_code,remaining_amt, payrec, mode_code,paid_to_code,class_cd) values</v>
      </c>
      <c r="G47" s="54" t="str">
        <f t="shared" si="1"/>
        <v>('27Mar250004','070000172735','721.8',(select max(to_number(i.premium_rcv_detail_code))+1 from ins_premium_det i),'721.8','721.8','03', '09000800','00');</v>
      </c>
      <c r="H47" s="55" t="str">
        <f t="shared" si="2"/>
        <v>insert into ins_premium_det (premium_rcv_code,assorted_code, rec_amount,premium_rcv_detail_code,remaining_amt, payrec, mode_code,paid_to_code,class_cd) values('27Mar250004','070000172735','721.8',(select max(to_number(i.premium_rcv_detail_code))+1 from ins_premium_det i),'721.8','721.8','03', '09000800','00');</v>
      </c>
    </row>
    <row r="48" spans="1:8" ht="75" x14ac:dyDescent="0.25">
      <c r="A48" s="17" t="s">
        <v>166</v>
      </c>
      <c r="B48" s="51" t="str">
        <f>VLOOKUP(A48,policywithagency!B:C,2,0)</f>
        <v>070000173597</v>
      </c>
      <c r="C48" s="24">
        <v>616.19999999999993</v>
      </c>
      <c r="D48" s="48" t="s">
        <v>376</v>
      </c>
      <c r="E48" s="52" t="str">
        <f>VLOOKUP(A48,policywithagency!B:D,3,0)</f>
        <v>09000800</v>
      </c>
      <c r="F48" s="53" t="str">
        <f t="shared" si="0"/>
        <v>insert into ins_premium_det (premium_rcv_code,assorted_code, rec_amount,premium_rcv_detail_code,remaining_amt, payrec, mode_code,paid_to_code,class_cd) values</v>
      </c>
      <c r="G48" s="54" t="str">
        <f t="shared" si="1"/>
        <v>('27Mar250004','070000173597','616.2',(select max(to_number(i.premium_rcv_detail_code))+1 from ins_premium_det i),'616.2','616.2','03', '09000800','00');</v>
      </c>
      <c r="H48" s="55" t="str">
        <f t="shared" si="2"/>
        <v>insert into ins_premium_det (premium_rcv_code,assorted_code, rec_amount,premium_rcv_detail_code,remaining_amt, payrec, mode_code,paid_to_code,class_cd) values('27Mar250004','070000173597','616.2',(select max(to_number(i.premium_rcv_detail_code))+1 from ins_premium_det i),'616.2','616.2','03', '09000800','00');</v>
      </c>
    </row>
    <row r="49" spans="1:8" ht="75" x14ac:dyDescent="0.25">
      <c r="A49" s="17" t="s">
        <v>167</v>
      </c>
      <c r="B49" s="51" t="str">
        <f>VLOOKUP(A49,policywithagency!B:C,2,0)</f>
        <v>070000173598</v>
      </c>
      <c r="C49" s="24">
        <v>231.45</v>
      </c>
      <c r="D49" s="48" t="s">
        <v>376</v>
      </c>
      <c r="E49" s="52" t="str">
        <f>VLOOKUP(A49,policywithagency!B:D,3,0)</f>
        <v>09000800</v>
      </c>
      <c r="F49" s="53" t="str">
        <f t="shared" si="0"/>
        <v>insert into ins_premium_det (premium_rcv_code,assorted_code, rec_amount,premium_rcv_detail_code,remaining_amt, payrec, mode_code,paid_to_code,class_cd) values</v>
      </c>
      <c r="G49" s="54" t="str">
        <f t="shared" si="1"/>
        <v>('27Mar250004','070000173598','231.45',(select max(to_number(i.premium_rcv_detail_code))+1 from ins_premium_det i),'231.45','231.45','03', '09000800','00');</v>
      </c>
      <c r="H49" s="55" t="str">
        <f t="shared" si="2"/>
        <v>insert into ins_premium_det (premium_rcv_code,assorted_code, rec_amount,premium_rcv_detail_code,remaining_amt, payrec, mode_code,paid_to_code,class_cd) values('27Mar250004','070000173598','231.45',(select max(to_number(i.premium_rcv_detail_code))+1 from ins_premium_det i),'231.45','231.45','03', '09000800','00');</v>
      </c>
    </row>
    <row r="50" spans="1:8" ht="75" x14ac:dyDescent="0.25">
      <c r="A50" s="17" t="s">
        <v>168</v>
      </c>
      <c r="B50" s="51" t="str">
        <f>VLOOKUP(A50,policywithagency!B:C,2,0)</f>
        <v>070000173599</v>
      </c>
      <c r="C50" s="24">
        <v>710.25</v>
      </c>
      <c r="D50" s="48" t="s">
        <v>376</v>
      </c>
      <c r="E50" s="52" t="str">
        <f>VLOOKUP(A50,policywithagency!B:D,3,0)</f>
        <v>09000800</v>
      </c>
      <c r="F50" s="53" t="str">
        <f t="shared" si="0"/>
        <v>insert into ins_premium_det (premium_rcv_code,assorted_code, rec_amount,premium_rcv_detail_code,remaining_amt, payrec, mode_code,paid_to_code,class_cd) values</v>
      </c>
      <c r="G50" s="54" t="str">
        <f t="shared" si="1"/>
        <v>('27Mar250004','070000173599','710.25',(select max(to_number(i.premium_rcv_detail_code))+1 from ins_premium_det i),'710.25','710.25','03', '09000800','00');</v>
      </c>
      <c r="H50" s="55" t="str">
        <f t="shared" si="2"/>
        <v>insert into ins_premium_det (premium_rcv_code,assorted_code, rec_amount,premium_rcv_detail_code,remaining_amt, payrec, mode_code,paid_to_code,class_cd) values('27Mar250004','070000173599','710.25',(select max(to_number(i.premium_rcv_detail_code))+1 from ins_premium_det i),'710.25','710.25','03', '09000800','00');</v>
      </c>
    </row>
    <row r="51" spans="1:8" ht="75" x14ac:dyDescent="0.25">
      <c r="A51" s="17" t="s">
        <v>169</v>
      </c>
      <c r="B51" s="51" t="str">
        <f>VLOOKUP(A51,policywithagency!B:C,2,0)</f>
        <v>070000173600</v>
      </c>
      <c r="C51" s="24">
        <v>710.25</v>
      </c>
      <c r="D51" s="48" t="s">
        <v>376</v>
      </c>
      <c r="E51" s="52" t="str">
        <f>VLOOKUP(A51,policywithagency!B:D,3,0)</f>
        <v>09000800</v>
      </c>
      <c r="F51" s="53" t="str">
        <f t="shared" si="0"/>
        <v>insert into ins_premium_det (premium_rcv_code,assorted_code, rec_amount,premium_rcv_detail_code,remaining_amt, payrec, mode_code,paid_to_code,class_cd) values</v>
      </c>
      <c r="G51" s="54" t="str">
        <f t="shared" si="1"/>
        <v>('27Mar250004','070000173600','710.25',(select max(to_number(i.premium_rcv_detail_code))+1 from ins_premium_det i),'710.25','710.25','03', '09000800','00');</v>
      </c>
      <c r="H51" s="55" t="str">
        <f t="shared" si="2"/>
        <v>insert into ins_premium_det (premium_rcv_code,assorted_code, rec_amount,premium_rcv_detail_code,remaining_amt, payrec, mode_code,paid_to_code,class_cd) values('27Mar250004','070000173600','710.25',(select max(to_number(i.premium_rcv_detail_code))+1 from ins_premium_det i),'710.25','710.25','03', '09000800','00');</v>
      </c>
    </row>
    <row r="52" spans="1:8" ht="75" x14ac:dyDescent="0.25">
      <c r="A52" s="17" t="s">
        <v>170</v>
      </c>
      <c r="B52" s="51" t="str">
        <f>VLOOKUP(A52,policywithagency!B:C,2,0)</f>
        <v>070000173602</v>
      </c>
      <c r="C52" s="24">
        <v>606.44999999999993</v>
      </c>
      <c r="D52" s="48" t="s">
        <v>376</v>
      </c>
      <c r="E52" s="52" t="str">
        <f>VLOOKUP(A52,policywithagency!B:D,3,0)</f>
        <v>09000800</v>
      </c>
      <c r="F52" s="53" t="str">
        <f t="shared" si="0"/>
        <v>insert into ins_premium_det (premium_rcv_code,assorted_code, rec_amount,premium_rcv_detail_code,remaining_amt, payrec, mode_code,paid_to_code,class_cd) values</v>
      </c>
      <c r="G52" s="54" t="str">
        <f t="shared" si="1"/>
        <v>('27Mar250004','070000173602','606.45',(select max(to_number(i.premium_rcv_detail_code))+1 from ins_premium_det i),'606.45','606.45','03', '09000800','00');</v>
      </c>
      <c r="H52" s="55" t="str">
        <f t="shared" si="2"/>
        <v>insert into ins_premium_det (premium_rcv_code,assorted_code, rec_amount,premium_rcv_detail_code,remaining_amt, payrec, mode_code,paid_to_code,class_cd) values('27Mar250004','070000173602','606.45',(select max(to_number(i.premium_rcv_detail_code))+1 from ins_premium_det i),'606.45','606.45','03', '09000800','00');</v>
      </c>
    </row>
    <row r="53" spans="1:8" ht="75" x14ac:dyDescent="0.25">
      <c r="A53" s="17" t="s">
        <v>171</v>
      </c>
      <c r="B53" s="51" t="str">
        <f>VLOOKUP(A53,policywithagency!B:C,2,0)</f>
        <v>070000173603</v>
      </c>
      <c r="C53" s="24">
        <v>462.9</v>
      </c>
      <c r="D53" s="48" t="s">
        <v>376</v>
      </c>
      <c r="E53" s="52" t="str">
        <f>VLOOKUP(A53,policywithagency!B:D,3,0)</f>
        <v>09000800</v>
      </c>
      <c r="F53" s="53" t="str">
        <f t="shared" si="0"/>
        <v>insert into ins_premium_det (premium_rcv_code,assorted_code, rec_amount,premium_rcv_detail_code,remaining_amt, payrec, mode_code,paid_to_code,class_cd) values</v>
      </c>
      <c r="G53" s="54" t="str">
        <f t="shared" si="1"/>
        <v>('27Mar250004','070000173603','462.9',(select max(to_number(i.premium_rcv_detail_code))+1 from ins_premium_det i),'462.9','462.9','03', '09000800','00');</v>
      </c>
      <c r="H53" s="55" t="str">
        <f t="shared" si="2"/>
        <v>insert into ins_premium_det (premium_rcv_code,assorted_code, rec_amount,premium_rcv_detail_code,remaining_amt, payrec, mode_code,paid_to_code,class_cd) values('27Mar250004','070000173603','462.9',(select max(to_number(i.premium_rcv_detail_code))+1 from ins_premium_det i),'462.9','462.9','03', '09000800','00');</v>
      </c>
    </row>
    <row r="54" spans="1:8" ht="75" x14ac:dyDescent="0.25">
      <c r="A54" s="17" t="s">
        <v>172</v>
      </c>
      <c r="B54" s="51" t="str">
        <f>VLOOKUP(A54,policywithagency!B:C,2,0)</f>
        <v>070000169579</v>
      </c>
      <c r="C54" s="24">
        <v>576.44999999999993</v>
      </c>
      <c r="D54" s="48" t="s">
        <v>376</v>
      </c>
      <c r="E54" s="52" t="str">
        <f>VLOOKUP(A54,policywithagency!B:D,3,0)</f>
        <v>09000800</v>
      </c>
      <c r="F54" s="53" t="str">
        <f t="shared" si="0"/>
        <v>insert into ins_premium_det (premium_rcv_code,assorted_code, rec_amount,premium_rcv_detail_code,remaining_amt, payrec, mode_code,paid_to_code,class_cd) values</v>
      </c>
      <c r="G54" s="54" t="str">
        <f t="shared" si="1"/>
        <v>('27Mar250004','070000169579','576.45',(select max(to_number(i.premium_rcv_detail_code))+1 from ins_premium_det i),'576.45','576.45','03', '09000800','00');</v>
      </c>
      <c r="H54" s="55" t="str">
        <f t="shared" si="2"/>
        <v>insert into ins_premium_det (premium_rcv_code,assorted_code, rec_amount,premium_rcv_detail_code,remaining_amt, payrec, mode_code,paid_to_code,class_cd) values('27Mar250004','070000169579','576.45',(select max(to_number(i.premium_rcv_detail_code))+1 from ins_premium_det i),'576.45','576.45','03', '09000800','00');</v>
      </c>
    </row>
    <row r="55" spans="1:8" ht="75" x14ac:dyDescent="0.25">
      <c r="A55" s="31" t="s">
        <v>173</v>
      </c>
      <c r="B55" s="51" t="str">
        <f>VLOOKUP(A55,policywithagency!B:C,2,0)</f>
        <v>070000165419</v>
      </c>
      <c r="C55" s="24">
        <v>138.44999999999999</v>
      </c>
      <c r="D55" s="48" t="s">
        <v>376</v>
      </c>
      <c r="E55" s="52" t="str">
        <f>VLOOKUP(A55,policywithagency!B:D,3,0)</f>
        <v>09000800</v>
      </c>
      <c r="F55" s="53" t="str">
        <f t="shared" si="0"/>
        <v>insert into ins_premium_det (premium_rcv_code,assorted_code, rec_amount,premium_rcv_detail_code,remaining_amt, payrec, mode_code,paid_to_code,class_cd) values</v>
      </c>
      <c r="G55" s="54" t="str">
        <f t="shared" si="1"/>
        <v>('27Mar250004','070000165419','138.45',(select max(to_number(i.premium_rcv_detail_code))+1 from ins_premium_det i),'138.45','138.45','03', '09000800','00');</v>
      </c>
      <c r="H55" s="55" t="str">
        <f t="shared" si="2"/>
        <v>insert into ins_premium_det (premium_rcv_code,assorted_code, rec_amount,premium_rcv_detail_code,remaining_amt, payrec, mode_code,paid_to_code,class_cd) values('27Mar250004','070000165419','138.45',(select max(to_number(i.premium_rcv_detail_code))+1 from ins_premium_det i),'138.45','138.45','03', '09000800','00');</v>
      </c>
    </row>
    <row r="56" spans="1:8" ht="75" x14ac:dyDescent="0.25">
      <c r="A56" s="31" t="s">
        <v>174</v>
      </c>
      <c r="B56" s="51" t="str">
        <f>VLOOKUP(A56,policywithagency!B:C,2,0)</f>
        <v>070000165651</v>
      </c>
      <c r="C56" s="24">
        <v>232.95</v>
      </c>
      <c r="D56" s="48" t="s">
        <v>376</v>
      </c>
      <c r="E56" s="52" t="str">
        <f>VLOOKUP(A56,policywithagency!B:D,3,0)</f>
        <v>09000800</v>
      </c>
      <c r="F56" s="53" t="str">
        <f t="shared" si="0"/>
        <v>insert into ins_premium_det (premium_rcv_code,assorted_code, rec_amount,premium_rcv_detail_code,remaining_amt, payrec, mode_code,paid_to_code,class_cd) values</v>
      </c>
      <c r="G56" s="54" t="str">
        <f t="shared" si="1"/>
        <v>('27Mar250004','070000165651','232.95',(select max(to_number(i.premium_rcv_detail_code))+1 from ins_premium_det i),'232.95','232.95','03', '09000800','00');</v>
      </c>
      <c r="H56" s="55" t="str">
        <f t="shared" si="2"/>
        <v>insert into ins_premium_det (premium_rcv_code,assorted_code, rec_amount,premium_rcv_detail_code,remaining_amt, payrec, mode_code,paid_to_code,class_cd) values('27Mar250004','070000165651','232.95',(select max(to_number(i.premium_rcv_detail_code))+1 from ins_premium_det i),'232.95','232.95','03', '09000800','00');</v>
      </c>
    </row>
    <row r="57" spans="1:8" ht="75" x14ac:dyDescent="0.25">
      <c r="A57" s="17" t="s">
        <v>175</v>
      </c>
      <c r="B57" s="51" t="str">
        <f>VLOOKUP(A57,policywithagency!B:C,2,0)</f>
        <v>070000167639</v>
      </c>
      <c r="C57" s="24">
        <v>576.44999999999993</v>
      </c>
      <c r="D57" s="48" t="s">
        <v>376</v>
      </c>
      <c r="E57" s="52" t="str">
        <f>VLOOKUP(A57,policywithagency!B:D,3,0)</f>
        <v>09000800</v>
      </c>
      <c r="F57" s="53" t="str">
        <f t="shared" si="0"/>
        <v>insert into ins_premium_det (premium_rcv_code,assorted_code, rec_amount,premium_rcv_detail_code,remaining_amt, payrec, mode_code,paid_to_code,class_cd) values</v>
      </c>
      <c r="G57" s="54" t="str">
        <f t="shared" si="1"/>
        <v>('27Mar250004','070000167639','576.45',(select max(to_number(i.premium_rcv_detail_code))+1 from ins_premium_det i),'576.45','576.45','03', '09000800','00');</v>
      </c>
      <c r="H57" s="55" t="str">
        <f t="shared" si="2"/>
        <v>insert into ins_premium_det (premium_rcv_code,assorted_code, rec_amount,premium_rcv_detail_code,remaining_amt, payrec, mode_code,paid_to_code,class_cd) values('27Mar250004','070000167639','576.45',(select max(to_number(i.premium_rcv_detail_code))+1 from ins_premium_det i),'576.45','576.45','03', '09000800','00');</v>
      </c>
    </row>
    <row r="58" spans="1:8" ht="75" x14ac:dyDescent="0.25">
      <c r="A58" s="17" t="s">
        <v>176</v>
      </c>
      <c r="B58" s="51" t="str">
        <f>VLOOKUP(A58,policywithagency!B:C,2,0)</f>
        <v>070000169499</v>
      </c>
      <c r="C58" s="24">
        <v>94.2</v>
      </c>
      <c r="D58" s="48" t="s">
        <v>376</v>
      </c>
      <c r="E58" s="52" t="str">
        <f>VLOOKUP(A58,policywithagency!B:D,3,0)</f>
        <v>09000800</v>
      </c>
      <c r="F58" s="53" t="str">
        <f t="shared" si="0"/>
        <v>insert into ins_premium_det (premium_rcv_code,assorted_code, rec_amount,premium_rcv_detail_code,remaining_amt, payrec, mode_code,paid_to_code,class_cd) values</v>
      </c>
      <c r="G58" s="54" t="str">
        <f t="shared" si="1"/>
        <v>('27Mar250004','070000169499','94.2',(select max(to_number(i.premium_rcv_detail_code))+1 from ins_premium_det i),'94.2','94.2','03', '09000800','00');</v>
      </c>
      <c r="H58" s="55" t="str">
        <f t="shared" si="2"/>
        <v>insert into ins_premium_det (premium_rcv_code,assorted_code, rec_amount,premium_rcv_detail_code,remaining_amt, payrec, mode_code,paid_to_code,class_cd) values('27Mar250004','070000169499','94.2',(select max(to_number(i.premium_rcv_detail_code))+1 from ins_premium_det i),'94.2','94.2','03', '09000800','00');</v>
      </c>
    </row>
    <row r="59" spans="1:8" ht="75" x14ac:dyDescent="0.25">
      <c r="A59" s="17" t="s">
        <v>177</v>
      </c>
      <c r="B59" s="51" t="str">
        <f>VLOOKUP(A59,policywithagency!B:C,2,0)</f>
        <v>070000169500</v>
      </c>
      <c r="C59" s="24">
        <v>45</v>
      </c>
      <c r="D59" s="48" t="s">
        <v>376</v>
      </c>
      <c r="E59" s="52" t="str">
        <f>VLOOKUP(A59,policywithagency!B:D,3,0)</f>
        <v>09000800</v>
      </c>
      <c r="F59" s="53" t="str">
        <f t="shared" si="0"/>
        <v>insert into ins_premium_det (premium_rcv_code,assorted_code, rec_amount,premium_rcv_detail_code,remaining_amt, payrec, mode_code,paid_to_code,class_cd) values</v>
      </c>
      <c r="G59" s="54" t="str">
        <f t="shared" si="1"/>
        <v>('27Mar250004','070000169500','45',(select max(to_number(i.premium_rcv_detail_code))+1 from ins_premium_det i),'45','45','03', '09000800','00');</v>
      </c>
      <c r="H59" s="55" t="str">
        <f t="shared" si="2"/>
        <v>insert into ins_premium_det (premium_rcv_code,assorted_code, rec_amount,premium_rcv_detail_code,remaining_amt, payrec, mode_code,paid_to_code,class_cd) values('27Mar250004','070000169500','45',(select max(to_number(i.premium_rcv_detail_code))+1 from ins_premium_det i),'45','45','03', '09000800','00');</v>
      </c>
    </row>
    <row r="60" spans="1:8" ht="75" x14ac:dyDescent="0.25">
      <c r="A60" s="17" t="s">
        <v>178</v>
      </c>
      <c r="B60" s="51" t="str">
        <f>VLOOKUP(A60,policywithagency!B:C,2,0)</f>
        <v>070000169584</v>
      </c>
      <c r="C60" s="24">
        <v>623.54999999999995</v>
      </c>
      <c r="D60" s="48" t="s">
        <v>376</v>
      </c>
      <c r="E60" s="52" t="str">
        <f>VLOOKUP(A60,policywithagency!B:D,3,0)</f>
        <v>09000800</v>
      </c>
      <c r="F60" s="53" t="str">
        <f t="shared" si="0"/>
        <v>insert into ins_premium_det (premium_rcv_code,assorted_code, rec_amount,premium_rcv_detail_code,remaining_amt, payrec, mode_code,paid_to_code,class_cd) values</v>
      </c>
      <c r="G60" s="54" t="str">
        <f t="shared" si="1"/>
        <v>('27Mar250004','070000169584','623.55',(select max(to_number(i.premium_rcv_detail_code))+1 from ins_premium_det i),'623.55','623.55','03', '09000800','00');</v>
      </c>
      <c r="H60" s="55" t="str">
        <f t="shared" si="2"/>
        <v>insert into ins_premium_det (premium_rcv_code,assorted_code, rec_amount,premium_rcv_detail_code,remaining_amt, payrec, mode_code,paid_to_code,class_cd) values('27Mar250004','070000169584','623.55',(select max(to_number(i.premium_rcv_detail_code))+1 from ins_premium_det i),'623.55','623.55','03', '09000800','00');</v>
      </c>
    </row>
    <row r="61" spans="1:8" ht="75" x14ac:dyDescent="0.25">
      <c r="A61" s="17" t="s">
        <v>179</v>
      </c>
      <c r="B61" s="51" t="str">
        <f>VLOOKUP(A61,policywithagency!B:C,2,0)</f>
        <v>070000169789</v>
      </c>
      <c r="C61" s="24">
        <v>566.69999999999993</v>
      </c>
      <c r="D61" s="48" t="s">
        <v>376</v>
      </c>
      <c r="E61" s="52" t="str">
        <f>VLOOKUP(A61,policywithagency!B:D,3,0)</f>
        <v>09000800</v>
      </c>
      <c r="F61" s="53" t="str">
        <f t="shared" si="0"/>
        <v>insert into ins_premium_det (premium_rcv_code,assorted_code, rec_amount,premium_rcv_detail_code,remaining_amt, payrec, mode_code,paid_to_code,class_cd) values</v>
      </c>
      <c r="G61" s="54" t="str">
        <f t="shared" si="1"/>
        <v>('27Mar250004','070000169789','566.7',(select max(to_number(i.premium_rcv_detail_code))+1 from ins_premium_det i),'566.7','566.7','03', '09000800','00');</v>
      </c>
      <c r="H61" s="55" t="str">
        <f t="shared" si="2"/>
        <v>insert into ins_premium_det (premium_rcv_code,assorted_code, rec_amount,premium_rcv_detail_code,remaining_amt, payrec, mode_code,paid_to_code,class_cd) values('27Mar250004','070000169789','566.7',(select max(to_number(i.premium_rcv_detail_code))+1 from ins_premium_det i),'566.7','566.7','03', '09000800','00');</v>
      </c>
    </row>
    <row r="62" spans="1:8" ht="75" x14ac:dyDescent="0.25">
      <c r="A62" s="17" t="s">
        <v>180</v>
      </c>
      <c r="B62" s="51" t="str">
        <f>VLOOKUP(A62,policywithagency!B:C,2,0)</f>
        <v>070000171277</v>
      </c>
      <c r="C62" s="24">
        <v>181.95</v>
      </c>
      <c r="D62" s="48" t="s">
        <v>376</v>
      </c>
      <c r="E62" s="52" t="str">
        <f>VLOOKUP(A62,policywithagency!B:D,3,0)</f>
        <v>09000800</v>
      </c>
      <c r="F62" s="53" t="str">
        <f t="shared" si="0"/>
        <v>insert into ins_premium_det (premium_rcv_code,assorted_code, rec_amount,premium_rcv_detail_code,remaining_amt, payrec, mode_code,paid_to_code,class_cd) values</v>
      </c>
      <c r="G62" s="54" t="str">
        <f t="shared" si="1"/>
        <v>('27Mar250004','070000171277','181.95',(select max(to_number(i.premium_rcv_detail_code))+1 from ins_premium_det i),'181.95','181.95','03', '09000800','00');</v>
      </c>
      <c r="H62" s="55" t="str">
        <f t="shared" si="2"/>
        <v>insert into ins_premium_det (premium_rcv_code,assorted_code, rec_amount,premium_rcv_detail_code,remaining_amt, payrec, mode_code,paid_to_code,class_cd) values('27Mar250004','070000171277','181.95',(select max(to_number(i.premium_rcv_detail_code))+1 from ins_premium_det i),'181.95','181.95','03', '09000800','00');</v>
      </c>
    </row>
    <row r="63" spans="1:8" ht="75" x14ac:dyDescent="0.25">
      <c r="A63" s="17" t="s">
        <v>181</v>
      </c>
      <c r="B63" s="51" t="str">
        <f>VLOOKUP(A63,policywithagency!B:C,2,0)</f>
        <v>070000171280</v>
      </c>
      <c r="C63" s="24">
        <v>181.95</v>
      </c>
      <c r="D63" s="48" t="s">
        <v>376</v>
      </c>
      <c r="E63" s="52" t="str">
        <f>VLOOKUP(A63,policywithagency!B:D,3,0)</f>
        <v>09000800</v>
      </c>
      <c r="F63" s="53" t="str">
        <f t="shared" si="0"/>
        <v>insert into ins_premium_det (premium_rcv_code,assorted_code, rec_amount,premium_rcv_detail_code,remaining_amt, payrec, mode_code,paid_to_code,class_cd) values</v>
      </c>
      <c r="G63" s="54" t="str">
        <f t="shared" si="1"/>
        <v>('27Mar250004','070000171280','181.95',(select max(to_number(i.premium_rcv_detail_code))+1 from ins_premium_det i),'181.95','181.95','03', '09000800','00');</v>
      </c>
      <c r="H63" s="55" t="str">
        <f t="shared" si="2"/>
        <v>insert into ins_premium_det (premium_rcv_code,assorted_code, rec_amount,premium_rcv_detail_code,remaining_amt, payrec, mode_code,paid_to_code,class_cd) values('27Mar250004','070000171280','181.95',(select max(to_number(i.premium_rcv_detail_code))+1 from ins_premium_det i),'181.95','181.95','03', '09000800','00');</v>
      </c>
    </row>
    <row r="64" spans="1:8" ht="75" x14ac:dyDescent="0.25">
      <c r="A64" s="17" t="s">
        <v>182</v>
      </c>
      <c r="B64" s="51" t="str">
        <f>VLOOKUP(A64,policywithagency!B:C,2,0)</f>
        <v>070000171284</v>
      </c>
      <c r="C64" s="24">
        <v>557.1</v>
      </c>
      <c r="D64" s="48" t="s">
        <v>376</v>
      </c>
      <c r="E64" s="52" t="str">
        <f>VLOOKUP(A64,policywithagency!B:D,3,0)</f>
        <v>09000800</v>
      </c>
      <c r="F64" s="53" t="str">
        <f t="shared" si="0"/>
        <v>insert into ins_premium_det (premium_rcv_code,assorted_code, rec_amount,premium_rcv_detail_code,remaining_amt, payrec, mode_code,paid_to_code,class_cd) values</v>
      </c>
      <c r="G64" s="54" t="str">
        <f t="shared" si="1"/>
        <v>('27Mar250004','070000171284','557.1',(select max(to_number(i.premium_rcv_detail_code))+1 from ins_premium_det i),'557.1','557.1','03', '09000800','00');</v>
      </c>
      <c r="H64" s="55" t="str">
        <f t="shared" si="2"/>
        <v>insert into ins_premium_det (premium_rcv_code,assorted_code, rec_amount,premium_rcv_detail_code,remaining_amt, payrec, mode_code,paid_to_code,class_cd) values('27Mar250004','070000171284','557.1',(select max(to_number(i.premium_rcv_detail_code))+1 from ins_premium_det i),'557.1','557.1','03', '09000800','00');</v>
      </c>
    </row>
    <row r="65" spans="1:8" ht="75" x14ac:dyDescent="0.25">
      <c r="A65" s="17" t="s">
        <v>183</v>
      </c>
      <c r="B65" s="51" t="str">
        <f>VLOOKUP(A65,policywithagency!B:C,2,0)</f>
        <v>070000171667</v>
      </c>
      <c r="C65" s="24">
        <v>557.1</v>
      </c>
      <c r="D65" s="48" t="s">
        <v>376</v>
      </c>
      <c r="E65" s="52" t="str">
        <f>VLOOKUP(A65,policywithagency!B:D,3,0)</f>
        <v>09000800</v>
      </c>
      <c r="F65" s="53" t="str">
        <f t="shared" si="0"/>
        <v>insert into ins_premium_det (premium_rcv_code,assorted_code, rec_amount,premium_rcv_detail_code,remaining_amt, payrec, mode_code,paid_to_code,class_cd) values</v>
      </c>
      <c r="G65" s="54" t="str">
        <f t="shared" si="1"/>
        <v>('27Mar250004','070000171667','557.1',(select max(to_number(i.premium_rcv_detail_code))+1 from ins_premium_det i),'557.1','557.1','03', '09000800','00');</v>
      </c>
      <c r="H65" s="55" t="str">
        <f t="shared" si="2"/>
        <v>insert into ins_premium_det (premium_rcv_code,assorted_code, rec_amount,premium_rcv_detail_code,remaining_amt, payrec, mode_code,paid_to_code,class_cd) values('27Mar250004','070000171667','557.1',(select max(to_number(i.premium_rcv_detail_code))+1 from ins_premium_det i),'557.1','557.1','03', '09000800','00');</v>
      </c>
    </row>
    <row r="66" spans="1:8" ht="75" x14ac:dyDescent="0.25">
      <c r="A66" s="17" t="s">
        <v>184</v>
      </c>
      <c r="B66" s="51" t="str">
        <f>VLOOKUP(A66,policywithagency!B:C,2,0)</f>
        <v>070000171668</v>
      </c>
      <c r="C66" s="24">
        <v>138.44999999999999</v>
      </c>
      <c r="D66" s="48" t="s">
        <v>376</v>
      </c>
      <c r="E66" s="52" t="str">
        <f>VLOOKUP(A66,policywithagency!B:D,3,0)</f>
        <v>09000800</v>
      </c>
      <c r="F66" s="53" t="str">
        <f t="shared" ref="F66:F76" si="3">"insert into ins_premium_det (premium_rcv_code,assorted_code, rec_amount,premium_rcv_detail_code,remaining_amt, payrec, mode_code,paid_to_code,class_cd) values"</f>
        <v>insert into ins_premium_det (premium_rcv_code,assorted_code, rec_amount,premium_rcv_detail_code,remaining_amt, payrec, mode_code,paid_to_code,class_cd) values</v>
      </c>
      <c r="G66" s="54" t="str">
        <f t="shared" ref="G66:G76" si="4">"('"&amp;D65&amp;"','"&amp;B66&amp;"','"&amp;C66&amp;"',(select max(to_number(i.premium_rcv_detail_code))+1 from ins_premium_det i),'"&amp;C66&amp;"','"&amp;C66&amp;"','03', '"&amp;E66&amp;"','00');"</f>
        <v>('27Mar250004','070000171668','138.45',(select max(to_number(i.premium_rcv_detail_code))+1 from ins_premium_det i),'138.45','138.45','03', '09000800','00');</v>
      </c>
      <c r="H66" s="55" t="str">
        <f t="shared" ref="H66:H76" si="5">F66&amp;G66</f>
        <v>insert into ins_premium_det (premium_rcv_code,assorted_code, rec_amount,premium_rcv_detail_code,remaining_amt, payrec, mode_code,paid_to_code,class_cd) values('27Mar250004','070000171668','138.45',(select max(to_number(i.premium_rcv_detail_code))+1 from ins_premium_det i),'138.45','138.45','03', '09000800','00');</v>
      </c>
    </row>
    <row r="67" spans="1:8" ht="75" x14ac:dyDescent="0.25">
      <c r="A67" s="17" t="s">
        <v>185</v>
      </c>
      <c r="B67" s="51" t="str">
        <f>VLOOKUP(A67,policywithagency!B:C,2,0)</f>
        <v>070000172291</v>
      </c>
      <c r="C67" s="24">
        <v>574.04999999999995</v>
      </c>
      <c r="D67" s="48" t="s">
        <v>376</v>
      </c>
      <c r="E67" s="52" t="str">
        <f>VLOOKUP(A67,policywithagency!B:D,3,0)</f>
        <v>09000800</v>
      </c>
      <c r="F67" s="53" t="str">
        <f t="shared" si="3"/>
        <v>insert into ins_premium_det (premium_rcv_code,assorted_code, rec_amount,premium_rcv_detail_code,remaining_amt, payrec, mode_code,paid_to_code,class_cd) values</v>
      </c>
      <c r="G67" s="54" t="str">
        <f t="shared" si="4"/>
        <v>('27Mar250004','070000172291','574.05',(select max(to_number(i.premium_rcv_detail_code))+1 from ins_premium_det i),'574.05','574.05','03', '09000800','00');</v>
      </c>
      <c r="H67" s="55" t="str">
        <f t="shared" si="5"/>
        <v>insert into ins_premium_det (premium_rcv_code,assorted_code, rec_amount,premium_rcv_detail_code,remaining_amt, payrec, mode_code,paid_to_code,class_cd) values('27Mar250004','070000172291','574.05',(select max(to_number(i.premium_rcv_detail_code))+1 from ins_premium_det i),'574.05','574.05','03', '09000800','00');</v>
      </c>
    </row>
    <row r="68" spans="1:8" ht="75" x14ac:dyDescent="0.25">
      <c r="A68" s="17" t="s">
        <v>186</v>
      </c>
      <c r="B68" s="51" t="str">
        <f>VLOOKUP(A68,policywithagency!B:C,2,0)</f>
        <v>070000172292</v>
      </c>
      <c r="C68" s="24">
        <v>574.04999999999995</v>
      </c>
      <c r="D68" s="48" t="s">
        <v>376</v>
      </c>
      <c r="E68" s="52" t="str">
        <f>VLOOKUP(A68,policywithagency!B:D,3,0)</f>
        <v>09000800</v>
      </c>
      <c r="F68" s="53" t="str">
        <f t="shared" si="3"/>
        <v>insert into ins_premium_det (premium_rcv_code,assorted_code, rec_amount,premium_rcv_detail_code,remaining_amt, payrec, mode_code,paid_to_code,class_cd) values</v>
      </c>
      <c r="G68" s="54" t="str">
        <f t="shared" si="4"/>
        <v>('27Mar250004','070000172292','574.05',(select max(to_number(i.premium_rcv_detail_code))+1 from ins_premium_det i),'574.05','574.05','03', '09000800','00');</v>
      </c>
      <c r="H68" s="55" t="str">
        <f t="shared" si="5"/>
        <v>insert into ins_premium_det (premium_rcv_code,assorted_code, rec_amount,premium_rcv_detail_code,remaining_amt, payrec, mode_code,paid_to_code,class_cd) values('27Mar250004','070000172292','574.05',(select max(to_number(i.premium_rcv_detail_code))+1 from ins_premium_det i),'574.05','574.05','03', '09000800','00');</v>
      </c>
    </row>
    <row r="69" spans="1:8" ht="75" x14ac:dyDescent="0.25">
      <c r="A69" s="17" t="s">
        <v>132</v>
      </c>
      <c r="B69" s="51" t="str">
        <f>VLOOKUP(A69,policywithagency!B:C,2,0)</f>
        <v>070000173604</v>
      </c>
      <c r="C69" s="24">
        <v>606.44999999999993</v>
      </c>
      <c r="D69" s="48" t="s">
        <v>376</v>
      </c>
      <c r="E69" s="52" t="str">
        <f>VLOOKUP(A69,policywithagency!B:D,3,0)</f>
        <v>09000800</v>
      </c>
      <c r="F69" s="53" t="str">
        <f t="shared" si="3"/>
        <v>insert into ins_premium_det (premium_rcv_code,assorted_code, rec_amount,premium_rcv_detail_code,remaining_amt, payrec, mode_code,paid_to_code,class_cd) values</v>
      </c>
      <c r="G69" s="54" t="str">
        <f t="shared" si="4"/>
        <v>('27Mar250004','070000173604','606.45',(select max(to_number(i.premium_rcv_detail_code))+1 from ins_premium_det i),'606.45','606.45','03', '09000800','00');</v>
      </c>
      <c r="H69" s="55" t="str">
        <f t="shared" si="5"/>
        <v>insert into ins_premium_det (premium_rcv_code,assorted_code, rec_amount,premium_rcv_detail_code,remaining_amt, payrec, mode_code,paid_to_code,class_cd) values('27Mar250004','070000173604','606.45',(select max(to_number(i.premium_rcv_detail_code))+1 from ins_premium_det i),'606.45','606.45','03', '09000800','00');</v>
      </c>
    </row>
    <row r="70" spans="1:8" ht="75" x14ac:dyDescent="0.25">
      <c r="A70" s="17" t="s">
        <v>134</v>
      </c>
      <c r="B70" s="51" t="str">
        <f>VLOOKUP(A70,policywithagency!B:C,2,0)</f>
        <v>070000173623</v>
      </c>
      <c r="C70" s="24">
        <v>45</v>
      </c>
      <c r="D70" s="48" t="s">
        <v>376</v>
      </c>
      <c r="E70" s="52" t="str">
        <f>VLOOKUP(A70,policywithagency!B:D,3,0)</f>
        <v>09000800</v>
      </c>
      <c r="F70" s="53" t="str">
        <f t="shared" si="3"/>
        <v>insert into ins_premium_det (premium_rcv_code,assorted_code, rec_amount,premium_rcv_detail_code,remaining_amt, payrec, mode_code,paid_to_code,class_cd) values</v>
      </c>
      <c r="G70" s="54" t="str">
        <f t="shared" si="4"/>
        <v>('27Mar250004','070000173623','45',(select max(to_number(i.premium_rcv_detail_code))+1 from ins_premium_det i),'45','45','03', '09000800','00');</v>
      </c>
      <c r="H70" s="55" t="str">
        <f t="shared" si="5"/>
        <v>insert into ins_premium_det (premium_rcv_code,assorted_code, rec_amount,premium_rcv_detail_code,remaining_amt, payrec, mode_code,paid_to_code,class_cd) values('27Mar250004','070000173623','45',(select max(to_number(i.premium_rcv_detail_code))+1 from ins_premium_det i),'45','45','03', '09000800','00');</v>
      </c>
    </row>
    <row r="71" spans="1:8" ht="75" x14ac:dyDescent="0.25">
      <c r="A71" s="17" t="s">
        <v>136</v>
      </c>
      <c r="B71" s="51" t="str">
        <f>VLOOKUP(A71,policywithagency!B:C,2,0)</f>
        <v>070000173624</v>
      </c>
      <c r="C71" s="24">
        <v>45</v>
      </c>
      <c r="D71" s="48" t="s">
        <v>376</v>
      </c>
      <c r="E71" s="52" t="str">
        <f>VLOOKUP(A71,policywithagency!B:D,3,0)</f>
        <v>09000800</v>
      </c>
      <c r="F71" s="53" t="str">
        <f t="shared" si="3"/>
        <v>insert into ins_premium_det (premium_rcv_code,assorted_code, rec_amount,premium_rcv_detail_code,remaining_amt, payrec, mode_code,paid_to_code,class_cd) values</v>
      </c>
      <c r="G71" s="54" t="str">
        <f t="shared" si="4"/>
        <v>('27Mar250004','070000173624','45',(select max(to_number(i.premium_rcv_detail_code))+1 from ins_premium_det i),'45','45','03', '09000800','00');</v>
      </c>
      <c r="H71" s="55" t="str">
        <f t="shared" si="5"/>
        <v>insert into ins_premium_det (premium_rcv_code,assorted_code, rec_amount,premium_rcv_detail_code,remaining_amt, payrec, mode_code,paid_to_code,class_cd) values('27Mar250004','070000173624','45',(select max(to_number(i.premium_rcv_detail_code))+1 from ins_premium_det i),'45','45','03', '09000800','00');</v>
      </c>
    </row>
    <row r="72" spans="1:8" ht="75" x14ac:dyDescent="0.25">
      <c r="A72" s="17" t="s">
        <v>137</v>
      </c>
      <c r="B72" s="51" t="str">
        <f>VLOOKUP(A72,policywithagency!B:C,2,0)</f>
        <v>070000174847</v>
      </c>
      <c r="C72" s="24">
        <v>220.35</v>
      </c>
      <c r="D72" s="48" t="s">
        <v>376</v>
      </c>
      <c r="E72" s="52" t="str">
        <f>VLOOKUP(A72,policywithagency!B:D,3,0)</f>
        <v>09000800</v>
      </c>
      <c r="F72" s="53" t="str">
        <f t="shared" si="3"/>
        <v>insert into ins_premium_det (premium_rcv_code,assorted_code, rec_amount,premium_rcv_detail_code,remaining_amt, payrec, mode_code,paid_to_code,class_cd) values</v>
      </c>
      <c r="G72" s="54" t="str">
        <f t="shared" si="4"/>
        <v>('27Mar250004','070000174847','220.35',(select max(to_number(i.premium_rcv_detail_code))+1 from ins_premium_det i),'220.35','220.35','03', '09000800','00');</v>
      </c>
      <c r="H72" s="55" t="str">
        <f t="shared" si="5"/>
        <v>insert into ins_premium_det (premium_rcv_code,assorted_code, rec_amount,premium_rcv_detail_code,remaining_amt, payrec, mode_code,paid_to_code,class_cd) values('27Mar250004','070000174847','220.35',(select max(to_number(i.premium_rcv_detail_code))+1 from ins_premium_det i),'220.35','220.35','03', '09000800','00');</v>
      </c>
    </row>
    <row r="73" spans="1:8" ht="75" x14ac:dyDescent="0.25">
      <c r="A73" s="30" t="s">
        <v>191</v>
      </c>
      <c r="B73" s="51" t="str">
        <f>VLOOKUP(A73,policywithagency!B:C,2,0)</f>
        <v>050000867101</v>
      </c>
      <c r="C73" s="24">
        <v>-358</v>
      </c>
      <c r="D73" s="48" t="s">
        <v>376</v>
      </c>
      <c r="E73" s="52" t="str">
        <f>VLOOKUP(A73,policywithagency!B:D,3,0)</f>
        <v>09000800</v>
      </c>
      <c r="F73" s="53" t="str">
        <f t="shared" si="3"/>
        <v>insert into ins_premium_det (premium_rcv_code,assorted_code, rec_amount,premium_rcv_detail_code,remaining_amt, payrec, mode_code,paid_to_code,class_cd) values</v>
      </c>
      <c r="G73" s="54" t="str">
        <f t="shared" si="4"/>
        <v>('27Mar250004','050000867101','-358',(select max(to_number(i.premium_rcv_detail_code))+1 from ins_premium_det i),'-358','-358','03', '09000800','00');</v>
      </c>
      <c r="H73" s="55" t="str">
        <f t="shared" si="5"/>
        <v>insert into ins_premium_det (premium_rcv_code,assorted_code, rec_amount,premium_rcv_detail_code,remaining_amt, payrec, mode_code,paid_to_code,class_cd) values('27Mar250004','050000867101','-358',(select max(to_number(i.premium_rcv_detail_code))+1 from ins_premium_det i),'-358','-358','03', '09000800','00');</v>
      </c>
    </row>
    <row r="74" spans="1:8" ht="75" x14ac:dyDescent="0.25">
      <c r="A74" s="17" t="s">
        <v>188</v>
      </c>
      <c r="B74" s="51" t="str">
        <f>VLOOKUP(A74,policywithagency!B:C,2,0)</f>
        <v>050000842290</v>
      </c>
      <c r="C74" s="24">
        <v>6858</v>
      </c>
      <c r="D74" s="48" t="s">
        <v>376</v>
      </c>
      <c r="E74" s="52" t="str">
        <f>VLOOKUP(A74,policywithagency!B:D,3,0)</f>
        <v>09000800</v>
      </c>
      <c r="F74" s="53" t="str">
        <f t="shared" si="3"/>
        <v>insert into ins_premium_det (premium_rcv_code,assorted_code, rec_amount,premium_rcv_detail_code,remaining_amt, payrec, mode_code,paid_to_code,class_cd) values</v>
      </c>
      <c r="G74" s="54" t="str">
        <f t="shared" si="4"/>
        <v>('27Mar250004','050000842290','6858',(select max(to_number(i.premium_rcv_detail_code))+1 from ins_premium_det i),'6858','6858','03', '09000800','00');</v>
      </c>
      <c r="H74" s="55" t="str">
        <f t="shared" si="5"/>
        <v>insert into ins_premium_det (premium_rcv_code,assorted_code, rec_amount,premium_rcv_detail_code,remaining_amt, payrec, mode_code,paid_to_code,class_cd) values('27Mar250004','050000842290','6858',(select max(to_number(i.premium_rcv_detail_code))+1 from ins_premium_det i),'6858','6858','03', '09000800','00');</v>
      </c>
    </row>
    <row r="75" spans="1:8" ht="75" x14ac:dyDescent="0.25">
      <c r="A75" s="17" t="s">
        <v>75</v>
      </c>
      <c r="B75" s="51" t="str">
        <f>VLOOKUP(A75,policywithagency!B:C,2,0)</f>
        <v>040000188379</v>
      </c>
      <c r="C75" s="24">
        <v>42064</v>
      </c>
      <c r="D75" s="48" t="s">
        <v>376</v>
      </c>
      <c r="E75" s="52" t="str">
        <f>VLOOKUP(A75,policywithagency!B:D,3,0)</f>
        <v>09000800</v>
      </c>
      <c r="F75" s="53" t="str">
        <f t="shared" si="3"/>
        <v>insert into ins_premium_det (premium_rcv_code,assorted_code, rec_amount,premium_rcv_detail_code,remaining_amt, payrec, mode_code,paid_to_code,class_cd) values</v>
      </c>
      <c r="G75" s="54" t="str">
        <f t="shared" si="4"/>
        <v>('27Mar250004','040000188379','42064',(select max(to_number(i.premium_rcv_detail_code))+1 from ins_premium_det i),'42064','42064','03', '09000800','00');</v>
      </c>
      <c r="H75" s="55" t="str">
        <f t="shared" si="5"/>
        <v>insert into ins_premium_det (premium_rcv_code,assorted_code, rec_amount,premium_rcv_detail_code,remaining_amt, payrec, mode_code,paid_to_code,class_cd) values('27Mar250004','040000188379','42064',(select max(to_number(i.premium_rcv_detail_code))+1 from ins_premium_det i),'42064','42064','03', '09000800','00');</v>
      </c>
    </row>
    <row r="76" spans="1:8" ht="75" x14ac:dyDescent="0.25">
      <c r="A76" s="17" t="s">
        <v>187</v>
      </c>
      <c r="B76" s="51" t="str">
        <f>VLOOKUP(A76,policywithagency!B:C,2,0)</f>
        <v>050000855943</v>
      </c>
      <c r="C76" s="33">
        <v>-966</v>
      </c>
      <c r="D76" s="48" t="s">
        <v>376</v>
      </c>
      <c r="E76" s="52" t="str">
        <f>VLOOKUP(A76,policywithagency!B:D,3,0)</f>
        <v>09000800</v>
      </c>
      <c r="F76" s="53" t="str">
        <f t="shared" si="3"/>
        <v>insert into ins_premium_det (premium_rcv_code,assorted_code, rec_amount,premium_rcv_detail_code,remaining_amt, payrec, mode_code,paid_to_code,class_cd) values</v>
      </c>
      <c r="G76" s="54" t="str">
        <f t="shared" si="4"/>
        <v>('27Mar250004','050000855943','-966',(select max(to_number(i.premium_rcv_detail_code))+1 from ins_premium_det i),'-966','-966','03', '09000800','00');</v>
      </c>
      <c r="H76" s="55" t="str">
        <f t="shared" si="5"/>
        <v>insert into ins_premium_det (premium_rcv_code,assorted_code, rec_amount,premium_rcv_detail_code,remaining_amt, payrec, mode_code,paid_to_code,class_cd) values('27Mar250004','050000855943','-966',(select max(to_number(i.premium_rcv_detail_code))+1 from ins_premium_det i),'-966','-966','03', '09000800','00');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1810-C1A8-4243-88A1-9FA2EFC14E47}">
  <dimension ref="A1:D116"/>
  <sheetViews>
    <sheetView workbookViewId="0">
      <selection activeCell="H9" sqref="H9"/>
    </sheetView>
  </sheetViews>
  <sheetFormatPr defaultColWidth="7.85546875" defaultRowHeight="15" x14ac:dyDescent="0.25"/>
  <cols>
    <col min="1" max="1" width="3.140625" customWidth="1"/>
    <col min="2" max="2" width="33.5703125" customWidth="1"/>
    <col min="3" max="3" width="14" customWidth="1"/>
    <col min="4" max="4" width="12.7109375" customWidth="1"/>
  </cols>
  <sheetData>
    <row r="1" spans="1:4" s="41" customFormat="1" ht="12" x14ac:dyDescent="0.2">
      <c r="A1" s="41" t="s">
        <v>215</v>
      </c>
      <c r="B1" s="41" t="s">
        <v>216</v>
      </c>
      <c r="C1" s="41" t="s">
        <v>217</v>
      </c>
      <c r="D1" s="41" t="s">
        <v>377</v>
      </c>
    </row>
    <row r="2" spans="1:4" x14ac:dyDescent="0.25">
      <c r="A2">
        <v>1</v>
      </c>
      <c r="B2" t="s">
        <v>218</v>
      </c>
      <c r="C2" t="s">
        <v>219</v>
      </c>
      <c r="D2" t="s">
        <v>378</v>
      </c>
    </row>
    <row r="3" spans="1:4" x14ac:dyDescent="0.25">
      <c r="A3">
        <v>2</v>
      </c>
      <c r="B3" t="s">
        <v>220</v>
      </c>
      <c r="C3" t="s">
        <v>221</v>
      </c>
      <c r="D3" t="s">
        <v>379</v>
      </c>
    </row>
    <row r="4" spans="1:4" x14ac:dyDescent="0.25">
      <c r="A4">
        <v>3</v>
      </c>
      <c r="B4" t="s">
        <v>222</v>
      </c>
      <c r="C4" t="s">
        <v>223</v>
      </c>
      <c r="D4" t="s">
        <v>379</v>
      </c>
    </row>
    <row r="5" spans="1:4" x14ac:dyDescent="0.25">
      <c r="A5">
        <v>4</v>
      </c>
      <c r="B5" t="s">
        <v>224</v>
      </c>
      <c r="C5" t="s">
        <v>225</v>
      </c>
      <c r="D5" t="s">
        <v>379</v>
      </c>
    </row>
    <row r="6" spans="1:4" x14ac:dyDescent="0.25">
      <c r="A6">
        <v>5</v>
      </c>
      <c r="B6" t="s">
        <v>226</v>
      </c>
      <c r="C6" t="s">
        <v>227</v>
      </c>
      <c r="D6" t="s">
        <v>378</v>
      </c>
    </row>
    <row r="7" spans="1:4" x14ac:dyDescent="0.25">
      <c r="A7">
        <v>6</v>
      </c>
      <c r="B7" t="s">
        <v>228</v>
      </c>
      <c r="C7" t="s">
        <v>229</v>
      </c>
      <c r="D7" t="s">
        <v>379</v>
      </c>
    </row>
    <row r="8" spans="1:4" x14ac:dyDescent="0.25">
      <c r="A8">
        <v>7</v>
      </c>
      <c r="B8" t="s">
        <v>230</v>
      </c>
      <c r="C8" t="s">
        <v>231</v>
      </c>
      <c r="D8" t="s">
        <v>379</v>
      </c>
    </row>
    <row r="9" spans="1:4" x14ac:dyDescent="0.25">
      <c r="A9">
        <v>8</v>
      </c>
      <c r="B9" t="s">
        <v>32</v>
      </c>
      <c r="C9" t="s">
        <v>232</v>
      </c>
      <c r="D9" t="s">
        <v>380</v>
      </c>
    </row>
    <row r="10" spans="1:4" x14ac:dyDescent="0.25">
      <c r="A10">
        <v>9</v>
      </c>
      <c r="B10" t="s">
        <v>233</v>
      </c>
      <c r="C10" t="s">
        <v>234</v>
      </c>
      <c r="D10" t="s">
        <v>381</v>
      </c>
    </row>
    <row r="11" spans="1:4" x14ac:dyDescent="0.25">
      <c r="A11">
        <v>10</v>
      </c>
      <c r="B11" t="s">
        <v>54</v>
      </c>
      <c r="C11" t="s">
        <v>235</v>
      </c>
      <c r="D11" t="s">
        <v>380</v>
      </c>
    </row>
    <row r="12" spans="1:4" x14ac:dyDescent="0.25">
      <c r="A12">
        <v>11</v>
      </c>
      <c r="B12" t="s">
        <v>236</v>
      </c>
      <c r="C12" t="s">
        <v>237</v>
      </c>
      <c r="D12" t="s">
        <v>382</v>
      </c>
    </row>
    <row r="13" spans="1:4" x14ac:dyDescent="0.25">
      <c r="A13">
        <v>12</v>
      </c>
      <c r="B13" t="s">
        <v>238</v>
      </c>
      <c r="C13" t="s">
        <v>239</v>
      </c>
      <c r="D13" t="s">
        <v>379</v>
      </c>
    </row>
    <row r="14" spans="1:4" x14ac:dyDescent="0.25">
      <c r="A14">
        <v>13</v>
      </c>
      <c r="B14" t="s">
        <v>240</v>
      </c>
      <c r="C14" t="s">
        <v>241</v>
      </c>
      <c r="D14" t="s">
        <v>379</v>
      </c>
    </row>
    <row r="15" spans="1:4" x14ac:dyDescent="0.25">
      <c r="A15">
        <v>14</v>
      </c>
      <c r="B15" t="s">
        <v>242</v>
      </c>
      <c r="C15" t="s">
        <v>243</v>
      </c>
      <c r="D15" t="s">
        <v>383</v>
      </c>
    </row>
    <row r="16" spans="1:4" x14ac:dyDescent="0.25">
      <c r="A16">
        <v>15</v>
      </c>
      <c r="B16" t="s">
        <v>244</v>
      </c>
      <c r="C16" t="s">
        <v>245</v>
      </c>
      <c r="D16" t="s">
        <v>382</v>
      </c>
    </row>
    <row r="17" spans="1:4" x14ac:dyDescent="0.25">
      <c r="A17">
        <v>16</v>
      </c>
      <c r="B17" t="s">
        <v>8</v>
      </c>
      <c r="C17" t="s">
        <v>246</v>
      </c>
      <c r="D17" t="s">
        <v>380</v>
      </c>
    </row>
    <row r="18" spans="1:4" x14ac:dyDescent="0.25">
      <c r="A18">
        <v>17</v>
      </c>
      <c r="B18" t="s">
        <v>247</v>
      </c>
      <c r="C18" t="s">
        <v>248</v>
      </c>
      <c r="D18" t="s">
        <v>378</v>
      </c>
    </row>
    <row r="19" spans="1:4" x14ac:dyDescent="0.25">
      <c r="A19">
        <v>18</v>
      </c>
      <c r="B19" t="s">
        <v>249</v>
      </c>
      <c r="C19" t="s">
        <v>250</v>
      </c>
      <c r="D19" t="s">
        <v>378</v>
      </c>
    </row>
    <row r="20" spans="1:4" x14ac:dyDescent="0.25">
      <c r="A20">
        <v>19</v>
      </c>
      <c r="B20" t="s">
        <v>251</v>
      </c>
      <c r="C20" t="s">
        <v>252</v>
      </c>
      <c r="D20" t="s">
        <v>379</v>
      </c>
    </row>
    <row r="21" spans="1:4" x14ac:dyDescent="0.25">
      <c r="A21">
        <v>20</v>
      </c>
      <c r="B21" t="s">
        <v>253</v>
      </c>
      <c r="C21" t="s">
        <v>254</v>
      </c>
      <c r="D21" t="s">
        <v>379</v>
      </c>
    </row>
    <row r="22" spans="1:4" x14ac:dyDescent="0.25">
      <c r="A22">
        <v>21</v>
      </c>
      <c r="B22" t="s">
        <v>255</v>
      </c>
      <c r="C22" t="s">
        <v>256</v>
      </c>
      <c r="D22" t="s">
        <v>382</v>
      </c>
    </row>
    <row r="23" spans="1:4" x14ac:dyDescent="0.25">
      <c r="A23">
        <v>22</v>
      </c>
      <c r="B23" t="s">
        <v>173</v>
      </c>
      <c r="C23" t="s">
        <v>257</v>
      </c>
      <c r="D23" t="s">
        <v>380</v>
      </c>
    </row>
    <row r="24" spans="1:4" x14ac:dyDescent="0.25">
      <c r="A24">
        <v>23</v>
      </c>
      <c r="B24" t="s">
        <v>60</v>
      </c>
      <c r="C24" t="s">
        <v>258</v>
      </c>
      <c r="D24" t="s">
        <v>380</v>
      </c>
    </row>
    <row r="25" spans="1:4" x14ac:dyDescent="0.25">
      <c r="A25">
        <v>24</v>
      </c>
      <c r="B25" t="s">
        <v>259</v>
      </c>
      <c r="C25" t="s">
        <v>260</v>
      </c>
      <c r="D25" t="s">
        <v>378</v>
      </c>
    </row>
    <row r="26" spans="1:4" x14ac:dyDescent="0.25">
      <c r="A26">
        <v>25</v>
      </c>
      <c r="B26" t="s">
        <v>144</v>
      </c>
      <c r="C26" t="s">
        <v>261</v>
      </c>
      <c r="D26" t="s">
        <v>380</v>
      </c>
    </row>
    <row r="27" spans="1:4" x14ac:dyDescent="0.25">
      <c r="A27">
        <v>26</v>
      </c>
      <c r="B27" t="s">
        <v>262</v>
      </c>
      <c r="C27" t="s">
        <v>263</v>
      </c>
      <c r="D27" t="s">
        <v>384</v>
      </c>
    </row>
    <row r="28" spans="1:4" x14ac:dyDescent="0.25">
      <c r="A28">
        <v>27</v>
      </c>
      <c r="B28" t="s">
        <v>264</v>
      </c>
      <c r="C28" t="s">
        <v>265</v>
      </c>
      <c r="D28" t="s">
        <v>378</v>
      </c>
    </row>
    <row r="29" spans="1:4" x14ac:dyDescent="0.25">
      <c r="A29">
        <v>28</v>
      </c>
      <c r="B29" t="s">
        <v>266</v>
      </c>
      <c r="C29" t="s">
        <v>267</v>
      </c>
      <c r="D29" t="s">
        <v>378</v>
      </c>
    </row>
    <row r="30" spans="1:4" x14ac:dyDescent="0.25">
      <c r="A30">
        <v>29</v>
      </c>
      <c r="B30" t="s">
        <v>268</v>
      </c>
      <c r="C30" t="s">
        <v>269</v>
      </c>
      <c r="D30" t="s">
        <v>378</v>
      </c>
    </row>
    <row r="31" spans="1:4" x14ac:dyDescent="0.25">
      <c r="A31">
        <v>30</v>
      </c>
      <c r="B31" t="s">
        <v>175</v>
      </c>
      <c r="C31" t="s">
        <v>270</v>
      </c>
      <c r="D31" t="s">
        <v>380</v>
      </c>
    </row>
    <row r="32" spans="1:4" x14ac:dyDescent="0.25">
      <c r="A32">
        <v>31</v>
      </c>
      <c r="B32" t="s">
        <v>11</v>
      </c>
      <c r="C32" t="s">
        <v>271</v>
      </c>
      <c r="D32" t="s">
        <v>380</v>
      </c>
    </row>
    <row r="33" spans="1:4" x14ac:dyDescent="0.25">
      <c r="A33">
        <v>32</v>
      </c>
      <c r="B33" t="s">
        <v>39</v>
      </c>
      <c r="C33" t="s">
        <v>272</v>
      </c>
      <c r="D33" t="s">
        <v>380</v>
      </c>
    </row>
    <row r="34" spans="1:4" x14ac:dyDescent="0.25">
      <c r="A34">
        <v>33</v>
      </c>
      <c r="B34" t="s">
        <v>17</v>
      </c>
      <c r="C34" t="s">
        <v>273</v>
      </c>
      <c r="D34" t="s">
        <v>380</v>
      </c>
    </row>
    <row r="35" spans="1:4" x14ac:dyDescent="0.25">
      <c r="A35">
        <v>34</v>
      </c>
      <c r="B35" t="s">
        <v>58</v>
      </c>
      <c r="C35" t="s">
        <v>274</v>
      </c>
      <c r="D35" t="s">
        <v>380</v>
      </c>
    </row>
    <row r="36" spans="1:4" x14ac:dyDescent="0.25">
      <c r="A36">
        <v>35</v>
      </c>
      <c r="B36" t="s">
        <v>275</v>
      </c>
      <c r="C36" t="s">
        <v>276</v>
      </c>
      <c r="D36" t="s">
        <v>385</v>
      </c>
    </row>
    <row r="37" spans="1:4" x14ac:dyDescent="0.25">
      <c r="A37">
        <v>36</v>
      </c>
      <c r="B37" t="s">
        <v>277</v>
      </c>
      <c r="C37" t="s">
        <v>278</v>
      </c>
      <c r="D37" t="s">
        <v>385</v>
      </c>
    </row>
    <row r="38" spans="1:4" x14ac:dyDescent="0.25">
      <c r="A38">
        <v>37</v>
      </c>
      <c r="B38" t="s">
        <v>279</v>
      </c>
      <c r="C38" t="s">
        <v>280</v>
      </c>
      <c r="D38" t="s">
        <v>385</v>
      </c>
    </row>
    <row r="39" spans="1:4" x14ac:dyDescent="0.25">
      <c r="A39">
        <v>38</v>
      </c>
      <c r="B39" t="s">
        <v>281</v>
      </c>
      <c r="C39" t="s">
        <v>282</v>
      </c>
      <c r="D39" t="s">
        <v>378</v>
      </c>
    </row>
    <row r="40" spans="1:4" x14ac:dyDescent="0.25">
      <c r="A40">
        <v>39</v>
      </c>
      <c r="B40" t="s">
        <v>283</v>
      </c>
      <c r="C40" t="s">
        <v>284</v>
      </c>
      <c r="D40" t="s">
        <v>386</v>
      </c>
    </row>
    <row r="41" spans="1:4" x14ac:dyDescent="0.25">
      <c r="A41">
        <v>40</v>
      </c>
      <c r="B41" t="s">
        <v>285</v>
      </c>
      <c r="C41" t="s">
        <v>286</v>
      </c>
      <c r="D41" t="s">
        <v>387</v>
      </c>
    </row>
    <row r="42" spans="1:4" x14ac:dyDescent="0.25">
      <c r="A42">
        <v>41</v>
      </c>
      <c r="B42" t="s">
        <v>75</v>
      </c>
      <c r="C42" t="s">
        <v>287</v>
      </c>
      <c r="D42" t="s">
        <v>380</v>
      </c>
    </row>
    <row r="43" spans="1:4" x14ac:dyDescent="0.25">
      <c r="A43">
        <v>42</v>
      </c>
      <c r="B43" t="s">
        <v>288</v>
      </c>
      <c r="C43" t="s">
        <v>289</v>
      </c>
      <c r="D43" t="s">
        <v>388</v>
      </c>
    </row>
    <row r="44" spans="1:4" x14ac:dyDescent="0.25">
      <c r="A44">
        <v>43</v>
      </c>
      <c r="B44" t="s">
        <v>141</v>
      </c>
      <c r="C44" t="s">
        <v>290</v>
      </c>
      <c r="D44" t="s">
        <v>380</v>
      </c>
    </row>
    <row r="45" spans="1:4" x14ac:dyDescent="0.25">
      <c r="A45">
        <v>44</v>
      </c>
      <c r="B45" t="s">
        <v>14</v>
      </c>
      <c r="C45" t="s">
        <v>291</v>
      </c>
      <c r="D45" t="s">
        <v>380</v>
      </c>
    </row>
    <row r="46" spans="1:4" x14ac:dyDescent="0.25">
      <c r="A46">
        <v>45</v>
      </c>
      <c r="B46" t="s">
        <v>292</v>
      </c>
      <c r="C46" t="s">
        <v>293</v>
      </c>
      <c r="D46" t="s">
        <v>379</v>
      </c>
    </row>
    <row r="47" spans="1:4" x14ac:dyDescent="0.25">
      <c r="A47">
        <v>46</v>
      </c>
      <c r="B47" t="s">
        <v>294</v>
      </c>
      <c r="C47" t="s">
        <v>295</v>
      </c>
      <c r="D47" t="s">
        <v>383</v>
      </c>
    </row>
    <row r="48" spans="1:4" x14ac:dyDescent="0.25">
      <c r="A48">
        <v>47</v>
      </c>
      <c r="B48" t="s">
        <v>296</v>
      </c>
      <c r="C48" t="s">
        <v>297</v>
      </c>
      <c r="D48" t="s">
        <v>383</v>
      </c>
    </row>
    <row r="49" spans="1:4" x14ac:dyDescent="0.25">
      <c r="A49">
        <v>48</v>
      </c>
      <c r="B49" t="s">
        <v>145</v>
      </c>
      <c r="C49" t="s">
        <v>298</v>
      </c>
      <c r="D49" t="s">
        <v>380</v>
      </c>
    </row>
    <row r="50" spans="1:4" x14ac:dyDescent="0.25">
      <c r="A50">
        <v>49</v>
      </c>
      <c r="B50" t="s">
        <v>42</v>
      </c>
      <c r="C50" t="s">
        <v>299</v>
      </c>
      <c r="D50" t="s">
        <v>380</v>
      </c>
    </row>
    <row r="51" spans="1:4" x14ac:dyDescent="0.25">
      <c r="A51">
        <v>50</v>
      </c>
      <c r="B51" t="s">
        <v>300</v>
      </c>
      <c r="C51" t="s">
        <v>301</v>
      </c>
      <c r="D51" t="s">
        <v>378</v>
      </c>
    </row>
    <row r="52" spans="1:4" x14ac:dyDescent="0.25">
      <c r="A52">
        <v>51</v>
      </c>
      <c r="B52" t="s">
        <v>20</v>
      </c>
      <c r="C52" t="s">
        <v>302</v>
      </c>
      <c r="D52" t="s">
        <v>380</v>
      </c>
    </row>
    <row r="53" spans="1:4" x14ac:dyDescent="0.25">
      <c r="A53">
        <v>52</v>
      </c>
      <c r="B53" t="s">
        <v>303</v>
      </c>
      <c r="C53" t="s">
        <v>304</v>
      </c>
      <c r="D53" t="s">
        <v>389</v>
      </c>
    </row>
    <row r="54" spans="1:4" x14ac:dyDescent="0.25">
      <c r="A54">
        <v>53</v>
      </c>
      <c r="B54" t="s">
        <v>147</v>
      </c>
      <c r="C54" t="s">
        <v>305</v>
      </c>
      <c r="D54" t="s">
        <v>380</v>
      </c>
    </row>
    <row r="55" spans="1:4" x14ac:dyDescent="0.25">
      <c r="A55">
        <v>54</v>
      </c>
      <c r="B55" t="s">
        <v>140</v>
      </c>
      <c r="C55" t="s">
        <v>306</v>
      </c>
      <c r="D55" t="s">
        <v>380</v>
      </c>
    </row>
    <row r="56" spans="1:4" x14ac:dyDescent="0.25">
      <c r="A56">
        <v>55</v>
      </c>
      <c r="B56" t="s">
        <v>47</v>
      </c>
      <c r="C56" t="s">
        <v>307</v>
      </c>
      <c r="D56" t="s">
        <v>380</v>
      </c>
    </row>
    <row r="57" spans="1:4" x14ac:dyDescent="0.25">
      <c r="A57">
        <v>56</v>
      </c>
      <c r="B57" t="s">
        <v>308</v>
      </c>
      <c r="C57" t="s">
        <v>309</v>
      </c>
      <c r="D57" t="s">
        <v>390</v>
      </c>
    </row>
    <row r="58" spans="1:4" x14ac:dyDescent="0.25">
      <c r="A58">
        <v>57</v>
      </c>
      <c r="B58" t="s">
        <v>56</v>
      </c>
      <c r="C58" t="s">
        <v>310</v>
      </c>
      <c r="D58" t="s">
        <v>380</v>
      </c>
    </row>
    <row r="59" spans="1:4" x14ac:dyDescent="0.25">
      <c r="A59">
        <v>58</v>
      </c>
      <c r="B59" t="s">
        <v>311</v>
      </c>
      <c r="C59" t="s">
        <v>312</v>
      </c>
      <c r="D59" t="s">
        <v>382</v>
      </c>
    </row>
    <row r="60" spans="1:4" x14ac:dyDescent="0.25">
      <c r="A60">
        <v>59</v>
      </c>
      <c r="B60" t="s">
        <v>36</v>
      </c>
      <c r="C60" t="s">
        <v>313</v>
      </c>
      <c r="D60" t="s">
        <v>380</v>
      </c>
    </row>
    <row r="61" spans="1:4" x14ac:dyDescent="0.25">
      <c r="A61">
        <v>60</v>
      </c>
      <c r="B61" t="s">
        <v>45</v>
      </c>
      <c r="C61" t="s">
        <v>314</v>
      </c>
      <c r="D61" t="s">
        <v>380</v>
      </c>
    </row>
    <row r="62" spans="1:4" x14ac:dyDescent="0.25">
      <c r="A62">
        <v>61</v>
      </c>
      <c r="B62" t="s">
        <v>50</v>
      </c>
      <c r="C62" t="s">
        <v>315</v>
      </c>
      <c r="D62" t="s">
        <v>380</v>
      </c>
    </row>
    <row r="63" spans="1:4" x14ac:dyDescent="0.25">
      <c r="A63">
        <v>62</v>
      </c>
      <c r="B63" t="s">
        <v>29</v>
      </c>
      <c r="C63" t="s">
        <v>316</v>
      </c>
      <c r="D63" t="s">
        <v>380</v>
      </c>
    </row>
    <row r="64" spans="1:4" x14ac:dyDescent="0.25">
      <c r="A64">
        <v>63</v>
      </c>
      <c r="B64" t="s">
        <v>23</v>
      </c>
      <c r="C64" t="s">
        <v>317</v>
      </c>
      <c r="D64" t="s">
        <v>380</v>
      </c>
    </row>
    <row r="65" spans="1:4" x14ac:dyDescent="0.25">
      <c r="A65">
        <v>64</v>
      </c>
      <c r="B65" t="s">
        <v>26</v>
      </c>
      <c r="C65" t="s">
        <v>318</v>
      </c>
      <c r="D65" t="s">
        <v>380</v>
      </c>
    </row>
    <row r="66" spans="1:4" x14ac:dyDescent="0.25">
      <c r="A66">
        <v>65</v>
      </c>
      <c r="B66" t="s">
        <v>146</v>
      </c>
      <c r="C66" t="s">
        <v>319</v>
      </c>
      <c r="D66" t="s">
        <v>380</v>
      </c>
    </row>
    <row r="67" spans="1:4" x14ac:dyDescent="0.25">
      <c r="A67">
        <v>66</v>
      </c>
      <c r="B67" t="s">
        <v>143</v>
      </c>
      <c r="C67" t="s">
        <v>320</v>
      </c>
      <c r="D67" t="s">
        <v>380</v>
      </c>
    </row>
    <row r="68" spans="1:4" x14ac:dyDescent="0.25">
      <c r="A68">
        <v>67</v>
      </c>
      <c r="B68" t="s">
        <v>174</v>
      </c>
      <c r="C68" t="s">
        <v>321</v>
      </c>
      <c r="D68" t="s">
        <v>380</v>
      </c>
    </row>
    <row r="69" spans="1:4" x14ac:dyDescent="0.25">
      <c r="A69">
        <v>68</v>
      </c>
      <c r="B69" t="s">
        <v>142</v>
      </c>
      <c r="C69" t="s">
        <v>322</v>
      </c>
      <c r="D69" t="s">
        <v>380</v>
      </c>
    </row>
    <row r="70" spans="1:4" x14ac:dyDescent="0.25">
      <c r="A70">
        <v>69</v>
      </c>
      <c r="B70" t="s">
        <v>176</v>
      </c>
      <c r="C70" t="s">
        <v>323</v>
      </c>
      <c r="D70" t="s">
        <v>380</v>
      </c>
    </row>
    <row r="71" spans="1:4" x14ac:dyDescent="0.25">
      <c r="A71">
        <v>70</v>
      </c>
      <c r="B71" t="s">
        <v>177</v>
      </c>
      <c r="C71" t="s">
        <v>324</v>
      </c>
      <c r="D71" t="s">
        <v>380</v>
      </c>
    </row>
    <row r="72" spans="1:4" x14ac:dyDescent="0.25">
      <c r="A72">
        <v>71</v>
      </c>
      <c r="B72" t="s">
        <v>162</v>
      </c>
      <c r="C72" t="s">
        <v>325</v>
      </c>
      <c r="D72" t="s">
        <v>380</v>
      </c>
    </row>
    <row r="73" spans="1:4" x14ac:dyDescent="0.25">
      <c r="A73">
        <v>72</v>
      </c>
      <c r="B73" t="s">
        <v>148</v>
      </c>
      <c r="C73" t="s">
        <v>326</v>
      </c>
      <c r="D73" t="s">
        <v>380</v>
      </c>
    </row>
    <row r="74" spans="1:4" x14ac:dyDescent="0.25">
      <c r="A74">
        <v>73</v>
      </c>
      <c r="B74" t="s">
        <v>168</v>
      </c>
      <c r="C74" t="s">
        <v>327</v>
      </c>
      <c r="D74" t="s">
        <v>380</v>
      </c>
    </row>
    <row r="75" spans="1:4" x14ac:dyDescent="0.25">
      <c r="A75">
        <v>74</v>
      </c>
      <c r="B75" t="s">
        <v>134</v>
      </c>
      <c r="C75" t="s">
        <v>328</v>
      </c>
      <c r="D75" t="s">
        <v>380</v>
      </c>
    </row>
    <row r="76" spans="1:4" x14ac:dyDescent="0.25">
      <c r="A76">
        <v>75</v>
      </c>
      <c r="B76" t="s">
        <v>157</v>
      </c>
      <c r="C76" t="s">
        <v>329</v>
      </c>
      <c r="D76" t="s">
        <v>380</v>
      </c>
    </row>
    <row r="77" spans="1:4" x14ac:dyDescent="0.25">
      <c r="A77">
        <v>76</v>
      </c>
      <c r="B77" t="s">
        <v>136</v>
      </c>
      <c r="C77" t="s">
        <v>330</v>
      </c>
      <c r="D77" t="s">
        <v>380</v>
      </c>
    </row>
    <row r="78" spans="1:4" x14ac:dyDescent="0.25">
      <c r="A78">
        <v>77</v>
      </c>
      <c r="B78" t="s">
        <v>153</v>
      </c>
      <c r="C78" t="s">
        <v>331</v>
      </c>
      <c r="D78" t="s">
        <v>380</v>
      </c>
    </row>
    <row r="79" spans="1:4" x14ac:dyDescent="0.25">
      <c r="A79">
        <v>78</v>
      </c>
      <c r="B79" t="s">
        <v>163</v>
      </c>
      <c r="C79" t="s">
        <v>332</v>
      </c>
      <c r="D79" t="s">
        <v>380</v>
      </c>
    </row>
    <row r="80" spans="1:4" x14ac:dyDescent="0.25">
      <c r="A80">
        <v>79</v>
      </c>
      <c r="B80" t="s">
        <v>165</v>
      </c>
      <c r="C80" t="s">
        <v>333</v>
      </c>
      <c r="D80" t="s">
        <v>380</v>
      </c>
    </row>
    <row r="81" spans="1:4" x14ac:dyDescent="0.25">
      <c r="A81">
        <v>80</v>
      </c>
      <c r="B81" t="s">
        <v>186</v>
      </c>
      <c r="C81" t="s">
        <v>334</v>
      </c>
      <c r="D81" t="s">
        <v>380</v>
      </c>
    </row>
    <row r="82" spans="1:4" x14ac:dyDescent="0.25">
      <c r="A82">
        <v>81</v>
      </c>
      <c r="B82" t="s">
        <v>180</v>
      </c>
      <c r="C82" t="s">
        <v>335</v>
      </c>
      <c r="D82" t="s">
        <v>380</v>
      </c>
    </row>
    <row r="83" spans="1:4" x14ac:dyDescent="0.25">
      <c r="A83">
        <v>82</v>
      </c>
      <c r="B83" t="s">
        <v>183</v>
      </c>
      <c r="C83" t="s">
        <v>336</v>
      </c>
      <c r="D83" t="s">
        <v>380</v>
      </c>
    </row>
    <row r="84" spans="1:4" x14ac:dyDescent="0.25">
      <c r="A84">
        <v>83</v>
      </c>
      <c r="B84" t="s">
        <v>337</v>
      </c>
      <c r="C84" t="s">
        <v>338</v>
      </c>
      <c r="D84" t="s">
        <v>391</v>
      </c>
    </row>
    <row r="85" spans="1:4" x14ac:dyDescent="0.25">
      <c r="A85">
        <v>84</v>
      </c>
      <c r="B85" t="s">
        <v>149</v>
      </c>
      <c r="C85" t="s">
        <v>339</v>
      </c>
      <c r="D85" t="s">
        <v>380</v>
      </c>
    </row>
    <row r="86" spans="1:4" x14ac:dyDescent="0.25">
      <c r="A86">
        <v>85</v>
      </c>
      <c r="B86" t="s">
        <v>182</v>
      </c>
      <c r="C86" t="s">
        <v>340</v>
      </c>
      <c r="D86" t="s">
        <v>380</v>
      </c>
    </row>
    <row r="87" spans="1:4" x14ac:dyDescent="0.25">
      <c r="A87">
        <v>86</v>
      </c>
      <c r="B87" t="s">
        <v>185</v>
      </c>
      <c r="C87" t="s">
        <v>341</v>
      </c>
      <c r="D87" t="s">
        <v>380</v>
      </c>
    </row>
    <row r="88" spans="1:4" x14ac:dyDescent="0.25">
      <c r="A88">
        <v>87</v>
      </c>
      <c r="B88" t="s">
        <v>167</v>
      </c>
      <c r="C88" t="s">
        <v>342</v>
      </c>
      <c r="D88" t="s">
        <v>380</v>
      </c>
    </row>
    <row r="89" spans="1:4" x14ac:dyDescent="0.25">
      <c r="A89">
        <v>88</v>
      </c>
      <c r="B89" t="s">
        <v>343</v>
      </c>
      <c r="C89" t="s">
        <v>344</v>
      </c>
      <c r="D89" t="s">
        <v>379</v>
      </c>
    </row>
    <row r="90" spans="1:4" x14ac:dyDescent="0.25">
      <c r="A90">
        <v>89</v>
      </c>
      <c r="B90" t="s">
        <v>164</v>
      </c>
      <c r="C90" t="s">
        <v>345</v>
      </c>
      <c r="D90" t="s">
        <v>380</v>
      </c>
    </row>
    <row r="91" spans="1:4" x14ac:dyDescent="0.25">
      <c r="A91">
        <v>90</v>
      </c>
      <c r="B91" t="s">
        <v>184</v>
      </c>
      <c r="C91" t="s">
        <v>346</v>
      </c>
      <c r="D91" t="s">
        <v>380</v>
      </c>
    </row>
    <row r="92" spans="1:4" x14ac:dyDescent="0.25">
      <c r="A92">
        <v>91</v>
      </c>
      <c r="B92" t="s">
        <v>159</v>
      </c>
      <c r="C92" t="s">
        <v>347</v>
      </c>
      <c r="D92" t="s">
        <v>380</v>
      </c>
    </row>
    <row r="93" spans="1:4" x14ac:dyDescent="0.25">
      <c r="A93">
        <v>92</v>
      </c>
      <c r="B93" t="s">
        <v>151</v>
      </c>
      <c r="C93" t="s">
        <v>348</v>
      </c>
      <c r="D93" t="s">
        <v>380</v>
      </c>
    </row>
    <row r="94" spans="1:4" x14ac:dyDescent="0.25">
      <c r="A94">
        <v>93</v>
      </c>
      <c r="B94" t="s">
        <v>179</v>
      </c>
      <c r="C94" t="s">
        <v>349</v>
      </c>
      <c r="D94" t="s">
        <v>380</v>
      </c>
    </row>
    <row r="95" spans="1:4" x14ac:dyDescent="0.25">
      <c r="A95">
        <v>94</v>
      </c>
      <c r="B95" t="s">
        <v>158</v>
      </c>
      <c r="C95" t="s">
        <v>350</v>
      </c>
      <c r="D95" t="s">
        <v>380</v>
      </c>
    </row>
    <row r="96" spans="1:4" x14ac:dyDescent="0.25">
      <c r="A96">
        <v>95</v>
      </c>
      <c r="B96" t="s">
        <v>160</v>
      </c>
      <c r="C96" t="s">
        <v>351</v>
      </c>
      <c r="D96" t="s">
        <v>380</v>
      </c>
    </row>
    <row r="97" spans="1:4" x14ac:dyDescent="0.25">
      <c r="A97">
        <v>96</v>
      </c>
      <c r="B97" t="s">
        <v>161</v>
      </c>
      <c r="C97" t="s">
        <v>352</v>
      </c>
      <c r="D97" t="s">
        <v>380</v>
      </c>
    </row>
    <row r="98" spans="1:4" x14ac:dyDescent="0.25">
      <c r="A98">
        <v>97</v>
      </c>
      <c r="B98" t="s">
        <v>152</v>
      </c>
      <c r="C98" t="s">
        <v>353</v>
      </c>
      <c r="D98" t="s">
        <v>380</v>
      </c>
    </row>
    <row r="99" spans="1:4" x14ac:dyDescent="0.25">
      <c r="A99">
        <v>98</v>
      </c>
      <c r="B99" t="s">
        <v>178</v>
      </c>
      <c r="C99" t="s">
        <v>354</v>
      </c>
      <c r="D99" t="s">
        <v>380</v>
      </c>
    </row>
    <row r="100" spans="1:4" x14ac:dyDescent="0.25">
      <c r="A100">
        <v>99</v>
      </c>
      <c r="B100" t="s">
        <v>188</v>
      </c>
      <c r="C100" t="s">
        <v>355</v>
      </c>
      <c r="D100" t="s">
        <v>380</v>
      </c>
    </row>
    <row r="101" spans="1:4" x14ac:dyDescent="0.25">
      <c r="A101">
        <v>100</v>
      </c>
      <c r="B101" t="s">
        <v>181</v>
      </c>
      <c r="C101" t="s">
        <v>356</v>
      </c>
      <c r="D101" t="s">
        <v>380</v>
      </c>
    </row>
    <row r="102" spans="1:4" x14ac:dyDescent="0.25">
      <c r="A102">
        <v>101</v>
      </c>
      <c r="B102" t="s">
        <v>155</v>
      </c>
      <c r="C102" t="s">
        <v>357</v>
      </c>
      <c r="D102" t="s">
        <v>380</v>
      </c>
    </row>
    <row r="103" spans="1:4" x14ac:dyDescent="0.25">
      <c r="A103">
        <v>102</v>
      </c>
      <c r="B103" t="s">
        <v>150</v>
      </c>
      <c r="C103" t="s">
        <v>358</v>
      </c>
      <c r="D103" t="s">
        <v>380</v>
      </c>
    </row>
    <row r="104" spans="1:4" x14ac:dyDescent="0.25">
      <c r="A104">
        <v>103</v>
      </c>
      <c r="B104" t="s">
        <v>52</v>
      </c>
      <c r="C104" t="s">
        <v>359</v>
      </c>
      <c r="D104" t="s">
        <v>380</v>
      </c>
    </row>
    <row r="105" spans="1:4" x14ac:dyDescent="0.25">
      <c r="A105">
        <v>104</v>
      </c>
      <c r="B105" t="s">
        <v>169</v>
      </c>
      <c r="C105" t="s">
        <v>360</v>
      </c>
      <c r="D105" t="s">
        <v>380</v>
      </c>
    </row>
    <row r="106" spans="1:4" x14ac:dyDescent="0.25">
      <c r="A106">
        <v>105</v>
      </c>
      <c r="B106" t="s">
        <v>156</v>
      </c>
      <c r="C106" t="s">
        <v>361</v>
      </c>
      <c r="D106" t="s">
        <v>380</v>
      </c>
    </row>
    <row r="107" spans="1:4" x14ac:dyDescent="0.25">
      <c r="A107">
        <v>106</v>
      </c>
      <c r="B107" t="s">
        <v>172</v>
      </c>
      <c r="C107" t="s">
        <v>362</v>
      </c>
      <c r="D107" t="s">
        <v>380</v>
      </c>
    </row>
    <row r="108" spans="1:4" x14ac:dyDescent="0.25">
      <c r="A108">
        <v>107</v>
      </c>
      <c r="B108" t="s">
        <v>166</v>
      </c>
      <c r="C108" t="s">
        <v>363</v>
      </c>
      <c r="D108" t="s">
        <v>380</v>
      </c>
    </row>
    <row r="109" spans="1:4" x14ac:dyDescent="0.25">
      <c r="A109">
        <v>108</v>
      </c>
      <c r="B109" t="s">
        <v>187</v>
      </c>
      <c r="C109" t="s">
        <v>364</v>
      </c>
      <c r="D109" t="s">
        <v>380</v>
      </c>
    </row>
    <row r="110" spans="1:4" x14ac:dyDescent="0.25">
      <c r="A110">
        <v>109</v>
      </c>
      <c r="B110" t="s">
        <v>154</v>
      </c>
      <c r="C110" t="s">
        <v>365</v>
      </c>
      <c r="D110" t="s">
        <v>380</v>
      </c>
    </row>
    <row r="111" spans="1:4" x14ac:dyDescent="0.25">
      <c r="A111">
        <v>110</v>
      </c>
      <c r="B111" t="s">
        <v>170</v>
      </c>
      <c r="C111" t="s">
        <v>366</v>
      </c>
      <c r="D111" t="s">
        <v>380</v>
      </c>
    </row>
    <row r="112" spans="1:4" x14ac:dyDescent="0.25">
      <c r="A112">
        <v>111</v>
      </c>
      <c r="B112" t="s">
        <v>171</v>
      </c>
      <c r="C112" t="s">
        <v>367</v>
      </c>
      <c r="D112" t="s">
        <v>380</v>
      </c>
    </row>
    <row r="113" spans="1:4" x14ac:dyDescent="0.25">
      <c r="A113">
        <v>112</v>
      </c>
      <c r="B113" t="s">
        <v>137</v>
      </c>
      <c r="C113" t="s">
        <v>368</v>
      </c>
      <c r="D113" t="s">
        <v>380</v>
      </c>
    </row>
    <row r="114" spans="1:4" x14ac:dyDescent="0.25">
      <c r="A114">
        <v>113</v>
      </c>
      <c r="B114" t="s">
        <v>132</v>
      </c>
      <c r="C114" t="s">
        <v>369</v>
      </c>
      <c r="D114" t="s">
        <v>380</v>
      </c>
    </row>
    <row r="115" spans="1:4" x14ac:dyDescent="0.25">
      <c r="A115">
        <v>114</v>
      </c>
      <c r="B115" t="s">
        <v>191</v>
      </c>
      <c r="C115" t="s">
        <v>370</v>
      </c>
      <c r="D115" t="s">
        <v>380</v>
      </c>
    </row>
    <row r="116" spans="1:4" x14ac:dyDescent="0.25">
      <c r="A116">
        <v>115</v>
      </c>
      <c r="B116" t="s">
        <v>371</v>
      </c>
      <c r="C116" t="s">
        <v>372</v>
      </c>
      <c r="D116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working-premium</vt:lpstr>
      <vt:lpstr>Sheet3</vt:lpstr>
      <vt:lpstr>policy</vt:lpstr>
      <vt:lpstr>working-sc</vt:lpstr>
      <vt:lpstr>working-commission</vt:lpstr>
      <vt:lpstr>policywithagency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Qadir</dc:creator>
  <cp:lastModifiedBy>IT User Software</cp:lastModifiedBy>
  <dcterms:created xsi:type="dcterms:W3CDTF">2024-11-28T10:40:11Z</dcterms:created>
  <dcterms:modified xsi:type="dcterms:W3CDTF">2025-03-27T06:37:57Z</dcterms:modified>
</cp:coreProperties>
</file>