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06-Mar-2025\"/>
    </mc:Choice>
  </mc:AlternateContent>
  <xr:revisionPtr revIDLastSave="0" documentId="8_{C1A298C8-97EE-41FE-B33C-FC95123AC37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Fresh" sheetId="2" state="hidden" r:id="rId1"/>
    <sheet name="Renewal" sheetId="3" r:id="rId2"/>
    <sheet name="working" sheetId="4" r:id="rId3"/>
    <sheet name="Sheet2" sheetId="5" r:id="rId4"/>
    <sheet name="policy" sheetId="6" r:id="rId5"/>
  </sheets>
  <definedNames>
    <definedName name="_xlnm._FilterDatabase" localSheetId="1" hidden="1">Renewal!$B$1:$AK$194</definedName>
    <definedName name="_xlnm._FilterDatabase" localSheetId="3" hidden="1">Sheet2!$H$1:$H$249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" i="4"/>
  <c r="J5" i="5"/>
  <c r="J9" i="5"/>
  <c r="J13" i="5"/>
  <c r="J17" i="5"/>
  <c r="J21" i="5"/>
  <c r="J25" i="5"/>
  <c r="J29" i="5"/>
  <c r="J33" i="5"/>
  <c r="J37" i="5"/>
  <c r="J41" i="5"/>
  <c r="J45" i="5"/>
  <c r="J49" i="5"/>
  <c r="J53" i="5"/>
  <c r="J57" i="5"/>
  <c r="J61" i="5"/>
  <c r="J65" i="5"/>
  <c r="J69" i="5"/>
  <c r="J73" i="5"/>
  <c r="J77" i="5"/>
  <c r="J81" i="5"/>
  <c r="J85" i="5"/>
  <c r="J89" i="5"/>
  <c r="J93" i="5"/>
  <c r="J97" i="5"/>
  <c r="J101" i="5"/>
  <c r="J105" i="5"/>
  <c r="J109" i="5"/>
  <c r="J113" i="5"/>
  <c r="J117" i="5"/>
  <c r="J121" i="5"/>
  <c r="J125" i="5"/>
  <c r="J129" i="5"/>
  <c r="J133" i="5"/>
  <c r="J137" i="5"/>
  <c r="J141" i="5"/>
  <c r="J145" i="5"/>
  <c r="J149" i="5"/>
  <c r="J153" i="5"/>
  <c r="J157" i="5"/>
  <c r="J161" i="5"/>
  <c r="J165" i="5"/>
  <c r="J169" i="5"/>
  <c r="J173" i="5"/>
  <c r="J177" i="5"/>
  <c r="J181" i="5"/>
  <c r="J185" i="5"/>
  <c r="J189" i="5"/>
  <c r="J193" i="5"/>
  <c r="J197" i="5"/>
  <c r="J201" i="5"/>
  <c r="J205" i="5"/>
  <c r="J209" i="5"/>
  <c r="J213" i="5"/>
  <c r="J217" i="5"/>
  <c r="J221" i="5"/>
  <c r="J225" i="5"/>
  <c r="J229" i="5"/>
  <c r="J233" i="5"/>
  <c r="J237" i="5"/>
  <c r="J241" i="5"/>
  <c r="J245" i="5"/>
  <c r="J249" i="5"/>
  <c r="J1" i="5"/>
  <c r="F2" i="4"/>
  <c r="D2" i="4"/>
  <c r="J2" i="5"/>
  <c r="J3" i="5"/>
  <c r="J4" i="5"/>
  <c r="J6" i="5"/>
  <c r="J7" i="5"/>
  <c r="J8" i="5"/>
  <c r="J10" i="5"/>
  <c r="J11" i="5"/>
  <c r="J12" i="5"/>
  <c r="J14" i="5"/>
  <c r="J15" i="5"/>
  <c r="J16" i="5"/>
  <c r="J18" i="5"/>
  <c r="J19" i="5"/>
  <c r="J20" i="5"/>
  <c r="J22" i="5"/>
  <c r="J23" i="5"/>
  <c r="J24" i="5"/>
  <c r="J26" i="5"/>
  <c r="J27" i="5"/>
  <c r="J28" i="5"/>
  <c r="J30" i="5"/>
  <c r="J31" i="5"/>
  <c r="J32" i="5"/>
  <c r="J34" i="5"/>
  <c r="J35" i="5"/>
  <c r="J36" i="5"/>
  <c r="J38" i="5"/>
  <c r="J39" i="5"/>
  <c r="J40" i="5"/>
  <c r="J42" i="5"/>
  <c r="J43" i="5"/>
  <c r="J44" i="5"/>
  <c r="J46" i="5"/>
  <c r="J47" i="5"/>
  <c r="J48" i="5"/>
  <c r="J50" i="5"/>
  <c r="J51" i="5"/>
  <c r="J52" i="5"/>
  <c r="J54" i="5"/>
  <c r="J55" i="5"/>
  <c r="J56" i="5"/>
  <c r="J58" i="5"/>
  <c r="J59" i="5"/>
  <c r="J60" i="5"/>
  <c r="J62" i="5"/>
  <c r="J63" i="5"/>
  <c r="J64" i="5"/>
  <c r="J66" i="5"/>
  <c r="J67" i="5"/>
  <c r="J68" i="5"/>
  <c r="J70" i="5"/>
  <c r="J71" i="5"/>
  <c r="J72" i="5"/>
  <c r="J74" i="5"/>
  <c r="J75" i="5"/>
  <c r="J76" i="5"/>
  <c r="J78" i="5"/>
  <c r="J79" i="5"/>
  <c r="J80" i="5"/>
  <c r="J82" i="5"/>
  <c r="J83" i="5"/>
  <c r="J84" i="5"/>
  <c r="J86" i="5"/>
  <c r="J87" i="5"/>
  <c r="J88" i="5"/>
  <c r="J90" i="5"/>
  <c r="J91" i="5"/>
  <c r="J92" i="5"/>
  <c r="J94" i="5"/>
  <c r="J95" i="5"/>
  <c r="J96" i="5"/>
  <c r="J98" i="5"/>
  <c r="J99" i="5"/>
  <c r="J100" i="5"/>
  <c r="J102" i="5"/>
  <c r="J103" i="5"/>
  <c r="J104" i="5"/>
  <c r="J106" i="5"/>
  <c r="J107" i="5"/>
  <c r="J108" i="5"/>
  <c r="J110" i="5"/>
  <c r="J111" i="5"/>
  <c r="J112" i="5"/>
  <c r="J114" i="5"/>
  <c r="J115" i="5"/>
  <c r="J116" i="5"/>
  <c r="J118" i="5"/>
  <c r="J119" i="5"/>
  <c r="J120" i="5"/>
  <c r="J122" i="5"/>
  <c r="J123" i="5"/>
  <c r="J124" i="5"/>
  <c r="J126" i="5"/>
  <c r="J127" i="5"/>
  <c r="J128" i="5"/>
  <c r="J130" i="5"/>
  <c r="J131" i="5"/>
  <c r="J132" i="5"/>
  <c r="J134" i="5"/>
  <c r="J135" i="5"/>
  <c r="J136" i="5"/>
  <c r="J138" i="5"/>
  <c r="J139" i="5"/>
  <c r="J140" i="5"/>
  <c r="J142" i="5"/>
  <c r="J143" i="5"/>
  <c r="J144" i="5"/>
  <c r="J146" i="5"/>
  <c r="J147" i="5"/>
  <c r="J148" i="5"/>
  <c r="J150" i="5"/>
  <c r="J151" i="5"/>
  <c r="J152" i="5"/>
  <c r="J154" i="5"/>
  <c r="J155" i="5"/>
  <c r="J156" i="5"/>
  <c r="J158" i="5"/>
  <c r="J159" i="5"/>
  <c r="J160" i="5"/>
  <c r="J162" i="5"/>
  <c r="J163" i="5"/>
  <c r="J164" i="5"/>
  <c r="J166" i="5"/>
  <c r="J167" i="5"/>
  <c r="J168" i="5"/>
  <c r="J170" i="5"/>
  <c r="J171" i="5"/>
  <c r="J172" i="5"/>
  <c r="J174" i="5"/>
  <c r="J175" i="5"/>
  <c r="J176" i="5"/>
  <c r="J178" i="5"/>
  <c r="J179" i="5"/>
  <c r="J180" i="5"/>
  <c r="J182" i="5"/>
  <c r="J183" i="5"/>
  <c r="J184" i="5"/>
  <c r="J186" i="5"/>
  <c r="J187" i="5"/>
  <c r="J188" i="5"/>
  <c r="J190" i="5"/>
  <c r="J191" i="5"/>
  <c r="J192" i="5"/>
  <c r="J194" i="5"/>
  <c r="J195" i="5"/>
  <c r="J196" i="5"/>
  <c r="J198" i="5"/>
  <c r="J199" i="5"/>
  <c r="J200" i="5"/>
  <c r="J202" i="5"/>
  <c r="J203" i="5"/>
  <c r="J204" i="5"/>
  <c r="J206" i="5"/>
  <c r="J207" i="5"/>
  <c r="J208" i="5"/>
  <c r="J210" i="5"/>
  <c r="J211" i="5"/>
  <c r="J212" i="5"/>
  <c r="J214" i="5"/>
  <c r="J215" i="5"/>
  <c r="J216" i="5"/>
  <c r="J218" i="5"/>
  <c r="J219" i="5"/>
  <c r="J220" i="5"/>
  <c r="J222" i="5"/>
  <c r="J223" i="5"/>
  <c r="J224" i="5"/>
  <c r="J226" i="5"/>
  <c r="J227" i="5"/>
  <c r="J228" i="5"/>
  <c r="J230" i="5"/>
  <c r="J231" i="5"/>
  <c r="J232" i="5"/>
  <c r="J234" i="5"/>
  <c r="J235" i="5"/>
  <c r="J236" i="5"/>
  <c r="J238" i="5"/>
  <c r="J239" i="5"/>
  <c r="J240" i="5"/>
  <c r="J242" i="5"/>
  <c r="J243" i="5"/>
  <c r="J244" i="5"/>
  <c r="J246" i="5"/>
  <c r="J247" i="5"/>
  <c r="J248" i="5"/>
  <c r="H2" i="4" l="1"/>
  <c r="AI251" i="3" l="1"/>
  <c r="AH58" i="2" l="1"/>
  <c r="Z58" i="2"/>
</calcChain>
</file>

<file path=xl/sharedStrings.xml><?xml version="1.0" encoding="utf-8"?>
<sst xmlns="http://schemas.openxmlformats.org/spreadsheetml/2006/main" count="6277" uniqueCount="2341">
  <si>
    <t>S.No.</t>
  </si>
  <si>
    <t>Paid</t>
  </si>
  <si>
    <t>CNIC</t>
  </si>
  <si>
    <t>HONDA CIVIC</t>
  </si>
  <si>
    <t>REN</t>
  </si>
  <si>
    <t>SUZUKI ALTO VXR E-2</t>
  </si>
  <si>
    <t>FRE</t>
  </si>
  <si>
    <t>HONDA CITY 1.5 ASPIRE CVT</t>
  </si>
  <si>
    <t>SUZUKI ALTO VXR</t>
  </si>
  <si>
    <t>SUZUKI ALTO VXL AGS E-2</t>
  </si>
  <si>
    <t>SUZUKI CULTUS VXL</t>
  </si>
  <si>
    <t>SUZUKI Swift GLX CVT</t>
  </si>
  <si>
    <t>TOYOTA COROLLA ALTIS  1.6</t>
  </si>
  <si>
    <t>HONDA CIVIC VTI  ORIEL PT</t>
  </si>
  <si>
    <t>SUZUKI WAGON-R VXL E2</t>
  </si>
  <si>
    <t>SUZUKI WAGON-R</t>
  </si>
  <si>
    <t>KIA SPORTAGE AWD-CW</t>
  </si>
  <si>
    <t>HONDA CITY I-VTEC (M/T)</t>
  </si>
  <si>
    <t>TOYOTA COROLLA GLI M/T 1.</t>
  </si>
  <si>
    <t>KHI/HO/D/MO/PC COMP/C/103764/161/12/2024</t>
  </si>
  <si>
    <t>SUZUKI MEHRAN VXR</t>
  </si>
  <si>
    <t>BPM-320</t>
  </si>
  <si>
    <t>761900</t>
  </si>
  <si>
    <t>1300430</t>
  </si>
  <si>
    <t>KHI/HO/D/MO/PC COMP/C/103764/162/12/2024</t>
  </si>
  <si>
    <t>LEA-19-5564</t>
  </si>
  <si>
    <t>132250</t>
  </si>
  <si>
    <t>10032251</t>
  </si>
  <si>
    <t>TOYOTA COROLLA ALTIS GRAN</t>
  </si>
  <si>
    <t>SUZUKI RAVI VX EURO II</t>
  </si>
  <si>
    <t>KHI/HO/D/MO/PC COMP/C/105285/1/01/2025</t>
  </si>
  <si>
    <t>LEF-19-2912</t>
  </si>
  <si>
    <t>194777</t>
  </si>
  <si>
    <t>10094786</t>
  </si>
  <si>
    <t>KHI/HO/D/MO/PC COMP/C/105285/10/01/2025</t>
  </si>
  <si>
    <t>TOYOTA YARIS ATIV AT</t>
  </si>
  <si>
    <t>71678</t>
  </si>
  <si>
    <t>7048855</t>
  </si>
  <si>
    <t>KHI/HO/D/MO/PC COMP/C/105285/11/01/2025</t>
  </si>
  <si>
    <t>R1024729</t>
  </si>
  <si>
    <t>S00207455</t>
  </si>
  <si>
    <t>KHI/HO/D/MO/PC COMP/C/105285/12/01/2025</t>
  </si>
  <si>
    <t>SUZUKI Every VXR</t>
  </si>
  <si>
    <t>1000366</t>
  </si>
  <si>
    <t>100372</t>
  </si>
  <si>
    <t>KHI/HO/D/MO/PC COMP/C/105285/13/01/2025</t>
  </si>
  <si>
    <t>HONDA CITY 1.2  LS CVT</t>
  </si>
  <si>
    <t>51030322</t>
  </si>
  <si>
    <t>SR047426</t>
  </si>
  <si>
    <t>KHI/HO/D/MO/PC COMP/C/105285/14/01/2025</t>
  </si>
  <si>
    <t>335933</t>
  </si>
  <si>
    <t>1235979</t>
  </si>
  <si>
    <t>KHI/HO/D/MO/PC COMP/C/105285/15/01/2025</t>
  </si>
  <si>
    <t>HONDA HRV-S</t>
  </si>
  <si>
    <t>1004316</t>
  </si>
  <si>
    <t>R004314</t>
  </si>
  <si>
    <t>KHI/HO/D/MO/PC COMP/C/105285/16/01/2025</t>
  </si>
  <si>
    <t>334056</t>
  </si>
  <si>
    <t>1233870</t>
  </si>
  <si>
    <t>KHI/HO/D/MO/PC COMP/C/105285/17/01/2025</t>
  </si>
  <si>
    <t>BVG-492</t>
  </si>
  <si>
    <t>6R176132</t>
  </si>
  <si>
    <t>H1076109</t>
  </si>
  <si>
    <t>KHI/HO/D/MO/PC COMP/C/105285/18/01/2025</t>
  </si>
  <si>
    <t>6R336691</t>
  </si>
  <si>
    <t>NF1AET306H1236709</t>
  </si>
  <si>
    <t>KHI/HO/D/MO/PC COMP/C/105285/19/01/2025</t>
  </si>
  <si>
    <t>BXH-484</t>
  </si>
  <si>
    <t>R-245807</t>
  </si>
  <si>
    <t>1145808</t>
  </si>
  <si>
    <t>KHI/HO/D/MO/PC COMP/C/105285/2/01/2025</t>
  </si>
  <si>
    <t>HYUNDAI TUCSON</t>
  </si>
  <si>
    <t>BBZ-884</t>
  </si>
  <si>
    <t>G4NANU207232</t>
  </si>
  <si>
    <t>PMHJ2813SNN207452</t>
  </si>
  <si>
    <t>KHI/HO/D/MO/PC COMP/C/105285/20/01/2025</t>
  </si>
  <si>
    <t>BQS-174</t>
  </si>
  <si>
    <t>6R104122</t>
  </si>
  <si>
    <t>6H1004091</t>
  </si>
  <si>
    <t>KHI/HO/D/MO/PC COMP/C/105285/21/01/2025</t>
  </si>
  <si>
    <t>BRY-548</t>
  </si>
  <si>
    <t>133318</t>
  </si>
  <si>
    <t>1033294</t>
  </si>
  <si>
    <t>KHI/HO/D/MO/PC COMP/C/105285/22/01/2025</t>
  </si>
  <si>
    <t>ACD-877</t>
  </si>
  <si>
    <t>PK10B210852</t>
  </si>
  <si>
    <t>A1J310PK10110822</t>
  </si>
  <si>
    <t>KHI/HO/D/MO/PC COMP/C/105285/23/01/2025</t>
  </si>
  <si>
    <t>ATX-149</t>
  </si>
  <si>
    <t>R045985</t>
  </si>
  <si>
    <t>51029060</t>
  </si>
  <si>
    <t>KHI/HO/D/MO/PC COMP/C/105285/24/01/2025</t>
  </si>
  <si>
    <t>ASJ-390</t>
  </si>
  <si>
    <t>204631</t>
  </si>
  <si>
    <t>104583</t>
  </si>
  <si>
    <t>KHI/HO/D/MO/PC COMP/C/105285/25/01/2025</t>
  </si>
  <si>
    <t>HONDA CITY I-VTEC 1.2</t>
  </si>
  <si>
    <t>1030592</t>
  </si>
  <si>
    <t>SR047669</t>
  </si>
  <si>
    <t>KHI/HO/D/MO/PC COMP/C/105285/26/01/2025</t>
  </si>
  <si>
    <t>TOYOTA COROLLA ALTIS</t>
  </si>
  <si>
    <t>AZZ-229</t>
  </si>
  <si>
    <t>099031</t>
  </si>
  <si>
    <t>KHI/HO/D/MO/PC COMP/C/105285/27/01/2025</t>
  </si>
  <si>
    <t>336679</t>
  </si>
  <si>
    <t>1236728</t>
  </si>
  <si>
    <t>KHI/HO/D/MO/PC COMP/C/105285/28/01/2025</t>
  </si>
  <si>
    <t>AXT-238</t>
  </si>
  <si>
    <t>51008287</t>
  </si>
  <si>
    <t>013265</t>
  </si>
  <si>
    <t>KHI/HO/D/MO/PC COMP/C/105285/29/01/2025</t>
  </si>
  <si>
    <t>AEX-009</t>
  </si>
  <si>
    <t>16922735</t>
  </si>
  <si>
    <t>75079</t>
  </si>
  <si>
    <t>KHI/HO/D/MO/PC COMP/C/105285/3/01/2025</t>
  </si>
  <si>
    <t>HONDA CITY ASPIRE P/T I-V</t>
  </si>
  <si>
    <t>51029957</t>
  </si>
  <si>
    <t>RR047049</t>
  </si>
  <si>
    <t>KHI/HO/D/MO/PC COMP/C/105285/30/01/2025</t>
  </si>
  <si>
    <t>R1001909</t>
  </si>
  <si>
    <t>V00101872</t>
  </si>
  <si>
    <t>KHI/HO/D/MO/PC COMP/C/105285/31/01/2025</t>
  </si>
  <si>
    <t>AMJ-080</t>
  </si>
  <si>
    <t>345423</t>
  </si>
  <si>
    <t>7044607</t>
  </si>
  <si>
    <t>KHI/HO/D/MO/PC COMP/C/105285/32/01/2025</t>
  </si>
  <si>
    <t>337664</t>
  </si>
  <si>
    <t>1237681</t>
  </si>
  <si>
    <t>KHI/HO/D/MO/PC COMP/C/105285/33/01/2025</t>
  </si>
  <si>
    <t>TOYOTA YARIS ATIV X 1.5 A</t>
  </si>
  <si>
    <t>ABF-113</t>
  </si>
  <si>
    <t>ZA13783</t>
  </si>
  <si>
    <t>7008092</t>
  </si>
  <si>
    <t>KHI/HO/D/MO/PC COMP/C/105285/34/01/2025</t>
  </si>
  <si>
    <t>LEB-18A-991</t>
  </si>
  <si>
    <t>164647</t>
  </si>
  <si>
    <t>10064637</t>
  </si>
  <si>
    <t>KHI/HO/D/MO/PC COMP/C/105285/35/01/2025</t>
  </si>
  <si>
    <t>LEB-20-8115</t>
  </si>
  <si>
    <t>202039</t>
  </si>
  <si>
    <t>10102007</t>
  </si>
  <si>
    <t>KHI/HO/D/MO/PC COMP/C/105285/36/01/2025</t>
  </si>
  <si>
    <t>1030307</t>
  </si>
  <si>
    <t>047408</t>
  </si>
  <si>
    <t>KHI/HO/D/MO/PC COMP/C/105285/37/01/2025</t>
  </si>
  <si>
    <t>TOYOTA COROLLA ALTIS 1.6</t>
  </si>
  <si>
    <t>Q109346</t>
  </si>
  <si>
    <t>6086857</t>
  </si>
  <si>
    <t>KHI/HO/D/MO/PC COMP/C/105285/38/01/2025</t>
  </si>
  <si>
    <t>ABT-309</t>
  </si>
  <si>
    <t>R18Z12902011</t>
  </si>
  <si>
    <t>NFBFC6659GR002529</t>
  </si>
  <si>
    <t>KHI/HO/D/MO/PC COMP/C/105285/39/01/2025</t>
  </si>
  <si>
    <t>HONDA BRV I-VTEC S STD</t>
  </si>
  <si>
    <t>AFJ-767</t>
  </si>
  <si>
    <t>504300</t>
  </si>
  <si>
    <t>004309</t>
  </si>
  <si>
    <t>KHI/HO/D/MO/PC COMP/C/105285/4/01/2025</t>
  </si>
  <si>
    <t>AAS-317</t>
  </si>
  <si>
    <t>17541214</t>
  </si>
  <si>
    <t>264152</t>
  </si>
  <si>
    <t>KHI/HO/D/MO/PC COMP/C/105285/40/01/2025</t>
  </si>
  <si>
    <t>BZV-759</t>
  </si>
  <si>
    <t>6R306254</t>
  </si>
  <si>
    <t>H1206221</t>
  </si>
  <si>
    <t>KHI/HO/D/MO/PC COMP/C/105285/42/01/2025</t>
  </si>
  <si>
    <t>LEA-18A-5490</t>
  </si>
  <si>
    <t>Z532798</t>
  </si>
  <si>
    <t>NZE170R-4158581</t>
  </si>
  <si>
    <t>KHI/HO/D/MO/PC COMP/C/105285/43/01/2025</t>
  </si>
  <si>
    <t>HONDA CITY M/T</t>
  </si>
  <si>
    <t>LEA-16-9706</t>
  </si>
  <si>
    <t>17437150</t>
  </si>
  <si>
    <t>FR176612</t>
  </si>
  <si>
    <t>KHI/HO/D/MO/PC COMP/C/105285/44/01/2025</t>
  </si>
  <si>
    <t>LED-18-9941</t>
  </si>
  <si>
    <t>Z517064</t>
  </si>
  <si>
    <t>4143165</t>
  </si>
  <si>
    <t>KHI/HO/D/MO/PC COMP/C/105285/46/01/2025</t>
  </si>
  <si>
    <t>AGR-229</t>
  </si>
  <si>
    <t>B51002558</t>
  </si>
  <si>
    <t>R003404</t>
  </si>
  <si>
    <t>KHI/HO/D/MO/PC COMP/C/105285/47/01/2025</t>
  </si>
  <si>
    <t>CHANGAN KARVAAN PLUS</t>
  </si>
  <si>
    <t>505729</t>
  </si>
  <si>
    <t>1002785</t>
  </si>
  <si>
    <t>KHI/HO/D/MO/PC COMP/C/105285/48/01/2025</t>
  </si>
  <si>
    <t>SUZUKI CULTUS VXL EURO II</t>
  </si>
  <si>
    <t>AGK-238</t>
  </si>
  <si>
    <t>189091</t>
  </si>
  <si>
    <t>10089075</t>
  </si>
  <si>
    <t>KHI/HO/D/MO/PC COMP/C/105285/49/01/2025</t>
  </si>
  <si>
    <t>LEE-19-9167</t>
  </si>
  <si>
    <t>140203</t>
  </si>
  <si>
    <t>10040182</t>
  </si>
  <si>
    <t>KHI/HO/D/MO/PC COMP/C/105285/50/01/2025</t>
  </si>
  <si>
    <t>030860</t>
  </si>
  <si>
    <t>048197</t>
  </si>
  <si>
    <t>KHI/HO/D/MO/PC COMP/C/105285/51/01/2025</t>
  </si>
  <si>
    <t>TOYOTA Yaris ATIV X 1.5 (</t>
  </si>
  <si>
    <t>BSW-520</t>
  </si>
  <si>
    <t>16691</t>
  </si>
  <si>
    <t>9506751</t>
  </si>
  <si>
    <t>KHI/HO/D/MO/PC COMP/C/105285/52/01/2025</t>
  </si>
  <si>
    <t>1002364</t>
  </si>
  <si>
    <t>102387</t>
  </si>
  <si>
    <t>KHI/HO/D/MO/PC COMP/C/105285/53/01/2025</t>
  </si>
  <si>
    <t>PK10B226253</t>
  </si>
  <si>
    <t>A1J310PK10126253</t>
  </si>
  <si>
    <t>KHI/HO/D/MO/PC COMP/C/105285/54/01/2025</t>
  </si>
  <si>
    <t>LEC-18-4261</t>
  </si>
  <si>
    <t>12928021</t>
  </si>
  <si>
    <t>R031301</t>
  </si>
  <si>
    <t>KHI/HO/D/MO/PC COMP/C/105285/55/01/2025</t>
  </si>
  <si>
    <t>AMK-019</t>
  </si>
  <si>
    <t>6R214010</t>
  </si>
  <si>
    <t>6H1113966</t>
  </si>
  <si>
    <t>KHI/HO/D/MO/PC COMP/C/105285/56/01/2025</t>
  </si>
  <si>
    <t>ADY-122</t>
  </si>
  <si>
    <t>R18Z 12913247</t>
  </si>
  <si>
    <t>NFBFC6654HR016484</t>
  </si>
  <si>
    <t>KHI/HO/D/MO/PC COMP/C/105285/57/01/2025</t>
  </si>
  <si>
    <t>LED-19-1502</t>
  </si>
  <si>
    <t>Z552788</t>
  </si>
  <si>
    <t>4178527</t>
  </si>
  <si>
    <t>KHI/HO/D/MO/PC COMP/C/105285/6/01/2025</t>
  </si>
  <si>
    <t>CHANGAN KARVAAN PLUS VAN</t>
  </si>
  <si>
    <t>504207</t>
  </si>
  <si>
    <t>1002163</t>
  </si>
  <si>
    <t>KHI/HO/D/MO/PC COMP/C/105285/7/01/2025</t>
  </si>
  <si>
    <t>ASU-688</t>
  </si>
  <si>
    <t>1015227</t>
  </si>
  <si>
    <t>S00115217</t>
  </si>
  <si>
    <t>KHI/HO/D/MO/PC COMP/C/105285/8/01/2025</t>
  </si>
  <si>
    <t>334460</t>
  </si>
  <si>
    <t>1234509</t>
  </si>
  <si>
    <t>KHI/HO/D/MO/PC COMP/C/105285/9/01/2025</t>
  </si>
  <si>
    <t>HYUNDAI TUCSON 6A/T AWD</t>
  </si>
  <si>
    <t>700017</t>
  </si>
  <si>
    <t>218301</t>
  </si>
  <si>
    <t>KHI/HO/D/MO/PC COMP/C/105499/1/01/2025</t>
  </si>
  <si>
    <t>KIA PICANTO 1.0L A/T</t>
  </si>
  <si>
    <t>BYF-140</t>
  </si>
  <si>
    <t>085539</t>
  </si>
  <si>
    <t>P711788</t>
  </si>
  <si>
    <t>KHI/HO/D/MO/PC COMP/C/105499/10/01/2025</t>
  </si>
  <si>
    <t>ANJ-984</t>
  </si>
  <si>
    <t>6R255866</t>
  </si>
  <si>
    <t>1155828</t>
  </si>
  <si>
    <t>KHI/HO/D/MO/PC COMP/C/105499/100/01/2025</t>
  </si>
  <si>
    <t>SUZUKI BOLAN STD VX EURO</t>
  </si>
  <si>
    <t>CZ-1381</t>
  </si>
  <si>
    <t>1009167</t>
  </si>
  <si>
    <t>01125673</t>
  </si>
  <si>
    <t>KHI/HO/D/MO/PC COMP/C/105499/101/01/2025</t>
  </si>
  <si>
    <t>TOYOTA YARIS ATIV X CVT</t>
  </si>
  <si>
    <t>ACR-410</t>
  </si>
  <si>
    <t>2A17125</t>
  </si>
  <si>
    <t>9506951</t>
  </si>
  <si>
    <t>KHI/HO/D/MO/PC COMP/C/105499/102/01/2025</t>
  </si>
  <si>
    <t>SUZUKI ALTO VXL</t>
  </si>
  <si>
    <t>ABN-085</t>
  </si>
  <si>
    <t>6R107529</t>
  </si>
  <si>
    <t>H1007370</t>
  </si>
  <si>
    <t>KHI/HO/D/MO/PC COMP/C/105499/103/01/2025</t>
  </si>
  <si>
    <t>ACA-562</t>
  </si>
  <si>
    <t>209791</t>
  </si>
  <si>
    <t>10109799</t>
  </si>
  <si>
    <t>KHI/HO/D/MO/PC COMP/C/105499/104/01/2025</t>
  </si>
  <si>
    <t>ABT-563</t>
  </si>
  <si>
    <t>7543134</t>
  </si>
  <si>
    <t>MR266735</t>
  </si>
  <si>
    <t>KHI/HO/D/MO/PC COMP/C/105499/105/01/2025</t>
  </si>
  <si>
    <t>ASW-173</t>
  </si>
  <si>
    <t>152383</t>
  </si>
  <si>
    <t>1052383</t>
  </si>
  <si>
    <t>KHI/HO/D/MO/PC COMP/C/105499/106/01/2025</t>
  </si>
  <si>
    <t>ASW-174</t>
  </si>
  <si>
    <t>152413</t>
  </si>
  <si>
    <t>1052414</t>
  </si>
  <si>
    <t>KHI/HO/D/MO/PC COMP/C/105499/107/01/2025</t>
  </si>
  <si>
    <t>ASK-311</t>
  </si>
  <si>
    <t>341668</t>
  </si>
  <si>
    <t>508476</t>
  </si>
  <si>
    <t>KHI/HO/D/MO/PC COMP/C/105499/108/01/2025</t>
  </si>
  <si>
    <t>ABV-325</t>
  </si>
  <si>
    <t>152060</t>
  </si>
  <si>
    <t>1052104</t>
  </si>
  <si>
    <t>KHI/HO/D/MO/PC COMP/C/105499/109/01/2025</t>
  </si>
  <si>
    <t>LEB-17-9436</t>
  </si>
  <si>
    <t>104508</t>
  </si>
  <si>
    <t>10004525</t>
  </si>
  <si>
    <t>KHI/HO/D/MO/PC COMP/C/105499/11/01/2025</t>
  </si>
  <si>
    <t>BTB-930</t>
  </si>
  <si>
    <t>R-155672</t>
  </si>
  <si>
    <t>1055646</t>
  </si>
  <si>
    <t>KHI/HO/D/MO/PC COMP/C/105499/110/01/2025</t>
  </si>
  <si>
    <t>HONDA CITY I-VTEC A/T PT</t>
  </si>
  <si>
    <t>ABU-327</t>
  </si>
  <si>
    <t>7543425</t>
  </si>
  <si>
    <t>257216</t>
  </si>
  <si>
    <t>KHI/HO/D/MO/PC COMP/C/105499/111/01/2025</t>
  </si>
  <si>
    <t>ABV-548</t>
  </si>
  <si>
    <t>153099</t>
  </si>
  <si>
    <t>1053111</t>
  </si>
  <si>
    <t>KHI/HO/D/MO/PC COMP/C/105499/112/01/2025</t>
  </si>
  <si>
    <t>TOYOTA HILUX REVO</t>
  </si>
  <si>
    <t>KZ-4681</t>
  </si>
  <si>
    <t>1GD0905565</t>
  </si>
  <si>
    <t>5542349</t>
  </si>
  <si>
    <t>KHI/HO/D/MO/PC COMP/C/105499/113/01/2025</t>
  </si>
  <si>
    <t>ATT-026</t>
  </si>
  <si>
    <t>Z16917186</t>
  </si>
  <si>
    <t>MR069299</t>
  </si>
  <si>
    <t>KHI/HO/D/MO/PC COMP/C/105499/114/01/2025</t>
  </si>
  <si>
    <t>ACN-336</t>
  </si>
  <si>
    <t>16916977</t>
  </si>
  <si>
    <t>069131</t>
  </si>
  <si>
    <t>KHI/HO/D/MO/PC COMP/C/105499/115/01/2025</t>
  </si>
  <si>
    <t>BBL-016</t>
  </si>
  <si>
    <t>589674</t>
  </si>
  <si>
    <t>496548</t>
  </si>
  <si>
    <t>KHI/HO/D/MO/PC COMP/C/105499/116/01/2025</t>
  </si>
  <si>
    <t>SUZUKI WAGON-R VXR</t>
  </si>
  <si>
    <t>ABZ-270</t>
  </si>
  <si>
    <t>209593</t>
  </si>
  <si>
    <t>10109597</t>
  </si>
  <si>
    <t>KHI/HO/D/MO/PC COMP/C/105499/117/01/2025</t>
  </si>
  <si>
    <t>HONDA CITY ASPIRE M/T</t>
  </si>
  <si>
    <t>ABU-441</t>
  </si>
  <si>
    <t>7543618</t>
  </si>
  <si>
    <t>MR267448</t>
  </si>
  <si>
    <t>KHI/HO/D/MO/PC COMP/C/105499/118/01/2025</t>
  </si>
  <si>
    <t>ROAD PRINCE PEARL</t>
  </si>
  <si>
    <t>ABX-861</t>
  </si>
  <si>
    <t>20424097</t>
  </si>
  <si>
    <t>A20K0556</t>
  </si>
  <si>
    <t>KHI/HO/D/MO/PC COMP/C/105499/119/01/2025</t>
  </si>
  <si>
    <t>ASW-643</t>
  </si>
  <si>
    <t>1009114</t>
  </si>
  <si>
    <t>01125625</t>
  </si>
  <si>
    <t>KHI/HO/D/MO/PC COMP/C/105499/12/01/2025</t>
  </si>
  <si>
    <t>MG HS 1.5 T</t>
  </si>
  <si>
    <t>ATX-856</t>
  </si>
  <si>
    <t>M3190922</t>
  </si>
  <si>
    <t>N069259</t>
  </si>
  <si>
    <t>KHI/HO/D/MO/PC COMP/C/105499/120/01/2025</t>
  </si>
  <si>
    <t>SUZUKI EVERY WAGON</t>
  </si>
  <si>
    <t>ACE-526</t>
  </si>
  <si>
    <t>R06A-1743275</t>
  </si>
  <si>
    <t>DA17V-132911</t>
  </si>
  <si>
    <t>KHI/HO/D/MO/PC COMP/C/105499/121/01/2025</t>
  </si>
  <si>
    <t>ABR-538</t>
  </si>
  <si>
    <t>2A16172</t>
  </si>
  <si>
    <t>9506497</t>
  </si>
  <si>
    <t>KHI/HO/D/MO/PC COMP/C/105499/122/01/2025</t>
  </si>
  <si>
    <t>HYUNDAI TUCSON 6A/T</t>
  </si>
  <si>
    <t>ABS-705</t>
  </si>
  <si>
    <t>U030242</t>
  </si>
  <si>
    <t>MN201455</t>
  </si>
  <si>
    <t>KHI/HO/D/MO/PC COMP/C/105499/123/01/2025</t>
  </si>
  <si>
    <t>BSY-319</t>
  </si>
  <si>
    <t>R103809</t>
  </si>
  <si>
    <t>1003780</t>
  </si>
  <si>
    <t>KHI/HO/D/MO/PC COMP/C/105499/124/01/2025</t>
  </si>
  <si>
    <t>ABX-746</t>
  </si>
  <si>
    <t>6R148061</t>
  </si>
  <si>
    <t>H1048046</t>
  </si>
  <si>
    <t>KHI/HO/D/MO/PC COMP/C/105499/125/01/2025</t>
  </si>
  <si>
    <t>BLW-358</t>
  </si>
  <si>
    <t>Z513491</t>
  </si>
  <si>
    <t>4139762</t>
  </si>
  <si>
    <t>KHI/HO/D/MO/PC COMP/C/105499/126/01/2025</t>
  </si>
  <si>
    <t>AFW-592</t>
  </si>
  <si>
    <t>10B142640</t>
  </si>
  <si>
    <t>10042619</t>
  </si>
  <si>
    <t>KHI/HO/D/MO/PC COMP/C/105499/127/01/2025</t>
  </si>
  <si>
    <t>LEB-20-345</t>
  </si>
  <si>
    <t>2A01581</t>
  </si>
  <si>
    <t>R9501162</t>
  </si>
  <si>
    <t>KHI/HO/D/MO/PC COMP/C/105499/128/01/2025</t>
  </si>
  <si>
    <t>ASE-266</t>
  </si>
  <si>
    <t>150841</t>
  </si>
  <si>
    <t>1050819</t>
  </si>
  <si>
    <t>KHI/HO/D/MO/PC COMP/C/105499/129/01/2025</t>
  </si>
  <si>
    <t>LEA-20-5910</t>
  </si>
  <si>
    <t>570005</t>
  </si>
  <si>
    <t>4198301</t>
  </si>
  <si>
    <t>KHI/HO/D/MO/PC COMP/C/105499/13/01/2025</t>
  </si>
  <si>
    <t>TOYOTA COROLLA XLI 1.3</t>
  </si>
  <si>
    <t>LEH-15-3147</t>
  </si>
  <si>
    <t>Z325962</t>
  </si>
  <si>
    <t>4047298</t>
  </si>
  <si>
    <t>KHI/HO/D/MO/PC COMP/C/105499/130/01/2025</t>
  </si>
  <si>
    <t>SUZUKI MEHRAN VXR EURO-II</t>
  </si>
  <si>
    <t>RIC-201</t>
  </si>
  <si>
    <t>763116</t>
  </si>
  <si>
    <t>01301665</t>
  </si>
  <si>
    <t>KHI/HO/D/MO/PC COMP/C/105499/131/01/2025</t>
  </si>
  <si>
    <t>ABV-211</t>
  </si>
  <si>
    <t>1008524</t>
  </si>
  <si>
    <t>1125039</t>
  </si>
  <si>
    <t>KHI/HO/D/MO/PC COMP/C/105499/133/01/2025</t>
  </si>
  <si>
    <t>SUZUKI ALTO VX EURO II</t>
  </si>
  <si>
    <t>AHE-684</t>
  </si>
  <si>
    <t>204718</t>
  </si>
  <si>
    <t>1104741</t>
  </si>
  <si>
    <t>KHI/HO/D/MO/PC COMP/C/105499/134/01/2025</t>
  </si>
  <si>
    <t>HONDA CIVIC VTI ORIEL I-V</t>
  </si>
  <si>
    <t>BQF-455</t>
  </si>
  <si>
    <t>R18Z12950468</t>
  </si>
  <si>
    <t>53936.</t>
  </si>
  <si>
    <t>KHI/HO/D/MO/PC COMP/C/105499/135/01/2025</t>
  </si>
  <si>
    <t>AGS-102</t>
  </si>
  <si>
    <t>503300</t>
  </si>
  <si>
    <t>1005527</t>
  </si>
  <si>
    <t>KHI/HO/D/MO/PC COMP/C/105499/136/01/2025</t>
  </si>
  <si>
    <t>AWV-834</t>
  </si>
  <si>
    <t>196595</t>
  </si>
  <si>
    <t>1096583</t>
  </si>
  <si>
    <t>KHI/HO/D/MO/PC COMP/C/105499/137/01/2025</t>
  </si>
  <si>
    <t>LE-18-7056</t>
  </si>
  <si>
    <t>17502552</t>
  </si>
  <si>
    <t>212913</t>
  </si>
  <si>
    <t>KHI/HO/D/MO/PC COMP/C/105499/138/01/2025</t>
  </si>
  <si>
    <t>AHD-789</t>
  </si>
  <si>
    <t>6R205286</t>
  </si>
  <si>
    <t>H1105263</t>
  </si>
  <si>
    <t>KHI/HO/D/MO/PC COMP/C/105499/139/01/2025</t>
  </si>
  <si>
    <t>LEF-16-569</t>
  </si>
  <si>
    <t>Z443802</t>
  </si>
  <si>
    <t>NZE170R-4078133</t>
  </si>
  <si>
    <t>KHI/HO/D/MO/PC COMP/C/105499/14/01/2025</t>
  </si>
  <si>
    <t>SUZUKI CULTUS</t>
  </si>
  <si>
    <t>ANA-977</t>
  </si>
  <si>
    <t>203547</t>
  </si>
  <si>
    <t>10103539</t>
  </si>
  <si>
    <t>KHI/HO/D/MO/PC COMP/C/105499/141/01/2025</t>
  </si>
  <si>
    <t>SUZUKI ALTO VX</t>
  </si>
  <si>
    <t>AHC-962</t>
  </si>
  <si>
    <t>6R197371</t>
  </si>
  <si>
    <t>1097457</t>
  </si>
  <si>
    <t>KHI/HO/D/MO/PC COMP/C/105499/143/01/2025</t>
  </si>
  <si>
    <t>AHQ-094</t>
  </si>
  <si>
    <t>1019448</t>
  </si>
  <si>
    <t>1135970</t>
  </si>
  <si>
    <t>KHI/HO/D/MO/PC COMP/C/105499/144/01/2025</t>
  </si>
  <si>
    <t>AGZ-807</t>
  </si>
  <si>
    <t>165779</t>
  </si>
  <si>
    <t>10065806</t>
  </si>
  <si>
    <t>KHI/HO/D/MO/PC COMP/C/105499/145/01/2025</t>
  </si>
  <si>
    <t>BRD 697</t>
  </si>
  <si>
    <t>148290</t>
  </si>
  <si>
    <t>700448</t>
  </si>
  <si>
    <t>KHI/HO/D/MO/PC COMP/C/105499/146/01/2025</t>
  </si>
  <si>
    <t>SUZUKI SWIFT DLX M/T NAV.</t>
  </si>
  <si>
    <t>APJ-989</t>
  </si>
  <si>
    <t>13047465</t>
  </si>
  <si>
    <t>10047464</t>
  </si>
  <si>
    <t>KHI/HO/D/MO/PC COMP/C/105499/147/01/2025</t>
  </si>
  <si>
    <t>HONDA BRV MTI I-VTEC 1.5L</t>
  </si>
  <si>
    <t>LE-18A-6393</t>
  </si>
  <si>
    <t>13511444</t>
  </si>
  <si>
    <t>11458</t>
  </si>
  <si>
    <t>KHI/HO/D/MO/PC COMP/C/105499/148/01/2025</t>
  </si>
  <si>
    <t>AHE-924</t>
  </si>
  <si>
    <t>1007005</t>
  </si>
  <si>
    <t>NR010955</t>
  </si>
  <si>
    <t>KHI/HO/D/MO/PC COMP/C/105499/149/01/2025</t>
  </si>
  <si>
    <t>AAJ 450</t>
  </si>
  <si>
    <t>17539586</t>
  </si>
  <si>
    <t>LR261992</t>
  </si>
  <si>
    <t>KHI/HO/D/MO/PC COMP/C/105499/15/01/2025</t>
  </si>
  <si>
    <t>HONDA CITY</t>
  </si>
  <si>
    <t>BDC-192</t>
  </si>
  <si>
    <t>81014497</t>
  </si>
  <si>
    <t>033428</t>
  </si>
  <si>
    <t>KHI/HO/D/MO/PC COMP/C/105499/150/01/2025</t>
  </si>
  <si>
    <t>AGY-229</t>
  </si>
  <si>
    <t>6R202585</t>
  </si>
  <si>
    <t>6H1102591</t>
  </si>
  <si>
    <t>KHI/HO/D/MO/PC COMP/C/105499/151/01/2025</t>
  </si>
  <si>
    <t>SUZUKI BOLAN VX</t>
  </si>
  <si>
    <t>CZ-7437</t>
  </si>
  <si>
    <t>1019173</t>
  </si>
  <si>
    <t>1135682</t>
  </si>
  <si>
    <t>KHI/HO/D/MO/PC COMP/C/105499/152/01/2025</t>
  </si>
  <si>
    <t>BUQ-105</t>
  </si>
  <si>
    <t>181665</t>
  </si>
  <si>
    <t>10081664</t>
  </si>
  <si>
    <t>KHI/HO/D/MO/PC COMP/C/105499/153/01/2025</t>
  </si>
  <si>
    <t>AHB-739</t>
  </si>
  <si>
    <t>6R203758</t>
  </si>
  <si>
    <t>H1103831</t>
  </si>
  <si>
    <t>KHI/HO/D/MO/PC COMP/C/105499/154/01/2025</t>
  </si>
  <si>
    <t>CHANGAN ALSVIN DCT 1.5</t>
  </si>
  <si>
    <t>AXB-377</t>
  </si>
  <si>
    <t>JL473QFM3CAD529207</t>
  </si>
  <si>
    <t>NKMA2ASE5N1005993</t>
  </si>
  <si>
    <t>KHI/HO/D/MO/PC COMP/C/105499/155/01/2025</t>
  </si>
  <si>
    <t>AXJ-516</t>
  </si>
  <si>
    <t>208827</t>
  </si>
  <si>
    <t>1108790</t>
  </si>
  <si>
    <t>KHI/HO/D/MO/PC COMP/C/105499/156/01/2025</t>
  </si>
  <si>
    <t>HYUNDAI ELANTRA 2.0 MP1 A</t>
  </si>
  <si>
    <t>AXC-519</t>
  </si>
  <si>
    <t>G4NAMU945343</t>
  </si>
  <si>
    <t>PMHD841FMMN302208</t>
  </si>
  <si>
    <t>KHI/HO/D/MO/PC COMP/C/105499/157/01/2025</t>
  </si>
  <si>
    <t>AHE-860</t>
  </si>
  <si>
    <t>196188</t>
  </si>
  <si>
    <t>1096162</t>
  </si>
  <si>
    <t>KHI/HO/D/MO/PC COMP/C/105499/158/01/2025</t>
  </si>
  <si>
    <t>LEA-17A-6560</t>
  </si>
  <si>
    <t>695903</t>
  </si>
  <si>
    <t>01234402</t>
  </si>
  <si>
    <t>KHI/HO/D/MO/PC COMP/C/105499/159/01/2025</t>
  </si>
  <si>
    <t>AHL-659</t>
  </si>
  <si>
    <t>208896</t>
  </si>
  <si>
    <t>1108911</t>
  </si>
  <si>
    <t>KHI/HO/D/MO/PC COMP/C/105499/16/01/2025</t>
  </si>
  <si>
    <t>AQZ-004</t>
  </si>
  <si>
    <t>U374540</t>
  </si>
  <si>
    <t>N215523</t>
  </si>
  <si>
    <t>KHI/HO/D/MO/PC COMP/C/105499/160/01/2025</t>
  </si>
  <si>
    <t>PRINCE PEARL</t>
  </si>
  <si>
    <t>AHT-165</t>
  </si>
  <si>
    <t>M07606734W</t>
  </si>
  <si>
    <t>M22A03504</t>
  </si>
  <si>
    <t>KHI/HO/D/MO/PC COMP/C/105499/161/01/2025</t>
  </si>
  <si>
    <t>HONDA CITY CVT ASPIRE A/T</t>
  </si>
  <si>
    <t>LEB-18-6537</t>
  </si>
  <si>
    <t>Z17507271</t>
  </si>
  <si>
    <t>JR219550</t>
  </si>
  <si>
    <t>KHI/HO/D/MO/PC COMP/C/105499/163/01/2025</t>
  </si>
  <si>
    <t>SUZUKI BOLAN STD VX</t>
  </si>
  <si>
    <t>AXJ-238</t>
  </si>
  <si>
    <t>1019530</t>
  </si>
  <si>
    <t>01136043</t>
  </si>
  <si>
    <t>KHI/HO/D/MO/PC COMP/C/105499/164/01/2025</t>
  </si>
  <si>
    <t>BRD-806</t>
  </si>
  <si>
    <t>148179</t>
  </si>
  <si>
    <t>700519</t>
  </si>
  <si>
    <t>KHI/HO/D/MO/PC COMP/C/105499/165/01/2025</t>
  </si>
  <si>
    <t>SUZUKI SWIFT DLX EURO II</t>
  </si>
  <si>
    <t>BQE-293</t>
  </si>
  <si>
    <t>46234</t>
  </si>
  <si>
    <t>10046229</t>
  </si>
  <si>
    <t>KHI/HO/D/MO/PC COMP/C/105499/166/01/2025</t>
  </si>
  <si>
    <t>LEB-17-5310</t>
  </si>
  <si>
    <t>Z482284</t>
  </si>
  <si>
    <t>4108766</t>
  </si>
  <si>
    <t>KHI/HO/D/MO/PC COMP/C/105499/167/01/2025</t>
  </si>
  <si>
    <t>AHP-744</t>
  </si>
  <si>
    <t>1019840</t>
  </si>
  <si>
    <t>1136346</t>
  </si>
  <si>
    <t>KHI/HO/D/MO/PC COMP/C/105499/168/01/2025</t>
  </si>
  <si>
    <t>LEB-19-6730</t>
  </si>
  <si>
    <t>134079</t>
  </si>
  <si>
    <t>10033856</t>
  </si>
  <si>
    <t>KHI/HO/D/MO/PC COMP/C/105499/169/01/2025</t>
  </si>
  <si>
    <t>TOYOTA YARIS ATIV MT 1.3</t>
  </si>
  <si>
    <t>LHF-22-945</t>
  </si>
  <si>
    <t>2A43219</t>
  </si>
  <si>
    <t>7027095</t>
  </si>
  <si>
    <t>KHI/HO/D/MO/PC COMP/C/105499/17/01/2025</t>
  </si>
  <si>
    <t>AAD-489</t>
  </si>
  <si>
    <t>2A05310</t>
  </si>
  <si>
    <t>NSP151R9502473</t>
  </si>
  <si>
    <t>KHI/HO/D/MO/PC COMP/C/105499/170/01/2025</t>
  </si>
  <si>
    <t>AHJ-590</t>
  </si>
  <si>
    <t>PKT1019884</t>
  </si>
  <si>
    <t>SV308PK01136401</t>
  </si>
  <si>
    <t>KHI/HO/D/MO/PC COMP/C/105499/171/01/2025</t>
  </si>
  <si>
    <t>AHJ-833</t>
  </si>
  <si>
    <t>227844</t>
  </si>
  <si>
    <t>10127866</t>
  </si>
  <si>
    <t>KHI/HO/D/MO/PC COMP/C/105499/172/01/2025</t>
  </si>
  <si>
    <t>SUZUKI ALTO</t>
  </si>
  <si>
    <t>LEA-20-7296</t>
  </si>
  <si>
    <t>6R113505</t>
  </si>
  <si>
    <t>6H1013456</t>
  </si>
  <si>
    <t>KHI/HO/D/MO/PC COMP/C/105499/173/01/2025</t>
  </si>
  <si>
    <t>AHP-527</t>
  </si>
  <si>
    <t>507496</t>
  </si>
  <si>
    <t>1011805</t>
  </si>
  <si>
    <t>KHI/HO/D/MO/PC COMP/C/105499/174/01/2025</t>
  </si>
  <si>
    <t>LEE-19-7840</t>
  </si>
  <si>
    <t>B192074</t>
  </si>
  <si>
    <t>10092334</t>
  </si>
  <si>
    <t>KHI/HO/D/MO/PC COMP/C/105499/175/01/2025</t>
  </si>
  <si>
    <t>LED-17-327</t>
  </si>
  <si>
    <t>PK0K101489</t>
  </si>
  <si>
    <t>NF1AVK31H10001475</t>
  </si>
  <si>
    <t>KHI/HO/D/MO/PC COMP/C/105499/176/01/2025</t>
  </si>
  <si>
    <t>LEE-18-4684</t>
  </si>
  <si>
    <t>PK10B156612</t>
  </si>
  <si>
    <t>10056592</t>
  </si>
  <si>
    <t>KHI/HO/D/MO/PC COMP/C/105499/177/01/2025</t>
  </si>
  <si>
    <t>LEH-19-1551</t>
  </si>
  <si>
    <t>71403538</t>
  </si>
  <si>
    <t>KR057362</t>
  </si>
  <si>
    <t>KHI/HO/D/MO/PC COMP/C/105499/178/01/2025</t>
  </si>
  <si>
    <t>TOYOTA COROLLA ALTIS CVT</t>
  </si>
  <si>
    <t>AHG-079</t>
  </si>
  <si>
    <t>Q357236</t>
  </si>
  <si>
    <t>7056355</t>
  </si>
  <si>
    <t>KHI/HO/D/MO/PC COMP/C/105499/179/01/2025</t>
  </si>
  <si>
    <t>AGA-304</t>
  </si>
  <si>
    <t>L13Z17503378</t>
  </si>
  <si>
    <t>214098</t>
  </si>
  <si>
    <t>KHI/HO/D/MO/PC COMP/C/105499/18/01/2025</t>
  </si>
  <si>
    <t>LEE-18-3412</t>
  </si>
  <si>
    <t>PKB730571</t>
  </si>
  <si>
    <t>SB308PK01269103</t>
  </si>
  <si>
    <t>KHI/HO/D/MO/PC COMP/C/105499/180/01/2025</t>
  </si>
  <si>
    <t>AUS-942</t>
  </si>
  <si>
    <t>180849</t>
  </si>
  <si>
    <t>10080672</t>
  </si>
  <si>
    <t>KHI/HO/D/MO/PC COMP/C/105499/181/01/2025</t>
  </si>
  <si>
    <t>LEC-18A-7089</t>
  </si>
  <si>
    <t>Z17521845</t>
  </si>
  <si>
    <t>JR238138</t>
  </si>
  <si>
    <t>KHI/HO/D/MO/PC COMP/C/105499/182/01/2025</t>
  </si>
  <si>
    <t>HONDA CIVIC VTI MT</t>
  </si>
  <si>
    <t>AXE-929</t>
  </si>
  <si>
    <t>6929810</t>
  </si>
  <si>
    <t>R082392</t>
  </si>
  <si>
    <t>KHI/HO/D/MO/PC COMP/C/105499/183/01/2025</t>
  </si>
  <si>
    <t>LEH-17-741</t>
  </si>
  <si>
    <t>2918064</t>
  </si>
  <si>
    <t>R021438</t>
  </si>
  <si>
    <t>KHI/HO/D/MO/PC COMP/C/105499/184/01/2025</t>
  </si>
  <si>
    <t>CZ-7854</t>
  </si>
  <si>
    <t>1019572</t>
  </si>
  <si>
    <t>01136082</t>
  </si>
  <si>
    <t>KHI/HO/D/MO/PC COMP/C/105499/185/01/2025</t>
  </si>
  <si>
    <t>SUZUKI ALTO VXL AGS</t>
  </si>
  <si>
    <t>BRC-447</t>
  </si>
  <si>
    <t>6R122691</t>
  </si>
  <si>
    <t>1022562</t>
  </si>
  <si>
    <t>KHI/HO/D/MO/PC COMP/C/105499/186/01/2025</t>
  </si>
  <si>
    <t>SUZUKI MEHRAN VX EURO II</t>
  </si>
  <si>
    <t>BPP-902</t>
  </si>
  <si>
    <t>759512</t>
  </si>
  <si>
    <t>01298044</t>
  </si>
  <si>
    <t>KHI/HO/D/MO/PC COMP/C/105499/188/01/2025</t>
  </si>
  <si>
    <t>LE-18-3123</t>
  </si>
  <si>
    <t>R18Z12925350</t>
  </si>
  <si>
    <t>NFBFC6661HR028732</t>
  </si>
  <si>
    <t>KHI/HO/D/MO/PC COMP/C/105499/189/01/2025</t>
  </si>
  <si>
    <t>TOYOTA Yaris ATIV 1.3 (CV</t>
  </si>
  <si>
    <t>ABR-691</t>
  </si>
  <si>
    <t>2A15864</t>
  </si>
  <si>
    <t>9506378</t>
  </si>
  <si>
    <t>KHI/HO/D/MO/PC COMP/C/105499/19/01/2025</t>
  </si>
  <si>
    <t>SUZUKI ALTO AGS A/T</t>
  </si>
  <si>
    <t>ARA-325</t>
  </si>
  <si>
    <t>295204</t>
  </si>
  <si>
    <t>1195253</t>
  </si>
  <si>
    <t>KHI/HO/D/MO/PC COMP/C/105499/190/01/2025</t>
  </si>
  <si>
    <t>MG HS MG HS TURBO</t>
  </si>
  <si>
    <t>AHN-370</t>
  </si>
  <si>
    <t>8210157</t>
  </si>
  <si>
    <t>152605</t>
  </si>
  <si>
    <t>KHI/HO/D/MO/PC COMP/C/105499/2/01/2025</t>
  </si>
  <si>
    <t>AQL-315</t>
  </si>
  <si>
    <t>6R292250</t>
  </si>
  <si>
    <t>NF1AET306H1192277</t>
  </si>
  <si>
    <t>KHI/HO/D/MO/PC COMP/C/105499/20/01/2025</t>
  </si>
  <si>
    <t>ABG-294</t>
  </si>
  <si>
    <t>332254</t>
  </si>
  <si>
    <t>506555</t>
  </si>
  <si>
    <t>KHI/HO/D/MO/PC COMP/C/105499/21/01/2025</t>
  </si>
  <si>
    <t>HONDA CITY ASPIRE I VTEC</t>
  </si>
  <si>
    <t>LEA-16-5395</t>
  </si>
  <si>
    <t>L13Z17439779</t>
  </si>
  <si>
    <t>NFBGM1559GR179782</t>
  </si>
  <si>
    <t>KHI/HO/D/MO/PC COMP/C/105499/22/01/2025</t>
  </si>
  <si>
    <t>TOYOTA AQUA HYBRID</t>
  </si>
  <si>
    <t>APG-214</t>
  </si>
  <si>
    <t>625709</t>
  </si>
  <si>
    <t>106716354</t>
  </si>
  <si>
    <t>KHI/HO/D/MO/PC COMP/C/105499/23/01/2025</t>
  </si>
  <si>
    <t>HAVAL GWM</t>
  </si>
  <si>
    <t>LEB-17A-612</t>
  </si>
  <si>
    <t>Z12923041</t>
  </si>
  <si>
    <t>HR026296</t>
  </si>
  <si>
    <t>KHI/HO/D/MO/PC COMP/C/105499/24/01/2025</t>
  </si>
  <si>
    <t>ARA-469</t>
  </si>
  <si>
    <t>297202</t>
  </si>
  <si>
    <t>1197241</t>
  </si>
  <si>
    <t>KHI/HO/D/MO/PC COMP/C/105499/25/01/2025</t>
  </si>
  <si>
    <t>TOYOTA COROLLA GLI A/T 1.</t>
  </si>
  <si>
    <t>LEB-20-9871</t>
  </si>
  <si>
    <t>Z580252</t>
  </si>
  <si>
    <t>R4205360</t>
  </si>
  <si>
    <t>KHI/HO/D/MO/PC COMP/C/105499/26/01/2025</t>
  </si>
  <si>
    <t>SUZUKI Suzuki Swift</t>
  </si>
  <si>
    <t>ALE-484</t>
  </si>
  <si>
    <t>1005256</t>
  </si>
  <si>
    <t>105231</t>
  </si>
  <si>
    <t>KHI/HO/D/MO/PC COMP/C/105499/27/01/2025</t>
  </si>
  <si>
    <t>AAL-235</t>
  </si>
  <si>
    <t>201223</t>
  </si>
  <si>
    <t>10101196</t>
  </si>
  <si>
    <t>KHI/HO/D/MO/PC COMP/C/105499/28/01/2025</t>
  </si>
  <si>
    <t>HONDA CITY ASPIRE 1.5  I-</t>
  </si>
  <si>
    <t>AFW-642</t>
  </si>
  <si>
    <t>1015145</t>
  </si>
  <si>
    <t>36386</t>
  </si>
  <si>
    <t>KHI/HO/D/MO/PC COMP/C/105499/29/01/2025</t>
  </si>
  <si>
    <t>SUZUKI WAGON R VXL</t>
  </si>
  <si>
    <t>LEE-18-3416</t>
  </si>
  <si>
    <t>PK10B158864</t>
  </si>
  <si>
    <t>A1J310PK10058917</t>
  </si>
  <si>
    <t>KHI/HO/D/MO/PC COMP/C/105499/3/01/2025</t>
  </si>
  <si>
    <t>BDC-475</t>
  </si>
  <si>
    <t>293508</t>
  </si>
  <si>
    <t>1193565</t>
  </si>
  <si>
    <t>KHI/HO/D/MO/PC COMP/C/105499/30/01/2025</t>
  </si>
  <si>
    <t>LEE-16-3602</t>
  </si>
  <si>
    <t>624030</t>
  </si>
  <si>
    <t>530910</t>
  </si>
  <si>
    <t>KHI/HO/D/MO/PC COMP/C/105499/31/01/2025</t>
  </si>
  <si>
    <t>HONDA BRV - S</t>
  </si>
  <si>
    <t>BG-5139</t>
  </si>
  <si>
    <t>3503961</t>
  </si>
  <si>
    <t>R003904</t>
  </si>
  <si>
    <t>KHI/HO/D/MO/PC COMP/C/105499/32/01/2025</t>
  </si>
  <si>
    <t>AJP-374</t>
  </si>
  <si>
    <t>51009595</t>
  </si>
  <si>
    <t>15874</t>
  </si>
  <si>
    <t>KHI/HO/D/MO/PC COMP/C/105499/33/01/2025</t>
  </si>
  <si>
    <t>LEF-1550</t>
  </si>
  <si>
    <t>636672</t>
  </si>
  <si>
    <t>2151791</t>
  </si>
  <si>
    <t>KHI/HO/D/MO/PC COMP/C/105499/34/01/2025</t>
  </si>
  <si>
    <t>ARA-087</t>
  </si>
  <si>
    <t>6R285524</t>
  </si>
  <si>
    <t>1185539</t>
  </si>
  <si>
    <t>KHI/HO/D/MO/PC COMP/C/105499/35/01/2025</t>
  </si>
  <si>
    <t>AYH-322</t>
  </si>
  <si>
    <t>1001979</t>
  </si>
  <si>
    <t>101996</t>
  </si>
  <si>
    <t>KHI/HO/D/MO/PC COMP/C/105499/36/01/2025</t>
  </si>
  <si>
    <t>AQX-894</t>
  </si>
  <si>
    <t>1018585</t>
  </si>
  <si>
    <t>S00201274</t>
  </si>
  <si>
    <t>KHI/HO/D/MO/PC COMP/C/105499/37/01/2025</t>
  </si>
  <si>
    <t>ALP-502</t>
  </si>
  <si>
    <t>R156205</t>
  </si>
  <si>
    <t>H1056212</t>
  </si>
  <si>
    <t>KHI/HO/D/MO/PC COMP/C/105499/38/01/2025</t>
  </si>
  <si>
    <t>SUZUKI CULTUS VXR EURO-II</t>
  </si>
  <si>
    <t>LEB-17-6517</t>
  </si>
  <si>
    <t>632626</t>
  </si>
  <si>
    <t>539490</t>
  </si>
  <si>
    <t>KHI/HO/D/MO/PC COMP/C/105499/39/01/2025</t>
  </si>
  <si>
    <t>AGR-369</t>
  </si>
  <si>
    <t>202769</t>
  </si>
  <si>
    <t>1102741</t>
  </si>
  <si>
    <t>KHI/HO/D/MO/PC COMP/C/105499/4/01/2025</t>
  </si>
  <si>
    <t>LEA-16A-9300</t>
  </si>
  <si>
    <t>Q033998</t>
  </si>
  <si>
    <t>6011483</t>
  </si>
  <si>
    <t>KHI/HO/D/MO/PC COMP/C/105499/40/01/2025</t>
  </si>
  <si>
    <t>AEH-448</t>
  </si>
  <si>
    <t>6R109175</t>
  </si>
  <si>
    <t>H1009158</t>
  </si>
  <si>
    <t>KHI/HO/D/MO/PC COMP/C/105499/41/01/2025</t>
  </si>
  <si>
    <t>LEE-18-1347</t>
  </si>
  <si>
    <t>158264</t>
  </si>
  <si>
    <t>10058259</t>
  </si>
  <si>
    <t>KHI/HO/D/MO/PC COMP/C/105499/42/01/2025</t>
  </si>
  <si>
    <t>BDD-820</t>
  </si>
  <si>
    <t>R294567</t>
  </si>
  <si>
    <t>194592</t>
  </si>
  <si>
    <t>KHI/HO/D/MO/PC COMP/C/105499/43/01/2025</t>
  </si>
  <si>
    <t>HONDA CITY ASPIRE A/T</t>
  </si>
  <si>
    <t>APL</t>
  </si>
  <si>
    <t>51020147</t>
  </si>
  <si>
    <t>R035031</t>
  </si>
  <si>
    <t>KHI/HO/D/MO/PC COMP/C/105499/44/01/2025</t>
  </si>
  <si>
    <t>ADS-194</t>
  </si>
  <si>
    <t>12911107</t>
  </si>
  <si>
    <t>014294</t>
  </si>
  <si>
    <t>KHI/HO/D/MO/PC COMP/C/105499/45/01/2025</t>
  </si>
  <si>
    <t>BRY-447</t>
  </si>
  <si>
    <t>6911526</t>
  </si>
  <si>
    <t>063347</t>
  </si>
  <si>
    <t>KHI/HO/D/MO/PC COMP/C/105499/46/01/2025</t>
  </si>
  <si>
    <t>AJQ-647</t>
  </si>
  <si>
    <t>6R219632</t>
  </si>
  <si>
    <t>1119626</t>
  </si>
  <si>
    <t>KHI/HO/D/MO/PC COMP/C/105499/47/01/2025</t>
  </si>
  <si>
    <t>AQV-899</t>
  </si>
  <si>
    <t>293032</t>
  </si>
  <si>
    <t>1193022</t>
  </si>
  <si>
    <t>KHI/HO/D/MO/PC COMP/C/105499/48/01/2025</t>
  </si>
  <si>
    <t>ADV-888</t>
  </si>
  <si>
    <t>12913145</t>
  </si>
  <si>
    <t>016384</t>
  </si>
  <si>
    <t>KHI/HO/D/MO/PC COMP/C/105499/49/01/2025</t>
  </si>
  <si>
    <t>ALU-389</t>
  </si>
  <si>
    <t>6R120293</t>
  </si>
  <si>
    <t>NF1AET306H1020378</t>
  </si>
  <si>
    <t>KHI/HO/D/MO/PC COMP/C/105499/5/01/2025</t>
  </si>
  <si>
    <t>AQT-751</t>
  </si>
  <si>
    <t>1021143</t>
  </si>
  <si>
    <t>PR036205</t>
  </si>
  <si>
    <t>KHI/HO/D/MO/PC COMP/C/105499/50/01/2025</t>
  </si>
  <si>
    <t>AQT-442</t>
  </si>
  <si>
    <t>290951</t>
  </si>
  <si>
    <t>1190901</t>
  </si>
  <si>
    <t>KHI/HO/D/MO/PC COMP/C/105499/51/01/2025</t>
  </si>
  <si>
    <t>SUZUKI ALTO VXR EURO II A</t>
  </si>
  <si>
    <t>285874</t>
  </si>
  <si>
    <t>1185839</t>
  </si>
  <si>
    <t>KHI/HO/D/MO/PC COMP/C/105499/52/01/2025</t>
  </si>
  <si>
    <t>SUZUKI CULTUS VXR</t>
  </si>
  <si>
    <t>LE-19A-4570</t>
  </si>
  <si>
    <t>147576</t>
  </si>
  <si>
    <t>10047670</t>
  </si>
  <si>
    <t>KHI/HO/D/MO/PC COMP/C/105499/53/01/2025</t>
  </si>
  <si>
    <t>AMV-371</t>
  </si>
  <si>
    <t>204333</t>
  </si>
  <si>
    <t>10104328</t>
  </si>
  <si>
    <t>KHI/HO/D/MO/PC COMP/C/105499/54/01/2025</t>
  </si>
  <si>
    <t>PEUGEOT ALLURE 2008</t>
  </si>
  <si>
    <t>ANT-747</t>
  </si>
  <si>
    <t>1899043</t>
  </si>
  <si>
    <t>H501398</t>
  </si>
  <si>
    <t>KHI/HO/D/MO/PC COMP/C/105499/55/01/2025</t>
  </si>
  <si>
    <t>AMZ-554</t>
  </si>
  <si>
    <t>6R268832</t>
  </si>
  <si>
    <t>H1168830</t>
  </si>
  <si>
    <t>KHI/HO/D/MO/PC COMP/C/105499/56/01/2025</t>
  </si>
  <si>
    <t>BYD-426</t>
  </si>
  <si>
    <t>Q102205</t>
  </si>
  <si>
    <t>6079611</t>
  </si>
  <si>
    <t>KHI/HO/D/MO/PC COMP/C/105499/57/01/2025</t>
  </si>
  <si>
    <t>HONDA CIVIC VTI</t>
  </si>
  <si>
    <t>LEC-18A-8741</t>
  </si>
  <si>
    <t>12944884</t>
  </si>
  <si>
    <t>048309</t>
  </si>
  <si>
    <t>KHI/HO/D/MO/PC COMP/C/105499/58/01/2025</t>
  </si>
  <si>
    <t>ANB-751</t>
  </si>
  <si>
    <t>266619</t>
  </si>
  <si>
    <t>1166685</t>
  </si>
  <si>
    <t>KHI/HO/D/MO/PC COMP/C/105499/59/01/2025</t>
  </si>
  <si>
    <t>SUZUKI MEHRAN STD</t>
  </si>
  <si>
    <t>LEA-16A-7413</t>
  </si>
  <si>
    <t>665238</t>
  </si>
  <si>
    <t>1203757</t>
  </si>
  <si>
    <t>KHI/HO/D/MO/PC COMP/C/105499/60/01/2025</t>
  </si>
  <si>
    <t>CHANGAN ALSVIN</t>
  </si>
  <si>
    <t>ANG-939</t>
  </si>
  <si>
    <t>503009</t>
  </si>
  <si>
    <t>1001670</t>
  </si>
  <si>
    <t>KHI/HO/D/MO/PC COMP/C/105499/61/01/2025</t>
  </si>
  <si>
    <t>BAD-282</t>
  </si>
  <si>
    <t>267725</t>
  </si>
  <si>
    <t>1167805</t>
  </si>
  <si>
    <t>KHI/HO/D/MO/PC COMP/C/105499/62/01/2025</t>
  </si>
  <si>
    <t>LEA-18A-4618</t>
  </si>
  <si>
    <t>127296</t>
  </si>
  <si>
    <t>10027259</t>
  </si>
  <si>
    <t>KHI/HO/D/MO/PC COMP/C/105499/63/01/2025</t>
  </si>
  <si>
    <t>ACK 866</t>
  </si>
  <si>
    <t>211434</t>
  </si>
  <si>
    <t>111420</t>
  </si>
  <si>
    <t>KHI/HO/D/MO/PC COMP/C/105499/64/01/2025</t>
  </si>
  <si>
    <t>ANF-629</t>
  </si>
  <si>
    <t>JL466Q9N69U503505</t>
  </si>
  <si>
    <t>NKMAAB3D1N1016315</t>
  </si>
  <si>
    <t>KHI/HO/D/MO/PC COMP/C/105499/65/01/2025</t>
  </si>
  <si>
    <t>PRINCE GLORY 580 PRO TURB</t>
  </si>
  <si>
    <t>AVA -741</t>
  </si>
  <si>
    <t>21026302</t>
  </si>
  <si>
    <t>21H1699</t>
  </si>
  <si>
    <t>KHI/HO/D/MO/PC COMP/C/105499/66/01/2025</t>
  </si>
  <si>
    <t>SUZUKI CULTUS VXL AGS</t>
  </si>
  <si>
    <t>LEB-20-8190</t>
  </si>
  <si>
    <t>K155905</t>
  </si>
  <si>
    <t>H10055998</t>
  </si>
  <si>
    <t>KHI/HO/D/MO/PC COMP/C/105499/67/01/2025</t>
  </si>
  <si>
    <t>HONDA CITY ASPIRE</t>
  </si>
  <si>
    <t>AWW-346</t>
  </si>
  <si>
    <t>81003503</t>
  </si>
  <si>
    <t>009867</t>
  </si>
  <si>
    <t>KHI/HO/D/MO/PC COMP/C/105499/68/01/2025</t>
  </si>
  <si>
    <t>AND-619</t>
  </si>
  <si>
    <t>1017227</t>
  </si>
  <si>
    <t>30604</t>
  </si>
  <si>
    <t>KHI/HO/D/MO/PC COMP/C/105499/69/01/2025</t>
  </si>
  <si>
    <t>LEH-19-9548</t>
  </si>
  <si>
    <t>6R101389</t>
  </si>
  <si>
    <t>H1001367</t>
  </si>
  <si>
    <t>KHI/HO/D/MO/PC COMP/C/105499/7/01/2025</t>
  </si>
  <si>
    <t>BDD-276</t>
  </si>
  <si>
    <t>G4NAPU372529</t>
  </si>
  <si>
    <t>PMHJ2813MPN215558</t>
  </si>
  <si>
    <t>KHI/HO/D/MO/PC COMP/C/105499/70/01/2025</t>
  </si>
  <si>
    <t>AAJ-261</t>
  </si>
  <si>
    <t>R18Z12956816</t>
  </si>
  <si>
    <t>NFBFC6668LR060764</t>
  </si>
  <si>
    <t>KHI/HO/D/MO/PC COMP/C/105499/71/01/2025</t>
  </si>
  <si>
    <t>LEA-19-8424</t>
  </si>
  <si>
    <t>K135890</t>
  </si>
  <si>
    <t>H100358909</t>
  </si>
  <si>
    <t>KHI/HO/D/MO/PC COMP/C/105499/72/01/2025</t>
  </si>
  <si>
    <t>BXR-244</t>
  </si>
  <si>
    <t>1008262</t>
  </si>
  <si>
    <t>108263</t>
  </si>
  <si>
    <t>KHI/HO/D/MO/PC COMP/C/105499/73/01/2025</t>
  </si>
  <si>
    <t>BPZ-010</t>
  </si>
  <si>
    <t>B186082</t>
  </si>
  <si>
    <t>PK10086082</t>
  </si>
  <si>
    <t>KHI/HO/D/MO/PC COMP/C/105499/74/01/2025</t>
  </si>
  <si>
    <t>LEE-18-539</t>
  </si>
  <si>
    <t>PK10B159589</t>
  </si>
  <si>
    <t>A1J310PK10059581</t>
  </si>
  <si>
    <t>KHI/HO/D/MO/PC COMP/C/105499/75/01/2025</t>
  </si>
  <si>
    <t>AFM-867</t>
  </si>
  <si>
    <t>221417</t>
  </si>
  <si>
    <t>10121445</t>
  </si>
  <si>
    <t>KHI/HO/D/MO/PC COMP/C/105499/76/01/2025</t>
  </si>
  <si>
    <t>SUZUKI Swift GL CVT</t>
  </si>
  <si>
    <t>BXQ-964</t>
  </si>
  <si>
    <t>1006295</t>
  </si>
  <si>
    <t>106284</t>
  </si>
  <si>
    <t>KHI/HO/D/MO/PC COMP/C/105499/77/01/2025</t>
  </si>
  <si>
    <t>HONDA CITY A/T</t>
  </si>
  <si>
    <t>ANF-498</t>
  </si>
  <si>
    <t>1017315</t>
  </si>
  <si>
    <t>PR030693</t>
  </si>
  <si>
    <t>KHI/HO/D/MO/PC COMP/C/105499/78/01/2025</t>
  </si>
  <si>
    <t>CHANGAN OSHAN X7 COMFORT</t>
  </si>
  <si>
    <t>ANQ-892</t>
  </si>
  <si>
    <t>269985</t>
  </si>
  <si>
    <t>1000695</t>
  </si>
  <si>
    <t>KHI/HO/D/MO/PC COMP/C/105499/79/01/2025</t>
  </si>
  <si>
    <t>BLT-041</t>
  </si>
  <si>
    <t>K116858</t>
  </si>
  <si>
    <t>10016952</t>
  </si>
  <si>
    <t>KHI/HO/D/MO/PC COMP/C/105499/8/01/2025</t>
  </si>
  <si>
    <t>BCS-630</t>
  </si>
  <si>
    <t>290380</t>
  </si>
  <si>
    <t>1190468</t>
  </si>
  <si>
    <t>KHI/HO/D/MO/PC COMP/C/105499/80/01/2025</t>
  </si>
  <si>
    <t>AXE-776</t>
  </si>
  <si>
    <t>2A46485</t>
  </si>
  <si>
    <t>9517290</t>
  </si>
  <si>
    <t>KHI/HO/D/MO/PC COMP/C/105499/81/01/2025</t>
  </si>
  <si>
    <t>APD-518</t>
  </si>
  <si>
    <t>6R109169</t>
  </si>
  <si>
    <t>NF1AET306H1009083</t>
  </si>
  <si>
    <t>KHI/HO/D/MO/PC COMP/C/105499/82/01/2025</t>
  </si>
  <si>
    <t>AGV-031</t>
  </si>
  <si>
    <t>79789025</t>
  </si>
  <si>
    <t>220010</t>
  </si>
  <si>
    <t>KHI/HO/D/MO/PC COMP/C/105499/83/01/2025</t>
  </si>
  <si>
    <t>BBK-569</t>
  </si>
  <si>
    <t>254293</t>
  </si>
  <si>
    <t>1154291</t>
  </si>
  <si>
    <t>KHI/HO/D/MO/PC COMP/C/105499/84/01/2025</t>
  </si>
  <si>
    <t>LE-18A-3847</t>
  </si>
  <si>
    <t>K124048</t>
  </si>
  <si>
    <t>H10024102</t>
  </si>
  <si>
    <t>KHI/HO/D/MO/PC COMP/C/105499/85/01/2025</t>
  </si>
  <si>
    <t>TOYOTA AVANZA M/T</t>
  </si>
  <si>
    <t>BG-1921</t>
  </si>
  <si>
    <t>DED9660</t>
  </si>
  <si>
    <t>BK000313</t>
  </si>
  <si>
    <t>KHI/HO/D/MO/PC COMP/C/105499/86/01/2025</t>
  </si>
  <si>
    <t>AMV-728</t>
  </si>
  <si>
    <t>268569</t>
  </si>
  <si>
    <t>1168562</t>
  </si>
  <si>
    <t>KHI/HO/D/MO/PC COMP/C/105499/87/01/2025</t>
  </si>
  <si>
    <t>AMW-901</t>
  </si>
  <si>
    <t>6R268806</t>
  </si>
  <si>
    <t>6H1168795</t>
  </si>
  <si>
    <t>KHI/HO/D/MO/PC COMP/C/105499/88/01/2025</t>
  </si>
  <si>
    <t>ANH-619</t>
  </si>
  <si>
    <t>263396</t>
  </si>
  <si>
    <t>1163372</t>
  </si>
  <si>
    <t>KHI/HO/D/MO/PC COMP/C/105499/89/01/2025</t>
  </si>
  <si>
    <t>AMX-681</t>
  </si>
  <si>
    <t>Q102871</t>
  </si>
  <si>
    <t>6080404</t>
  </si>
  <si>
    <t>KHI/HO/D/MO/PC COMP/C/105499/9/01/2025</t>
  </si>
  <si>
    <t>LEA-20-8650</t>
  </si>
  <si>
    <t>6R129164</t>
  </si>
  <si>
    <t>1029188</t>
  </si>
  <si>
    <t>KHI/HO/D/MO/PC COMP/C/105499/90/01/2025</t>
  </si>
  <si>
    <t>ANC-567</t>
  </si>
  <si>
    <t>6R268146</t>
  </si>
  <si>
    <t>1168140</t>
  </si>
  <si>
    <t>KHI/HO/D/MO/PC COMP/C/105499/91/01/2025</t>
  </si>
  <si>
    <t>ADB-21-146</t>
  </si>
  <si>
    <t>160244</t>
  </si>
  <si>
    <t>PK1060202</t>
  </si>
  <si>
    <t>KHI/HO/D/MO/PC COMP/C/105499/92/01/2025</t>
  </si>
  <si>
    <t>TOYOTA COROLLA ALTIS CVTI</t>
  </si>
  <si>
    <t>ALG-026</t>
  </si>
  <si>
    <t>Q342909</t>
  </si>
  <si>
    <t>7042083</t>
  </si>
  <si>
    <t>KHI/HO/D/MO/PC COMP/C/105499/95/01/2025</t>
  </si>
  <si>
    <t>ABL-644</t>
  </si>
  <si>
    <t>208908</t>
  </si>
  <si>
    <t>10108874</t>
  </si>
  <si>
    <t>KHI/HO/D/MO/PC COMP/C/105499/96/01/2025</t>
  </si>
  <si>
    <t>ABV-556</t>
  </si>
  <si>
    <t>150925</t>
  </si>
  <si>
    <t>1050908</t>
  </si>
  <si>
    <t>KHI/HO/D/MO/PC COMP/C/105499/97/01/2025</t>
  </si>
  <si>
    <t>ABR-882</t>
  </si>
  <si>
    <t>H332381</t>
  </si>
  <si>
    <t>P506923</t>
  </si>
  <si>
    <t>KHI/HO/D/MO/PC COMP/C/105499/98/01/2025</t>
  </si>
  <si>
    <t>LE-16A-1082</t>
  </si>
  <si>
    <t>118650</t>
  </si>
  <si>
    <t>10018638</t>
  </si>
  <si>
    <t>KHI/HO/D/MO/PC COMP/C/105499/99/01/2025</t>
  </si>
  <si>
    <t>LEH-14-1041</t>
  </si>
  <si>
    <t>7420945</t>
  </si>
  <si>
    <t>R-157341</t>
  </si>
  <si>
    <t>KHI/HO/D/MO/PC COMP/C/105721/1/01/2025</t>
  </si>
  <si>
    <t>AML-502</t>
  </si>
  <si>
    <t>6R258580</t>
  </si>
  <si>
    <t>NF1AET306H1158600</t>
  </si>
  <si>
    <t>KHI/HO/D/MO/CV/C/106061/1/01/2025</t>
  </si>
  <si>
    <t>PKT393671</t>
  </si>
  <si>
    <t>PK498330</t>
  </si>
  <si>
    <t>KHI/HO/D/MO/CV/C/106061/2/01/2025</t>
  </si>
  <si>
    <t>PKT392467</t>
  </si>
  <si>
    <t>PK497134</t>
  </si>
  <si>
    <t>KHI/HO/D/MO/CV/C/106429/1/01/2025</t>
  </si>
  <si>
    <t>LB-0912</t>
  </si>
  <si>
    <t>379847</t>
  </si>
  <si>
    <t>484510</t>
  </si>
  <si>
    <t>KHI/HO/D/MO/CV/C/106429/2/01/2025</t>
  </si>
  <si>
    <t>LB-1085</t>
  </si>
  <si>
    <t>379864</t>
  </si>
  <si>
    <t>484524</t>
  </si>
  <si>
    <t>KHI/HO/D/MO/CV/C/106429/3/01/2025</t>
  </si>
  <si>
    <t>CAH-5801</t>
  </si>
  <si>
    <t>378768</t>
  </si>
  <si>
    <t>483428</t>
  </si>
  <si>
    <t>KHI/HO/D/MO/CV/C/106429/4/01/2025</t>
  </si>
  <si>
    <t>SUZUKI RAVI PICK UP</t>
  </si>
  <si>
    <t>TA-16</t>
  </si>
  <si>
    <t>380044</t>
  </si>
  <si>
    <t>484691</t>
  </si>
  <si>
    <t>KHI/HO/D/MO/CV/C/106429/5/01/2025</t>
  </si>
  <si>
    <t>CAK-6569</t>
  </si>
  <si>
    <t>380343</t>
  </si>
  <si>
    <t>485020</t>
  </si>
  <si>
    <t>KHI/HO/D/MO/CV/C/106429/6/01/2025</t>
  </si>
  <si>
    <t>CAH-7295</t>
  </si>
  <si>
    <t>379988</t>
  </si>
  <si>
    <t>484647</t>
  </si>
  <si>
    <t>KHI/HO/D/MO/CV/C/106429/7/01/2025</t>
  </si>
  <si>
    <t>CAH-5710</t>
  </si>
  <si>
    <t>376581</t>
  </si>
  <si>
    <t>481228</t>
  </si>
  <si>
    <t>KHI/HO/D/MO/CV/C/106429/8/01/2025</t>
  </si>
  <si>
    <t>CAC-6093</t>
  </si>
  <si>
    <t>366472</t>
  </si>
  <si>
    <t>471136</t>
  </si>
  <si>
    <t>Fresh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</si>
  <si>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</si>
  <si>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</si>
  <si>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</si>
  <si>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</si>
  <si>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</si>
  <si>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</si>
  <si>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</si>
  <si>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</si>
  <si>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</si>
  <si>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</si>
  <si>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</si>
  <si>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</si>
  <si>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</si>
  <si>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</si>
  <si>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</si>
  <si>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</si>
  <si>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</si>
  <si>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</si>
  <si>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</si>
  <si>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New Sum Cover Amount</t>
  </si>
  <si>
    <t>Takaful Rate</t>
  </si>
  <si>
    <t>New Premium Amount</t>
  </si>
  <si>
    <t>ALBARAKA Status</t>
  </si>
  <si>
    <t>For Takaful Company Rectifications</t>
  </si>
  <si>
    <t>For COD Status</t>
  </si>
  <si>
    <t>PO No.</t>
  </si>
  <si>
    <t>PO Dates</t>
  </si>
  <si>
    <t>Proposal Status</t>
  </si>
  <si>
    <t>DPD</t>
  </si>
  <si>
    <t>GL Balance</t>
  </si>
  <si>
    <t>Differences</t>
  </si>
  <si>
    <t>Remarks</t>
  </si>
  <si>
    <t xml:space="preserve">Fresh </t>
  </si>
  <si>
    <t>75117/1</t>
  </si>
  <si>
    <t>Salam Takaful</t>
  </si>
  <si>
    <t>MUHAMMAD  ARIF</t>
  </si>
  <si>
    <t>UN - REG</t>
  </si>
  <si>
    <t>Central</t>
  </si>
  <si>
    <t>0804</t>
  </si>
  <si>
    <t>657913</t>
  </si>
  <si>
    <t>-</t>
  </si>
  <si>
    <t>DISBURSED</t>
  </si>
  <si>
    <t>75401/1</t>
  </si>
  <si>
    <t>MUHAMMAD  BILAL</t>
  </si>
  <si>
    <t>0329</t>
  </si>
  <si>
    <t>658773</t>
  </si>
  <si>
    <t>75574/1</t>
  </si>
  <si>
    <t>SYED ABDUL RASHEED</t>
  </si>
  <si>
    <t>660920</t>
  </si>
  <si>
    <t>76370/1</t>
  </si>
  <si>
    <t>SARMAD KAMAL KHAN</t>
  </si>
  <si>
    <t>662358</t>
  </si>
  <si>
    <t>76610/1</t>
  </si>
  <si>
    <t>SUHAIB  MANZOOR</t>
  </si>
  <si>
    <t>33177</t>
  </si>
  <si>
    <t>76986/1</t>
  </si>
  <si>
    <t>RIFFAT   SALEEM</t>
  </si>
  <si>
    <t>0423</t>
  </si>
  <si>
    <t>665158</t>
  </si>
  <si>
    <t>77006/1</t>
  </si>
  <si>
    <t>KINZA   SHAHZAD</t>
  </si>
  <si>
    <t>665476</t>
  </si>
  <si>
    <t>77010/1</t>
  </si>
  <si>
    <t>MALIK   AZHAR</t>
  </si>
  <si>
    <t>665142</t>
  </si>
  <si>
    <t>77119/1</t>
  </si>
  <si>
    <t>MUHAMMAD  TALHA  SHAH</t>
  </si>
  <si>
    <t>0471</t>
  </si>
  <si>
    <t>665522</t>
  </si>
  <si>
    <t>77135/1</t>
  </si>
  <si>
    <t>NAEEM   KHAN</t>
  </si>
  <si>
    <t>South</t>
  </si>
  <si>
    <t>0144</t>
  </si>
  <si>
    <t>548733</t>
  </si>
  <si>
    <t>77166/1</t>
  </si>
  <si>
    <t>MUHAMMAD UMAR ALI</t>
  </si>
  <si>
    <t>666037</t>
  </si>
  <si>
    <t>77221/1</t>
  </si>
  <si>
    <t>RANA ISHTIAQ AHMAD PRINCE</t>
  </si>
  <si>
    <t>668205</t>
  </si>
  <si>
    <t>77248/1</t>
  </si>
  <si>
    <t>MUHAMMAD AZHAR HUSSAIN</t>
  </si>
  <si>
    <t>0401</t>
  </si>
  <si>
    <t>666177</t>
  </si>
  <si>
    <t>77269/1</t>
  </si>
  <si>
    <t>HUMA  FAISAL</t>
  </si>
  <si>
    <t>521457</t>
  </si>
  <si>
    <t>77312/1</t>
  </si>
  <si>
    <t>MUHAMMAD   HASSAN</t>
  </si>
  <si>
    <t>666485</t>
  </si>
  <si>
    <t>77352/1</t>
  </si>
  <si>
    <t>ZAKI ULLAH DANISH</t>
  </si>
  <si>
    <t>666671</t>
  </si>
  <si>
    <t>77464/1</t>
  </si>
  <si>
    <t>SIKANDAR   NAWAZ</t>
  </si>
  <si>
    <t>667242</t>
  </si>
  <si>
    <t>77516/1</t>
  </si>
  <si>
    <t>KHURRAM  SHAHZAD</t>
  </si>
  <si>
    <t>537131</t>
  </si>
  <si>
    <t>77523/1</t>
  </si>
  <si>
    <t>SHAHZAD  FAROOQ</t>
  </si>
  <si>
    <t>576524</t>
  </si>
  <si>
    <t>77544/1</t>
  </si>
  <si>
    <t>ARSHAD   ALI</t>
  </si>
  <si>
    <t>667171</t>
  </si>
  <si>
    <t>77763/1</t>
  </si>
  <si>
    <t>TOUQEER  TAYYAB</t>
  </si>
  <si>
    <t>667756</t>
  </si>
  <si>
    <t>77764/1</t>
  </si>
  <si>
    <t>77787/1</t>
  </si>
  <si>
    <t>WAQAR  AHMED</t>
  </si>
  <si>
    <t>665064</t>
  </si>
  <si>
    <t>77799/1</t>
  </si>
  <si>
    <t>IRFAN   JAMEEL</t>
  </si>
  <si>
    <t>667662</t>
  </si>
  <si>
    <t>77800/1</t>
  </si>
  <si>
    <t>MUHAMMAD TAYYAB HASSAN</t>
  </si>
  <si>
    <t>667666</t>
  </si>
  <si>
    <t>77811/1</t>
  </si>
  <si>
    <t>MUHAMMAD   ASIF</t>
  </si>
  <si>
    <t>667645</t>
  </si>
  <si>
    <t>77860/1</t>
  </si>
  <si>
    <t>SHUMAILA  .</t>
  </si>
  <si>
    <t>667187</t>
  </si>
  <si>
    <t>77862/1</t>
  </si>
  <si>
    <t>MUHAMMAD  ABID</t>
  </si>
  <si>
    <t>667659</t>
  </si>
  <si>
    <t>77898/1</t>
  </si>
  <si>
    <t>NADEEM   HAIDER</t>
  </si>
  <si>
    <t>667780</t>
  </si>
  <si>
    <t>77914/1</t>
  </si>
  <si>
    <t>FARUKH  ABBAS</t>
  </si>
  <si>
    <t>667907</t>
  </si>
  <si>
    <t>77964/1</t>
  </si>
  <si>
    <t>ABUBAKAR   SARFRAZ</t>
  </si>
  <si>
    <t>667917</t>
  </si>
  <si>
    <t>77969/1</t>
  </si>
  <si>
    <t>FAROOQ ALI  BHATTI</t>
  </si>
  <si>
    <t>556539</t>
  </si>
  <si>
    <t>77992/1</t>
  </si>
  <si>
    <t>TAHIR  MUNIR</t>
  </si>
  <si>
    <t>515375</t>
  </si>
  <si>
    <t>78000/1</t>
  </si>
  <si>
    <t>GHULAM RAZA JAGIRANI</t>
  </si>
  <si>
    <t>668167</t>
  </si>
  <si>
    <t>78026/1</t>
  </si>
  <si>
    <t>MUHAMMAD ASAD GULZAR</t>
  </si>
  <si>
    <t>668191</t>
  </si>
  <si>
    <t>78039/1</t>
  </si>
  <si>
    <t>MUHAMMAD BILAL QAMMAR</t>
  </si>
  <si>
    <t>0559</t>
  </si>
  <si>
    <t>177949</t>
  </si>
  <si>
    <t>78048/1</t>
  </si>
  <si>
    <t>ALI  ULLAH</t>
  </si>
  <si>
    <t>6076550</t>
  </si>
  <si>
    <t>668192</t>
  </si>
  <si>
    <t>78083/1</t>
  </si>
  <si>
    <t>HABIB ABBAS MALIK</t>
  </si>
  <si>
    <t>561158</t>
  </si>
  <si>
    <t>78094/1</t>
  </si>
  <si>
    <t>KHALID  HSSSAIN</t>
  </si>
  <si>
    <t>395034</t>
  </si>
  <si>
    <t>78099/1</t>
  </si>
  <si>
    <t>TAHIR  MAHMOOD</t>
  </si>
  <si>
    <t>191712</t>
  </si>
  <si>
    <t>78141/1</t>
  </si>
  <si>
    <t>WASEEM  RIAZ</t>
  </si>
  <si>
    <t>0431</t>
  </si>
  <si>
    <t>598685</t>
  </si>
  <si>
    <t>78178/1</t>
  </si>
  <si>
    <t>ASIF  NISAR</t>
  </si>
  <si>
    <t>668624</t>
  </si>
  <si>
    <t>78194/1</t>
  </si>
  <si>
    <t>MUHAMMAD   MUDASSAR</t>
  </si>
  <si>
    <t>668642</t>
  </si>
  <si>
    <t>78201/1</t>
  </si>
  <si>
    <t>QAMER JAVED HAYAT</t>
  </si>
  <si>
    <t>668646</t>
  </si>
  <si>
    <t>78257/1</t>
  </si>
  <si>
    <t>MUHAMMAD MASOOD AHMAD</t>
  </si>
  <si>
    <t>349485</t>
  </si>
  <si>
    <t>78286/1</t>
  </si>
  <si>
    <t>MUHAMMAD EJAZ  KHAN</t>
  </si>
  <si>
    <t>587613</t>
  </si>
  <si>
    <t>78300/1</t>
  </si>
  <si>
    <t>MALIK ZEESHAN ALI</t>
  </si>
  <si>
    <t>669095</t>
  </si>
  <si>
    <t>78347/1</t>
  </si>
  <si>
    <t>HASSAN   KHALID</t>
  </si>
  <si>
    <t>668873</t>
  </si>
  <si>
    <t>78354/1</t>
  </si>
  <si>
    <t>MUHAMMAD NAVEED ASLAM</t>
  </si>
  <si>
    <t>AHC-789</t>
  </si>
  <si>
    <t>669993</t>
  </si>
  <si>
    <t>78414/1</t>
  </si>
  <si>
    <t>SHAYAN ZAFAR QAZI</t>
  </si>
  <si>
    <t>669392</t>
  </si>
  <si>
    <t>78432/1</t>
  </si>
  <si>
    <t>SAMAMA  BUKHARI</t>
  </si>
  <si>
    <t>0150</t>
  </si>
  <si>
    <t>669128</t>
  </si>
  <si>
    <t>78774/1</t>
  </si>
  <si>
    <t>NOUMAN   AHMAD</t>
  </si>
  <si>
    <t>665908</t>
  </si>
  <si>
    <t>78833/1</t>
  </si>
  <si>
    <t>ALI YASIR MUSTAFA</t>
  </si>
  <si>
    <t>492217</t>
  </si>
  <si>
    <t>78903/1</t>
  </si>
  <si>
    <t>ZAHOOR UL HASSAN</t>
  </si>
  <si>
    <t>556055</t>
  </si>
  <si>
    <t>78908/1</t>
  </si>
  <si>
    <t>MUHAMMAD  RAMZAN</t>
  </si>
  <si>
    <t>79141/1</t>
  </si>
  <si>
    <t>567900</t>
  </si>
  <si>
    <t>78922/1</t>
  </si>
  <si>
    <t>MUHAMMAD  SAFDAR</t>
  </si>
  <si>
    <t>0561</t>
  </si>
  <si>
    <t>628903</t>
  </si>
  <si>
    <t>Policy No.</t>
  </si>
  <si>
    <t>TMS Premium</t>
  </si>
  <si>
    <t>Difference Amount</t>
  </si>
  <si>
    <t>Tagging</t>
  </si>
  <si>
    <t>S.No</t>
  </si>
  <si>
    <t>Renewal</t>
  </si>
  <si>
    <t>34942/1</t>
  </si>
  <si>
    <t>SALAAM TAKAFUL LTD</t>
  </si>
  <si>
    <t>CHAUDHRY SHUJA ABBAS</t>
  </si>
  <si>
    <t>0318</t>
  </si>
  <si>
    <t>429367</t>
  </si>
  <si>
    <t>paid</t>
  </si>
  <si>
    <t>34765/1</t>
  </si>
  <si>
    <t>MUHAMMAD  YOUSUF</t>
  </si>
  <si>
    <t>0251</t>
  </si>
  <si>
    <t>433701</t>
  </si>
  <si>
    <t>39968/1</t>
  </si>
  <si>
    <t>AMIR  ZEB</t>
  </si>
  <si>
    <t>North</t>
  </si>
  <si>
    <t>0611</t>
  </si>
  <si>
    <t>458287</t>
  </si>
  <si>
    <t>42492/1</t>
  </si>
  <si>
    <t>AAMIR  AHMED</t>
  </si>
  <si>
    <t>246846</t>
  </si>
  <si>
    <t>44126/1</t>
  </si>
  <si>
    <t>RAFAQAT  ALI</t>
  </si>
  <si>
    <t>506416</t>
  </si>
  <si>
    <t>45647/1</t>
  </si>
  <si>
    <t>MUHAMMAD  FAHIM</t>
  </si>
  <si>
    <t>451846</t>
  </si>
  <si>
    <t>45658/1</t>
  </si>
  <si>
    <t>SHAHZAD  RASOOL</t>
  </si>
  <si>
    <t>516625</t>
  </si>
  <si>
    <t>45768/1</t>
  </si>
  <si>
    <t>WAQAR  KHAN</t>
  </si>
  <si>
    <t>424831</t>
  </si>
  <si>
    <t>45831/1</t>
  </si>
  <si>
    <t>EJAZ  AHMED</t>
  </si>
  <si>
    <t>518248</t>
  </si>
  <si>
    <t>45872/1</t>
  </si>
  <si>
    <t>RAFAQAT   MASIH</t>
  </si>
  <si>
    <t>0321</t>
  </si>
  <si>
    <t>490749</t>
  </si>
  <si>
    <t>45930/1</t>
  </si>
  <si>
    <t>NADEEM  ABBAS</t>
  </si>
  <si>
    <t>517834</t>
  </si>
  <si>
    <t>45932/1</t>
  </si>
  <si>
    <t>NADEEM  YOUNAS</t>
  </si>
  <si>
    <t>516469</t>
  </si>
  <si>
    <t>45950/1</t>
  </si>
  <si>
    <t>QASIM  AZAM</t>
  </si>
  <si>
    <t>519593</t>
  </si>
  <si>
    <t>45972/1</t>
  </si>
  <si>
    <t>MUHAMMAD FAROOQ JAMI</t>
  </si>
  <si>
    <t>516777</t>
  </si>
  <si>
    <t>45975/1</t>
  </si>
  <si>
    <t>SYED  NOMAN SHABBIR</t>
  </si>
  <si>
    <t>519997</t>
  </si>
  <si>
    <t>45982/1</t>
  </si>
  <si>
    <t>AFTAB  HAIDER</t>
  </si>
  <si>
    <t>403118</t>
  </si>
  <si>
    <t>45983/1</t>
  </si>
  <si>
    <t>46003/1</t>
  </si>
  <si>
    <t>MIRZA SHOAIB EJAZ</t>
  </si>
  <si>
    <t>517848</t>
  </si>
  <si>
    <t>46008/1</t>
  </si>
  <si>
    <t>ARSHI  MALIK</t>
  </si>
  <si>
    <t>393897</t>
  </si>
  <si>
    <t>46036/1</t>
  </si>
  <si>
    <t>SYED MOHSIN ALI SHAH</t>
  </si>
  <si>
    <t>0338</t>
  </si>
  <si>
    <t>516700</t>
  </si>
  <si>
    <t>46042/1</t>
  </si>
  <si>
    <t>ALLAH DITTA GHULAM FAREED</t>
  </si>
  <si>
    <t>503668</t>
  </si>
  <si>
    <t>46047/1</t>
  </si>
  <si>
    <t>RAJA WASEEM RASHEED</t>
  </si>
  <si>
    <t>0558</t>
  </si>
  <si>
    <t>143485</t>
  </si>
  <si>
    <t>46049/1</t>
  </si>
  <si>
    <t>SYED  JAMAL ABBAS RIZVI</t>
  </si>
  <si>
    <t>520120</t>
  </si>
  <si>
    <t>46051/2</t>
  </si>
  <si>
    <t>INAYATULLAH  KHAN</t>
  </si>
  <si>
    <t>473773</t>
  </si>
  <si>
    <t>46053/1</t>
  </si>
  <si>
    <t>SALEEM  AHMED  SUKHERA</t>
  </si>
  <si>
    <t>518147</t>
  </si>
  <si>
    <t>46060/1</t>
  </si>
  <si>
    <t>MUHAMMAD  ALI</t>
  </si>
  <si>
    <t>494340</t>
  </si>
  <si>
    <t>46073/1</t>
  </si>
  <si>
    <t>WASI UR REHMAN FAROOQ</t>
  </si>
  <si>
    <t>516432</t>
  </si>
  <si>
    <t>46075/3</t>
  </si>
  <si>
    <t>MUHAMMAD   SHAHID</t>
  </si>
  <si>
    <t>347435</t>
  </si>
  <si>
    <t>46079/1</t>
  </si>
  <si>
    <t>MIAN  SAFDAR HUSSAIN</t>
  </si>
  <si>
    <t>392550</t>
  </si>
  <si>
    <t>46082/1</t>
  </si>
  <si>
    <t>ADNAN AHMED SAEED</t>
  </si>
  <si>
    <t>405654</t>
  </si>
  <si>
    <t>46095/1</t>
  </si>
  <si>
    <t>HASEEB RAFIQ QURESHI</t>
  </si>
  <si>
    <t>519942</t>
  </si>
  <si>
    <t>46100/1</t>
  </si>
  <si>
    <t>IMTIAZ ALI UJJAN</t>
  </si>
  <si>
    <t>516345</t>
  </si>
  <si>
    <t>46109/1</t>
  </si>
  <si>
    <t>KHAWAJA NADEEM ZAHEER BUTT</t>
  </si>
  <si>
    <t>520636</t>
  </si>
  <si>
    <t>46122/1</t>
  </si>
  <si>
    <t>AHMAD  RAZA</t>
  </si>
  <si>
    <t>519538</t>
  </si>
  <si>
    <t>46133/1</t>
  </si>
  <si>
    <t>MUHAMMAD  MUSHTAQ</t>
  </si>
  <si>
    <t>517059</t>
  </si>
  <si>
    <t>46135/1</t>
  </si>
  <si>
    <t>ABDUL  MANAN</t>
  </si>
  <si>
    <t>517151</t>
  </si>
  <si>
    <t>46136/1</t>
  </si>
  <si>
    <t>MUHAMMAD  MOHSIN</t>
  </si>
  <si>
    <t>520472</t>
  </si>
  <si>
    <t>46151/1</t>
  </si>
  <si>
    <t>MUHAMMAD  SALEEM</t>
  </si>
  <si>
    <t>520827</t>
  </si>
  <si>
    <t>46157/1</t>
  </si>
  <si>
    <t>MUHAMMAD  EJAZ</t>
  </si>
  <si>
    <t>518783</t>
  </si>
  <si>
    <t>46167/1</t>
  </si>
  <si>
    <t>AHSAN NAWAZ  KHAN</t>
  </si>
  <si>
    <t>0304</t>
  </si>
  <si>
    <t>340643</t>
  </si>
  <si>
    <t>46172/1</t>
  </si>
  <si>
    <t>ZIA  ULLAH</t>
  </si>
  <si>
    <t>0610</t>
  </si>
  <si>
    <t>519504</t>
  </si>
  <si>
    <t>46180/1</t>
  </si>
  <si>
    <t>MUHAMMAD  TAHIR</t>
  </si>
  <si>
    <t>519990</t>
  </si>
  <si>
    <t>46646/1</t>
  </si>
  <si>
    <t>MUHAMMAD  IMRAN</t>
  </si>
  <si>
    <t>425903</t>
  </si>
  <si>
    <t>47989/1</t>
  </si>
  <si>
    <t>RAHUL  AKRAM</t>
  </si>
  <si>
    <t>529824</t>
  </si>
  <si>
    <t>50178/1</t>
  </si>
  <si>
    <t>MUHAMMAD  UMAR</t>
  </si>
  <si>
    <t>535600</t>
  </si>
  <si>
    <t>50337/1</t>
  </si>
  <si>
    <t>HARIS  HAMAD</t>
  </si>
  <si>
    <t>0475</t>
  </si>
  <si>
    <t>407017</t>
  </si>
  <si>
    <t>51004/1</t>
  </si>
  <si>
    <t>ALI MESUM RAZA</t>
  </si>
  <si>
    <t>541460</t>
  </si>
  <si>
    <t>51276/1</t>
  </si>
  <si>
    <t>MUHAMMAD EHTESHAM SHAHZAD</t>
  </si>
  <si>
    <t>550709</t>
  </si>
  <si>
    <t>52560/1</t>
  </si>
  <si>
    <t>MUHAMMAD  USMAN  MUKHTAR</t>
  </si>
  <si>
    <t>554527</t>
  </si>
  <si>
    <t>53858/1</t>
  </si>
  <si>
    <t>MUHAMMAD  ZAHID</t>
  </si>
  <si>
    <t>459473</t>
  </si>
  <si>
    <t>53958/1</t>
  </si>
  <si>
    <t>AWAIS  ASLAM</t>
  </si>
  <si>
    <t>0309</t>
  </si>
  <si>
    <t>552897</t>
  </si>
  <si>
    <t>53973/1</t>
  </si>
  <si>
    <t>FAZAL  MAHMOOD</t>
  </si>
  <si>
    <t>560924</t>
  </si>
  <si>
    <t>53991/2</t>
  </si>
  <si>
    <t>MUHAMMAD  SIDDIQUE</t>
  </si>
  <si>
    <t>509594</t>
  </si>
  <si>
    <t>54017/1</t>
  </si>
  <si>
    <t>BUSHRA  MAQBOOL</t>
  </si>
  <si>
    <t>0336</t>
  </si>
  <si>
    <t>562611</t>
  </si>
  <si>
    <t>54024/1</t>
  </si>
  <si>
    <t>SHEHLA  ASHARY</t>
  </si>
  <si>
    <t>97575</t>
  </si>
  <si>
    <t>54042/1</t>
  </si>
  <si>
    <t>MUHAMMAD  ABBAS</t>
  </si>
  <si>
    <t>0565</t>
  </si>
  <si>
    <t>557861</t>
  </si>
  <si>
    <t>54073/1</t>
  </si>
  <si>
    <t>SYED MANSAB ALI</t>
  </si>
  <si>
    <t>555571</t>
  </si>
  <si>
    <t>54078/1</t>
  </si>
  <si>
    <t>MOHAMMAD RAZA RASHID</t>
  </si>
  <si>
    <t>433974</t>
  </si>
  <si>
    <t>54079/1</t>
  </si>
  <si>
    <t>FAISAL  NAWAZ</t>
  </si>
  <si>
    <t>0322</t>
  </si>
  <si>
    <t>525162</t>
  </si>
  <si>
    <t>54093/2</t>
  </si>
  <si>
    <t>MUHAMMAD   UMER</t>
  </si>
  <si>
    <t>564559</t>
  </si>
  <si>
    <t>54095/1</t>
  </si>
  <si>
    <t>IRAM  SOHAIL</t>
  </si>
  <si>
    <t>561849</t>
  </si>
  <si>
    <t>54100/1</t>
  </si>
  <si>
    <t>MUHAMMAD  KHALIL</t>
  </si>
  <si>
    <t>0339</t>
  </si>
  <si>
    <t>559928</t>
  </si>
  <si>
    <t>54125/1</t>
  </si>
  <si>
    <t>MUHAMMAD   SAEED</t>
  </si>
  <si>
    <t>562379</t>
  </si>
  <si>
    <t>54145/1</t>
  </si>
  <si>
    <t>JAHANZAIB  ALI</t>
  </si>
  <si>
    <t>549739</t>
  </si>
  <si>
    <t>54147/1</t>
  </si>
  <si>
    <t>TARIQ   MAHMOOD</t>
  </si>
  <si>
    <t>561458</t>
  </si>
  <si>
    <t>54150/1</t>
  </si>
  <si>
    <t>AMTUL   BASIT</t>
  </si>
  <si>
    <t>563859</t>
  </si>
  <si>
    <t>54194/2</t>
  </si>
  <si>
    <t>MUHAMMAD  TALHA SALEEMI</t>
  </si>
  <si>
    <t>561762</t>
  </si>
  <si>
    <t>54197/1</t>
  </si>
  <si>
    <t>MUHAMMAD AFZAL MALIK</t>
  </si>
  <si>
    <t>556338</t>
  </si>
  <si>
    <t>54213/1</t>
  </si>
  <si>
    <t>MUZAMMAL   HUSSAIN</t>
  </si>
  <si>
    <t>564091</t>
  </si>
  <si>
    <t>54221/1</t>
  </si>
  <si>
    <t>HUMA  TARIQ</t>
  </si>
  <si>
    <t>565076</t>
  </si>
  <si>
    <t>54239/1</t>
  </si>
  <si>
    <t>ZAINAB  SHABBIR</t>
  </si>
  <si>
    <t>564289</t>
  </si>
  <si>
    <t>54252/1</t>
  </si>
  <si>
    <t>HASSAN ALI SADIQ</t>
  </si>
  <si>
    <t>561149</t>
  </si>
  <si>
    <t>54269/1</t>
  </si>
  <si>
    <t>MASHOOD  SALEEM</t>
  </si>
  <si>
    <t>564667</t>
  </si>
  <si>
    <t>54281/2</t>
  </si>
  <si>
    <t>MUHAMMAD JUNAID ISMAIL</t>
  </si>
  <si>
    <t>565843</t>
  </si>
  <si>
    <t>54294/1</t>
  </si>
  <si>
    <t>MIRZA FAIZAN BAIG</t>
  </si>
  <si>
    <t>0835</t>
  </si>
  <si>
    <t>503040</t>
  </si>
  <si>
    <t>54296/1</t>
  </si>
  <si>
    <t>SYED SHAHID RAZA SHAMSI</t>
  </si>
  <si>
    <t>367860</t>
  </si>
  <si>
    <t>54311/1</t>
  </si>
  <si>
    <t>ROUF   KHALID</t>
  </si>
  <si>
    <t>0409</t>
  </si>
  <si>
    <t>511462</t>
  </si>
  <si>
    <t>54317/1</t>
  </si>
  <si>
    <t>MUHAMMAD SOHAIL AKHTAR</t>
  </si>
  <si>
    <t>559310</t>
  </si>
  <si>
    <t>54318/1</t>
  </si>
  <si>
    <t>SHAHNAZ  MALIK</t>
  </si>
  <si>
    <t>0135</t>
  </si>
  <si>
    <t>523690</t>
  </si>
  <si>
    <t>54344/1</t>
  </si>
  <si>
    <t>MUHAMMAD  ASIF</t>
  </si>
  <si>
    <t>0566</t>
  </si>
  <si>
    <t>174204</t>
  </si>
  <si>
    <t>54346/1</t>
  </si>
  <si>
    <t>SAJJAD  AHMED</t>
  </si>
  <si>
    <t>0564</t>
  </si>
  <si>
    <t>565805</t>
  </si>
  <si>
    <t>54370/1</t>
  </si>
  <si>
    <t>ABDUL   SALAM</t>
  </si>
  <si>
    <t>0416</t>
  </si>
  <si>
    <t>565846</t>
  </si>
  <si>
    <t>54386/1</t>
  </si>
  <si>
    <t>SAGHER  IQBAL</t>
  </si>
  <si>
    <t>565665</t>
  </si>
  <si>
    <t>54388/2</t>
  </si>
  <si>
    <t>564825</t>
  </si>
  <si>
    <t>54392/1</t>
  </si>
  <si>
    <t>ADEEL   ZAHID</t>
  </si>
  <si>
    <t>565876</t>
  </si>
  <si>
    <t>54404/1</t>
  </si>
  <si>
    <t>WALEED  ISLAM</t>
  </si>
  <si>
    <t>562172</t>
  </si>
  <si>
    <t>54405/1</t>
  </si>
  <si>
    <t>MAQSOOD  ALAM</t>
  </si>
  <si>
    <t>559287</t>
  </si>
  <si>
    <t>54410/1</t>
  </si>
  <si>
    <t>WAQAS  AHMAD</t>
  </si>
  <si>
    <t>566912</t>
  </si>
  <si>
    <t>54413/1</t>
  </si>
  <si>
    <t>BALQEES  AKHTAR</t>
  </si>
  <si>
    <t>564353</t>
  </si>
  <si>
    <t>54415/1</t>
  </si>
  <si>
    <t>SARDAR  MUHAMMAD</t>
  </si>
  <si>
    <t>0703</t>
  </si>
  <si>
    <t>566951</t>
  </si>
  <si>
    <t>54421/1</t>
  </si>
  <si>
    <t>SYED SHUJAAT RASOOL  SHAH</t>
  </si>
  <si>
    <t>0252</t>
  </si>
  <si>
    <t>504737</t>
  </si>
  <si>
    <t>54422/1</t>
  </si>
  <si>
    <t>AHSAN  KHYBER</t>
  </si>
  <si>
    <t>563669</t>
  </si>
  <si>
    <t>54424/1</t>
  </si>
  <si>
    <t>MUHAMMAD SHEHROZ SARDAR</t>
  </si>
  <si>
    <t>0413</t>
  </si>
  <si>
    <t>561014</t>
  </si>
  <si>
    <t>54425/1</t>
  </si>
  <si>
    <t>SYED ALI ZAHEER HAIDER</t>
  </si>
  <si>
    <t>555997</t>
  </si>
  <si>
    <t>54437/1</t>
  </si>
  <si>
    <t>BILAL  MIRAJ</t>
  </si>
  <si>
    <t>561838</t>
  </si>
  <si>
    <t>54439/1</t>
  </si>
  <si>
    <t>WASIQ  ALI TAI</t>
  </si>
  <si>
    <t>564116</t>
  </si>
  <si>
    <t>54442/1</t>
  </si>
  <si>
    <t>MUFTI KHURRAM SHAHZAD</t>
  </si>
  <si>
    <t>0314</t>
  </si>
  <si>
    <t>554398</t>
  </si>
  <si>
    <t>54450/1</t>
  </si>
  <si>
    <t>IZHAR UL HAQ</t>
  </si>
  <si>
    <t>558044</t>
  </si>
  <si>
    <t>54454/1</t>
  </si>
  <si>
    <t>RIAZ  AHMAD</t>
  </si>
  <si>
    <t>565978</t>
  </si>
  <si>
    <t>54497/1</t>
  </si>
  <si>
    <t>MALIK MUHAMMAD  AMIR</t>
  </si>
  <si>
    <t>563149</t>
  </si>
  <si>
    <t>54679/1</t>
  </si>
  <si>
    <t>WASEEM ARIF BHATTI</t>
  </si>
  <si>
    <t>0307</t>
  </si>
  <si>
    <t>559960</t>
  </si>
  <si>
    <t>54702/1</t>
  </si>
  <si>
    <t>TAYYAB   SHAHZAD</t>
  </si>
  <si>
    <t>459463</t>
  </si>
  <si>
    <t>55141/1</t>
  </si>
  <si>
    <t>MUHAMMAD ALAM KHAN</t>
  </si>
  <si>
    <t>536347</t>
  </si>
  <si>
    <t>55851/1</t>
  </si>
  <si>
    <t>SYED  MUHAMMAD  ANWAR</t>
  </si>
  <si>
    <t>571372</t>
  </si>
  <si>
    <t>56407/1</t>
  </si>
  <si>
    <t>SHABANA   NARGIS</t>
  </si>
  <si>
    <t>573382</t>
  </si>
  <si>
    <t>56865/1</t>
  </si>
  <si>
    <t>MUHAMMAD  SUFYAN</t>
  </si>
  <si>
    <t>572574</t>
  </si>
  <si>
    <t>57572/1</t>
  </si>
  <si>
    <t>MUHAMMAD  NOMAN</t>
  </si>
  <si>
    <t>576425</t>
  </si>
  <si>
    <t>58007/1</t>
  </si>
  <si>
    <t>MUHAMMAD HUSSAIN ABDULLAH</t>
  </si>
  <si>
    <t>577931</t>
  </si>
  <si>
    <t>58123/1</t>
  </si>
  <si>
    <t>MUHAMMAD  AMEEN</t>
  </si>
  <si>
    <t>576396</t>
  </si>
  <si>
    <t>58169/1</t>
  </si>
  <si>
    <t>MUHAMMAD  TALHA</t>
  </si>
  <si>
    <t>0569</t>
  </si>
  <si>
    <t>575248</t>
  </si>
  <si>
    <t>58284/1</t>
  </si>
  <si>
    <t>ALI  RASHEED</t>
  </si>
  <si>
    <t>506181</t>
  </si>
  <si>
    <t>58285/1</t>
  </si>
  <si>
    <t>UZMA  SHAHEEN</t>
  </si>
  <si>
    <t>579164</t>
  </si>
  <si>
    <t>58951/1</t>
  </si>
  <si>
    <t>WAQAS  AHMED SHEIKH</t>
  </si>
  <si>
    <t>581470</t>
  </si>
  <si>
    <t>60757/1</t>
  </si>
  <si>
    <t>AQAL  DEEN</t>
  </si>
  <si>
    <t>588338</t>
  </si>
  <si>
    <t>61148/1</t>
  </si>
  <si>
    <t>ARHAM  IQBAL</t>
  </si>
  <si>
    <t>591419</t>
  </si>
  <si>
    <t>61482/1</t>
  </si>
  <si>
    <t>IQRA  TAHIR</t>
  </si>
  <si>
    <t>0303</t>
  </si>
  <si>
    <t>580701</t>
  </si>
  <si>
    <t>61754/1</t>
  </si>
  <si>
    <t>MUHAMMAD HASHIM RABBANI KHAN</t>
  </si>
  <si>
    <t>571396</t>
  </si>
  <si>
    <t>62030/2</t>
  </si>
  <si>
    <t>ABDUL  BASIT</t>
  </si>
  <si>
    <t>595780</t>
  </si>
  <si>
    <t>62042/1</t>
  </si>
  <si>
    <t>MEHROZ   ELAHI</t>
  </si>
  <si>
    <t>594604</t>
  </si>
  <si>
    <t>62103/2</t>
  </si>
  <si>
    <t>MUHAMMAD SAUD YOUSAF</t>
  </si>
  <si>
    <t>596493</t>
  </si>
  <si>
    <t>62118/1</t>
  </si>
  <si>
    <t>MUHAMMAD  BILAL  ALI</t>
  </si>
  <si>
    <t>556617</t>
  </si>
  <si>
    <t>62196/1</t>
  </si>
  <si>
    <t>AKMAL  ASHRAF</t>
  </si>
  <si>
    <t>595433</t>
  </si>
  <si>
    <t>62218/1</t>
  </si>
  <si>
    <t>AQEEL  ASHRAF</t>
  </si>
  <si>
    <t>5188</t>
  </si>
  <si>
    <t>62236/2</t>
  </si>
  <si>
    <t>MUHAMMAD AHMAD RAZA</t>
  </si>
  <si>
    <t>588172</t>
  </si>
  <si>
    <t>62237/1</t>
  </si>
  <si>
    <t>MUHAMMAD  SHABIR  MALIK</t>
  </si>
  <si>
    <t>362108</t>
  </si>
  <si>
    <t>62248/2</t>
  </si>
  <si>
    <t>ADEELA   ADEEL</t>
  </si>
  <si>
    <t>590812</t>
  </si>
  <si>
    <t>62258/1</t>
  </si>
  <si>
    <t>MUHAMMAD  SHAFIQUE</t>
  </si>
  <si>
    <t>403565</t>
  </si>
  <si>
    <t>62268/2</t>
  </si>
  <si>
    <t>MUHAMMAD   YASIN</t>
  </si>
  <si>
    <t>597565</t>
  </si>
  <si>
    <t>62307/1</t>
  </si>
  <si>
    <t>595781</t>
  </si>
  <si>
    <t>62330/1</t>
  </si>
  <si>
    <t>ABID HAMEED  AWAN</t>
  </si>
  <si>
    <t>596972</t>
  </si>
  <si>
    <t>62343/1</t>
  </si>
  <si>
    <t>IMRAN   AHMED</t>
  </si>
  <si>
    <t>0104</t>
  </si>
  <si>
    <t>597277</t>
  </si>
  <si>
    <t>62344/1</t>
  </si>
  <si>
    <t>SHAHZAD   AHMED</t>
  </si>
  <si>
    <t>0154</t>
  </si>
  <si>
    <t>598425</t>
  </si>
  <si>
    <t>62352/1</t>
  </si>
  <si>
    <t>NISMA   ZAHID</t>
  </si>
  <si>
    <t>594598</t>
  </si>
  <si>
    <t>62373/1</t>
  </si>
  <si>
    <t>SYED  ALI  AHMED</t>
  </si>
  <si>
    <t>597584</t>
  </si>
  <si>
    <t>62375/1</t>
  </si>
  <si>
    <t>SUBHAN   .</t>
  </si>
  <si>
    <t>597667</t>
  </si>
  <si>
    <t>62396/1</t>
  </si>
  <si>
    <t>RIZWAN  SOHAIL</t>
  </si>
  <si>
    <t>584025</t>
  </si>
  <si>
    <t>62403/1</t>
  </si>
  <si>
    <t>ARSHAD  FARHAN</t>
  </si>
  <si>
    <t>598183</t>
  </si>
  <si>
    <t>62405/1</t>
  </si>
  <si>
    <t>WASEEM  AKRAM</t>
  </si>
  <si>
    <t>496390</t>
  </si>
  <si>
    <t>62417/1</t>
  </si>
  <si>
    <t>AKMAL   LATIF</t>
  </si>
  <si>
    <t>596988</t>
  </si>
  <si>
    <t>62428/1</t>
  </si>
  <si>
    <t>JAHANZAIB   AFZAAL</t>
  </si>
  <si>
    <t>596416</t>
  </si>
  <si>
    <t>62435/1</t>
  </si>
  <si>
    <t>62439/1</t>
  </si>
  <si>
    <t>HASSAAN   UBAID</t>
  </si>
  <si>
    <t>597581</t>
  </si>
  <si>
    <t>62460/1</t>
  </si>
  <si>
    <t>MUHAMMAD USMAN QADEER</t>
  </si>
  <si>
    <t>597215</t>
  </si>
  <si>
    <t>67595/1</t>
  </si>
  <si>
    <t>TAYYAB   MAHMOOD</t>
  </si>
  <si>
    <t>628404</t>
  </si>
  <si>
    <t>68282/1</t>
  </si>
  <si>
    <t>MUNAWAR   HUSSAIN</t>
  </si>
  <si>
    <t>610413</t>
  </si>
  <si>
    <t>68450/1</t>
  </si>
  <si>
    <t>HASNAIN  HAIDER</t>
  </si>
  <si>
    <t>632033</t>
  </si>
  <si>
    <t>68497/1</t>
  </si>
  <si>
    <t>MINAHIL  SHAUKAT</t>
  </si>
  <si>
    <t>632272</t>
  </si>
  <si>
    <t>68524/1</t>
  </si>
  <si>
    <t>MUHAMMAD  IMTIAZ</t>
  </si>
  <si>
    <t>632390</t>
  </si>
  <si>
    <t>68607/1</t>
  </si>
  <si>
    <t>MUHAMMAD  FIAZ KHAN</t>
  </si>
  <si>
    <t>581529</t>
  </si>
  <si>
    <t>68642/1</t>
  </si>
  <si>
    <t>MUHAMMAD   SAFDAR</t>
  </si>
  <si>
    <t>632799</t>
  </si>
  <si>
    <t>68895/1</t>
  </si>
  <si>
    <t>AMMAN BASHIR RATHORE</t>
  </si>
  <si>
    <t>633758</t>
  </si>
  <si>
    <t>68974/1</t>
  </si>
  <si>
    <t>MUHAMMAD SHOAIB  SHAUKAT</t>
  </si>
  <si>
    <t>586310</t>
  </si>
  <si>
    <t>69014/1</t>
  </si>
  <si>
    <t>ZEESHAN   AKRAM</t>
  </si>
  <si>
    <t>565189</t>
  </si>
  <si>
    <t>69025/1</t>
  </si>
  <si>
    <t>ISRAR  KARAMAT</t>
  </si>
  <si>
    <t>634048</t>
  </si>
  <si>
    <t>69086/1</t>
  </si>
  <si>
    <t>BAQER  ISHTIAQ</t>
  </si>
  <si>
    <t>634563</t>
  </si>
  <si>
    <t>69107/1</t>
  </si>
  <si>
    <t>MUHAMMAD  TALHA  AMIR</t>
  </si>
  <si>
    <t>609168</t>
  </si>
  <si>
    <t>69146/1</t>
  </si>
  <si>
    <t>MAIDA TAZEEN YOUSAF</t>
  </si>
  <si>
    <t>634739</t>
  </si>
  <si>
    <t>69173/1</t>
  </si>
  <si>
    <t>ABDUL  REHMAN</t>
  </si>
  <si>
    <t>634887</t>
  </si>
  <si>
    <t>69208/1</t>
  </si>
  <si>
    <t>NASIR  ALI</t>
  </si>
  <si>
    <t>8004</t>
  </si>
  <si>
    <t>69297/1</t>
  </si>
  <si>
    <t>497558</t>
  </si>
  <si>
    <t>69305/2</t>
  </si>
  <si>
    <t>SANA  ULLAH</t>
  </si>
  <si>
    <t>461317</t>
  </si>
  <si>
    <t>69428/2</t>
  </si>
  <si>
    <t>RAHEEL  WAQAR  MALIK</t>
  </si>
  <si>
    <t>0823</t>
  </si>
  <si>
    <t>580176</t>
  </si>
  <si>
    <t>69500/1</t>
  </si>
  <si>
    <t>MOHAMMAD  SHAHBAZ</t>
  </si>
  <si>
    <t>635850</t>
  </si>
  <si>
    <t>69513/1</t>
  </si>
  <si>
    <t>AIMAN  ATIF</t>
  </si>
  <si>
    <t>240477</t>
  </si>
  <si>
    <t>69539/1</t>
  </si>
  <si>
    <t>MUHAMMAD TAHIR ASHRAF</t>
  </si>
  <si>
    <t>635852</t>
  </si>
  <si>
    <t>69595/2</t>
  </si>
  <si>
    <t>TANVEER NAVEED BAJWA</t>
  </si>
  <si>
    <t>505125</t>
  </si>
  <si>
    <t>69598/1</t>
  </si>
  <si>
    <t>JAVED  IQBAL</t>
  </si>
  <si>
    <t>636261</t>
  </si>
  <si>
    <t>69604/1</t>
  </si>
  <si>
    <t>434264</t>
  </si>
  <si>
    <t>69627/1</t>
  </si>
  <si>
    <t>IMRAN  LIAQAT</t>
  </si>
  <si>
    <t>606243</t>
  </si>
  <si>
    <t>69628/1</t>
  </si>
  <si>
    <t>HAFIZ MUHAMMAD  AMEER  HAIDER</t>
  </si>
  <si>
    <t>631004</t>
  </si>
  <si>
    <t>69637/1</t>
  </si>
  <si>
    <t>636650</t>
  </si>
  <si>
    <t>69652/1</t>
  </si>
  <si>
    <t>AQEEL  AHMAD</t>
  </si>
  <si>
    <t>636381</t>
  </si>
  <si>
    <t>69678/1</t>
  </si>
  <si>
    <t>MAZHAR  MEHMOOD</t>
  </si>
  <si>
    <t>433071</t>
  </si>
  <si>
    <t>69694/1</t>
  </si>
  <si>
    <t>FAISAL  ARSHAD</t>
  </si>
  <si>
    <t>636460</t>
  </si>
  <si>
    <t>69704/1</t>
  </si>
  <si>
    <t>NOMAN  AHMED  KHAN</t>
  </si>
  <si>
    <t>595708</t>
  </si>
  <si>
    <t>69721/1</t>
  </si>
  <si>
    <t>ZAIN  HUMAYOUN</t>
  </si>
  <si>
    <t>621123</t>
  </si>
  <si>
    <t>69803/1</t>
  </si>
  <si>
    <t>IMRAN  MUSHTAQ</t>
  </si>
  <si>
    <t>637035</t>
  </si>
  <si>
    <t>69808/1</t>
  </si>
  <si>
    <t>HAMAD  QAYYUM</t>
  </si>
  <si>
    <t>637105</t>
  </si>
  <si>
    <t>69840/1</t>
  </si>
  <si>
    <t>SHAZIL  SAFDAR</t>
  </si>
  <si>
    <t>637244</t>
  </si>
  <si>
    <t>69843/1</t>
  </si>
  <si>
    <t>ZAHIDULLAH  .</t>
  </si>
  <si>
    <t>637264</t>
  </si>
  <si>
    <t>69889/1</t>
  </si>
  <si>
    <t>SYED AHMAD HUSSAIN</t>
  </si>
  <si>
    <t>637372</t>
  </si>
  <si>
    <t>69936/1</t>
  </si>
  <si>
    <t>MUHAMMAD SHAHID SIRAJ</t>
  </si>
  <si>
    <t>586247</t>
  </si>
  <si>
    <t>69943/1</t>
  </si>
  <si>
    <t>HASSAN   RAZA</t>
  </si>
  <si>
    <t>636850</t>
  </si>
  <si>
    <t>69979/1</t>
  </si>
  <si>
    <t>MUHAMMAD SHOAIB ADIL</t>
  </si>
  <si>
    <t>637613</t>
  </si>
  <si>
    <t>69986/1</t>
  </si>
  <si>
    <t>ALI  MURTAZA  SHAH</t>
  </si>
  <si>
    <t>637681</t>
  </si>
  <si>
    <t>70002/1</t>
  </si>
  <si>
    <t>MUHAMMAD UMER IQBAL</t>
  </si>
  <si>
    <t>638039</t>
  </si>
  <si>
    <t>70043/1</t>
  </si>
  <si>
    <t>SHIKOH   LASHARI</t>
  </si>
  <si>
    <t>302603</t>
  </si>
  <si>
    <t>70057/1</t>
  </si>
  <si>
    <t>ADNAN  KHALIQ</t>
  </si>
  <si>
    <t>638065</t>
  </si>
  <si>
    <t>70064/1</t>
  </si>
  <si>
    <t>MUHAMMAD SHOAIB RAZA KHAN</t>
  </si>
  <si>
    <t>170185</t>
  </si>
  <si>
    <t>70154/1</t>
  </si>
  <si>
    <t>SYED NASIR NADEEM AKBAR</t>
  </si>
  <si>
    <t>637491</t>
  </si>
  <si>
    <t>70158/1</t>
  </si>
  <si>
    <t>MUDASSIR  IQBAL</t>
  </si>
  <si>
    <t>637370</t>
  </si>
  <si>
    <t>70160/1</t>
  </si>
  <si>
    <t>MUHAMMAD  AZHAR  JAVED</t>
  </si>
  <si>
    <t>578347</t>
  </si>
  <si>
    <t>70207/3</t>
  </si>
  <si>
    <t>AHMAD  BILAL</t>
  </si>
  <si>
    <t>635140</t>
  </si>
  <si>
    <t>-01-2025</t>
  </si>
  <si>
    <t>00162</t>
  </si>
  <si>
    <t>00161</t>
  </si>
  <si>
    <t>00092</t>
  </si>
  <si>
    <t>00112</t>
  </si>
  <si>
    <t>00095</t>
  </si>
  <si>
    <t>00128</t>
  </si>
  <si>
    <t>00127</t>
  </si>
  <si>
    <t>00130</t>
  </si>
  <si>
    <t>00129</t>
  </si>
  <si>
    <t>00131</t>
  </si>
  <si>
    <t>00096</t>
  </si>
  <si>
    <t>00099</t>
  </si>
  <si>
    <t>00097</t>
  </si>
  <si>
    <t>00102</t>
  </si>
  <si>
    <t>00106</t>
  </si>
  <si>
    <t>00098</t>
  </si>
  <si>
    <t>00105</t>
  </si>
  <si>
    <t>00107</t>
  </si>
  <si>
    <t>00108</t>
  </si>
  <si>
    <t>00104</t>
  </si>
  <si>
    <t>00103</t>
  </si>
  <si>
    <t>00111</t>
  </si>
  <si>
    <t>00123</t>
  </si>
  <si>
    <t>00125</t>
  </si>
  <si>
    <t>00119</t>
  </si>
  <si>
    <t>00113</t>
  </si>
  <si>
    <t>00189</t>
  </si>
  <si>
    <t>00109</t>
  </si>
  <si>
    <t>00110</t>
  </si>
  <si>
    <t>00114</t>
  </si>
  <si>
    <t>00100</t>
  </si>
  <si>
    <t>00115</t>
  </si>
  <si>
    <t>00121</t>
  </si>
  <si>
    <t>00116</t>
  </si>
  <si>
    <t>00008</t>
  </si>
  <si>
    <t>00118</t>
  </si>
  <si>
    <t>00120</t>
  </si>
  <si>
    <t>00122</t>
  </si>
  <si>
    <t>00117</t>
  </si>
  <si>
    <t>00124</t>
  </si>
  <si>
    <t>00126</t>
  </si>
  <si>
    <t>00101</t>
  </si>
  <si>
    <t>00190</t>
  </si>
  <si>
    <t>00135</t>
  </si>
  <si>
    <t>00141</t>
  </si>
  <si>
    <t>00157</t>
  </si>
  <si>
    <t>00133</t>
  </si>
  <si>
    <t>00136</t>
  </si>
  <si>
    <t>00154</t>
  </si>
  <si>
    <t>00134</t>
  </si>
  <si>
    <t>00183</t>
  </si>
  <si>
    <t>00137</t>
  </si>
  <si>
    <t>00138</t>
  </si>
  <si>
    <t>00139</t>
  </si>
  <si>
    <t>00001</t>
  </si>
  <si>
    <t>00146</t>
  </si>
  <si>
    <t>00145</t>
  </si>
  <si>
    <t>00002</t>
  </si>
  <si>
    <t>00144</t>
  </si>
  <si>
    <t>00148</t>
  </si>
  <si>
    <t>00147</t>
  </si>
  <si>
    <t>00143</t>
  </si>
  <si>
    <t>00003</t>
  </si>
  <si>
    <t>00149</t>
  </si>
  <si>
    <t>00005</t>
  </si>
  <si>
    <t>00153</t>
  </si>
  <si>
    <t>00158</t>
  </si>
  <si>
    <t>00156</t>
  </si>
  <si>
    <t>00150</t>
  </si>
  <si>
    <t>00159</t>
  </si>
  <si>
    <t>00165</t>
  </si>
  <si>
    <t>00164</t>
  </si>
  <si>
    <t>00091</t>
  </si>
  <si>
    <t>00163</t>
  </si>
  <si>
    <t>00185</t>
  </si>
  <si>
    <t>00160</t>
  </si>
  <si>
    <t>00152</t>
  </si>
  <si>
    <t>00184</t>
  </si>
  <si>
    <t>00004</t>
  </si>
  <si>
    <t>00172</t>
  </si>
  <si>
    <t>00168</t>
  </si>
  <si>
    <t>00175</t>
  </si>
  <si>
    <t>00182</t>
  </si>
  <si>
    <t>00179</t>
  </si>
  <si>
    <t>00177</t>
  </si>
  <si>
    <t>00006</t>
  </si>
  <si>
    <t>00178</t>
  </si>
  <si>
    <t>00170</t>
  </si>
  <si>
    <t>00151</t>
  </si>
  <si>
    <t>00186</t>
  </si>
  <si>
    <t>00181</t>
  </si>
  <si>
    <t>00155</t>
  </si>
  <si>
    <t>00171</t>
  </si>
  <si>
    <t>00173</t>
  </si>
  <si>
    <t>00167</t>
  </si>
  <si>
    <t>00180</t>
  </si>
  <si>
    <t>00174</t>
  </si>
  <si>
    <t>00166</t>
  </si>
  <si>
    <t>00176</t>
  </si>
  <si>
    <t>00169</t>
  </si>
  <si>
    <t>00188</t>
  </si>
  <si>
    <t>00056</t>
  </si>
  <si>
    <t>00089</t>
  </si>
  <si>
    <t>00078</t>
  </si>
  <si>
    <t>00061</t>
  </si>
  <si>
    <t>00087</t>
  </si>
  <si>
    <t>00090</t>
  </si>
  <si>
    <t>00058</t>
  </si>
  <si>
    <t>00088</t>
  </si>
  <si>
    <t>00086</t>
  </si>
  <si>
    <t>00068</t>
  </si>
  <si>
    <t>00055</t>
  </si>
  <si>
    <t>00053</t>
  </si>
  <si>
    <t>00054</t>
  </si>
  <si>
    <t>00079</t>
  </si>
  <si>
    <t>00071</t>
  </si>
  <si>
    <t>00057</t>
  </si>
  <si>
    <t>00007</t>
  </si>
  <si>
    <t>00059</t>
  </si>
  <si>
    <t>00060</t>
  </si>
  <si>
    <t>00062</t>
  </si>
  <si>
    <t>00065</t>
  </si>
  <si>
    <t>00063</t>
  </si>
  <si>
    <t>00077</t>
  </si>
  <si>
    <t>00064</t>
  </si>
  <si>
    <t>00066</t>
  </si>
  <si>
    <t>00067</t>
  </si>
  <si>
    <t>00072</t>
  </si>
  <si>
    <t>00073</t>
  </si>
  <si>
    <t>00069</t>
  </si>
  <si>
    <t>00076</t>
  </si>
  <si>
    <t>00085</t>
  </si>
  <si>
    <t>00074</t>
  </si>
  <si>
    <t>00070</t>
  </si>
  <si>
    <t>00082</t>
  </si>
  <si>
    <t>00081</t>
  </si>
  <si>
    <t>00075</t>
  </si>
  <si>
    <t>00080</t>
  </si>
  <si>
    <t>00084</t>
  </si>
  <si>
    <t>00083</t>
  </si>
  <si>
    <t>00043</t>
  </si>
  <si>
    <t>00052</t>
  </si>
  <si>
    <t>00032</t>
  </si>
  <si>
    <t>00019</t>
  </si>
  <si>
    <t>00038</t>
  </si>
  <si>
    <t>00011</t>
  </si>
  <si>
    <t>00029</t>
  </si>
  <si>
    <t>00014</t>
  </si>
  <si>
    <t>00049</t>
  </si>
  <si>
    <t>00026</t>
  </si>
  <si>
    <t>00009</t>
  </si>
  <si>
    <t>00017</t>
  </si>
  <si>
    <t>00051</t>
  </si>
  <si>
    <t>00050</t>
  </si>
  <si>
    <t>00015</t>
  </si>
  <si>
    <t>00041</t>
  </si>
  <si>
    <t>00037</t>
  </si>
  <si>
    <t>00022</t>
  </si>
  <si>
    <t>00030</t>
  </si>
  <si>
    <t>00039</t>
  </si>
  <si>
    <t>00013</t>
  </si>
  <si>
    <t>00040</t>
  </si>
  <si>
    <t>00042</t>
  </si>
  <si>
    <t>00018</t>
  </si>
  <si>
    <t>00044</t>
  </si>
  <si>
    <t>00045</t>
  </si>
  <si>
    <t>00016</t>
  </si>
  <si>
    <t>00021</t>
  </si>
  <si>
    <t>00024</t>
  </si>
  <si>
    <t>00046</t>
  </si>
  <si>
    <t>00025</t>
  </si>
  <si>
    <t>00020</t>
  </si>
  <si>
    <t>00028</t>
  </si>
  <si>
    <t>00010</t>
  </si>
  <si>
    <t>00031</t>
  </si>
  <si>
    <t>00027</t>
  </si>
  <si>
    <t>00035</t>
  </si>
  <si>
    <t>00012</t>
  </si>
  <si>
    <t>00048</t>
  </si>
  <si>
    <t>00036</t>
  </si>
  <si>
    <t>00033</t>
  </si>
  <si>
    <t>00034</t>
  </si>
  <si>
    <t>00047</t>
  </si>
  <si>
    <t>00023</t>
  </si>
  <si>
    <t xml:space="preserve">   </t>
  </si>
  <si>
    <t>FUNC_ASSORTED_STRING(IA.ASSORTED_CODE)</t>
  </si>
  <si>
    <t>ASSORTED_CODE</t>
  </si>
  <si>
    <t>070000176357</t>
  </si>
  <si>
    <t>070000174115</t>
  </si>
  <si>
    <t>070000173925</t>
  </si>
  <si>
    <t>070000174438</t>
  </si>
  <si>
    <t>070000174112</t>
  </si>
  <si>
    <t>070000174088</t>
  </si>
  <si>
    <t>070000174089</t>
  </si>
  <si>
    <t>070000176316</t>
  </si>
  <si>
    <t>070000174984</t>
  </si>
  <si>
    <t>070000174182</t>
  </si>
  <si>
    <t>070000174501</t>
  </si>
  <si>
    <t>070000176332</t>
  </si>
  <si>
    <t>070000176334</t>
  </si>
  <si>
    <t>070000173877</t>
  </si>
  <si>
    <t>070000176344</t>
  </si>
  <si>
    <t>070000173805</t>
  </si>
  <si>
    <t>070000174097</t>
  </si>
  <si>
    <t>070000174166</t>
  </si>
  <si>
    <t>070000174167</t>
  </si>
  <si>
    <t>070000174168</t>
  </si>
  <si>
    <t>070000174169</t>
  </si>
  <si>
    <t>070000174170</t>
  </si>
  <si>
    <t>070000174173</t>
  </si>
  <si>
    <t>070000174174</t>
  </si>
  <si>
    <t>070000174175</t>
  </si>
  <si>
    <t>070000174162</t>
  </si>
  <si>
    <t>070000174428</t>
  </si>
  <si>
    <t>070000174045</t>
  </si>
  <si>
    <t>070000174163</t>
  </si>
  <si>
    <t>070000173849</t>
  </si>
  <si>
    <t>070000176301</t>
  </si>
  <si>
    <t>070000176318</t>
  </si>
  <si>
    <t>070000176346</t>
  </si>
  <si>
    <t>070000173802</t>
  </si>
  <si>
    <t>070000174161</t>
  </si>
  <si>
    <t>070000174831</t>
  </si>
  <si>
    <t>070000174086</t>
  </si>
  <si>
    <t>070000174202</t>
  </si>
  <si>
    <t>070000174455</t>
  </si>
  <si>
    <t>070000176317</t>
  </si>
  <si>
    <t>070000174992</t>
  </si>
  <si>
    <t>070000174025</t>
  </si>
  <si>
    <t>070000174198</t>
  </si>
  <si>
    <t>070000173927</t>
  </si>
  <si>
    <t>070000173894</t>
  </si>
  <si>
    <t>070000175097</t>
  </si>
  <si>
    <t>070000175798</t>
  </si>
  <si>
    <t>070000174405</t>
  </si>
  <si>
    <t>070000174010</t>
  </si>
  <si>
    <t>070000175466</t>
  </si>
  <si>
    <t>070000175510</t>
  </si>
  <si>
    <t>070000173883</t>
  </si>
  <si>
    <t>070000175134</t>
  </si>
  <si>
    <t>070000176319</t>
  </si>
  <si>
    <t>070000176322</t>
  </si>
  <si>
    <t>070000173882</t>
  </si>
  <si>
    <t>070000176365</t>
  </si>
  <si>
    <t>070000176299</t>
  </si>
  <si>
    <t>070000174113</t>
  </si>
  <si>
    <t>070000174226</t>
  </si>
  <si>
    <t>070000174227</t>
  </si>
  <si>
    <t>070000174228</t>
  </si>
  <si>
    <t>070000174229</t>
  </si>
  <si>
    <t>070000174230</t>
  </si>
  <si>
    <t>070000174231</t>
  </si>
  <si>
    <t>070000174232</t>
  </si>
  <si>
    <t>070000174233</t>
  </si>
  <si>
    <t>070000174235</t>
  </si>
  <si>
    <t>070000174236</t>
  </si>
  <si>
    <t>070000174237</t>
  </si>
  <si>
    <t>070000174239</t>
  </si>
  <si>
    <t>070000174240</t>
  </si>
  <si>
    <t>070000174242</t>
  </si>
  <si>
    <t>070000174243</t>
  </si>
  <si>
    <t>070000174245</t>
  </si>
  <si>
    <t>070000174246</t>
  </si>
  <si>
    <t>070000174248</t>
  </si>
  <si>
    <t>070000174249</t>
  </si>
  <si>
    <t>070000174250</t>
  </si>
  <si>
    <t>070000174355</t>
  </si>
  <si>
    <t>070000174356</t>
  </si>
  <si>
    <t>070000174357</t>
  </si>
  <si>
    <t>070000174358</t>
  </si>
  <si>
    <t>070000174359</t>
  </si>
  <si>
    <t>070000174360</t>
  </si>
  <si>
    <t>070000174362</t>
  </si>
  <si>
    <t>070000174363</t>
  </si>
  <si>
    <t>070000174364</t>
  </si>
  <si>
    <t>070000174366</t>
  </si>
  <si>
    <t>070000174367</t>
  </si>
  <si>
    <t>070000174369</t>
  </si>
  <si>
    <t>070000174370</t>
  </si>
  <si>
    <t>070000174372</t>
  </si>
  <si>
    <t>070000174373</t>
  </si>
  <si>
    <t>070000174374</t>
  </si>
  <si>
    <t>070000174376</t>
  </si>
  <si>
    <t>070000174222</t>
  </si>
  <si>
    <t>070000174225</t>
  </si>
  <si>
    <t>070000174238</t>
  </si>
  <si>
    <t>070000174241</t>
  </si>
  <si>
    <t>070000174244</t>
  </si>
  <si>
    <t>070000174247</t>
  </si>
  <si>
    <t>070000174259</t>
  </si>
  <si>
    <t>070000174338</t>
  </si>
  <si>
    <t>070000174341</t>
  </si>
  <si>
    <t>070000174348</t>
  </si>
  <si>
    <t>070000174351</t>
  </si>
  <si>
    <t>070000174354</t>
  </si>
  <si>
    <t>070000174375</t>
  </si>
  <si>
    <t>070000174251</t>
  </si>
  <si>
    <t>070000174252</t>
  </si>
  <si>
    <t>070000174253</t>
  </si>
  <si>
    <t>070000174254</t>
  </si>
  <si>
    <t>070000174255</t>
  </si>
  <si>
    <t>070000174256</t>
  </si>
  <si>
    <t>070000174257</t>
  </si>
  <si>
    <t>070000174258</t>
  </si>
  <si>
    <t>070000174260</t>
  </si>
  <si>
    <t>070000174261</t>
  </si>
  <si>
    <t>070000174263</t>
  </si>
  <si>
    <t>070000174264</t>
  </si>
  <si>
    <t>070000174266</t>
  </si>
  <si>
    <t>070000174267</t>
  </si>
  <si>
    <t>070000174268</t>
  </si>
  <si>
    <t>070000174270</t>
  </si>
  <si>
    <t>070000174271</t>
  </si>
  <si>
    <t>070000174273</t>
  </si>
  <si>
    <t>070000174274</t>
  </si>
  <si>
    <t>070000174276</t>
  </si>
  <si>
    <t>070000174277</t>
  </si>
  <si>
    <t>070000174377</t>
  </si>
  <si>
    <t>070000174378</t>
  </si>
  <si>
    <t>070000174379</t>
  </si>
  <si>
    <t>070000174380</t>
  </si>
  <si>
    <t>070000174381</t>
  </si>
  <si>
    <t>070000174382</t>
  </si>
  <si>
    <t>070000174383</t>
  </si>
  <si>
    <t>070000174384</t>
  </si>
  <si>
    <t>070000174385</t>
  </si>
  <si>
    <t>070000174386</t>
  </si>
  <si>
    <t>070000174387</t>
  </si>
  <si>
    <t>070000174388</t>
  </si>
  <si>
    <t>070000174389</t>
  </si>
  <si>
    <t>070000174391</t>
  </si>
  <si>
    <t>070000174392</t>
  </si>
  <si>
    <t>070000174393</t>
  </si>
  <si>
    <t>070000174279</t>
  </si>
  <si>
    <t>070000174280</t>
  </si>
  <si>
    <t>070000174281</t>
  </si>
  <si>
    <t>070000174282</t>
  </si>
  <si>
    <t>070000174284</t>
  </si>
  <si>
    <t>070000174285</t>
  </si>
  <si>
    <t>070000174286</t>
  </si>
  <si>
    <t>070000174287</t>
  </si>
  <si>
    <t>070000174289</t>
  </si>
  <si>
    <t>070000174290</t>
  </si>
  <si>
    <t>070000174292</t>
  </si>
  <si>
    <t>070000174293</t>
  </si>
  <si>
    <t>070000174294</t>
  </si>
  <si>
    <t>070000174299</t>
  </si>
  <si>
    <t>070000174300</t>
  </si>
  <si>
    <t>070000174302</t>
  </si>
  <si>
    <t>070000174303</t>
  </si>
  <si>
    <t>070000174304</t>
  </si>
  <si>
    <t>070000174306</t>
  </si>
  <si>
    <t>070000174307</t>
  </si>
  <si>
    <t>070000174308</t>
  </si>
  <si>
    <t>070000174309</t>
  </si>
  <si>
    <t>070000174310</t>
  </si>
  <si>
    <t>070000174311</t>
  </si>
  <si>
    <t>070000174312</t>
  </si>
  <si>
    <t>070000174313</t>
  </si>
  <si>
    <t>070000174314</t>
  </si>
  <si>
    <t>070000174316</t>
  </si>
  <si>
    <t>070000174317</t>
  </si>
  <si>
    <t>070000174319</t>
  </si>
  <si>
    <t>070000174320</t>
  </si>
  <si>
    <t>070000174321</t>
  </si>
  <si>
    <t>070000174323</t>
  </si>
  <si>
    <t>070000174324</t>
  </si>
  <si>
    <t>070000174326</t>
  </si>
  <si>
    <t>070000174212</t>
  </si>
  <si>
    <t>070000174215</t>
  </si>
  <si>
    <t>070000174218</t>
  </si>
  <si>
    <t>070000176325</t>
  </si>
  <si>
    <t>070000174327</t>
  </si>
  <si>
    <t>070000174328</t>
  </si>
  <si>
    <t>070000174329</t>
  </si>
  <si>
    <t>070000174330</t>
  </si>
  <si>
    <t>070000174331</t>
  </si>
  <si>
    <t>070000174332</t>
  </si>
  <si>
    <t>070000174333</t>
  </si>
  <si>
    <t>070000174334</t>
  </si>
  <si>
    <t>070000174336</t>
  </si>
  <si>
    <t>070000174337</t>
  </si>
  <si>
    <t>070000174339</t>
  </si>
  <si>
    <t>070000174340</t>
  </si>
  <si>
    <t>070000174342</t>
  </si>
  <si>
    <t>070000174344</t>
  </si>
  <si>
    <t>070000174346</t>
  </si>
  <si>
    <t>070000174347</t>
  </si>
  <si>
    <t>070000174349</t>
  </si>
  <si>
    <t>070000174350</t>
  </si>
  <si>
    <t>070000174352</t>
  </si>
  <si>
    <t>070000174353</t>
  </si>
  <si>
    <t>070000174318</t>
  </si>
  <si>
    <t>070000174322</t>
  </si>
  <si>
    <t>070000174325</t>
  </si>
  <si>
    <t>070000174234</t>
  </si>
  <si>
    <t>070000174262</t>
  </si>
  <si>
    <t>070000174265</t>
  </si>
  <si>
    <t>070000174269</t>
  </si>
  <si>
    <t>070000174272</t>
  </si>
  <si>
    <t>070000174275</t>
  </si>
  <si>
    <t>070000174278</t>
  </si>
  <si>
    <t>070000174288</t>
  </si>
  <si>
    <t>070000174291</t>
  </si>
  <si>
    <t>070000174295</t>
  </si>
  <si>
    <t>070000174298</t>
  </si>
  <si>
    <t>070000174301</t>
  </si>
  <si>
    <t>070000174305</t>
  </si>
  <si>
    <t>070000174315</t>
  </si>
  <si>
    <t>070000174361</t>
  </si>
  <si>
    <t>070000174368</t>
  </si>
  <si>
    <t>070000174371</t>
  </si>
  <si>
    <t>070000173843</t>
  </si>
  <si>
    <t>070000174204</t>
  </si>
  <si>
    <t>070000174205</t>
  </si>
  <si>
    <t>070000174206</t>
  </si>
  <si>
    <t>070000174207</t>
  </si>
  <si>
    <t>070000174209</t>
  </si>
  <si>
    <t>070000174210</t>
  </si>
  <si>
    <t>070000174211</t>
  </si>
  <si>
    <t>070000174213</t>
  </si>
  <si>
    <t>070000174214</t>
  </si>
  <si>
    <t>070000174216</t>
  </si>
  <si>
    <t>070000174217</t>
  </si>
  <si>
    <t>070000174219</t>
  </si>
  <si>
    <t>070000174220</t>
  </si>
  <si>
    <t>070000174221</t>
  </si>
  <si>
    <t>070000174223</t>
  </si>
  <si>
    <t>070000174224</t>
  </si>
  <si>
    <t>070000174451</t>
  </si>
  <si>
    <t>070000173651</t>
  </si>
  <si>
    <t>070000173845</t>
  </si>
  <si>
    <t>070000175117</t>
  </si>
  <si>
    <t>070000174996</t>
  </si>
  <si>
    <t>POLICY NO.</t>
  </si>
  <si>
    <t>Assorted_code</t>
  </si>
  <si>
    <t>Premium</t>
  </si>
  <si>
    <t>-12-2024</t>
  </si>
  <si>
    <t>070000172494</t>
  </si>
  <si>
    <t>070000172495</t>
  </si>
  <si>
    <t>06Mar250008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</si>
</sst>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9" x14ac:knownFonts="1">
    <font>
      <sz val="10"/>
      <color indexed="8"/>
      <name val="ARIAL"/>
      <charset val="1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top"/>
    </xf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2" fillId="0" borderId="0">
      <alignment vertical="top"/>
    </xf>
  </cellStyleXfs>
  <cellXfs count="23">
    <xf numFmtId="0" fontId="0" fillId="0" borderId="0" xfId="0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top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vertical="top"/>
    </xf>
    <xf numFmtId="4" fontId="0" fillId="0" borderId="1" xfId="0" applyNumberFormat="1" applyBorder="1">
      <alignment vertical="top"/>
    </xf>
    <xf numFmtId="0" fontId="0" fillId="0" borderId="2" xfId="0" applyBorder="1">
      <alignment vertical="top"/>
    </xf>
    <xf numFmtId="0" fontId="0" fillId="0" borderId="1" xfId="0" applyBorder="1" applyAlignment="1">
      <alignment horizontal="center" vertical="top"/>
    </xf>
    <xf numFmtId="0" fontId="4" fillId="3" borderId="1" xfId="0" applyFont="1" applyFill="1" applyBorder="1">
      <alignment vertical="top"/>
    </xf>
    <xf numFmtId="0" fontId="4" fillId="3" borderId="1" xfId="0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vertical="top"/>
    </xf>
    <xf numFmtId="165" fontId="4" fillId="2" borderId="2" xfId="0" applyNumberFormat="1" applyFont="1" applyFill="1" applyBorder="1">
      <alignment vertical="top"/>
    </xf>
    <xf numFmtId="0" fontId="4" fillId="0" borderId="0" xfId="0" applyFont="1" applyAlignment="1">
      <alignment horizontal="center" vertical="top"/>
    </xf>
    <xf numFmtId="165" fontId="0" fillId="0" borderId="0" xfId="0" applyNumberFormat="1">
      <alignment vertical="top"/>
    </xf>
    <xf numFmtId="0" fontId="0" fillId="0" borderId="0" xfId="0" applyAlignment="1"/>
    <xf numFmtId="0" fontId="6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166" fontId="7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8" fillId="0" borderId="0" xfId="0" applyFont="1">
      <alignment vertical="top"/>
    </xf>
  </cellXfs>
  <cellStyles count="5">
    <cellStyle name="Comma" xfId="1" builtinId="3"/>
    <cellStyle name="Comma 2" xfId="2" xr:uid="{00000000-0005-0000-0000-000001000000}"/>
    <cellStyle name="Normal" xfId="0" builtinId="0"/>
    <cellStyle name="Normal 2 2 2" xfId="4" xr:uid="{00000000-0005-0000-0000-000003000000}"/>
    <cellStyle name="Percent 2" xfId="3" xr:uid="{00000000-0005-0000-0000-000004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"/>
  <sheetViews>
    <sheetView topLeftCell="Y35" workbookViewId="0">
      <selection activeCell="AK2" sqref="AK2:AN57"/>
    </sheetView>
  </sheetViews>
  <sheetFormatPr defaultRowHeight="12.75" x14ac:dyDescent="0.2"/>
  <cols>
    <col min="2" max="2" width="6.28515625" bestFit="1" customWidth="1"/>
    <col min="3" max="3" width="8.42578125" bestFit="1" customWidth="1"/>
    <col min="4" max="4" width="8.7109375" bestFit="1" customWidth="1"/>
    <col min="5" max="5" width="12.28515625" bestFit="1" customWidth="1"/>
    <col min="7" max="7" width="11.5703125" bestFit="1" customWidth="1"/>
    <col min="10" max="10" width="10.85546875" bestFit="1" customWidth="1"/>
    <col min="12" max="12" width="13.140625" bestFit="1" customWidth="1"/>
    <col min="13" max="13" width="14.28515625" bestFit="1" customWidth="1"/>
    <col min="14" max="14" width="19.7109375" bestFit="1" customWidth="1"/>
    <col min="26" max="26" width="20.5703125" bestFit="1" customWidth="1"/>
    <col min="34" max="34" width="13.140625" bestFit="1" customWidth="1"/>
    <col min="35" max="35" width="10.42578125" bestFit="1" customWidth="1"/>
    <col min="36" max="36" width="8.140625" bestFit="1" customWidth="1"/>
    <col min="37" max="37" width="40.28515625" bestFit="1" customWidth="1"/>
    <col min="38" max="38" width="12.42578125" bestFit="1" customWidth="1"/>
    <col min="39" max="39" width="16.28515625" bestFit="1" customWidth="1"/>
  </cols>
  <sheetData>
    <row r="1" spans="1:40" x14ac:dyDescent="0.2">
      <c r="A1" s="8" t="s">
        <v>1294</v>
      </c>
      <c r="B1" s="8" t="s">
        <v>1071</v>
      </c>
      <c r="C1" s="8" t="s">
        <v>1072</v>
      </c>
      <c r="D1" s="8" t="s">
        <v>1073</v>
      </c>
      <c r="E1" s="8" t="s">
        <v>1074</v>
      </c>
      <c r="F1" s="8" t="s">
        <v>1075</v>
      </c>
      <c r="G1" s="8" t="s">
        <v>1076</v>
      </c>
      <c r="H1" s="8" t="s">
        <v>1077</v>
      </c>
      <c r="I1" s="8" t="s">
        <v>1078</v>
      </c>
      <c r="J1" s="8" t="s">
        <v>2</v>
      </c>
      <c r="K1" s="8" t="s">
        <v>1079</v>
      </c>
      <c r="L1" s="8" t="s">
        <v>1080</v>
      </c>
      <c r="M1" s="8" t="s">
        <v>1081</v>
      </c>
      <c r="N1" s="8" t="s">
        <v>1082</v>
      </c>
      <c r="O1" s="8" t="s">
        <v>1072</v>
      </c>
      <c r="P1" s="8" t="s">
        <v>1083</v>
      </c>
      <c r="Q1" s="8" t="s">
        <v>1084</v>
      </c>
      <c r="R1" s="8" t="s">
        <v>1085</v>
      </c>
      <c r="S1" s="8" t="s">
        <v>1086</v>
      </c>
      <c r="T1" s="8" t="s">
        <v>1087</v>
      </c>
      <c r="U1" s="8" t="s">
        <v>1088</v>
      </c>
      <c r="V1" s="8" t="s">
        <v>1089</v>
      </c>
      <c r="W1" s="8" t="s">
        <v>1090</v>
      </c>
      <c r="X1" s="8" t="s">
        <v>1091</v>
      </c>
      <c r="Y1" s="8" t="s">
        <v>1092</v>
      </c>
      <c r="Z1" s="8" t="s">
        <v>1093</v>
      </c>
      <c r="AA1" s="8" t="s">
        <v>1094</v>
      </c>
      <c r="AB1" s="8" t="s">
        <v>1095</v>
      </c>
      <c r="AC1" s="8" t="s">
        <v>1096</v>
      </c>
      <c r="AD1" s="8" t="s">
        <v>1097</v>
      </c>
      <c r="AE1" s="8" t="s">
        <v>1098</v>
      </c>
      <c r="AF1" s="8" t="s">
        <v>1099</v>
      </c>
      <c r="AG1" s="8" t="s">
        <v>1100</v>
      </c>
      <c r="AH1" s="8" t="s">
        <v>1101</v>
      </c>
      <c r="AI1" s="8" t="s">
        <v>1102</v>
      </c>
      <c r="AJ1" s="9" t="s">
        <v>1103</v>
      </c>
      <c r="AK1" s="8" t="s">
        <v>1290</v>
      </c>
      <c r="AL1" s="8" t="s">
        <v>1291</v>
      </c>
      <c r="AM1" s="8" t="s">
        <v>1292</v>
      </c>
      <c r="AN1" s="8" t="s">
        <v>1293</v>
      </c>
    </row>
    <row r="2" spans="1:40" x14ac:dyDescent="0.2">
      <c r="A2" s="7">
        <v>1</v>
      </c>
      <c r="B2" s="2" t="s">
        <v>1104</v>
      </c>
      <c r="C2" s="2" t="s">
        <v>1105</v>
      </c>
      <c r="D2" s="2">
        <v>45658</v>
      </c>
      <c r="E2" s="2" t="s">
        <v>1106</v>
      </c>
      <c r="F2" s="2" t="s">
        <v>34</v>
      </c>
      <c r="G2" s="2">
        <v>45670</v>
      </c>
      <c r="H2" s="2">
        <v>46034</v>
      </c>
      <c r="I2" s="2" t="s">
        <v>1107</v>
      </c>
      <c r="J2" s="2">
        <v>3220283082719</v>
      </c>
      <c r="K2" s="2" t="s">
        <v>35</v>
      </c>
      <c r="L2" s="2" t="s">
        <v>1108</v>
      </c>
      <c r="M2" s="2" t="s">
        <v>36</v>
      </c>
      <c r="N2" s="2" t="s">
        <v>37</v>
      </c>
      <c r="O2" s="2" t="s">
        <v>1105</v>
      </c>
      <c r="P2" s="2" t="s">
        <v>1109</v>
      </c>
      <c r="Q2" s="2" t="s">
        <v>1110</v>
      </c>
      <c r="R2" s="2" t="s">
        <v>1111</v>
      </c>
      <c r="S2" s="2">
        <v>45673</v>
      </c>
      <c r="T2" s="2">
        <v>46788</v>
      </c>
      <c r="U2" s="2">
        <v>4760000</v>
      </c>
      <c r="V2" s="2" t="s">
        <v>1112</v>
      </c>
      <c r="W2" s="2" t="s">
        <v>1112</v>
      </c>
      <c r="X2" s="2">
        <v>4760000</v>
      </c>
      <c r="Y2" s="2">
        <v>1.5</v>
      </c>
      <c r="Z2" s="2">
        <v>71400</v>
      </c>
      <c r="AA2" s="2"/>
      <c r="AB2" s="2"/>
      <c r="AC2" s="2" t="s">
        <v>1</v>
      </c>
      <c r="AD2" s="2">
        <v>1141072848</v>
      </c>
      <c r="AE2" s="2">
        <v>45722</v>
      </c>
      <c r="AF2" s="2" t="s">
        <v>1113</v>
      </c>
      <c r="AG2" s="2">
        <v>0</v>
      </c>
      <c r="AH2" s="2">
        <v>71400</v>
      </c>
      <c r="AI2" s="3">
        <v>0</v>
      </c>
      <c r="AJ2" s="1"/>
      <c r="AK2" s="2" t="s">
        <v>34</v>
      </c>
      <c r="AL2" s="4">
        <v>71400</v>
      </c>
      <c r="AM2" s="5">
        <v>0</v>
      </c>
      <c r="AN2" s="2" t="s">
        <v>6</v>
      </c>
    </row>
    <row r="3" spans="1:40" x14ac:dyDescent="0.2">
      <c r="A3" s="7">
        <v>2</v>
      </c>
      <c r="B3" s="2" t="s">
        <v>1104</v>
      </c>
      <c r="C3" s="2" t="s">
        <v>1114</v>
      </c>
      <c r="D3" s="2">
        <v>45658</v>
      </c>
      <c r="E3" s="2" t="s">
        <v>1106</v>
      </c>
      <c r="F3" s="2" t="s">
        <v>38</v>
      </c>
      <c r="G3" s="2">
        <v>45670</v>
      </c>
      <c r="H3" s="2">
        <v>46034</v>
      </c>
      <c r="I3" s="2" t="s">
        <v>1115</v>
      </c>
      <c r="J3" s="2">
        <v>3520108337157</v>
      </c>
      <c r="K3" s="2" t="s">
        <v>11</v>
      </c>
      <c r="L3" s="2" t="s">
        <v>1108</v>
      </c>
      <c r="M3" s="2" t="s">
        <v>39</v>
      </c>
      <c r="N3" s="2" t="s">
        <v>40</v>
      </c>
      <c r="O3" s="2" t="s">
        <v>1114</v>
      </c>
      <c r="P3" s="2" t="s">
        <v>1109</v>
      </c>
      <c r="Q3" s="2" t="s">
        <v>1116</v>
      </c>
      <c r="R3" s="2" t="s">
        <v>1117</v>
      </c>
      <c r="S3" s="2">
        <v>45672</v>
      </c>
      <c r="T3" s="2">
        <v>46757</v>
      </c>
      <c r="U3" s="2">
        <v>4719000</v>
      </c>
      <c r="V3" s="2" t="s">
        <v>1112</v>
      </c>
      <c r="W3" s="2" t="s">
        <v>1112</v>
      </c>
      <c r="X3" s="2">
        <v>4719000</v>
      </c>
      <c r="Y3" s="2">
        <v>1.5</v>
      </c>
      <c r="Z3" s="2">
        <v>70785</v>
      </c>
      <c r="AA3" s="2"/>
      <c r="AB3" s="2"/>
      <c r="AC3" s="2" t="s">
        <v>1</v>
      </c>
      <c r="AD3" s="2">
        <v>1141072848</v>
      </c>
      <c r="AE3" s="2">
        <v>45722</v>
      </c>
      <c r="AF3" s="2" t="s">
        <v>1113</v>
      </c>
      <c r="AG3" s="2">
        <v>0</v>
      </c>
      <c r="AH3" s="2">
        <v>70785</v>
      </c>
      <c r="AI3" s="3">
        <v>0</v>
      </c>
      <c r="AJ3" s="1"/>
      <c r="AK3" s="2" t="s">
        <v>38</v>
      </c>
      <c r="AL3" s="4">
        <v>70785</v>
      </c>
      <c r="AM3" s="5">
        <v>0</v>
      </c>
      <c r="AN3" s="2" t="s">
        <v>6</v>
      </c>
    </row>
    <row r="4" spans="1:40" x14ac:dyDescent="0.2">
      <c r="A4" s="7">
        <v>3</v>
      </c>
      <c r="B4" s="2" t="s">
        <v>1104</v>
      </c>
      <c r="C4" s="2" t="s">
        <v>1118</v>
      </c>
      <c r="D4" s="2">
        <v>45658</v>
      </c>
      <c r="E4" s="2" t="s">
        <v>1106</v>
      </c>
      <c r="F4" s="2" t="s">
        <v>106</v>
      </c>
      <c r="G4" s="2">
        <v>45680</v>
      </c>
      <c r="H4" s="2">
        <v>46044</v>
      </c>
      <c r="I4" s="2" t="s">
        <v>1119</v>
      </c>
      <c r="J4" s="2">
        <v>5440178704131</v>
      </c>
      <c r="K4" s="2" t="s">
        <v>46</v>
      </c>
      <c r="L4" s="2" t="s">
        <v>107</v>
      </c>
      <c r="M4" s="2" t="s">
        <v>108</v>
      </c>
      <c r="N4" s="2" t="s">
        <v>109</v>
      </c>
      <c r="O4" s="2" t="s">
        <v>1118</v>
      </c>
      <c r="P4" s="2" t="s">
        <v>1109</v>
      </c>
      <c r="Q4" s="2" t="s">
        <v>1110</v>
      </c>
      <c r="R4" s="2" t="s">
        <v>1120</v>
      </c>
      <c r="S4" s="2">
        <v>45701</v>
      </c>
      <c r="T4" s="2">
        <v>46788</v>
      </c>
      <c r="U4" s="2">
        <v>4200000</v>
      </c>
      <c r="V4" s="2" t="s">
        <v>1112</v>
      </c>
      <c r="W4" s="2" t="s">
        <v>1112</v>
      </c>
      <c r="X4" s="2">
        <v>4200000</v>
      </c>
      <c r="Y4" s="2">
        <v>1.5</v>
      </c>
      <c r="Z4" s="2">
        <v>63000</v>
      </c>
      <c r="AA4" s="2"/>
      <c r="AB4" s="2"/>
      <c r="AC4" s="2" t="s">
        <v>1</v>
      </c>
      <c r="AD4" s="2">
        <v>1141072848</v>
      </c>
      <c r="AE4" s="2">
        <v>45722</v>
      </c>
      <c r="AF4" s="2" t="s">
        <v>1113</v>
      </c>
      <c r="AG4" s="2">
        <v>0</v>
      </c>
      <c r="AH4" s="2">
        <v>63000</v>
      </c>
      <c r="AI4" s="3">
        <v>0</v>
      </c>
      <c r="AJ4" s="1"/>
      <c r="AK4" s="2" t="s">
        <v>106</v>
      </c>
      <c r="AL4" s="4">
        <v>63000</v>
      </c>
      <c r="AM4" s="5">
        <v>0</v>
      </c>
      <c r="AN4" s="2" t="s">
        <v>6</v>
      </c>
    </row>
    <row r="5" spans="1:40" x14ac:dyDescent="0.2">
      <c r="A5" s="7">
        <v>4</v>
      </c>
      <c r="B5" s="2" t="s">
        <v>1104</v>
      </c>
      <c r="C5" s="2" t="s">
        <v>1121</v>
      </c>
      <c r="D5" s="2">
        <v>45658</v>
      </c>
      <c r="E5" s="2" t="s">
        <v>1106</v>
      </c>
      <c r="F5" s="2" t="s">
        <v>95</v>
      </c>
      <c r="G5" s="2">
        <v>45678</v>
      </c>
      <c r="H5" s="2">
        <v>46042</v>
      </c>
      <c r="I5" s="2" t="s">
        <v>1122</v>
      </c>
      <c r="J5" s="2">
        <v>3460374244523</v>
      </c>
      <c r="K5" s="2" t="s">
        <v>96</v>
      </c>
      <c r="L5" s="2" t="s">
        <v>1112</v>
      </c>
      <c r="M5" s="2" t="s">
        <v>97</v>
      </c>
      <c r="N5" s="2" t="s">
        <v>98</v>
      </c>
      <c r="O5" s="2" t="s">
        <v>1121</v>
      </c>
      <c r="P5" s="2" t="s">
        <v>1109</v>
      </c>
      <c r="Q5" s="2" t="s">
        <v>1116</v>
      </c>
      <c r="R5" s="2" t="s">
        <v>1123</v>
      </c>
      <c r="S5" s="2">
        <v>45686</v>
      </c>
      <c r="T5" s="2">
        <v>46788</v>
      </c>
      <c r="U5" s="2">
        <v>5118000</v>
      </c>
      <c r="V5" s="2" t="s">
        <v>1112</v>
      </c>
      <c r="W5" s="2" t="s">
        <v>1112</v>
      </c>
      <c r="X5" s="2">
        <v>5118000</v>
      </c>
      <c r="Y5" s="2">
        <v>1.5</v>
      </c>
      <c r="Z5" s="2">
        <v>76770</v>
      </c>
      <c r="AA5" s="2"/>
      <c r="AB5" s="2"/>
      <c r="AC5" s="2" t="s">
        <v>1</v>
      </c>
      <c r="AD5" s="2">
        <v>1141072848</v>
      </c>
      <c r="AE5" s="2">
        <v>45722</v>
      </c>
      <c r="AF5" s="2" t="s">
        <v>1113</v>
      </c>
      <c r="AG5" s="2">
        <v>0</v>
      </c>
      <c r="AH5" s="2">
        <v>76770</v>
      </c>
      <c r="AI5" s="3">
        <v>0</v>
      </c>
      <c r="AJ5" s="1"/>
      <c r="AK5" s="2" t="s">
        <v>95</v>
      </c>
      <c r="AL5" s="4">
        <v>76770</v>
      </c>
      <c r="AM5" s="5">
        <v>0</v>
      </c>
      <c r="AN5" s="2" t="s">
        <v>6</v>
      </c>
    </row>
    <row r="6" spans="1:40" x14ac:dyDescent="0.2">
      <c r="A6" s="7">
        <v>5</v>
      </c>
      <c r="B6" s="2" t="s">
        <v>1104</v>
      </c>
      <c r="C6" s="2" t="s">
        <v>1124</v>
      </c>
      <c r="D6" s="2">
        <v>45658</v>
      </c>
      <c r="E6" s="2" t="s">
        <v>1106</v>
      </c>
      <c r="F6" s="2" t="s">
        <v>178</v>
      </c>
      <c r="G6" s="2">
        <v>45688</v>
      </c>
      <c r="H6" s="2">
        <v>46052</v>
      </c>
      <c r="I6" s="2" t="s">
        <v>1125</v>
      </c>
      <c r="J6" s="2">
        <v>3520209006119</v>
      </c>
      <c r="K6" s="2" t="s">
        <v>46</v>
      </c>
      <c r="L6" s="2" t="s">
        <v>179</v>
      </c>
      <c r="M6" s="2" t="s">
        <v>180</v>
      </c>
      <c r="N6" s="2" t="s">
        <v>181</v>
      </c>
      <c r="O6" s="2" t="s">
        <v>1124</v>
      </c>
      <c r="P6" s="2" t="s">
        <v>1109</v>
      </c>
      <c r="Q6" s="2" t="s">
        <v>1116</v>
      </c>
      <c r="R6" s="2" t="s">
        <v>1126</v>
      </c>
      <c r="S6" s="2">
        <v>45692</v>
      </c>
      <c r="T6" s="2">
        <v>46788</v>
      </c>
      <c r="U6" s="2">
        <v>4200000</v>
      </c>
      <c r="V6" s="2" t="s">
        <v>1112</v>
      </c>
      <c r="W6" s="2" t="s">
        <v>1112</v>
      </c>
      <c r="X6" s="2">
        <v>4200000</v>
      </c>
      <c r="Y6" s="2">
        <v>1.5</v>
      </c>
      <c r="Z6" s="2">
        <v>63000</v>
      </c>
      <c r="AA6" s="2"/>
      <c r="AB6" s="2"/>
      <c r="AC6" s="2" t="s">
        <v>1</v>
      </c>
      <c r="AD6" s="2">
        <v>1141072848</v>
      </c>
      <c r="AE6" s="2">
        <v>45722</v>
      </c>
      <c r="AF6" s="2" t="s">
        <v>1113</v>
      </c>
      <c r="AG6" s="2">
        <v>0</v>
      </c>
      <c r="AH6" s="2">
        <v>63000</v>
      </c>
      <c r="AI6" s="3">
        <v>0</v>
      </c>
      <c r="AJ6" s="1"/>
      <c r="AK6" s="2" t="s">
        <v>178</v>
      </c>
      <c r="AL6" s="4">
        <v>63000</v>
      </c>
      <c r="AM6" s="5">
        <v>0</v>
      </c>
      <c r="AN6" s="2" t="s">
        <v>6</v>
      </c>
    </row>
    <row r="7" spans="1:40" x14ac:dyDescent="0.2">
      <c r="A7" s="7">
        <v>6</v>
      </c>
      <c r="B7" s="2" t="s">
        <v>1104</v>
      </c>
      <c r="C7" s="2" t="s">
        <v>1127</v>
      </c>
      <c r="D7" s="2">
        <v>45658</v>
      </c>
      <c r="E7" s="2" t="s">
        <v>1106</v>
      </c>
      <c r="F7" s="2" t="s">
        <v>70</v>
      </c>
      <c r="G7" s="2">
        <v>45664</v>
      </c>
      <c r="H7" s="2">
        <v>46028</v>
      </c>
      <c r="I7" s="2" t="s">
        <v>1128</v>
      </c>
      <c r="J7" s="2">
        <v>3310098725370</v>
      </c>
      <c r="K7" s="2" t="s">
        <v>71</v>
      </c>
      <c r="L7" s="2" t="s">
        <v>72</v>
      </c>
      <c r="M7" s="2" t="s">
        <v>73</v>
      </c>
      <c r="N7" s="2" t="s">
        <v>74</v>
      </c>
      <c r="O7" s="2" t="s">
        <v>1127</v>
      </c>
      <c r="P7" s="2" t="s">
        <v>1109</v>
      </c>
      <c r="Q7" s="2" t="s">
        <v>1129</v>
      </c>
      <c r="R7" s="2" t="s">
        <v>1130</v>
      </c>
      <c r="S7" s="2">
        <v>45665</v>
      </c>
      <c r="T7" s="2">
        <v>46757</v>
      </c>
      <c r="U7" s="2">
        <v>7500000</v>
      </c>
      <c r="V7" s="2" t="s">
        <v>1112</v>
      </c>
      <c r="W7" s="2" t="s">
        <v>1112</v>
      </c>
      <c r="X7" s="2">
        <v>7500000</v>
      </c>
      <c r="Y7" s="2">
        <v>1.5</v>
      </c>
      <c r="Z7" s="2">
        <v>112500</v>
      </c>
      <c r="AA7" s="2"/>
      <c r="AB7" s="2"/>
      <c r="AC7" s="2" t="s">
        <v>1</v>
      </c>
      <c r="AD7" s="2">
        <v>1141072848</v>
      </c>
      <c r="AE7" s="2">
        <v>45722</v>
      </c>
      <c r="AF7" s="2" t="s">
        <v>1113</v>
      </c>
      <c r="AG7" s="2">
        <v>0</v>
      </c>
      <c r="AH7" s="2">
        <v>112500</v>
      </c>
      <c r="AI7" s="3">
        <v>0</v>
      </c>
      <c r="AJ7" s="1"/>
      <c r="AK7" s="2" t="s">
        <v>70</v>
      </c>
      <c r="AL7" s="4">
        <v>112500</v>
      </c>
      <c r="AM7" s="5">
        <v>0</v>
      </c>
      <c r="AN7" s="2" t="s">
        <v>6</v>
      </c>
    </row>
    <row r="8" spans="1:40" x14ac:dyDescent="0.2">
      <c r="A8" s="7">
        <v>7</v>
      </c>
      <c r="B8" s="2" t="s">
        <v>1104</v>
      </c>
      <c r="C8" s="2" t="s">
        <v>1131</v>
      </c>
      <c r="D8" s="2">
        <v>45658</v>
      </c>
      <c r="E8" s="2" t="s">
        <v>1106</v>
      </c>
      <c r="F8" s="2" t="s">
        <v>225</v>
      </c>
      <c r="G8" s="2">
        <v>45666</v>
      </c>
      <c r="H8" s="2">
        <v>46030</v>
      </c>
      <c r="I8" s="2" t="s">
        <v>1132</v>
      </c>
      <c r="J8" s="2">
        <v>3420267725644</v>
      </c>
      <c r="K8" s="2" t="s">
        <v>226</v>
      </c>
      <c r="L8" s="2">
        <v>0</v>
      </c>
      <c r="M8" s="2" t="s">
        <v>227</v>
      </c>
      <c r="N8" s="2" t="s">
        <v>228</v>
      </c>
      <c r="O8" s="2" t="s">
        <v>1131</v>
      </c>
      <c r="P8" s="2" t="s">
        <v>1109</v>
      </c>
      <c r="Q8" s="2" t="s">
        <v>1110</v>
      </c>
      <c r="R8" s="2" t="s">
        <v>1133</v>
      </c>
      <c r="S8" s="2">
        <v>45694</v>
      </c>
      <c r="T8" s="2">
        <v>46788</v>
      </c>
      <c r="U8" s="2">
        <v>3049000</v>
      </c>
      <c r="V8" s="2" t="s">
        <v>1112</v>
      </c>
      <c r="W8" s="2" t="s">
        <v>1112</v>
      </c>
      <c r="X8" s="2">
        <v>3049000</v>
      </c>
      <c r="Y8" s="2">
        <v>2</v>
      </c>
      <c r="Z8" s="2">
        <v>60980</v>
      </c>
      <c r="AA8" s="2"/>
      <c r="AB8" s="2"/>
      <c r="AC8" s="2" t="s">
        <v>1</v>
      </c>
      <c r="AD8" s="2">
        <v>1141072848</v>
      </c>
      <c r="AE8" s="2">
        <v>45722</v>
      </c>
      <c r="AF8" s="2" t="s">
        <v>1113</v>
      </c>
      <c r="AG8" s="2">
        <v>0</v>
      </c>
      <c r="AH8" s="2">
        <v>60980</v>
      </c>
      <c r="AI8" s="3">
        <v>0</v>
      </c>
      <c r="AJ8" s="1"/>
      <c r="AK8" s="2" t="s">
        <v>225</v>
      </c>
      <c r="AL8" s="4">
        <v>60980</v>
      </c>
      <c r="AM8" s="5">
        <v>0</v>
      </c>
      <c r="AN8" s="2" t="s">
        <v>6</v>
      </c>
    </row>
    <row r="9" spans="1:40" x14ac:dyDescent="0.2">
      <c r="A9" s="7">
        <v>8</v>
      </c>
      <c r="B9" s="2" t="s">
        <v>1104</v>
      </c>
      <c r="C9" s="2" t="s">
        <v>1134</v>
      </c>
      <c r="D9" s="2">
        <v>45658</v>
      </c>
      <c r="E9" s="2" t="s">
        <v>1106</v>
      </c>
      <c r="F9" s="2" t="s">
        <v>221</v>
      </c>
      <c r="G9" s="2">
        <v>45688</v>
      </c>
      <c r="H9" s="2">
        <v>46052</v>
      </c>
      <c r="I9" s="2" t="s">
        <v>1135</v>
      </c>
      <c r="J9" s="2">
        <v>3520278263717</v>
      </c>
      <c r="K9" s="2" t="s">
        <v>18</v>
      </c>
      <c r="L9" s="2" t="s">
        <v>222</v>
      </c>
      <c r="M9" s="2" t="s">
        <v>223</v>
      </c>
      <c r="N9" s="2" t="s">
        <v>224</v>
      </c>
      <c r="O9" s="2" t="s">
        <v>1134</v>
      </c>
      <c r="P9" s="2" t="s">
        <v>1109</v>
      </c>
      <c r="Q9" s="2" t="s">
        <v>1116</v>
      </c>
      <c r="R9" s="2" t="s">
        <v>1136</v>
      </c>
      <c r="S9" s="2">
        <v>45694</v>
      </c>
      <c r="T9" s="2">
        <v>46788</v>
      </c>
      <c r="U9" s="2">
        <v>4100000</v>
      </c>
      <c r="V9" s="2" t="s">
        <v>1112</v>
      </c>
      <c r="W9" s="2" t="s">
        <v>1112</v>
      </c>
      <c r="X9" s="2">
        <v>4100000</v>
      </c>
      <c r="Y9" s="2">
        <v>1.5</v>
      </c>
      <c r="Z9" s="2">
        <v>61500</v>
      </c>
      <c r="AA9" s="2"/>
      <c r="AB9" s="2"/>
      <c r="AC9" s="2" t="s">
        <v>1</v>
      </c>
      <c r="AD9" s="2">
        <v>1141072848</v>
      </c>
      <c r="AE9" s="2">
        <v>45722</v>
      </c>
      <c r="AF9" s="2" t="s">
        <v>1113</v>
      </c>
      <c r="AG9" s="2">
        <v>0</v>
      </c>
      <c r="AH9" s="2">
        <v>61500</v>
      </c>
      <c r="AI9" s="3">
        <v>0</v>
      </c>
      <c r="AJ9" s="1"/>
      <c r="AK9" s="2" t="s">
        <v>221</v>
      </c>
      <c r="AL9" s="4">
        <v>61500</v>
      </c>
      <c r="AM9" s="5">
        <v>0</v>
      </c>
      <c r="AN9" s="2" t="s">
        <v>6</v>
      </c>
    </row>
    <row r="10" spans="1:40" x14ac:dyDescent="0.2">
      <c r="A10" s="7">
        <v>9</v>
      </c>
      <c r="B10" s="2" t="s">
        <v>1104</v>
      </c>
      <c r="C10" s="2" t="s">
        <v>1137</v>
      </c>
      <c r="D10" s="2">
        <v>45658</v>
      </c>
      <c r="E10" s="2" t="s">
        <v>1106</v>
      </c>
      <c r="F10" s="2" t="s">
        <v>75</v>
      </c>
      <c r="G10" s="2">
        <v>45678</v>
      </c>
      <c r="H10" s="2">
        <v>46042</v>
      </c>
      <c r="I10" s="2" t="s">
        <v>1138</v>
      </c>
      <c r="J10" s="2">
        <v>3120223099979</v>
      </c>
      <c r="K10" s="2" t="s">
        <v>5</v>
      </c>
      <c r="L10" s="2" t="s">
        <v>76</v>
      </c>
      <c r="M10" s="2" t="s">
        <v>77</v>
      </c>
      <c r="N10" s="2" t="s">
        <v>78</v>
      </c>
      <c r="O10" s="2" t="s">
        <v>1137</v>
      </c>
      <c r="P10" s="2" t="s">
        <v>1109</v>
      </c>
      <c r="Q10" s="2" t="s">
        <v>1139</v>
      </c>
      <c r="R10" s="2" t="s">
        <v>1140</v>
      </c>
      <c r="S10" s="2">
        <v>45684</v>
      </c>
      <c r="T10" s="2">
        <v>47519</v>
      </c>
      <c r="U10" s="2">
        <v>2150000</v>
      </c>
      <c r="V10" s="2" t="s">
        <v>1112</v>
      </c>
      <c r="W10" s="2" t="s">
        <v>1112</v>
      </c>
      <c r="X10" s="2">
        <v>2150000</v>
      </c>
      <c r="Y10" s="2">
        <v>2</v>
      </c>
      <c r="Z10" s="2">
        <v>43000</v>
      </c>
      <c r="AA10" s="2"/>
      <c r="AB10" s="2"/>
      <c r="AC10" s="2" t="s">
        <v>1</v>
      </c>
      <c r="AD10" s="2">
        <v>1141072848</v>
      </c>
      <c r="AE10" s="2">
        <v>45722</v>
      </c>
      <c r="AF10" s="2" t="s">
        <v>1113</v>
      </c>
      <c r="AG10" s="2">
        <v>0</v>
      </c>
      <c r="AH10" s="2">
        <v>43000</v>
      </c>
      <c r="AI10" s="3">
        <v>0</v>
      </c>
      <c r="AJ10" s="1"/>
      <c r="AK10" s="2" t="s">
        <v>75</v>
      </c>
      <c r="AL10" s="4">
        <v>43000</v>
      </c>
      <c r="AM10" s="5">
        <v>0</v>
      </c>
      <c r="AN10" s="2" t="s">
        <v>6</v>
      </c>
    </row>
    <row r="11" spans="1:40" x14ac:dyDescent="0.2">
      <c r="A11" s="7">
        <v>10</v>
      </c>
      <c r="B11" s="2" t="s">
        <v>1104</v>
      </c>
      <c r="C11" s="2" t="s">
        <v>1141</v>
      </c>
      <c r="D11" s="2">
        <v>45658</v>
      </c>
      <c r="E11" s="2" t="s">
        <v>1106</v>
      </c>
      <c r="F11" s="2" t="s">
        <v>79</v>
      </c>
      <c r="G11" s="2">
        <v>45678</v>
      </c>
      <c r="H11" s="2">
        <v>46042</v>
      </c>
      <c r="I11" s="2" t="s">
        <v>1142</v>
      </c>
      <c r="J11" s="2">
        <v>4250115035545</v>
      </c>
      <c r="K11" s="2" t="s">
        <v>5</v>
      </c>
      <c r="L11" s="2" t="s">
        <v>80</v>
      </c>
      <c r="M11" s="2" t="s">
        <v>81</v>
      </c>
      <c r="N11" s="2" t="s">
        <v>82</v>
      </c>
      <c r="O11" s="2" t="s">
        <v>1141</v>
      </c>
      <c r="P11" s="2" t="s">
        <v>1143</v>
      </c>
      <c r="Q11" s="2" t="s">
        <v>1144</v>
      </c>
      <c r="R11" s="2" t="s">
        <v>1145</v>
      </c>
      <c r="S11" s="2">
        <v>45679</v>
      </c>
      <c r="T11" s="2">
        <v>46788</v>
      </c>
      <c r="U11" s="2">
        <v>2150000</v>
      </c>
      <c r="V11" s="2" t="s">
        <v>1112</v>
      </c>
      <c r="W11" s="2" t="s">
        <v>1112</v>
      </c>
      <c r="X11" s="2">
        <v>2150000</v>
      </c>
      <c r="Y11" s="2">
        <v>2</v>
      </c>
      <c r="Z11" s="2">
        <v>43000</v>
      </c>
      <c r="AA11" s="2"/>
      <c r="AB11" s="2"/>
      <c r="AC11" s="2" t="s">
        <v>1</v>
      </c>
      <c r="AD11" s="2">
        <v>1141072848</v>
      </c>
      <c r="AE11" s="2">
        <v>45722</v>
      </c>
      <c r="AF11" s="2" t="s">
        <v>1113</v>
      </c>
      <c r="AG11" s="2">
        <v>0</v>
      </c>
      <c r="AH11" s="2">
        <v>43000</v>
      </c>
      <c r="AI11" s="3">
        <v>0</v>
      </c>
      <c r="AJ11" s="1"/>
      <c r="AK11" s="2" t="s">
        <v>79</v>
      </c>
      <c r="AL11" s="4">
        <v>43000</v>
      </c>
      <c r="AM11" s="5">
        <v>0</v>
      </c>
      <c r="AN11" s="2" t="s">
        <v>6</v>
      </c>
    </row>
    <row r="12" spans="1:40" x14ac:dyDescent="0.2">
      <c r="A12" s="7">
        <v>11</v>
      </c>
      <c r="B12" s="2" t="s">
        <v>1104</v>
      </c>
      <c r="C12" s="2" t="s">
        <v>1146</v>
      </c>
      <c r="D12" s="2">
        <v>45658</v>
      </c>
      <c r="E12" s="2" t="s">
        <v>1106</v>
      </c>
      <c r="F12" s="2" t="s">
        <v>30</v>
      </c>
      <c r="G12" s="2">
        <v>45660</v>
      </c>
      <c r="H12" s="2">
        <v>46024</v>
      </c>
      <c r="I12" s="2" t="s">
        <v>1147</v>
      </c>
      <c r="J12" s="2">
        <v>6110109660143</v>
      </c>
      <c r="K12" s="2" t="s">
        <v>14</v>
      </c>
      <c r="L12" s="2" t="s">
        <v>31</v>
      </c>
      <c r="M12" s="2" t="s">
        <v>32</v>
      </c>
      <c r="N12" s="2" t="s">
        <v>33</v>
      </c>
      <c r="O12" s="2" t="s">
        <v>1146</v>
      </c>
      <c r="P12" s="2" t="s">
        <v>1109</v>
      </c>
      <c r="Q12" s="2" t="s">
        <v>1110</v>
      </c>
      <c r="R12" s="2" t="s">
        <v>1148</v>
      </c>
      <c r="S12" s="2">
        <v>45665</v>
      </c>
      <c r="T12" s="2">
        <v>47488</v>
      </c>
      <c r="U12" s="2">
        <v>2200000</v>
      </c>
      <c r="V12" s="2" t="s">
        <v>1112</v>
      </c>
      <c r="W12" s="2" t="s">
        <v>1112</v>
      </c>
      <c r="X12" s="2">
        <v>2200000</v>
      </c>
      <c r="Y12" s="2">
        <v>2</v>
      </c>
      <c r="Z12" s="2">
        <v>44000</v>
      </c>
      <c r="AA12" s="2"/>
      <c r="AB12" s="2"/>
      <c r="AC12" s="2" t="s">
        <v>1</v>
      </c>
      <c r="AD12" s="2">
        <v>1141072848</v>
      </c>
      <c r="AE12" s="2">
        <v>45722</v>
      </c>
      <c r="AF12" s="2" t="s">
        <v>1113</v>
      </c>
      <c r="AG12" s="2">
        <v>0</v>
      </c>
      <c r="AH12" s="2">
        <v>44000</v>
      </c>
      <c r="AI12" s="3">
        <v>0</v>
      </c>
      <c r="AJ12" s="1"/>
      <c r="AK12" s="2" t="s">
        <v>30</v>
      </c>
      <c r="AL12" s="4">
        <v>44000</v>
      </c>
      <c r="AM12" s="5">
        <v>0</v>
      </c>
      <c r="AN12" s="2" t="s">
        <v>6</v>
      </c>
    </row>
    <row r="13" spans="1:40" x14ac:dyDescent="0.2">
      <c r="A13" s="7">
        <v>12</v>
      </c>
      <c r="B13" s="2" t="s">
        <v>1104</v>
      </c>
      <c r="C13" s="2" t="s">
        <v>1149</v>
      </c>
      <c r="D13" s="2">
        <v>45658</v>
      </c>
      <c r="E13" s="2" t="s">
        <v>1106</v>
      </c>
      <c r="F13" s="2" t="s">
        <v>56</v>
      </c>
      <c r="G13" s="2">
        <v>45674</v>
      </c>
      <c r="H13" s="2">
        <v>46038</v>
      </c>
      <c r="I13" s="2" t="s">
        <v>1150</v>
      </c>
      <c r="J13" s="2">
        <v>3520222297649</v>
      </c>
      <c r="K13" s="2" t="s">
        <v>5</v>
      </c>
      <c r="L13" s="2" t="s">
        <v>1108</v>
      </c>
      <c r="M13" s="2" t="s">
        <v>57</v>
      </c>
      <c r="N13" s="2" t="s">
        <v>58</v>
      </c>
      <c r="O13" s="2" t="s">
        <v>1149</v>
      </c>
      <c r="P13" s="2" t="s">
        <v>1109</v>
      </c>
      <c r="Q13" s="2" t="s">
        <v>1116</v>
      </c>
      <c r="R13" s="2" t="s">
        <v>1151</v>
      </c>
      <c r="S13" s="2">
        <v>45678</v>
      </c>
      <c r="T13" s="2">
        <v>47519</v>
      </c>
      <c r="U13" s="2">
        <v>2707000</v>
      </c>
      <c r="V13" s="2" t="s">
        <v>1112</v>
      </c>
      <c r="W13" s="2" t="s">
        <v>1112</v>
      </c>
      <c r="X13" s="2">
        <v>2707000</v>
      </c>
      <c r="Y13" s="2">
        <v>2</v>
      </c>
      <c r="Z13" s="2">
        <v>54140</v>
      </c>
      <c r="AA13" s="2"/>
      <c r="AB13" s="2"/>
      <c r="AC13" s="2" t="s">
        <v>1</v>
      </c>
      <c r="AD13" s="2">
        <v>1141072848</v>
      </c>
      <c r="AE13" s="2">
        <v>45722</v>
      </c>
      <c r="AF13" s="2" t="s">
        <v>1113</v>
      </c>
      <c r="AG13" s="2">
        <v>0</v>
      </c>
      <c r="AH13" s="2">
        <v>54140</v>
      </c>
      <c r="AI13" s="3">
        <v>0</v>
      </c>
      <c r="AJ13" s="1"/>
      <c r="AK13" s="2" t="s">
        <v>56</v>
      </c>
      <c r="AL13" s="4">
        <v>54140</v>
      </c>
      <c r="AM13" s="5">
        <v>0</v>
      </c>
      <c r="AN13" s="2" t="s">
        <v>6</v>
      </c>
    </row>
    <row r="14" spans="1:40" x14ac:dyDescent="0.2">
      <c r="A14" s="7">
        <v>13</v>
      </c>
      <c r="B14" s="2" t="s">
        <v>1104</v>
      </c>
      <c r="C14" s="2" t="s">
        <v>1152</v>
      </c>
      <c r="D14" s="2">
        <v>45658</v>
      </c>
      <c r="E14" s="2" t="s">
        <v>1106</v>
      </c>
      <c r="F14" s="2" t="s">
        <v>174</v>
      </c>
      <c r="G14" s="2">
        <v>45688</v>
      </c>
      <c r="H14" s="2">
        <v>46052</v>
      </c>
      <c r="I14" s="2" t="s">
        <v>1153</v>
      </c>
      <c r="J14" s="2">
        <v>3410187852147</v>
      </c>
      <c r="K14" s="2" t="s">
        <v>18</v>
      </c>
      <c r="L14" s="2" t="s">
        <v>175</v>
      </c>
      <c r="M14" s="2" t="s">
        <v>176</v>
      </c>
      <c r="N14" s="2" t="s">
        <v>177</v>
      </c>
      <c r="O14" s="2" t="s">
        <v>1152</v>
      </c>
      <c r="P14" s="2" t="s">
        <v>1109</v>
      </c>
      <c r="Q14" s="2" t="s">
        <v>1154</v>
      </c>
      <c r="R14" s="2" t="s">
        <v>1155</v>
      </c>
      <c r="S14" s="2">
        <v>45691</v>
      </c>
      <c r="T14" s="2">
        <v>46788</v>
      </c>
      <c r="U14" s="2">
        <v>3500000</v>
      </c>
      <c r="V14" s="2" t="s">
        <v>1112</v>
      </c>
      <c r="W14" s="2" t="s">
        <v>1112</v>
      </c>
      <c r="X14" s="2">
        <v>3500000</v>
      </c>
      <c r="Y14" s="2">
        <v>1.5</v>
      </c>
      <c r="Z14" s="2">
        <v>52500</v>
      </c>
      <c r="AA14" s="2"/>
      <c r="AB14" s="2"/>
      <c r="AC14" s="2" t="s">
        <v>1</v>
      </c>
      <c r="AD14" s="2">
        <v>1141072848</v>
      </c>
      <c r="AE14" s="2">
        <v>45722</v>
      </c>
      <c r="AF14" s="2" t="s">
        <v>1113</v>
      </c>
      <c r="AG14" s="2">
        <v>0</v>
      </c>
      <c r="AH14" s="2">
        <v>52500</v>
      </c>
      <c r="AI14" s="3">
        <v>0</v>
      </c>
      <c r="AJ14" s="1"/>
      <c r="AK14" s="2" t="s">
        <v>174</v>
      </c>
      <c r="AL14" s="4">
        <v>52500</v>
      </c>
      <c r="AM14" s="5">
        <v>0</v>
      </c>
      <c r="AN14" s="2" t="s">
        <v>6</v>
      </c>
    </row>
    <row r="15" spans="1:40" x14ac:dyDescent="0.2">
      <c r="A15" s="7">
        <v>14</v>
      </c>
      <c r="B15" s="2" t="s">
        <v>1104</v>
      </c>
      <c r="C15" s="2" t="s">
        <v>1156</v>
      </c>
      <c r="D15" s="2">
        <v>45658</v>
      </c>
      <c r="E15" s="2" t="s">
        <v>1106</v>
      </c>
      <c r="F15" s="2" t="s">
        <v>236</v>
      </c>
      <c r="G15" s="2">
        <v>45667</v>
      </c>
      <c r="H15" s="2">
        <v>46031</v>
      </c>
      <c r="I15" s="2" t="s">
        <v>1157</v>
      </c>
      <c r="J15" s="2">
        <v>3520014636046</v>
      </c>
      <c r="K15" s="2" t="s">
        <v>237</v>
      </c>
      <c r="L15" s="2" t="s">
        <v>1112</v>
      </c>
      <c r="M15" s="2" t="s">
        <v>238</v>
      </c>
      <c r="N15" s="2" t="s">
        <v>239</v>
      </c>
      <c r="O15" s="2" t="s">
        <v>1156</v>
      </c>
      <c r="P15" s="2" t="s">
        <v>1109</v>
      </c>
      <c r="Q15" s="2" t="s">
        <v>1116</v>
      </c>
      <c r="R15" s="2" t="s">
        <v>1158</v>
      </c>
      <c r="S15" s="2">
        <v>45667</v>
      </c>
      <c r="T15" s="2">
        <v>46757</v>
      </c>
      <c r="U15" s="2">
        <v>8809000</v>
      </c>
      <c r="V15" s="2" t="s">
        <v>1112</v>
      </c>
      <c r="W15" s="2" t="s">
        <v>1112</v>
      </c>
      <c r="X15" s="2">
        <v>8809000</v>
      </c>
      <c r="Y15" s="2">
        <v>1.5</v>
      </c>
      <c r="Z15" s="2">
        <v>132135</v>
      </c>
      <c r="AA15" s="2"/>
      <c r="AB15" s="2"/>
      <c r="AC15" s="2" t="s">
        <v>1</v>
      </c>
      <c r="AD15" s="2">
        <v>1141072848</v>
      </c>
      <c r="AE15" s="2">
        <v>45722</v>
      </c>
      <c r="AF15" s="2" t="s">
        <v>1113</v>
      </c>
      <c r="AG15" s="2">
        <v>0</v>
      </c>
      <c r="AH15" s="2">
        <v>132135</v>
      </c>
      <c r="AI15" s="3">
        <v>0</v>
      </c>
      <c r="AJ15" s="1"/>
      <c r="AK15" s="2" t="s">
        <v>236</v>
      </c>
      <c r="AL15" s="4">
        <v>132135</v>
      </c>
      <c r="AM15" s="5">
        <v>0</v>
      </c>
      <c r="AN15" s="2" t="s">
        <v>6</v>
      </c>
    </row>
    <row r="16" spans="1:40" x14ac:dyDescent="0.2">
      <c r="A16" s="7">
        <v>15</v>
      </c>
      <c r="B16" s="2" t="s">
        <v>1104</v>
      </c>
      <c r="C16" s="2" t="s">
        <v>1159</v>
      </c>
      <c r="D16" s="2">
        <v>45658</v>
      </c>
      <c r="E16" s="2" t="s">
        <v>1106</v>
      </c>
      <c r="F16" s="2" t="s">
        <v>229</v>
      </c>
      <c r="G16" s="2">
        <v>45667</v>
      </c>
      <c r="H16" s="2">
        <v>46031</v>
      </c>
      <c r="I16" s="2" t="s">
        <v>1160</v>
      </c>
      <c r="J16" s="2">
        <v>3520193005593</v>
      </c>
      <c r="K16" s="2" t="s">
        <v>11</v>
      </c>
      <c r="L16" s="2" t="s">
        <v>230</v>
      </c>
      <c r="M16" s="2" t="s">
        <v>231</v>
      </c>
      <c r="N16" s="2" t="s">
        <v>232</v>
      </c>
      <c r="O16" s="2" t="s">
        <v>1159</v>
      </c>
      <c r="P16" s="2" t="s">
        <v>1109</v>
      </c>
      <c r="Q16" s="2" t="s">
        <v>1116</v>
      </c>
      <c r="R16" s="2" t="s">
        <v>1161</v>
      </c>
      <c r="S16" s="2">
        <v>45670</v>
      </c>
      <c r="T16" s="2">
        <v>46392</v>
      </c>
      <c r="U16" s="2">
        <v>4300000</v>
      </c>
      <c r="V16" s="2" t="s">
        <v>1112</v>
      </c>
      <c r="W16" s="2" t="s">
        <v>1112</v>
      </c>
      <c r="X16" s="2">
        <v>4300000</v>
      </c>
      <c r="Y16" s="2">
        <v>1.5</v>
      </c>
      <c r="Z16" s="2">
        <v>64500</v>
      </c>
      <c r="AA16" s="2"/>
      <c r="AB16" s="2"/>
      <c r="AC16" s="2" t="s">
        <v>1</v>
      </c>
      <c r="AD16" s="2">
        <v>1141072848</v>
      </c>
      <c r="AE16" s="2">
        <v>45722</v>
      </c>
      <c r="AF16" s="2" t="s">
        <v>1113</v>
      </c>
      <c r="AG16" s="2">
        <v>0</v>
      </c>
      <c r="AH16" s="2">
        <v>64500</v>
      </c>
      <c r="AI16" s="3">
        <v>0</v>
      </c>
      <c r="AJ16" s="1"/>
      <c r="AK16" s="2" t="s">
        <v>229</v>
      </c>
      <c r="AL16" s="4">
        <v>64500</v>
      </c>
      <c r="AM16" s="5">
        <v>0</v>
      </c>
      <c r="AN16" s="2" t="s">
        <v>6</v>
      </c>
    </row>
    <row r="17" spans="1:40" x14ac:dyDescent="0.2">
      <c r="A17" s="7">
        <v>16</v>
      </c>
      <c r="B17" s="2" t="s">
        <v>1104</v>
      </c>
      <c r="C17" s="2" t="s">
        <v>1162</v>
      </c>
      <c r="D17" s="2">
        <v>45658</v>
      </c>
      <c r="E17" s="2" t="s">
        <v>1106</v>
      </c>
      <c r="F17" s="2" t="s">
        <v>233</v>
      </c>
      <c r="G17" s="2">
        <v>45667</v>
      </c>
      <c r="H17" s="2">
        <v>46031</v>
      </c>
      <c r="I17" s="2" t="s">
        <v>1163</v>
      </c>
      <c r="J17" s="2">
        <v>8210186450695</v>
      </c>
      <c r="K17" s="2" t="s">
        <v>5</v>
      </c>
      <c r="L17" s="2">
        <v>0</v>
      </c>
      <c r="M17" s="2" t="s">
        <v>234</v>
      </c>
      <c r="N17" s="2" t="s">
        <v>235</v>
      </c>
      <c r="O17" s="2" t="s">
        <v>1162</v>
      </c>
      <c r="P17" s="2" t="s">
        <v>1109</v>
      </c>
      <c r="Q17" s="2" t="s">
        <v>1110</v>
      </c>
      <c r="R17" s="2" t="s">
        <v>1164</v>
      </c>
      <c r="S17" s="2">
        <v>45672</v>
      </c>
      <c r="T17" s="2">
        <v>47488</v>
      </c>
      <c r="U17" s="2">
        <v>2707000</v>
      </c>
      <c r="V17" s="2" t="s">
        <v>1112</v>
      </c>
      <c r="W17" s="2" t="s">
        <v>1112</v>
      </c>
      <c r="X17" s="2">
        <v>2707000</v>
      </c>
      <c r="Y17" s="2">
        <v>2</v>
      </c>
      <c r="Z17" s="2">
        <v>54140</v>
      </c>
      <c r="AA17" s="2"/>
      <c r="AB17" s="2"/>
      <c r="AC17" s="2" t="s">
        <v>1</v>
      </c>
      <c r="AD17" s="2">
        <v>1141072848</v>
      </c>
      <c r="AE17" s="2">
        <v>45722</v>
      </c>
      <c r="AF17" s="2" t="s">
        <v>1113</v>
      </c>
      <c r="AG17" s="2">
        <v>0</v>
      </c>
      <c r="AH17" s="2">
        <v>54140</v>
      </c>
      <c r="AI17" s="3">
        <v>0</v>
      </c>
      <c r="AJ17" s="1"/>
      <c r="AK17" s="2" t="s">
        <v>233</v>
      </c>
      <c r="AL17" s="4">
        <v>54140</v>
      </c>
      <c r="AM17" s="5">
        <v>0</v>
      </c>
      <c r="AN17" s="2" t="s">
        <v>6</v>
      </c>
    </row>
    <row r="18" spans="1:40" x14ac:dyDescent="0.2">
      <c r="A18" s="7">
        <v>17</v>
      </c>
      <c r="B18" s="2" t="s">
        <v>1104</v>
      </c>
      <c r="C18" s="2" t="s">
        <v>1165</v>
      </c>
      <c r="D18" s="2">
        <v>45658</v>
      </c>
      <c r="E18" s="2" t="s">
        <v>1106</v>
      </c>
      <c r="F18" s="2" t="s">
        <v>45</v>
      </c>
      <c r="G18" s="2">
        <v>45672</v>
      </c>
      <c r="H18" s="2">
        <v>46036</v>
      </c>
      <c r="I18" s="2" t="s">
        <v>1166</v>
      </c>
      <c r="J18" s="2">
        <v>3520224892035</v>
      </c>
      <c r="K18" s="2" t="s">
        <v>46</v>
      </c>
      <c r="L18" s="2" t="s">
        <v>1108</v>
      </c>
      <c r="M18" s="2" t="s">
        <v>47</v>
      </c>
      <c r="N18" s="2" t="s">
        <v>48</v>
      </c>
      <c r="O18" s="2" t="s">
        <v>1165</v>
      </c>
      <c r="P18" s="2" t="s">
        <v>1109</v>
      </c>
      <c r="Q18" s="2" t="s">
        <v>1116</v>
      </c>
      <c r="R18" s="2" t="s">
        <v>1167</v>
      </c>
      <c r="S18" s="2">
        <v>45673</v>
      </c>
      <c r="T18" s="2">
        <v>46788</v>
      </c>
      <c r="U18" s="2">
        <v>4719000</v>
      </c>
      <c r="V18" s="2" t="s">
        <v>1112</v>
      </c>
      <c r="W18" s="2" t="s">
        <v>1112</v>
      </c>
      <c r="X18" s="2">
        <v>4719000</v>
      </c>
      <c r="Y18" s="2">
        <v>1.5</v>
      </c>
      <c r="Z18" s="2">
        <v>70785</v>
      </c>
      <c r="AA18" s="2"/>
      <c r="AB18" s="2"/>
      <c r="AC18" s="2" t="s">
        <v>1</v>
      </c>
      <c r="AD18" s="2">
        <v>1141072848</v>
      </c>
      <c r="AE18" s="2">
        <v>45722</v>
      </c>
      <c r="AF18" s="2" t="s">
        <v>1113</v>
      </c>
      <c r="AG18" s="2">
        <v>0</v>
      </c>
      <c r="AH18" s="2">
        <v>70785</v>
      </c>
      <c r="AI18" s="3">
        <v>0</v>
      </c>
      <c r="AJ18" s="1"/>
      <c r="AK18" s="2" t="s">
        <v>45</v>
      </c>
      <c r="AL18" s="4">
        <v>70785</v>
      </c>
      <c r="AM18" s="5">
        <v>0</v>
      </c>
      <c r="AN18" s="2" t="s">
        <v>6</v>
      </c>
    </row>
    <row r="19" spans="1:40" x14ac:dyDescent="0.2">
      <c r="A19" s="7">
        <v>18</v>
      </c>
      <c r="B19" s="2" t="s">
        <v>1104</v>
      </c>
      <c r="C19" s="2" t="s">
        <v>1168</v>
      </c>
      <c r="D19" s="2">
        <v>45658</v>
      </c>
      <c r="E19" s="2" t="s">
        <v>1106</v>
      </c>
      <c r="F19" s="2" t="s">
        <v>118</v>
      </c>
      <c r="G19" s="2">
        <v>45681</v>
      </c>
      <c r="H19" s="2">
        <v>46045</v>
      </c>
      <c r="I19" s="2" t="s">
        <v>1169</v>
      </c>
      <c r="J19" s="2">
        <v>3520278934135</v>
      </c>
      <c r="K19" s="2" t="s">
        <v>42</v>
      </c>
      <c r="L19" s="2" t="s">
        <v>1108</v>
      </c>
      <c r="M19" s="2" t="s">
        <v>119</v>
      </c>
      <c r="N19" s="2" t="s">
        <v>120</v>
      </c>
      <c r="O19" s="2" t="s">
        <v>1168</v>
      </c>
      <c r="P19" s="2" t="s">
        <v>1109</v>
      </c>
      <c r="Q19" s="2" t="s">
        <v>1116</v>
      </c>
      <c r="R19" s="2" t="s">
        <v>1170</v>
      </c>
      <c r="S19" s="2">
        <v>45686</v>
      </c>
      <c r="T19" s="2">
        <v>47519</v>
      </c>
      <c r="U19" s="2">
        <v>2799000</v>
      </c>
      <c r="V19" s="2" t="s">
        <v>1112</v>
      </c>
      <c r="W19" s="2" t="s">
        <v>1112</v>
      </c>
      <c r="X19" s="2">
        <v>2799000</v>
      </c>
      <c r="Y19" s="2">
        <v>2</v>
      </c>
      <c r="Z19" s="2">
        <v>55980</v>
      </c>
      <c r="AA19" s="2"/>
      <c r="AB19" s="2"/>
      <c r="AC19" s="2" t="s">
        <v>1</v>
      </c>
      <c r="AD19" s="2">
        <v>1141072848</v>
      </c>
      <c r="AE19" s="2">
        <v>45722</v>
      </c>
      <c r="AF19" s="2" t="s">
        <v>1113</v>
      </c>
      <c r="AG19" s="2">
        <v>0</v>
      </c>
      <c r="AH19" s="2">
        <v>55980</v>
      </c>
      <c r="AI19" s="3">
        <v>0</v>
      </c>
      <c r="AJ19" s="1"/>
      <c r="AK19" s="2" t="s">
        <v>118</v>
      </c>
      <c r="AL19" s="4">
        <v>55980</v>
      </c>
      <c r="AM19" s="5">
        <v>0</v>
      </c>
      <c r="AN19" s="2" t="s">
        <v>6</v>
      </c>
    </row>
    <row r="20" spans="1:40" x14ac:dyDescent="0.2">
      <c r="A20" s="7">
        <v>19</v>
      </c>
      <c r="B20" s="2" t="s">
        <v>1104</v>
      </c>
      <c r="C20" s="2" t="s">
        <v>1171</v>
      </c>
      <c r="D20" s="2">
        <v>45658</v>
      </c>
      <c r="E20" s="2" t="s">
        <v>1106</v>
      </c>
      <c r="F20" s="2" t="s">
        <v>114</v>
      </c>
      <c r="G20" s="2">
        <v>45666</v>
      </c>
      <c r="H20" s="2">
        <v>46030</v>
      </c>
      <c r="I20" s="2" t="s">
        <v>1172</v>
      </c>
      <c r="J20" s="2">
        <v>3310007023373</v>
      </c>
      <c r="K20" s="2" t="s">
        <v>115</v>
      </c>
      <c r="L20" s="2" t="s">
        <v>1108</v>
      </c>
      <c r="M20" s="2" t="s">
        <v>116</v>
      </c>
      <c r="N20" s="2" t="s">
        <v>117</v>
      </c>
      <c r="O20" s="2" t="s">
        <v>1171</v>
      </c>
      <c r="P20" s="2" t="s">
        <v>1109</v>
      </c>
      <c r="Q20" s="2" t="s">
        <v>1116</v>
      </c>
      <c r="R20" s="2" t="s">
        <v>1173</v>
      </c>
      <c r="S20" s="2">
        <v>45667</v>
      </c>
      <c r="T20" s="2">
        <v>46757</v>
      </c>
      <c r="U20" s="2">
        <v>4719000</v>
      </c>
      <c r="V20" s="2" t="s">
        <v>1112</v>
      </c>
      <c r="W20" s="2" t="s">
        <v>1112</v>
      </c>
      <c r="X20" s="2">
        <v>4719000</v>
      </c>
      <c r="Y20" s="2">
        <v>1.5</v>
      </c>
      <c r="Z20" s="2">
        <v>70785</v>
      </c>
      <c r="AA20" s="2"/>
      <c r="AB20" s="2"/>
      <c r="AC20" s="2" t="s">
        <v>1</v>
      </c>
      <c r="AD20" s="2">
        <v>1141072848</v>
      </c>
      <c r="AE20" s="2">
        <v>45722</v>
      </c>
      <c r="AF20" s="2" t="s">
        <v>1113</v>
      </c>
      <c r="AG20" s="2">
        <v>0</v>
      </c>
      <c r="AH20" s="2">
        <v>70785</v>
      </c>
      <c r="AI20" s="3">
        <v>0</v>
      </c>
      <c r="AJ20" s="1"/>
      <c r="AK20" s="2" t="s">
        <v>114</v>
      </c>
      <c r="AL20" s="4">
        <v>70785</v>
      </c>
      <c r="AM20" s="5">
        <v>0</v>
      </c>
      <c r="AN20" s="2" t="s">
        <v>6</v>
      </c>
    </row>
    <row r="21" spans="1:40" x14ac:dyDescent="0.2">
      <c r="A21" s="7">
        <v>20</v>
      </c>
      <c r="B21" s="2" t="s">
        <v>1104</v>
      </c>
      <c r="C21" s="2" t="s">
        <v>1174</v>
      </c>
      <c r="D21" s="2">
        <v>45658</v>
      </c>
      <c r="E21" s="2" t="s">
        <v>1106</v>
      </c>
      <c r="F21" s="2" t="s">
        <v>121</v>
      </c>
      <c r="G21" s="2">
        <v>45681</v>
      </c>
      <c r="H21" s="2">
        <v>46045</v>
      </c>
      <c r="I21" s="2" t="s">
        <v>1175</v>
      </c>
      <c r="J21" s="2">
        <v>6110117815033</v>
      </c>
      <c r="K21" s="2" t="s">
        <v>28</v>
      </c>
      <c r="L21" s="2" t="s">
        <v>122</v>
      </c>
      <c r="M21" s="2" t="s">
        <v>123</v>
      </c>
      <c r="N21" s="2" t="s">
        <v>124</v>
      </c>
      <c r="O21" s="2" t="s">
        <v>1174</v>
      </c>
      <c r="P21" s="2" t="s">
        <v>1109</v>
      </c>
      <c r="Q21" s="2" t="s">
        <v>1110</v>
      </c>
      <c r="R21" s="2" t="s">
        <v>1176</v>
      </c>
      <c r="S21" s="2">
        <v>45687</v>
      </c>
      <c r="T21" s="2">
        <v>46788</v>
      </c>
      <c r="U21" s="2">
        <v>5600000</v>
      </c>
      <c r="V21" s="2" t="s">
        <v>1112</v>
      </c>
      <c r="W21" s="2" t="s">
        <v>1112</v>
      </c>
      <c r="X21" s="2">
        <v>5600000</v>
      </c>
      <c r="Y21" s="2">
        <v>1.5</v>
      </c>
      <c r="Z21" s="2">
        <v>84000</v>
      </c>
      <c r="AA21" s="2"/>
      <c r="AB21" s="2"/>
      <c r="AC21" s="2" t="s">
        <v>1</v>
      </c>
      <c r="AD21" s="2">
        <v>1141072848</v>
      </c>
      <c r="AE21" s="2">
        <v>45722</v>
      </c>
      <c r="AF21" s="2" t="s">
        <v>1113</v>
      </c>
      <c r="AG21" s="2">
        <v>0</v>
      </c>
      <c r="AH21" s="2">
        <v>84000</v>
      </c>
      <c r="AI21" s="3">
        <v>0</v>
      </c>
      <c r="AJ21" s="1"/>
      <c r="AK21" s="2" t="s">
        <v>121</v>
      </c>
      <c r="AL21" s="4">
        <v>84000</v>
      </c>
      <c r="AM21" s="5">
        <v>0</v>
      </c>
      <c r="AN21" s="2" t="s">
        <v>6</v>
      </c>
    </row>
    <row r="22" spans="1:40" x14ac:dyDescent="0.2">
      <c r="A22" s="7">
        <v>21</v>
      </c>
      <c r="B22" s="2" t="s">
        <v>1104</v>
      </c>
      <c r="C22" s="2" t="s">
        <v>1177</v>
      </c>
      <c r="D22" s="2">
        <v>45658</v>
      </c>
      <c r="E22" s="2" t="s">
        <v>1106</v>
      </c>
      <c r="F22" s="2" t="s">
        <v>1032</v>
      </c>
      <c r="G22" s="2">
        <v>45672</v>
      </c>
      <c r="H22" s="2">
        <v>46036</v>
      </c>
      <c r="I22" s="2" t="s">
        <v>1178</v>
      </c>
      <c r="J22" s="2">
        <v>4250107176711</v>
      </c>
      <c r="K22" s="2" t="s">
        <v>29</v>
      </c>
      <c r="L22" s="2" t="s">
        <v>1108</v>
      </c>
      <c r="M22" s="2" t="s">
        <v>1033</v>
      </c>
      <c r="N22" s="2" t="s">
        <v>1034</v>
      </c>
      <c r="O22" s="2" t="s">
        <v>1177</v>
      </c>
      <c r="P22" s="2" t="s">
        <v>1143</v>
      </c>
      <c r="Q22" s="2" t="s">
        <v>1144</v>
      </c>
      <c r="R22" s="2" t="s">
        <v>1179</v>
      </c>
      <c r="S22" s="2">
        <v>45674</v>
      </c>
      <c r="T22" s="2">
        <v>46423</v>
      </c>
      <c r="U22" s="2">
        <v>1856000</v>
      </c>
      <c r="V22" s="2" t="s">
        <v>1112</v>
      </c>
      <c r="W22" s="2" t="s">
        <v>1112</v>
      </c>
      <c r="X22" s="2">
        <v>1856000</v>
      </c>
      <c r="Y22" s="2">
        <v>2</v>
      </c>
      <c r="Z22" s="2">
        <v>37120</v>
      </c>
      <c r="AA22" s="2"/>
      <c r="AB22" s="2"/>
      <c r="AC22" s="2" t="s">
        <v>1</v>
      </c>
      <c r="AD22" s="2">
        <v>1141072848</v>
      </c>
      <c r="AE22" s="2">
        <v>45722</v>
      </c>
      <c r="AF22" s="2" t="s">
        <v>1113</v>
      </c>
      <c r="AG22" s="2">
        <v>0</v>
      </c>
      <c r="AH22" s="2">
        <v>37120</v>
      </c>
      <c r="AI22" s="3">
        <v>0</v>
      </c>
      <c r="AJ22" s="1"/>
      <c r="AK22" s="2" t="s">
        <v>1032</v>
      </c>
      <c r="AL22" s="4">
        <v>37120</v>
      </c>
      <c r="AM22" s="5">
        <v>0</v>
      </c>
      <c r="AN22" s="2" t="s">
        <v>6</v>
      </c>
    </row>
    <row r="23" spans="1:40" x14ac:dyDescent="0.2">
      <c r="A23" s="7">
        <v>22</v>
      </c>
      <c r="B23" s="2" t="s">
        <v>1104</v>
      </c>
      <c r="C23" s="2" t="s">
        <v>1180</v>
      </c>
      <c r="D23" s="2">
        <v>45658</v>
      </c>
      <c r="E23" s="2" t="s">
        <v>1106</v>
      </c>
      <c r="F23" s="2" t="s">
        <v>1035</v>
      </c>
      <c r="G23" s="2">
        <v>45673</v>
      </c>
      <c r="H23" s="2">
        <v>46037</v>
      </c>
      <c r="I23" s="2" t="s">
        <v>1178</v>
      </c>
      <c r="J23" s="2">
        <v>4250107176711</v>
      </c>
      <c r="K23" s="2" t="s">
        <v>29</v>
      </c>
      <c r="L23" s="2" t="s">
        <v>1108</v>
      </c>
      <c r="M23" s="2" t="s">
        <v>1036</v>
      </c>
      <c r="N23" s="2" t="s">
        <v>1037</v>
      </c>
      <c r="O23" s="2" t="s">
        <v>1180</v>
      </c>
      <c r="P23" s="2" t="s">
        <v>1143</v>
      </c>
      <c r="Q23" s="2" t="s">
        <v>1144</v>
      </c>
      <c r="R23" s="2" t="s">
        <v>1179</v>
      </c>
      <c r="S23" s="2">
        <v>45686</v>
      </c>
      <c r="T23" s="2">
        <v>46423</v>
      </c>
      <c r="U23" s="2">
        <v>1856000</v>
      </c>
      <c r="V23" s="2" t="s">
        <v>1112</v>
      </c>
      <c r="W23" s="2" t="s">
        <v>1112</v>
      </c>
      <c r="X23" s="2">
        <v>1856000</v>
      </c>
      <c r="Y23" s="2">
        <v>2</v>
      </c>
      <c r="Z23" s="2">
        <v>37120</v>
      </c>
      <c r="AA23" s="2"/>
      <c r="AB23" s="2"/>
      <c r="AC23" s="2" t="s">
        <v>1</v>
      </c>
      <c r="AD23" s="2">
        <v>1141072848</v>
      </c>
      <c r="AE23" s="2">
        <v>45722</v>
      </c>
      <c r="AF23" s="2" t="s">
        <v>1113</v>
      </c>
      <c r="AG23" s="2">
        <v>0</v>
      </c>
      <c r="AH23" s="2">
        <v>37120</v>
      </c>
      <c r="AI23" s="3">
        <v>0</v>
      </c>
      <c r="AJ23" s="1"/>
      <c r="AK23" s="2" t="s">
        <v>1035</v>
      </c>
      <c r="AL23" s="4">
        <v>37120</v>
      </c>
      <c r="AM23" s="5">
        <v>0</v>
      </c>
      <c r="AN23" s="2" t="s">
        <v>6</v>
      </c>
    </row>
    <row r="24" spans="1:40" x14ac:dyDescent="0.2">
      <c r="A24" s="7">
        <v>23</v>
      </c>
      <c r="B24" s="2" t="s">
        <v>1104</v>
      </c>
      <c r="C24" s="2" t="s">
        <v>1181</v>
      </c>
      <c r="D24" s="2">
        <v>45658</v>
      </c>
      <c r="E24" s="2" t="s">
        <v>1106</v>
      </c>
      <c r="F24" s="2" t="s">
        <v>66</v>
      </c>
      <c r="G24" s="2">
        <v>45677</v>
      </c>
      <c r="H24" s="2">
        <v>46041</v>
      </c>
      <c r="I24" s="2" t="s">
        <v>1182</v>
      </c>
      <c r="J24" s="2">
        <v>1350310525897</v>
      </c>
      <c r="K24" s="2" t="s">
        <v>5</v>
      </c>
      <c r="L24" s="2" t="s">
        <v>67</v>
      </c>
      <c r="M24" s="2" t="s">
        <v>68</v>
      </c>
      <c r="N24" s="2" t="s">
        <v>69</v>
      </c>
      <c r="O24" s="2" t="s">
        <v>1181</v>
      </c>
      <c r="P24" s="2" t="s">
        <v>1143</v>
      </c>
      <c r="Q24" s="2" t="s">
        <v>1144</v>
      </c>
      <c r="R24" s="2" t="s">
        <v>1183</v>
      </c>
      <c r="S24" s="2">
        <v>45684</v>
      </c>
      <c r="T24" s="2">
        <v>47519</v>
      </c>
      <c r="U24" s="2">
        <v>2450000</v>
      </c>
      <c r="V24" s="2" t="s">
        <v>1112</v>
      </c>
      <c r="W24" s="2" t="s">
        <v>1112</v>
      </c>
      <c r="X24" s="2">
        <v>2450000</v>
      </c>
      <c r="Y24" s="2">
        <v>2</v>
      </c>
      <c r="Z24" s="2">
        <v>49000</v>
      </c>
      <c r="AA24" s="2"/>
      <c r="AB24" s="2"/>
      <c r="AC24" s="2" t="s">
        <v>1</v>
      </c>
      <c r="AD24" s="2">
        <v>1141072848</v>
      </c>
      <c r="AE24" s="2">
        <v>45722</v>
      </c>
      <c r="AF24" s="2" t="s">
        <v>1113</v>
      </c>
      <c r="AG24" s="2">
        <v>0</v>
      </c>
      <c r="AH24" s="2">
        <v>49000</v>
      </c>
      <c r="AI24" s="3">
        <v>0</v>
      </c>
      <c r="AJ24" s="1"/>
      <c r="AK24" s="2" t="s">
        <v>66</v>
      </c>
      <c r="AL24" s="4">
        <v>49000</v>
      </c>
      <c r="AM24" s="5">
        <v>0</v>
      </c>
      <c r="AN24" s="2" t="s">
        <v>6</v>
      </c>
    </row>
    <row r="25" spans="1:40" x14ac:dyDescent="0.2">
      <c r="A25" s="7">
        <v>24</v>
      </c>
      <c r="B25" s="2" t="s">
        <v>1104</v>
      </c>
      <c r="C25" s="2" t="s">
        <v>1184</v>
      </c>
      <c r="D25" s="2">
        <v>45658</v>
      </c>
      <c r="E25" s="2" t="s">
        <v>1106</v>
      </c>
      <c r="F25" s="2" t="s">
        <v>63</v>
      </c>
      <c r="G25" s="2">
        <v>45674</v>
      </c>
      <c r="H25" s="2">
        <v>46038</v>
      </c>
      <c r="I25" s="2" t="s">
        <v>1185</v>
      </c>
      <c r="J25" s="2">
        <v>3740209769535</v>
      </c>
      <c r="K25" s="2" t="s">
        <v>5</v>
      </c>
      <c r="L25" s="2" t="s">
        <v>1108</v>
      </c>
      <c r="M25" s="2" t="s">
        <v>64</v>
      </c>
      <c r="N25" s="2" t="s">
        <v>65</v>
      </c>
      <c r="O25" s="2" t="s">
        <v>1184</v>
      </c>
      <c r="P25" s="2" t="s">
        <v>1109</v>
      </c>
      <c r="Q25" s="2" t="s">
        <v>1129</v>
      </c>
      <c r="R25" s="2" t="s">
        <v>1186</v>
      </c>
      <c r="S25" s="2">
        <v>45685</v>
      </c>
      <c r="T25" s="2">
        <v>46788</v>
      </c>
      <c r="U25" s="2">
        <v>2707000</v>
      </c>
      <c r="V25" s="2" t="s">
        <v>1112</v>
      </c>
      <c r="W25" s="2" t="s">
        <v>1112</v>
      </c>
      <c r="X25" s="2">
        <v>2707000</v>
      </c>
      <c r="Y25" s="2">
        <v>2</v>
      </c>
      <c r="Z25" s="2">
        <v>54140</v>
      </c>
      <c r="AA25" s="2"/>
      <c r="AB25" s="2"/>
      <c r="AC25" s="2" t="s">
        <v>1</v>
      </c>
      <c r="AD25" s="2">
        <v>1141072848</v>
      </c>
      <c r="AE25" s="2">
        <v>45722</v>
      </c>
      <c r="AF25" s="2" t="s">
        <v>1113</v>
      </c>
      <c r="AG25" s="2">
        <v>0</v>
      </c>
      <c r="AH25" s="2">
        <v>54140</v>
      </c>
      <c r="AI25" s="3">
        <v>0</v>
      </c>
      <c r="AJ25" s="1"/>
      <c r="AK25" s="2" t="s">
        <v>63</v>
      </c>
      <c r="AL25" s="4">
        <v>54140</v>
      </c>
      <c r="AM25" s="5">
        <v>0</v>
      </c>
      <c r="AN25" s="2" t="s">
        <v>6</v>
      </c>
    </row>
    <row r="26" spans="1:40" x14ac:dyDescent="0.2">
      <c r="A26" s="7">
        <v>25</v>
      </c>
      <c r="B26" s="2" t="s">
        <v>1104</v>
      </c>
      <c r="C26" s="2" t="s">
        <v>1187</v>
      </c>
      <c r="D26" s="2">
        <v>45658</v>
      </c>
      <c r="E26" s="2" t="s">
        <v>1106</v>
      </c>
      <c r="F26" s="2" t="s">
        <v>148</v>
      </c>
      <c r="G26" s="2">
        <v>45685</v>
      </c>
      <c r="H26" s="2">
        <v>46049</v>
      </c>
      <c r="I26" s="2" t="s">
        <v>1188</v>
      </c>
      <c r="J26" s="2">
        <v>3310010166423</v>
      </c>
      <c r="K26" s="2" t="s">
        <v>13</v>
      </c>
      <c r="L26" s="2" t="s">
        <v>149</v>
      </c>
      <c r="M26" s="2" t="s">
        <v>150</v>
      </c>
      <c r="N26" s="2" t="s">
        <v>151</v>
      </c>
      <c r="O26" s="2" t="s">
        <v>1187</v>
      </c>
      <c r="P26" s="2" t="s">
        <v>1109</v>
      </c>
      <c r="Q26" s="2" t="s">
        <v>1129</v>
      </c>
      <c r="R26" s="2" t="s">
        <v>1189</v>
      </c>
      <c r="S26" s="2">
        <v>45688</v>
      </c>
      <c r="T26" s="2">
        <v>46788</v>
      </c>
      <c r="U26" s="2">
        <v>3500000</v>
      </c>
      <c r="V26" s="2" t="s">
        <v>1112</v>
      </c>
      <c r="W26" s="2" t="s">
        <v>1112</v>
      </c>
      <c r="X26" s="2">
        <v>3500000</v>
      </c>
      <c r="Y26" s="2">
        <v>1.5</v>
      </c>
      <c r="Z26" s="2">
        <v>52500</v>
      </c>
      <c r="AA26" s="2"/>
      <c r="AB26" s="2"/>
      <c r="AC26" s="2" t="s">
        <v>1</v>
      </c>
      <c r="AD26" s="2">
        <v>1141072848</v>
      </c>
      <c r="AE26" s="2">
        <v>45722</v>
      </c>
      <c r="AF26" s="2" t="s">
        <v>1113</v>
      </c>
      <c r="AG26" s="2">
        <v>0</v>
      </c>
      <c r="AH26" s="2">
        <v>52500</v>
      </c>
      <c r="AI26" s="3">
        <v>0</v>
      </c>
      <c r="AJ26" s="1"/>
      <c r="AK26" s="2" t="s">
        <v>148</v>
      </c>
      <c r="AL26" s="4">
        <v>52500</v>
      </c>
      <c r="AM26" s="5">
        <v>0</v>
      </c>
      <c r="AN26" s="2" t="s">
        <v>6</v>
      </c>
    </row>
    <row r="27" spans="1:40" x14ac:dyDescent="0.2">
      <c r="A27" s="7">
        <v>26</v>
      </c>
      <c r="B27" s="2" t="s">
        <v>1104</v>
      </c>
      <c r="C27" s="2" t="s">
        <v>1190</v>
      </c>
      <c r="D27" s="2">
        <v>45658</v>
      </c>
      <c r="E27" s="2" t="s">
        <v>1106</v>
      </c>
      <c r="F27" s="2" t="s">
        <v>83</v>
      </c>
      <c r="G27" s="2">
        <v>45678</v>
      </c>
      <c r="H27" s="2">
        <v>46042</v>
      </c>
      <c r="I27" s="2" t="s">
        <v>1191</v>
      </c>
      <c r="J27" s="2">
        <v>3310004908327</v>
      </c>
      <c r="K27" s="2" t="s">
        <v>14</v>
      </c>
      <c r="L27" s="2" t="s">
        <v>84</v>
      </c>
      <c r="M27" s="2" t="s">
        <v>85</v>
      </c>
      <c r="N27" s="2" t="s">
        <v>86</v>
      </c>
      <c r="O27" s="2" t="s">
        <v>1190</v>
      </c>
      <c r="P27" s="2" t="s">
        <v>1109</v>
      </c>
      <c r="Q27" s="2" t="s">
        <v>1129</v>
      </c>
      <c r="R27" s="2" t="s">
        <v>1192</v>
      </c>
      <c r="S27" s="2">
        <v>45685</v>
      </c>
      <c r="T27" s="2">
        <v>47519</v>
      </c>
      <c r="U27" s="2">
        <v>2700000</v>
      </c>
      <c r="V27" s="2" t="s">
        <v>1112</v>
      </c>
      <c r="W27" s="2" t="s">
        <v>1112</v>
      </c>
      <c r="X27" s="2">
        <v>2700000</v>
      </c>
      <c r="Y27" s="2">
        <v>2</v>
      </c>
      <c r="Z27" s="2">
        <v>54000</v>
      </c>
      <c r="AA27" s="2"/>
      <c r="AB27" s="2"/>
      <c r="AC27" s="2" t="s">
        <v>1</v>
      </c>
      <c r="AD27" s="2">
        <v>1141072848</v>
      </c>
      <c r="AE27" s="2">
        <v>45722</v>
      </c>
      <c r="AF27" s="2" t="s">
        <v>1113</v>
      </c>
      <c r="AG27" s="2">
        <v>0</v>
      </c>
      <c r="AH27" s="2">
        <v>54000</v>
      </c>
      <c r="AI27" s="3">
        <v>0</v>
      </c>
      <c r="AJ27" s="1"/>
      <c r="AK27" s="2" t="s">
        <v>83</v>
      </c>
      <c r="AL27" s="4">
        <v>54000</v>
      </c>
      <c r="AM27" s="5">
        <v>0</v>
      </c>
      <c r="AN27" s="2" t="s">
        <v>6</v>
      </c>
    </row>
    <row r="28" spans="1:40" x14ac:dyDescent="0.2">
      <c r="A28" s="7">
        <v>27</v>
      </c>
      <c r="B28" s="2" t="s">
        <v>1104</v>
      </c>
      <c r="C28" s="2" t="s">
        <v>1193</v>
      </c>
      <c r="D28" s="2">
        <v>45658</v>
      </c>
      <c r="E28" s="2" t="s">
        <v>1106</v>
      </c>
      <c r="F28" s="2" t="s">
        <v>59</v>
      </c>
      <c r="G28" s="2">
        <v>45674</v>
      </c>
      <c r="H28" s="2">
        <v>46038</v>
      </c>
      <c r="I28" s="2" t="s">
        <v>1194</v>
      </c>
      <c r="J28" s="2">
        <v>4220191667720</v>
      </c>
      <c r="K28" s="2" t="s">
        <v>5</v>
      </c>
      <c r="L28" s="2" t="s">
        <v>60</v>
      </c>
      <c r="M28" s="2" t="s">
        <v>61</v>
      </c>
      <c r="N28" s="2" t="s">
        <v>62</v>
      </c>
      <c r="O28" s="2" t="s">
        <v>1193</v>
      </c>
      <c r="P28" s="2" t="s">
        <v>1143</v>
      </c>
      <c r="Q28" s="2" t="s">
        <v>1144</v>
      </c>
      <c r="R28" s="2" t="s">
        <v>1195</v>
      </c>
      <c r="S28" s="2">
        <v>45679</v>
      </c>
      <c r="T28" s="2">
        <v>47519</v>
      </c>
      <c r="U28" s="2">
        <v>2200000</v>
      </c>
      <c r="V28" s="2" t="s">
        <v>1112</v>
      </c>
      <c r="W28" s="2" t="s">
        <v>1112</v>
      </c>
      <c r="X28" s="2">
        <v>2200000</v>
      </c>
      <c r="Y28" s="2">
        <v>2</v>
      </c>
      <c r="Z28" s="2">
        <v>44000</v>
      </c>
      <c r="AA28" s="2"/>
      <c r="AB28" s="2"/>
      <c r="AC28" s="2" t="s">
        <v>1</v>
      </c>
      <c r="AD28" s="2">
        <v>1141072848</v>
      </c>
      <c r="AE28" s="2">
        <v>45722</v>
      </c>
      <c r="AF28" s="2" t="s">
        <v>1113</v>
      </c>
      <c r="AG28" s="2">
        <v>0</v>
      </c>
      <c r="AH28" s="2">
        <v>44000</v>
      </c>
      <c r="AI28" s="3">
        <v>0</v>
      </c>
      <c r="AJ28" s="1"/>
      <c r="AK28" s="2" t="s">
        <v>59</v>
      </c>
      <c r="AL28" s="4">
        <v>44000</v>
      </c>
      <c r="AM28" s="5">
        <v>0</v>
      </c>
      <c r="AN28" s="2" t="s">
        <v>6</v>
      </c>
    </row>
    <row r="29" spans="1:40" x14ac:dyDescent="0.2">
      <c r="A29" s="7">
        <v>28</v>
      </c>
      <c r="B29" s="2" t="s">
        <v>1104</v>
      </c>
      <c r="C29" s="2" t="s">
        <v>1196</v>
      </c>
      <c r="D29" s="2">
        <v>45658</v>
      </c>
      <c r="E29" s="2" t="s">
        <v>1106</v>
      </c>
      <c r="F29" s="2" t="s">
        <v>217</v>
      </c>
      <c r="G29" s="2">
        <v>45688</v>
      </c>
      <c r="H29" s="2">
        <v>46052</v>
      </c>
      <c r="I29" s="2" t="s">
        <v>1197</v>
      </c>
      <c r="J29" s="2">
        <v>3310044039339</v>
      </c>
      <c r="K29" s="2" t="s">
        <v>3</v>
      </c>
      <c r="L29" s="2" t="s">
        <v>218</v>
      </c>
      <c r="M29" s="2" t="s">
        <v>219</v>
      </c>
      <c r="N29" s="2" t="s">
        <v>220</v>
      </c>
      <c r="O29" s="2" t="s">
        <v>1196</v>
      </c>
      <c r="P29" s="2" t="s">
        <v>1109</v>
      </c>
      <c r="Q29" s="2" t="s">
        <v>1129</v>
      </c>
      <c r="R29" s="2" t="s">
        <v>1198</v>
      </c>
      <c r="S29" s="2">
        <v>45692</v>
      </c>
      <c r="T29" s="2">
        <v>46788</v>
      </c>
      <c r="U29" s="2">
        <v>3200000</v>
      </c>
      <c r="V29" s="2" t="s">
        <v>1112</v>
      </c>
      <c r="W29" s="2" t="s">
        <v>1112</v>
      </c>
      <c r="X29" s="2">
        <v>3200000</v>
      </c>
      <c r="Y29" s="2">
        <v>2</v>
      </c>
      <c r="Z29" s="2">
        <v>64000</v>
      </c>
      <c r="AA29" s="2"/>
      <c r="AB29" s="2"/>
      <c r="AC29" s="2" t="s">
        <v>1</v>
      </c>
      <c r="AD29" s="2">
        <v>1141072848</v>
      </c>
      <c r="AE29" s="2">
        <v>45722</v>
      </c>
      <c r="AF29" s="2" t="s">
        <v>1113</v>
      </c>
      <c r="AG29" s="2">
        <v>0</v>
      </c>
      <c r="AH29" s="2">
        <v>64000</v>
      </c>
      <c r="AI29" s="3">
        <v>0</v>
      </c>
      <c r="AJ29" s="1"/>
      <c r="AK29" s="2" t="s">
        <v>217</v>
      </c>
      <c r="AL29" s="4">
        <v>64000</v>
      </c>
      <c r="AM29" s="5">
        <v>0</v>
      </c>
      <c r="AN29" s="2" t="s">
        <v>6</v>
      </c>
    </row>
    <row r="30" spans="1:40" x14ac:dyDescent="0.2">
      <c r="A30" s="7">
        <v>29</v>
      </c>
      <c r="B30" s="2" t="s">
        <v>1104</v>
      </c>
      <c r="C30" s="2" t="s">
        <v>1199</v>
      </c>
      <c r="D30" s="2">
        <v>45658</v>
      </c>
      <c r="E30" s="2" t="s">
        <v>1106</v>
      </c>
      <c r="F30" s="2" t="s">
        <v>49</v>
      </c>
      <c r="G30" s="2">
        <v>45673</v>
      </c>
      <c r="H30" s="2">
        <v>46037</v>
      </c>
      <c r="I30" s="2" t="s">
        <v>1200</v>
      </c>
      <c r="J30" s="2">
        <v>3520130266907</v>
      </c>
      <c r="K30" s="2" t="s">
        <v>9</v>
      </c>
      <c r="L30" s="2" t="s">
        <v>1108</v>
      </c>
      <c r="M30" s="2" t="s">
        <v>50</v>
      </c>
      <c r="N30" s="2" t="s">
        <v>51</v>
      </c>
      <c r="O30" s="2" t="s">
        <v>1199</v>
      </c>
      <c r="P30" s="2" t="s">
        <v>1109</v>
      </c>
      <c r="Q30" s="2" t="s">
        <v>1116</v>
      </c>
      <c r="R30" s="2" t="s">
        <v>1201</v>
      </c>
      <c r="S30" s="2">
        <v>45678</v>
      </c>
      <c r="T30" s="2">
        <v>47519</v>
      </c>
      <c r="U30" s="2">
        <v>3045000</v>
      </c>
      <c r="V30" s="2" t="s">
        <v>1112</v>
      </c>
      <c r="W30" s="2" t="s">
        <v>1112</v>
      </c>
      <c r="X30" s="2">
        <v>3045000</v>
      </c>
      <c r="Y30" s="2">
        <v>2</v>
      </c>
      <c r="Z30" s="2">
        <v>60900</v>
      </c>
      <c r="AA30" s="2"/>
      <c r="AB30" s="2"/>
      <c r="AC30" s="2" t="s">
        <v>1</v>
      </c>
      <c r="AD30" s="2">
        <v>1141072848</v>
      </c>
      <c r="AE30" s="2">
        <v>45722</v>
      </c>
      <c r="AF30" s="2" t="s">
        <v>1113</v>
      </c>
      <c r="AG30" s="2">
        <v>0</v>
      </c>
      <c r="AH30" s="2">
        <v>60900</v>
      </c>
      <c r="AI30" s="3">
        <v>0</v>
      </c>
      <c r="AJ30" s="1"/>
      <c r="AK30" s="2" t="s">
        <v>49</v>
      </c>
      <c r="AL30" s="4">
        <v>60900</v>
      </c>
      <c r="AM30" s="5">
        <v>0</v>
      </c>
      <c r="AN30" s="2" t="s">
        <v>6</v>
      </c>
    </row>
    <row r="31" spans="1:40" x14ac:dyDescent="0.2">
      <c r="A31" s="7">
        <v>30</v>
      </c>
      <c r="B31" s="2" t="s">
        <v>1104</v>
      </c>
      <c r="C31" s="2" t="s">
        <v>1202</v>
      </c>
      <c r="D31" s="2">
        <v>45658</v>
      </c>
      <c r="E31" s="2" t="s">
        <v>1106</v>
      </c>
      <c r="F31" s="2" t="s">
        <v>91</v>
      </c>
      <c r="G31" s="2">
        <v>45678</v>
      </c>
      <c r="H31" s="2">
        <v>46042</v>
      </c>
      <c r="I31" s="2" t="s">
        <v>1203</v>
      </c>
      <c r="J31" s="2">
        <v>3720123163599</v>
      </c>
      <c r="K31" s="2" t="s">
        <v>9</v>
      </c>
      <c r="L31" s="2" t="s">
        <v>92</v>
      </c>
      <c r="M31" s="2" t="s">
        <v>93</v>
      </c>
      <c r="N31" s="2" t="s">
        <v>94</v>
      </c>
      <c r="O31" s="2" t="s">
        <v>1202</v>
      </c>
      <c r="P31" s="2" t="s">
        <v>1109</v>
      </c>
      <c r="Q31" s="2" t="s">
        <v>1110</v>
      </c>
      <c r="R31" s="2" t="s">
        <v>1204</v>
      </c>
      <c r="S31" s="2">
        <v>45685</v>
      </c>
      <c r="T31" s="2">
        <v>47519</v>
      </c>
      <c r="U31" s="2">
        <v>2700000</v>
      </c>
      <c r="V31" s="2" t="s">
        <v>1112</v>
      </c>
      <c r="W31" s="2" t="s">
        <v>1112</v>
      </c>
      <c r="X31" s="2">
        <v>2700000</v>
      </c>
      <c r="Y31" s="2">
        <v>2</v>
      </c>
      <c r="Z31" s="2">
        <v>54000</v>
      </c>
      <c r="AA31" s="2"/>
      <c r="AB31" s="2"/>
      <c r="AC31" s="2" t="s">
        <v>1</v>
      </c>
      <c r="AD31" s="2">
        <v>1141072848</v>
      </c>
      <c r="AE31" s="2">
        <v>45722</v>
      </c>
      <c r="AF31" s="2" t="s">
        <v>1113</v>
      </c>
      <c r="AG31" s="2">
        <v>0</v>
      </c>
      <c r="AH31" s="2">
        <v>54000</v>
      </c>
      <c r="AI31" s="3">
        <v>0</v>
      </c>
      <c r="AJ31" s="1"/>
      <c r="AK31" s="2" t="s">
        <v>91</v>
      </c>
      <c r="AL31" s="4">
        <v>54000</v>
      </c>
      <c r="AM31" s="5">
        <v>0</v>
      </c>
      <c r="AN31" s="2" t="s">
        <v>6</v>
      </c>
    </row>
    <row r="32" spans="1:40" x14ac:dyDescent="0.2">
      <c r="A32" s="7">
        <v>31</v>
      </c>
      <c r="B32" s="2" t="s">
        <v>1104</v>
      </c>
      <c r="C32" s="2" t="s">
        <v>1205</v>
      </c>
      <c r="D32" s="2">
        <v>45658</v>
      </c>
      <c r="E32" s="2" t="s">
        <v>1106</v>
      </c>
      <c r="F32" s="2" t="s">
        <v>133</v>
      </c>
      <c r="G32" s="2">
        <v>45684</v>
      </c>
      <c r="H32" s="2">
        <v>46048</v>
      </c>
      <c r="I32" s="2" t="s">
        <v>1206</v>
      </c>
      <c r="J32" s="2">
        <v>3410106863875</v>
      </c>
      <c r="K32" s="2" t="s">
        <v>15</v>
      </c>
      <c r="L32" s="2" t="s">
        <v>134</v>
      </c>
      <c r="M32" s="2" t="s">
        <v>135</v>
      </c>
      <c r="N32" s="2" t="s">
        <v>136</v>
      </c>
      <c r="O32" s="2" t="s">
        <v>1205</v>
      </c>
      <c r="P32" s="2" t="s">
        <v>1109</v>
      </c>
      <c r="Q32" s="2" t="s">
        <v>1154</v>
      </c>
      <c r="R32" s="2" t="s">
        <v>1207</v>
      </c>
      <c r="S32" s="2">
        <v>45686</v>
      </c>
      <c r="T32" s="2">
        <v>47519</v>
      </c>
      <c r="U32" s="2">
        <v>2300000</v>
      </c>
      <c r="V32" s="2" t="s">
        <v>1112</v>
      </c>
      <c r="W32" s="2" t="s">
        <v>1112</v>
      </c>
      <c r="X32" s="2">
        <v>2300000</v>
      </c>
      <c r="Y32" s="2">
        <v>2</v>
      </c>
      <c r="Z32" s="2">
        <v>46000</v>
      </c>
      <c r="AA32" s="2"/>
      <c r="AB32" s="2"/>
      <c r="AC32" s="2" t="s">
        <v>1</v>
      </c>
      <c r="AD32" s="2">
        <v>1141072848</v>
      </c>
      <c r="AE32" s="2">
        <v>45722</v>
      </c>
      <c r="AF32" s="2" t="s">
        <v>1113</v>
      </c>
      <c r="AG32" s="2">
        <v>0</v>
      </c>
      <c r="AH32" s="2">
        <v>46000</v>
      </c>
      <c r="AI32" s="3">
        <v>0</v>
      </c>
      <c r="AJ32" s="1"/>
      <c r="AK32" s="2" t="s">
        <v>133</v>
      </c>
      <c r="AL32" s="4">
        <v>46000</v>
      </c>
      <c r="AM32" s="5">
        <v>0</v>
      </c>
      <c r="AN32" s="2" t="s">
        <v>6</v>
      </c>
    </row>
    <row r="33" spans="1:40" x14ac:dyDescent="0.2">
      <c r="A33" s="7">
        <v>32</v>
      </c>
      <c r="B33" s="2" t="s">
        <v>1104</v>
      </c>
      <c r="C33" s="2" t="s">
        <v>1208</v>
      </c>
      <c r="D33" s="2">
        <v>45658</v>
      </c>
      <c r="E33" s="2" t="s">
        <v>1106</v>
      </c>
      <c r="F33" s="2" t="s">
        <v>41</v>
      </c>
      <c r="G33" s="2">
        <v>45671</v>
      </c>
      <c r="H33" s="2">
        <v>46035</v>
      </c>
      <c r="I33" s="2" t="s">
        <v>1209</v>
      </c>
      <c r="J33" s="2">
        <v>3520015558549</v>
      </c>
      <c r="K33" s="2" t="s">
        <v>42</v>
      </c>
      <c r="L33" s="2" t="s">
        <v>1108</v>
      </c>
      <c r="M33" s="2" t="s">
        <v>43</v>
      </c>
      <c r="N33" s="2" t="s">
        <v>44</v>
      </c>
      <c r="O33" s="2" t="s">
        <v>1208</v>
      </c>
      <c r="P33" s="2" t="s">
        <v>1109</v>
      </c>
      <c r="Q33" s="2" t="s">
        <v>1116</v>
      </c>
      <c r="R33" s="2" t="s">
        <v>1210</v>
      </c>
      <c r="S33" s="2">
        <v>45674</v>
      </c>
      <c r="T33" s="2">
        <v>46423</v>
      </c>
      <c r="U33" s="2">
        <v>2799000</v>
      </c>
      <c r="V33" s="2" t="s">
        <v>1112</v>
      </c>
      <c r="W33" s="2" t="s">
        <v>1112</v>
      </c>
      <c r="X33" s="2">
        <v>2799000</v>
      </c>
      <c r="Y33" s="2">
        <v>2</v>
      </c>
      <c r="Z33" s="2">
        <v>55980</v>
      </c>
      <c r="AA33" s="2"/>
      <c r="AB33" s="2"/>
      <c r="AC33" s="2" t="s">
        <v>1</v>
      </c>
      <c r="AD33" s="2">
        <v>1141072848</v>
      </c>
      <c r="AE33" s="2">
        <v>45722</v>
      </c>
      <c r="AF33" s="2" t="s">
        <v>1113</v>
      </c>
      <c r="AG33" s="2">
        <v>0</v>
      </c>
      <c r="AH33" s="2">
        <v>55980</v>
      </c>
      <c r="AI33" s="3">
        <v>0</v>
      </c>
      <c r="AJ33" s="1"/>
      <c r="AK33" s="2" t="s">
        <v>41</v>
      </c>
      <c r="AL33" s="4">
        <v>55980</v>
      </c>
      <c r="AM33" s="5">
        <v>0</v>
      </c>
      <c r="AN33" s="2" t="s">
        <v>6</v>
      </c>
    </row>
    <row r="34" spans="1:40" x14ac:dyDescent="0.2">
      <c r="A34" s="7">
        <v>33</v>
      </c>
      <c r="B34" s="2" t="s">
        <v>1104</v>
      </c>
      <c r="C34" s="2" t="s">
        <v>1211</v>
      </c>
      <c r="D34" s="2">
        <v>45658</v>
      </c>
      <c r="E34" s="2" t="s">
        <v>1106</v>
      </c>
      <c r="F34" s="2" t="s">
        <v>87</v>
      </c>
      <c r="G34" s="2">
        <v>45678</v>
      </c>
      <c r="H34" s="2">
        <v>46042</v>
      </c>
      <c r="I34" s="2" t="s">
        <v>1212</v>
      </c>
      <c r="J34" s="2">
        <v>3520015623585</v>
      </c>
      <c r="K34" s="2" t="s">
        <v>46</v>
      </c>
      <c r="L34" s="2" t="s">
        <v>88</v>
      </c>
      <c r="M34" s="2" t="s">
        <v>89</v>
      </c>
      <c r="N34" s="2" t="s">
        <v>90</v>
      </c>
      <c r="O34" s="2" t="s">
        <v>1211</v>
      </c>
      <c r="P34" s="2" t="s">
        <v>1109</v>
      </c>
      <c r="Q34" s="2" t="s">
        <v>1116</v>
      </c>
      <c r="R34" s="2" t="s">
        <v>1213</v>
      </c>
      <c r="S34" s="2">
        <v>45702</v>
      </c>
      <c r="T34" s="2">
        <v>46423</v>
      </c>
      <c r="U34" s="2">
        <v>4700000</v>
      </c>
      <c r="V34" s="2" t="s">
        <v>1112</v>
      </c>
      <c r="W34" s="2" t="s">
        <v>1112</v>
      </c>
      <c r="X34" s="2">
        <v>4700000</v>
      </c>
      <c r="Y34" s="2">
        <v>1.5</v>
      </c>
      <c r="Z34" s="2">
        <v>70500</v>
      </c>
      <c r="AA34" s="2"/>
      <c r="AB34" s="2"/>
      <c r="AC34" s="2" t="s">
        <v>1</v>
      </c>
      <c r="AD34" s="2">
        <v>1141072848</v>
      </c>
      <c r="AE34" s="2">
        <v>45722</v>
      </c>
      <c r="AF34" s="2" t="s">
        <v>1113</v>
      </c>
      <c r="AG34" s="2">
        <v>0</v>
      </c>
      <c r="AH34" s="2">
        <v>70500</v>
      </c>
      <c r="AI34" s="3">
        <v>0</v>
      </c>
      <c r="AJ34" s="1"/>
      <c r="AK34" s="2" t="s">
        <v>87</v>
      </c>
      <c r="AL34" s="4">
        <v>70500</v>
      </c>
      <c r="AM34" s="5">
        <v>0</v>
      </c>
      <c r="AN34" s="2" t="s">
        <v>6</v>
      </c>
    </row>
    <row r="35" spans="1:40" x14ac:dyDescent="0.2">
      <c r="A35" s="7">
        <v>34</v>
      </c>
      <c r="B35" s="2" t="s">
        <v>1104</v>
      </c>
      <c r="C35" s="2" t="s">
        <v>1214</v>
      </c>
      <c r="D35" s="2">
        <v>45658</v>
      </c>
      <c r="E35" s="2" t="s">
        <v>1106</v>
      </c>
      <c r="F35" s="2" t="s">
        <v>161</v>
      </c>
      <c r="G35" s="2">
        <v>45686</v>
      </c>
      <c r="H35" s="2">
        <v>46050</v>
      </c>
      <c r="I35" s="2" t="s">
        <v>1215</v>
      </c>
      <c r="J35" s="2">
        <v>4220156374447</v>
      </c>
      <c r="K35" s="2" t="s">
        <v>9</v>
      </c>
      <c r="L35" s="2" t="s">
        <v>162</v>
      </c>
      <c r="M35" s="2" t="s">
        <v>163</v>
      </c>
      <c r="N35" s="2" t="s">
        <v>164</v>
      </c>
      <c r="O35" s="2" t="s">
        <v>1214</v>
      </c>
      <c r="P35" s="2" t="s">
        <v>1143</v>
      </c>
      <c r="Q35" s="2" t="s">
        <v>1144</v>
      </c>
      <c r="R35" s="2" t="s">
        <v>1216</v>
      </c>
      <c r="S35" s="2">
        <v>45692</v>
      </c>
      <c r="T35" s="2">
        <v>47519</v>
      </c>
      <c r="U35" s="2">
        <v>3045000</v>
      </c>
      <c r="V35" s="2" t="s">
        <v>1112</v>
      </c>
      <c r="W35" s="2" t="s">
        <v>1112</v>
      </c>
      <c r="X35" s="2">
        <v>3045000</v>
      </c>
      <c r="Y35" s="2">
        <v>2</v>
      </c>
      <c r="Z35" s="2">
        <v>60900</v>
      </c>
      <c r="AA35" s="2"/>
      <c r="AB35" s="2"/>
      <c r="AC35" s="2" t="s">
        <v>1</v>
      </c>
      <c r="AD35" s="2">
        <v>1141072848</v>
      </c>
      <c r="AE35" s="2">
        <v>45722</v>
      </c>
      <c r="AF35" s="2" t="s">
        <v>1113</v>
      </c>
      <c r="AG35" s="2">
        <v>0</v>
      </c>
      <c r="AH35" s="2">
        <v>60900</v>
      </c>
      <c r="AI35" s="3">
        <v>0</v>
      </c>
      <c r="AJ35" s="1"/>
      <c r="AK35" s="2" t="s">
        <v>161</v>
      </c>
      <c r="AL35" s="4">
        <v>60900</v>
      </c>
      <c r="AM35" s="5">
        <v>0</v>
      </c>
      <c r="AN35" s="2" t="s">
        <v>6</v>
      </c>
    </row>
    <row r="36" spans="1:40" x14ac:dyDescent="0.2">
      <c r="A36" s="7">
        <v>35</v>
      </c>
      <c r="B36" s="2" t="s">
        <v>1104</v>
      </c>
      <c r="C36" s="2" t="s">
        <v>1217</v>
      </c>
      <c r="D36" s="2">
        <v>45658</v>
      </c>
      <c r="E36" s="2" t="s">
        <v>1106</v>
      </c>
      <c r="F36" s="2" t="s">
        <v>152</v>
      </c>
      <c r="G36" s="2">
        <v>45686</v>
      </c>
      <c r="H36" s="2">
        <v>46050</v>
      </c>
      <c r="I36" s="2" t="s">
        <v>1218</v>
      </c>
      <c r="J36" s="2">
        <v>3740515396701</v>
      </c>
      <c r="K36" s="2" t="s">
        <v>153</v>
      </c>
      <c r="L36" s="2" t="s">
        <v>154</v>
      </c>
      <c r="M36" s="2" t="s">
        <v>155</v>
      </c>
      <c r="N36" s="2" t="s">
        <v>156</v>
      </c>
      <c r="O36" s="2" t="s">
        <v>1217</v>
      </c>
      <c r="P36" s="2" t="s">
        <v>1109</v>
      </c>
      <c r="Q36" s="2" t="s">
        <v>1110</v>
      </c>
      <c r="R36" s="2" t="s">
        <v>1219</v>
      </c>
      <c r="S36" s="2">
        <v>45688</v>
      </c>
      <c r="T36" s="2">
        <v>46788</v>
      </c>
      <c r="U36" s="2">
        <v>4200000</v>
      </c>
      <c r="V36" s="2" t="s">
        <v>1112</v>
      </c>
      <c r="W36" s="2" t="s">
        <v>1112</v>
      </c>
      <c r="X36" s="2">
        <v>4200000</v>
      </c>
      <c r="Y36" s="2">
        <v>1.5</v>
      </c>
      <c r="Z36" s="2">
        <v>63000</v>
      </c>
      <c r="AA36" s="2"/>
      <c r="AB36" s="2"/>
      <c r="AC36" s="2" t="s">
        <v>1</v>
      </c>
      <c r="AD36" s="2">
        <v>1141072848</v>
      </c>
      <c r="AE36" s="2">
        <v>45722</v>
      </c>
      <c r="AF36" s="2" t="s">
        <v>1113</v>
      </c>
      <c r="AG36" s="2">
        <v>0</v>
      </c>
      <c r="AH36" s="2">
        <v>63000</v>
      </c>
      <c r="AI36" s="3">
        <v>0</v>
      </c>
      <c r="AJ36" s="1"/>
      <c r="AK36" s="2" t="s">
        <v>152</v>
      </c>
      <c r="AL36" s="4">
        <v>63000</v>
      </c>
      <c r="AM36" s="5">
        <v>0</v>
      </c>
      <c r="AN36" s="2" t="s">
        <v>6</v>
      </c>
    </row>
    <row r="37" spans="1:40" x14ac:dyDescent="0.2">
      <c r="A37" s="7">
        <v>36</v>
      </c>
      <c r="B37" s="2" t="s">
        <v>1104</v>
      </c>
      <c r="C37" s="2" t="s">
        <v>1220</v>
      </c>
      <c r="D37" s="2">
        <v>45658</v>
      </c>
      <c r="E37" s="2" t="s">
        <v>1106</v>
      </c>
      <c r="F37" s="2" t="s">
        <v>137</v>
      </c>
      <c r="G37" s="2">
        <v>45685</v>
      </c>
      <c r="H37" s="2">
        <v>46049</v>
      </c>
      <c r="I37" s="2" t="s">
        <v>1221</v>
      </c>
      <c r="J37" s="2">
        <v>3530119653525</v>
      </c>
      <c r="K37" s="2" t="s">
        <v>14</v>
      </c>
      <c r="L37" s="2" t="s">
        <v>138</v>
      </c>
      <c r="M37" s="2" t="s">
        <v>139</v>
      </c>
      <c r="N37" s="2" t="s">
        <v>140</v>
      </c>
      <c r="O37" s="2" t="s">
        <v>1220</v>
      </c>
      <c r="P37" s="2" t="s">
        <v>1109</v>
      </c>
      <c r="Q37" s="2" t="s">
        <v>1222</v>
      </c>
      <c r="R37" s="2" t="s">
        <v>1223</v>
      </c>
      <c r="S37" s="2">
        <v>45701</v>
      </c>
      <c r="T37" s="2">
        <v>47519</v>
      </c>
      <c r="U37" s="2">
        <v>2300000</v>
      </c>
      <c r="V37" s="2" t="s">
        <v>1112</v>
      </c>
      <c r="W37" s="2" t="s">
        <v>1112</v>
      </c>
      <c r="X37" s="2">
        <v>2300000</v>
      </c>
      <c r="Y37" s="2">
        <v>2</v>
      </c>
      <c r="Z37" s="2">
        <v>46000</v>
      </c>
      <c r="AA37" s="2"/>
      <c r="AB37" s="2"/>
      <c r="AC37" s="2" t="s">
        <v>1</v>
      </c>
      <c r="AD37" s="2">
        <v>1141072848</v>
      </c>
      <c r="AE37" s="2">
        <v>45722</v>
      </c>
      <c r="AF37" s="2" t="s">
        <v>1113</v>
      </c>
      <c r="AG37" s="2">
        <v>0</v>
      </c>
      <c r="AH37" s="2">
        <v>46000</v>
      </c>
      <c r="AI37" s="3">
        <v>0</v>
      </c>
      <c r="AJ37" s="1"/>
      <c r="AK37" s="2" t="s">
        <v>137</v>
      </c>
      <c r="AL37" s="4">
        <v>46000</v>
      </c>
      <c r="AM37" s="5">
        <v>0</v>
      </c>
      <c r="AN37" s="2" t="s">
        <v>6</v>
      </c>
    </row>
    <row r="38" spans="1:40" x14ac:dyDescent="0.2">
      <c r="A38" s="7">
        <v>37</v>
      </c>
      <c r="B38" s="2" t="s">
        <v>1104</v>
      </c>
      <c r="C38" s="2" t="s">
        <v>1224</v>
      </c>
      <c r="D38" s="2">
        <v>45658</v>
      </c>
      <c r="E38" s="2" t="s">
        <v>1106</v>
      </c>
      <c r="F38" s="2" t="s">
        <v>99</v>
      </c>
      <c r="G38" s="2">
        <v>45679</v>
      </c>
      <c r="H38" s="2">
        <v>46043</v>
      </c>
      <c r="I38" s="2" t="s">
        <v>1225</v>
      </c>
      <c r="J38" s="2">
        <v>1120144604419</v>
      </c>
      <c r="K38" s="2" t="s">
        <v>100</v>
      </c>
      <c r="L38" s="2" t="s">
        <v>101</v>
      </c>
      <c r="M38" s="2" t="s">
        <v>102</v>
      </c>
      <c r="N38" s="2" t="s">
        <v>1226</v>
      </c>
      <c r="O38" s="2" t="s">
        <v>1224</v>
      </c>
      <c r="P38" s="2" t="s">
        <v>1109</v>
      </c>
      <c r="Q38" s="2" t="s">
        <v>1110</v>
      </c>
      <c r="R38" s="2" t="s">
        <v>1227</v>
      </c>
      <c r="S38" s="2">
        <v>45685</v>
      </c>
      <c r="T38" s="2">
        <v>46788</v>
      </c>
      <c r="U38" s="2">
        <v>5500000</v>
      </c>
      <c r="V38" s="2" t="s">
        <v>1112</v>
      </c>
      <c r="W38" s="2" t="s">
        <v>1112</v>
      </c>
      <c r="X38" s="2">
        <v>5500000</v>
      </c>
      <c r="Y38" s="2">
        <v>1.5</v>
      </c>
      <c r="Z38" s="2">
        <v>82500</v>
      </c>
      <c r="AA38" s="2"/>
      <c r="AB38" s="2"/>
      <c r="AC38" s="2" t="s">
        <v>1</v>
      </c>
      <c r="AD38" s="2">
        <v>1141072848</v>
      </c>
      <c r="AE38" s="2">
        <v>45722</v>
      </c>
      <c r="AF38" s="2" t="s">
        <v>1113</v>
      </c>
      <c r="AG38" s="2">
        <v>0</v>
      </c>
      <c r="AH38" s="2">
        <v>82500</v>
      </c>
      <c r="AI38" s="3">
        <v>0</v>
      </c>
      <c r="AJ38" s="1"/>
      <c r="AK38" s="2" t="s">
        <v>99</v>
      </c>
      <c r="AL38" s="4">
        <v>82500</v>
      </c>
      <c r="AM38" s="5">
        <v>0</v>
      </c>
      <c r="AN38" s="2" t="s">
        <v>6</v>
      </c>
    </row>
    <row r="39" spans="1:40" x14ac:dyDescent="0.2">
      <c r="A39" s="7">
        <v>38</v>
      </c>
      <c r="B39" s="2" t="s">
        <v>1104</v>
      </c>
      <c r="C39" s="2" t="s">
        <v>1228</v>
      </c>
      <c r="D39" s="2">
        <v>45658</v>
      </c>
      <c r="E39" s="2" t="s">
        <v>1106</v>
      </c>
      <c r="F39" s="2" t="s">
        <v>52</v>
      </c>
      <c r="G39" s="2">
        <v>45673</v>
      </c>
      <c r="H39" s="2">
        <v>46037</v>
      </c>
      <c r="I39" s="2" t="s">
        <v>1229</v>
      </c>
      <c r="J39" s="2">
        <v>3520276021833</v>
      </c>
      <c r="K39" s="2" t="s">
        <v>53</v>
      </c>
      <c r="L39" s="2" t="s">
        <v>1108</v>
      </c>
      <c r="M39" s="2" t="s">
        <v>54</v>
      </c>
      <c r="N39" s="2" t="s">
        <v>55</v>
      </c>
      <c r="O39" s="2" t="s">
        <v>1228</v>
      </c>
      <c r="P39" s="2" t="s">
        <v>1109</v>
      </c>
      <c r="Q39" s="2" t="s">
        <v>1116</v>
      </c>
      <c r="R39" s="2" t="s">
        <v>1230</v>
      </c>
      <c r="S39" s="2">
        <v>45700</v>
      </c>
      <c r="T39" s="2">
        <v>46788</v>
      </c>
      <c r="U39" s="2">
        <v>7929000</v>
      </c>
      <c r="V39" s="2" t="s">
        <v>1112</v>
      </c>
      <c r="W39" s="2" t="s">
        <v>1112</v>
      </c>
      <c r="X39" s="2">
        <v>7929000</v>
      </c>
      <c r="Y39" s="2">
        <v>1.5</v>
      </c>
      <c r="Z39" s="2">
        <v>118935</v>
      </c>
      <c r="AA39" s="2"/>
      <c r="AB39" s="2"/>
      <c r="AC39" s="2" t="s">
        <v>1</v>
      </c>
      <c r="AD39" s="2">
        <v>1141072848</v>
      </c>
      <c r="AE39" s="2">
        <v>45722</v>
      </c>
      <c r="AF39" s="2" t="s">
        <v>1113</v>
      </c>
      <c r="AG39" s="2">
        <v>0</v>
      </c>
      <c r="AH39" s="2">
        <v>118935</v>
      </c>
      <c r="AI39" s="3">
        <v>0</v>
      </c>
      <c r="AJ39" s="1"/>
      <c r="AK39" s="2" t="s">
        <v>52</v>
      </c>
      <c r="AL39" s="4">
        <v>118935</v>
      </c>
      <c r="AM39" s="5">
        <v>0</v>
      </c>
      <c r="AN39" s="2" t="s">
        <v>6</v>
      </c>
    </row>
    <row r="40" spans="1:40" x14ac:dyDescent="0.2">
      <c r="A40" s="7">
        <v>39</v>
      </c>
      <c r="B40" s="2" t="s">
        <v>1104</v>
      </c>
      <c r="C40" s="2" t="s">
        <v>1231</v>
      </c>
      <c r="D40" s="2">
        <v>45658</v>
      </c>
      <c r="E40" s="2" t="s">
        <v>1106</v>
      </c>
      <c r="F40" s="2" t="s">
        <v>103</v>
      </c>
      <c r="G40" s="2">
        <v>45679</v>
      </c>
      <c r="H40" s="2">
        <v>46043</v>
      </c>
      <c r="I40" s="2" t="s">
        <v>1232</v>
      </c>
      <c r="J40" s="2">
        <v>3520105160899</v>
      </c>
      <c r="K40" s="2" t="s">
        <v>9</v>
      </c>
      <c r="L40" s="2" t="s">
        <v>1108</v>
      </c>
      <c r="M40" s="2" t="s">
        <v>104</v>
      </c>
      <c r="N40" s="2" t="s">
        <v>105</v>
      </c>
      <c r="O40" s="2" t="s">
        <v>1231</v>
      </c>
      <c r="P40" s="2" t="s">
        <v>1109</v>
      </c>
      <c r="Q40" s="2" t="s">
        <v>1116</v>
      </c>
      <c r="R40" s="2" t="s">
        <v>1233</v>
      </c>
      <c r="S40" s="2">
        <v>45686</v>
      </c>
      <c r="T40" s="2">
        <v>46423</v>
      </c>
      <c r="U40" s="2">
        <v>3045000</v>
      </c>
      <c r="V40" s="2" t="s">
        <v>1112</v>
      </c>
      <c r="W40" s="2" t="s">
        <v>1112</v>
      </c>
      <c r="X40" s="2">
        <v>3045000</v>
      </c>
      <c r="Y40" s="2">
        <v>2</v>
      </c>
      <c r="Z40" s="2">
        <v>60900</v>
      </c>
      <c r="AA40" s="2"/>
      <c r="AB40" s="2"/>
      <c r="AC40" s="2" t="s">
        <v>1</v>
      </c>
      <c r="AD40" s="2">
        <v>1141072848</v>
      </c>
      <c r="AE40" s="2">
        <v>45722</v>
      </c>
      <c r="AF40" s="2" t="s">
        <v>1113</v>
      </c>
      <c r="AG40" s="2">
        <v>0</v>
      </c>
      <c r="AH40" s="2">
        <v>60900</v>
      </c>
      <c r="AI40" s="3">
        <v>0</v>
      </c>
      <c r="AJ40" s="1"/>
      <c r="AK40" s="2" t="s">
        <v>103</v>
      </c>
      <c r="AL40" s="4">
        <v>60900</v>
      </c>
      <c r="AM40" s="5">
        <v>0</v>
      </c>
      <c r="AN40" s="2" t="s">
        <v>6</v>
      </c>
    </row>
    <row r="41" spans="1:40" x14ac:dyDescent="0.2">
      <c r="A41" s="7">
        <v>40</v>
      </c>
      <c r="B41" s="2" t="s">
        <v>1104</v>
      </c>
      <c r="C41" s="2" t="s">
        <v>1234</v>
      </c>
      <c r="D41" s="2">
        <v>45658</v>
      </c>
      <c r="E41" s="2" t="s">
        <v>1106</v>
      </c>
      <c r="F41" s="2" t="s">
        <v>157</v>
      </c>
      <c r="G41" s="2">
        <v>45666</v>
      </c>
      <c r="H41" s="2">
        <v>46030</v>
      </c>
      <c r="I41" s="2" t="s">
        <v>1235</v>
      </c>
      <c r="J41" s="2">
        <v>3520182730219</v>
      </c>
      <c r="K41" s="2" t="s">
        <v>7</v>
      </c>
      <c r="L41" s="2" t="s">
        <v>158</v>
      </c>
      <c r="M41" s="2" t="s">
        <v>159</v>
      </c>
      <c r="N41" s="2" t="s">
        <v>160</v>
      </c>
      <c r="O41" s="2" t="s">
        <v>1234</v>
      </c>
      <c r="P41" s="2" t="s">
        <v>1109</v>
      </c>
      <c r="Q41" s="2" t="s">
        <v>1116</v>
      </c>
      <c r="R41" s="2" t="s">
        <v>1236</v>
      </c>
      <c r="S41" s="2">
        <v>45667</v>
      </c>
      <c r="T41" s="2">
        <v>46757</v>
      </c>
      <c r="U41" s="2">
        <v>4000000</v>
      </c>
      <c r="V41" s="2" t="s">
        <v>1112</v>
      </c>
      <c r="W41" s="2" t="s">
        <v>1112</v>
      </c>
      <c r="X41" s="2">
        <v>4000000</v>
      </c>
      <c r="Y41" s="2">
        <v>1.5</v>
      </c>
      <c r="Z41" s="2">
        <v>60000</v>
      </c>
      <c r="AA41" s="2"/>
      <c r="AB41" s="2"/>
      <c r="AC41" s="2" t="s">
        <v>1</v>
      </c>
      <c r="AD41" s="2">
        <v>1141072848</v>
      </c>
      <c r="AE41" s="2">
        <v>45722</v>
      </c>
      <c r="AF41" s="2" t="s">
        <v>1113</v>
      </c>
      <c r="AG41" s="2">
        <v>0</v>
      </c>
      <c r="AH41" s="2">
        <v>60000</v>
      </c>
      <c r="AI41" s="3">
        <v>0</v>
      </c>
      <c r="AJ41" s="1"/>
      <c r="AK41" s="2" t="s">
        <v>157</v>
      </c>
      <c r="AL41" s="4">
        <v>60000</v>
      </c>
      <c r="AM41" s="5">
        <v>0</v>
      </c>
      <c r="AN41" s="2" t="s">
        <v>6</v>
      </c>
    </row>
    <row r="42" spans="1:40" x14ac:dyDescent="0.2">
      <c r="A42" s="7">
        <v>41</v>
      </c>
      <c r="B42" s="2" t="s">
        <v>1104</v>
      </c>
      <c r="C42" s="2" t="s">
        <v>1237</v>
      </c>
      <c r="D42" s="2">
        <v>45658</v>
      </c>
      <c r="E42" s="2" t="s">
        <v>1106</v>
      </c>
      <c r="F42" s="2" t="s">
        <v>191</v>
      </c>
      <c r="G42" s="2">
        <v>45688</v>
      </c>
      <c r="H42" s="2">
        <v>46052</v>
      </c>
      <c r="I42" s="2" t="s">
        <v>1238</v>
      </c>
      <c r="J42" s="2">
        <v>3630242290221</v>
      </c>
      <c r="K42" s="2" t="s">
        <v>10</v>
      </c>
      <c r="L42" s="2" t="s">
        <v>192</v>
      </c>
      <c r="M42" s="2" t="s">
        <v>193</v>
      </c>
      <c r="N42" s="2" t="s">
        <v>194</v>
      </c>
      <c r="O42" s="2" t="s">
        <v>1237</v>
      </c>
      <c r="P42" s="2" t="s">
        <v>1109</v>
      </c>
      <c r="Q42" s="2" t="s">
        <v>1239</v>
      </c>
      <c r="R42" s="2" t="s">
        <v>1240</v>
      </c>
      <c r="S42" s="2">
        <v>45694</v>
      </c>
      <c r="T42" s="2">
        <v>47519</v>
      </c>
      <c r="U42" s="2">
        <v>2800000</v>
      </c>
      <c r="V42" s="2" t="s">
        <v>1112</v>
      </c>
      <c r="W42" s="2" t="s">
        <v>1112</v>
      </c>
      <c r="X42" s="2">
        <v>2800000</v>
      </c>
      <c r="Y42" s="2">
        <v>2</v>
      </c>
      <c r="Z42" s="2">
        <v>56000</v>
      </c>
      <c r="AA42" s="2"/>
      <c r="AB42" s="2"/>
      <c r="AC42" s="2" t="s">
        <v>1</v>
      </c>
      <c r="AD42" s="2">
        <v>1141072848</v>
      </c>
      <c r="AE42" s="2">
        <v>45722</v>
      </c>
      <c r="AF42" s="2" t="s">
        <v>1113</v>
      </c>
      <c r="AG42" s="2">
        <v>0</v>
      </c>
      <c r="AH42" s="2">
        <v>56000</v>
      </c>
      <c r="AI42" s="3">
        <v>0</v>
      </c>
      <c r="AJ42" s="1"/>
      <c r="AK42" s="2" t="s">
        <v>191</v>
      </c>
      <c r="AL42" s="4">
        <v>56000</v>
      </c>
      <c r="AM42" s="5">
        <v>0</v>
      </c>
      <c r="AN42" s="2" t="s">
        <v>6</v>
      </c>
    </row>
    <row r="43" spans="1:40" x14ac:dyDescent="0.2">
      <c r="A43" s="7">
        <v>42</v>
      </c>
      <c r="B43" s="2" t="s">
        <v>1104</v>
      </c>
      <c r="C43" s="2" t="s">
        <v>1241</v>
      </c>
      <c r="D43" s="2">
        <v>45658</v>
      </c>
      <c r="E43" s="2" t="s">
        <v>1106</v>
      </c>
      <c r="F43" s="2" t="s">
        <v>195</v>
      </c>
      <c r="G43" s="2">
        <v>45688</v>
      </c>
      <c r="H43" s="2">
        <v>46052</v>
      </c>
      <c r="I43" s="2" t="s">
        <v>1242</v>
      </c>
      <c r="J43" s="2">
        <v>3720142700407</v>
      </c>
      <c r="K43" s="2" t="s">
        <v>46</v>
      </c>
      <c r="L43" s="2">
        <v>0</v>
      </c>
      <c r="M43" s="2" t="s">
        <v>196</v>
      </c>
      <c r="N43" s="2" t="s">
        <v>197</v>
      </c>
      <c r="O43" s="2" t="s">
        <v>1241</v>
      </c>
      <c r="P43" s="2" t="s">
        <v>1109</v>
      </c>
      <c r="Q43" s="2" t="s">
        <v>1110</v>
      </c>
      <c r="R43" s="2" t="s">
        <v>1243</v>
      </c>
      <c r="S43" s="2">
        <v>45692</v>
      </c>
      <c r="T43" s="2">
        <v>46788</v>
      </c>
      <c r="U43" s="2">
        <v>4719000</v>
      </c>
      <c r="V43" s="2" t="s">
        <v>1112</v>
      </c>
      <c r="W43" s="2" t="s">
        <v>1112</v>
      </c>
      <c r="X43" s="2">
        <v>4719000</v>
      </c>
      <c r="Y43" s="2">
        <v>1.5</v>
      </c>
      <c r="Z43" s="2">
        <v>70785</v>
      </c>
      <c r="AA43" s="2"/>
      <c r="AB43" s="2"/>
      <c r="AC43" s="2" t="s">
        <v>1</v>
      </c>
      <c r="AD43" s="2">
        <v>1141072848</v>
      </c>
      <c r="AE43" s="2">
        <v>45722</v>
      </c>
      <c r="AF43" s="2" t="s">
        <v>1113</v>
      </c>
      <c r="AG43" s="2">
        <v>0</v>
      </c>
      <c r="AH43" s="2">
        <v>70785</v>
      </c>
      <c r="AI43" s="3">
        <v>0</v>
      </c>
      <c r="AJ43" s="1"/>
      <c r="AK43" s="2" t="s">
        <v>195</v>
      </c>
      <c r="AL43" s="4">
        <v>70785</v>
      </c>
      <c r="AM43" s="5">
        <v>0</v>
      </c>
      <c r="AN43" s="2" t="s">
        <v>6</v>
      </c>
    </row>
    <row r="44" spans="1:40" x14ac:dyDescent="0.2">
      <c r="A44" s="7">
        <v>43</v>
      </c>
      <c r="B44" s="2" t="s">
        <v>1104</v>
      </c>
      <c r="C44" s="2" t="s">
        <v>1244</v>
      </c>
      <c r="D44" s="2">
        <v>45658</v>
      </c>
      <c r="E44" s="2" t="s">
        <v>1106</v>
      </c>
      <c r="F44" s="2" t="s">
        <v>203</v>
      </c>
      <c r="G44" s="2">
        <v>45688</v>
      </c>
      <c r="H44" s="2">
        <v>46052</v>
      </c>
      <c r="I44" s="2" t="s">
        <v>1245</v>
      </c>
      <c r="J44" s="2">
        <v>3520288534553</v>
      </c>
      <c r="K44" s="2" t="s">
        <v>42</v>
      </c>
      <c r="L44" s="2">
        <v>0</v>
      </c>
      <c r="M44" s="2" t="s">
        <v>204</v>
      </c>
      <c r="N44" s="2" t="s">
        <v>205</v>
      </c>
      <c r="O44" s="2" t="s">
        <v>1244</v>
      </c>
      <c r="P44" s="2" t="s">
        <v>1109</v>
      </c>
      <c r="Q44" s="2" t="s">
        <v>1116</v>
      </c>
      <c r="R44" s="2" t="s">
        <v>1246</v>
      </c>
      <c r="S44" s="2">
        <v>45691</v>
      </c>
      <c r="T44" s="2">
        <v>47519</v>
      </c>
      <c r="U44" s="2">
        <v>2799000</v>
      </c>
      <c r="V44" s="2" t="s">
        <v>1112</v>
      </c>
      <c r="W44" s="2" t="s">
        <v>1112</v>
      </c>
      <c r="X44" s="2">
        <v>2799000</v>
      </c>
      <c r="Y44" s="2">
        <v>2</v>
      </c>
      <c r="Z44" s="2">
        <v>55980</v>
      </c>
      <c r="AA44" s="2"/>
      <c r="AB44" s="2"/>
      <c r="AC44" s="2" t="s">
        <v>1</v>
      </c>
      <c r="AD44" s="2">
        <v>1141072848</v>
      </c>
      <c r="AE44" s="2">
        <v>45722</v>
      </c>
      <c r="AF44" s="2" t="s">
        <v>1113</v>
      </c>
      <c r="AG44" s="2">
        <v>0</v>
      </c>
      <c r="AH44" s="2">
        <v>55980</v>
      </c>
      <c r="AI44" s="3">
        <v>0</v>
      </c>
      <c r="AJ44" s="1"/>
      <c r="AK44" s="2" t="s">
        <v>203</v>
      </c>
      <c r="AL44" s="4">
        <v>55980</v>
      </c>
      <c r="AM44" s="5">
        <v>0</v>
      </c>
      <c r="AN44" s="2" t="s">
        <v>6</v>
      </c>
    </row>
    <row r="45" spans="1:40" x14ac:dyDescent="0.2">
      <c r="A45" s="7">
        <v>44</v>
      </c>
      <c r="B45" s="2" t="s">
        <v>1104</v>
      </c>
      <c r="C45" s="2" t="s">
        <v>1247</v>
      </c>
      <c r="D45" s="2">
        <v>45658</v>
      </c>
      <c r="E45" s="2" t="s">
        <v>1106</v>
      </c>
      <c r="F45" s="2" t="s">
        <v>144</v>
      </c>
      <c r="G45" s="2">
        <v>45685</v>
      </c>
      <c r="H45" s="2">
        <v>46049</v>
      </c>
      <c r="I45" s="2" t="s">
        <v>1248</v>
      </c>
      <c r="J45" s="2">
        <v>3610457238279</v>
      </c>
      <c r="K45" s="2" t="s">
        <v>145</v>
      </c>
      <c r="L45" s="2">
        <v>0</v>
      </c>
      <c r="M45" s="2" t="s">
        <v>146</v>
      </c>
      <c r="N45" s="2" t="s">
        <v>147</v>
      </c>
      <c r="O45" s="2" t="s">
        <v>1247</v>
      </c>
      <c r="P45" s="2" t="s">
        <v>1109</v>
      </c>
      <c r="Q45" s="2" t="s">
        <v>1116</v>
      </c>
      <c r="R45" s="2" t="s">
        <v>1249</v>
      </c>
      <c r="S45" s="2">
        <v>45691</v>
      </c>
      <c r="T45" s="2">
        <v>46788</v>
      </c>
      <c r="U45" s="2">
        <v>6641000</v>
      </c>
      <c r="V45" s="2" t="s">
        <v>1112</v>
      </c>
      <c r="W45" s="2" t="s">
        <v>1112</v>
      </c>
      <c r="X45" s="2">
        <v>6641000</v>
      </c>
      <c r="Y45" s="2">
        <v>1.5</v>
      </c>
      <c r="Z45" s="2">
        <v>99615</v>
      </c>
      <c r="AA45" s="2"/>
      <c r="AB45" s="2"/>
      <c r="AC45" s="2" t="s">
        <v>1</v>
      </c>
      <c r="AD45" s="2">
        <v>1141072848</v>
      </c>
      <c r="AE45" s="2">
        <v>45722</v>
      </c>
      <c r="AF45" s="2" t="s">
        <v>1113</v>
      </c>
      <c r="AG45" s="2">
        <v>0</v>
      </c>
      <c r="AH45" s="2">
        <v>99615</v>
      </c>
      <c r="AI45" s="3">
        <v>0</v>
      </c>
      <c r="AJ45" s="1"/>
      <c r="AK45" s="2" t="s">
        <v>144</v>
      </c>
      <c r="AL45" s="4">
        <v>99615</v>
      </c>
      <c r="AM45" s="5">
        <v>0</v>
      </c>
      <c r="AN45" s="2" t="s">
        <v>6</v>
      </c>
    </row>
    <row r="46" spans="1:40" x14ac:dyDescent="0.2">
      <c r="A46" s="7">
        <v>45</v>
      </c>
      <c r="B46" s="2" t="s">
        <v>1104</v>
      </c>
      <c r="C46" s="2" t="s">
        <v>1250</v>
      </c>
      <c r="D46" s="2">
        <v>45658</v>
      </c>
      <c r="E46" s="2" t="s">
        <v>1106</v>
      </c>
      <c r="F46" s="2" t="s">
        <v>169</v>
      </c>
      <c r="G46" s="2">
        <v>45687</v>
      </c>
      <c r="H46" s="2">
        <v>46051</v>
      </c>
      <c r="I46" s="2" t="s">
        <v>1251</v>
      </c>
      <c r="J46" s="2">
        <v>3120211456571</v>
      </c>
      <c r="K46" s="2" t="s">
        <v>170</v>
      </c>
      <c r="L46" s="2" t="s">
        <v>171</v>
      </c>
      <c r="M46" s="2" t="s">
        <v>172</v>
      </c>
      <c r="N46" s="2" t="s">
        <v>173</v>
      </c>
      <c r="O46" s="2" t="s">
        <v>1250</v>
      </c>
      <c r="P46" s="2" t="s">
        <v>1109</v>
      </c>
      <c r="Q46" s="2" t="s">
        <v>1139</v>
      </c>
      <c r="R46" s="2" t="s">
        <v>1252</v>
      </c>
      <c r="S46" s="2">
        <v>45691</v>
      </c>
      <c r="T46" s="2">
        <v>46423</v>
      </c>
      <c r="U46" s="2">
        <v>3000000</v>
      </c>
      <c r="V46" s="2" t="s">
        <v>1112</v>
      </c>
      <c r="W46" s="2" t="s">
        <v>1112</v>
      </c>
      <c r="X46" s="2">
        <v>3000000</v>
      </c>
      <c r="Y46" s="2">
        <v>2</v>
      </c>
      <c r="Z46" s="2">
        <v>60000</v>
      </c>
      <c r="AA46" s="2"/>
      <c r="AB46" s="2"/>
      <c r="AC46" s="2" t="s">
        <v>1</v>
      </c>
      <c r="AD46" s="2">
        <v>1141072848</v>
      </c>
      <c r="AE46" s="2">
        <v>45722</v>
      </c>
      <c r="AF46" s="2" t="s">
        <v>1113</v>
      </c>
      <c r="AG46" s="2">
        <v>0</v>
      </c>
      <c r="AH46" s="2">
        <v>60000</v>
      </c>
      <c r="AI46" s="3">
        <v>0</v>
      </c>
      <c r="AJ46" s="1"/>
      <c r="AK46" s="2" t="s">
        <v>169</v>
      </c>
      <c r="AL46" s="4">
        <v>60000</v>
      </c>
      <c r="AM46" s="5">
        <v>0</v>
      </c>
      <c r="AN46" s="2" t="s">
        <v>6</v>
      </c>
    </row>
    <row r="47" spans="1:40" x14ac:dyDescent="0.2">
      <c r="A47" s="7">
        <v>46</v>
      </c>
      <c r="B47" s="2" t="s">
        <v>1104</v>
      </c>
      <c r="C47" s="2" t="s">
        <v>1253</v>
      </c>
      <c r="D47" s="2">
        <v>45658</v>
      </c>
      <c r="E47" s="2" t="s">
        <v>1106</v>
      </c>
      <c r="F47" s="2" t="s">
        <v>141</v>
      </c>
      <c r="G47" s="2">
        <v>45685</v>
      </c>
      <c r="H47" s="2">
        <v>46049</v>
      </c>
      <c r="I47" s="2" t="s">
        <v>1254</v>
      </c>
      <c r="J47" s="2">
        <v>3630289484855</v>
      </c>
      <c r="K47" s="2" t="s">
        <v>46</v>
      </c>
      <c r="L47" s="2">
        <v>0</v>
      </c>
      <c r="M47" s="2" t="s">
        <v>142</v>
      </c>
      <c r="N47" s="2" t="s">
        <v>143</v>
      </c>
      <c r="O47" s="2" t="s">
        <v>1253</v>
      </c>
      <c r="P47" s="2" t="s">
        <v>1109</v>
      </c>
      <c r="Q47" s="2" t="s">
        <v>1239</v>
      </c>
      <c r="R47" s="2" t="s">
        <v>1255</v>
      </c>
      <c r="S47" s="2">
        <v>45691</v>
      </c>
      <c r="T47" s="2">
        <v>46423</v>
      </c>
      <c r="U47" s="2">
        <v>4719000</v>
      </c>
      <c r="V47" s="2" t="s">
        <v>1112</v>
      </c>
      <c r="W47" s="2" t="s">
        <v>1112</v>
      </c>
      <c r="X47" s="2">
        <v>4719000</v>
      </c>
      <c r="Y47" s="2">
        <v>1.5</v>
      </c>
      <c r="Z47" s="2">
        <v>70785</v>
      </c>
      <c r="AA47" s="2"/>
      <c r="AB47" s="2"/>
      <c r="AC47" s="2" t="s">
        <v>1</v>
      </c>
      <c r="AD47" s="2">
        <v>1141072848</v>
      </c>
      <c r="AE47" s="2">
        <v>45722</v>
      </c>
      <c r="AF47" s="2" t="s">
        <v>1113</v>
      </c>
      <c r="AG47" s="2">
        <v>0</v>
      </c>
      <c r="AH47" s="2">
        <v>70785</v>
      </c>
      <c r="AI47" s="3">
        <v>0</v>
      </c>
      <c r="AJ47" s="1"/>
      <c r="AK47" s="2" t="s">
        <v>141</v>
      </c>
      <c r="AL47" s="4">
        <v>70785</v>
      </c>
      <c r="AM47" s="5">
        <v>0</v>
      </c>
      <c r="AN47" s="2" t="s">
        <v>6</v>
      </c>
    </row>
    <row r="48" spans="1:40" x14ac:dyDescent="0.2">
      <c r="A48" s="7">
        <v>47</v>
      </c>
      <c r="B48" s="2" t="s">
        <v>1104</v>
      </c>
      <c r="C48" s="2" t="s">
        <v>1256</v>
      </c>
      <c r="D48" s="2">
        <v>45658</v>
      </c>
      <c r="E48" s="2" t="s">
        <v>1106</v>
      </c>
      <c r="F48" s="2" t="s">
        <v>182</v>
      </c>
      <c r="G48" s="2">
        <v>45688</v>
      </c>
      <c r="H48" s="2">
        <v>46052</v>
      </c>
      <c r="I48" s="2" t="s">
        <v>1257</v>
      </c>
      <c r="J48" s="2">
        <v>3720359937317</v>
      </c>
      <c r="K48" s="2" t="s">
        <v>183</v>
      </c>
      <c r="L48" s="2">
        <v>0</v>
      </c>
      <c r="M48" s="2" t="s">
        <v>184</v>
      </c>
      <c r="N48" s="2" t="s">
        <v>185</v>
      </c>
      <c r="O48" s="2" t="s">
        <v>1256</v>
      </c>
      <c r="P48" s="2" t="s">
        <v>1109</v>
      </c>
      <c r="Q48" s="2" t="s">
        <v>1110</v>
      </c>
      <c r="R48" s="2" t="s">
        <v>1258</v>
      </c>
      <c r="S48" s="2">
        <v>45692</v>
      </c>
      <c r="T48" s="2">
        <v>46788</v>
      </c>
      <c r="U48" s="2">
        <v>3049000</v>
      </c>
      <c r="V48" s="2" t="s">
        <v>1112</v>
      </c>
      <c r="W48" s="2" t="s">
        <v>1112</v>
      </c>
      <c r="X48" s="2">
        <v>3049000</v>
      </c>
      <c r="Y48" s="2">
        <v>2</v>
      </c>
      <c r="Z48" s="2">
        <v>60980</v>
      </c>
      <c r="AA48" s="2"/>
      <c r="AB48" s="2"/>
      <c r="AC48" s="2" t="s">
        <v>1</v>
      </c>
      <c r="AD48" s="2">
        <v>1141072848</v>
      </c>
      <c r="AE48" s="2">
        <v>45722</v>
      </c>
      <c r="AF48" s="2" t="s">
        <v>1113</v>
      </c>
      <c r="AG48" s="2">
        <v>0</v>
      </c>
      <c r="AH48" s="2">
        <v>60980</v>
      </c>
      <c r="AI48" s="3">
        <v>0</v>
      </c>
      <c r="AJ48" s="1"/>
      <c r="AK48" s="2" t="s">
        <v>182</v>
      </c>
      <c r="AL48" s="4">
        <v>60980</v>
      </c>
      <c r="AM48" s="5">
        <v>0</v>
      </c>
      <c r="AN48" s="2" t="s">
        <v>6</v>
      </c>
    </row>
    <row r="49" spans="1:40" x14ac:dyDescent="0.2">
      <c r="A49" s="7">
        <v>48</v>
      </c>
      <c r="B49" s="2" t="s">
        <v>1104</v>
      </c>
      <c r="C49" s="2" t="s">
        <v>1259</v>
      </c>
      <c r="D49" s="2">
        <v>45658</v>
      </c>
      <c r="E49" s="2" t="s">
        <v>1106</v>
      </c>
      <c r="F49" s="2" t="s">
        <v>209</v>
      </c>
      <c r="G49" s="2">
        <v>45688</v>
      </c>
      <c r="H49" s="2">
        <v>46052</v>
      </c>
      <c r="I49" s="2" t="s">
        <v>1260</v>
      </c>
      <c r="J49" s="2">
        <v>3120229042731</v>
      </c>
      <c r="K49" s="2" t="s">
        <v>3</v>
      </c>
      <c r="L49" s="2" t="s">
        <v>210</v>
      </c>
      <c r="M49" s="2" t="s">
        <v>211</v>
      </c>
      <c r="N49" s="2" t="s">
        <v>212</v>
      </c>
      <c r="O49" s="2" t="s">
        <v>1259</v>
      </c>
      <c r="P49" s="2" t="s">
        <v>1109</v>
      </c>
      <c r="Q49" s="2" t="s">
        <v>1116</v>
      </c>
      <c r="R49" s="2" t="s">
        <v>1261</v>
      </c>
      <c r="S49" s="2">
        <v>45692</v>
      </c>
      <c r="T49" s="2">
        <v>46788</v>
      </c>
      <c r="U49" s="2">
        <v>4500000</v>
      </c>
      <c r="V49" s="2" t="s">
        <v>1112</v>
      </c>
      <c r="W49" s="2" t="s">
        <v>1112</v>
      </c>
      <c r="X49" s="2">
        <v>4500000</v>
      </c>
      <c r="Y49" s="2">
        <v>1.5</v>
      </c>
      <c r="Z49" s="2">
        <v>67500</v>
      </c>
      <c r="AA49" s="2"/>
      <c r="AB49" s="2"/>
      <c r="AC49" s="2" t="s">
        <v>1</v>
      </c>
      <c r="AD49" s="2">
        <v>1141072848</v>
      </c>
      <c r="AE49" s="2">
        <v>45722</v>
      </c>
      <c r="AF49" s="2" t="s">
        <v>1113</v>
      </c>
      <c r="AG49" s="2">
        <v>0</v>
      </c>
      <c r="AH49" s="2">
        <v>67500</v>
      </c>
      <c r="AI49" s="3">
        <v>0</v>
      </c>
      <c r="AJ49" s="1"/>
      <c r="AK49" s="2" t="s">
        <v>209</v>
      </c>
      <c r="AL49" s="4">
        <v>67500</v>
      </c>
      <c r="AM49" s="5">
        <v>0</v>
      </c>
      <c r="AN49" s="2" t="s">
        <v>6</v>
      </c>
    </row>
    <row r="50" spans="1:40" x14ac:dyDescent="0.2">
      <c r="A50" s="7">
        <v>49</v>
      </c>
      <c r="B50" s="2" t="s">
        <v>1104</v>
      </c>
      <c r="C50" s="2" t="s">
        <v>1262</v>
      </c>
      <c r="D50" s="2">
        <v>45658</v>
      </c>
      <c r="E50" s="2" t="s">
        <v>1106</v>
      </c>
      <c r="F50" s="2" t="s">
        <v>206</v>
      </c>
      <c r="G50" s="2">
        <v>45688</v>
      </c>
      <c r="H50" s="2">
        <v>46052</v>
      </c>
      <c r="I50" s="2" t="s">
        <v>1263</v>
      </c>
      <c r="J50" s="2">
        <v>3310013529273</v>
      </c>
      <c r="K50" s="2" t="s">
        <v>14</v>
      </c>
      <c r="L50" s="2" t="s">
        <v>1264</v>
      </c>
      <c r="M50" s="2" t="s">
        <v>207</v>
      </c>
      <c r="N50" s="2" t="s">
        <v>208</v>
      </c>
      <c r="O50" s="2" t="s">
        <v>1262</v>
      </c>
      <c r="P50" s="2" t="s">
        <v>1109</v>
      </c>
      <c r="Q50" s="2" t="s">
        <v>1129</v>
      </c>
      <c r="R50" s="2" t="s">
        <v>1265</v>
      </c>
      <c r="S50" s="2">
        <v>45692</v>
      </c>
      <c r="T50" s="2">
        <v>46423</v>
      </c>
      <c r="U50" s="2">
        <v>2400000</v>
      </c>
      <c r="V50" s="2" t="s">
        <v>1112</v>
      </c>
      <c r="W50" s="2" t="s">
        <v>1112</v>
      </c>
      <c r="X50" s="2">
        <v>2400000</v>
      </c>
      <c r="Y50" s="2">
        <v>2</v>
      </c>
      <c r="Z50" s="2">
        <v>48000</v>
      </c>
      <c r="AA50" s="2"/>
      <c r="AB50" s="2"/>
      <c r="AC50" s="2" t="s">
        <v>1</v>
      </c>
      <c r="AD50" s="2">
        <v>1141072848</v>
      </c>
      <c r="AE50" s="2">
        <v>45722</v>
      </c>
      <c r="AF50" s="2" t="s">
        <v>1113</v>
      </c>
      <c r="AG50" s="2">
        <v>0</v>
      </c>
      <c r="AH50" s="2">
        <v>48000</v>
      </c>
      <c r="AI50" s="3">
        <v>0</v>
      </c>
      <c r="AJ50" s="1"/>
      <c r="AK50" s="2" t="s">
        <v>206</v>
      </c>
      <c r="AL50" s="4">
        <v>48000</v>
      </c>
      <c r="AM50" s="5">
        <v>0</v>
      </c>
      <c r="AN50" s="2" t="s">
        <v>6</v>
      </c>
    </row>
    <row r="51" spans="1:40" x14ac:dyDescent="0.2">
      <c r="A51" s="7">
        <v>50</v>
      </c>
      <c r="B51" s="2" t="s">
        <v>1104</v>
      </c>
      <c r="C51" s="2" t="s">
        <v>1266</v>
      </c>
      <c r="D51" s="2">
        <v>45658</v>
      </c>
      <c r="E51" s="2" t="s">
        <v>1106</v>
      </c>
      <c r="F51" s="2" t="s">
        <v>125</v>
      </c>
      <c r="G51" s="2">
        <v>45684</v>
      </c>
      <c r="H51" s="2">
        <v>46048</v>
      </c>
      <c r="I51" s="2" t="s">
        <v>1267</v>
      </c>
      <c r="J51" s="2">
        <v>4210103032329</v>
      </c>
      <c r="K51" s="2" t="s">
        <v>9</v>
      </c>
      <c r="L51" s="2" t="s">
        <v>1108</v>
      </c>
      <c r="M51" s="2" t="s">
        <v>126</v>
      </c>
      <c r="N51" s="2" t="s">
        <v>127</v>
      </c>
      <c r="O51" s="2" t="s">
        <v>1266</v>
      </c>
      <c r="P51" s="2" t="s">
        <v>1143</v>
      </c>
      <c r="Q51" s="2" t="s">
        <v>1144</v>
      </c>
      <c r="R51" s="2" t="s">
        <v>1268</v>
      </c>
      <c r="S51" s="2">
        <v>45686</v>
      </c>
      <c r="T51" s="2">
        <v>47519</v>
      </c>
      <c r="U51" s="2">
        <v>3045000</v>
      </c>
      <c r="V51" s="2" t="s">
        <v>1112</v>
      </c>
      <c r="W51" s="2" t="s">
        <v>1112</v>
      </c>
      <c r="X51" s="2">
        <v>3045000</v>
      </c>
      <c r="Y51" s="2">
        <v>2</v>
      </c>
      <c r="Z51" s="2">
        <v>60900</v>
      </c>
      <c r="AA51" s="2"/>
      <c r="AB51" s="2"/>
      <c r="AC51" s="2" t="s">
        <v>1</v>
      </c>
      <c r="AD51" s="2">
        <v>1141072848</v>
      </c>
      <c r="AE51" s="2">
        <v>45722</v>
      </c>
      <c r="AF51" s="2" t="s">
        <v>1113</v>
      </c>
      <c r="AG51" s="2">
        <v>0</v>
      </c>
      <c r="AH51" s="2">
        <v>60900</v>
      </c>
      <c r="AI51" s="3">
        <v>0</v>
      </c>
      <c r="AJ51" s="1"/>
      <c r="AK51" s="2" t="s">
        <v>125</v>
      </c>
      <c r="AL51" s="4">
        <v>60900</v>
      </c>
      <c r="AM51" s="5">
        <v>0</v>
      </c>
      <c r="AN51" s="2" t="s">
        <v>6</v>
      </c>
    </row>
    <row r="52" spans="1:40" x14ac:dyDescent="0.2">
      <c r="A52" s="7">
        <v>51</v>
      </c>
      <c r="B52" s="2" t="s">
        <v>1104</v>
      </c>
      <c r="C52" s="2" t="s">
        <v>1269</v>
      </c>
      <c r="D52" s="2">
        <v>45658</v>
      </c>
      <c r="E52" s="2" t="s">
        <v>1106</v>
      </c>
      <c r="F52" s="2" t="s">
        <v>198</v>
      </c>
      <c r="G52" s="2">
        <v>45688</v>
      </c>
      <c r="H52" s="2">
        <v>46052</v>
      </c>
      <c r="I52" s="2" t="s">
        <v>1270</v>
      </c>
      <c r="J52" s="2">
        <v>4210167686789</v>
      </c>
      <c r="K52" s="2" t="s">
        <v>199</v>
      </c>
      <c r="L52" s="2" t="s">
        <v>200</v>
      </c>
      <c r="M52" s="2" t="s">
        <v>201</v>
      </c>
      <c r="N52" s="2" t="s">
        <v>202</v>
      </c>
      <c r="O52" s="2" t="s">
        <v>1269</v>
      </c>
      <c r="P52" s="2" t="s">
        <v>1143</v>
      </c>
      <c r="Q52" s="2" t="s">
        <v>1271</v>
      </c>
      <c r="R52" s="2" t="s">
        <v>1272</v>
      </c>
      <c r="S52" s="2">
        <v>45691</v>
      </c>
      <c r="T52" s="2">
        <v>46788</v>
      </c>
      <c r="U52" s="2">
        <v>4150000</v>
      </c>
      <c r="V52" s="2" t="s">
        <v>1112</v>
      </c>
      <c r="W52" s="2" t="s">
        <v>1112</v>
      </c>
      <c r="X52" s="2">
        <v>4150000</v>
      </c>
      <c r="Y52" s="2">
        <v>1.5</v>
      </c>
      <c r="Z52" s="2">
        <v>62250</v>
      </c>
      <c r="AA52" s="2"/>
      <c r="AB52" s="2"/>
      <c r="AC52" s="2" t="s">
        <v>1</v>
      </c>
      <c r="AD52" s="2">
        <v>1141072848</v>
      </c>
      <c r="AE52" s="2">
        <v>45722</v>
      </c>
      <c r="AF52" s="2" t="s">
        <v>1113</v>
      </c>
      <c r="AG52" s="2">
        <v>0</v>
      </c>
      <c r="AH52" s="2">
        <v>62250</v>
      </c>
      <c r="AI52" s="3">
        <v>0</v>
      </c>
      <c r="AJ52" s="1"/>
      <c r="AK52" s="2" t="s">
        <v>198</v>
      </c>
      <c r="AL52" s="4">
        <v>62250</v>
      </c>
      <c r="AM52" s="5">
        <v>0</v>
      </c>
      <c r="AN52" s="2" t="s">
        <v>6</v>
      </c>
    </row>
    <row r="53" spans="1:40" x14ac:dyDescent="0.2">
      <c r="A53" s="7">
        <v>52</v>
      </c>
      <c r="B53" s="2" t="s">
        <v>1104</v>
      </c>
      <c r="C53" s="2" t="s">
        <v>1273</v>
      </c>
      <c r="D53" s="2">
        <v>45658</v>
      </c>
      <c r="E53" s="2" t="s">
        <v>1106</v>
      </c>
      <c r="F53" s="2" t="s">
        <v>165</v>
      </c>
      <c r="G53" s="2">
        <v>45687</v>
      </c>
      <c r="H53" s="2">
        <v>46051</v>
      </c>
      <c r="I53" s="2" t="s">
        <v>1274</v>
      </c>
      <c r="J53" s="2">
        <v>3520167218005</v>
      </c>
      <c r="K53" s="2" t="s">
        <v>18</v>
      </c>
      <c r="L53" s="2" t="s">
        <v>166</v>
      </c>
      <c r="M53" s="2" t="s">
        <v>167</v>
      </c>
      <c r="N53" s="2" t="s">
        <v>168</v>
      </c>
      <c r="O53" s="2" t="s">
        <v>1273</v>
      </c>
      <c r="P53" s="2" t="s">
        <v>1109</v>
      </c>
      <c r="Q53" s="2" t="s">
        <v>1116</v>
      </c>
      <c r="R53" s="2" t="s">
        <v>1275</v>
      </c>
      <c r="S53" s="2">
        <v>45691</v>
      </c>
      <c r="T53" s="2">
        <v>46788</v>
      </c>
      <c r="U53" s="2">
        <v>3500000</v>
      </c>
      <c r="V53" s="2" t="s">
        <v>1112</v>
      </c>
      <c r="W53" s="2" t="s">
        <v>1112</v>
      </c>
      <c r="X53" s="2">
        <v>3500000</v>
      </c>
      <c r="Y53" s="2">
        <v>1.5</v>
      </c>
      <c r="Z53" s="2">
        <v>52500</v>
      </c>
      <c r="AA53" s="2"/>
      <c r="AB53" s="2"/>
      <c r="AC53" s="2" t="s">
        <v>1</v>
      </c>
      <c r="AD53" s="2">
        <v>1141072848</v>
      </c>
      <c r="AE53" s="2">
        <v>45722</v>
      </c>
      <c r="AF53" s="2" t="s">
        <v>1113</v>
      </c>
      <c r="AG53" s="2">
        <v>0</v>
      </c>
      <c r="AH53" s="2">
        <v>52500</v>
      </c>
      <c r="AI53" s="3">
        <v>0</v>
      </c>
      <c r="AJ53" s="1"/>
      <c r="AK53" s="2" t="s">
        <v>165</v>
      </c>
      <c r="AL53" s="4">
        <v>52500</v>
      </c>
      <c r="AM53" s="5">
        <v>0</v>
      </c>
      <c r="AN53" s="2" t="s">
        <v>6</v>
      </c>
    </row>
    <row r="54" spans="1:40" x14ac:dyDescent="0.2">
      <c r="A54" s="7">
        <v>53</v>
      </c>
      <c r="B54" s="2" t="s">
        <v>1104</v>
      </c>
      <c r="C54" s="2" t="s">
        <v>1276</v>
      </c>
      <c r="D54" s="2">
        <v>45658</v>
      </c>
      <c r="E54" s="2" t="s">
        <v>1106</v>
      </c>
      <c r="F54" s="2" t="s">
        <v>128</v>
      </c>
      <c r="G54" s="2">
        <v>45684</v>
      </c>
      <c r="H54" s="2">
        <v>46048</v>
      </c>
      <c r="I54" s="2" t="s">
        <v>1277</v>
      </c>
      <c r="J54" s="2">
        <v>3620371476273</v>
      </c>
      <c r="K54" s="2" t="s">
        <v>129</v>
      </c>
      <c r="L54" s="2" t="s">
        <v>130</v>
      </c>
      <c r="M54" s="2" t="s">
        <v>131</v>
      </c>
      <c r="N54" s="2" t="s">
        <v>132</v>
      </c>
      <c r="O54" s="2" t="s">
        <v>1276</v>
      </c>
      <c r="P54" s="2" t="s">
        <v>1109</v>
      </c>
      <c r="Q54" s="2" t="s">
        <v>1116</v>
      </c>
      <c r="R54" s="2" t="s">
        <v>1278</v>
      </c>
      <c r="S54" s="2">
        <v>45687</v>
      </c>
      <c r="T54" s="2">
        <v>47154</v>
      </c>
      <c r="U54" s="2">
        <v>4000000</v>
      </c>
      <c r="V54" s="2" t="s">
        <v>1112</v>
      </c>
      <c r="W54" s="2" t="s">
        <v>1112</v>
      </c>
      <c r="X54" s="2">
        <v>4000000</v>
      </c>
      <c r="Y54" s="2">
        <v>1.5</v>
      </c>
      <c r="Z54" s="2">
        <v>60000</v>
      </c>
      <c r="AA54" s="2"/>
      <c r="AB54" s="2"/>
      <c r="AC54" s="2" t="s">
        <v>1</v>
      </c>
      <c r="AD54" s="2">
        <v>1141072848</v>
      </c>
      <c r="AE54" s="2">
        <v>45722</v>
      </c>
      <c r="AF54" s="2" t="s">
        <v>1113</v>
      </c>
      <c r="AG54" s="2">
        <v>0</v>
      </c>
      <c r="AH54" s="2">
        <v>60000</v>
      </c>
      <c r="AI54" s="3">
        <v>0</v>
      </c>
      <c r="AJ54" s="1"/>
      <c r="AK54" s="2" t="s">
        <v>128</v>
      </c>
      <c r="AL54" s="4">
        <v>60000</v>
      </c>
      <c r="AM54" s="5">
        <v>0</v>
      </c>
      <c r="AN54" s="2" t="s">
        <v>6</v>
      </c>
    </row>
    <row r="55" spans="1:40" x14ac:dyDescent="0.2">
      <c r="A55" s="7">
        <v>54</v>
      </c>
      <c r="B55" s="2" t="s">
        <v>1104</v>
      </c>
      <c r="C55" s="2" t="s">
        <v>1279</v>
      </c>
      <c r="D55" s="2">
        <v>45658</v>
      </c>
      <c r="E55" s="2" t="s">
        <v>1106</v>
      </c>
      <c r="F55" s="2" t="s">
        <v>186</v>
      </c>
      <c r="G55" s="2">
        <v>45688</v>
      </c>
      <c r="H55" s="2">
        <v>46052</v>
      </c>
      <c r="I55" s="2" t="s">
        <v>1280</v>
      </c>
      <c r="J55" s="2">
        <v>3520228719821</v>
      </c>
      <c r="K55" s="2" t="s">
        <v>187</v>
      </c>
      <c r="L55" s="2" t="s">
        <v>188</v>
      </c>
      <c r="M55" s="2" t="s">
        <v>189</v>
      </c>
      <c r="N55" s="2" t="s">
        <v>190</v>
      </c>
      <c r="O55" s="2" t="s">
        <v>1279</v>
      </c>
      <c r="P55" s="2" t="s">
        <v>1109</v>
      </c>
      <c r="Q55" s="2" t="s">
        <v>1116</v>
      </c>
      <c r="R55" s="2" t="s">
        <v>1281</v>
      </c>
      <c r="S55" s="2">
        <v>45691</v>
      </c>
      <c r="T55" s="2">
        <v>46423</v>
      </c>
      <c r="U55" s="2">
        <v>3000000</v>
      </c>
      <c r="V55" s="2" t="s">
        <v>1112</v>
      </c>
      <c r="W55" s="2" t="s">
        <v>1112</v>
      </c>
      <c r="X55" s="2">
        <v>3000000</v>
      </c>
      <c r="Y55" s="2">
        <v>2</v>
      </c>
      <c r="Z55" s="2">
        <v>60000</v>
      </c>
      <c r="AA55" s="2"/>
      <c r="AB55" s="2"/>
      <c r="AC55" s="2" t="s">
        <v>1</v>
      </c>
      <c r="AD55" s="2">
        <v>1141072848</v>
      </c>
      <c r="AE55" s="2">
        <v>45722</v>
      </c>
      <c r="AF55" s="2" t="s">
        <v>1113</v>
      </c>
      <c r="AG55" s="2">
        <v>0</v>
      </c>
      <c r="AH55" s="2">
        <v>60000</v>
      </c>
      <c r="AI55" s="3">
        <v>0</v>
      </c>
      <c r="AJ55" s="1"/>
      <c r="AK55" s="2" t="s">
        <v>186</v>
      </c>
      <c r="AL55" s="4">
        <v>60000</v>
      </c>
      <c r="AM55" s="5">
        <v>0</v>
      </c>
      <c r="AN55" s="2" t="s">
        <v>6</v>
      </c>
    </row>
    <row r="56" spans="1:40" x14ac:dyDescent="0.2">
      <c r="A56" s="7">
        <v>55</v>
      </c>
      <c r="B56" s="2" t="s">
        <v>1104</v>
      </c>
      <c r="C56" s="2" t="s">
        <v>1282</v>
      </c>
      <c r="D56" s="2">
        <v>45658</v>
      </c>
      <c r="E56" s="2" t="s">
        <v>1106</v>
      </c>
      <c r="F56" s="2" t="s">
        <v>110</v>
      </c>
      <c r="G56" s="2">
        <v>45680</v>
      </c>
      <c r="H56" s="2">
        <v>46044</v>
      </c>
      <c r="I56" s="2" t="s">
        <v>1283</v>
      </c>
      <c r="J56" s="2">
        <v>3630262658599</v>
      </c>
      <c r="K56" s="2" t="s">
        <v>13</v>
      </c>
      <c r="L56" s="2" t="s">
        <v>111</v>
      </c>
      <c r="M56" s="2" t="s">
        <v>112</v>
      </c>
      <c r="N56" s="2" t="s">
        <v>113</v>
      </c>
      <c r="O56" s="2" t="s">
        <v>1284</v>
      </c>
      <c r="P56" s="2" t="s">
        <v>1109</v>
      </c>
      <c r="Q56" s="2" t="s">
        <v>1239</v>
      </c>
      <c r="R56" s="2" t="s">
        <v>1285</v>
      </c>
      <c r="S56" s="2">
        <v>45695</v>
      </c>
      <c r="T56" s="2">
        <v>47154</v>
      </c>
      <c r="U56" s="2">
        <v>6900000</v>
      </c>
      <c r="V56" s="2" t="s">
        <v>1112</v>
      </c>
      <c r="W56" s="2" t="s">
        <v>1112</v>
      </c>
      <c r="X56" s="2">
        <v>6900000</v>
      </c>
      <c r="Y56" s="2">
        <v>1.5</v>
      </c>
      <c r="Z56" s="2">
        <v>103500</v>
      </c>
      <c r="AA56" s="2"/>
      <c r="AB56" s="2"/>
      <c r="AC56" s="2" t="s">
        <v>1</v>
      </c>
      <c r="AD56" s="2">
        <v>1141072848</v>
      </c>
      <c r="AE56" s="2">
        <v>45722</v>
      </c>
      <c r="AF56" s="2" t="s">
        <v>1113</v>
      </c>
      <c r="AG56" s="2">
        <v>0</v>
      </c>
      <c r="AH56" s="2">
        <v>103500</v>
      </c>
      <c r="AI56" s="3">
        <v>0</v>
      </c>
      <c r="AJ56" s="1"/>
      <c r="AK56" s="2" t="s">
        <v>110</v>
      </c>
      <c r="AL56" s="4">
        <v>103500</v>
      </c>
      <c r="AM56" s="5">
        <v>0</v>
      </c>
      <c r="AN56" s="2" t="s">
        <v>6</v>
      </c>
    </row>
    <row r="57" spans="1:40" x14ac:dyDescent="0.2">
      <c r="A57" s="7">
        <v>56</v>
      </c>
      <c r="B57" s="2" t="s">
        <v>1104</v>
      </c>
      <c r="C57" s="2" t="s">
        <v>1286</v>
      </c>
      <c r="D57" s="2">
        <v>45658</v>
      </c>
      <c r="E57" s="2" t="s">
        <v>1106</v>
      </c>
      <c r="F57" s="2" t="s">
        <v>213</v>
      </c>
      <c r="G57" s="2">
        <v>45688</v>
      </c>
      <c r="H57" s="2">
        <v>46052</v>
      </c>
      <c r="I57" s="2" t="s">
        <v>1287</v>
      </c>
      <c r="J57" s="2">
        <v>3650267382031</v>
      </c>
      <c r="K57" s="2" t="s">
        <v>8</v>
      </c>
      <c r="L57" s="2" t="s">
        <v>214</v>
      </c>
      <c r="M57" s="2" t="s">
        <v>215</v>
      </c>
      <c r="N57" s="2" t="s">
        <v>216</v>
      </c>
      <c r="O57" s="2" t="s">
        <v>1286</v>
      </c>
      <c r="P57" s="2" t="s">
        <v>1109</v>
      </c>
      <c r="Q57" s="2" t="s">
        <v>1288</v>
      </c>
      <c r="R57" s="2" t="s">
        <v>1289</v>
      </c>
      <c r="S57" s="2">
        <v>45691</v>
      </c>
      <c r="T57" s="2">
        <v>47154</v>
      </c>
      <c r="U57" s="2">
        <v>2600000</v>
      </c>
      <c r="V57" s="2" t="s">
        <v>1112</v>
      </c>
      <c r="W57" s="2" t="s">
        <v>1112</v>
      </c>
      <c r="X57" s="2">
        <v>2600000</v>
      </c>
      <c r="Y57" s="2">
        <v>2</v>
      </c>
      <c r="Z57" s="2">
        <v>52000</v>
      </c>
      <c r="AA57" s="2"/>
      <c r="AB57" s="2"/>
      <c r="AC57" s="2" t="s">
        <v>1</v>
      </c>
      <c r="AD57" s="2">
        <v>1141072848</v>
      </c>
      <c r="AE57" s="2">
        <v>45722</v>
      </c>
      <c r="AF57" s="2" t="s">
        <v>1113</v>
      </c>
      <c r="AG57" s="2">
        <v>0</v>
      </c>
      <c r="AH57" s="2">
        <v>52000</v>
      </c>
      <c r="AI57" s="3">
        <v>0</v>
      </c>
      <c r="AJ57" s="1"/>
      <c r="AK57" s="2" t="s">
        <v>213</v>
      </c>
      <c r="AL57" s="4">
        <v>52000</v>
      </c>
      <c r="AM57" s="5">
        <v>0</v>
      </c>
      <c r="AN57" s="2" t="s">
        <v>6</v>
      </c>
    </row>
    <row r="58" spans="1:40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10">
        <f>SUM(Z2:Z57)</f>
        <v>3561190</v>
      </c>
      <c r="AA58" s="6"/>
      <c r="AB58" s="6"/>
      <c r="AC58" s="6"/>
      <c r="AD58" s="6"/>
      <c r="AE58" s="6"/>
      <c r="AF58" s="6"/>
      <c r="AG58" s="6"/>
      <c r="AH58" s="10">
        <f>SUM(AH2:AH57)</f>
        <v>3561190</v>
      </c>
      <c r="AI58" s="6"/>
      <c r="AJ58" s="6"/>
      <c r="AK58" s="6"/>
      <c r="AL58" s="11">
        <v>3561190</v>
      </c>
      <c r="AM58" s="6"/>
      <c r="AN5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51"/>
  <sheetViews>
    <sheetView tabSelected="1" topLeftCell="AH245" workbookViewId="0">
      <selection activeCell="AI2" sqref="AI2:AI250"/>
    </sheetView>
  </sheetViews>
  <sheetFormatPr defaultRowHeight="12.75" x14ac:dyDescent="0.2"/>
  <cols>
    <col min="2" max="9" width="0" hidden="1" customWidth="1"/>
    <col min="10" max="10" width="10.85546875" hidden="1" customWidth="1"/>
    <col min="11" max="25" width="0" hidden="1" customWidth="1"/>
    <col min="26" max="26" width="13.140625" hidden="1" customWidth="1"/>
    <col min="27" max="33" width="0" hidden="1" customWidth="1"/>
    <col min="34" max="34" width="41.28515625" bestFit="1" customWidth="1"/>
    <col min="35" max="35" width="12.42578125" bestFit="1" customWidth="1"/>
    <col min="36" max="36" width="16.28515625" bestFit="1" customWidth="1"/>
  </cols>
  <sheetData>
    <row r="1" spans="1:37" x14ac:dyDescent="0.2">
      <c r="A1" s="8" t="s">
        <v>0</v>
      </c>
      <c r="B1" s="8" t="s">
        <v>1295</v>
      </c>
      <c r="C1" s="8" t="s">
        <v>1072</v>
      </c>
      <c r="D1" s="8" t="s">
        <v>1073</v>
      </c>
      <c r="E1" s="8" t="s">
        <v>1074</v>
      </c>
      <c r="F1" s="8" t="s">
        <v>1075</v>
      </c>
      <c r="G1" s="8" t="s">
        <v>1076</v>
      </c>
      <c r="H1" s="8" t="s">
        <v>1077</v>
      </c>
      <c r="I1" s="8" t="s">
        <v>1078</v>
      </c>
      <c r="J1" s="8" t="s">
        <v>2</v>
      </c>
      <c r="K1" s="8" t="s">
        <v>1079</v>
      </c>
      <c r="L1" s="8" t="s">
        <v>1080</v>
      </c>
      <c r="M1" s="8" t="s">
        <v>1081</v>
      </c>
      <c r="N1" s="8" t="s">
        <v>1082</v>
      </c>
      <c r="O1" s="8" t="s">
        <v>1072</v>
      </c>
      <c r="P1" s="8" t="s">
        <v>1083</v>
      </c>
      <c r="Q1" s="8" t="s">
        <v>1084</v>
      </c>
      <c r="R1" s="8" t="s">
        <v>1085</v>
      </c>
      <c r="S1" s="8" t="s">
        <v>1086</v>
      </c>
      <c r="T1" s="8" t="s">
        <v>1087</v>
      </c>
      <c r="U1" s="8" t="s">
        <v>1088</v>
      </c>
      <c r="V1" s="8" t="s">
        <v>1089</v>
      </c>
      <c r="W1" s="8" t="s">
        <v>1090</v>
      </c>
      <c r="X1" s="8" t="s">
        <v>1091</v>
      </c>
      <c r="Y1" s="8" t="s">
        <v>1092</v>
      </c>
      <c r="Z1" s="8" t="s">
        <v>1093</v>
      </c>
      <c r="AA1" s="8" t="s">
        <v>1094</v>
      </c>
      <c r="AB1" s="8" t="s">
        <v>1095</v>
      </c>
      <c r="AC1" s="8" t="s">
        <v>1096</v>
      </c>
      <c r="AD1" s="8" t="s">
        <v>1097</v>
      </c>
      <c r="AE1" s="8" t="s">
        <v>1098</v>
      </c>
      <c r="AF1" s="8" t="s">
        <v>1099</v>
      </c>
      <c r="AG1" s="8" t="s">
        <v>1100</v>
      </c>
      <c r="AH1" s="8" t="s">
        <v>1290</v>
      </c>
      <c r="AI1" s="8" t="s">
        <v>1291</v>
      </c>
      <c r="AJ1" s="8" t="s">
        <v>1292</v>
      </c>
      <c r="AK1" s="8" t="s">
        <v>1293</v>
      </c>
    </row>
    <row r="2" spans="1:37" x14ac:dyDescent="0.2">
      <c r="A2" s="12">
        <v>1</v>
      </c>
      <c r="B2" s="2" t="s">
        <v>1295</v>
      </c>
      <c r="C2" s="2" t="s">
        <v>1296</v>
      </c>
      <c r="D2" s="2">
        <v>45627</v>
      </c>
      <c r="E2" s="2" t="s">
        <v>1297</v>
      </c>
      <c r="F2" s="2" t="s">
        <v>24</v>
      </c>
      <c r="G2" s="2">
        <v>45657</v>
      </c>
      <c r="H2" s="2">
        <v>46021</v>
      </c>
      <c r="I2" s="2" t="s">
        <v>1298</v>
      </c>
      <c r="J2" s="2">
        <v>3540117990095</v>
      </c>
      <c r="K2" s="2" t="s">
        <v>10</v>
      </c>
      <c r="L2" s="2" t="s">
        <v>25</v>
      </c>
      <c r="M2" s="2" t="s">
        <v>26</v>
      </c>
      <c r="N2" s="2" t="s">
        <v>27</v>
      </c>
      <c r="O2" s="2" t="s">
        <v>1296</v>
      </c>
      <c r="P2" s="2" t="s">
        <v>1109</v>
      </c>
      <c r="Q2" s="2" t="s">
        <v>1299</v>
      </c>
      <c r="R2" s="2" t="s">
        <v>1300</v>
      </c>
      <c r="S2" s="2">
        <v>43481</v>
      </c>
      <c r="T2" s="2">
        <v>46058</v>
      </c>
      <c r="U2" s="2">
        <v>1531000</v>
      </c>
      <c r="V2" s="2">
        <v>35</v>
      </c>
      <c r="W2" s="2">
        <v>535850</v>
      </c>
      <c r="X2" s="2">
        <v>995150</v>
      </c>
      <c r="Y2" s="2">
        <v>3.75</v>
      </c>
      <c r="Z2" s="2">
        <v>37318.125</v>
      </c>
      <c r="AA2" s="2"/>
      <c r="AB2" s="2"/>
      <c r="AC2" s="2" t="s">
        <v>1301</v>
      </c>
      <c r="AD2" s="2">
        <v>1141072794</v>
      </c>
      <c r="AE2" s="2">
        <v>45720</v>
      </c>
      <c r="AF2" s="2" t="s">
        <v>1113</v>
      </c>
      <c r="AG2" s="2">
        <v>0</v>
      </c>
      <c r="AH2" s="2" t="s">
        <v>24</v>
      </c>
      <c r="AI2" s="4">
        <v>37318</v>
      </c>
      <c r="AJ2" s="2">
        <v>-0.125</v>
      </c>
      <c r="AK2" s="2" t="s">
        <v>4</v>
      </c>
    </row>
    <row r="3" spans="1:37" x14ac:dyDescent="0.2">
      <c r="A3" s="12">
        <v>2</v>
      </c>
      <c r="B3" s="2" t="s">
        <v>1295</v>
      </c>
      <c r="C3" s="2" t="s">
        <v>1302</v>
      </c>
      <c r="D3" s="2">
        <v>45627</v>
      </c>
      <c r="E3" s="2" t="s">
        <v>1106</v>
      </c>
      <c r="F3" s="2" t="s">
        <v>19</v>
      </c>
      <c r="G3" s="2">
        <v>45657</v>
      </c>
      <c r="H3" s="2">
        <v>46021</v>
      </c>
      <c r="I3" s="2" t="s">
        <v>1303</v>
      </c>
      <c r="J3" s="2">
        <v>4130871473665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1302</v>
      </c>
      <c r="P3" s="2" t="s">
        <v>1143</v>
      </c>
      <c r="Q3" s="2" t="s">
        <v>1304</v>
      </c>
      <c r="R3" s="2" t="s">
        <v>1305</v>
      </c>
      <c r="S3" s="2">
        <v>43502</v>
      </c>
      <c r="T3" s="2">
        <v>46058</v>
      </c>
      <c r="U3" s="2">
        <v>840000</v>
      </c>
      <c r="V3" s="2">
        <v>35</v>
      </c>
      <c r="W3" s="2">
        <v>294000</v>
      </c>
      <c r="X3" s="2">
        <v>546000</v>
      </c>
      <c r="Y3" s="2">
        <v>3.75</v>
      </c>
      <c r="Z3" s="2">
        <v>20475</v>
      </c>
      <c r="AA3" s="2"/>
      <c r="AB3" s="2"/>
      <c r="AC3" s="2" t="s">
        <v>1301</v>
      </c>
      <c r="AD3" s="2">
        <v>1141072794</v>
      </c>
      <c r="AE3" s="2">
        <v>45720</v>
      </c>
      <c r="AF3" s="2" t="s">
        <v>1113</v>
      </c>
      <c r="AG3" s="2">
        <v>0</v>
      </c>
      <c r="AH3" s="2" t="s">
        <v>19</v>
      </c>
      <c r="AI3" s="4">
        <v>20475</v>
      </c>
      <c r="AJ3" s="2">
        <v>0</v>
      </c>
      <c r="AK3" s="2" t="s">
        <v>4</v>
      </c>
    </row>
    <row r="4" spans="1:37" x14ac:dyDescent="0.2">
      <c r="A4" s="12">
        <v>3</v>
      </c>
      <c r="B4" s="2" t="s">
        <v>1295</v>
      </c>
      <c r="C4" s="2" t="s">
        <v>1306</v>
      </c>
      <c r="D4" s="2">
        <v>45658</v>
      </c>
      <c r="E4" s="2" t="s">
        <v>1106</v>
      </c>
      <c r="F4" s="2" t="s">
        <v>1003</v>
      </c>
      <c r="G4" s="2">
        <v>45682</v>
      </c>
      <c r="H4" s="2">
        <v>46046</v>
      </c>
      <c r="I4" s="2" t="s">
        <v>1307</v>
      </c>
      <c r="J4" s="2">
        <v>1560264311279</v>
      </c>
      <c r="K4" s="2" t="s">
        <v>1004</v>
      </c>
      <c r="L4" s="2" t="s">
        <v>1005</v>
      </c>
      <c r="M4" s="2" t="s">
        <v>1006</v>
      </c>
      <c r="N4" s="2" t="s">
        <v>1007</v>
      </c>
      <c r="O4" s="2" t="s">
        <v>1306</v>
      </c>
      <c r="P4" s="2" t="s">
        <v>1308</v>
      </c>
      <c r="Q4" s="2" t="s">
        <v>1309</v>
      </c>
      <c r="R4" s="2" t="s">
        <v>1310</v>
      </c>
      <c r="S4" s="2">
        <v>43860</v>
      </c>
      <c r="T4" s="2">
        <v>46058</v>
      </c>
      <c r="U4" s="2">
        <v>3736500</v>
      </c>
      <c r="V4" s="2">
        <v>30</v>
      </c>
      <c r="W4" s="2">
        <v>1120950</v>
      </c>
      <c r="X4" s="2">
        <v>2615550</v>
      </c>
      <c r="Y4" s="2">
        <v>1.5</v>
      </c>
      <c r="Z4" s="2">
        <v>39233.25</v>
      </c>
      <c r="AA4" s="2"/>
      <c r="AB4" s="2"/>
      <c r="AC4" s="2" t="s">
        <v>1301</v>
      </c>
      <c r="AD4" s="2">
        <v>1141072794</v>
      </c>
      <c r="AE4" s="2">
        <v>45720</v>
      </c>
      <c r="AF4" s="2" t="s">
        <v>1113</v>
      </c>
      <c r="AG4" s="2">
        <v>12</v>
      </c>
      <c r="AH4" s="2" t="s">
        <v>1003</v>
      </c>
      <c r="AI4" s="4">
        <v>39233</v>
      </c>
      <c r="AJ4" s="2">
        <v>-0.25</v>
      </c>
      <c r="AK4" s="2" t="s">
        <v>4</v>
      </c>
    </row>
    <row r="5" spans="1:37" x14ac:dyDescent="0.2">
      <c r="A5" s="12">
        <v>4</v>
      </c>
      <c r="B5" s="2" t="s">
        <v>1295</v>
      </c>
      <c r="C5" s="2" t="s">
        <v>1311</v>
      </c>
      <c r="D5" s="2">
        <v>45658</v>
      </c>
      <c r="E5" s="2" t="s">
        <v>1106</v>
      </c>
      <c r="F5" s="2" t="s">
        <v>305</v>
      </c>
      <c r="G5" s="2">
        <v>45662</v>
      </c>
      <c r="H5" s="2">
        <v>46026</v>
      </c>
      <c r="I5" s="2" t="s">
        <v>1312</v>
      </c>
      <c r="J5" s="2">
        <v>4210178656269</v>
      </c>
      <c r="K5" s="2" t="s">
        <v>306</v>
      </c>
      <c r="L5" s="2" t="s">
        <v>307</v>
      </c>
      <c r="M5" s="2" t="s">
        <v>308</v>
      </c>
      <c r="N5" s="2" t="s">
        <v>309</v>
      </c>
      <c r="O5" s="2" t="s">
        <v>1311</v>
      </c>
      <c r="P5" s="2" t="s">
        <v>1143</v>
      </c>
      <c r="Q5" s="2" t="s">
        <v>1144</v>
      </c>
      <c r="R5" s="2" t="s">
        <v>1313</v>
      </c>
      <c r="S5" s="2">
        <v>44202</v>
      </c>
      <c r="T5" s="2">
        <v>46027</v>
      </c>
      <c r="U5" s="2">
        <v>7048500</v>
      </c>
      <c r="V5" s="2">
        <v>25</v>
      </c>
      <c r="W5" s="2">
        <v>1762125</v>
      </c>
      <c r="X5" s="2">
        <v>5286375</v>
      </c>
      <c r="Y5" s="2">
        <v>1.5</v>
      </c>
      <c r="Z5" s="2">
        <v>79295.625</v>
      </c>
      <c r="AA5" s="2"/>
      <c r="AB5" s="2"/>
      <c r="AC5" s="2" t="s">
        <v>1301</v>
      </c>
      <c r="AD5" s="2">
        <v>1141072794</v>
      </c>
      <c r="AE5" s="2">
        <v>45720</v>
      </c>
      <c r="AF5" s="2" t="s">
        <v>1113</v>
      </c>
      <c r="AG5" s="2">
        <v>0</v>
      </c>
      <c r="AH5" s="2" t="s">
        <v>305</v>
      </c>
      <c r="AI5" s="4">
        <v>79296</v>
      </c>
      <c r="AJ5" s="2">
        <v>0.375</v>
      </c>
      <c r="AK5" s="2" t="s">
        <v>4</v>
      </c>
    </row>
    <row r="6" spans="1:37" x14ac:dyDescent="0.2">
      <c r="A6" s="12">
        <v>5</v>
      </c>
      <c r="B6" s="2" t="s">
        <v>1295</v>
      </c>
      <c r="C6" s="2" t="s">
        <v>1314</v>
      </c>
      <c r="D6" s="2">
        <v>45658</v>
      </c>
      <c r="E6" s="2" t="s">
        <v>1106</v>
      </c>
      <c r="F6" s="2" t="s">
        <v>1008</v>
      </c>
      <c r="G6" s="2">
        <v>45661</v>
      </c>
      <c r="H6" s="2">
        <v>46025</v>
      </c>
      <c r="I6" s="2" t="s">
        <v>1315</v>
      </c>
      <c r="J6" s="2">
        <v>3520132084129</v>
      </c>
      <c r="K6" s="2" t="s">
        <v>14</v>
      </c>
      <c r="L6" s="2" t="s">
        <v>1009</v>
      </c>
      <c r="M6" s="2" t="s">
        <v>1010</v>
      </c>
      <c r="N6" s="2" t="s">
        <v>1011</v>
      </c>
      <c r="O6" s="2" t="s">
        <v>1314</v>
      </c>
      <c r="P6" s="2" t="s">
        <v>1109</v>
      </c>
      <c r="Q6" s="2" t="s">
        <v>1116</v>
      </c>
      <c r="R6" s="2" t="s">
        <v>1316</v>
      </c>
      <c r="S6" s="2">
        <v>44201</v>
      </c>
      <c r="T6" s="2">
        <v>46027</v>
      </c>
      <c r="U6" s="2">
        <v>1730000</v>
      </c>
      <c r="V6" s="2">
        <v>25</v>
      </c>
      <c r="W6" s="2">
        <v>432500</v>
      </c>
      <c r="X6" s="2">
        <v>1297500</v>
      </c>
      <c r="Y6" s="2">
        <v>2.5</v>
      </c>
      <c r="Z6" s="2">
        <v>32437.5</v>
      </c>
      <c r="AA6" s="2"/>
      <c r="AB6" s="2"/>
      <c r="AC6" s="2" t="s">
        <v>1301</v>
      </c>
      <c r="AD6" s="2">
        <v>1141072794</v>
      </c>
      <c r="AE6" s="2">
        <v>45720</v>
      </c>
      <c r="AF6" s="2" t="s">
        <v>1113</v>
      </c>
      <c r="AG6" s="2">
        <v>0</v>
      </c>
      <c r="AH6" s="2" t="s">
        <v>1008</v>
      </c>
      <c r="AI6" s="4">
        <v>32438</v>
      </c>
      <c r="AJ6" s="2">
        <v>0.5</v>
      </c>
      <c r="AK6" s="2" t="s">
        <v>4</v>
      </c>
    </row>
    <row r="7" spans="1:37" x14ac:dyDescent="0.2">
      <c r="A7" s="12">
        <v>6</v>
      </c>
      <c r="B7" s="2" t="s">
        <v>1295</v>
      </c>
      <c r="C7" s="2" t="s">
        <v>1317</v>
      </c>
      <c r="D7" s="2">
        <v>45658</v>
      </c>
      <c r="E7" s="2" t="s">
        <v>1106</v>
      </c>
      <c r="F7" s="2" t="s">
        <v>380</v>
      </c>
      <c r="G7" s="2">
        <v>45665</v>
      </c>
      <c r="H7" s="2">
        <v>46029</v>
      </c>
      <c r="I7" s="2" t="s">
        <v>1318</v>
      </c>
      <c r="J7" s="2">
        <v>6110118124727</v>
      </c>
      <c r="K7" s="2" t="s">
        <v>8</v>
      </c>
      <c r="L7" s="2" t="s">
        <v>381</v>
      </c>
      <c r="M7" s="2" t="s">
        <v>382</v>
      </c>
      <c r="N7" s="2" t="s">
        <v>383</v>
      </c>
      <c r="O7" s="2" t="s">
        <v>1317</v>
      </c>
      <c r="P7" s="2" t="s">
        <v>1308</v>
      </c>
      <c r="Q7" s="2" t="s">
        <v>1110</v>
      </c>
      <c r="R7" s="2" t="s">
        <v>1319</v>
      </c>
      <c r="S7" s="2">
        <v>44214</v>
      </c>
      <c r="T7" s="2">
        <v>46058</v>
      </c>
      <c r="U7" s="2">
        <v>1433000</v>
      </c>
      <c r="V7" s="2">
        <v>25</v>
      </c>
      <c r="W7" s="2">
        <v>358250</v>
      </c>
      <c r="X7" s="2">
        <v>1074750</v>
      </c>
      <c r="Y7" s="2">
        <v>2.5</v>
      </c>
      <c r="Z7" s="2">
        <v>26868.75</v>
      </c>
      <c r="AA7" s="2"/>
      <c r="AB7" s="2"/>
      <c r="AC7" s="2" t="s">
        <v>1301</v>
      </c>
      <c r="AD7" s="2">
        <v>1141072794</v>
      </c>
      <c r="AE7" s="2">
        <v>45720</v>
      </c>
      <c r="AF7" s="2" t="s">
        <v>1113</v>
      </c>
      <c r="AG7" s="2">
        <v>42</v>
      </c>
      <c r="AH7" s="2" t="s">
        <v>380</v>
      </c>
      <c r="AI7" s="4">
        <v>26869</v>
      </c>
      <c r="AJ7" s="2">
        <v>0.25</v>
      </c>
      <c r="AK7" s="2" t="s">
        <v>4</v>
      </c>
    </row>
    <row r="8" spans="1:37" x14ac:dyDescent="0.2">
      <c r="A8" s="12">
        <v>7</v>
      </c>
      <c r="B8" s="2" t="s">
        <v>1295</v>
      </c>
      <c r="C8" s="2" t="s">
        <v>1320</v>
      </c>
      <c r="D8" s="2">
        <v>45658</v>
      </c>
      <c r="E8" s="2" t="s">
        <v>1106</v>
      </c>
      <c r="F8" s="2" t="s">
        <v>376</v>
      </c>
      <c r="G8" s="2">
        <v>45665</v>
      </c>
      <c r="H8" s="2">
        <v>46029</v>
      </c>
      <c r="I8" s="2" t="s">
        <v>1321</v>
      </c>
      <c r="J8" s="2">
        <v>3520251570147</v>
      </c>
      <c r="K8" s="2" t="s">
        <v>255</v>
      </c>
      <c r="L8" s="2" t="s">
        <v>377</v>
      </c>
      <c r="M8" s="2" t="s">
        <v>378</v>
      </c>
      <c r="N8" s="2" t="s">
        <v>379</v>
      </c>
      <c r="O8" s="2" t="s">
        <v>1320</v>
      </c>
      <c r="P8" s="2" t="s">
        <v>1109</v>
      </c>
      <c r="Q8" s="2" t="s">
        <v>1116</v>
      </c>
      <c r="R8" s="2" t="s">
        <v>1322</v>
      </c>
      <c r="S8" s="2">
        <v>44208</v>
      </c>
      <c r="T8" s="2">
        <v>46027</v>
      </c>
      <c r="U8" s="2">
        <v>2950000</v>
      </c>
      <c r="V8" s="2">
        <v>25</v>
      </c>
      <c r="W8" s="2">
        <v>737500</v>
      </c>
      <c r="X8" s="2">
        <v>2212500</v>
      </c>
      <c r="Y8" s="2">
        <v>2.5</v>
      </c>
      <c r="Z8" s="2">
        <v>55312.5</v>
      </c>
      <c r="AA8" s="2"/>
      <c r="AB8" s="2"/>
      <c r="AC8" s="2" t="s">
        <v>1301</v>
      </c>
      <c r="AD8" s="2">
        <v>1141072794</v>
      </c>
      <c r="AE8" s="2">
        <v>45720</v>
      </c>
      <c r="AF8" s="2" t="s">
        <v>1113</v>
      </c>
      <c r="AG8" s="2">
        <v>12</v>
      </c>
      <c r="AH8" s="2" t="s">
        <v>376</v>
      </c>
      <c r="AI8" s="4">
        <v>55313</v>
      </c>
      <c r="AJ8" s="2">
        <v>0.5</v>
      </c>
      <c r="AK8" s="2" t="s">
        <v>4</v>
      </c>
    </row>
    <row r="9" spans="1:37" x14ac:dyDescent="0.2">
      <c r="A9" s="12">
        <v>8</v>
      </c>
      <c r="B9" s="2" t="s">
        <v>1295</v>
      </c>
      <c r="C9" s="2" t="s">
        <v>1323</v>
      </c>
      <c r="D9" s="2">
        <v>45658</v>
      </c>
      <c r="E9" s="2" t="s">
        <v>1106</v>
      </c>
      <c r="F9" s="2" t="s">
        <v>393</v>
      </c>
      <c r="G9" s="2">
        <v>45675</v>
      </c>
      <c r="H9" s="2">
        <v>46039</v>
      </c>
      <c r="I9" s="2" t="s">
        <v>1324</v>
      </c>
      <c r="J9" s="2">
        <v>3740552187743</v>
      </c>
      <c r="K9" s="2" t="s">
        <v>394</v>
      </c>
      <c r="L9" s="2" t="s">
        <v>395</v>
      </c>
      <c r="M9" s="2" t="s">
        <v>396</v>
      </c>
      <c r="N9" s="2" t="s">
        <v>397</v>
      </c>
      <c r="O9" s="2" t="s">
        <v>1323</v>
      </c>
      <c r="P9" s="2" t="s">
        <v>1308</v>
      </c>
      <c r="Q9" s="2" t="s">
        <v>1110</v>
      </c>
      <c r="R9" s="2" t="s">
        <v>1325</v>
      </c>
      <c r="S9" s="2">
        <v>44228</v>
      </c>
      <c r="T9" s="2">
        <v>46058</v>
      </c>
      <c r="U9" s="2">
        <v>950000</v>
      </c>
      <c r="V9" s="2">
        <v>25</v>
      </c>
      <c r="W9" s="2">
        <v>237500</v>
      </c>
      <c r="X9" s="2">
        <v>712500</v>
      </c>
      <c r="Y9" s="2">
        <v>2.5</v>
      </c>
      <c r="Z9" s="2">
        <v>17812.5</v>
      </c>
      <c r="AA9" s="2"/>
      <c r="AB9" s="2"/>
      <c r="AC9" s="2" t="s">
        <v>1301</v>
      </c>
      <c r="AD9" s="2">
        <v>1141072794</v>
      </c>
      <c r="AE9" s="2">
        <v>45720</v>
      </c>
      <c r="AF9" s="2" t="s">
        <v>1113</v>
      </c>
      <c r="AG9" s="2">
        <v>74</v>
      </c>
      <c r="AH9" s="2" t="s">
        <v>393</v>
      </c>
      <c r="AI9" s="4">
        <v>17813</v>
      </c>
      <c r="AJ9" s="2">
        <v>0.5</v>
      </c>
      <c r="AK9" s="2" t="s">
        <v>4</v>
      </c>
    </row>
    <row r="10" spans="1:37" x14ac:dyDescent="0.2">
      <c r="A10" s="12">
        <v>9</v>
      </c>
      <c r="B10" s="2" t="s">
        <v>1295</v>
      </c>
      <c r="C10" s="2" t="s">
        <v>1326</v>
      </c>
      <c r="D10" s="2">
        <v>45658</v>
      </c>
      <c r="E10" s="2" t="s">
        <v>1106</v>
      </c>
      <c r="F10" s="2" t="s">
        <v>384</v>
      </c>
      <c r="G10" s="2">
        <v>45675</v>
      </c>
      <c r="H10" s="2">
        <v>46039</v>
      </c>
      <c r="I10" s="2" t="s">
        <v>1327</v>
      </c>
      <c r="J10" s="2">
        <v>3520112694847</v>
      </c>
      <c r="K10" s="2" t="s">
        <v>18</v>
      </c>
      <c r="L10" s="2" t="s">
        <v>385</v>
      </c>
      <c r="M10" s="2" t="s">
        <v>386</v>
      </c>
      <c r="N10" s="2" t="s">
        <v>387</v>
      </c>
      <c r="O10" s="2" t="s">
        <v>1326</v>
      </c>
      <c r="P10" s="2" t="s">
        <v>1109</v>
      </c>
      <c r="Q10" s="2" t="s">
        <v>1116</v>
      </c>
      <c r="R10" s="2" t="s">
        <v>1328</v>
      </c>
      <c r="S10" s="2">
        <v>44218</v>
      </c>
      <c r="T10" s="2">
        <v>46058</v>
      </c>
      <c r="U10" s="2">
        <v>3170000</v>
      </c>
      <c r="V10" s="2">
        <v>25</v>
      </c>
      <c r="W10" s="2">
        <v>792500</v>
      </c>
      <c r="X10" s="2">
        <v>2377500</v>
      </c>
      <c r="Y10" s="2">
        <v>2.5</v>
      </c>
      <c r="Z10" s="2">
        <v>59437.5</v>
      </c>
      <c r="AA10" s="2"/>
      <c r="AB10" s="2"/>
      <c r="AC10" s="2" t="s">
        <v>1301</v>
      </c>
      <c r="AD10" s="2">
        <v>1141072794</v>
      </c>
      <c r="AE10" s="2">
        <v>45720</v>
      </c>
      <c r="AF10" s="2" t="s">
        <v>1113</v>
      </c>
      <c r="AG10" s="2">
        <v>0</v>
      </c>
      <c r="AH10" s="2" t="s">
        <v>384</v>
      </c>
      <c r="AI10" s="4">
        <v>59438</v>
      </c>
      <c r="AJ10" s="2">
        <v>0.5</v>
      </c>
      <c r="AK10" s="2" t="s">
        <v>4</v>
      </c>
    </row>
    <row r="11" spans="1:37" x14ac:dyDescent="0.2">
      <c r="A11" s="12">
        <v>10</v>
      </c>
      <c r="B11" s="2" t="s">
        <v>1295</v>
      </c>
      <c r="C11" s="2" t="s">
        <v>1329</v>
      </c>
      <c r="D11" s="2">
        <v>45658</v>
      </c>
      <c r="E11" s="2" t="s">
        <v>1106</v>
      </c>
      <c r="F11" s="2" t="s">
        <v>398</v>
      </c>
      <c r="G11" s="2">
        <v>45677</v>
      </c>
      <c r="H11" s="2">
        <v>46041</v>
      </c>
      <c r="I11" s="2" t="s">
        <v>1330</v>
      </c>
      <c r="J11" s="2">
        <v>3520299931739</v>
      </c>
      <c r="K11" s="2" t="s">
        <v>250</v>
      </c>
      <c r="L11" s="2" t="s">
        <v>399</v>
      </c>
      <c r="M11" s="2" t="s">
        <v>400</v>
      </c>
      <c r="N11" s="2" t="s">
        <v>401</v>
      </c>
      <c r="O11" s="2" t="s">
        <v>1329</v>
      </c>
      <c r="P11" s="2" t="s">
        <v>1109</v>
      </c>
      <c r="Q11" s="2" t="s">
        <v>1331</v>
      </c>
      <c r="R11" s="2" t="s">
        <v>1332</v>
      </c>
      <c r="S11" s="2">
        <v>44224</v>
      </c>
      <c r="T11" s="2">
        <v>46058</v>
      </c>
      <c r="U11" s="2">
        <v>1134000</v>
      </c>
      <c r="V11" s="2">
        <v>25</v>
      </c>
      <c r="W11" s="2">
        <v>283500</v>
      </c>
      <c r="X11" s="2">
        <v>850500</v>
      </c>
      <c r="Y11" s="2">
        <v>2.5</v>
      </c>
      <c r="Z11" s="2">
        <v>21262.5</v>
      </c>
      <c r="AA11" s="2"/>
      <c r="AB11" s="2"/>
      <c r="AC11" s="2" t="s">
        <v>1301</v>
      </c>
      <c r="AD11" s="2">
        <v>1141072794</v>
      </c>
      <c r="AE11" s="2">
        <v>45720</v>
      </c>
      <c r="AF11" s="2" t="s">
        <v>1113</v>
      </c>
      <c r="AG11" s="2">
        <v>12</v>
      </c>
      <c r="AH11" s="2" t="s">
        <v>398</v>
      </c>
      <c r="AI11" s="4">
        <v>21263</v>
      </c>
      <c r="AJ11" s="2">
        <v>0.5</v>
      </c>
      <c r="AK11" s="2" t="s">
        <v>4</v>
      </c>
    </row>
    <row r="12" spans="1:37" x14ac:dyDescent="0.2">
      <c r="A12" s="12">
        <v>11</v>
      </c>
      <c r="B12" s="2" t="s">
        <v>1295</v>
      </c>
      <c r="C12" s="2" t="s">
        <v>1333</v>
      </c>
      <c r="D12" s="2">
        <v>45658</v>
      </c>
      <c r="E12" s="2" t="s">
        <v>1106</v>
      </c>
      <c r="F12" s="2" t="s">
        <v>1012</v>
      </c>
      <c r="G12" s="2">
        <v>45682</v>
      </c>
      <c r="H12" s="2">
        <v>46046</v>
      </c>
      <c r="I12" s="2" t="s">
        <v>1334</v>
      </c>
      <c r="J12" s="2">
        <v>3520134949549</v>
      </c>
      <c r="K12" s="2" t="s">
        <v>8</v>
      </c>
      <c r="L12" s="2" t="s">
        <v>1013</v>
      </c>
      <c r="M12" s="2" t="s">
        <v>1014</v>
      </c>
      <c r="N12" s="2" t="s">
        <v>1015</v>
      </c>
      <c r="O12" s="2" t="s">
        <v>1333</v>
      </c>
      <c r="P12" s="2" t="s">
        <v>1109</v>
      </c>
      <c r="Q12" s="2" t="s">
        <v>1116</v>
      </c>
      <c r="R12" s="2" t="s">
        <v>1335</v>
      </c>
      <c r="S12" s="2">
        <v>44224</v>
      </c>
      <c r="T12" s="2">
        <v>46788</v>
      </c>
      <c r="U12" s="2">
        <v>1433000</v>
      </c>
      <c r="V12" s="2">
        <v>25</v>
      </c>
      <c r="W12" s="2">
        <v>358250</v>
      </c>
      <c r="X12" s="2">
        <v>1074750</v>
      </c>
      <c r="Y12" s="2">
        <v>2.5</v>
      </c>
      <c r="Z12" s="2">
        <v>26868.75</v>
      </c>
      <c r="AA12" s="2"/>
      <c r="AB12" s="2"/>
      <c r="AC12" s="2" t="s">
        <v>1301</v>
      </c>
      <c r="AD12" s="2">
        <v>1141072794</v>
      </c>
      <c r="AE12" s="2">
        <v>45720</v>
      </c>
      <c r="AF12" s="2" t="s">
        <v>1113</v>
      </c>
      <c r="AG12" s="2">
        <v>42</v>
      </c>
      <c r="AH12" s="2" t="s">
        <v>1012</v>
      </c>
      <c r="AI12" s="4">
        <v>26869</v>
      </c>
      <c r="AJ12" s="2">
        <v>0.25</v>
      </c>
      <c r="AK12" s="2" t="s">
        <v>4</v>
      </c>
    </row>
    <row r="13" spans="1:37" x14ac:dyDescent="0.2">
      <c r="A13" s="12">
        <v>12</v>
      </c>
      <c r="B13" s="2" t="s">
        <v>1295</v>
      </c>
      <c r="C13" s="2" t="s">
        <v>1336</v>
      </c>
      <c r="D13" s="2">
        <v>45658</v>
      </c>
      <c r="E13" s="2" t="s">
        <v>1106</v>
      </c>
      <c r="F13" s="2" t="s">
        <v>1024</v>
      </c>
      <c r="G13" s="2">
        <v>45683</v>
      </c>
      <c r="H13" s="2">
        <v>46047</v>
      </c>
      <c r="I13" s="2" t="s">
        <v>1337</v>
      </c>
      <c r="J13" s="2">
        <v>3520228530955</v>
      </c>
      <c r="K13" s="2" t="s">
        <v>297</v>
      </c>
      <c r="L13" s="2" t="s">
        <v>1025</v>
      </c>
      <c r="M13" s="2" t="s">
        <v>1026</v>
      </c>
      <c r="N13" s="2" t="s">
        <v>1027</v>
      </c>
      <c r="O13" s="2" t="s">
        <v>1336</v>
      </c>
      <c r="P13" s="2" t="s">
        <v>1109</v>
      </c>
      <c r="Q13" s="2" t="s">
        <v>1116</v>
      </c>
      <c r="R13" s="2" t="s">
        <v>1338</v>
      </c>
      <c r="S13" s="2">
        <v>44224</v>
      </c>
      <c r="T13" s="2">
        <v>46058</v>
      </c>
      <c r="U13" s="2">
        <v>1850000</v>
      </c>
      <c r="V13" s="2">
        <v>25</v>
      </c>
      <c r="W13" s="2">
        <v>462500</v>
      </c>
      <c r="X13" s="2">
        <v>1387500</v>
      </c>
      <c r="Y13" s="2">
        <v>2.5</v>
      </c>
      <c r="Z13" s="2">
        <v>34687.5</v>
      </c>
      <c r="AA13" s="2"/>
      <c r="AB13" s="2"/>
      <c r="AC13" s="2" t="s">
        <v>1301</v>
      </c>
      <c r="AD13" s="2">
        <v>1141072794</v>
      </c>
      <c r="AE13" s="2">
        <v>45720</v>
      </c>
      <c r="AF13" s="2" t="s">
        <v>1113</v>
      </c>
      <c r="AG13" s="2">
        <v>0</v>
      </c>
      <c r="AH13" s="2" t="s">
        <v>1024</v>
      </c>
      <c r="AI13" s="4">
        <v>34688</v>
      </c>
      <c r="AJ13" s="2">
        <v>0.5</v>
      </c>
      <c r="AK13" s="2" t="s">
        <v>4</v>
      </c>
    </row>
    <row r="14" spans="1:37" x14ac:dyDescent="0.2">
      <c r="A14" s="12">
        <v>13</v>
      </c>
      <c r="B14" s="2" t="s">
        <v>1295</v>
      </c>
      <c r="C14" s="2" t="s">
        <v>1339</v>
      </c>
      <c r="D14" s="2">
        <v>45658</v>
      </c>
      <c r="E14" s="2" t="s">
        <v>1106</v>
      </c>
      <c r="F14" s="2" t="s">
        <v>1016</v>
      </c>
      <c r="G14" s="2">
        <v>45682</v>
      </c>
      <c r="H14" s="2">
        <v>46046</v>
      </c>
      <c r="I14" s="2" t="s">
        <v>1340</v>
      </c>
      <c r="J14" s="2">
        <v>3520202838841</v>
      </c>
      <c r="K14" s="2" t="s">
        <v>16</v>
      </c>
      <c r="L14" s="2" t="s">
        <v>1017</v>
      </c>
      <c r="M14" s="2" t="s">
        <v>1018</v>
      </c>
      <c r="N14" s="2" t="s">
        <v>1019</v>
      </c>
      <c r="O14" s="2" t="s">
        <v>1339</v>
      </c>
      <c r="P14" s="2" t="s">
        <v>1109</v>
      </c>
      <c r="Q14" s="2" t="s">
        <v>1116</v>
      </c>
      <c r="R14" s="2" t="s">
        <v>1341</v>
      </c>
      <c r="S14" s="2">
        <v>44224</v>
      </c>
      <c r="T14" s="2">
        <v>46058</v>
      </c>
      <c r="U14" s="2">
        <v>5430000</v>
      </c>
      <c r="V14" s="2">
        <v>25</v>
      </c>
      <c r="W14" s="2">
        <v>1357500</v>
      </c>
      <c r="X14" s="2">
        <v>4072500</v>
      </c>
      <c r="Y14" s="2">
        <v>1.5</v>
      </c>
      <c r="Z14" s="2">
        <v>61087.5</v>
      </c>
      <c r="AA14" s="2"/>
      <c r="AB14" s="2"/>
      <c r="AC14" s="2" t="s">
        <v>1301</v>
      </c>
      <c r="AD14" s="2">
        <v>1141072794</v>
      </c>
      <c r="AE14" s="2">
        <v>45720</v>
      </c>
      <c r="AF14" s="2" t="s">
        <v>1113</v>
      </c>
      <c r="AG14" s="2">
        <v>42</v>
      </c>
      <c r="AH14" s="2" t="s">
        <v>1016</v>
      </c>
      <c r="AI14" s="4">
        <v>61088</v>
      </c>
      <c r="AJ14" s="2">
        <v>0.5</v>
      </c>
      <c r="AK14" s="2" t="s">
        <v>4</v>
      </c>
    </row>
    <row r="15" spans="1:37" x14ac:dyDescent="0.2">
      <c r="A15" s="12">
        <v>14</v>
      </c>
      <c r="B15" s="2" t="s">
        <v>1295</v>
      </c>
      <c r="C15" s="2" t="s">
        <v>1342</v>
      </c>
      <c r="D15" s="2">
        <v>45658</v>
      </c>
      <c r="E15" s="2" t="s">
        <v>1106</v>
      </c>
      <c r="F15" s="2" t="s">
        <v>259</v>
      </c>
      <c r="G15" s="2">
        <v>45684</v>
      </c>
      <c r="H15" s="2">
        <v>46048</v>
      </c>
      <c r="I15" s="2" t="s">
        <v>1343</v>
      </c>
      <c r="J15" s="2">
        <v>3520112370537</v>
      </c>
      <c r="K15" s="2" t="s">
        <v>260</v>
      </c>
      <c r="L15" s="2" t="s">
        <v>261</v>
      </c>
      <c r="M15" s="2" t="s">
        <v>262</v>
      </c>
      <c r="N15" s="2" t="s">
        <v>263</v>
      </c>
      <c r="O15" s="2" t="s">
        <v>1342</v>
      </c>
      <c r="P15" s="2" t="s">
        <v>1109</v>
      </c>
      <c r="Q15" s="2" t="s">
        <v>1116</v>
      </c>
      <c r="R15" s="2" t="s">
        <v>1344</v>
      </c>
      <c r="S15" s="2">
        <v>44224</v>
      </c>
      <c r="T15" s="2">
        <v>46058</v>
      </c>
      <c r="U15" s="2">
        <v>1360000</v>
      </c>
      <c r="V15" s="2">
        <v>25</v>
      </c>
      <c r="W15" s="2">
        <v>340000</v>
      </c>
      <c r="X15" s="2">
        <v>1020000</v>
      </c>
      <c r="Y15" s="2">
        <v>2.5</v>
      </c>
      <c r="Z15" s="2">
        <v>25500</v>
      </c>
      <c r="AA15" s="2"/>
      <c r="AB15" s="2"/>
      <c r="AC15" s="2" t="s">
        <v>1301</v>
      </c>
      <c r="AD15" s="2">
        <v>1141072794</v>
      </c>
      <c r="AE15" s="2">
        <v>45720</v>
      </c>
      <c r="AF15" s="2" t="s">
        <v>1113</v>
      </c>
      <c r="AG15" s="2">
        <v>0</v>
      </c>
      <c r="AH15" s="2" t="s">
        <v>259</v>
      </c>
      <c r="AI15" s="4">
        <v>25500</v>
      </c>
      <c r="AJ15" s="2">
        <v>0</v>
      </c>
      <c r="AK15" s="2" t="s">
        <v>4</v>
      </c>
    </row>
    <row r="16" spans="1:37" x14ac:dyDescent="0.2">
      <c r="A16" s="12">
        <v>15</v>
      </c>
      <c r="B16" s="2" t="s">
        <v>1295</v>
      </c>
      <c r="C16" s="2" t="s">
        <v>1345</v>
      </c>
      <c r="D16" s="2">
        <v>45658</v>
      </c>
      <c r="E16" s="2" t="s">
        <v>1106</v>
      </c>
      <c r="F16" s="2" t="s">
        <v>276</v>
      </c>
      <c r="G16" s="2">
        <v>45684</v>
      </c>
      <c r="H16" s="2">
        <v>46048</v>
      </c>
      <c r="I16" s="2" t="s">
        <v>1346</v>
      </c>
      <c r="J16" s="2">
        <v>3740553775221</v>
      </c>
      <c r="K16" s="2" t="s">
        <v>9</v>
      </c>
      <c r="L16" s="2" t="s">
        <v>277</v>
      </c>
      <c r="M16" s="2" t="s">
        <v>278</v>
      </c>
      <c r="N16" s="2" t="s">
        <v>279</v>
      </c>
      <c r="O16" s="2" t="s">
        <v>1345</v>
      </c>
      <c r="P16" s="2" t="s">
        <v>1308</v>
      </c>
      <c r="Q16" s="2" t="s">
        <v>1110</v>
      </c>
      <c r="R16" s="2" t="s">
        <v>1347</v>
      </c>
      <c r="S16" s="2">
        <v>44228</v>
      </c>
      <c r="T16" s="2">
        <v>46788</v>
      </c>
      <c r="U16" s="2">
        <v>1433000</v>
      </c>
      <c r="V16" s="2">
        <v>25</v>
      </c>
      <c r="W16" s="2">
        <v>358250</v>
      </c>
      <c r="X16" s="2">
        <v>1074750</v>
      </c>
      <c r="Y16" s="2">
        <v>2.5</v>
      </c>
      <c r="Z16" s="2">
        <v>26868.75</v>
      </c>
      <c r="AA16" s="2"/>
      <c r="AB16" s="2"/>
      <c r="AC16" s="2" t="s">
        <v>1301</v>
      </c>
      <c r="AD16" s="2">
        <v>1141072794</v>
      </c>
      <c r="AE16" s="2">
        <v>45720</v>
      </c>
      <c r="AF16" s="2" t="s">
        <v>1113</v>
      </c>
      <c r="AG16" s="2">
        <v>0</v>
      </c>
      <c r="AH16" s="2" t="s">
        <v>276</v>
      </c>
      <c r="AI16" s="4">
        <v>26869</v>
      </c>
      <c r="AJ16" s="2">
        <v>0.25</v>
      </c>
      <c r="AK16" s="2" t="s">
        <v>4</v>
      </c>
    </row>
    <row r="17" spans="1:37" x14ac:dyDescent="0.2">
      <c r="A17" s="12">
        <v>16</v>
      </c>
      <c r="B17" s="2" t="s">
        <v>1295</v>
      </c>
      <c r="C17" s="2" t="s">
        <v>1348</v>
      </c>
      <c r="D17" s="2">
        <v>45658</v>
      </c>
      <c r="E17" s="2" t="s">
        <v>1106</v>
      </c>
      <c r="F17" s="2" t="s">
        <v>1020</v>
      </c>
      <c r="G17" s="2">
        <v>45683</v>
      </c>
      <c r="H17" s="2">
        <v>46047</v>
      </c>
      <c r="I17" s="2" t="s">
        <v>1349</v>
      </c>
      <c r="J17" s="2">
        <v>4210116892897</v>
      </c>
      <c r="K17" s="2" t="s">
        <v>14</v>
      </c>
      <c r="L17" s="2" t="s">
        <v>1021</v>
      </c>
      <c r="M17" s="2" t="s">
        <v>1022</v>
      </c>
      <c r="N17" s="2" t="s">
        <v>1023</v>
      </c>
      <c r="O17" s="2" t="s">
        <v>1348</v>
      </c>
      <c r="P17" s="2" t="s">
        <v>1109</v>
      </c>
      <c r="Q17" s="2" t="s">
        <v>1116</v>
      </c>
      <c r="R17" s="2" t="s">
        <v>1350</v>
      </c>
      <c r="S17" s="2">
        <v>44224</v>
      </c>
      <c r="T17" s="2">
        <v>46058</v>
      </c>
      <c r="U17" s="2">
        <v>1300000</v>
      </c>
      <c r="V17" s="2">
        <v>25</v>
      </c>
      <c r="W17" s="2">
        <v>325000</v>
      </c>
      <c r="X17" s="2">
        <v>975000</v>
      </c>
      <c r="Y17" s="2">
        <v>2.5</v>
      </c>
      <c r="Z17" s="2">
        <v>24375</v>
      </c>
      <c r="AA17" s="2"/>
      <c r="AB17" s="2"/>
      <c r="AC17" s="2" t="s">
        <v>1301</v>
      </c>
      <c r="AD17" s="2">
        <v>1141072794</v>
      </c>
      <c r="AE17" s="2">
        <v>45720</v>
      </c>
      <c r="AF17" s="2" t="s">
        <v>1113</v>
      </c>
      <c r="AG17" s="2">
        <v>12</v>
      </c>
      <c r="AH17" s="2" t="s">
        <v>1020</v>
      </c>
      <c r="AI17" s="4">
        <v>24375</v>
      </c>
      <c r="AJ17" s="2">
        <v>0</v>
      </c>
      <c r="AK17" s="2" t="s">
        <v>4</v>
      </c>
    </row>
    <row r="18" spans="1:37" x14ac:dyDescent="0.2">
      <c r="A18" s="12">
        <v>17</v>
      </c>
      <c r="B18" s="2" t="s">
        <v>1295</v>
      </c>
      <c r="C18" s="2" t="s">
        <v>1351</v>
      </c>
      <c r="D18" s="2">
        <v>45658</v>
      </c>
      <c r="E18" s="2" t="s">
        <v>1106</v>
      </c>
      <c r="F18" s="2" t="s">
        <v>272</v>
      </c>
      <c r="G18" s="2">
        <v>45684</v>
      </c>
      <c r="H18" s="2">
        <v>46048</v>
      </c>
      <c r="I18" s="2" t="s">
        <v>1346</v>
      </c>
      <c r="J18" s="2">
        <v>3740553775221</v>
      </c>
      <c r="K18" s="2" t="s">
        <v>9</v>
      </c>
      <c r="L18" s="2" t="s">
        <v>273</v>
      </c>
      <c r="M18" s="2" t="s">
        <v>274</v>
      </c>
      <c r="N18" s="2" t="s">
        <v>275</v>
      </c>
      <c r="O18" s="2" t="s">
        <v>1351</v>
      </c>
      <c r="P18" s="2" t="s">
        <v>1308</v>
      </c>
      <c r="Q18" s="2" t="s">
        <v>1110</v>
      </c>
      <c r="R18" s="2" t="s">
        <v>1347</v>
      </c>
      <c r="S18" s="2">
        <v>44225</v>
      </c>
      <c r="T18" s="2">
        <v>46058</v>
      </c>
      <c r="U18" s="2">
        <v>1633000</v>
      </c>
      <c r="V18" s="2">
        <v>25</v>
      </c>
      <c r="W18" s="2">
        <v>408250</v>
      </c>
      <c r="X18" s="2">
        <v>1224750</v>
      </c>
      <c r="Y18" s="2">
        <v>2.5</v>
      </c>
      <c r="Z18" s="2">
        <v>30618.75</v>
      </c>
      <c r="AA18" s="2"/>
      <c r="AB18" s="2"/>
      <c r="AC18" s="2" t="s">
        <v>1301</v>
      </c>
      <c r="AD18" s="2">
        <v>1141072794</v>
      </c>
      <c r="AE18" s="2">
        <v>45720</v>
      </c>
      <c r="AF18" s="2" t="s">
        <v>1113</v>
      </c>
      <c r="AG18" s="2">
        <v>12</v>
      </c>
      <c r="AH18" s="2" t="s">
        <v>272</v>
      </c>
      <c r="AI18" s="4">
        <v>30619</v>
      </c>
      <c r="AJ18" s="2">
        <v>0.25</v>
      </c>
      <c r="AK18" s="2" t="s">
        <v>4</v>
      </c>
    </row>
    <row r="19" spans="1:37" x14ac:dyDescent="0.2">
      <c r="A19" s="12">
        <v>18</v>
      </c>
      <c r="B19" s="2" t="s">
        <v>1295</v>
      </c>
      <c r="C19" s="2" t="s">
        <v>1352</v>
      </c>
      <c r="D19" s="2">
        <v>45658</v>
      </c>
      <c r="E19" s="2" t="s">
        <v>1106</v>
      </c>
      <c r="F19" s="2" t="s">
        <v>280</v>
      </c>
      <c r="G19" s="2">
        <v>45684</v>
      </c>
      <c r="H19" s="2">
        <v>46048</v>
      </c>
      <c r="I19" s="2" t="s">
        <v>1353</v>
      </c>
      <c r="J19" s="2">
        <v>3540147443555</v>
      </c>
      <c r="K19" s="2" t="s">
        <v>16</v>
      </c>
      <c r="L19" s="2" t="s">
        <v>281</v>
      </c>
      <c r="M19" s="2" t="s">
        <v>282</v>
      </c>
      <c r="N19" s="2" t="s">
        <v>283</v>
      </c>
      <c r="O19" s="2" t="s">
        <v>1352</v>
      </c>
      <c r="P19" s="2" t="s">
        <v>1109</v>
      </c>
      <c r="Q19" s="2" t="s">
        <v>1116</v>
      </c>
      <c r="R19" s="2" t="s">
        <v>1354</v>
      </c>
      <c r="S19" s="2">
        <v>44225</v>
      </c>
      <c r="T19" s="2">
        <v>46058</v>
      </c>
      <c r="U19" s="2">
        <v>5430000</v>
      </c>
      <c r="V19" s="2">
        <v>25</v>
      </c>
      <c r="W19" s="2">
        <v>1357500</v>
      </c>
      <c r="X19" s="2">
        <v>4072500</v>
      </c>
      <c r="Y19" s="2">
        <v>1.5</v>
      </c>
      <c r="Z19" s="2">
        <v>61087.5</v>
      </c>
      <c r="AA19" s="2"/>
      <c r="AB19" s="2"/>
      <c r="AC19" s="2" t="s">
        <v>1301</v>
      </c>
      <c r="AD19" s="2">
        <v>1141072794</v>
      </c>
      <c r="AE19" s="2">
        <v>45720</v>
      </c>
      <c r="AF19" s="2" t="s">
        <v>1113</v>
      </c>
      <c r="AG19" s="2">
        <v>0</v>
      </c>
      <c r="AH19" s="2" t="s">
        <v>280</v>
      </c>
      <c r="AI19" s="4">
        <v>61088</v>
      </c>
      <c r="AJ19" s="2">
        <v>0.5</v>
      </c>
      <c r="AK19" s="2" t="s">
        <v>4</v>
      </c>
    </row>
    <row r="20" spans="1:37" x14ac:dyDescent="0.2">
      <c r="A20" s="12">
        <v>19</v>
      </c>
      <c r="B20" s="2" t="s">
        <v>1295</v>
      </c>
      <c r="C20" s="2" t="s">
        <v>1355</v>
      </c>
      <c r="D20" s="2">
        <v>45658</v>
      </c>
      <c r="E20" s="2" t="s">
        <v>1106</v>
      </c>
      <c r="F20" s="2" t="s">
        <v>284</v>
      </c>
      <c r="G20" s="2">
        <v>45684</v>
      </c>
      <c r="H20" s="2">
        <v>46048</v>
      </c>
      <c r="I20" s="2" t="s">
        <v>1356</v>
      </c>
      <c r="J20" s="2">
        <v>3520291735491</v>
      </c>
      <c r="K20" s="2" t="s">
        <v>9</v>
      </c>
      <c r="L20" s="2" t="s">
        <v>285</v>
      </c>
      <c r="M20" s="2" t="s">
        <v>286</v>
      </c>
      <c r="N20" s="2" t="s">
        <v>287</v>
      </c>
      <c r="O20" s="2" t="s">
        <v>1355</v>
      </c>
      <c r="P20" s="2" t="s">
        <v>1109</v>
      </c>
      <c r="Q20" s="2" t="s">
        <v>1116</v>
      </c>
      <c r="R20" s="2" t="s">
        <v>1357</v>
      </c>
      <c r="S20" s="2">
        <v>44229</v>
      </c>
      <c r="T20" s="2">
        <v>46058</v>
      </c>
      <c r="U20" s="2">
        <v>1633000</v>
      </c>
      <c r="V20" s="2">
        <v>25</v>
      </c>
      <c r="W20" s="2">
        <v>408250</v>
      </c>
      <c r="X20" s="2">
        <v>1224750</v>
      </c>
      <c r="Y20" s="2">
        <v>2.5</v>
      </c>
      <c r="Z20" s="2">
        <v>30618.75</v>
      </c>
      <c r="AA20" s="2"/>
      <c r="AB20" s="2"/>
      <c r="AC20" s="2" t="s">
        <v>1301</v>
      </c>
      <c r="AD20" s="2">
        <v>1141072794</v>
      </c>
      <c r="AE20" s="2">
        <v>45720</v>
      </c>
      <c r="AF20" s="2" t="s">
        <v>1113</v>
      </c>
      <c r="AG20" s="2">
        <v>0</v>
      </c>
      <c r="AH20" s="2" t="s">
        <v>284</v>
      </c>
      <c r="AI20" s="4">
        <v>30619</v>
      </c>
      <c r="AJ20" s="2">
        <v>0.25</v>
      </c>
      <c r="AK20" s="2" t="s">
        <v>4</v>
      </c>
    </row>
    <row r="21" spans="1:37" x14ac:dyDescent="0.2">
      <c r="A21" s="12">
        <v>20</v>
      </c>
      <c r="B21" s="2" t="s">
        <v>1295</v>
      </c>
      <c r="C21" s="2" t="s">
        <v>1358</v>
      </c>
      <c r="D21" s="2">
        <v>45658</v>
      </c>
      <c r="E21" s="2" t="s">
        <v>1106</v>
      </c>
      <c r="F21" s="2" t="s">
        <v>268</v>
      </c>
      <c r="G21" s="2">
        <v>45684</v>
      </c>
      <c r="H21" s="2">
        <v>46048</v>
      </c>
      <c r="I21" s="2" t="s">
        <v>1359</v>
      </c>
      <c r="J21" s="2">
        <v>3510328554541</v>
      </c>
      <c r="K21" s="2" t="s">
        <v>17</v>
      </c>
      <c r="L21" s="2" t="s">
        <v>269</v>
      </c>
      <c r="M21" s="2" t="s">
        <v>270</v>
      </c>
      <c r="N21" s="2" t="s">
        <v>271</v>
      </c>
      <c r="O21" s="2" t="s">
        <v>1358</v>
      </c>
      <c r="P21" s="2" t="s">
        <v>1109</v>
      </c>
      <c r="Q21" s="2" t="s">
        <v>1360</v>
      </c>
      <c r="R21" s="2" t="s">
        <v>1361</v>
      </c>
      <c r="S21" s="2">
        <v>44230</v>
      </c>
      <c r="T21" s="2">
        <v>46058</v>
      </c>
      <c r="U21" s="2">
        <v>2645000</v>
      </c>
      <c r="V21" s="2">
        <v>25</v>
      </c>
      <c r="W21" s="2">
        <v>661250</v>
      </c>
      <c r="X21" s="2">
        <v>1983750</v>
      </c>
      <c r="Y21" s="2">
        <v>2.5</v>
      </c>
      <c r="Z21" s="2">
        <v>49593.75</v>
      </c>
      <c r="AA21" s="2"/>
      <c r="AB21" s="2"/>
      <c r="AC21" s="2" t="s">
        <v>1301</v>
      </c>
      <c r="AD21" s="2">
        <v>1141072794</v>
      </c>
      <c r="AE21" s="2">
        <v>45720</v>
      </c>
      <c r="AF21" s="2" t="s">
        <v>1113</v>
      </c>
      <c r="AG21" s="2">
        <v>12</v>
      </c>
      <c r="AH21" s="2" t="s">
        <v>268</v>
      </c>
      <c r="AI21" s="4">
        <v>49594</v>
      </c>
      <c r="AJ21" s="2">
        <v>0.25</v>
      </c>
      <c r="AK21" s="2" t="s">
        <v>4</v>
      </c>
    </row>
    <row r="22" spans="1:37" x14ac:dyDescent="0.2">
      <c r="A22" s="12">
        <v>21</v>
      </c>
      <c r="B22" s="2" t="s">
        <v>1295</v>
      </c>
      <c r="C22" s="2" t="s">
        <v>1362</v>
      </c>
      <c r="D22" s="2">
        <v>45658</v>
      </c>
      <c r="E22" s="2" t="s">
        <v>1106</v>
      </c>
      <c r="F22" s="2" t="s">
        <v>264</v>
      </c>
      <c r="G22" s="2">
        <v>45684</v>
      </c>
      <c r="H22" s="2">
        <v>46048</v>
      </c>
      <c r="I22" s="2" t="s">
        <v>1363</v>
      </c>
      <c r="J22" s="2">
        <v>3520274468945</v>
      </c>
      <c r="K22" s="2" t="s">
        <v>14</v>
      </c>
      <c r="L22" s="2" t="s">
        <v>265</v>
      </c>
      <c r="M22" s="2" t="s">
        <v>266</v>
      </c>
      <c r="N22" s="2" t="s">
        <v>267</v>
      </c>
      <c r="O22" s="2" t="s">
        <v>1362</v>
      </c>
      <c r="P22" s="2" t="s">
        <v>1109</v>
      </c>
      <c r="Q22" s="2" t="s">
        <v>1116</v>
      </c>
      <c r="R22" s="2" t="s">
        <v>1364</v>
      </c>
      <c r="S22" s="2">
        <v>44229</v>
      </c>
      <c r="T22" s="2">
        <v>46058</v>
      </c>
      <c r="U22" s="2">
        <v>1730000</v>
      </c>
      <c r="V22" s="2">
        <v>25</v>
      </c>
      <c r="W22" s="2">
        <v>432500</v>
      </c>
      <c r="X22" s="2">
        <v>1297500</v>
      </c>
      <c r="Y22" s="2">
        <v>2.5</v>
      </c>
      <c r="Z22" s="2">
        <v>32437.5</v>
      </c>
      <c r="AA22" s="2"/>
      <c r="AB22" s="2"/>
      <c r="AC22" s="2" t="s">
        <v>1301</v>
      </c>
      <c r="AD22" s="2">
        <v>1141072794</v>
      </c>
      <c r="AE22" s="2">
        <v>45720</v>
      </c>
      <c r="AF22" s="2" t="s">
        <v>1113</v>
      </c>
      <c r="AG22" s="2">
        <v>12</v>
      </c>
      <c r="AH22" s="2" t="s">
        <v>264</v>
      </c>
      <c r="AI22" s="4">
        <v>32438</v>
      </c>
      <c r="AJ22" s="2">
        <v>0.5</v>
      </c>
      <c r="AK22" s="2" t="s">
        <v>4</v>
      </c>
    </row>
    <row r="23" spans="1:37" x14ac:dyDescent="0.2">
      <c r="A23" s="12">
        <v>22</v>
      </c>
      <c r="B23" s="2" t="s">
        <v>1295</v>
      </c>
      <c r="C23" s="2" t="s">
        <v>1365</v>
      </c>
      <c r="D23" s="2">
        <v>45658</v>
      </c>
      <c r="E23" s="2" t="s">
        <v>1106</v>
      </c>
      <c r="F23" s="2" t="s">
        <v>301</v>
      </c>
      <c r="G23" s="2">
        <v>45685</v>
      </c>
      <c r="H23" s="2">
        <v>46049</v>
      </c>
      <c r="I23" s="2" t="s">
        <v>1366</v>
      </c>
      <c r="J23" s="2">
        <v>3610315888581</v>
      </c>
      <c r="K23" s="2" t="s">
        <v>8</v>
      </c>
      <c r="L23" s="2" t="s">
        <v>302</v>
      </c>
      <c r="M23" s="2" t="s">
        <v>303</v>
      </c>
      <c r="N23" s="2" t="s">
        <v>304</v>
      </c>
      <c r="O23" s="2" t="s">
        <v>1365</v>
      </c>
      <c r="P23" s="2" t="s">
        <v>1109</v>
      </c>
      <c r="Q23" s="2" t="s">
        <v>1367</v>
      </c>
      <c r="R23" s="2" t="s">
        <v>1368</v>
      </c>
      <c r="S23" s="2">
        <v>44229</v>
      </c>
      <c r="T23" s="2">
        <v>46058</v>
      </c>
      <c r="U23" s="2">
        <v>1433000</v>
      </c>
      <c r="V23" s="2">
        <v>25</v>
      </c>
      <c r="W23" s="2">
        <v>358250</v>
      </c>
      <c r="X23" s="2">
        <v>1074750</v>
      </c>
      <c r="Y23" s="2">
        <v>2.5</v>
      </c>
      <c r="Z23" s="2">
        <v>26868.75</v>
      </c>
      <c r="AA23" s="2"/>
      <c r="AB23" s="2"/>
      <c r="AC23" s="2" t="s">
        <v>1301</v>
      </c>
      <c r="AD23" s="2">
        <v>1141072794</v>
      </c>
      <c r="AE23" s="2">
        <v>45720</v>
      </c>
      <c r="AF23" s="2" t="s">
        <v>1113</v>
      </c>
      <c r="AG23" s="2">
        <v>0</v>
      </c>
      <c r="AH23" s="2" t="s">
        <v>301</v>
      </c>
      <c r="AI23" s="4">
        <v>26869</v>
      </c>
      <c r="AJ23" s="2">
        <v>0.25</v>
      </c>
      <c r="AK23" s="2" t="s">
        <v>4</v>
      </c>
    </row>
    <row r="24" spans="1:37" x14ac:dyDescent="0.2">
      <c r="A24" s="12">
        <v>23</v>
      </c>
      <c r="B24" s="2" t="s">
        <v>1295</v>
      </c>
      <c r="C24" s="2" t="s">
        <v>1369</v>
      </c>
      <c r="D24" s="2">
        <v>45658</v>
      </c>
      <c r="E24" s="2" t="s">
        <v>1106</v>
      </c>
      <c r="F24" s="2" t="s">
        <v>360</v>
      </c>
      <c r="G24" s="2">
        <v>45686</v>
      </c>
      <c r="H24" s="2">
        <v>46050</v>
      </c>
      <c r="I24" s="2" t="s">
        <v>1370</v>
      </c>
      <c r="J24" s="2">
        <v>4210121745991</v>
      </c>
      <c r="K24" s="2" t="s">
        <v>8</v>
      </c>
      <c r="L24" s="2" t="s">
        <v>361</v>
      </c>
      <c r="M24" s="2" t="s">
        <v>362</v>
      </c>
      <c r="N24" s="2" t="s">
        <v>363</v>
      </c>
      <c r="O24" s="2" t="s">
        <v>1369</v>
      </c>
      <c r="P24" s="2" t="s">
        <v>1143</v>
      </c>
      <c r="Q24" s="2" t="s">
        <v>1144</v>
      </c>
      <c r="R24" s="2" t="s">
        <v>1371</v>
      </c>
      <c r="S24" s="2">
        <v>44228</v>
      </c>
      <c r="T24" s="2">
        <v>46788</v>
      </c>
      <c r="U24" s="2">
        <v>1325000</v>
      </c>
      <c r="V24" s="2">
        <v>25</v>
      </c>
      <c r="W24" s="2">
        <v>331250</v>
      </c>
      <c r="X24" s="2">
        <v>993750</v>
      </c>
      <c r="Y24" s="2">
        <v>2.5</v>
      </c>
      <c r="Z24" s="2">
        <v>24843.75</v>
      </c>
      <c r="AA24" s="2"/>
      <c r="AB24" s="2"/>
      <c r="AC24" s="2" t="s">
        <v>1301</v>
      </c>
      <c r="AD24" s="2">
        <v>1141072794</v>
      </c>
      <c r="AE24" s="2">
        <v>45720</v>
      </c>
      <c r="AF24" s="2" t="s">
        <v>1113</v>
      </c>
      <c r="AG24" s="2">
        <v>12</v>
      </c>
      <c r="AH24" s="2" t="s">
        <v>360</v>
      </c>
      <c r="AI24" s="4">
        <v>24844</v>
      </c>
      <c r="AJ24" s="2">
        <v>0.25</v>
      </c>
      <c r="AK24" s="2" t="s">
        <v>4</v>
      </c>
    </row>
    <row r="25" spans="1:37" x14ac:dyDescent="0.2">
      <c r="A25" s="12">
        <v>24</v>
      </c>
      <c r="B25" s="2" t="s">
        <v>1295</v>
      </c>
      <c r="C25" s="2" t="s">
        <v>1372</v>
      </c>
      <c r="D25" s="2">
        <v>45658</v>
      </c>
      <c r="E25" s="2" t="s">
        <v>1106</v>
      </c>
      <c r="F25" s="2" t="s">
        <v>368</v>
      </c>
      <c r="G25" s="2">
        <v>45686</v>
      </c>
      <c r="H25" s="2">
        <v>46050</v>
      </c>
      <c r="I25" s="2" t="s">
        <v>1373</v>
      </c>
      <c r="J25" s="2">
        <v>4240121769867</v>
      </c>
      <c r="K25" s="2" t="s">
        <v>18</v>
      </c>
      <c r="L25" s="2" t="s">
        <v>369</v>
      </c>
      <c r="M25" s="2" t="s">
        <v>370</v>
      </c>
      <c r="N25" s="2" t="s">
        <v>371</v>
      </c>
      <c r="O25" s="2" t="s">
        <v>1372</v>
      </c>
      <c r="P25" s="2" t="s">
        <v>1143</v>
      </c>
      <c r="Q25" s="2" t="s">
        <v>1144</v>
      </c>
      <c r="R25" s="2" t="s">
        <v>1374</v>
      </c>
      <c r="S25" s="2">
        <v>44228</v>
      </c>
      <c r="T25" s="2">
        <v>46058</v>
      </c>
      <c r="U25" s="2">
        <v>2600000</v>
      </c>
      <c r="V25" s="2">
        <v>25</v>
      </c>
      <c r="W25" s="2">
        <v>650000</v>
      </c>
      <c r="X25" s="2">
        <v>1950000</v>
      </c>
      <c r="Y25" s="2">
        <v>2.5</v>
      </c>
      <c r="Z25" s="2">
        <v>48750</v>
      </c>
      <c r="AA25" s="2"/>
      <c r="AB25" s="2"/>
      <c r="AC25" s="2" t="s">
        <v>1301</v>
      </c>
      <c r="AD25" s="2">
        <v>1141072794</v>
      </c>
      <c r="AE25" s="2">
        <v>45720</v>
      </c>
      <c r="AF25" s="2" t="s">
        <v>1113</v>
      </c>
      <c r="AG25" s="2">
        <v>0</v>
      </c>
      <c r="AH25" s="2" t="s">
        <v>368</v>
      </c>
      <c r="AI25" s="4">
        <v>48750</v>
      </c>
      <c r="AJ25" s="2">
        <v>0</v>
      </c>
      <c r="AK25" s="2" t="s">
        <v>4</v>
      </c>
    </row>
    <row r="26" spans="1:37" x14ac:dyDescent="0.2">
      <c r="A26" s="12">
        <v>25</v>
      </c>
      <c r="B26" s="2" t="s">
        <v>1295</v>
      </c>
      <c r="C26" s="2" t="s">
        <v>1375</v>
      </c>
      <c r="D26" s="2">
        <v>45658</v>
      </c>
      <c r="E26" s="2" t="s">
        <v>1106</v>
      </c>
      <c r="F26" s="2" t="s">
        <v>337</v>
      </c>
      <c r="G26" s="2">
        <v>45686</v>
      </c>
      <c r="H26" s="2">
        <v>46050</v>
      </c>
      <c r="I26" s="2" t="s">
        <v>1376</v>
      </c>
      <c r="J26" s="2">
        <v>3640166133963</v>
      </c>
      <c r="K26" s="2" t="s">
        <v>250</v>
      </c>
      <c r="L26" s="2" t="s">
        <v>338</v>
      </c>
      <c r="M26" s="2" t="s">
        <v>339</v>
      </c>
      <c r="N26" s="2" t="s">
        <v>340</v>
      </c>
      <c r="O26" s="2" t="s">
        <v>1375</v>
      </c>
      <c r="P26" s="2" t="s">
        <v>1308</v>
      </c>
      <c r="Q26" s="2" t="s">
        <v>1110</v>
      </c>
      <c r="R26" s="2" t="s">
        <v>1377</v>
      </c>
      <c r="S26" s="2">
        <v>44228</v>
      </c>
      <c r="T26" s="2">
        <v>46058</v>
      </c>
      <c r="U26" s="2">
        <v>1134000</v>
      </c>
      <c r="V26" s="2">
        <v>25</v>
      </c>
      <c r="W26" s="2">
        <v>283500</v>
      </c>
      <c r="X26" s="2">
        <v>850500</v>
      </c>
      <c r="Y26" s="2">
        <v>2.5</v>
      </c>
      <c r="Z26" s="2">
        <v>21262.5</v>
      </c>
      <c r="AA26" s="2"/>
      <c r="AB26" s="2"/>
      <c r="AC26" s="2" t="s">
        <v>1301</v>
      </c>
      <c r="AD26" s="2">
        <v>1141072794</v>
      </c>
      <c r="AE26" s="2">
        <v>45720</v>
      </c>
      <c r="AF26" s="2" t="s">
        <v>1113</v>
      </c>
      <c r="AG26" s="2">
        <v>12</v>
      </c>
      <c r="AH26" s="2" t="s">
        <v>337</v>
      </c>
      <c r="AI26" s="4">
        <v>21263</v>
      </c>
      <c r="AJ26" s="2">
        <v>0.5</v>
      </c>
      <c r="AK26" s="2" t="s">
        <v>4</v>
      </c>
    </row>
    <row r="27" spans="1:37" x14ac:dyDescent="0.2">
      <c r="A27" s="12">
        <v>26</v>
      </c>
      <c r="B27" s="2" t="s">
        <v>1295</v>
      </c>
      <c r="C27" s="2" t="s">
        <v>1378</v>
      </c>
      <c r="D27" s="2">
        <v>45658</v>
      </c>
      <c r="E27" s="2" t="s">
        <v>1106</v>
      </c>
      <c r="F27" s="2" t="s">
        <v>310</v>
      </c>
      <c r="G27" s="2">
        <v>45685</v>
      </c>
      <c r="H27" s="2">
        <v>46049</v>
      </c>
      <c r="I27" s="2" t="s">
        <v>1379</v>
      </c>
      <c r="J27" s="2">
        <v>3120273958773</v>
      </c>
      <c r="K27" s="2" t="s">
        <v>13</v>
      </c>
      <c r="L27" s="2" t="s">
        <v>311</v>
      </c>
      <c r="M27" s="2" t="s">
        <v>312</v>
      </c>
      <c r="N27" s="2" t="s">
        <v>313</v>
      </c>
      <c r="O27" s="2" t="s">
        <v>1378</v>
      </c>
      <c r="P27" s="2" t="s">
        <v>1109</v>
      </c>
      <c r="Q27" s="2" t="s">
        <v>1139</v>
      </c>
      <c r="R27" s="2" t="s">
        <v>1380</v>
      </c>
      <c r="S27" s="2">
        <v>44229</v>
      </c>
      <c r="T27" s="2">
        <v>46058</v>
      </c>
      <c r="U27" s="2">
        <v>4134500</v>
      </c>
      <c r="V27" s="2">
        <v>25</v>
      </c>
      <c r="W27" s="2">
        <v>1033625</v>
      </c>
      <c r="X27" s="2">
        <v>3100875</v>
      </c>
      <c r="Y27" s="2">
        <v>1.5</v>
      </c>
      <c r="Z27" s="2">
        <v>46513.125</v>
      </c>
      <c r="AA27" s="2"/>
      <c r="AB27" s="2"/>
      <c r="AC27" s="2" t="s">
        <v>1301</v>
      </c>
      <c r="AD27" s="2">
        <v>1141072794</v>
      </c>
      <c r="AE27" s="2">
        <v>45720</v>
      </c>
      <c r="AF27" s="2" t="s">
        <v>1113</v>
      </c>
      <c r="AG27" s="2">
        <v>12</v>
      </c>
      <c r="AH27" s="2" t="s">
        <v>310</v>
      </c>
      <c r="AI27" s="4">
        <v>46513</v>
      </c>
      <c r="AJ27" s="2">
        <v>-0.125</v>
      </c>
      <c r="AK27" s="2" t="s">
        <v>4</v>
      </c>
    </row>
    <row r="28" spans="1:37" x14ac:dyDescent="0.2">
      <c r="A28" s="12">
        <v>27</v>
      </c>
      <c r="B28" s="2" t="s">
        <v>1295</v>
      </c>
      <c r="C28" s="2" t="s">
        <v>1381</v>
      </c>
      <c r="D28" s="2">
        <v>45658</v>
      </c>
      <c r="E28" s="2" t="s">
        <v>1106</v>
      </c>
      <c r="F28" s="2" t="s">
        <v>650</v>
      </c>
      <c r="G28" s="2">
        <v>45685</v>
      </c>
      <c r="H28" s="2">
        <v>46049</v>
      </c>
      <c r="I28" s="2" t="s">
        <v>1382</v>
      </c>
      <c r="J28" s="2">
        <v>4210185914899</v>
      </c>
      <c r="K28" s="2" t="s">
        <v>651</v>
      </c>
      <c r="L28" s="2" t="s">
        <v>652</v>
      </c>
      <c r="M28" s="2" t="s">
        <v>653</v>
      </c>
      <c r="N28" s="2" t="s">
        <v>654</v>
      </c>
      <c r="O28" s="2" t="s">
        <v>1381</v>
      </c>
      <c r="P28" s="2" t="s">
        <v>1109</v>
      </c>
      <c r="Q28" s="2" t="s">
        <v>1116</v>
      </c>
      <c r="R28" s="2" t="s">
        <v>1383</v>
      </c>
      <c r="S28" s="2">
        <v>44229</v>
      </c>
      <c r="T28" s="2">
        <v>46058</v>
      </c>
      <c r="U28" s="2">
        <v>2993000</v>
      </c>
      <c r="V28" s="2">
        <v>25</v>
      </c>
      <c r="W28" s="2">
        <v>748250</v>
      </c>
      <c r="X28" s="2">
        <v>2244750</v>
      </c>
      <c r="Y28" s="2">
        <v>2.5</v>
      </c>
      <c r="Z28" s="2">
        <v>56118.75</v>
      </c>
      <c r="AA28" s="2"/>
      <c r="AB28" s="2"/>
      <c r="AC28" s="2" t="s">
        <v>1301</v>
      </c>
      <c r="AD28" s="2">
        <v>1141072794</v>
      </c>
      <c r="AE28" s="2">
        <v>45720</v>
      </c>
      <c r="AF28" s="2" t="s">
        <v>1113</v>
      </c>
      <c r="AG28" s="2">
        <v>12</v>
      </c>
      <c r="AH28" s="2" t="s">
        <v>650</v>
      </c>
      <c r="AI28" s="4">
        <v>56119</v>
      </c>
      <c r="AJ28" s="2">
        <v>0.25</v>
      </c>
      <c r="AK28" s="2" t="s">
        <v>4</v>
      </c>
    </row>
    <row r="29" spans="1:37" x14ac:dyDescent="0.2">
      <c r="A29" s="12">
        <v>28</v>
      </c>
      <c r="B29" s="2" t="s">
        <v>1295</v>
      </c>
      <c r="C29" s="2" t="s">
        <v>1384</v>
      </c>
      <c r="D29" s="2">
        <v>45658</v>
      </c>
      <c r="E29" s="2" t="s">
        <v>1106</v>
      </c>
      <c r="F29" s="2" t="s">
        <v>288</v>
      </c>
      <c r="G29" s="2">
        <v>45685</v>
      </c>
      <c r="H29" s="2">
        <v>46049</v>
      </c>
      <c r="I29" s="2" t="s">
        <v>1385</v>
      </c>
      <c r="J29" s="2">
        <v>3450206211963</v>
      </c>
      <c r="K29" s="2" t="s">
        <v>10</v>
      </c>
      <c r="L29" s="2" t="s">
        <v>289</v>
      </c>
      <c r="M29" s="2" t="s">
        <v>290</v>
      </c>
      <c r="N29" s="2" t="s">
        <v>291</v>
      </c>
      <c r="O29" s="2" t="s">
        <v>1384</v>
      </c>
      <c r="P29" s="2" t="s">
        <v>1109</v>
      </c>
      <c r="Q29" s="2" t="s">
        <v>1116</v>
      </c>
      <c r="R29" s="2" t="s">
        <v>1386</v>
      </c>
      <c r="S29" s="2">
        <v>44230</v>
      </c>
      <c r="T29" s="2">
        <v>46058</v>
      </c>
      <c r="U29" s="2">
        <v>1490000</v>
      </c>
      <c r="V29" s="2">
        <v>25</v>
      </c>
      <c r="W29" s="2">
        <v>372500</v>
      </c>
      <c r="X29" s="2">
        <v>1117500</v>
      </c>
      <c r="Y29" s="2">
        <v>2.5</v>
      </c>
      <c r="Z29" s="2">
        <v>27937.5</v>
      </c>
      <c r="AA29" s="2"/>
      <c r="AB29" s="2"/>
      <c r="AC29" s="2" t="s">
        <v>1301</v>
      </c>
      <c r="AD29" s="2">
        <v>1141072794</v>
      </c>
      <c r="AE29" s="2">
        <v>45720</v>
      </c>
      <c r="AF29" s="2" t="s">
        <v>1113</v>
      </c>
      <c r="AG29" s="2">
        <v>0</v>
      </c>
      <c r="AH29" s="2" t="s">
        <v>288</v>
      </c>
      <c r="AI29" s="4">
        <v>27938</v>
      </c>
      <c r="AJ29" s="2">
        <v>0.5</v>
      </c>
      <c r="AK29" s="2" t="s">
        <v>4</v>
      </c>
    </row>
    <row r="30" spans="1:37" x14ac:dyDescent="0.2">
      <c r="A30" s="12">
        <v>29</v>
      </c>
      <c r="B30" s="2" t="s">
        <v>1295</v>
      </c>
      <c r="C30" s="2" t="s">
        <v>1387</v>
      </c>
      <c r="D30" s="2">
        <v>45658</v>
      </c>
      <c r="E30" s="2" t="s">
        <v>1106</v>
      </c>
      <c r="F30" s="2" t="s">
        <v>296</v>
      </c>
      <c r="G30" s="2">
        <v>45685</v>
      </c>
      <c r="H30" s="2">
        <v>46049</v>
      </c>
      <c r="I30" s="2" t="s">
        <v>1388</v>
      </c>
      <c r="J30" s="2">
        <v>3520224781021</v>
      </c>
      <c r="K30" s="2" t="s">
        <v>297</v>
      </c>
      <c r="L30" s="2" t="s">
        <v>298</v>
      </c>
      <c r="M30" s="2" t="s">
        <v>299</v>
      </c>
      <c r="N30" s="2" t="s">
        <v>300</v>
      </c>
      <c r="O30" s="2" t="s">
        <v>1387</v>
      </c>
      <c r="P30" s="2" t="s">
        <v>1109</v>
      </c>
      <c r="Q30" s="2" t="s">
        <v>1116</v>
      </c>
      <c r="R30" s="2" t="s">
        <v>1389</v>
      </c>
      <c r="S30" s="2">
        <v>44229</v>
      </c>
      <c r="T30" s="2">
        <v>46058</v>
      </c>
      <c r="U30" s="2">
        <v>2645000</v>
      </c>
      <c r="V30" s="2">
        <v>25</v>
      </c>
      <c r="W30" s="2">
        <v>661250</v>
      </c>
      <c r="X30" s="2">
        <v>1983750</v>
      </c>
      <c r="Y30" s="2">
        <v>2.5</v>
      </c>
      <c r="Z30" s="2">
        <v>49593.75</v>
      </c>
      <c r="AA30" s="2"/>
      <c r="AB30" s="2"/>
      <c r="AC30" s="2" t="s">
        <v>1301</v>
      </c>
      <c r="AD30" s="2">
        <v>1141072794</v>
      </c>
      <c r="AE30" s="2">
        <v>45720</v>
      </c>
      <c r="AF30" s="2" t="s">
        <v>1113</v>
      </c>
      <c r="AG30" s="2">
        <v>0</v>
      </c>
      <c r="AH30" s="2" t="s">
        <v>296</v>
      </c>
      <c r="AI30" s="4">
        <v>49594</v>
      </c>
      <c r="AJ30" s="2">
        <v>0.25</v>
      </c>
      <c r="AK30" s="2" t="s">
        <v>4</v>
      </c>
    </row>
    <row r="31" spans="1:37" x14ac:dyDescent="0.2">
      <c r="A31" s="12">
        <v>30</v>
      </c>
      <c r="B31" s="2" t="s">
        <v>1295</v>
      </c>
      <c r="C31" s="2" t="s">
        <v>1390</v>
      </c>
      <c r="D31" s="2">
        <v>45658</v>
      </c>
      <c r="E31" s="2" t="s">
        <v>1106</v>
      </c>
      <c r="F31" s="2" t="s">
        <v>314</v>
      </c>
      <c r="G31" s="2">
        <v>45685</v>
      </c>
      <c r="H31" s="2">
        <v>46049</v>
      </c>
      <c r="I31" s="2" t="s">
        <v>1391</v>
      </c>
      <c r="J31" s="2">
        <v>3520284660815</v>
      </c>
      <c r="K31" s="2" t="s">
        <v>13</v>
      </c>
      <c r="L31" s="2" t="s">
        <v>315</v>
      </c>
      <c r="M31" s="2" t="s">
        <v>316</v>
      </c>
      <c r="N31" s="2" t="s">
        <v>317</v>
      </c>
      <c r="O31" s="2" t="s">
        <v>1390</v>
      </c>
      <c r="P31" s="2" t="s">
        <v>1109</v>
      </c>
      <c r="Q31" s="2" t="s">
        <v>1116</v>
      </c>
      <c r="R31" s="2" t="s">
        <v>1392</v>
      </c>
      <c r="S31" s="2">
        <v>44229</v>
      </c>
      <c r="T31" s="2">
        <v>46788</v>
      </c>
      <c r="U31" s="2">
        <v>4127000</v>
      </c>
      <c r="V31" s="2">
        <v>25</v>
      </c>
      <c r="W31" s="2">
        <v>1031750</v>
      </c>
      <c r="X31" s="2">
        <v>3095250</v>
      </c>
      <c r="Y31" s="2">
        <v>1.5</v>
      </c>
      <c r="Z31" s="2">
        <v>46428.75</v>
      </c>
      <c r="AA31" s="2"/>
      <c r="AB31" s="2"/>
      <c r="AC31" s="2" t="s">
        <v>1301</v>
      </c>
      <c r="AD31" s="2">
        <v>1141072794</v>
      </c>
      <c r="AE31" s="2">
        <v>45720</v>
      </c>
      <c r="AF31" s="2" t="s">
        <v>1113</v>
      </c>
      <c r="AG31" s="2">
        <v>0</v>
      </c>
      <c r="AH31" s="2" t="s">
        <v>314</v>
      </c>
      <c r="AI31" s="4">
        <v>46429</v>
      </c>
      <c r="AJ31" s="2">
        <v>0.25</v>
      </c>
      <c r="AK31" s="2" t="s">
        <v>4</v>
      </c>
    </row>
    <row r="32" spans="1:37" x14ac:dyDescent="0.2">
      <c r="A32" s="12">
        <v>31</v>
      </c>
      <c r="B32" s="2" t="s">
        <v>1295</v>
      </c>
      <c r="C32" s="2" t="s">
        <v>1393</v>
      </c>
      <c r="D32" s="2">
        <v>45658</v>
      </c>
      <c r="E32" s="2" t="s">
        <v>1106</v>
      </c>
      <c r="F32" s="2" t="s">
        <v>249</v>
      </c>
      <c r="G32" s="2">
        <v>45684</v>
      </c>
      <c r="H32" s="2">
        <v>46048</v>
      </c>
      <c r="I32" s="2" t="s">
        <v>1394</v>
      </c>
      <c r="J32" s="2">
        <v>4210125217293</v>
      </c>
      <c r="K32" s="2" t="s">
        <v>250</v>
      </c>
      <c r="L32" s="2" t="s">
        <v>251</v>
      </c>
      <c r="M32" s="2" t="s">
        <v>252</v>
      </c>
      <c r="N32" s="2" t="s">
        <v>253</v>
      </c>
      <c r="O32" s="2" t="s">
        <v>1393</v>
      </c>
      <c r="P32" s="2" t="s">
        <v>1143</v>
      </c>
      <c r="Q32" s="2" t="s">
        <v>1144</v>
      </c>
      <c r="R32" s="2" t="s">
        <v>1395</v>
      </c>
      <c r="S32" s="2">
        <v>44228</v>
      </c>
      <c r="T32" s="2">
        <v>46058</v>
      </c>
      <c r="U32" s="2">
        <v>1134000</v>
      </c>
      <c r="V32" s="2">
        <v>25</v>
      </c>
      <c r="W32" s="2">
        <v>283500</v>
      </c>
      <c r="X32" s="2">
        <v>850500</v>
      </c>
      <c r="Y32" s="2">
        <v>2.5</v>
      </c>
      <c r="Z32" s="2">
        <v>21262.5</v>
      </c>
      <c r="AA32" s="2"/>
      <c r="AB32" s="2"/>
      <c r="AC32" s="2" t="s">
        <v>1301</v>
      </c>
      <c r="AD32" s="2">
        <v>1141072794</v>
      </c>
      <c r="AE32" s="2">
        <v>45720</v>
      </c>
      <c r="AF32" s="2" t="s">
        <v>1113</v>
      </c>
      <c r="AG32" s="2">
        <v>12</v>
      </c>
      <c r="AH32" s="2" t="s">
        <v>249</v>
      </c>
      <c r="AI32" s="4">
        <v>21263</v>
      </c>
      <c r="AJ32" s="2">
        <v>0.5</v>
      </c>
      <c r="AK32" s="2" t="s">
        <v>4</v>
      </c>
    </row>
    <row r="33" spans="1:37" x14ac:dyDescent="0.2">
      <c r="A33" s="12">
        <v>32</v>
      </c>
      <c r="B33" s="2" t="s">
        <v>1295</v>
      </c>
      <c r="C33" s="2" t="s">
        <v>1396</v>
      </c>
      <c r="D33" s="2">
        <v>45658</v>
      </c>
      <c r="E33" s="2" t="s">
        <v>1106</v>
      </c>
      <c r="F33" s="2" t="s">
        <v>318</v>
      </c>
      <c r="G33" s="2">
        <v>45686</v>
      </c>
      <c r="H33" s="2">
        <v>46050</v>
      </c>
      <c r="I33" s="2" t="s">
        <v>1397</v>
      </c>
      <c r="J33" s="2">
        <v>4520206777549</v>
      </c>
      <c r="K33" s="2" t="s">
        <v>187</v>
      </c>
      <c r="L33" s="2" t="s">
        <v>319</v>
      </c>
      <c r="M33" s="2" t="s">
        <v>320</v>
      </c>
      <c r="N33" s="2" t="s">
        <v>321</v>
      </c>
      <c r="O33" s="2" t="s">
        <v>1396</v>
      </c>
      <c r="P33" s="2" t="s">
        <v>1143</v>
      </c>
      <c r="Q33" s="2" t="s">
        <v>1271</v>
      </c>
      <c r="R33" s="2" t="s">
        <v>1398</v>
      </c>
      <c r="S33" s="2">
        <v>44228</v>
      </c>
      <c r="T33" s="2">
        <v>46058</v>
      </c>
      <c r="U33" s="2">
        <v>900000</v>
      </c>
      <c r="V33" s="2">
        <v>25</v>
      </c>
      <c r="W33" s="2">
        <v>225000</v>
      </c>
      <c r="X33" s="2">
        <v>675000</v>
      </c>
      <c r="Y33" s="2">
        <v>2.5</v>
      </c>
      <c r="Z33" s="2">
        <v>16875</v>
      </c>
      <c r="AA33" s="2"/>
      <c r="AB33" s="2"/>
      <c r="AC33" s="2" t="s">
        <v>1301</v>
      </c>
      <c r="AD33" s="2">
        <v>1141072794</v>
      </c>
      <c r="AE33" s="2">
        <v>45720</v>
      </c>
      <c r="AF33" s="2" t="s">
        <v>1113</v>
      </c>
      <c r="AG33" s="2">
        <v>0</v>
      </c>
      <c r="AH33" s="2" t="s">
        <v>318</v>
      </c>
      <c r="AI33" s="4">
        <v>16875</v>
      </c>
      <c r="AJ33" s="2">
        <v>0</v>
      </c>
      <c r="AK33" s="2" t="s">
        <v>4</v>
      </c>
    </row>
    <row r="34" spans="1:37" x14ac:dyDescent="0.2">
      <c r="A34" s="12">
        <v>33</v>
      </c>
      <c r="B34" s="2" t="s">
        <v>1295</v>
      </c>
      <c r="C34" s="2" t="s">
        <v>1399</v>
      </c>
      <c r="D34" s="2">
        <v>45658</v>
      </c>
      <c r="E34" s="2" t="s">
        <v>1106</v>
      </c>
      <c r="F34" s="2" t="s">
        <v>351</v>
      </c>
      <c r="G34" s="2">
        <v>45686</v>
      </c>
      <c r="H34" s="2">
        <v>46050</v>
      </c>
      <c r="I34" s="2" t="s">
        <v>1400</v>
      </c>
      <c r="J34" s="2">
        <v>3520228272445</v>
      </c>
      <c r="K34" s="2" t="s">
        <v>255</v>
      </c>
      <c r="L34" s="2" t="s">
        <v>352</v>
      </c>
      <c r="M34" s="2" t="s">
        <v>353</v>
      </c>
      <c r="N34" s="2" t="s">
        <v>354</v>
      </c>
      <c r="O34" s="2" t="s">
        <v>1399</v>
      </c>
      <c r="P34" s="2" t="s">
        <v>1109</v>
      </c>
      <c r="Q34" s="2" t="s">
        <v>1116</v>
      </c>
      <c r="R34" s="2" t="s">
        <v>1401</v>
      </c>
      <c r="S34" s="2">
        <v>44229</v>
      </c>
      <c r="T34" s="2">
        <v>46058</v>
      </c>
      <c r="U34" s="2">
        <v>2993000</v>
      </c>
      <c r="V34" s="2">
        <v>25</v>
      </c>
      <c r="W34" s="2">
        <v>748250</v>
      </c>
      <c r="X34" s="2">
        <v>2244750</v>
      </c>
      <c r="Y34" s="2">
        <v>2.5</v>
      </c>
      <c r="Z34" s="2">
        <v>56118.75</v>
      </c>
      <c r="AA34" s="2"/>
      <c r="AB34" s="2"/>
      <c r="AC34" s="2" t="s">
        <v>1301</v>
      </c>
      <c r="AD34" s="2">
        <v>1141072794</v>
      </c>
      <c r="AE34" s="2">
        <v>45720</v>
      </c>
      <c r="AF34" s="2" t="s">
        <v>1113</v>
      </c>
      <c r="AG34" s="2">
        <v>12</v>
      </c>
      <c r="AH34" s="2" t="s">
        <v>351</v>
      </c>
      <c r="AI34" s="4">
        <v>56119</v>
      </c>
      <c r="AJ34" s="2">
        <v>0.25</v>
      </c>
      <c r="AK34" s="2" t="s">
        <v>4</v>
      </c>
    </row>
    <row r="35" spans="1:37" x14ac:dyDescent="0.2">
      <c r="A35" s="12">
        <v>34</v>
      </c>
      <c r="B35" s="2" t="s">
        <v>1295</v>
      </c>
      <c r="C35" s="2" t="s">
        <v>1402</v>
      </c>
      <c r="D35" s="2">
        <v>45658</v>
      </c>
      <c r="E35" s="2" t="s">
        <v>1106</v>
      </c>
      <c r="F35" s="2" t="s">
        <v>322</v>
      </c>
      <c r="G35" s="2">
        <v>45686</v>
      </c>
      <c r="H35" s="2">
        <v>46050</v>
      </c>
      <c r="I35" s="2" t="s">
        <v>1403</v>
      </c>
      <c r="J35" s="2">
        <v>3410178076113</v>
      </c>
      <c r="K35" s="2" t="s">
        <v>323</v>
      </c>
      <c r="L35" s="2" t="s">
        <v>324</v>
      </c>
      <c r="M35" s="2" t="s">
        <v>325</v>
      </c>
      <c r="N35" s="2" t="s">
        <v>326</v>
      </c>
      <c r="O35" s="2" t="s">
        <v>1402</v>
      </c>
      <c r="P35" s="2" t="s">
        <v>1109</v>
      </c>
      <c r="Q35" s="2" t="s">
        <v>1154</v>
      </c>
      <c r="R35" s="2" t="s">
        <v>1404</v>
      </c>
      <c r="S35" s="2">
        <v>44229</v>
      </c>
      <c r="T35" s="2">
        <v>46788</v>
      </c>
      <c r="U35" s="2">
        <v>1640000</v>
      </c>
      <c r="V35" s="2">
        <v>25</v>
      </c>
      <c r="W35" s="2">
        <v>410000</v>
      </c>
      <c r="X35" s="2">
        <v>1230000</v>
      </c>
      <c r="Y35" s="2">
        <v>2.5</v>
      </c>
      <c r="Z35" s="2">
        <v>30750</v>
      </c>
      <c r="AA35" s="2"/>
      <c r="AB35" s="2"/>
      <c r="AC35" s="2" t="s">
        <v>1301</v>
      </c>
      <c r="AD35" s="2">
        <v>1141072794</v>
      </c>
      <c r="AE35" s="2">
        <v>45720</v>
      </c>
      <c r="AF35" s="2" t="s">
        <v>1113</v>
      </c>
      <c r="AG35" s="2">
        <v>12</v>
      </c>
      <c r="AH35" s="2" t="s">
        <v>322</v>
      </c>
      <c r="AI35" s="4">
        <v>30750</v>
      </c>
      <c r="AJ35" s="2">
        <v>0</v>
      </c>
      <c r="AK35" s="2" t="s">
        <v>4</v>
      </c>
    </row>
    <row r="36" spans="1:37" x14ac:dyDescent="0.2">
      <c r="A36" s="12">
        <v>35</v>
      </c>
      <c r="B36" s="2" t="s">
        <v>1295</v>
      </c>
      <c r="C36" s="2" t="s">
        <v>1405</v>
      </c>
      <c r="D36" s="2">
        <v>45658</v>
      </c>
      <c r="E36" s="2" t="s">
        <v>1106</v>
      </c>
      <c r="F36" s="2" t="s">
        <v>1067</v>
      </c>
      <c r="G36" s="2">
        <v>45686</v>
      </c>
      <c r="H36" s="2">
        <v>46050</v>
      </c>
      <c r="I36" s="2" t="s">
        <v>1406</v>
      </c>
      <c r="J36" s="2">
        <v>3510279386019</v>
      </c>
      <c r="K36" s="2" t="s">
        <v>29</v>
      </c>
      <c r="L36" s="2" t="s">
        <v>1068</v>
      </c>
      <c r="M36" s="2" t="s">
        <v>1069</v>
      </c>
      <c r="N36" s="2" t="s">
        <v>1070</v>
      </c>
      <c r="O36" s="2" t="s">
        <v>1405</v>
      </c>
      <c r="P36" s="2" t="s">
        <v>1109</v>
      </c>
      <c r="Q36" s="2" t="s">
        <v>1116</v>
      </c>
      <c r="R36" s="2" t="s">
        <v>1407</v>
      </c>
      <c r="S36" s="2">
        <v>44229</v>
      </c>
      <c r="T36" s="2">
        <v>46058</v>
      </c>
      <c r="U36" s="2">
        <v>1034000</v>
      </c>
      <c r="V36" s="2">
        <v>25</v>
      </c>
      <c r="W36" s="2">
        <v>258500</v>
      </c>
      <c r="X36" s="2">
        <v>775500</v>
      </c>
      <c r="Y36" s="2">
        <v>2.5</v>
      </c>
      <c r="Z36" s="2">
        <v>19387.5</v>
      </c>
      <c r="AA36" s="2"/>
      <c r="AB36" s="2"/>
      <c r="AC36" s="2" t="s">
        <v>1301</v>
      </c>
      <c r="AD36" s="2">
        <v>1141072794</v>
      </c>
      <c r="AE36" s="2">
        <v>45720</v>
      </c>
      <c r="AF36" s="2" t="s">
        <v>1113</v>
      </c>
      <c r="AG36" s="2">
        <v>0</v>
      </c>
      <c r="AH36" s="2" t="s">
        <v>1067</v>
      </c>
      <c r="AI36" s="4">
        <v>19388</v>
      </c>
      <c r="AJ36" s="2">
        <v>0.5</v>
      </c>
      <c r="AK36" s="2" t="s">
        <v>4</v>
      </c>
    </row>
    <row r="37" spans="1:37" x14ac:dyDescent="0.2">
      <c r="A37" s="12">
        <v>36</v>
      </c>
      <c r="B37" s="2" t="s">
        <v>1295</v>
      </c>
      <c r="C37" s="2" t="s">
        <v>1408</v>
      </c>
      <c r="D37" s="2">
        <v>45658</v>
      </c>
      <c r="E37" s="2" t="s">
        <v>1106</v>
      </c>
      <c r="F37" s="2" t="s">
        <v>332</v>
      </c>
      <c r="G37" s="2">
        <v>45686</v>
      </c>
      <c r="H37" s="2">
        <v>46050</v>
      </c>
      <c r="I37" s="2" t="s">
        <v>1409</v>
      </c>
      <c r="J37" s="2">
        <v>3520283361369</v>
      </c>
      <c r="K37" s="2" t="s">
        <v>333</v>
      </c>
      <c r="L37" s="2" t="s">
        <v>334</v>
      </c>
      <c r="M37" s="2" t="s">
        <v>335</v>
      </c>
      <c r="N37" s="2" t="s">
        <v>336</v>
      </c>
      <c r="O37" s="2" t="s">
        <v>1408</v>
      </c>
      <c r="P37" s="2" t="s">
        <v>1109</v>
      </c>
      <c r="Q37" s="2" t="s">
        <v>1116</v>
      </c>
      <c r="R37" s="2" t="s">
        <v>1410</v>
      </c>
      <c r="S37" s="2">
        <v>44230</v>
      </c>
      <c r="T37" s="2">
        <v>46788</v>
      </c>
      <c r="U37" s="2">
        <v>1449000</v>
      </c>
      <c r="V37" s="2">
        <v>25</v>
      </c>
      <c r="W37" s="2">
        <v>362250</v>
      </c>
      <c r="X37" s="2">
        <v>1086750</v>
      </c>
      <c r="Y37" s="2">
        <v>2.5</v>
      </c>
      <c r="Z37" s="2">
        <v>27168.75</v>
      </c>
      <c r="AA37" s="2"/>
      <c r="AB37" s="2"/>
      <c r="AC37" s="2" t="s">
        <v>1301</v>
      </c>
      <c r="AD37" s="2">
        <v>1141072794</v>
      </c>
      <c r="AE37" s="2">
        <v>45720</v>
      </c>
      <c r="AF37" s="2" t="s">
        <v>1113</v>
      </c>
      <c r="AG37" s="2">
        <v>0</v>
      </c>
      <c r="AH37" s="2" t="s">
        <v>332</v>
      </c>
      <c r="AI37" s="4">
        <v>27169</v>
      </c>
      <c r="AJ37" s="2">
        <v>0.25</v>
      </c>
      <c r="AK37" s="2" t="s">
        <v>4</v>
      </c>
    </row>
    <row r="38" spans="1:37" x14ac:dyDescent="0.2">
      <c r="A38" s="12">
        <v>37</v>
      </c>
      <c r="B38" s="2" t="s">
        <v>1295</v>
      </c>
      <c r="C38" s="2" t="s">
        <v>1411</v>
      </c>
      <c r="D38" s="2">
        <v>45658</v>
      </c>
      <c r="E38" s="2" t="s">
        <v>1106</v>
      </c>
      <c r="F38" s="2" t="s">
        <v>346</v>
      </c>
      <c r="G38" s="2">
        <v>45686</v>
      </c>
      <c r="H38" s="2">
        <v>46050</v>
      </c>
      <c r="I38" s="2" t="s">
        <v>1412</v>
      </c>
      <c r="J38" s="2">
        <v>3410115368017</v>
      </c>
      <c r="K38" s="2" t="s">
        <v>347</v>
      </c>
      <c r="L38" s="2" t="s">
        <v>348</v>
      </c>
      <c r="M38" s="2" t="s">
        <v>349</v>
      </c>
      <c r="N38" s="2" t="s">
        <v>350</v>
      </c>
      <c r="O38" s="2" t="s">
        <v>1411</v>
      </c>
      <c r="P38" s="2" t="s">
        <v>1109</v>
      </c>
      <c r="Q38" s="2" t="s">
        <v>1154</v>
      </c>
      <c r="R38" s="2" t="s">
        <v>1413</v>
      </c>
      <c r="S38" s="2">
        <v>44229</v>
      </c>
      <c r="T38" s="2">
        <v>46058</v>
      </c>
      <c r="U38" s="2">
        <v>1500000</v>
      </c>
      <c r="V38" s="2">
        <v>25</v>
      </c>
      <c r="W38" s="2">
        <v>375000</v>
      </c>
      <c r="X38" s="2">
        <v>1125000</v>
      </c>
      <c r="Y38" s="2">
        <v>2.5</v>
      </c>
      <c r="Z38" s="2">
        <v>28125</v>
      </c>
      <c r="AA38" s="2"/>
      <c r="AB38" s="2"/>
      <c r="AC38" s="2" t="s">
        <v>1301</v>
      </c>
      <c r="AD38" s="2">
        <v>1141072794</v>
      </c>
      <c r="AE38" s="2">
        <v>45720</v>
      </c>
      <c r="AF38" s="2" t="s">
        <v>1113</v>
      </c>
      <c r="AG38" s="2">
        <v>12</v>
      </c>
      <c r="AH38" s="2" t="s">
        <v>346</v>
      </c>
      <c r="AI38" s="4">
        <v>28125</v>
      </c>
      <c r="AJ38" s="2">
        <v>0</v>
      </c>
      <c r="AK38" s="2" t="s">
        <v>4</v>
      </c>
    </row>
    <row r="39" spans="1:37" x14ac:dyDescent="0.2">
      <c r="A39" s="12">
        <v>38</v>
      </c>
      <c r="B39" s="2" t="s">
        <v>1295</v>
      </c>
      <c r="C39" s="2" t="s">
        <v>1414</v>
      </c>
      <c r="D39" s="2">
        <v>45658</v>
      </c>
      <c r="E39" s="2" t="s">
        <v>1106</v>
      </c>
      <c r="F39" s="2" t="s">
        <v>355</v>
      </c>
      <c r="G39" s="2">
        <v>45686</v>
      </c>
      <c r="H39" s="2">
        <v>46050</v>
      </c>
      <c r="I39" s="2" t="s">
        <v>1415</v>
      </c>
      <c r="J39" s="2">
        <v>3520179012069</v>
      </c>
      <c r="K39" s="2" t="s">
        <v>356</v>
      </c>
      <c r="L39" s="2" t="s">
        <v>357</v>
      </c>
      <c r="M39" s="2" t="s">
        <v>358</v>
      </c>
      <c r="N39" s="2" t="s">
        <v>359</v>
      </c>
      <c r="O39" s="2" t="s">
        <v>1414</v>
      </c>
      <c r="P39" s="2" t="s">
        <v>1109</v>
      </c>
      <c r="Q39" s="2" t="s">
        <v>1116</v>
      </c>
      <c r="R39" s="2" t="s">
        <v>1416</v>
      </c>
      <c r="S39" s="2">
        <v>44229</v>
      </c>
      <c r="T39" s="2">
        <v>46058</v>
      </c>
      <c r="U39" s="2">
        <v>5611800</v>
      </c>
      <c r="V39" s="2">
        <v>25</v>
      </c>
      <c r="W39" s="2">
        <v>1402950</v>
      </c>
      <c r="X39" s="2">
        <v>4208850</v>
      </c>
      <c r="Y39" s="2">
        <v>1.5</v>
      </c>
      <c r="Z39" s="2">
        <v>63132.75</v>
      </c>
      <c r="AA39" s="2"/>
      <c r="AB39" s="2"/>
      <c r="AC39" s="2" t="s">
        <v>1301</v>
      </c>
      <c r="AD39" s="2">
        <v>1141072794</v>
      </c>
      <c r="AE39" s="2">
        <v>45720</v>
      </c>
      <c r="AF39" s="2" t="s">
        <v>1113</v>
      </c>
      <c r="AG39" s="2">
        <v>12</v>
      </c>
      <c r="AH39" s="2" t="s">
        <v>355</v>
      </c>
      <c r="AI39" s="4">
        <v>63133</v>
      </c>
      <c r="AJ39" s="2">
        <v>0.25</v>
      </c>
      <c r="AK39" s="2" t="s">
        <v>4</v>
      </c>
    </row>
    <row r="40" spans="1:37" x14ac:dyDescent="0.2">
      <c r="A40" s="12">
        <v>39</v>
      </c>
      <c r="B40" s="2" t="s">
        <v>1295</v>
      </c>
      <c r="C40" s="2" t="s">
        <v>1417</v>
      </c>
      <c r="D40" s="2">
        <v>45658</v>
      </c>
      <c r="E40" s="2" t="s">
        <v>1106</v>
      </c>
      <c r="F40" s="2" t="s">
        <v>327</v>
      </c>
      <c r="G40" s="2">
        <v>45686</v>
      </c>
      <c r="H40" s="2">
        <v>46050</v>
      </c>
      <c r="I40" s="2" t="s">
        <v>1418</v>
      </c>
      <c r="J40" s="2">
        <v>3810379891907</v>
      </c>
      <c r="K40" s="2" t="s">
        <v>328</v>
      </c>
      <c r="L40" s="2" t="s">
        <v>329</v>
      </c>
      <c r="M40" s="2" t="s">
        <v>330</v>
      </c>
      <c r="N40" s="2" t="s">
        <v>331</v>
      </c>
      <c r="O40" s="2" t="s">
        <v>1417</v>
      </c>
      <c r="P40" s="2" t="s">
        <v>1109</v>
      </c>
      <c r="Q40" s="2" t="s">
        <v>1116</v>
      </c>
      <c r="R40" s="2" t="s">
        <v>1419</v>
      </c>
      <c r="S40" s="2">
        <v>44229</v>
      </c>
      <c r="T40" s="2">
        <v>46788</v>
      </c>
      <c r="U40" s="2">
        <v>2455000</v>
      </c>
      <c r="V40" s="2">
        <v>25</v>
      </c>
      <c r="W40" s="2">
        <v>613750</v>
      </c>
      <c r="X40" s="2">
        <v>1841250</v>
      </c>
      <c r="Y40" s="2">
        <v>2.5</v>
      </c>
      <c r="Z40" s="2">
        <v>46031.25</v>
      </c>
      <c r="AA40" s="2"/>
      <c r="AB40" s="2"/>
      <c r="AC40" s="2" t="s">
        <v>1301</v>
      </c>
      <c r="AD40" s="2">
        <v>1141072794</v>
      </c>
      <c r="AE40" s="2">
        <v>45720</v>
      </c>
      <c r="AF40" s="2" t="s">
        <v>1113</v>
      </c>
      <c r="AG40" s="2">
        <v>12</v>
      </c>
      <c r="AH40" s="2" t="s">
        <v>327</v>
      </c>
      <c r="AI40" s="4">
        <v>46031</v>
      </c>
      <c r="AJ40" s="2">
        <v>-0.25</v>
      </c>
      <c r="AK40" s="2" t="s">
        <v>4</v>
      </c>
    </row>
    <row r="41" spans="1:37" x14ac:dyDescent="0.2">
      <c r="A41" s="12">
        <v>40</v>
      </c>
      <c r="B41" s="2" t="s">
        <v>1295</v>
      </c>
      <c r="C41" s="2" t="s">
        <v>1420</v>
      </c>
      <c r="D41" s="2">
        <v>45658</v>
      </c>
      <c r="E41" s="2" t="s">
        <v>1106</v>
      </c>
      <c r="F41" s="2" t="s">
        <v>364</v>
      </c>
      <c r="G41" s="2">
        <v>45686</v>
      </c>
      <c r="H41" s="2">
        <v>46050</v>
      </c>
      <c r="I41" s="2" t="s">
        <v>1421</v>
      </c>
      <c r="J41" s="2">
        <v>3520157350899</v>
      </c>
      <c r="K41" s="2" t="s">
        <v>9</v>
      </c>
      <c r="L41" s="2" t="s">
        <v>365</v>
      </c>
      <c r="M41" s="2" t="s">
        <v>366</v>
      </c>
      <c r="N41" s="2" t="s">
        <v>367</v>
      </c>
      <c r="O41" s="2" t="s">
        <v>1420</v>
      </c>
      <c r="P41" s="2" t="s">
        <v>1109</v>
      </c>
      <c r="Q41" s="2" t="s">
        <v>1422</v>
      </c>
      <c r="R41" s="2" t="s">
        <v>1423</v>
      </c>
      <c r="S41" s="2">
        <v>44229</v>
      </c>
      <c r="T41" s="2">
        <v>46788</v>
      </c>
      <c r="U41" s="2">
        <v>1633000</v>
      </c>
      <c r="V41" s="2">
        <v>25</v>
      </c>
      <c r="W41" s="2">
        <v>408250</v>
      </c>
      <c r="X41" s="2">
        <v>1224750</v>
      </c>
      <c r="Y41" s="2">
        <v>2.5</v>
      </c>
      <c r="Z41" s="2">
        <v>30618.75</v>
      </c>
      <c r="AA41" s="2"/>
      <c r="AB41" s="2"/>
      <c r="AC41" s="2" t="s">
        <v>1301</v>
      </c>
      <c r="AD41" s="2">
        <v>1141072794</v>
      </c>
      <c r="AE41" s="2">
        <v>45720</v>
      </c>
      <c r="AF41" s="2" t="s">
        <v>1113</v>
      </c>
      <c r="AG41" s="2">
        <v>0</v>
      </c>
      <c r="AH41" s="2" t="s">
        <v>364</v>
      </c>
      <c r="AI41" s="4">
        <v>30619</v>
      </c>
      <c r="AJ41" s="2">
        <v>0.25</v>
      </c>
      <c r="AK41" s="2" t="s">
        <v>4</v>
      </c>
    </row>
    <row r="42" spans="1:37" x14ac:dyDescent="0.2">
      <c r="A42" s="12">
        <v>41</v>
      </c>
      <c r="B42" s="2" t="s">
        <v>1295</v>
      </c>
      <c r="C42" s="2" t="s">
        <v>1424</v>
      </c>
      <c r="D42" s="2">
        <v>45658</v>
      </c>
      <c r="E42" s="2" t="s">
        <v>1106</v>
      </c>
      <c r="F42" s="2" t="s">
        <v>372</v>
      </c>
      <c r="G42" s="2">
        <v>45686</v>
      </c>
      <c r="H42" s="2">
        <v>46050</v>
      </c>
      <c r="I42" s="2" t="s">
        <v>1425</v>
      </c>
      <c r="J42" s="2">
        <v>3510284657289</v>
      </c>
      <c r="K42" s="2" t="s">
        <v>14</v>
      </c>
      <c r="L42" s="2" t="s">
        <v>373</v>
      </c>
      <c r="M42" s="2" t="s">
        <v>374</v>
      </c>
      <c r="N42" s="2" t="s">
        <v>375</v>
      </c>
      <c r="O42" s="2" t="s">
        <v>1424</v>
      </c>
      <c r="P42" s="2" t="s">
        <v>1308</v>
      </c>
      <c r="Q42" s="2" t="s">
        <v>1426</v>
      </c>
      <c r="R42" s="2" t="s">
        <v>1427</v>
      </c>
      <c r="S42" s="2">
        <v>44228</v>
      </c>
      <c r="T42" s="2">
        <v>46058</v>
      </c>
      <c r="U42" s="2">
        <v>1530000</v>
      </c>
      <c r="V42" s="2">
        <v>25</v>
      </c>
      <c r="W42" s="2">
        <v>382500</v>
      </c>
      <c r="X42" s="2">
        <v>1147500</v>
      </c>
      <c r="Y42" s="2">
        <v>2.5</v>
      </c>
      <c r="Z42" s="2">
        <v>28687.5</v>
      </c>
      <c r="AA42" s="2"/>
      <c r="AB42" s="2"/>
      <c r="AC42" s="2" t="s">
        <v>1301</v>
      </c>
      <c r="AD42" s="2">
        <v>1141072794</v>
      </c>
      <c r="AE42" s="2">
        <v>45720</v>
      </c>
      <c r="AF42" s="2" t="s">
        <v>1113</v>
      </c>
      <c r="AG42" s="2">
        <v>12</v>
      </c>
      <c r="AH42" s="2" t="s">
        <v>372</v>
      </c>
      <c r="AI42" s="4">
        <v>28688</v>
      </c>
      <c r="AJ42" s="2">
        <v>0.5</v>
      </c>
      <c r="AK42" s="2" t="s">
        <v>4</v>
      </c>
    </row>
    <row r="43" spans="1:37" x14ac:dyDescent="0.2">
      <c r="A43" s="12">
        <v>42</v>
      </c>
      <c r="B43" s="2" t="s">
        <v>1295</v>
      </c>
      <c r="C43" s="2" t="s">
        <v>1428</v>
      </c>
      <c r="D43" s="2">
        <v>45658</v>
      </c>
      <c r="E43" s="2" t="s">
        <v>1106</v>
      </c>
      <c r="F43" s="2" t="s">
        <v>254</v>
      </c>
      <c r="G43" s="2">
        <v>45684</v>
      </c>
      <c r="H43" s="2">
        <v>46048</v>
      </c>
      <c r="I43" s="2" t="s">
        <v>1429</v>
      </c>
      <c r="J43" s="2">
        <v>3520280233377</v>
      </c>
      <c r="K43" s="2" t="s">
        <v>255</v>
      </c>
      <c r="L43" s="2" t="s">
        <v>256</v>
      </c>
      <c r="M43" s="2" t="s">
        <v>257</v>
      </c>
      <c r="N43" s="2" t="s">
        <v>258</v>
      </c>
      <c r="O43" s="2" t="s">
        <v>1428</v>
      </c>
      <c r="P43" s="2" t="s">
        <v>1109</v>
      </c>
      <c r="Q43" s="2" t="s">
        <v>1116</v>
      </c>
      <c r="R43" s="2" t="s">
        <v>1430</v>
      </c>
      <c r="S43" s="2">
        <v>44229</v>
      </c>
      <c r="T43" s="2">
        <v>46058</v>
      </c>
      <c r="U43" s="2">
        <v>3033000</v>
      </c>
      <c r="V43" s="2">
        <v>25</v>
      </c>
      <c r="W43" s="2">
        <v>758250</v>
      </c>
      <c r="X43" s="2">
        <v>2274750</v>
      </c>
      <c r="Y43" s="2">
        <v>2.5</v>
      </c>
      <c r="Z43" s="2">
        <v>56868.75</v>
      </c>
      <c r="AA43" s="2"/>
      <c r="AB43" s="2"/>
      <c r="AC43" s="2" t="s">
        <v>1301</v>
      </c>
      <c r="AD43" s="2">
        <v>1141072794</v>
      </c>
      <c r="AE43" s="2">
        <v>45720</v>
      </c>
      <c r="AF43" s="2" t="s">
        <v>1113</v>
      </c>
      <c r="AG43" s="2">
        <v>0</v>
      </c>
      <c r="AH43" s="2" t="s">
        <v>254</v>
      </c>
      <c r="AI43" s="4">
        <v>56869</v>
      </c>
      <c r="AJ43" s="2">
        <v>0.25</v>
      </c>
      <c r="AK43" s="2" t="s">
        <v>4</v>
      </c>
    </row>
    <row r="44" spans="1:37" x14ac:dyDescent="0.2">
      <c r="A44" s="12">
        <v>43</v>
      </c>
      <c r="B44" s="2" t="s">
        <v>1295</v>
      </c>
      <c r="C44" s="2" t="s">
        <v>1431</v>
      </c>
      <c r="D44" s="2">
        <v>45658</v>
      </c>
      <c r="E44" s="2" t="s">
        <v>1106</v>
      </c>
      <c r="F44" s="2" t="s">
        <v>660</v>
      </c>
      <c r="G44" s="2">
        <v>45669</v>
      </c>
      <c r="H44" s="2">
        <v>46033</v>
      </c>
      <c r="I44" s="2" t="s">
        <v>1432</v>
      </c>
      <c r="J44" s="2">
        <v>3630253931009</v>
      </c>
      <c r="K44" s="2" t="s">
        <v>661</v>
      </c>
      <c r="L44" s="2" t="s">
        <v>662</v>
      </c>
      <c r="M44" s="2" t="s">
        <v>663</v>
      </c>
      <c r="N44" s="2" t="s">
        <v>664</v>
      </c>
      <c r="O44" s="2" t="s">
        <v>1431</v>
      </c>
      <c r="P44" s="2" t="s">
        <v>1109</v>
      </c>
      <c r="Q44" s="2" t="s">
        <v>1239</v>
      </c>
      <c r="R44" s="2" t="s">
        <v>1433</v>
      </c>
      <c r="S44" s="2">
        <v>44579</v>
      </c>
      <c r="T44" s="2">
        <v>46423</v>
      </c>
      <c r="U44" s="2">
        <v>5485000</v>
      </c>
      <c r="V44" s="2">
        <v>20</v>
      </c>
      <c r="W44" s="2">
        <v>1097000</v>
      </c>
      <c r="X44" s="2">
        <v>4388000</v>
      </c>
      <c r="Y44" s="2">
        <v>1.5</v>
      </c>
      <c r="Z44" s="2">
        <v>65820</v>
      </c>
      <c r="AA44" s="2"/>
      <c r="AB44" s="2"/>
      <c r="AC44" s="2" t="s">
        <v>1301</v>
      </c>
      <c r="AD44" s="2">
        <v>1141072794</v>
      </c>
      <c r="AE44" s="2">
        <v>45720</v>
      </c>
      <c r="AF44" s="2" t="s">
        <v>1113</v>
      </c>
      <c r="AG44" s="2">
        <v>0</v>
      </c>
      <c r="AH44" s="2" t="s">
        <v>660</v>
      </c>
      <c r="AI44" s="4">
        <v>65820</v>
      </c>
      <c r="AJ44" s="2">
        <v>0</v>
      </c>
      <c r="AK44" s="2" t="s">
        <v>4</v>
      </c>
    </row>
    <row r="45" spans="1:37" x14ac:dyDescent="0.2">
      <c r="A45" s="12">
        <v>44</v>
      </c>
      <c r="B45" s="2" t="s">
        <v>1295</v>
      </c>
      <c r="C45" s="2" t="s">
        <v>1434</v>
      </c>
      <c r="D45" s="2">
        <v>45658</v>
      </c>
      <c r="E45" s="2" t="s">
        <v>1106</v>
      </c>
      <c r="F45" s="2" t="s">
        <v>412</v>
      </c>
      <c r="G45" s="2">
        <v>45670</v>
      </c>
      <c r="H45" s="2">
        <v>46034</v>
      </c>
      <c r="I45" s="2" t="s">
        <v>1435</v>
      </c>
      <c r="J45" s="2">
        <v>3520272823765</v>
      </c>
      <c r="K45" s="2" t="s">
        <v>183</v>
      </c>
      <c r="L45" s="2" t="s">
        <v>413</v>
      </c>
      <c r="M45" s="2" t="s">
        <v>414</v>
      </c>
      <c r="N45" s="2" t="s">
        <v>415</v>
      </c>
      <c r="O45" s="2" t="s">
        <v>1434</v>
      </c>
      <c r="P45" s="2" t="s">
        <v>1109</v>
      </c>
      <c r="Q45" s="2" t="s">
        <v>1116</v>
      </c>
      <c r="R45" s="2" t="s">
        <v>1436</v>
      </c>
      <c r="S45" s="2">
        <v>44579</v>
      </c>
      <c r="T45" s="2">
        <v>47154</v>
      </c>
      <c r="U45" s="2">
        <v>1399000</v>
      </c>
      <c r="V45" s="2">
        <v>20</v>
      </c>
      <c r="W45" s="2">
        <v>279800</v>
      </c>
      <c r="X45" s="2">
        <v>1119200</v>
      </c>
      <c r="Y45" s="2">
        <v>2.5</v>
      </c>
      <c r="Z45" s="2">
        <v>27980</v>
      </c>
      <c r="AA45" s="2"/>
      <c r="AB45" s="2"/>
      <c r="AC45" s="2" t="s">
        <v>1301</v>
      </c>
      <c r="AD45" s="2">
        <v>1141072794</v>
      </c>
      <c r="AE45" s="2">
        <v>45720</v>
      </c>
      <c r="AF45" s="2" t="s">
        <v>1113</v>
      </c>
      <c r="AG45" s="2">
        <v>12</v>
      </c>
      <c r="AH45" s="2" t="s">
        <v>412</v>
      </c>
      <c r="AI45" s="4">
        <v>27980</v>
      </c>
      <c r="AJ45" s="2">
        <v>0</v>
      </c>
      <c r="AK45" s="2" t="s">
        <v>4</v>
      </c>
    </row>
    <row r="46" spans="1:37" x14ac:dyDescent="0.2">
      <c r="A46" s="12">
        <v>45</v>
      </c>
      <c r="B46" s="2" t="s">
        <v>1295</v>
      </c>
      <c r="C46" s="2" t="s">
        <v>1437</v>
      </c>
      <c r="D46" s="2">
        <v>45658</v>
      </c>
      <c r="E46" s="2" t="s">
        <v>1106</v>
      </c>
      <c r="F46" s="2" t="s">
        <v>437</v>
      </c>
      <c r="G46" s="2">
        <v>45674</v>
      </c>
      <c r="H46" s="2">
        <v>46038</v>
      </c>
      <c r="I46" s="2" t="s">
        <v>1438</v>
      </c>
      <c r="J46" s="2">
        <v>3520282828913</v>
      </c>
      <c r="K46" s="2" t="s">
        <v>438</v>
      </c>
      <c r="L46" s="2" t="s">
        <v>439</v>
      </c>
      <c r="M46" s="2" t="s">
        <v>440</v>
      </c>
      <c r="N46" s="2" t="s">
        <v>441</v>
      </c>
      <c r="O46" s="2" t="s">
        <v>1437</v>
      </c>
      <c r="P46" s="2" t="s">
        <v>1109</v>
      </c>
      <c r="Q46" s="2" t="s">
        <v>1116</v>
      </c>
      <c r="R46" s="2" t="s">
        <v>1439</v>
      </c>
      <c r="S46" s="2">
        <v>44582</v>
      </c>
      <c r="T46" s="2">
        <v>47154</v>
      </c>
      <c r="U46" s="2">
        <v>1113000</v>
      </c>
      <c r="V46" s="2">
        <v>20</v>
      </c>
      <c r="W46" s="2">
        <v>222600</v>
      </c>
      <c r="X46" s="2">
        <v>890400</v>
      </c>
      <c r="Y46" s="2">
        <v>2.5</v>
      </c>
      <c r="Z46" s="2">
        <v>22260</v>
      </c>
      <c r="AA46" s="2"/>
      <c r="AB46" s="2"/>
      <c r="AC46" s="2" t="s">
        <v>1301</v>
      </c>
      <c r="AD46" s="2">
        <v>1141072794</v>
      </c>
      <c r="AE46" s="2">
        <v>45720</v>
      </c>
      <c r="AF46" s="2" t="s">
        <v>1113</v>
      </c>
      <c r="AG46" s="2">
        <v>42</v>
      </c>
      <c r="AH46" s="2" t="s">
        <v>437</v>
      </c>
      <c r="AI46" s="4">
        <v>22260</v>
      </c>
      <c r="AJ46" s="2">
        <v>0</v>
      </c>
      <c r="AK46" s="2" t="s">
        <v>4</v>
      </c>
    </row>
    <row r="47" spans="1:37" x14ac:dyDescent="0.2">
      <c r="A47" s="12">
        <v>46</v>
      </c>
      <c r="B47" s="2" t="s">
        <v>1295</v>
      </c>
      <c r="C47" s="2" t="s">
        <v>1440</v>
      </c>
      <c r="D47" s="2">
        <v>45658</v>
      </c>
      <c r="E47" s="2" t="s">
        <v>1106</v>
      </c>
      <c r="F47" s="2" t="s">
        <v>508</v>
      </c>
      <c r="G47" s="2">
        <v>45664</v>
      </c>
      <c r="H47" s="2">
        <v>46028</v>
      </c>
      <c r="I47" s="2" t="s">
        <v>1441</v>
      </c>
      <c r="J47" s="2">
        <v>3130114937203</v>
      </c>
      <c r="K47" s="2" t="s">
        <v>403</v>
      </c>
      <c r="L47" s="2" t="s">
        <v>509</v>
      </c>
      <c r="M47" s="2" t="s">
        <v>510</v>
      </c>
      <c r="N47" s="2" t="s">
        <v>511</v>
      </c>
      <c r="O47" s="2" t="s">
        <v>1440</v>
      </c>
      <c r="P47" s="2" t="s">
        <v>1109</v>
      </c>
      <c r="Q47" s="2" t="s">
        <v>1442</v>
      </c>
      <c r="R47" s="2" t="s">
        <v>1443</v>
      </c>
      <c r="S47" s="2">
        <v>44596</v>
      </c>
      <c r="T47" s="2">
        <v>46423</v>
      </c>
      <c r="U47" s="2">
        <v>1113000</v>
      </c>
      <c r="V47" s="2">
        <v>20</v>
      </c>
      <c r="W47" s="2">
        <v>222600</v>
      </c>
      <c r="X47" s="2">
        <v>890400</v>
      </c>
      <c r="Y47" s="2">
        <v>2.5</v>
      </c>
      <c r="Z47" s="2">
        <v>22260</v>
      </c>
      <c r="AA47" s="2"/>
      <c r="AB47" s="2"/>
      <c r="AC47" s="2" t="s">
        <v>1301</v>
      </c>
      <c r="AD47" s="2">
        <v>1141072794</v>
      </c>
      <c r="AE47" s="2">
        <v>45720</v>
      </c>
      <c r="AF47" s="2" t="s">
        <v>1113</v>
      </c>
      <c r="AG47" s="2">
        <v>12</v>
      </c>
      <c r="AH47" s="2" t="s">
        <v>508</v>
      </c>
      <c r="AI47" s="4">
        <v>22260</v>
      </c>
      <c r="AJ47" s="2">
        <v>0</v>
      </c>
      <c r="AK47" s="2" t="s">
        <v>4</v>
      </c>
    </row>
    <row r="48" spans="1:37" x14ac:dyDescent="0.2">
      <c r="A48" s="12">
        <v>47</v>
      </c>
      <c r="B48" s="2" t="s">
        <v>1295</v>
      </c>
      <c r="C48" s="2" t="s">
        <v>1444</v>
      </c>
      <c r="D48" s="2">
        <v>45658</v>
      </c>
      <c r="E48" s="2" t="s">
        <v>1106</v>
      </c>
      <c r="F48" s="2" t="s">
        <v>402</v>
      </c>
      <c r="G48" s="2">
        <v>45669</v>
      </c>
      <c r="H48" s="2">
        <v>46033</v>
      </c>
      <c r="I48" s="2" t="s">
        <v>1445</v>
      </c>
      <c r="J48" s="2">
        <v>3630224310083</v>
      </c>
      <c r="K48" s="2" t="s">
        <v>403</v>
      </c>
      <c r="L48" s="2" t="s">
        <v>404</v>
      </c>
      <c r="M48" s="2" t="s">
        <v>405</v>
      </c>
      <c r="N48" s="2" t="s">
        <v>406</v>
      </c>
      <c r="O48" s="2" t="s">
        <v>1444</v>
      </c>
      <c r="P48" s="2" t="s">
        <v>1109</v>
      </c>
      <c r="Q48" s="2" t="s">
        <v>1239</v>
      </c>
      <c r="R48" s="2" t="s">
        <v>1446</v>
      </c>
      <c r="S48" s="2">
        <v>44574</v>
      </c>
      <c r="T48" s="2">
        <v>46392</v>
      </c>
      <c r="U48" s="2">
        <v>1113000</v>
      </c>
      <c r="V48" s="2">
        <v>20</v>
      </c>
      <c r="W48" s="2">
        <v>222600</v>
      </c>
      <c r="X48" s="2">
        <v>890400</v>
      </c>
      <c r="Y48" s="2">
        <v>2.5</v>
      </c>
      <c r="Z48" s="2">
        <v>22260</v>
      </c>
      <c r="AA48" s="2"/>
      <c r="AB48" s="2"/>
      <c r="AC48" s="2" t="s">
        <v>1301</v>
      </c>
      <c r="AD48" s="2">
        <v>1141072794</v>
      </c>
      <c r="AE48" s="2">
        <v>45720</v>
      </c>
      <c r="AF48" s="2" t="s">
        <v>1113</v>
      </c>
      <c r="AG48" s="2">
        <v>12</v>
      </c>
      <c r="AH48" s="2" t="s">
        <v>402</v>
      </c>
      <c r="AI48" s="4">
        <v>22260</v>
      </c>
      <c r="AJ48" s="2">
        <v>0</v>
      </c>
      <c r="AK48" s="2" t="s">
        <v>4</v>
      </c>
    </row>
    <row r="49" spans="1:37" x14ac:dyDescent="0.2">
      <c r="A49" s="12">
        <v>48</v>
      </c>
      <c r="B49" s="2" t="s">
        <v>1295</v>
      </c>
      <c r="C49" s="2" t="s">
        <v>1447</v>
      </c>
      <c r="D49" s="2">
        <v>45658</v>
      </c>
      <c r="E49" s="2" t="s">
        <v>1106</v>
      </c>
      <c r="F49" s="2" t="s">
        <v>416</v>
      </c>
      <c r="G49" s="2">
        <v>45670</v>
      </c>
      <c r="H49" s="2">
        <v>46034</v>
      </c>
      <c r="I49" s="2" t="s">
        <v>1448</v>
      </c>
      <c r="J49" s="2">
        <v>6110127602643</v>
      </c>
      <c r="K49" s="2" t="s">
        <v>5</v>
      </c>
      <c r="L49" s="2" t="s">
        <v>417</v>
      </c>
      <c r="M49" s="2" t="s">
        <v>418</v>
      </c>
      <c r="N49" s="2" t="s">
        <v>419</v>
      </c>
      <c r="O49" s="2" t="s">
        <v>1447</v>
      </c>
      <c r="P49" s="2" t="s">
        <v>1308</v>
      </c>
      <c r="Q49" s="2" t="s">
        <v>1110</v>
      </c>
      <c r="R49" s="2" t="s">
        <v>1449</v>
      </c>
      <c r="S49" s="2">
        <v>44575</v>
      </c>
      <c r="T49" s="2">
        <v>46757</v>
      </c>
      <c r="U49" s="2">
        <v>1335000</v>
      </c>
      <c r="V49" s="2">
        <v>20</v>
      </c>
      <c r="W49" s="2">
        <v>267000</v>
      </c>
      <c r="X49" s="2">
        <v>1068000</v>
      </c>
      <c r="Y49" s="2">
        <v>2.5</v>
      </c>
      <c r="Z49" s="2">
        <v>26700</v>
      </c>
      <c r="AA49" s="2"/>
      <c r="AB49" s="2"/>
      <c r="AC49" s="2" t="s">
        <v>1301</v>
      </c>
      <c r="AD49" s="2">
        <v>1141072794</v>
      </c>
      <c r="AE49" s="2">
        <v>45720</v>
      </c>
      <c r="AF49" s="2" t="s">
        <v>1113</v>
      </c>
      <c r="AG49" s="2">
        <v>0</v>
      </c>
      <c r="AH49" s="2" t="s">
        <v>416</v>
      </c>
      <c r="AI49" s="4">
        <v>26700</v>
      </c>
      <c r="AJ49" s="2">
        <v>0</v>
      </c>
      <c r="AK49" s="2" t="s">
        <v>4</v>
      </c>
    </row>
    <row r="50" spans="1:37" x14ac:dyDescent="0.2">
      <c r="A50" s="12">
        <v>49</v>
      </c>
      <c r="B50" s="2" t="s">
        <v>1295</v>
      </c>
      <c r="C50" s="2" t="s">
        <v>1450</v>
      </c>
      <c r="D50" s="2">
        <v>45658</v>
      </c>
      <c r="E50" s="2" t="s">
        <v>1106</v>
      </c>
      <c r="F50" s="2" t="s">
        <v>494</v>
      </c>
      <c r="G50" s="2">
        <v>45682</v>
      </c>
      <c r="H50" s="2">
        <v>46046</v>
      </c>
      <c r="I50" s="2" t="s">
        <v>1451</v>
      </c>
      <c r="J50" s="2">
        <v>3310070122587</v>
      </c>
      <c r="K50" s="2" t="s">
        <v>495</v>
      </c>
      <c r="L50" s="2" t="s">
        <v>496</v>
      </c>
      <c r="M50" s="2" t="s">
        <v>497</v>
      </c>
      <c r="N50" s="2" t="s">
        <v>498</v>
      </c>
      <c r="O50" s="2" t="s">
        <v>1450</v>
      </c>
      <c r="P50" s="2" t="s">
        <v>1109</v>
      </c>
      <c r="Q50" s="2" t="s">
        <v>1129</v>
      </c>
      <c r="R50" s="2" t="s">
        <v>1452</v>
      </c>
      <c r="S50" s="2">
        <v>44596</v>
      </c>
      <c r="T50" s="2">
        <v>46423</v>
      </c>
      <c r="U50" s="2">
        <v>2589000</v>
      </c>
      <c r="V50" s="2">
        <v>20</v>
      </c>
      <c r="W50" s="2">
        <v>517800</v>
      </c>
      <c r="X50" s="2">
        <v>2071200</v>
      </c>
      <c r="Y50" s="2">
        <v>1.75</v>
      </c>
      <c r="Z50" s="2">
        <v>36246</v>
      </c>
      <c r="AA50" s="2"/>
      <c r="AB50" s="2"/>
      <c r="AC50" s="2" t="s">
        <v>1301</v>
      </c>
      <c r="AD50" s="2">
        <v>1141072794</v>
      </c>
      <c r="AE50" s="2">
        <v>45720</v>
      </c>
      <c r="AF50" s="2" t="s">
        <v>1113</v>
      </c>
      <c r="AG50" s="2">
        <v>0</v>
      </c>
      <c r="AH50" s="2" t="s">
        <v>494</v>
      </c>
      <c r="AI50" s="4">
        <v>36246</v>
      </c>
      <c r="AJ50" s="2">
        <v>0</v>
      </c>
      <c r="AK50" s="2" t="s">
        <v>4</v>
      </c>
    </row>
    <row r="51" spans="1:37" x14ac:dyDescent="0.2">
      <c r="A51" s="12">
        <v>50</v>
      </c>
      <c r="B51" s="2" t="s">
        <v>1295</v>
      </c>
      <c r="C51" s="2" t="s">
        <v>1453</v>
      </c>
      <c r="D51" s="2">
        <v>45658</v>
      </c>
      <c r="E51" s="2" t="s">
        <v>1106</v>
      </c>
      <c r="F51" s="2" t="s">
        <v>407</v>
      </c>
      <c r="G51" s="2">
        <v>45669</v>
      </c>
      <c r="H51" s="2">
        <v>46033</v>
      </c>
      <c r="I51" s="2" t="s">
        <v>1454</v>
      </c>
      <c r="J51" s="2">
        <v>3130462827417</v>
      </c>
      <c r="K51" s="2" t="s">
        <v>408</v>
      </c>
      <c r="L51" s="2" t="s">
        <v>409</v>
      </c>
      <c r="M51" s="2" t="s">
        <v>410</v>
      </c>
      <c r="N51" s="2" t="s">
        <v>411</v>
      </c>
      <c r="O51" s="2" t="s">
        <v>1453</v>
      </c>
      <c r="P51" s="2" t="s">
        <v>1143</v>
      </c>
      <c r="Q51" s="2" t="s">
        <v>1271</v>
      </c>
      <c r="R51" s="2" t="s">
        <v>1455</v>
      </c>
      <c r="S51" s="2">
        <v>44580</v>
      </c>
      <c r="T51" s="2">
        <v>46423</v>
      </c>
      <c r="U51" s="2">
        <v>4000000</v>
      </c>
      <c r="V51" s="2">
        <v>20</v>
      </c>
      <c r="W51" s="2">
        <v>800000</v>
      </c>
      <c r="X51" s="2">
        <v>3200000</v>
      </c>
      <c r="Y51" s="2">
        <v>1.5</v>
      </c>
      <c r="Z51" s="2">
        <v>48000</v>
      </c>
      <c r="AA51" s="2"/>
      <c r="AB51" s="2"/>
      <c r="AC51" s="2" t="s">
        <v>1301</v>
      </c>
      <c r="AD51" s="2">
        <v>1141072794</v>
      </c>
      <c r="AE51" s="2">
        <v>45720</v>
      </c>
      <c r="AF51" s="2" t="s">
        <v>1113</v>
      </c>
      <c r="AG51" s="2">
        <v>12</v>
      </c>
      <c r="AH51" s="2" t="s">
        <v>407</v>
      </c>
      <c r="AI51" s="4">
        <v>48000</v>
      </c>
      <c r="AJ51" s="2">
        <v>0</v>
      </c>
      <c r="AK51" s="2" t="s">
        <v>4</v>
      </c>
    </row>
    <row r="52" spans="1:37" x14ac:dyDescent="0.2">
      <c r="A52" s="12">
        <v>51</v>
      </c>
      <c r="B52" s="2" t="s">
        <v>1295</v>
      </c>
      <c r="C52" s="2" t="s">
        <v>1456</v>
      </c>
      <c r="D52" s="2">
        <v>45658</v>
      </c>
      <c r="E52" s="2" t="s">
        <v>1106</v>
      </c>
      <c r="F52" s="2" t="s">
        <v>628</v>
      </c>
      <c r="G52" s="2">
        <v>45668</v>
      </c>
      <c r="H52" s="2">
        <v>46032</v>
      </c>
      <c r="I52" s="2" t="s">
        <v>1457</v>
      </c>
      <c r="J52" s="2">
        <v>3520211882441</v>
      </c>
      <c r="K52" s="2" t="s">
        <v>13</v>
      </c>
      <c r="L52" s="2" t="s">
        <v>629</v>
      </c>
      <c r="M52" s="2" t="s">
        <v>630</v>
      </c>
      <c r="N52" s="2" t="s">
        <v>631</v>
      </c>
      <c r="O52" s="2" t="s">
        <v>1456</v>
      </c>
      <c r="P52" s="2" t="s">
        <v>1109</v>
      </c>
      <c r="Q52" s="2" t="s">
        <v>1458</v>
      </c>
      <c r="R52" s="2" t="s">
        <v>1459</v>
      </c>
      <c r="S52" s="2">
        <v>44579</v>
      </c>
      <c r="T52" s="2">
        <v>46423</v>
      </c>
      <c r="U52" s="2">
        <v>3375000</v>
      </c>
      <c r="V52" s="2">
        <v>20</v>
      </c>
      <c r="W52" s="2">
        <v>675000</v>
      </c>
      <c r="X52" s="2">
        <v>2700000</v>
      </c>
      <c r="Y52" s="2">
        <v>1.75</v>
      </c>
      <c r="Z52" s="2">
        <v>47250</v>
      </c>
      <c r="AA52" s="2"/>
      <c r="AB52" s="2"/>
      <c r="AC52" s="2" t="s">
        <v>1301</v>
      </c>
      <c r="AD52" s="2">
        <v>1141072794</v>
      </c>
      <c r="AE52" s="2">
        <v>45720</v>
      </c>
      <c r="AF52" s="2" t="s">
        <v>1113</v>
      </c>
      <c r="AG52" s="2">
        <v>12</v>
      </c>
      <c r="AH52" s="2" t="s">
        <v>628</v>
      </c>
      <c r="AI52" s="4">
        <v>47250</v>
      </c>
      <c r="AJ52" s="2">
        <v>0</v>
      </c>
      <c r="AK52" s="2" t="s">
        <v>4</v>
      </c>
    </row>
    <row r="53" spans="1:37" x14ac:dyDescent="0.2">
      <c r="A53" s="12">
        <v>52</v>
      </c>
      <c r="B53" s="2" t="s">
        <v>1295</v>
      </c>
      <c r="C53" s="2" t="s">
        <v>1460</v>
      </c>
      <c r="D53" s="2">
        <v>45658</v>
      </c>
      <c r="E53" s="2" t="s">
        <v>1106</v>
      </c>
      <c r="F53" s="2" t="s">
        <v>420</v>
      </c>
      <c r="G53" s="2">
        <v>45671</v>
      </c>
      <c r="H53" s="2">
        <v>46035</v>
      </c>
      <c r="I53" s="2" t="s">
        <v>1461</v>
      </c>
      <c r="J53" s="2">
        <v>3520192320203</v>
      </c>
      <c r="K53" s="2" t="s">
        <v>17</v>
      </c>
      <c r="L53" s="2" t="s">
        <v>421</v>
      </c>
      <c r="M53" s="2" t="s">
        <v>422</v>
      </c>
      <c r="N53" s="2" t="s">
        <v>423</v>
      </c>
      <c r="O53" s="2" t="s">
        <v>1460</v>
      </c>
      <c r="P53" s="2" t="s">
        <v>1109</v>
      </c>
      <c r="Q53" s="2" t="s">
        <v>1116</v>
      </c>
      <c r="R53" s="2" t="s">
        <v>1462</v>
      </c>
      <c r="S53" s="2">
        <v>44579</v>
      </c>
      <c r="T53" s="2">
        <v>46423</v>
      </c>
      <c r="U53" s="2">
        <v>2220000</v>
      </c>
      <c r="V53" s="2">
        <v>20</v>
      </c>
      <c r="W53" s="2">
        <v>444000</v>
      </c>
      <c r="X53" s="2">
        <v>1776000</v>
      </c>
      <c r="Y53" s="2">
        <v>1.75</v>
      </c>
      <c r="Z53" s="2">
        <v>31080</v>
      </c>
      <c r="AA53" s="2"/>
      <c r="AB53" s="2"/>
      <c r="AC53" s="2" t="s">
        <v>1301</v>
      </c>
      <c r="AD53" s="2">
        <v>1141072794</v>
      </c>
      <c r="AE53" s="2">
        <v>45720</v>
      </c>
      <c r="AF53" s="2" t="s">
        <v>1113</v>
      </c>
      <c r="AG53" s="2">
        <v>0</v>
      </c>
      <c r="AH53" s="2" t="s">
        <v>420</v>
      </c>
      <c r="AI53" s="4">
        <v>31080</v>
      </c>
      <c r="AJ53" s="2">
        <v>0</v>
      </c>
      <c r="AK53" s="2" t="s">
        <v>4</v>
      </c>
    </row>
    <row r="54" spans="1:37" x14ac:dyDescent="0.2">
      <c r="A54" s="12">
        <v>53</v>
      </c>
      <c r="B54" s="2" t="s">
        <v>1295</v>
      </c>
      <c r="C54" s="2" t="s">
        <v>1463</v>
      </c>
      <c r="D54" s="2">
        <v>45658</v>
      </c>
      <c r="E54" s="2" t="s">
        <v>1106</v>
      </c>
      <c r="F54" s="2" t="s">
        <v>424</v>
      </c>
      <c r="G54" s="2">
        <v>45671</v>
      </c>
      <c r="H54" s="2">
        <v>46035</v>
      </c>
      <c r="I54" s="2" t="s">
        <v>1464</v>
      </c>
      <c r="J54" s="2">
        <v>3330222176309</v>
      </c>
      <c r="K54" s="2" t="s">
        <v>5</v>
      </c>
      <c r="L54" s="2" t="s">
        <v>425</v>
      </c>
      <c r="M54" s="2" t="s">
        <v>426</v>
      </c>
      <c r="N54" s="2" t="s">
        <v>427</v>
      </c>
      <c r="O54" s="2" t="s">
        <v>1463</v>
      </c>
      <c r="P54" s="2" t="s">
        <v>1109</v>
      </c>
      <c r="Q54" s="2" t="s">
        <v>1116</v>
      </c>
      <c r="R54" s="2" t="s">
        <v>1465</v>
      </c>
      <c r="S54" s="2">
        <v>44587</v>
      </c>
      <c r="T54" s="2">
        <v>46423</v>
      </c>
      <c r="U54" s="2">
        <v>1546000</v>
      </c>
      <c r="V54" s="2">
        <v>20</v>
      </c>
      <c r="W54" s="2">
        <v>309200</v>
      </c>
      <c r="X54" s="2">
        <v>1236800</v>
      </c>
      <c r="Y54" s="2">
        <v>1.75</v>
      </c>
      <c r="Z54" s="2">
        <v>21644</v>
      </c>
      <c r="AA54" s="2"/>
      <c r="AB54" s="2"/>
      <c r="AC54" s="2" t="s">
        <v>1301</v>
      </c>
      <c r="AD54" s="2">
        <v>1141072794</v>
      </c>
      <c r="AE54" s="2">
        <v>45720</v>
      </c>
      <c r="AF54" s="2" t="s">
        <v>1113</v>
      </c>
      <c r="AG54" s="2">
        <v>0</v>
      </c>
      <c r="AH54" s="2" t="s">
        <v>424</v>
      </c>
      <c r="AI54" s="4">
        <v>21644</v>
      </c>
      <c r="AJ54" s="2">
        <v>0</v>
      </c>
      <c r="AK54" s="2" t="s">
        <v>4</v>
      </c>
    </row>
    <row r="55" spans="1:37" x14ac:dyDescent="0.2">
      <c r="A55" s="12">
        <v>54</v>
      </c>
      <c r="B55" s="2" t="s">
        <v>1295</v>
      </c>
      <c r="C55" s="2" t="s">
        <v>1466</v>
      </c>
      <c r="D55" s="2">
        <v>45658</v>
      </c>
      <c r="E55" s="2" t="s">
        <v>1106</v>
      </c>
      <c r="F55" s="2" t="s">
        <v>428</v>
      </c>
      <c r="G55" s="2">
        <v>45671</v>
      </c>
      <c r="H55" s="2">
        <v>46035</v>
      </c>
      <c r="I55" s="2" t="s">
        <v>1467</v>
      </c>
      <c r="J55" s="2">
        <v>3520245908036</v>
      </c>
      <c r="K55" s="2" t="s">
        <v>18</v>
      </c>
      <c r="L55" s="2" t="s">
        <v>429</v>
      </c>
      <c r="M55" s="2" t="s">
        <v>430</v>
      </c>
      <c r="N55" s="2" t="s">
        <v>431</v>
      </c>
      <c r="O55" s="2" t="s">
        <v>1466</v>
      </c>
      <c r="P55" s="2" t="s">
        <v>1109</v>
      </c>
      <c r="Q55" s="2" t="s">
        <v>1468</v>
      </c>
      <c r="R55" s="2" t="s">
        <v>1469</v>
      </c>
      <c r="S55" s="2">
        <v>44581</v>
      </c>
      <c r="T55" s="2">
        <v>46423</v>
      </c>
      <c r="U55" s="2">
        <v>2300000</v>
      </c>
      <c r="V55" s="2">
        <v>20</v>
      </c>
      <c r="W55" s="2">
        <v>460000</v>
      </c>
      <c r="X55" s="2">
        <v>1840000</v>
      </c>
      <c r="Y55" s="2">
        <v>1.75</v>
      </c>
      <c r="Z55" s="2">
        <v>32200</v>
      </c>
      <c r="AA55" s="2"/>
      <c r="AB55" s="2"/>
      <c r="AC55" s="2" t="s">
        <v>1301</v>
      </c>
      <c r="AD55" s="2">
        <v>1141072794</v>
      </c>
      <c r="AE55" s="2">
        <v>45720</v>
      </c>
      <c r="AF55" s="2" t="s">
        <v>1113</v>
      </c>
      <c r="AG55" s="2">
        <v>0</v>
      </c>
      <c r="AH55" s="2" t="s">
        <v>428</v>
      </c>
      <c r="AI55" s="4">
        <v>32200</v>
      </c>
      <c r="AJ55" s="2">
        <v>0</v>
      </c>
      <c r="AK55" s="2" t="s">
        <v>4</v>
      </c>
    </row>
    <row r="56" spans="1:37" x14ac:dyDescent="0.2">
      <c r="A56" s="12">
        <v>55</v>
      </c>
      <c r="B56" s="2" t="s">
        <v>1295</v>
      </c>
      <c r="C56" s="2" t="s">
        <v>1470</v>
      </c>
      <c r="D56" s="2">
        <v>45658</v>
      </c>
      <c r="E56" s="2" t="s">
        <v>1106</v>
      </c>
      <c r="F56" s="2" t="s">
        <v>1038</v>
      </c>
      <c r="G56" s="2">
        <v>45668</v>
      </c>
      <c r="H56" s="2">
        <v>46032</v>
      </c>
      <c r="I56" s="2" t="s">
        <v>1471</v>
      </c>
      <c r="J56" s="2">
        <v>4220106026874</v>
      </c>
      <c r="K56" s="2" t="s">
        <v>29</v>
      </c>
      <c r="L56" s="2" t="s">
        <v>1039</v>
      </c>
      <c r="M56" s="2" t="s">
        <v>1040</v>
      </c>
      <c r="N56" s="2" t="s">
        <v>1041</v>
      </c>
      <c r="O56" s="2" t="s">
        <v>1470</v>
      </c>
      <c r="P56" s="2" t="s">
        <v>1143</v>
      </c>
      <c r="Q56" s="2" t="s">
        <v>1271</v>
      </c>
      <c r="R56" s="2" t="s">
        <v>1472</v>
      </c>
      <c r="S56" s="2">
        <v>44581</v>
      </c>
      <c r="T56" s="2">
        <v>46423</v>
      </c>
      <c r="U56" s="2">
        <v>1117000</v>
      </c>
      <c r="V56" s="2">
        <v>20</v>
      </c>
      <c r="W56" s="2">
        <v>223400</v>
      </c>
      <c r="X56" s="2">
        <v>893600</v>
      </c>
      <c r="Y56" s="2">
        <v>1.75</v>
      </c>
      <c r="Z56" s="2">
        <v>15638</v>
      </c>
      <c r="AA56" s="2"/>
      <c r="AB56" s="2"/>
      <c r="AC56" s="2" t="s">
        <v>1301</v>
      </c>
      <c r="AD56" s="2">
        <v>1141072794</v>
      </c>
      <c r="AE56" s="2">
        <v>45720</v>
      </c>
      <c r="AF56" s="2" t="s">
        <v>1113</v>
      </c>
      <c r="AG56" s="2">
        <v>0</v>
      </c>
      <c r="AH56" s="2" t="s">
        <v>1038</v>
      </c>
      <c r="AI56" s="4">
        <v>15638</v>
      </c>
      <c r="AJ56" s="2">
        <v>0</v>
      </c>
      <c r="AK56" s="2" t="s">
        <v>4</v>
      </c>
    </row>
    <row r="57" spans="1:37" x14ac:dyDescent="0.2">
      <c r="A57" s="12">
        <v>56</v>
      </c>
      <c r="B57" s="2" t="s">
        <v>1295</v>
      </c>
      <c r="C57" s="2" t="s">
        <v>1473</v>
      </c>
      <c r="D57" s="2">
        <v>45658</v>
      </c>
      <c r="E57" s="2" t="s">
        <v>1106</v>
      </c>
      <c r="F57" s="2" t="s">
        <v>454</v>
      </c>
      <c r="G57" s="2">
        <v>45675</v>
      </c>
      <c r="H57" s="2">
        <v>46039</v>
      </c>
      <c r="I57" s="2" t="s">
        <v>1474</v>
      </c>
      <c r="J57" s="2">
        <v>9040601296219</v>
      </c>
      <c r="K57" s="2" t="s">
        <v>455</v>
      </c>
      <c r="L57" s="2" t="s">
        <v>456</v>
      </c>
      <c r="M57" s="2" t="s">
        <v>457</v>
      </c>
      <c r="N57" s="2" t="s">
        <v>458</v>
      </c>
      <c r="O57" s="2" t="s">
        <v>1473</v>
      </c>
      <c r="P57" s="2" t="s">
        <v>1109</v>
      </c>
      <c r="Q57" s="2" t="s">
        <v>1475</v>
      </c>
      <c r="R57" s="2" t="s">
        <v>1476</v>
      </c>
      <c r="S57" s="2">
        <v>44582</v>
      </c>
      <c r="T57" s="2">
        <v>46423</v>
      </c>
      <c r="U57" s="2">
        <v>2050000</v>
      </c>
      <c r="V57" s="2">
        <v>20</v>
      </c>
      <c r="W57" s="2">
        <v>410000</v>
      </c>
      <c r="X57" s="2">
        <v>1640000</v>
      </c>
      <c r="Y57" s="2">
        <v>1.75</v>
      </c>
      <c r="Z57" s="2">
        <v>28700</v>
      </c>
      <c r="AA57" s="2"/>
      <c r="AB57" s="2"/>
      <c r="AC57" s="2" t="s">
        <v>1301</v>
      </c>
      <c r="AD57" s="2">
        <v>1141072794</v>
      </c>
      <c r="AE57" s="2">
        <v>45720</v>
      </c>
      <c r="AF57" s="2" t="s">
        <v>1113</v>
      </c>
      <c r="AG57" s="2">
        <v>0</v>
      </c>
      <c r="AH57" s="2" t="s">
        <v>454</v>
      </c>
      <c r="AI57" s="4">
        <v>28700</v>
      </c>
      <c r="AJ57" s="2">
        <v>0</v>
      </c>
      <c r="AK57" s="2" t="s">
        <v>4</v>
      </c>
    </row>
    <row r="58" spans="1:37" x14ac:dyDescent="0.2">
      <c r="A58" s="12">
        <v>57</v>
      </c>
      <c r="B58" s="2" t="s">
        <v>1295</v>
      </c>
      <c r="C58" s="2" t="s">
        <v>1477</v>
      </c>
      <c r="D58" s="2">
        <v>45658</v>
      </c>
      <c r="E58" s="2" t="s">
        <v>1106</v>
      </c>
      <c r="F58" s="2" t="s">
        <v>450</v>
      </c>
      <c r="G58" s="2">
        <v>45675</v>
      </c>
      <c r="H58" s="2">
        <v>46039</v>
      </c>
      <c r="I58" s="2" t="s">
        <v>1478</v>
      </c>
      <c r="J58" s="2">
        <v>4210116577279</v>
      </c>
      <c r="K58" s="2" t="s">
        <v>241</v>
      </c>
      <c r="L58" s="2" t="s">
        <v>451</v>
      </c>
      <c r="M58" s="2" t="s">
        <v>452</v>
      </c>
      <c r="N58" s="2" t="s">
        <v>453</v>
      </c>
      <c r="O58" s="2" t="s">
        <v>1477</v>
      </c>
      <c r="P58" s="2" t="s">
        <v>1143</v>
      </c>
      <c r="Q58" s="2" t="s">
        <v>1271</v>
      </c>
      <c r="R58" s="2" t="s">
        <v>1479</v>
      </c>
      <c r="S58" s="2">
        <v>44586</v>
      </c>
      <c r="T58" s="2">
        <v>46423</v>
      </c>
      <c r="U58" s="2">
        <v>2100000</v>
      </c>
      <c r="V58" s="2">
        <v>20</v>
      </c>
      <c r="W58" s="2">
        <v>420000</v>
      </c>
      <c r="X58" s="2">
        <v>1680000</v>
      </c>
      <c r="Y58" s="2">
        <v>1.75</v>
      </c>
      <c r="Z58" s="2">
        <v>29400</v>
      </c>
      <c r="AA58" s="2"/>
      <c r="AB58" s="2"/>
      <c r="AC58" s="2" t="s">
        <v>1301</v>
      </c>
      <c r="AD58" s="2">
        <v>1141072794</v>
      </c>
      <c r="AE58" s="2">
        <v>45720</v>
      </c>
      <c r="AF58" s="2" t="s">
        <v>1113</v>
      </c>
      <c r="AG58" s="2">
        <v>0</v>
      </c>
      <c r="AH58" s="2" t="s">
        <v>450</v>
      </c>
      <c r="AI58" s="4">
        <v>29400</v>
      </c>
      <c r="AJ58" s="2">
        <v>0</v>
      </c>
      <c r="AK58" s="2" t="s">
        <v>4</v>
      </c>
    </row>
    <row r="59" spans="1:37" x14ac:dyDescent="0.2">
      <c r="A59" s="12">
        <v>58</v>
      </c>
      <c r="B59" s="2" t="s">
        <v>1295</v>
      </c>
      <c r="C59" s="2" t="s">
        <v>1480</v>
      </c>
      <c r="D59" s="2">
        <v>45658</v>
      </c>
      <c r="E59" s="2" t="s">
        <v>1106</v>
      </c>
      <c r="F59" s="2" t="s">
        <v>1042</v>
      </c>
      <c r="G59" s="2">
        <v>45668</v>
      </c>
      <c r="H59" s="2">
        <v>46032</v>
      </c>
      <c r="I59" s="2" t="s">
        <v>1481</v>
      </c>
      <c r="J59" s="2">
        <v>4220118240629</v>
      </c>
      <c r="K59" s="2" t="s">
        <v>29</v>
      </c>
      <c r="L59" s="2" t="s">
        <v>1043</v>
      </c>
      <c r="M59" s="2" t="s">
        <v>1044</v>
      </c>
      <c r="N59" s="2" t="s">
        <v>1045</v>
      </c>
      <c r="O59" s="2" t="s">
        <v>1480</v>
      </c>
      <c r="P59" s="2" t="s">
        <v>1143</v>
      </c>
      <c r="Q59" s="2" t="s">
        <v>1271</v>
      </c>
      <c r="R59" s="2" t="s">
        <v>1482</v>
      </c>
      <c r="S59" s="2">
        <v>44586</v>
      </c>
      <c r="T59" s="2">
        <v>46423</v>
      </c>
      <c r="U59" s="2">
        <v>1117000</v>
      </c>
      <c r="V59" s="2">
        <v>20</v>
      </c>
      <c r="W59" s="2">
        <v>223400</v>
      </c>
      <c r="X59" s="2">
        <v>893600</v>
      </c>
      <c r="Y59" s="2">
        <v>1.75</v>
      </c>
      <c r="Z59" s="2">
        <v>15638</v>
      </c>
      <c r="AA59" s="2"/>
      <c r="AB59" s="2"/>
      <c r="AC59" s="2" t="s">
        <v>1301</v>
      </c>
      <c r="AD59" s="2">
        <v>1141072794</v>
      </c>
      <c r="AE59" s="2">
        <v>45720</v>
      </c>
      <c r="AF59" s="2" t="s">
        <v>1113</v>
      </c>
      <c r="AG59" s="2">
        <v>0</v>
      </c>
      <c r="AH59" s="2" t="s">
        <v>1042</v>
      </c>
      <c r="AI59" s="4">
        <v>15638</v>
      </c>
      <c r="AJ59" s="2">
        <v>0</v>
      </c>
      <c r="AK59" s="2" t="s">
        <v>4</v>
      </c>
    </row>
    <row r="60" spans="1:37" x14ac:dyDescent="0.2">
      <c r="A60" s="12">
        <v>59</v>
      </c>
      <c r="B60" s="2" t="s">
        <v>1295</v>
      </c>
      <c r="C60" s="2" t="s">
        <v>1483</v>
      </c>
      <c r="D60" s="2">
        <v>45658</v>
      </c>
      <c r="E60" s="2" t="s">
        <v>1106</v>
      </c>
      <c r="F60" s="2" t="s">
        <v>446</v>
      </c>
      <c r="G60" s="2">
        <v>45674</v>
      </c>
      <c r="H60" s="2">
        <v>46038</v>
      </c>
      <c r="I60" s="2" t="s">
        <v>1484</v>
      </c>
      <c r="J60" s="2">
        <v>3520132973233</v>
      </c>
      <c r="K60" s="2" t="s">
        <v>187</v>
      </c>
      <c r="L60" s="2" t="s">
        <v>447</v>
      </c>
      <c r="M60" s="2" t="s">
        <v>448</v>
      </c>
      <c r="N60" s="2" t="s">
        <v>449</v>
      </c>
      <c r="O60" s="2" t="s">
        <v>1483</v>
      </c>
      <c r="P60" s="2" t="s">
        <v>1109</v>
      </c>
      <c r="Q60" s="2" t="s">
        <v>1485</v>
      </c>
      <c r="R60" s="2" t="s">
        <v>1486</v>
      </c>
      <c r="S60" s="2">
        <v>44586</v>
      </c>
      <c r="T60" s="2">
        <v>46423</v>
      </c>
      <c r="U60" s="2">
        <v>1800000</v>
      </c>
      <c r="V60" s="2">
        <v>20</v>
      </c>
      <c r="W60" s="2">
        <v>360000</v>
      </c>
      <c r="X60" s="2">
        <v>1440000</v>
      </c>
      <c r="Y60" s="2">
        <v>1.75</v>
      </c>
      <c r="Z60" s="2">
        <v>25200</v>
      </c>
      <c r="AA60" s="2"/>
      <c r="AB60" s="2"/>
      <c r="AC60" s="2" t="s">
        <v>1301</v>
      </c>
      <c r="AD60" s="2">
        <v>1141072794</v>
      </c>
      <c r="AE60" s="2">
        <v>45720</v>
      </c>
      <c r="AF60" s="2" t="s">
        <v>1113</v>
      </c>
      <c r="AG60" s="2">
        <v>12</v>
      </c>
      <c r="AH60" s="2" t="s">
        <v>446</v>
      </c>
      <c r="AI60" s="4">
        <v>25200</v>
      </c>
      <c r="AJ60" s="2">
        <v>0</v>
      </c>
      <c r="AK60" s="2" t="s">
        <v>4</v>
      </c>
    </row>
    <row r="61" spans="1:37" x14ac:dyDescent="0.2">
      <c r="A61" s="12">
        <v>60</v>
      </c>
      <c r="B61" s="2" t="s">
        <v>1295</v>
      </c>
      <c r="C61" s="2" t="s">
        <v>1487</v>
      </c>
      <c r="D61" s="2">
        <v>45658</v>
      </c>
      <c r="E61" s="2" t="s">
        <v>1106</v>
      </c>
      <c r="F61" s="2" t="s">
        <v>464</v>
      </c>
      <c r="G61" s="2">
        <v>45678</v>
      </c>
      <c r="H61" s="2">
        <v>46042</v>
      </c>
      <c r="I61" s="2" t="s">
        <v>1488</v>
      </c>
      <c r="J61" s="2">
        <v>3520199455279</v>
      </c>
      <c r="K61" s="2" t="s">
        <v>46</v>
      </c>
      <c r="L61" s="2" t="s">
        <v>465</v>
      </c>
      <c r="M61" s="2" t="s">
        <v>466</v>
      </c>
      <c r="N61" s="2" t="s">
        <v>467</v>
      </c>
      <c r="O61" s="2" t="s">
        <v>1487</v>
      </c>
      <c r="P61" s="2" t="s">
        <v>1109</v>
      </c>
      <c r="Q61" s="2" t="s">
        <v>1116</v>
      </c>
      <c r="R61" s="2" t="s">
        <v>1489</v>
      </c>
      <c r="S61" s="2">
        <v>44588</v>
      </c>
      <c r="T61" s="2">
        <v>46423</v>
      </c>
      <c r="U61" s="2">
        <v>2955000</v>
      </c>
      <c r="V61" s="2">
        <v>20</v>
      </c>
      <c r="W61" s="2">
        <v>591000</v>
      </c>
      <c r="X61" s="2">
        <v>2364000</v>
      </c>
      <c r="Y61" s="2">
        <v>2.5</v>
      </c>
      <c r="Z61" s="2">
        <v>59100</v>
      </c>
      <c r="AA61" s="2"/>
      <c r="AB61" s="2"/>
      <c r="AC61" s="2" t="s">
        <v>1301</v>
      </c>
      <c r="AD61" s="2">
        <v>1141072794</v>
      </c>
      <c r="AE61" s="2">
        <v>45720</v>
      </c>
      <c r="AF61" s="2" t="s">
        <v>1113</v>
      </c>
      <c r="AG61" s="2">
        <v>0</v>
      </c>
      <c r="AH61" s="2" t="s">
        <v>464</v>
      </c>
      <c r="AI61" s="4">
        <v>59100</v>
      </c>
      <c r="AJ61" s="2">
        <v>0</v>
      </c>
      <c r="AK61" s="2" t="s">
        <v>4</v>
      </c>
    </row>
    <row r="62" spans="1:37" x14ac:dyDescent="0.2">
      <c r="A62" s="12">
        <v>61</v>
      </c>
      <c r="B62" s="2" t="s">
        <v>1295</v>
      </c>
      <c r="C62" s="2" t="s">
        <v>1490</v>
      </c>
      <c r="D62" s="2">
        <v>45658</v>
      </c>
      <c r="E62" s="2" t="s">
        <v>1106</v>
      </c>
      <c r="F62" s="2" t="s">
        <v>459</v>
      </c>
      <c r="G62" s="2">
        <v>45678</v>
      </c>
      <c r="H62" s="2">
        <v>46042</v>
      </c>
      <c r="I62" s="2" t="s">
        <v>1491</v>
      </c>
      <c r="J62" s="2">
        <v>3520243746648</v>
      </c>
      <c r="K62" s="2" t="s">
        <v>460</v>
      </c>
      <c r="L62" s="2" t="s">
        <v>461</v>
      </c>
      <c r="M62" s="2" t="s">
        <v>462</v>
      </c>
      <c r="N62" s="2" t="s">
        <v>463</v>
      </c>
      <c r="O62" s="2" t="s">
        <v>1490</v>
      </c>
      <c r="P62" s="2" t="s">
        <v>1109</v>
      </c>
      <c r="Q62" s="2" t="s">
        <v>1116</v>
      </c>
      <c r="R62" s="2" t="s">
        <v>1492</v>
      </c>
      <c r="S62" s="2">
        <v>44586</v>
      </c>
      <c r="T62" s="2">
        <v>46423</v>
      </c>
      <c r="U62" s="2">
        <v>3000000</v>
      </c>
      <c r="V62" s="2">
        <v>20</v>
      </c>
      <c r="W62" s="2">
        <v>600000</v>
      </c>
      <c r="X62" s="2">
        <v>2400000</v>
      </c>
      <c r="Y62" s="2">
        <v>1.75</v>
      </c>
      <c r="Z62" s="2">
        <v>42000</v>
      </c>
      <c r="AA62" s="2"/>
      <c r="AB62" s="2"/>
      <c r="AC62" s="2" t="s">
        <v>1301</v>
      </c>
      <c r="AD62" s="2">
        <v>1141072794</v>
      </c>
      <c r="AE62" s="2">
        <v>45720</v>
      </c>
      <c r="AF62" s="2" t="s">
        <v>1113</v>
      </c>
      <c r="AG62" s="2">
        <v>0</v>
      </c>
      <c r="AH62" s="2" t="s">
        <v>459</v>
      </c>
      <c r="AI62" s="4">
        <v>42000</v>
      </c>
      <c r="AJ62" s="2">
        <v>0</v>
      </c>
      <c r="AK62" s="2" t="s">
        <v>4</v>
      </c>
    </row>
    <row r="63" spans="1:37" x14ac:dyDescent="0.2">
      <c r="A63" s="12">
        <v>62</v>
      </c>
      <c r="B63" s="2" t="s">
        <v>1295</v>
      </c>
      <c r="C63" s="2" t="s">
        <v>1493</v>
      </c>
      <c r="D63" s="2">
        <v>45658</v>
      </c>
      <c r="E63" s="2" t="s">
        <v>1106</v>
      </c>
      <c r="F63" s="2" t="s">
        <v>442</v>
      </c>
      <c r="G63" s="2">
        <v>45674</v>
      </c>
      <c r="H63" s="2">
        <v>46038</v>
      </c>
      <c r="I63" s="2" t="s">
        <v>1494</v>
      </c>
      <c r="J63" s="2">
        <v>3520294321385</v>
      </c>
      <c r="K63" s="2" t="s">
        <v>250</v>
      </c>
      <c r="L63" s="2" t="s">
        <v>443</v>
      </c>
      <c r="M63" s="2" t="s">
        <v>444</v>
      </c>
      <c r="N63" s="2" t="s">
        <v>445</v>
      </c>
      <c r="O63" s="2" t="s">
        <v>1493</v>
      </c>
      <c r="P63" s="2" t="s">
        <v>1109</v>
      </c>
      <c r="Q63" s="2" t="s">
        <v>1495</v>
      </c>
      <c r="R63" s="2" t="s">
        <v>1496</v>
      </c>
      <c r="S63" s="2">
        <v>44587</v>
      </c>
      <c r="T63" s="2">
        <v>46423</v>
      </c>
      <c r="U63" s="2">
        <v>1149000</v>
      </c>
      <c r="V63" s="2">
        <v>20</v>
      </c>
      <c r="W63" s="2">
        <v>229800</v>
      </c>
      <c r="X63" s="2">
        <v>919200</v>
      </c>
      <c r="Y63" s="2">
        <v>1.75</v>
      </c>
      <c r="Z63" s="2">
        <v>16086</v>
      </c>
      <c r="AA63" s="2"/>
      <c r="AB63" s="2"/>
      <c r="AC63" s="2" t="s">
        <v>1301</v>
      </c>
      <c r="AD63" s="2">
        <v>1141072794</v>
      </c>
      <c r="AE63" s="2">
        <v>45720</v>
      </c>
      <c r="AF63" s="2" t="s">
        <v>1113</v>
      </c>
      <c r="AG63" s="2">
        <v>0</v>
      </c>
      <c r="AH63" s="2" t="s">
        <v>442</v>
      </c>
      <c r="AI63" s="4">
        <v>16086</v>
      </c>
      <c r="AJ63" s="2">
        <v>0</v>
      </c>
      <c r="AK63" s="2" t="s">
        <v>4</v>
      </c>
    </row>
    <row r="64" spans="1:37" x14ac:dyDescent="0.2">
      <c r="A64" s="12">
        <v>63</v>
      </c>
      <c r="B64" s="2" t="s">
        <v>1295</v>
      </c>
      <c r="C64" s="2" t="s">
        <v>1497</v>
      </c>
      <c r="D64" s="2">
        <v>45658</v>
      </c>
      <c r="E64" s="2" t="s">
        <v>1106</v>
      </c>
      <c r="F64" s="2" t="s">
        <v>1046</v>
      </c>
      <c r="G64" s="2">
        <v>45676</v>
      </c>
      <c r="H64" s="2">
        <v>46040</v>
      </c>
      <c r="I64" s="2" t="s">
        <v>1498</v>
      </c>
      <c r="J64" s="2">
        <v>3520116246957</v>
      </c>
      <c r="K64" s="2" t="s">
        <v>29</v>
      </c>
      <c r="L64" s="2" t="s">
        <v>1047</v>
      </c>
      <c r="M64" s="2" t="s">
        <v>1048</v>
      </c>
      <c r="N64" s="2" t="s">
        <v>1049</v>
      </c>
      <c r="O64" s="2" t="s">
        <v>1497</v>
      </c>
      <c r="P64" s="2" t="s">
        <v>1109</v>
      </c>
      <c r="Q64" s="2" t="s">
        <v>1116</v>
      </c>
      <c r="R64" s="2" t="s">
        <v>1499</v>
      </c>
      <c r="S64" s="2">
        <v>44589</v>
      </c>
      <c r="T64" s="2">
        <v>46423</v>
      </c>
      <c r="U64" s="2">
        <v>1117000</v>
      </c>
      <c r="V64" s="2">
        <v>20</v>
      </c>
      <c r="W64" s="2">
        <v>223400</v>
      </c>
      <c r="X64" s="2">
        <v>893600</v>
      </c>
      <c r="Y64" s="2">
        <v>1.75</v>
      </c>
      <c r="Z64" s="2">
        <v>15638</v>
      </c>
      <c r="AA64" s="2"/>
      <c r="AB64" s="2"/>
      <c r="AC64" s="2" t="s">
        <v>1301</v>
      </c>
      <c r="AD64" s="2">
        <v>1141072794</v>
      </c>
      <c r="AE64" s="2">
        <v>45720</v>
      </c>
      <c r="AF64" s="2" t="s">
        <v>1113</v>
      </c>
      <c r="AG64" s="2">
        <v>42</v>
      </c>
      <c r="AH64" s="2" t="s">
        <v>1046</v>
      </c>
      <c r="AI64" s="4">
        <v>15638</v>
      </c>
      <c r="AJ64" s="2">
        <v>0</v>
      </c>
      <c r="AK64" s="2" t="s">
        <v>4</v>
      </c>
    </row>
    <row r="65" spans="1:37" x14ac:dyDescent="0.2">
      <c r="A65" s="12">
        <v>64</v>
      </c>
      <c r="B65" s="2" t="s">
        <v>1295</v>
      </c>
      <c r="C65" s="2" t="s">
        <v>1500</v>
      </c>
      <c r="D65" s="2">
        <v>45658</v>
      </c>
      <c r="E65" s="2" t="s">
        <v>1106</v>
      </c>
      <c r="F65" s="2" t="s">
        <v>468</v>
      </c>
      <c r="G65" s="2">
        <v>45678</v>
      </c>
      <c r="H65" s="2">
        <v>46042</v>
      </c>
      <c r="I65" s="2" t="s">
        <v>1501</v>
      </c>
      <c r="J65" s="2">
        <v>3520216660477</v>
      </c>
      <c r="K65" s="2" t="s">
        <v>17</v>
      </c>
      <c r="L65" s="2" t="s">
        <v>469</v>
      </c>
      <c r="M65" s="2" t="s">
        <v>470</v>
      </c>
      <c r="N65" s="2" t="s">
        <v>471</v>
      </c>
      <c r="O65" s="2" t="s">
        <v>1500</v>
      </c>
      <c r="P65" s="2" t="s">
        <v>1109</v>
      </c>
      <c r="Q65" s="2" t="s">
        <v>1116</v>
      </c>
      <c r="R65" s="2" t="s">
        <v>1502</v>
      </c>
      <c r="S65" s="2">
        <v>44588</v>
      </c>
      <c r="T65" s="2">
        <v>46423</v>
      </c>
      <c r="U65" s="2">
        <v>2300000</v>
      </c>
      <c r="V65" s="2">
        <v>20</v>
      </c>
      <c r="W65" s="2">
        <v>460000</v>
      </c>
      <c r="X65" s="2">
        <v>1840000</v>
      </c>
      <c r="Y65" s="2">
        <v>1.75</v>
      </c>
      <c r="Z65" s="2">
        <v>32200</v>
      </c>
      <c r="AA65" s="2"/>
      <c r="AB65" s="2"/>
      <c r="AC65" s="2" t="s">
        <v>1301</v>
      </c>
      <c r="AD65" s="2">
        <v>1141072794</v>
      </c>
      <c r="AE65" s="2">
        <v>45720</v>
      </c>
      <c r="AF65" s="2" t="s">
        <v>1113</v>
      </c>
      <c r="AG65" s="2">
        <v>12</v>
      </c>
      <c r="AH65" s="2" t="s">
        <v>468</v>
      </c>
      <c r="AI65" s="4">
        <v>32200</v>
      </c>
      <c r="AJ65" s="2">
        <v>0</v>
      </c>
      <c r="AK65" s="2" t="s">
        <v>4</v>
      </c>
    </row>
    <row r="66" spans="1:37" x14ac:dyDescent="0.2">
      <c r="A66" s="12">
        <v>65</v>
      </c>
      <c r="B66" s="2" t="s">
        <v>1295</v>
      </c>
      <c r="C66" s="2" t="s">
        <v>1503</v>
      </c>
      <c r="D66" s="2">
        <v>45658</v>
      </c>
      <c r="E66" s="2" t="s">
        <v>1106</v>
      </c>
      <c r="F66" s="2" t="s">
        <v>1055</v>
      </c>
      <c r="G66" s="2">
        <v>45678</v>
      </c>
      <c r="H66" s="2">
        <v>46042</v>
      </c>
      <c r="I66" s="2" t="s">
        <v>1504</v>
      </c>
      <c r="J66" s="2">
        <v>3520111065557</v>
      </c>
      <c r="K66" s="2" t="s">
        <v>29</v>
      </c>
      <c r="L66" s="2" t="s">
        <v>1056</v>
      </c>
      <c r="M66" s="2" t="s">
        <v>1057</v>
      </c>
      <c r="N66" s="2" t="s">
        <v>1058</v>
      </c>
      <c r="O66" s="2" t="s">
        <v>1503</v>
      </c>
      <c r="P66" s="2" t="s">
        <v>1109</v>
      </c>
      <c r="Q66" s="2" t="s">
        <v>1116</v>
      </c>
      <c r="R66" s="2" t="s">
        <v>1505</v>
      </c>
      <c r="S66" s="2">
        <v>44589</v>
      </c>
      <c r="T66" s="2">
        <v>46423</v>
      </c>
      <c r="U66" s="2">
        <v>1117000</v>
      </c>
      <c r="V66" s="2">
        <v>20</v>
      </c>
      <c r="W66" s="2">
        <v>223400</v>
      </c>
      <c r="X66" s="2">
        <v>893600</v>
      </c>
      <c r="Y66" s="2">
        <v>1.75</v>
      </c>
      <c r="Z66" s="2">
        <v>15638</v>
      </c>
      <c r="AA66" s="2"/>
      <c r="AB66" s="2"/>
      <c r="AC66" s="2" t="s">
        <v>1301</v>
      </c>
      <c r="AD66" s="2">
        <v>1141072794</v>
      </c>
      <c r="AE66" s="2">
        <v>45720</v>
      </c>
      <c r="AF66" s="2" t="s">
        <v>1113</v>
      </c>
      <c r="AG66" s="2">
        <v>0</v>
      </c>
      <c r="AH66" s="2" t="s">
        <v>1055</v>
      </c>
      <c r="AI66" s="4">
        <v>15638</v>
      </c>
      <c r="AJ66" s="2">
        <v>0</v>
      </c>
      <c r="AK66" s="2" t="s">
        <v>4</v>
      </c>
    </row>
    <row r="67" spans="1:37" x14ac:dyDescent="0.2">
      <c r="A67" s="12">
        <v>66</v>
      </c>
      <c r="B67" s="2" t="s">
        <v>1295</v>
      </c>
      <c r="C67" s="2" t="s">
        <v>1506</v>
      </c>
      <c r="D67" s="2">
        <v>45658</v>
      </c>
      <c r="E67" s="2" t="s">
        <v>1106</v>
      </c>
      <c r="F67" s="2" t="s">
        <v>490</v>
      </c>
      <c r="G67" s="2">
        <v>45681</v>
      </c>
      <c r="H67" s="2">
        <v>46045</v>
      </c>
      <c r="I67" s="2" t="s">
        <v>1507</v>
      </c>
      <c r="J67" s="2">
        <v>3520228003824</v>
      </c>
      <c r="K67" s="2" t="s">
        <v>9</v>
      </c>
      <c r="L67" s="2" t="s">
        <v>491</v>
      </c>
      <c r="M67" s="2" t="s">
        <v>492</v>
      </c>
      <c r="N67" s="2" t="s">
        <v>493</v>
      </c>
      <c r="O67" s="2" t="s">
        <v>1506</v>
      </c>
      <c r="P67" s="2" t="s">
        <v>1109</v>
      </c>
      <c r="Q67" s="2" t="s">
        <v>1116</v>
      </c>
      <c r="R67" s="2" t="s">
        <v>1508</v>
      </c>
      <c r="S67" s="2">
        <v>44592</v>
      </c>
      <c r="T67" s="2">
        <v>47154</v>
      </c>
      <c r="U67" s="2">
        <v>1521000</v>
      </c>
      <c r="V67" s="2">
        <v>20</v>
      </c>
      <c r="W67" s="2">
        <v>304200</v>
      </c>
      <c r="X67" s="2">
        <v>1216800</v>
      </c>
      <c r="Y67" s="2">
        <v>1.75</v>
      </c>
      <c r="Z67" s="2">
        <v>21294</v>
      </c>
      <c r="AA67" s="2"/>
      <c r="AB67" s="2"/>
      <c r="AC67" s="2" t="s">
        <v>1301</v>
      </c>
      <c r="AD67" s="2">
        <v>1141072794</v>
      </c>
      <c r="AE67" s="2">
        <v>45720</v>
      </c>
      <c r="AF67" s="2" t="s">
        <v>1113</v>
      </c>
      <c r="AG67" s="2">
        <v>0</v>
      </c>
      <c r="AH67" s="2" t="s">
        <v>490</v>
      </c>
      <c r="AI67" s="4">
        <v>21294</v>
      </c>
      <c r="AJ67" s="2">
        <v>0</v>
      </c>
      <c r="AK67" s="2" t="s">
        <v>4</v>
      </c>
    </row>
    <row r="68" spans="1:37" x14ac:dyDescent="0.2">
      <c r="A68" s="12">
        <v>67</v>
      </c>
      <c r="B68" s="2" t="s">
        <v>1295</v>
      </c>
      <c r="C68" s="2" t="s">
        <v>1509</v>
      </c>
      <c r="D68" s="2">
        <v>45658</v>
      </c>
      <c r="E68" s="2" t="s">
        <v>1106</v>
      </c>
      <c r="F68" s="2" t="s">
        <v>512</v>
      </c>
      <c r="G68" s="2">
        <v>45683</v>
      </c>
      <c r="H68" s="2">
        <v>46047</v>
      </c>
      <c r="I68" s="2" t="s">
        <v>1510</v>
      </c>
      <c r="J68" s="2">
        <v>3110272750571</v>
      </c>
      <c r="K68" s="2" t="s">
        <v>394</v>
      </c>
      <c r="L68" s="2" t="s">
        <v>513</v>
      </c>
      <c r="M68" s="2" t="s">
        <v>514</v>
      </c>
      <c r="N68" s="2" t="s">
        <v>515</v>
      </c>
      <c r="O68" s="2" t="s">
        <v>1509</v>
      </c>
      <c r="P68" s="2" t="s">
        <v>1109</v>
      </c>
      <c r="Q68" s="2" t="s">
        <v>1116</v>
      </c>
      <c r="R68" s="2" t="s">
        <v>1511</v>
      </c>
      <c r="S68" s="2">
        <v>44593</v>
      </c>
      <c r="T68" s="2">
        <v>46423</v>
      </c>
      <c r="U68" s="2">
        <v>880000</v>
      </c>
      <c r="V68" s="2">
        <v>20</v>
      </c>
      <c r="W68" s="2">
        <v>176000</v>
      </c>
      <c r="X68" s="2">
        <v>704000</v>
      </c>
      <c r="Y68" s="2">
        <v>1.75</v>
      </c>
      <c r="Z68" s="2">
        <v>12320</v>
      </c>
      <c r="AA68" s="2"/>
      <c r="AB68" s="2"/>
      <c r="AC68" s="2" t="s">
        <v>1301</v>
      </c>
      <c r="AD68" s="2">
        <v>1141072794</v>
      </c>
      <c r="AE68" s="2">
        <v>45720</v>
      </c>
      <c r="AF68" s="2" t="s">
        <v>1113</v>
      </c>
      <c r="AG68" s="2">
        <v>0</v>
      </c>
      <c r="AH68" s="2" t="s">
        <v>512</v>
      </c>
      <c r="AI68" s="4">
        <v>12320</v>
      </c>
      <c r="AJ68" s="2">
        <v>0</v>
      </c>
      <c r="AK68" s="2" t="s">
        <v>4</v>
      </c>
    </row>
    <row r="69" spans="1:37" x14ac:dyDescent="0.2">
      <c r="A69" s="12">
        <v>68</v>
      </c>
      <c r="B69" s="2" t="s">
        <v>1295</v>
      </c>
      <c r="C69" s="2" t="s">
        <v>1512</v>
      </c>
      <c r="D69" s="2">
        <v>45658</v>
      </c>
      <c r="E69" s="2" t="s">
        <v>1106</v>
      </c>
      <c r="F69" s="2" t="s">
        <v>503</v>
      </c>
      <c r="G69" s="2">
        <v>45682</v>
      </c>
      <c r="H69" s="2">
        <v>46046</v>
      </c>
      <c r="I69" s="2" t="s">
        <v>1513</v>
      </c>
      <c r="J69" s="2">
        <v>3310422366303</v>
      </c>
      <c r="K69" s="2" t="s">
        <v>504</v>
      </c>
      <c r="L69" s="2" t="s">
        <v>505</v>
      </c>
      <c r="M69" s="2" t="s">
        <v>506</v>
      </c>
      <c r="N69" s="2" t="s">
        <v>507</v>
      </c>
      <c r="O69" s="2" t="s">
        <v>1512</v>
      </c>
      <c r="P69" s="2" t="s">
        <v>1109</v>
      </c>
      <c r="Q69" s="2" t="s">
        <v>1129</v>
      </c>
      <c r="R69" s="2" t="s">
        <v>1514</v>
      </c>
      <c r="S69" s="2">
        <v>44593</v>
      </c>
      <c r="T69" s="2">
        <v>46423</v>
      </c>
      <c r="U69" s="2">
        <v>3903000</v>
      </c>
      <c r="V69" s="2">
        <v>20</v>
      </c>
      <c r="W69" s="2">
        <v>780600</v>
      </c>
      <c r="X69" s="2">
        <v>3122400</v>
      </c>
      <c r="Y69" s="2">
        <v>1.5</v>
      </c>
      <c r="Z69" s="2">
        <v>46836</v>
      </c>
      <c r="AA69" s="2"/>
      <c r="AB69" s="2"/>
      <c r="AC69" s="2" t="s">
        <v>1301</v>
      </c>
      <c r="AD69" s="2">
        <v>1141072794</v>
      </c>
      <c r="AE69" s="2">
        <v>45720</v>
      </c>
      <c r="AF69" s="2" t="s">
        <v>1113</v>
      </c>
      <c r="AG69" s="2">
        <v>12</v>
      </c>
      <c r="AH69" s="2" t="s">
        <v>503</v>
      </c>
      <c r="AI69" s="4">
        <v>46836</v>
      </c>
      <c r="AJ69" s="2">
        <v>0</v>
      </c>
      <c r="AK69" s="2" t="s">
        <v>4</v>
      </c>
    </row>
    <row r="70" spans="1:37" x14ac:dyDescent="0.2">
      <c r="A70" s="12">
        <v>69</v>
      </c>
      <c r="B70" s="2" t="s">
        <v>1295</v>
      </c>
      <c r="C70" s="2" t="s">
        <v>1515</v>
      </c>
      <c r="D70" s="2">
        <v>45658</v>
      </c>
      <c r="E70" s="2" t="s">
        <v>1106</v>
      </c>
      <c r="F70" s="2" t="s">
        <v>477</v>
      </c>
      <c r="G70" s="2">
        <v>45678</v>
      </c>
      <c r="H70" s="2">
        <v>46042</v>
      </c>
      <c r="I70" s="2" t="s">
        <v>1516</v>
      </c>
      <c r="J70" s="2">
        <v>3410120054445</v>
      </c>
      <c r="K70" s="2" t="s">
        <v>438</v>
      </c>
      <c r="L70" s="2" t="s">
        <v>478</v>
      </c>
      <c r="M70" s="2" t="s">
        <v>479</v>
      </c>
      <c r="N70" s="2" t="s">
        <v>480</v>
      </c>
      <c r="O70" s="2" t="s">
        <v>1515</v>
      </c>
      <c r="P70" s="2" t="s">
        <v>1109</v>
      </c>
      <c r="Q70" s="2" t="s">
        <v>1154</v>
      </c>
      <c r="R70" s="2" t="s">
        <v>1517</v>
      </c>
      <c r="S70" s="2">
        <v>44592</v>
      </c>
      <c r="T70" s="2">
        <v>46423</v>
      </c>
      <c r="U70" s="2">
        <v>1113000</v>
      </c>
      <c r="V70" s="2">
        <v>20</v>
      </c>
      <c r="W70" s="2">
        <v>222600</v>
      </c>
      <c r="X70" s="2">
        <v>890400</v>
      </c>
      <c r="Y70" s="2">
        <v>1.75</v>
      </c>
      <c r="Z70" s="2">
        <v>15582</v>
      </c>
      <c r="AA70" s="2"/>
      <c r="AB70" s="2"/>
      <c r="AC70" s="2" t="s">
        <v>1301</v>
      </c>
      <c r="AD70" s="2">
        <v>1141072794</v>
      </c>
      <c r="AE70" s="2">
        <v>45720</v>
      </c>
      <c r="AF70" s="2" t="s">
        <v>1113</v>
      </c>
      <c r="AG70" s="2">
        <v>12</v>
      </c>
      <c r="AH70" s="2" t="s">
        <v>477</v>
      </c>
      <c r="AI70" s="4">
        <v>15582</v>
      </c>
      <c r="AJ70" s="2">
        <v>0</v>
      </c>
      <c r="AK70" s="2" t="s">
        <v>4</v>
      </c>
    </row>
    <row r="71" spans="1:37" x14ac:dyDescent="0.2">
      <c r="A71" s="12">
        <v>70</v>
      </c>
      <c r="B71" s="2" t="s">
        <v>1295</v>
      </c>
      <c r="C71" s="2" t="s">
        <v>1518</v>
      </c>
      <c r="D71" s="2">
        <v>45658</v>
      </c>
      <c r="E71" s="2" t="s">
        <v>1106</v>
      </c>
      <c r="F71" s="2" t="s">
        <v>516</v>
      </c>
      <c r="G71" s="2">
        <v>45683</v>
      </c>
      <c r="H71" s="2">
        <v>46047</v>
      </c>
      <c r="I71" s="2" t="s">
        <v>1519</v>
      </c>
      <c r="J71" s="2">
        <v>3520249913548</v>
      </c>
      <c r="K71" s="2" t="s">
        <v>8</v>
      </c>
      <c r="L71" s="2" t="s">
        <v>517</v>
      </c>
      <c r="M71" s="2" t="s">
        <v>518</v>
      </c>
      <c r="N71" s="2" t="s">
        <v>519</v>
      </c>
      <c r="O71" s="2" t="s">
        <v>1518</v>
      </c>
      <c r="P71" s="2" t="s">
        <v>1109</v>
      </c>
      <c r="Q71" s="2" t="s">
        <v>1116</v>
      </c>
      <c r="R71" s="2" t="s">
        <v>1520</v>
      </c>
      <c r="S71" s="2">
        <v>44592</v>
      </c>
      <c r="T71" s="2">
        <v>47154</v>
      </c>
      <c r="U71" s="2">
        <v>1546000</v>
      </c>
      <c r="V71" s="2">
        <v>20</v>
      </c>
      <c r="W71" s="2">
        <v>309200</v>
      </c>
      <c r="X71" s="2">
        <v>1236800</v>
      </c>
      <c r="Y71" s="2">
        <v>1.75</v>
      </c>
      <c r="Z71" s="2">
        <v>21644</v>
      </c>
      <c r="AA71" s="2"/>
      <c r="AB71" s="2"/>
      <c r="AC71" s="2" t="s">
        <v>1301</v>
      </c>
      <c r="AD71" s="2">
        <v>1141072794</v>
      </c>
      <c r="AE71" s="2">
        <v>45720</v>
      </c>
      <c r="AF71" s="2" t="s">
        <v>1113</v>
      </c>
      <c r="AG71" s="2">
        <v>12</v>
      </c>
      <c r="AH71" s="2" t="s">
        <v>516</v>
      </c>
      <c r="AI71" s="4">
        <v>21644</v>
      </c>
      <c r="AJ71" s="2">
        <v>0</v>
      </c>
      <c r="AK71" s="2" t="s">
        <v>4</v>
      </c>
    </row>
    <row r="72" spans="1:37" x14ac:dyDescent="0.2">
      <c r="A72" s="12">
        <v>71</v>
      </c>
      <c r="B72" s="2" t="s">
        <v>1295</v>
      </c>
      <c r="C72" s="2" t="s">
        <v>1521</v>
      </c>
      <c r="D72" s="2">
        <v>45658</v>
      </c>
      <c r="E72" s="2" t="s">
        <v>1106</v>
      </c>
      <c r="F72" s="2" t="s">
        <v>543</v>
      </c>
      <c r="G72" s="2">
        <v>45686</v>
      </c>
      <c r="H72" s="2">
        <v>46050</v>
      </c>
      <c r="I72" s="2" t="s">
        <v>1522</v>
      </c>
      <c r="J72" s="2">
        <v>4210135337960</v>
      </c>
      <c r="K72" s="2" t="s">
        <v>544</v>
      </c>
      <c r="L72" s="2" t="s">
        <v>545</v>
      </c>
      <c r="M72" s="2" t="s">
        <v>546</v>
      </c>
      <c r="N72" s="2" t="s">
        <v>547</v>
      </c>
      <c r="O72" s="2" t="s">
        <v>1521</v>
      </c>
      <c r="P72" s="2" t="s">
        <v>1143</v>
      </c>
      <c r="Q72" s="2" t="s">
        <v>1144</v>
      </c>
      <c r="R72" s="2" t="s">
        <v>1523</v>
      </c>
      <c r="S72" s="2">
        <v>44594</v>
      </c>
      <c r="T72" s="2">
        <v>46423</v>
      </c>
      <c r="U72" s="2">
        <v>2120000</v>
      </c>
      <c r="V72" s="2">
        <v>20</v>
      </c>
      <c r="W72" s="2">
        <v>424000</v>
      </c>
      <c r="X72" s="2">
        <v>1696000</v>
      </c>
      <c r="Y72" s="2">
        <v>1.75</v>
      </c>
      <c r="Z72" s="2">
        <v>29680</v>
      </c>
      <c r="AA72" s="2"/>
      <c r="AB72" s="2"/>
      <c r="AC72" s="2" t="s">
        <v>1301</v>
      </c>
      <c r="AD72" s="2">
        <v>1141072794</v>
      </c>
      <c r="AE72" s="2">
        <v>45720</v>
      </c>
      <c r="AF72" s="2" t="s">
        <v>1113</v>
      </c>
      <c r="AG72" s="2">
        <v>0</v>
      </c>
      <c r="AH72" s="2" t="s">
        <v>543</v>
      </c>
      <c r="AI72" s="4">
        <v>29680</v>
      </c>
      <c r="AJ72" s="2">
        <v>0</v>
      </c>
      <c r="AK72" s="2" t="s">
        <v>4</v>
      </c>
    </row>
    <row r="73" spans="1:37" x14ac:dyDescent="0.2">
      <c r="A73" s="12">
        <v>72</v>
      </c>
      <c r="B73" s="2" t="s">
        <v>1295</v>
      </c>
      <c r="C73" s="2" t="s">
        <v>1524</v>
      </c>
      <c r="D73" s="2">
        <v>45658</v>
      </c>
      <c r="E73" s="2" t="s">
        <v>1106</v>
      </c>
      <c r="F73" s="2" t="s">
        <v>539</v>
      </c>
      <c r="G73" s="2">
        <v>45685</v>
      </c>
      <c r="H73" s="2">
        <v>46049</v>
      </c>
      <c r="I73" s="2" t="s">
        <v>1525</v>
      </c>
      <c r="J73" s="2">
        <v>4220163047955</v>
      </c>
      <c r="K73" s="2" t="s">
        <v>241</v>
      </c>
      <c r="L73" s="2" t="s">
        <v>540</v>
      </c>
      <c r="M73" s="2" t="s">
        <v>541</v>
      </c>
      <c r="N73" s="2" t="s">
        <v>542</v>
      </c>
      <c r="O73" s="2" t="s">
        <v>1524</v>
      </c>
      <c r="P73" s="2" t="s">
        <v>1143</v>
      </c>
      <c r="Q73" s="2" t="s">
        <v>1144</v>
      </c>
      <c r="R73" s="2" t="s">
        <v>1526</v>
      </c>
      <c r="S73" s="2">
        <v>44593</v>
      </c>
      <c r="T73" s="2">
        <v>46423</v>
      </c>
      <c r="U73" s="2">
        <v>2175000</v>
      </c>
      <c r="V73" s="2">
        <v>20</v>
      </c>
      <c r="W73" s="2">
        <v>435000</v>
      </c>
      <c r="X73" s="2">
        <v>1740000</v>
      </c>
      <c r="Y73" s="2">
        <v>1.75</v>
      </c>
      <c r="Z73" s="2">
        <v>30450</v>
      </c>
      <c r="AA73" s="2"/>
      <c r="AB73" s="2"/>
      <c r="AC73" s="2" t="s">
        <v>1301</v>
      </c>
      <c r="AD73" s="2">
        <v>1141072794</v>
      </c>
      <c r="AE73" s="2">
        <v>45720</v>
      </c>
      <c r="AF73" s="2" t="s">
        <v>1113</v>
      </c>
      <c r="AG73" s="2">
        <v>0</v>
      </c>
      <c r="AH73" s="2" t="s">
        <v>539</v>
      </c>
      <c r="AI73" s="4">
        <v>30450</v>
      </c>
      <c r="AJ73" s="2">
        <v>0</v>
      </c>
      <c r="AK73" s="2" t="s">
        <v>4</v>
      </c>
    </row>
    <row r="74" spans="1:37" x14ac:dyDescent="0.2">
      <c r="A74" s="12">
        <v>73</v>
      </c>
      <c r="B74" s="2" t="s">
        <v>1295</v>
      </c>
      <c r="C74" s="2" t="s">
        <v>1527</v>
      </c>
      <c r="D74" s="2">
        <v>45658</v>
      </c>
      <c r="E74" s="2" t="s">
        <v>1106</v>
      </c>
      <c r="F74" s="2" t="s">
        <v>529</v>
      </c>
      <c r="G74" s="2">
        <v>45684</v>
      </c>
      <c r="H74" s="2">
        <v>46048</v>
      </c>
      <c r="I74" s="2" t="s">
        <v>1528</v>
      </c>
      <c r="J74" s="2">
        <v>3520266560969</v>
      </c>
      <c r="K74" s="2" t="s">
        <v>530</v>
      </c>
      <c r="L74" s="2" t="s">
        <v>531</v>
      </c>
      <c r="M74" s="2" t="s">
        <v>532</v>
      </c>
      <c r="N74" s="2" t="s">
        <v>533</v>
      </c>
      <c r="O74" s="2" t="s">
        <v>1527</v>
      </c>
      <c r="P74" s="2" t="s">
        <v>1109</v>
      </c>
      <c r="Q74" s="2" t="s">
        <v>1116</v>
      </c>
      <c r="R74" s="2" t="s">
        <v>1529</v>
      </c>
      <c r="S74" s="2">
        <v>44592</v>
      </c>
      <c r="T74" s="2">
        <v>46423</v>
      </c>
      <c r="U74" s="2">
        <v>2500000</v>
      </c>
      <c r="V74" s="2">
        <v>20</v>
      </c>
      <c r="W74" s="2">
        <v>500000</v>
      </c>
      <c r="X74" s="2">
        <v>2000000</v>
      </c>
      <c r="Y74" s="2">
        <v>2</v>
      </c>
      <c r="Z74" s="2">
        <v>40000</v>
      </c>
      <c r="AA74" s="2"/>
      <c r="AB74" s="2"/>
      <c r="AC74" s="2" t="s">
        <v>1301</v>
      </c>
      <c r="AD74" s="2">
        <v>1141072794</v>
      </c>
      <c r="AE74" s="2">
        <v>45720</v>
      </c>
      <c r="AF74" s="2" t="s">
        <v>1113</v>
      </c>
      <c r="AG74" s="2">
        <v>0</v>
      </c>
      <c r="AH74" s="2" t="s">
        <v>529</v>
      </c>
      <c r="AI74" s="4">
        <v>40000</v>
      </c>
      <c r="AJ74" s="2">
        <v>0</v>
      </c>
      <c r="AK74" s="2" t="s">
        <v>4</v>
      </c>
    </row>
    <row r="75" spans="1:37" x14ac:dyDescent="0.2">
      <c r="A75" s="12">
        <v>74</v>
      </c>
      <c r="B75" s="2" t="s">
        <v>1295</v>
      </c>
      <c r="C75" s="2" t="s">
        <v>1530</v>
      </c>
      <c r="D75" s="2">
        <v>45658</v>
      </c>
      <c r="E75" s="2" t="s">
        <v>1106</v>
      </c>
      <c r="F75" s="2" t="s">
        <v>999</v>
      </c>
      <c r="G75" s="2">
        <v>45684</v>
      </c>
      <c r="H75" s="2">
        <v>46048</v>
      </c>
      <c r="I75" s="2" t="s">
        <v>1531</v>
      </c>
      <c r="J75" s="2">
        <v>3520184652539</v>
      </c>
      <c r="K75" s="2" t="s">
        <v>14</v>
      </c>
      <c r="L75" s="2" t="s">
        <v>1000</v>
      </c>
      <c r="M75" s="2" t="s">
        <v>1001</v>
      </c>
      <c r="N75" s="2" t="s">
        <v>1002</v>
      </c>
      <c r="O75" s="2" t="s">
        <v>1530</v>
      </c>
      <c r="P75" s="2" t="s">
        <v>1109</v>
      </c>
      <c r="Q75" s="2" t="s">
        <v>1116</v>
      </c>
      <c r="R75" s="2" t="s">
        <v>1532</v>
      </c>
      <c r="S75" s="2">
        <v>44593</v>
      </c>
      <c r="T75" s="2">
        <v>46423</v>
      </c>
      <c r="U75" s="2">
        <v>1510000</v>
      </c>
      <c r="V75" s="2">
        <v>20</v>
      </c>
      <c r="W75" s="2">
        <v>302000</v>
      </c>
      <c r="X75" s="2">
        <v>1208000</v>
      </c>
      <c r="Y75" s="2">
        <v>2.5</v>
      </c>
      <c r="Z75" s="2">
        <v>30200</v>
      </c>
      <c r="AA75" s="2"/>
      <c r="AB75" s="2"/>
      <c r="AC75" s="2" t="s">
        <v>1301</v>
      </c>
      <c r="AD75" s="2">
        <v>1141072794</v>
      </c>
      <c r="AE75" s="2">
        <v>45720</v>
      </c>
      <c r="AF75" s="2" t="s">
        <v>1113</v>
      </c>
      <c r="AG75" s="2">
        <v>12</v>
      </c>
      <c r="AH75" s="2" t="s">
        <v>999</v>
      </c>
      <c r="AI75" s="4">
        <v>30200</v>
      </c>
      <c r="AJ75" s="2">
        <v>0</v>
      </c>
      <c r="AK75" s="2" t="s">
        <v>4</v>
      </c>
    </row>
    <row r="76" spans="1:37" x14ac:dyDescent="0.2">
      <c r="A76" s="12">
        <v>75</v>
      </c>
      <c r="B76" s="2" t="s">
        <v>1295</v>
      </c>
      <c r="C76" s="2" t="s">
        <v>1533</v>
      </c>
      <c r="D76" s="2">
        <v>45658</v>
      </c>
      <c r="E76" s="2" t="s">
        <v>1106</v>
      </c>
      <c r="F76" s="2" t="s">
        <v>534</v>
      </c>
      <c r="G76" s="2">
        <v>45685</v>
      </c>
      <c r="H76" s="2">
        <v>46049</v>
      </c>
      <c r="I76" s="2" t="s">
        <v>1534</v>
      </c>
      <c r="J76" s="2">
        <v>3730132310503</v>
      </c>
      <c r="K76" s="2" t="s">
        <v>535</v>
      </c>
      <c r="L76" s="2" t="s">
        <v>536</v>
      </c>
      <c r="M76" s="2" t="s">
        <v>537</v>
      </c>
      <c r="N76" s="2" t="s">
        <v>538</v>
      </c>
      <c r="O76" s="2" t="s">
        <v>1533</v>
      </c>
      <c r="P76" s="2" t="s">
        <v>1308</v>
      </c>
      <c r="Q76" s="2" t="s">
        <v>1535</v>
      </c>
      <c r="R76" s="2" t="s">
        <v>1536</v>
      </c>
      <c r="S76" s="2">
        <v>44594</v>
      </c>
      <c r="T76" s="2">
        <v>46423</v>
      </c>
      <c r="U76" s="2">
        <v>1178000</v>
      </c>
      <c r="V76" s="2">
        <v>20</v>
      </c>
      <c r="W76" s="2">
        <v>235600</v>
      </c>
      <c r="X76" s="2">
        <v>942400</v>
      </c>
      <c r="Y76" s="2">
        <v>2.5</v>
      </c>
      <c r="Z76" s="2">
        <v>23560</v>
      </c>
      <c r="AA76" s="2"/>
      <c r="AB76" s="2"/>
      <c r="AC76" s="2" t="s">
        <v>1301</v>
      </c>
      <c r="AD76" s="2">
        <v>1141072794</v>
      </c>
      <c r="AE76" s="2">
        <v>45720</v>
      </c>
      <c r="AF76" s="2" t="s">
        <v>1113</v>
      </c>
      <c r="AG76" s="2">
        <v>0</v>
      </c>
      <c r="AH76" s="2" t="s">
        <v>534</v>
      </c>
      <c r="AI76" s="4">
        <v>23560</v>
      </c>
      <c r="AJ76" s="2">
        <v>0</v>
      </c>
      <c r="AK76" s="2" t="s">
        <v>4</v>
      </c>
    </row>
    <row r="77" spans="1:37" x14ac:dyDescent="0.2">
      <c r="A77" s="12">
        <v>76</v>
      </c>
      <c r="B77" s="2" t="s">
        <v>1295</v>
      </c>
      <c r="C77" s="2" t="s">
        <v>1537</v>
      </c>
      <c r="D77" s="2">
        <v>45658</v>
      </c>
      <c r="E77" s="2" t="s">
        <v>1106</v>
      </c>
      <c r="F77" s="2" t="s">
        <v>636</v>
      </c>
      <c r="G77" s="2">
        <v>45688</v>
      </c>
      <c r="H77" s="2">
        <v>46052</v>
      </c>
      <c r="I77" s="2" t="s">
        <v>1538</v>
      </c>
      <c r="J77" s="2">
        <v>4230160526139</v>
      </c>
      <c r="K77" s="2" t="s">
        <v>637</v>
      </c>
      <c r="L77" s="2" t="s">
        <v>638</v>
      </c>
      <c r="M77" s="2" t="s">
        <v>639</v>
      </c>
      <c r="N77" s="2" t="s">
        <v>640</v>
      </c>
      <c r="O77" s="2" t="s">
        <v>1537</v>
      </c>
      <c r="P77" s="2" t="s">
        <v>1143</v>
      </c>
      <c r="Q77" s="2" t="s">
        <v>1144</v>
      </c>
      <c r="R77" s="2" t="s">
        <v>1539</v>
      </c>
      <c r="S77" s="2">
        <v>44594</v>
      </c>
      <c r="T77" s="2">
        <v>46423</v>
      </c>
      <c r="U77" s="2">
        <v>1740000</v>
      </c>
      <c r="V77" s="2">
        <v>20</v>
      </c>
      <c r="W77" s="2">
        <v>348000</v>
      </c>
      <c r="X77" s="2">
        <v>1392000</v>
      </c>
      <c r="Y77" s="2">
        <v>1.75</v>
      </c>
      <c r="Z77" s="2">
        <v>24360</v>
      </c>
      <c r="AA77" s="2"/>
      <c r="AB77" s="2"/>
      <c r="AC77" s="2" t="s">
        <v>1301</v>
      </c>
      <c r="AD77" s="2">
        <v>1141072794</v>
      </c>
      <c r="AE77" s="2">
        <v>45720</v>
      </c>
      <c r="AF77" s="2" t="s">
        <v>1113</v>
      </c>
      <c r="AG77" s="2">
        <v>0</v>
      </c>
      <c r="AH77" s="2" t="s">
        <v>636</v>
      </c>
      <c r="AI77" s="4">
        <v>24360</v>
      </c>
      <c r="AJ77" s="2">
        <v>0</v>
      </c>
      <c r="AK77" s="2" t="s">
        <v>4</v>
      </c>
    </row>
    <row r="78" spans="1:37" x14ac:dyDescent="0.2">
      <c r="A78" s="12">
        <v>77</v>
      </c>
      <c r="B78" s="2" t="s">
        <v>1295</v>
      </c>
      <c r="C78" s="2" t="s">
        <v>1540</v>
      </c>
      <c r="D78" s="2">
        <v>45658</v>
      </c>
      <c r="E78" s="2" t="s">
        <v>1106</v>
      </c>
      <c r="F78" s="2" t="s">
        <v>524</v>
      </c>
      <c r="G78" s="2">
        <v>45684</v>
      </c>
      <c r="H78" s="2">
        <v>46048</v>
      </c>
      <c r="I78" s="2" t="s">
        <v>1541</v>
      </c>
      <c r="J78" s="2">
        <v>3120327596677</v>
      </c>
      <c r="K78" s="2" t="s">
        <v>525</v>
      </c>
      <c r="L78" s="2" t="s">
        <v>526</v>
      </c>
      <c r="M78" s="2" t="s">
        <v>527</v>
      </c>
      <c r="N78" s="2" t="s">
        <v>528</v>
      </c>
      <c r="O78" s="2" t="s">
        <v>1540</v>
      </c>
      <c r="P78" s="2" t="s">
        <v>1109</v>
      </c>
      <c r="Q78" s="2" t="s">
        <v>1542</v>
      </c>
      <c r="R78" s="2" t="s">
        <v>1543</v>
      </c>
      <c r="S78" s="2">
        <v>44593</v>
      </c>
      <c r="T78" s="2">
        <v>47154</v>
      </c>
      <c r="U78" s="2">
        <v>1334000</v>
      </c>
      <c r="V78" s="2">
        <v>20</v>
      </c>
      <c r="W78" s="2">
        <v>266800</v>
      </c>
      <c r="X78" s="2">
        <v>1067200</v>
      </c>
      <c r="Y78" s="2">
        <v>2.5</v>
      </c>
      <c r="Z78" s="2">
        <v>26680</v>
      </c>
      <c r="AA78" s="2"/>
      <c r="AB78" s="2"/>
      <c r="AC78" s="2" t="s">
        <v>1301</v>
      </c>
      <c r="AD78" s="2">
        <v>1141072794</v>
      </c>
      <c r="AE78" s="2">
        <v>45720</v>
      </c>
      <c r="AF78" s="2" t="s">
        <v>1113</v>
      </c>
      <c r="AG78" s="2">
        <v>12</v>
      </c>
      <c r="AH78" s="2" t="s">
        <v>524</v>
      </c>
      <c r="AI78" s="4">
        <v>26680</v>
      </c>
      <c r="AJ78" s="2">
        <v>0</v>
      </c>
      <c r="AK78" s="2" t="s">
        <v>4</v>
      </c>
    </row>
    <row r="79" spans="1:37" x14ac:dyDescent="0.2">
      <c r="A79" s="12">
        <v>78</v>
      </c>
      <c r="B79" s="2" t="s">
        <v>1295</v>
      </c>
      <c r="C79" s="2" t="s">
        <v>1544</v>
      </c>
      <c r="D79" s="2">
        <v>45658</v>
      </c>
      <c r="E79" s="2" t="s">
        <v>1106</v>
      </c>
      <c r="F79" s="2" t="s">
        <v>486</v>
      </c>
      <c r="G79" s="2">
        <v>45681</v>
      </c>
      <c r="H79" s="2">
        <v>46045</v>
      </c>
      <c r="I79" s="2" t="s">
        <v>1545</v>
      </c>
      <c r="J79" s="2">
        <v>3130187254509</v>
      </c>
      <c r="K79" s="2" t="s">
        <v>433</v>
      </c>
      <c r="L79" s="2" t="s">
        <v>487</v>
      </c>
      <c r="M79" s="2" t="s">
        <v>488</v>
      </c>
      <c r="N79" s="2" t="s">
        <v>489</v>
      </c>
      <c r="O79" s="2" t="s">
        <v>1544</v>
      </c>
      <c r="P79" s="2" t="s">
        <v>1109</v>
      </c>
      <c r="Q79" s="2" t="s">
        <v>1442</v>
      </c>
      <c r="R79" s="2" t="s">
        <v>1546</v>
      </c>
      <c r="S79" s="2">
        <v>44593</v>
      </c>
      <c r="T79" s="2">
        <v>47154</v>
      </c>
      <c r="U79" s="2">
        <v>2100000</v>
      </c>
      <c r="V79" s="2">
        <v>20</v>
      </c>
      <c r="W79" s="2">
        <v>420000</v>
      </c>
      <c r="X79" s="2">
        <v>1680000</v>
      </c>
      <c r="Y79" s="2">
        <v>1.75</v>
      </c>
      <c r="Z79" s="2">
        <v>29400</v>
      </c>
      <c r="AA79" s="2"/>
      <c r="AB79" s="2"/>
      <c r="AC79" s="2" t="s">
        <v>1301</v>
      </c>
      <c r="AD79" s="2">
        <v>1141072794</v>
      </c>
      <c r="AE79" s="2">
        <v>45720</v>
      </c>
      <c r="AF79" s="2" t="s">
        <v>1113</v>
      </c>
      <c r="AG79" s="2">
        <v>0</v>
      </c>
      <c r="AH79" s="2" t="s">
        <v>486</v>
      </c>
      <c r="AI79" s="4">
        <v>29400</v>
      </c>
      <c r="AJ79" s="2">
        <v>0</v>
      </c>
      <c r="AK79" s="2" t="s">
        <v>4</v>
      </c>
    </row>
    <row r="80" spans="1:37" x14ac:dyDescent="0.2">
      <c r="A80" s="12">
        <v>79</v>
      </c>
      <c r="B80" s="2" t="s">
        <v>1295</v>
      </c>
      <c r="C80" s="2" t="s">
        <v>1547</v>
      </c>
      <c r="D80" s="2">
        <v>45658</v>
      </c>
      <c r="E80" s="2" t="s">
        <v>1106</v>
      </c>
      <c r="F80" s="2" t="s">
        <v>632</v>
      </c>
      <c r="G80" s="2">
        <v>45688</v>
      </c>
      <c r="H80" s="2">
        <v>46052</v>
      </c>
      <c r="I80" s="2" t="s">
        <v>1548</v>
      </c>
      <c r="J80" s="2">
        <v>4220186828662</v>
      </c>
      <c r="K80" s="2" t="s">
        <v>250</v>
      </c>
      <c r="L80" s="2" t="s">
        <v>633</v>
      </c>
      <c r="M80" s="2" t="s">
        <v>634</v>
      </c>
      <c r="N80" s="2" t="s">
        <v>635</v>
      </c>
      <c r="O80" s="2" t="s">
        <v>1547</v>
      </c>
      <c r="P80" s="2" t="s">
        <v>1143</v>
      </c>
      <c r="Q80" s="2" t="s">
        <v>1549</v>
      </c>
      <c r="R80" s="2" t="s">
        <v>1550</v>
      </c>
      <c r="S80" s="2">
        <v>44602</v>
      </c>
      <c r="T80" s="2">
        <v>46058</v>
      </c>
      <c r="U80" s="2">
        <v>1178000</v>
      </c>
      <c r="V80" s="2">
        <v>20</v>
      </c>
      <c r="W80" s="2">
        <v>235600</v>
      </c>
      <c r="X80" s="2">
        <v>942400</v>
      </c>
      <c r="Y80" s="2">
        <v>2.5</v>
      </c>
      <c r="Z80" s="2">
        <v>23560</v>
      </c>
      <c r="AA80" s="2"/>
      <c r="AB80" s="2"/>
      <c r="AC80" s="2" t="s">
        <v>1301</v>
      </c>
      <c r="AD80" s="2">
        <v>1141072794</v>
      </c>
      <c r="AE80" s="2">
        <v>45720</v>
      </c>
      <c r="AF80" s="2" t="s">
        <v>1113</v>
      </c>
      <c r="AG80" s="2">
        <v>0</v>
      </c>
      <c r="AH80" s="2" t="s">
        <v>632</v>
      </c>
      <c r="AI80" s="4">
        <v>23560</v>
      </c>
      <c r="AJ80" s="2">
        <v>0</v>
      </c>
      <c r="AK80" s="2" t="s">
        <v>4</v>
      </c>
    </row>
    <row r="81" spans="1:37" x14ac:dyDescent="0.2">
      <c r="A81" s="12">
        <v>80</v>
      </c>
      <c r="B81" s="2" t="s">
        <v>1295</v>
      </c>
      <c r="C81" s="2" t="s">
        <v>1551</v>
      </c>
      <c r="D81" s="2">
        <v>45658</v>
      </c>
      <c r="E81" s="2" t="s">
        <v>1106</v>
      </c>
      <c r="F81" s="2" t="s">
        <v>1050</v>
      </c>
      <c r="G81" s="2">
        <v>45688</v>
      </c>
      <c r="H81" s="2">
        <v>46052</v>
      </c>
      <c r="I81" s="2" t="s">
        <v>1552</v>
      </c>
      <c r="J81" s="2">
        <v>3710271660923</v>
      </c>
      <c r="K81" s="2" t="s">
        <v>1051</v>
      </c>
      <c r="L81" s="2" t="s">
        <v>1052</v>
      </c>
      <c r="M81" s="2" t="s">
        <v>1053</v>
      </c>
      <c r="N81" s="2" t="s">
        <v>1054</v>
      </c>
      <c r="O81" s="2" t="s">
        <v>1551</v>
      </c>
      <c r="P81" s="2" t="s">
        <v>1308</v>
      </c>
      <c r="Q81" s="2" t="s">
        <v>1553</v>
      </c>
      <c r="R81" s="2" t="s">
        <v>1554</v>
      </c>
      <c r="S81" s="2">
        <v>44593</v>
      </c>
      <c r="T81" s="2">
        <v>46423</v>
      </c>
      <c r="U81" s="2">
        <v>1117000</v>
      </c>
      <c r="V81" s="2">
        <v>20</v>
      </c>
      <c r="W81" s="2">
        <v>223400</v>
      </c>
      <c r="X81" s="2">
        <v>893600</v>
      </c>
      <c r="Y81" s="2">
        <v>1.75</v>
      </c>
      <c r="Z81" s="2">
        <v>15638</v>
      </c>
      <c r="AA81" s="2"/>
      <c r="AB81" s="2"/>
      <c r="AC81" s="2" t="s">
        <v>1301</v>
      </c>
      <c r="AD81" s="2">
        <v>1141072794</v>
      </c>
      <c r="AE81" s="2">
        <v>45720</v>
      </c>
      <c r="AF81" s="2" t="s">
        <v>1113</v>
      </c>
      <c r="AG81" s="2">
        <v>0</v>
      </c>
      <c r="AH81" s="2" t="s">
        <v>1050</v>
      </c>
      <c r="AI81" s="4">
        <v>15638</v>
      </c>
      <c r="AJ81" s="2">
        <v>0</v>
      </c>
      <c r="AK81" s="2" t="s">
        <v>4</v>
      </c>
    </row>
    <row r="82" spans="1:37" x14ac:dyDescent="0.2">
      <c r="A82" s="12">
        <v>81</v>
      </c>
      <c r="B82" s="2" t="s">
        <v>1295</v>
      </c>
      <c r="C82" s="2" t="s">
        <v>1555</v>
      </c>
      <c r="D82" s="2">
        <v>45658</v>
      </c>
      <c r="E82" s="2" t="s">
        <v>1106</v>
      </c>
      <c r="F82" s="2" t="s">
        <v>577</v>
      </c>
      <c r="G82" s="2">
        <v>45688</v>
      </c>
      <c r="H82" s="2">
        <v>46052</v>
      </c>
      <c r="I82" s="2" t="s">
        <v>1556</v>
      </c>
      <c r="J82" s="2">
        <v>3110467572557</v>
      </c>
      <c r="K82" s="2" t="s">
        <v>578</v>
      </c>
      <c r="L82" s="2" t="s">
        <v>579</v>
      </c>
      <c r="M82" s="2" t="s">
        <v>580</v>
      </c>
      <c r="N82" s="2" t="s">
        <v>581</v>
      </c>
      <c r="O82" s="2" t="s">
        <v>1555</v>
      </c>
      <c r="P82" s="2" t="s">
        <v>1109</v>
      </c>
      <c r="Q82" s="2" t="s">
        <v>1557</v>
      </c>
      <c r="R82" s="2" t="s">
        <v>1558</v>
      </c>
      <c r="S82" s="2">
        <v>44593</v>
      </c>
      <c r="T82" s="2">
        <v>46423</v>
      </c>
      <c r="U82" s="2">
        <v>1520000</v>
      </c>
      <c r="V82" s="2">
        <v>20</v>
      </c>
      <c r="W82" s="2">
        <v>304000</v>
      </c>
      <c r="X82" s="2">
        <v>1216000</v>
      </c>
      <c r="Y82" s="2">
        <v>2.5</v>
      </c>
      <c r="Z82" s="2">
        <v>30400</v>
      </c>
      <c r="AA82" s="2"/>
      <c r="AB82" s="2"/>
      <c r="AC82" s="2" t="s">
        <v>1301</v>
      </c>
      <c r="AD82" s="2">
        <v>1141072794</v>
      </c>
      <c r="AE82" s="2">
        <v>45720</v>
      </c>
      <c r="AF82" s="2" t="s">
        <v>1113</v>
      </c>
      <c r="AG82" s="2">
        <v>12</v>
      </c>
      <c r="AH82" s="2" t="s">
        <v>577</v>
      </c>
      <c r="AI82" s="4">
        <v>30400</v>
      </c>
      <c r="AJ82" s="2">
        <v>0</v>
      </c>
      <c r="AK82" s="2" t="s">
        <v>4</v>
      </c>
    </row>
    <row r="83" spans="1:37" x14ac:dyDescent="0.2">
      <c r="A83" s="12">
        <v>82</v>
      </c>
      <c r="B83" s="2" t="s">
        <v>1295</v>
      </c>
      <c r="C83" s="2" t="s">
        <v>1559</v>
      </c>
      <c r="D83" s="2">
        <v>45658</v>
      </c>
      <c r="E83" s="2" t="s">
        <v>1106</v>
      </c>
      <c r="F83" s="2" t="s">
        <v>556</v>
      </c>
      <c r="G83" s="2">
        <v>45688</v>
      </c>
      <c r="H83" s="2">
        <v>46052</v>
      </c>
      <c r="I83" s="2" t="s">
        <v>1560</v>
      </c>
      <c r="J83" s="2">
        <v>3520168808235</v>
      </c>
      <c r="K83" s="2" t="s">
        <v>10</v>
      </c>
      <c r="L83" s="2" t="s">
        <v>557</v>
      </c>
      <c r="M83" s="2" t="s">
        <v>558</v>
      </c>
      <c r="N83" s="2" t="s">
        <v>559</v>
      </c>
      <c r="O83" s="2" t="s">
        <v>1559</v>
      </c>
      <c r="P83" s="2" t="s">
        <v>1109</v>
      </c>
      <c r="Q83" s="2" t="s">
        <v>1561</v>
      </c>
      <c r="R83" s="2" t="s">
        <v>1562</v>
      </c>
      <c r="S83" s="2">
        <v>44593</v>
      </c>
      <c r="T83" s="2">
        <v>46423</v>
      </c>
      <c r="U83" s="2">
        <v>1800000</v>
      </c>
      <c r="V83" s="2">
        <v>20</v>
      </c>
      <c r="W83" s="2">
        <v>360000</v>
      </c>
      <c r="X83" s="2">
        <v>1440000</v>
      </c>
      <c r="Y83" s="2">
        <v>2.5</v>
      </c>
      <c r="Z83" s="2">
        <v>36000</v>
      </c>
      <c r="AA83" s="2"/>
      <c r="AB83" s="2"/>
      <c r="AC83" s="2" t="s">
        <v>1301</v>
      </c>
      <c r="AD83" s="2">
        <v>1141072794</v>
      </c>
      <c r="AE83" s="2">
        <v>45720</v>
      </c>
      <c r="AF83" s="2" t="s">
        <v>1113</v>
      </c>
      <c r="AG83" s="2">
        <v>12</v>
      </c>
      <c r="AH83" s="2" t="s">
        <v>556</v>
      </c>
      <c r="AI83" s="4">
        <v>36000</v>
      </c>
      <c r="AJ83" s="2">
        <v>0</v>
      </c>
      <c r="AK83" s="2" t="s">
        <v>4</v>
      </c>
    </row>
    <row r="84" spans="1:37" x14ac:dyDescent="0.2">
      <c r="A84" s="12">
        <v>83</v>
      </c>
      <c r="B84" s="2" t="s">
        <v>1295</v>
      </c>
      <c r="C84" s="2" t="s">
        <v>1563</v>
      </c>
      <c r="D84" s="2">
        <v>45658</v>
      </c>
      <c r="E84" s="2" t="s">
        <v>1106</v>
      </c>
      <c r="F84" s="2" t="s">
        <v>590</v>
      </c>
      <c r="G84" s="2">
        <v>45688</v>
      </c>
      <c r="H84" s="2">
        <v>46052</v>
      </c>
      <c r="I84" s="2" t="s">
        <v>1564</v>
      </c>
      <c r="J84" s="2">
        <v>3520120676574</v>
      </c>
      <c r="K84" s="2" t="s">
        <v>433</v>
      </c>
      <c r="L84" s="2" t="s">
        <v>591</v>
      </c>
      <c r="M84" s="2" t="s">
        <v>592</v>
      </c>
      <c r="N84" s="2" t="s">
        <v>593</v>
      </c>
      <c r="O84" s="2" t="s">
        <v>1563</v>
      </c>
      <c r="P84" s="2" t="s">
        <v>1109</v>
      </c>
      <c r="Q84" s="2" t="s">
        <v>1116</v>
      </c>
      <c r="R84" s="2" t="s">
        <v>1565</v>
      </c>
      <c r="S84" s="2">
        <v>44593</v>
      </c>
      <c r="T84" s="2">
        <v>46423</v>
      </c>
      <c r="U84" s="2">
        <v>1770000</v>
      </c>
      <c r="V84" s="2">
        <v>20</v>
      </c>
      <c r="W84" s="2">
        <v>354000</v>
      </c>
      <c r="X84" s="2">
        <v>1416000</v>
      </c>
      <c r="Y84" s="2">
        <v>2.5</v>
      </c>
      <c r="Z84" s="2">
        <v>35400</v>
      </c>
      <c r="AA84" s="2"/>
      <c r="AB84" s="2"/>
      <c r="AC84" s="2" t="s">
        <v>1301</v>
      </c>
      <c r="AD84" s="2">
        <v>1141072794</v>
      </c>
      <c r="AE84" s="2">
        <v>45720</v>
      </c>
      <c r="AF84" s="2" t="s">
        <v>1113</v>
      </c>
      <c r="AG84" s="2">
        <v>0</v>
      </c>
      <c r="AH84" s="2" t="s">
        <v>590</v>
      </c>
      <c r="AI84" s="4">
        <v>35400</v>
      </c>
      <c r="AJ84" s="2">
        <v>0</v>
      </c>
      <c r="AK84" s="2" t="s">
        <v>4</v>
      </c>
    </row>
    <row r="85" spans="1:37" x14ac:dyDescent="0.2">
      <c r="A85" s="12">
        <v>84</v>
      </c>
      <c r="B85" s="2" t="s">
        <v>1295</v>
      </c>
      <c r="C85" s="2" t="s">
        <v>1566</v>
      </c>
      <c r="D85" s="2">
        <v>45658</v>
      </c>
      <c r="E85" s="2" t="s">
        <v>1106</v>
      </c>
      <c r="F85" s="2" t="s">
        <v>623</v>
      </c>
      <c r="G85" s="2">
        <v>45688</v>
      </c>
      <c r="H85" s="2">
        <v>46052</v>
      </c>
      <c r="I85" s="2" t="s">
        <v>1283</v>
      </c>
      <c r="J85" s="2">
        <v>3620290985219</v>
      </c>
      <c r="K85" s="2" t="s">
        <v>624</v>
      </c>
      <c r="L85" s="2" t="s">
        <v>625</v>
      </c>
      <c r="M85" s="2" t="s">
        <v>626</v>
      </c>
      <c r="N85" s="2" t="s">
        <v>627</v>
      </c>
      <c r="O85" s="2" t="s">
        <v>1566</v>
      </c>
      <c r="P85" s="2" t="s">
        <v>1109</v>
      </c>
      <c r="Q85" s="2" t="s">
        <v>1139</v>
      </c>
      <c r="R85" s="2" t="s">
        <v>1567</v>
      </c>
      <c r="S85" s="2">
        <v>44593</v>
      </c>
      <c r="T85" s="2">
        <v>46423</v>
      </c>
      <c r="U85" s="2">
        <v>4216500</v>
      </c>
      <c r="V85" s="2">
        <v>20</v>
      </c>
      <c r="W85" s="2">
        <v>843300</v>
      </c>
      <c r="X85" s="2">
        <v>3373200</v>
      </c>
      <c r="Y85" s="2">
        <v>1.5</v>
      </c>
      <c r="Z85" s="2">
        <v>50598</v>
      </c>
      <c r="AA85" s="2"/>
      <c r="AB85" s="2"/>
      <c r="AC85" s="2" t="s">
        <v>1301</v>
      </c>
      <c r="AD85" s="2">
        <v>1141072794</v>
      </c>
      <c r="AE85" s="2">
        <v>45720</v>
      </c>
      <c r="AF85" s="2" t="s">
        <v>1113</v>
      </c>
      <c r="AG85" s="2">
        <v>12</v>
      </c>
      <c r="AH85" s="2" t="s">
        <v>623</v>
      </c>
      <c r="AI85" s="4">
        <v>50598</v>
      </c>
      <c r="AJ85" s="2">
        <v>0</v>
      </c>
      <c r="AK85" s="2" t="s">
        <v>4</v>
      </c>
    </row>
    <row r="86" spans="1:37" x14ac:dyDescent="0.2">
      <c r="A86" s="12">
        <v>85</v>
      </c>
      <c r="B86" s="2" t="s">
        <v>1295</v>
      </c>
      <c r="C86" s="2" t="s">
        <v>1568</v>
      </c>
      <c r="D86" s="2">
        <v>45658</v>
      </c>
      <c r="E86" s="2" t="s">
        <v>1106</v>
      </c>
      <c r="F86" s="2" t="s">
        <v>607</v>
      </c>
      <c r="G86" s="2">
        <v>45688</v>
      </c>
      <c r="H86" s="2">
        <v>46052</v>
      </c>
      <c r="I86" s="2" t="s">
        <v>1569</v>
      </c>
      <c r="J86" s="2">
        <v>3310239270979</v>
      </c>
      <c r="K86" s="2" t="s">
        <v>17</v>
      </c>
      <c r="L86" s="2" t="s">
        <v>608</v>
      </c>
      <c r="M86" s="2" t="s">
        <v>609</v>
      </c>
      <c r="N86" s="2" t="s">
        <v>610</v>
      </c>
      <c r="O86" s="2" t="s">
        <v>1568</v>
      </c>
      <c r="P86" s="2" t="s">
        <v>1109</v>
      </c>
      <c r="Q86" s="2" t="s">
        <v>1129</v>
      </c>
      <c r="R86" s="2" t="s">
        <v>1570</v>
      </c>
      <c r="S86" s="2">
        <v>44593</v>
      </c>
      <c r="T86" s="2">
        <v>46423</v>
      </c>
      <c r="U86" s="2">
        <v>2275000</v>
      </c>
      <c r="V86" s="2">
        <v>20</v>
      </c>
      <c r="W86" s="2">
        <v>455000</v>
      </c>
      <c r="X86" s="2">
        <v>1820000</v>
      </c>
      <c r="Y86" s="2">
        <v>2.5</v>
      </c>
      <c r="Z86" s="2">
        <v>45500</v>
      </c>
      <c r="AA86" s="2"/>
      <c r="AB86" s="2"/>
      <c r="AC86" s="2" t="s">
        <v>1301</v>
      </c>
      <c r="AD86" s="2">
        <v>1141072794</v>
      </c>
      <c r="AE86" s="2">
        <v>45720</v>
      </c>
      <c r="AF86" s="2" t="s">
        <v>1113</v>
      </c>
      <c r="AG86" s="2">
        <v>0</v>
      </c>
      <c r="AH86" s="2" t="s">
        <v>607</v>
      </c>
      <c r="AI86" s="4">
        <v>45500</v>
      </c>
      <c r="AJ86" s="2">
        <v>0</v>
      </c>
      <c r="AK86" s="2" t="s">
        <v>4</v>
      </c>
    </row>
    <row r="87" spans="1:37" x14ac:dyDescent="0.2">
      <c r="A87" s="12">
        <v>86</v>
      </c>
      <c r="B87" s="2" t="s">
        <v>1295</v>
      </c>
      <c r="C87" s="2" t="s">
        <v>1571</v>
      </c>
      <c r="D87" s="2">
        <v>45658</v>
      </c>
      <c r="E87" s="2" t="s">
        <v>1106</v>
      </c>
      <c r="F87" s="2" t="s">
        <v>598</v>
      </c>
      <c r="G87" s="2">
        <v>45688</v>
      </c>
      <c r="H87" s="2">
        <v>46052</v>
      </c>
      <c r="I87" s="2" t="s">
        <v>1572</v>
      </c>
      <c r="J87" s="2">
        <v>3520257975433</v>
      </c>
      <c r="K87" s="2" t="s">
        <v>13</v>
      </c>
      <c r="L87" s="2" t="s">
        <v>599</v>
      </c>
      <c r="M87" s="2" t="s">
        <v>600</v>
      </c>
      <c r="N87" s="2" t="s">
        <v>601</v>
      </c>
      <c r="O87" s="2" t="s">
        <v>1571</v>
      </c>
      <c r="P87" s="2" t="s">
        <v>1109</v>
      </c>
      <c r="Q87" s="2" t="s">
        <v>1116</v>
      </c>
      <c r="R87" s="2" t="s">
        <v>1573</v>
      </c>
      <c r="S87" s="2">
        <v>44593</v>
      </c>
      <c r="T87" s="2">
        <v>46423</v>
      </c>
      <c r="U87" s="2">
        <v>4350000</v>
      </c>
      <c r="V87" s="2">
        <v>20</v>
      </c>
      <c r="W87" s="2">
        <v>870000</v>
      </c>
      <c r="X87" s="2">
        <v>3480000</v>
      </c>
      <c r="Y87" s="2">
        <v>1.5</v>
      </c>
      <c r="Z87" s="2">
        <v>52200</v>
      </c>
      <c r="AA87" s="2"/>
      <c r="AB87" s="2"/>
      <c r="AC87" s="2" t="s">
        <v>1301</v>
      </c>
      <c r="AD87" s="2">
        <v>1141072794</v>
      </c>
      <c r="AE87" s="2">
        <v>45720</v>
      </c>
      <c r="AF87" s="2" t="s">
        <v>1113</v>
      </c>
      <c r="AG87" s="2">
        <v>42</v>
      </c>
      <c r="AH87" s="2" t="s">
        <v>598</v>
      </c>
      <c r="AI87" s="4">
        <v>52200</v>
      </c>
      <c r="AJ87" s="2">
        <v>0</v>
      </c>
      <c r="AK87" s="2" t="s">
        <v>4</v>
      </c>
    </row>
    <row r="88" spans="1:37" x14ac:dyDescent="0.2">
      <c r="A88" s="12">
        <v>87</v>
      </c>
      <c r="B88" s="2" t="s">
        <v>1295</v>
      </c>
      <c r="C88" s="2" t="s">
        <v>1574</v>
      </c>
      <c r="D88" s="2">
        <v>45658</v>
      </c>
      <c r="E88" s="2" t="s">
        <v>1106</v>
      </c>
      <c r="F88" s="2" t="s">
        <v>1059</v>
      </c>
      <c r="G88" s="2">
        <v>45688</v>
      </c>
      <c r="H88" s="2">
        <v>46052</v>
      </c>
      <c r="I88" s="2" t="s">
        <v>1575</v>
      </c>
      <c r="J88" s="2">
        <v>3540223878387</v>
      </c>
      <c r="K88" s="2" t="s">
        <v>29</v>
      </c>
      <c r="L88" s="2" t="s">
        <v>1060</v>
      </c>
      <c r="M88" s="2" t="s">
        <v>1061</v>
      </c>
      <c r="N88" s="2" t="s">
        <v>1062</v>
      </c>
      <c r="O88" s="2" t="s">
        <v>1574</v>
      </c>
      <c r="P88" s="2" t="s">
        <v>1109</v>
      </c>
      <c r="Q88" s="2" t="s">
        <v>1116</v>
      </c>
      <c r="R88" s="2" t="s">
        <v>1576</v>
      </c>
      <c r="S88" s="2">
        <v>44593</v>
      </c>
      <c r="T88" s="2">
        <v>46423</v>
      </c>
      <c r="U88" s="2">
        <v>1117000</v>
      </c>
      <c r="V88" s="2">
        <v>20</v>
      </c>
      <c r="W88" s="2">
        <v>223400</v>
      </c>
      <c r="X88" s="2">
        <v>893600</v>
      </c>
      <c r="Y88" s="2">
        <v>1.75</v>
      </c>
      <c r="Z88" s="2">
        <v>15638</v>
      </c>
      <c r="AA88" s="2"/>
      <c r="AB88" s="2"/>
      <c r="AC88" s="2" t="s">
        <v>1301</v>
      </c>
      <c r="AD88" s="2">
        <v>1141072794</v>
      </c>
      <c r="AE88" s="2">
        <v>45720</v>
      </c>
      <c r="AF88" s="2" t="s">
        <v>1113</v>
      </c>
      <c r="AG88" s="2">
        <v>0</v>
      </c>
      <c r="AH88" s="2" t="s">
        <v>1059</v>
      </c>
      <c r="AI88" s="4">
        <v>15638</v>
      </c>
      <c r="AJ88" s="2">
        <v>0</v>
      </c>
      <c r="AK88" s="2" t="s">
        <v>4</v>
      </c>
    </row>
    <row r="89" spans="1:37" x14ac:dyDescent="0.2">
      <c r="A89" s="12">
        <v>88</v>
      </c>
      <c r="B89" s="2" t="s">
        <v>1295</v>
      </c>
      <c r="C89" s="2" t="s">
        <v>1577</v>
      </c>
      <c r="D89" s="2">
        <v>45658</v>
      </c>
      <c r="E89" s="2" t="s">
        <v>1106</v>
      </c>
      <c r="F89" s="2" t="s">
        <v>602</v>
      </c>
      <c r="G89" s="2">
        <v>45688</v>
      </c>
      <c r="H89" s="2">
        <v>46052</v>
      </c>
      <c r="I89" s="2" t="s">
        <v>1578</v>
      </c>
      <c r="J89" s="2">
        <v>3520114100893</v>
      </c>
      <c r="K89" s="2" t="s">
        <v>603</v>
      </c>
      <c r="L89" s="2" t="s">
        <v>604</v>
      </c>
      <c r="M89" s="2" t="s">
        <v>605</v>
      </c>
      <c r="N89" s="2" t="s">
        <v>606</v>
      </c>
      <c r="O89" s="2" t="s">
        <v>1577</v>
      </c>
      <c r="P89" s="2" t="s">
        <v>1109</v>
      </c>
      <c r="Q89" s="2" t="s">
        <v>1116</v>
      </c>
      <c r="R89" s="2" t="s">
        <v>1579</v>
      </c>
      <c r="S89" s="2">
        <v>44593</v>
      </c>
      <c r="T89" s="2">
        <v>46423</v>
      </c>
      <c r="U89" s="2">
        <v>4238000</v>
      </c>
      <c r="V89" s="2">
        <v>20</v>
      </c>
      <c r="W89" s="2">
        <v>847600</v>
      </c>
      <c r="X89" s="2">
        <v>3390400</v>
      </c>
      <c r="Y89" s="2">
        <v>1.5</v>
      </c>
      <c r="Z89" s="2">
        <v>50856</v>
      </c>
      <c r="AA89" s="2"/>
      <c r="AB89" s="2"/>
      <c r="AC89" s="2" t="s">
        <v>1301</v>
      </c>
      <c r="AD89" s="2">
        <v>1141072794</v>
      </c>
      <c r="AE89" s="2">
        <v>45720</v>
      </c>
      <c r="AF89" s="2" t="s">
        <v>1113</v>
      </c>
      <c r="AG89" s="2">
        <v>42</v>
      </c>
      <c r="AH89" s="2" t="s">
        <v>602</v>
      </c>
      <c r="AI89" s="4">
        <v>50856</v>
      </c>
      <c r="AJ89" s="2">
        <v>0</v>
      </c>
      <c r="AK89" s="2" t="s">
        <v>4</v>
      </c>
    </row>
    <row r="90" spans="1:37" x14ac:dyDescent="0.2">
      <c r="A90" s="12">
        <v>89</v>
      </c>
      <c r="B90" s="2" t="s">
        <v>1295</v>
      </c>
      <c r="C90" s="2" t="s">
        <v>1580</v>
      </c>
      <c r="D90" s="2">
        <v>45658</v>
      </c>
      <c r="E90" s="2" t="s">
        <v>1106</v>
      </c>
      <c r="F90" s="2" t="s">
        <v>569</v>
      </c>
      <c r="G90" s="2">
        <v>45688</v>
      </c>
      <c r="H90" s="2">
        <v>46052</v>
      </c>
      <c r="I90" s="2" t="s">
        <v>1581</v>
      </c>
      <c r="J90" s="2">
        <v>3520236398964</v>
      </c>
      <c r="K90" s="2" t="s">
        <v>250</v>
      </c>
      <c r="L90" s="2" t="s">
        <v>570</v>
      </c>
      <c r="M90" s="2" t="s">
        <v>571</v>
      </c>
      <c r="N90" s="2" t="s">
        <v>572</v>
      </c>
      <c r="O90" s="2" t="s">
        <v>1580</v>
      </c>
      <c r="P90" s="2" t="s">
        <v>1109</v>
      </c>
      <c r="Q90" s="2" t="s">
        <v>1116</v>
      </c>
      <c r="R90" s="2" t="s">
        <v>1582</v>
      </c>
      <c r="S90" s="2">
        <v>44594</v>
      </c>
      <c r="T90" s="2">
        <v>46423</v>
      </c>
      <c r="U90" s="2">
        <v>1178000</v>
      </c>
      <c r="V90" s="2">
        <v>20</v>
      </c>
      <c r="W90" s="2">
        <v>235600</v>
      </c>
      <c r="X90" s="2">
        <v>942400</v>
      </c>
      <c r="Y90" s="2">
        <v>1.75</v>
      </c>
      <c r="Z90" s="2">
        <v>16492</v>
      </c>
      <c r="AA90" s="2"/>
      <c r="AB90" s="2"/>
      <c r="AC90" s="2" t="s">
        <v>1301</v>
      </c>
      <c r="AD90" s="2">
        <v>1141072794</v>
      </c>
      <c r="AE90" s="2">
        <v>45720</v>
      </c>
      <c r="AF90" s="2" t="s">
        <v>1113</v>
      </c>
      <c r="AG90" s="2">
        <v>12</v>
      </c>
      <c r="AH90" s="2" t="s">
        <v>569</v>
      </c>
      <c r="AI90" s="4">
        <v>16492</v>
      </c>
      <c r="AJ90" s="2">
        <v>0</v>
      </c>
      <c r="AK90" s="2" t="s">
        <v>4</v>
      </c>
    </row>
    <row r="91" spans="1:37" x14ac:dyDescent="0.2">
      <c r="A91" s="12">
        <v>90</v>
      </c>
      <c r="B91" s="2" t="s">
        <v>1295</v>
      </c>
      <c r="C91" s="2" t="s">
        <v>1583</v>
      </c>
      <c r="D91" s="2">
        <v>45658</v>
      </c>
      <c r="E91" s="2" t="s">
        <v>1106</v>
      </c>
      <c r="F91" s="2" t="s">
        <v>481</v>
      </c>
      <c r="G91" s="2">
        <v>45678</v>
      </c>
      <c r="H91" s="2">
        <v>46042</v>
      </c>
      <c r="I91" s="2" t="s">
        <v>1584</v>
      </c>
      <c r="J91" s="2">
        <v>5440143291547</v>
      </c>
      <c r="K91" s="2" t="s">
        <v>482</v>
      </c>
      <c r="L91" s="2" t="s">
        <v>483</v>
      </c>
      <c r="M91" s="2" t="s">
        <v>484</v>
      </c>
      <c r="N91" s="2" t="s">
        <v>485</v>
      </c>
      <c r="O91" s="2" t="s">
        <v>1583</v>
      </c>
      <c r="P91" s="2" t="s">
        <v>1143</v>
      </c>
      <c r="Q91" s="2" t="s">
        <v>1585</v>
      </c>
      <c r="R91" s="2" t="s">
        <v>1586</v>
      </c>
      <c r="S91" s="2">
        <v>44593</v>
      </c>
      <c r="T91" s="2">
        <v>46423</v>
      </c>
      <c r="U91" s="2">
        <v>1178000</v>
      </c>
      <c r="V91" s="2">
        <v>20</v>
      </c>
      <c r="W91" s="2">
        <v>235600</v>
      </c>
      <c r="X91" s="2">
        <v>942400</v>
      </c>
      <c r="Y91" s="2">
        <v>1.75</v>
      </c>
      <c r="Z91" s="2">
        <v>16492</v>
      </c>
      <c r="AA91" s="2"/>
      <c r="AB91" s="2"/>
      <c r="AC91" s="2" t="s">
        <v>1301</v>
      </c>
      <c r="AD91" s="2">
        <v>1141072794</v>
      </c>
      <c r="AE91" s="2">
        <v>45720</v>
      </c>
      <c r="AF91" s="2" t="s">
        <v>1113</v>
      </c>
      <c r="AG91" s="2">
        <v>0</v>
      </c>
      <c r="AH91" s="2" t="s">
        <v>481</v>
      </c>
      <c r="AI91" s="4">
        <v>16492</v>
      </c>
      <c r="AJ91" s="2">
        <v>0</v>
      </c>
      <c r="AK91" s="2" t="s">
        <v>4</v>
      </c>
    </row>
    <row r="92" spans="1:37" x14ac:dyDescent="0.2">
      <c r="A92" s="12">
        <v>91</v>
      </c>
      <c r="B92" s="2" t="s">
        <v>1295</v>
      </c>
      <c r="C92" s="2" t="s">
        <v>1587</v>
      </c>
      <c r="D92" s="2">
        <v>45658</v>
      </c>
      <c r="E92" s="2" t="s">
        <v>1106</v>
      </c>
      <c r="F92" s="2" t="s">
        <v>641</v>
      </c>
      <c r="G92" s="2">
        <v>45688</v>
      </c>
      <c r="H92" s="2">
        <v>46052</v>
      </c>
      <c r="I92" s="2" t="s">
        <v>1588</v>
      </c>
      <c r="J92" s="2">
        <v>4130827326327</v>
      </c>
      <c r="K92" s="2" t="s">
        <v>642</v>
      </c>
      <c r="L92" s="2" t="s">
        <v>643</v>
      </c>
      <c r="M92" s="2" t="s">
        <v>644</v>
      </c>
      <c r="N92" s="2" t="s">
        <v>645</v>
      </c>
      <c r="O92" s="2" t="s">
        <v>1587</v>
      </c>
      <c r="P92" s="2" t="s">
        <v>1143</v>
      </c>
      <c r="Q92" s="2" t="s">
        <v>1589</v>
      </c>
      <c r="R92" s="2" t="s">
        <v>1590</v>
      </c>
      <c r="S92" s="2">
        <v>44594</v>
      </c>
      <c r="T92" s="2">
        <v>47154</v>
      </c>
      <c r="U92" s="2">
        <v>1000000</v>
      </c>
      <c r="V92" s="2">
        <v>20</v>
      </c>
      <c r="W92" s="2">
        <v>200000</v>
      </c>
      <c r="X92" s="2">
        <v>800000</v>
      </c>
      <c r="Y92" s="2">
        <v>1.75</v>
      </c>
      <c r="Z92" s="2">
        <v>14000</v>
      </c>
      <c r="AA92" s="2"/>
      <c r="AB92" s="2"/>
      <c r="AC92" s="2" t="s">
        <v>1301</v>
      </c>
      <c r="AD92" s="2">
        <v>1141072794</v>
      </c>
      <c r="AE92" s="2">
        <v>45720</v>
      </c>
      <c r="AF92" s="2" t="s">
        <v>1113</v>
      </c>
      <c r="AG92" s="2">
        <v>12</v>
      </c>
      <c r="AH92" s="2" t="s">
        <v>641</v>
      </c>
      <c r="AI92" s="4">
        <v>14000</v>
      </c>
      <c r="AJ92" s="2">
        <v>0</v>
      </c>
      <c r="AK92" s="2" t="s">
        <v>4</v>
      </c>
    </row>
    <row r="93" spans="1:37" x14ac:dyDescent="0.2">
      <c r="A93" s="12">
        <v>92</v>
      </c>
      <c r="B93" s="2" t="s">
        <v>1295</v>
      </c>
      <c r="C93" s="2" t="s">
        <v>1591</v>
      </c>
      <c r="D93" s="2">
        <v>45658</v>
      </c>
      <c r="E93" s="2" t="s">
        <v>1106</v>
      </c>
      <c r="F93" s="2" t="s">
        <v>619</v>
      </c>
      <c r="G93" s="2">
        <v>45688</v>
      </c>
      <c r="H93" s="2">
        <v>46052</v>
      </c>
      <c r="I93" s="2" t="s">
        <v>1592</v>
      </c>
      <c r="J93" s="2">
        <v>3330260762415</v>
      </c>
      <c r="K93" s="2" t="s">
        <v>530</v>
      </c>
      <c r="L93" s="2" t="s">
        <v>620</v>
      </c>
      <c r="M93" s="2" t="s">
        <v>621</v>
      </c>
      <c r="N93" s="2" t="s">
        <v>622</v>
      </c>
      <c r="O93" s="2" t="s">
        <v>1591</v>
      </c>
      <c r="P93" s="2" t="s">
        <v>1109</v>
      </c>
      <c r="Q93" s="2" t="s">
        <v>1116</v>
      </c>
      <c r="R93" s="2" t="s">
        <v>1593</v>
      </c>
      <c r="S93" s="2">
        <v>44593</v>
      </c>
      <c r="T93" s="2">
        <v>46423</v>
      </c>
      <c r="U93" s="2">
        <v>2600000</v>
      </c>
      <c r="V93" s="2">
        <v>20</v>
      </c>
      <c r="W93" s="2">
        <v>520000</v>
      </c>
      <c r="X93" s="2">
        <v>2080000</v>
      </c>
      <c r="Y93" s="2">
        <v>1.75</v>
      </c>
      <c r="Z93" s="2">
        <v>36400</v>
      </c>
      <c r="AA93" s="2"/>
      <c r="AB93" s="2"/>
      <c r="AC93" s="2" t="s">
        <v>1301</v>
      </c>
      <c r="AD93" s="2">
        <v>1141072794</v>
      </c>
      <c r="AE93" s="2">
        <v>45720</v>
      </c>
      <c r="AF93" s="2" t="s">
        <v>1113</v>
      </c>
      <c r="AG93" s="2">
        <v>0</v>
      </c>
      <c r="AH93" s="2" t="s">
        <v>619</v>
      </c>
      <c r="AI93" s="4">
        <v>36400</v>
      </c>
      <c r="AJ93" s="2">
        <v>0</v>
      </c>
      <c r="AK93" s="2" t="s">
        <v>4</v>
      </c>
    </row>
    <row r="94" spans="1:37" x14ac:dyDescent="0.2">
      <c r="A94" s="12">
        <v>93</v>
      </c>
      <c r="B94" s="2" t="s">
        <v>1295</v>
      </c>
      <c r="C94" s="2" t="s">
        <v>1594</v>
      </c>
      <c r="D94" s="2">
        <v>45658</v>
      </c>
      <c r="E94" s="2" t="s">
        <v>1106</v>
      </c>
      <c r="F94" s="2" t="s">
        <v>499</v>
      </c>
      <c r="G94" s="2">
        <v>45682</v>
      </c>
      <c r="H94" s="2">
        <v>46046</v>
      </c>
      <c r="I94" s="2" t="s">
        <v>1595</v>
      </c>
      <c r="J94" s="2">
        <v>3840485300001</v>
      </c>
      <c r="K94" s="2" t="s">
        <v>8</v>
      </c>
      <c r="L94" s="2" t="s">
        <v>500</v>
      </c>
      <c r="M94" s="2" t="s">
        <v>501</v>
      </c>
      <c r="N94" s="2" t="s">
        <v>502</v>
      </c>
      <c r="O94" s="2" t="s">
        <v>1594</v>
      </c>
      <c r="P94" s="2" t="s">
        <v>1109</v>
      </c>
      <c r="Q94" s="2" t="s">
        <v>1596</v>
      </c>
      <c r="R94" s="2" t="s">
        <v>1597</v>
      </c>
      <c r="S94" s="2">
        <v>44593</v>
      </c>
      <c r="T94" s="2">
        <v>46423</v>
      </c>
      <c r="U94" s="2">
        <v>1546000</v>
      </c>
      <c r="V94" s="2">
        <v>20</v>
      </c>
      <c r="W94" s="2">
        <v>309200</v>
      </c>
      <c r="X94" s="2">
        <v>1236800</v>
      </c>
      <c r="Y94" s="2">
        <v>1.75</v>
      </c>
      <c r="Z94" s="2">
        <v>21644</v>
      </c>
      <c r="AA94" s="2"/>
      <c r="AB94" s="2"/>
      <c r="AC94" s="2" t="s">
        <v>1301</v>
      </c>
      <c r="AD94" s="2">
        <v>1141072794</v>
      </c>
      <c r="AE94" s="2">
        <v>45720</v>
      </c>
      <c r="AF94" s="2" t="s">
        <v>1113</v>
      </c>
      <c r="AG94" s="2">
        <v>12</v>
      </c>
      <c r="AH94" s="2" t="s">
        <v>499</v>
      </c>
      <c r="AI94" s="4">
        <v>21644</v>
      </c>
      <c r="AJ94" s="2">
        <v>0</v>
      </c>
      <c r="AK94" s="2" t="s">
        <v>4</v>
      </c>
    </row>
    <row r="95" spans="1:37" x14ac:dyDescent="0.2">
      <c r="A95" s="12">
        <v>94</v>
      </c>
      <c r="B95" s="2" t="s">
        <v>1295</v>
      </c>
      <c r="C95" s="2" t="s">
        <v>1598</v>
      </c>
      <c r="D95" s="2">
        <v>45658</v>
      </c>
      <c r="E95" s="2" t="s">
        <v>1106</v>
      </c>
      <c r="F95" s="2" t="s">
        <v>573</v>
      </c>
      <c r="G95" s="2">
        <v>45688</v>
      </c>
      <c r="H95" s="2">
        <v>46052</v>
      </c>
      <c r="I95" s="2" t="s">
        <v>1599</v>
      </c>
      <c r="J95" s="2">
        <v>3520113706967</v>
      </c>
      <c r="K95" s="2" t="s">
        <v>323</v>
      </c>
      <c r="L95" s="2" t="s">
        <v>574</v>
      </c>
      <c r="M95" s="2" t="s">
        <v>575</v>
      </c>
      <c r="N95" s="2" t="s">
        <v>576</v>
      </c>
      <c r="O95" s="2" t="s">
        <v>1598</v>
      </c>
      <c r="P95" s="2" t="s">
        <v>1109</v>
      </c>
      <c r="Q95" s="2" t="s">
        <v>1116</v>
      </c>
      <c r="R95" s="2" t="s">
        <v>1600</v>
      </c>
      <c r="S95" s="2">
        <v>44593</v>
      </c>
      <c r="T95" s="2">
        <v>46788</v>
      </c>
      <c r="U95" s="2">
        <v>1877000</v>
      </c>
      <c r="V95" s="2">
        <v>20</v>
      </c>
      <c r="W95" s="2">
        <v>375400</v>
      </c>
      <c r="X95" s="2">
        <v>1501600</v>
      </c>
      <c r="Y95" s="2">
        <v>1.75</v>
      </c>
      <c r="Z95" s="2">
        <v>26278</v>
      </c>
      <c r="AA95" s="2"/>
      <c r="AB95" s="2"/>
      <c r="AC95" s="2" t="s">
        <v>1301</v>
      </c>
      <c r="AD95" s="2">
        <v>1141072794</v>
      </c>
      <c r="AE95" s="2">
        <v>45720</v>
      </c>
      <c r="AF95" s="2" t="s">
        <v>1113</v>
      </c>
      <c r="AG95" s="2">
        <v>12</v>
      </c>
      <c r="AH95" s="2" t="s">
        <v>573</v>
      </c>
      <c r="AI95" s="4">
        <v>26278</v>
      </c>
      <c r="AJ95" s="2">
        <v>0</v>
      </c>
      <c r="AK95" s="2" t="s">
        <v>4</v>
      </c>
    </row>
    <row r="96" spans="1:37" x14ac:dyDescent="0.2">
      <c r="A96" s="12">
        <v>95</v>
      </c>
      <c r="B96" s="2" t="s">
        <v>1295</v>
      </c>
      <c r="C96" s="2" t="s">
        <v>1601</v>
      </c>
      <c r="D96" s="2">
        <v>45658</v>
      </c>
      <c r="E96" s="2" t="s">
        <v>1106</v>
      </c>
      <c r="F96" s="2" t="s">
        <v>582</v>
      </c>
      <c r="G96" s="2">
        <v>45688</v>
      </c>
      <c r="H96" s="2">
        <v>46052</v>
      </c>
      <c r="I96" s="2" t="s">
        <v>1602</v>
      </c>
      <c r="J96" s="2">
        <v>3520262376561</v>
      </c>
      <c r="K96" s="2" t="s">
        <v>183</v>
      </c>
      <c r="L96" s="2" t="s">
        <v>583</v>
      </c>
      <c r="M96" s="2" t="s">
        <v>584</v>
      </c>
      <c r="N96" s="2" t="s">
        <v>585</v>
      </c>
      <c r="O96" s="2" t="s">
        <v>1601</v>
      </c>
      <c r="P96" s="2" t="s">
        <v>1109</v>
      </c>
      <c r="Q96" s="2" t="s">
        <v>1116</v>
      </c>
      <c r="R96" s="2" t="s">
        <v>1603</v>
      </c>
      <c r="S96" s="2">
        <v>44594</v>
      </c>
      <c r="T96" s="2">
        <v>47154</v>
      </c>
      <c r="U96" s="2">
        <v>1714000</v>
      </c>
      <c r="V96" s="2">
        <v>20</v>
      </c>
      <c r="W96" s="2">
        <v>342800</v>
      </c>
      <c r="X96" s="2">
        <v>1371200</v>
      </c>
      <c r="Y96" s="2">
        <v>1.75</v>
      </c>
      <c r="Z96" s="2">
        <v>23996</v>
      </c>
      <c r="AA96" s="2"/>
      <c r="AB96" s="2"/>
      <c r="AC96" s="2" t="s">
        <v>1301</v>
      </c>
      <c r="AD96" s="2">
        <v>1141072794</v>
      </c>
      <c r="AE96" s="2">
        <v>45720</v>
      </c>
      <c r="AF96" s="2" t="s">
        <v>1113</v>
      </c>
      <c r="AG96" s="2">
        <v>0</v>
      </c>
      <c r="AH96" s="2" t="s">
        <v>582</v>
      </c>
      <c r="AI96" s="4">
        <v>23996</v>
      </c>
      <c r="AJ96" s="2">
        <v>0</v>
      </c>
      <c r="AK96" s="2" t="s">
        <v>4</v>
      </c>
    </row>
    <row r="97" spans="1:37" x14ac:dyDescent="0.2">
      <c r="A97" s="12">
        <v>96</v>
      </c>
      <c r="B97" s="2" t="s">
        <v>1295</v>
      </c>
      <c r="C97" s="2" t="s">
        <v>1604</v>
      </c>
      <c r="D97" s="2">
        <v>45658</v>
      </c>
      <c r="E97" s="2" t="s">
        <v>1106</v>
      </c>
      <c r="F97" s="2" t="s">
        <v>552</v>
      </c>
      <c r="G97" s="2">
        <v>45688</v>
      </c>
      <c r="H97" s="2">
        <v>46052</v>
      </c>
      <c r="I97" s="2" t="s">
        <v>1605</v>
      </c>
      <c r="J97" s="2">
        <v>3520152983805</v>
      </c>
      <c r="K97" s="2" t="s">
        <v>250</v>
      </c>
      <c r="L97" s="2" t="s">
        <v>553</v>
      </c>
      <c r="M97" s="2" t="s">
        <v>554</v>
      </c>
      <c r="N97" s="2" t="s">
        <v>555</v>
      </c>
      <c r="O97" s="2" t="s">
        <v>1604</v>
      </c>
      <c r="P97" s="2" t="s">
        <v>1109</v>
      </c>
      <c r="Q97" s="2" t="s">
        <v>1116</v>
      </c>
      <c r="R97" s="2" t="s">
        <v>1606</v>
      </c>
      <c r="S97" s="2">
        <v>44594</v>
      </c>
      <c r="T97" s="2">
        <v>47154</v>
      </c>
      <c r="U97" s="2">
        <v>1178000</v>
      </c>
      <c r="V97" s="2">
        <v>20</v>
      </c>
      <c r="W97" s="2">
        <v>235600</v>
      </c>
      <c r="X97" s="2">
        <v>942400</v>
      </c>
      <c r="Y97" s="2">
        <v>1.75</v>
      </c>
      <c r="Z97" s="2">
        <v>16492</v>
      </c>
      <c r="AA97" s="2"/>
      <c r="AB97" s="2"/>
      <c r="AC97" s="2" t="s">
        <v>1301</v>
      </c>
      <c r="AD97" s="2">
        <v>1141072794</v>
      </c>
      <c r="AE97" s="2">
        <v>45720</v>
      </c>
      <c r="AF97" s="2" t="s">
        <v>1113</v>
      </c>
      <c r="AG97" s="2">
        <v>12</v>
      </c>
      <c r="AH97" s="2" t="s">
        <v>552</v>
      </c>
      <c r="AI97" s="4">
        <v>16492</v>
      </c>
      <c r="AJ97" s="2">
        <v>0</v>
      </c>
      <c r="AK97" s="2" t="s">
        <v>4</v>
      </c>
    </row>
    <row r="98" spans="1:37" x14ac:dyDescent="0.2">
      <c r="A98" s="12">
        <v>97</v>
      </c>
      <c r="B98" s="2" t="s">
        <v>1295</v>
      </c>
      <c r="C98" s="2" t="s">
        <v>1607</v>
      </c>
      <c r="D98" s="2">
        <v>45658</v>
      </c>
      <c r="E98" s="2" t="s">
        <v>1106</v>
      </c>
      <c r="F98" s="2" t="s">
        <v>615</v>
      </c>
      <c r="G98" s="2">
        <v>45688</v>
      </c>
      <c r="H98" s="2">
        <v>46052</v>
      </c>
      <c r="I98" s="2" t="s">
        <v>1608</v>
      </c>
      <c r="J98" s="2">
        <v>3520224584137</v>
      </c>
      <c r="K98" s="2" t="s">
        <v>187</v>
      </c>
      <c r="L98" s="2" t="s">
        <v>616</v>
      </c>
      <c r="M98" s="2" t="s">
        <v>617</v>
      </c>
      <c r="N98" s="2" t="s">
        <v>618</v>
      </c>
      <c r="O98" s="2" t="s">
        <v>1607</v>
      </c>
      <c r="P98" s="2" t="s">
        <v>1109</v>
      </c>
      <c r="Q98" s="2" t="s">
        <v>1609</v>
      </c>
      <c r="R98" s="2" t="s">
        <v>1610</v>
      </c>
      <c r="S98" s="2">
        <v>44593</v>
      </c>
      <c r="T98" s="2">
        <v>46423</v>
      </c>
      <c r="U98" s="2">
        <v>2220000</v>
      </c>
      <c r="V98" s="2">
        <v>20</v>
      </c>
      <c r="W98" s="2">
        <v>444000</v>
      </c>
      <c r="X98" s="2">
        <v>1776000</v>
      </c>
      <c r="Y98" s="2">
        <v>1.75</v>
      </c>
      <c r="Z98" s="2">
        <v>31080</v>
      </c>
      <c r="AA98" s="2"/>
      <c r="AB98" s="2"/>
      <c r="AC98" s="2" t="s">
        <v>1301</v>
      </c>
      <c r="AD98" s="2">
        <v>1141072794</v>
      </c>
      <c r="AE98" s="2">
        <v>45720</v>
      </c>
      <c r="AF98" s="2" t="s">
        <v>1113</v>
      </c>
      <c r="AG98" s="2">
        <v>0</v>
      </c>
      <c r="AH98" s="2" t="s">
        <v>615</v>
      </c>
      <c r="AI98" s="4">
        <v>31080</v>
      </c>
      <c r="AJ98" s="2">
        <v>0</v>
      </c>
      <c r="AK98" s="2" t="s">
        <v>4</v>
      </c>
    </row>
    <row r="99" spans="1:37" x14ac:dyDescent="0.2">
      <c r="A99" s="12">
        <v>98</v>
      </c>
      <c r="B99" s="2" t="s">
        <v>1295</v>
      </c>
      <c r="C99" s="2" t="s">
        <v>1611</v>
      </c>
      <c r="D99" s="2">
        <v>45658</v>
      </c>
      <c r="E99" s="2" t="s">
        <v>1106</v>
      </c>
      <c r="F99" s="2" t="s">
        <v>586</v>
      </c>
      <c r="G99" s="2">
        <v>45688</v>
      </c>
      <c r="H99" s="2">
        <v>46052</v>
      </c>
      <c r="I99" s="2" t="s">
        <v>1612</v>
      </c>
      <c r="J99" s="2">
        <v>3520132887859</v>
      </c>
      <c r="K99" s="2" t="s">
        <v>14</v>
      </c>
      <c r="L99" s="2" t="s">
        <v>587</v>
      </c>
      <c r="M99" s="2" t="s">
        <v>588</v>
      </c>
      <c r="N99" s="2" t="s">
        <v>589</v>
      </c>
      <c r="O99" s="2" t="s">
        <v>1611</v>
      </c>
      <c r="P99" s="2" t="s">
        <v>1109</v>
      </c>
      <c r="Q99" s="2" t="s">
        <v>1116</v>
      </c>
      <c r="R99" s="2" t="s">
        <v>1613</v>
      </c>
      <c r="S99" s="2">
        <v>44594</v>
      </c>
      <c r="T99" s="2">
        <v>47154</v>
      </c>
      <c r="U99" s="2">
        <v>1750000</v>
      </c>
      <c r="V99" s="2">
        <v>20</v>
      </c>
      <c r="W99" s="2">
        <v>350000</v>
      </c>
      <c r="X99" s="2">
        <v>1400000</v>
      </c>
      <c r="Y99" s="2">
        <v>1.75</v>
      </c>
      <c r="Z99" s="2">
        <v>24500</v>
      </c>
      <c r="AA99" s="2"/>
      <c r="AB99" s="2"/>
      <c r="AC99" s="2" t="s">
        <v>1301</v>
      </c>
      <c r="AD99" s="2">
        <v>1141072794</v>
      </c>
      <c r="AE99" s="2">
        <v>45720</v>
      </c>
      <c r="AF99" s="2" t="s">
        <v>1113</v>
      </c>
      <c r="AG99" s="2">
        <v>12</v>
      </c>
      <c r="AH99" s="2" t="s">
        <v>586</v>
      </c>
      <c r="AI99" s="4">
        <v>24500</v>
      </c>
      <c r="AJ99" s="2">
        <v>0</v>
      </c>
      <c r="AK99" s="2" t="s">
        <v>4</v>
      </c>
    </row>
    <row r="100" spans="1:37" x14ac:dyDescent="0.2">
      <c r="A100" s="12">
        <v>99</v>
      </c>
      <c r="B100" s="2" t="s">
        <v>1295</v>
      </c>
      <c r="C100" s="2" t="s">
        <v>1614</v>
      </c>
      <c r="D100" s="2">
        <v>45658</v>
      </c>
      <c r="E100" s="2" t="s">
        <v>1106</v>
      </c>
      <c r="F100" s="2" t="s">
        <v>548</v>
      </c>
      <c r="G100" s="2">
        <v>45688</v>
      </c>
      <c r="H100" s="2">
        <v>46052</v>
      </c>
      <c r="I100" s="2" t="s">
        <v>1615</v>
      </c>
      <c r="J100" s="2">
        <v>3520218466303</v>
      </c>
      <c r="K100" s="2" t="s">
        <v>18</v>
      </c>
      <c r="L100" s="2" t="s">
        <v>549</v>
      </c>
      <c r="M100" s="2" t="s">
        <v>550</v>
      </c>
      <c r="N100" s="2" t="s">
        <v>551</v>
      </c>
      <c r="O100" s="2" t="s">
        <v>1614</v>
      </c>
      <c r="P100" s="2" t="s">
        <v>1109</v>
      </c>
      <c r="Q100" s="2" t="s">
        <v>1116</v>
      </c>
      <c r="R100" s="2" t="s">
        <v>1616</v>
      </c>
      <c r="S100" s="2">
        <v>44594</v>
      </c>
      <c r="T100" s="2">
        <v>46423</v>
      </c>
      <c r="U100" s="2">
        <v>2500000</v>
      </c>
      <c r="V100" s="2">
        <v>20</v>
      </c>
      <c r="W100" s="2">
        <v>500000</v>
      </c>
      <c r="X100" s="2">
        <v>2000000</v>
      </c>
      <c r="Y100" s="2">
        <v>2.5</v>
      </c>
      <c r="Z100" s="2">
        <v>50000</v>
      </c>
      <c r="AA100" s="2"/>
      <c r="AB100" s="2"/>
      <c r="AC100" s="2" t="s">
        <v>1301</v>
      </c>
      <c r="AD100" s="2">
        <v>1141072794</v>
      </c>
      <c r="AE100" s="2">
        <v>45720</v>
      </c>
      <c r="AF100" s="2" t="s">
        <v>1113</v>
      </c>
      <c r="AG100" s="2">
        <v>12</v>
      </c>
      <c r="AH100" s="2" t="s">
        <v>548</v>
      </c>
      <c r="AI100" s="4">
        <v>50000</v>
      </c>
      <c r="AJ100" s="2">
        <v>0</v>
      </c>
      <c r="AK100" s="2" t="s">
        <v>4</v>
      </c>
    </row>
    <row r="101" spans="1:37" x14ac:dyDescent="0.2">
      <c r="A101" s="12">
        <v>100</v>
      </c>
      <c r="B101" s="2" t="s">
        <v>1295</v>
      </c>
      <c r="C101" s="2" t="s">
        <v>1617</v>
      </c>
      <c r="D101" s="2">
        <v>45658</v>
      </c>
      <c r="E101" s="2" t="s">
        <v>1106</v>
      </c>
      <c r="F101" s="2" t="s">
        <v>594</v>
      </c>
      <c r="G101" s="2">
        <v>45688</v>
      </c>
      <c r="H101" s="2">
        <v>46052</v>
      </c>
      <c r="I101" s="2" t="s">
        <v>1618</v>
      </c>
      <c r="J101" s="2">
        <v>3520231191887</v>
      </c>
      <c r="K101" s="2" t="s">
        <v>14</v>
      </c>
      <c r="L101" s="2" t="s">
        <v>595</v>
      </c>
      <c r="M101" s="2" t="s">
        <v>596</v>
      </c>
      <c r="N101" s="2" t="s">
        <v>597</v>
      </c>
      <c r="O101" s="2" t="s">
        <v>1617</v>
      </c>
      <c r="P101" s="2" t="s">
        <v>1109</v>
      </c>
      <c r="Q101" s="2" t="s">
        <v>1495</v>
      </c>
      <c r="R101" s="2" t="s">
        <v>1619</v>
      </c>
      <c r="S101" s="2">
        <v>44595</v>
      </c>
      <c r="T101" s="2">
        <v>46423</v>
      </c>
      <c r="U101" s="2">
        <v>1600000</v>
      </c>
      <c r="V101" s="2">
        <v>20</v>
      </c>
      <c r="W101" s="2">
        <v>320000</v>
      </c>
      <c r="X101" s="2">
        <v>1280000</v>
      </c>
      <c r="Y101" s="2">
        <v>1.75</v>
      </c>
      <c r="Z101" s="2">
        <v>22400</v>
      </c>
      <c r="AA101" s="2"/>
      <c r="AB101" s="2"/>
      <c r="AC101" s="2" t="s">
        <v>1301</v>
      </c>
      <c r="AD101" s="2">
        <v>1141072794</v>
      </c>
      <c r="AE101" s="2">
        <v>45720</v>
      </c>
      <c r="AF101" s="2" t="s">
        <v>1113</v>
      </c>
      <c r="AG101" s="2">
        <v>0</v>
      </c>
      <c r="AH101" s="2" t="s">
        <v>594</v>
      </c>
      <c r="AI101" s="4">
        <v>22400</v>
      </c>
      <c r="AJ101" s="2">
        <v>0</v>
      </c>
      <c r="AK101" s="2" t="s">
        <v>4</v>
      </c>
    </row>
    <row r="102" spans="1:37" x14ac:dyDescent="0.2">
      <c r="A102" s="12">
        <v>101</v>
      </c>
      <c r="B102" s="2" t="s">
        <v>1295</v>
      </c>
      <c r="C102" s="2" t="s">
        <v>1620</v>
      </c>
      <c r="D102" s="2">
        <v>45658</v>
      </c>
      <c r="E102" s="2" t="s">
        <v>1106</v>
      </c>
      <c r="F102" s="2" t="s">
        <v>560</v>
      </c>
      <c r="G102" s="2">
        <v>45688</v>
      </c>
      <c r="H102" s="2">
        <v>46052</v>
      </c>
      <c r="I102" s="2" t="s">
        <v>1621</v>
      </c>
      <c r="J102" s="2">
        <v>3420163307665</v>
      </c>
      <c r="K102" s="2" t="s">
        <v>561</v>
      </c>
      <c r="L102" s="2" t="s">
        <v>562</v>
      </c>
      <c r="M102" s="2" t="s">
        <v>563</v>
      </c>
      <c r="N102" s="2" t="s">
        <v>564</v>
      </c>
      <c r="O102" s="2" t="s">
        <v>1620</v>
      </c>
      <c r="P102" s="2" t="s">
        <v>1109</v>
      </c>
      <c r="Q102" s="2" t="s">
        <v>1622</v>
      </c>
      <c r="R102" s="2" t="s">
        <v>1623</v>
      </c>
      <c r="S102" s="2">
        <v>44606</v>
      </c>
      <c r="T102" s="2">
        <v>46423</v>
      </c>
      <c r="U102" s="2">
        <v>2633000</v>
      </c>
      <c r="V102" s="2">
        <v>20</v>
      </c>
      <c r="W102" s="2">
        <v>526600</v>
      </c>
      <c r="X102" s="2">
        <v>2106400</v>
      </c>
      <c r="Y102" s="2">
        <v>1.75</v>
      </c>
      <c r="Z102" s="2">
        <v>36862</v>
      </c>
      <c r="AA102" s="2"/>
      <c r="AB102" s="2"/>
      <c r="AC102" s="2" t="s">
        <v>1301</v>
      </c>
      <c r="AD102" s="2">
        <v>1141072794</v>
      </c>
      <c r="AE102" s="2">
        <v>45720</v>
      </c>
      <c r="AF102" s="2" t="s">
        <v>1113</v>
      </c>
      <c r="AG102" s="2">
        <v>0</v>
      </c>
      <c r="AH102" s="2" t="s">
        <v>560</v>
      </c>
      <c r="AI102" s="4">
        <v>36862</v>
      </c>
      <c r="AJ102" s="2">
        <v>0</v>
      </c>
      <c r="AK102" s="2" t="s">
        <v>4</v>
      </c>
    </row>
    <row r="103" spans="1:37" x14ac:dyDescent="0.2">
      <c r="A103" s="12">
        <v>102</v>
      </c>
      <c r="B103" s="2" t="s">
        <v>1295</v>
      </c>
      <c r="C103" s="2" t="s">
        <v>1624</v>
      </c>
      <c r="D103" s="2">
        <v>45658</v>
      </c>
      <c r="E103" s="2" t="s">
        <v>1106</v>
      </c>
      <c r="F103" s="2" t="s">
        <v>646</v>
      </c>
      <c r="G103" s="2">
        <v>45684</v>
      </c>
      <c r="H103" s="2">
        <v>46048</v>
      </c>
      <c r="I103" s="2" t="s">
        <v>1625</v>
      </c>
      <c r="J103" s="2">
        <v>3520246927833</v>
      </c>
      <c r="K103" s="2" t="s">
        <v>408</v>
      </c>
      <c r="L103" s="2" t="s">
        <v>647</v>
      </c>
      <c r="M103" s="2" t="s">
        <v>648</v>
      </c>
      <c r="N103" s="2" t="s">
        <v>649</v>
      </c>
      <c r="O103" s="2" t="s">
        <v>1624</v>
      </c>
      <c r="P103" s="2" t="s">
        <v>1109</v>
      </c>
      <c r="Q103" s="2" t="s">
        <v>1116</v>
      </c>
      <c r="R103" s="2" t="s">
        <v>1626</v>
      </c>
      <c r="S103" s="2">
        <v>44607</v>
      </c>
      <c r="T103" s="2">
        <v>46423</v>
      </c>
      <c r="U103" s="2">
        <v>3500000</v>
      </c>
      <c r="V103" s="2">
        <v>20</v>
      </c>
      <c r="W103" s="2">
        <v>700000</v>
      </c>
      <c r="X103" s="2">
        <v>2800000</v>
      </c>
      <c r="Y103" s="2">
        <v>1.5</v>
      </c>
      <c r="Z103" s="2">
        <v>42000</v>
      </c>
      <c r="AA103" s="2"/>
      <c r="AB103" s="2"/>
      <c r="AC103" s="2" t="s">
        <v>1301</v>
      </c>
      <c r="AD103" s="2">
        <v>1141072794</v>
      </c>
      <c r="AE103" s="2">
        <v>45720</v>
      </c>
      <c r="AF103" s="2" t="s">
        <v>1113</v>
      </c>
      <c r="AG103" s="2">
        <v>12</v>
      </c>
      <c r="AH103" s="2" t="s">
        <v>646</v>
      </c>
      <c r="AI103" s="4">
        <v>42000</v>
      </c>
      <c r="AJ103" s="2">
        <v>0</v>
      </c>
      <c r="AK103" s="2" t="s">
        <v>4</v>
      </c>
    </row>
    <row r="104" spans="1:37" x14ac:dyDescent="0.2">
      <c r="A104" s="12">
        <v>103</v>
      </c>
      <c r="B104" s="2" t="s">
        <v>1295</v>
      </c>
      <c r="C104" s="2" t="s">
        <v>1627</v>
      </c>
      <c r="D104" s="2">
        <v>45658</v>
      </c>
      <c r="E104" s="2" t="s">
        <v>1106</v>
      </c>
      <c r="F104" s="2" t="s">
        <v>837</v>
      </c>
      <c r="G104" s="2">
        <v>45667</v>
      </c>
      <c r="H104" s="2">
        <v>46031</v>
      </c>
      <c r="I104" s="2" t="s">
        <v>1628</v>
      </c>
      <c r="J104" s="2">
        <v>4230109159489</v>
      </c>
      <c r="K104" s="2" t="s">
        <v>12</v>
      </c>
      <c r="L104" s="2" t="s">
        <v>838</v>
      </c>
      <c r="M104" s="2" t="s">
        <v>839</v>
      </c>
      <c r="N104" s="2" t="s">
        <v>840</v>
      </c>
      <c r="O104" s="2" t="s">
        <v>1627</v>
      </c>
      <c r="P104" s="2" t="s">
        <v>1143</v>
      </c>
      <c r="Q104" s="2" t="s">
        <v>1271</v>
      </c>
      <c r="R104" s="2" t="s">
        <v>1629</v>
      </c>
      <c r="S104" s="2">
        <v>44938</v>
      </c>
      <c r="T104" s="2">
        <v>46027</v>
      </c>
      <c r="U104" s="2">
        <v>3845500</v>
      </c>
      <c r="V104" s="2">
        <v>15</v>
      </c>
      <c r="W104" s="2">
        <v>576825</v>
      </c>
      <c r="X104" s="2">
        <v>3268675</v>
      </c>
      <c r="Y104" s="2">
        <v>1.5</v>
      </c>
      <c r="Z104" s="2">
        <v>49030.125</v>
      </c>
      <c r="AA104" s="2"/>
      <c r="AB104" s="2"/>
      <c r="AC104" s="2" t="s">
        <v>1301</v>
      </c>
      <c r="AD104" s="2">
        <v>1141072794</v>
      </c>
      <c r="AE104" s="2">
        <v>45720</v>
      </c>
      <c r="AF104" s="2" t="s">
        <v>1113</v>
      </c>
      <c r="AG104" s="2">
        <v>0</v>
      </c>
      <c r="AH104" s="2" t="s">
        <v>837</v>
      </c>
      <c r="AI104" s="4">
        <v>49030</v>
      </c>
      <c r="AJ104" s="2">
        <v>-0.125</v>
      </c>
      <c r="AK104" s="2" t="s">
        <v>4</v>
      </c>
    </row>
    <row r="105" spans="1:37" x14ac:dyDescent="0.2">
      <c r="A105" s="12">
        <v>104</v>
      </c>
      <c r="B105" s="2" t="s">
        <v>1295</v>
      </c>
      <c r="C105" s="2" t="s">
        <v>1630</v>
      </c>
      <c r="D105" s="2">
        <v>45658</v>
      </c>
      <c r="E105" s="2" t="s">
        <v>1106</v>
      </c>
      <c r="F105" s="2" t="s">
        <v>987</v>
      </c>
      <c r="G105" s="2">
        <v>45667</v>
      </c>
      <c r="H105" s="2">
        <v>46031</v>
      </c>
      <c r="I105" s="2" t="s">
        <v>1631</v>
      </c>
      <c r="J105" s="2">
        <v>3520113728879</v>
      </c>
      <c r="K105" s="2" t="s">
        <v>145</v>
      </c>
      <c r="L105" s="2" t="s">
        <v>988</v>
      </c>
      <c r="M105" s="2" t="s">
        <v>989</v>
      </c>
      <c r="N105" s="2" t="s">
        <v>990</v>
      </c>
      <c r="O105" s="2" t="s">
        <v>1630</v>
      </c>
      <c r="P105" s="2" t="s">
        <v>1109</v>
      </c>
      <c r="Q105" s="2" t="s">
        <v>1360</v>
      </c>
      <c r="R105" s="2" t="s">
        <v>1632</v>
      </c>
      <c r="S105" s="2">
        <v>44939</v>
      </c>
      <c r="T105" s="2">
        <v>46757</v>
      </c>
      <c r="U105" s="2">
        <v>4299000</v>
      </c>
      <c r="V105" s="2">
        <v>15</v>
      </c>
      <c r="W105" s="2">
        <v>644850</v>
      </c>
      <c r="X105" s="2">
        <v>3654150</v>
      </c>
      <c r="Y105" s="2">
        <v>1.5</v>
      </c>
      <c r="Z105" s="2">
        <v>54812.25</v>
      </c>
      <c r="AA105" s="2"/>
      <c r="AB105" s="2"/>
      <c r="AC105" s="2" t="s">
        <v>1301</v>
      </c>
      <c r="AD105" s="2">
        <v>1141072794</v>
      </c>
      <c r="AE105" s="2">
        <v>45720</v>
      </c>
      <c r="AF105" s="2" t="s">
        <v>1113</v>
      </c>
      <c r="AG105" s="2">
        <v>0</v>
      </c>
      <c r="AH105" s="2" t="s">
        <v>987</v>
      </c>
      <c r="AI105" s="4">
        <v>54812</v>
      </c>
      <c r="AJ105" s="2">
        <v>-0.25</v>
      </c>
      <c r="AK105" s="2" t="s">
        <v>4</v>
      </c>
    </row>
    <row r="106" spans="1:37" x14ac:dyDescent="0.2">
      <c r="A106" s="12">
        <v>105</v>
      </c>
      <c r="B106" s="2" t="s">
        <v>1295</v>
      </c>
      <c r="C106" s="2" t="s">
        <v>1633</v>
      </c>
      <c r="D106" s="2">
        <v>45658</v>
      </c>
      <c r="E106" s="2" t="s">
        <v>1106</v>
      </c>
      <c r="F106" s="2" t="s">
        <v>937</v>
      </c>
      <c r="G106" s="2">
        <v>45688</v>
      </c>
      <c r="H106" s="2">
        <v>46052</v>
      </c>
      <c r="I106" s="2" t="s">
        <v>1634</v>
      </c>
      <c r="J106" s="2">
        <v>3520272651520</v>
      </c>
      <c r="K106" s="2" t="s">
        <v>938</v>
      </c>
      <c r="L106" s="2" t="s">
        <v>939</v>
      </c>
      <c r="M106" s="2" t="s">
        <v>940</v>
      </c>
      <c r="N106" s="2" t="s">
        <v>941</v>
      </c>
      <c r="O106" s="2" t="s">
        <v>1633</v>
      </c>
      <c r="P106" s="2" t="s">
        <v>1109</v>
      </c>
      <c r="Q106" s="2" t="s">
        <v>1622</v>
      </c>
      <c r="R106" s="2" t="s">
        <v>1635</v>
      </c>
      <c r="S106" s="2">
        <v>44964</v>
      </c>
      <c r="T106" s="2">
        <v>46058</v>
      </c>
      <c r="U106" s="2">
        <v>6889000</v>
      </c>
      <c r="V106" s="2">
        <v>15</v>
      </c>
      <c r="W106" s="2">
        <v>1033350</v>
      </c>
      <c r="X106" s="2">
        <v>5855650</v>
      </c>
      <c r="Y106" s="2">
        <v>1.5</v>
      </c>
      <c r="Z106" s="2">
        <v>87834.75</v>
      </c>
      <c r="AA106" s="2"/>
      <c r="AB106" s="2"/>
      <c r="AC106" s="2" t="s">
        <v>1301</v>
      </c>
      <c r="AD106" s="2">
        <v>1141072794</v>
      </c>
      <c r="AE106" s="2">
        <v>45720</v>
      </c>
      <c r="AF106" s="2" t="s">
        <v>1113</v>
      </c>
      <c r="AG106" s="2">
        <v>0</v>
      </c>
      <c r="AH106" s="2" t="s">
        <v>937</v>
      </c>
      <c r="AI106" s="4">
        <v>87835</v>
      </c>
      <c r="AJ106" s="2">
        <v>0.25</v>
      </c>
      <c r="AK106" s="2" t="s">
        <v>4</v>
      </c>
    </row>
    <row r="107" spans="1:37" x14ac:dyDescent="0.2">
      <c r="A107" s="12">
        <v>106</v>
      </c>
      <c r="B107" s="2" t="s">
        <v>1295</v>
      </c>
      <c r="C107" s="2" t="s">
        <v>1636</v>
      </c>
      <c r="D107" s="2">
        <v>45658</v>
      </c>
      <c r="E107" s="2" t="s">
        <v>1106</v>
      </c>
      <c r="F107" s="2" t="s">
        <v>1028</v>
      </c>
      <c r="G107" s="2">
        <v>45631</v>
      </c>
      <c r="H107" s="2">
        <v>45996</v>
      </c>
      <c r="I107" s="2" t="s">
        <v>1637</v>
      </c>
      <c r="J107" s="2">
        <v>3310221921605</v>
      </c>
      <c r="K107" s="2" t="s">
        <v>403</v>
      </c>
      <c r="L107" s="2" t="s">
        <v>1029</v>
      </c>
      <c r="M107" s="2" t="s">
        <v>1030</v>
      </c>
      <c r="N107" s="2" t="s">
        <v>1031</v>
      </c>
      <c r="O107" s="2" t="s">
        <v>1636</v>
      </c>
      <c r="P107" s="2" t="s">
        <v>1109</v>
      </c>
      <c r="Q107" s="2" t="s">
        <v>1129</v>
      </c>
      <c r="R107" s="2" t="s">
        <v>1638</v>
      </c>
      <c r="S107" s="2">
        <v>44904</v>
      </c>
      <c r="T107" s="2">
        <v>47457</v>
      </c>
      <c r="U107" s="2">
        <v>1425000</v>
      </c>
      <c r="V107" s="2">
        <v>15</v>
      </c>
      <c r="W107" s="2">
        <v>213750</v>
      </c>
      <c r="X107" s="2">
        <v>1211250</v>
      </c>
      <c r="Y107" s="2">
        <v>2.5</v>
      </c>
      <c r="Z107" s="2">
        <v>30281.25</v>
      </c>
      <c r="AA107" s="2"/>
      <c r="AB107" s="2"/>
      <c r="AC107" s="2" t="s">
        <v>1301</v>
      </c>
      <c r="AD107" s="2">
        <v>1141072794</v>
      </c>
      <c r="AE107" s="2">
        <v>45720</v>
      </c>
      <c r="AF107" s="2" t="s">
        <v>1113</v>
      </c>
      <c r="AG107" s="2">
        <v>12</v>
      </c>
      <c r="AH107" s="2" t="s">
        <v>1028</v>
      </c>
      <c r="AI107" s="4">
        <v>30281</v>
      </c>
      <c r="AJ107" s="2">
        <v>-0.25</v>
      </c>
      <c r="AK107" s="2" t="s">
        <v>4</v>
      </c>
    </row>
    <row r="108" spans="1:37" x14ac:dyDescent="0.2">
      <c r="A108" s="12">
        <v>107</v>
      </c>
      <c r="B108" s="2" t="s">
        <v>1295</v>
      </c>
      <c r="C108" s="2" t="s">
        <v>1639</v>
      </c>
      <c r="D108" s="2">
        <v>45658</v>
      </c>
      <c r="E108" s="2" t="s">
        <v>1106</v>
      </c>
      <c r="F108" s="2" t="s">
        <v>860</v>
      </c>
      <c r="G108" s="2">
        <v>45660</v>
      </c>
      <c r="H108" s="2">
        <v>46024</v>
      </c>
      <c r="I108" s="2" t="s">
        <v>1640</v>
      </c>
      <c r="J108" s="2">
        <v>6110124548663</v>
      </c>
      <c r="K108" s="2" t="s">
        <v>8</v>
      </c>
      <c r="L108" s="2" t="s">
        <v>861</v>
      </c>
      <c r="M108" s="2" t="s">
        <v>862</v>
      </c>
      <c r="N108" s="2" t="s">
        <v>863</v>
      </c>
      <c r="O108" s="2" t="s">
        <v>1639</v>
      </c>
      <c r="P108" s="2" t="s">
        <v>1308</v>
      </c>
      <c r="Q108" s="2" t="s">
        <v>1110</v>
      </c>
      <c r="R108" s="2" t="s">
        <v>1641</v>
      </c>
      <c r="S108" s="2">
        <v>44938</v>
      </c>
      <c r="T108" s="2">
        <v>46757</v>
      </c>
      <c r="U108" s="2">
        <v>1951000</v>
      </c>
      <c r="V108" s="2">
        <v>15</v>
      </c>
      <c r="W108" s="2">
        <v>292650</v>
      </c>
      <c r="X108" s="2">
        <v>1658350</v>
      </c>
      <c r="Y108" s="2">
        <v>2.5</v>
      </c>
      <c r="Z108" s="2">
        <v>41458.75</v>
      </c>
      <c r="AA108" s="2"/>
      <c r="AB108" s="2"/>
      <c r="AC108" s="2" t="s">
        <v>1301</v>
      </c>
      <c r="AD108" s="2">
        <v>1141072794</v>
      </c>
      <c r="AE108" s="2">
        <v>45720</v>
      </c>
      <c r="AF108" s="2" t="s">
        <v>1113</v>
      </c>
      <c r="AG108" s="2">
        <v>42</v>
      </c>
      <c r="AH108" s="2" t="s">
        <v>860</v>
      </c>
      <c r="AI108" s="4">
        <v>41459</v>
      </c>
      <c r="AJ108" s="2">
        <v>0.25</v>
      </c>
      <c r="AK108" s="2" t="s">
        <v>4</v>
      </c>
    </row>
    <row r="109" spans="1:37" x14ac:dyDescent="0.2">
      <c r="A109" s="12">
        <v>108</v>
      </c>
      <c r="B109" s="2" t="s">
        <v>1295</v>
      </c>
      <c r="C109" s="2" t="s">
        <v>1642</v>
      </c>
      <c r="D109" s="2">
        <v>45658</v>
      </c>
      <c r="E109" s="2" t="s">
        <v>1106</v>
      </c>
      <c r="F109" s="2" t="s">
        <v>979</v>
      </c>
      <c r="G109" s="2">
        <v>45666</v>
      </c>
      <c r="H109" s="2">
        <v>46030</v>
      </c>
      <c r="I109" s="2" t="s">
        <v>1643</v>
      </c>
      <c r="J109" s="2">
        <v>3520281677505</v>
      </c>
      <c r="K109" s="2" t="s">
        <v>578</v>
      </c>
      <c r="L109" s="2" t="s">
        <v>980</v>
      </c>
      <c r="M109" s="2" t="s">
        <v>981</v>
      </c>
      <c r="N109" s="2" t="s">
        <v>982</v>
      </c>
      <c r="O109" s="2" t="s">
        <v>1642</v>
      </c>
      <c r="P109" s="2" t="s">
        <v>1109</v>
      </c>
      <c r="Q109" s="2" t="s">
        <v>1116</v>
      </c>
      <c r="R109" s="2" t="s">
        <v>1644</v>
      </c>
      <c r="S109" s="2">
        <v>44936</v>
      </c>
      <c r="T109" s="2">
        <v>46392</v>
      </c>
      <c r="U109" s="2">
        <v>1951000</v>
      </c>
      <c r="V109" s="2">
        <v>15</v>
      </c>
      <c r="W109" s="2">
        <v>292650</v>
      </c>
      <c r="X109" s="2">
        <v>1658350</v>
      </c>
      <c r="Y109" s="2">
        <v>2</v>
      </c>
      <c r="Z109" s="2">
        <v>33167</v>
      </c>
      <c r="AA109" s="2"/>
      <c r="AB109" s="2"/>
      <c r="AC109" s="2" t="s">
        <v>1301</v>
      </c>
      <c r="AD109" s="2">
        <v>1141072794</v>
      </c>
      <c r="AE109" s="2">
        <v>45720</v>
      </c>
      <c r="AF109" s="2" t="s">
        <v>1113</v>
      </c>
      <c r="AG109" s="2">
        <v>0</v>
      </c>
      <c r="AH109" s="2" t="s">
        <v>979</v>
      </c>
      <c r="AI109" s="4">
        <v>33167</v>
      </c>
      <c r="AJ109" s="2">
        <v>0</v>
      </c>
      <c r="AK109" s="2" t="s">
        <v>4</v>
      </c>
    </row>
    <row r="110" spans="1:37" x14ac:dyDescent="0.2">
      <c r="A110" s="12">
        <v>109</v>
      </c>
      <c r="B110" s="2" t="s">
        <v>1295</v>
      </c>
      <c r="C110" s="2" t="s">
        <v>1645</v>
      </c>
      <c r="D110" s="2">
        <v>45658</v>
      </c>
      <c r="E110" s="2" t="s">
        <v>1106</v>
      </c>
      <c r="F110" s="2" t="s">
        <v>995</v>
      </c>
      <c r="G110" s="2">
        <v>45668</v>
      </c>
      <c r="H110" s="2">
        <v>46032</v>
      </c>
      <c r="I110" s="2" t="s">
        <v>1646</v>
      </c>
      <c r="J110" s="2">
        <v>3520211440791</v>
      </c>
      <c r="K110" s="2" t="s">
        <v>8</v>
      </c>
      <c r="L110" s="2" t="s">
        <v>996</v>
      </c>
      <c r="M110" s="2" t="s">
        <v>997</v>
      </c>
      <c r="N110" s="2" t="s">
        <v>998</v>
      </c>
      <c r="O110" s="2" t="s">
        <v>1645</v>
      </c>
      <c r="P110" s="2" t="s">
        <v>1109</v>
      </c>
      <c r="Q110" s="2" t="s">
        <v>1116</v>
      </c>
      <c r="R110" s="2" t="s">
        <v>1647</v>
      </c>
      <c r="S110" s="2">
        <v>44938</v>
      </c>
      <c r="T110" s="2">
        <v>46757</v>
      </c>
      <c r="U110" s="2">
        <v>1733000</v>
      </c>
      <c r="V110" s="2">
        <v>15</v>
      </c>
      <c r="W110" s="2">
        <v>259950</v>
      </c>
      <c r="X110" s="2">
        <v>1473050</v>
      </c>
      <c r="Y110" s="2">
        <v>2</v>
      </c>
      <c r="Z110" s="2">
        <v>29461</v>
      </c>
      <c r="AA110" s="2"/>
      <c r="AB110" s="2"/>
      <c r="AC110" s="2" t="s">
        <v>1301</v>
      </c>
      <c r="AD110" s="2">
        <v>1141072794</v>
      </c>
      <c r="AE110" s="2">
        <v>45720</v>
      </c>
      <c r="AF110" s="2" t="s">
        <v>1113</v>
      </c>
      <c r="AG110" s="2">
        <v>12</v>
      </c>
      <c r="AH110" s="2" t="s">
        <v>995</v>
      </c>
      <c r="AI110" s="4">
        <v>29461</v>
      </c>
      <c r="AJ110" s="2">
        <v>0</v>
      </c>
      <c r="AK110" s="2" t="s">
        <v>4</v>
      </c>
    </row>
    <row r="111" spans="1:37" x14ac:dyDescent="0.2">
      <c r="A111" s="12">
        <v>110</v>
      </c>
      <c r="B111" s="2" t="s">
        <v>1295</v>
      </c>
      <c r="C111" s="2" t="s">
        <v>1648</v>
      </c>
      <c r="D111" s="2">
        <v>45658</v>
      </c>
      <c r="E111" s="2" t="s">
        <v>1106</v>
      </c>
      <c r="F111" s="2" t="s">
        <v>846</v>
      </c>
      <c r="G111" s="2">
        <v>45674</v>
      </c>
      <c r="H111" s="2">
        <v>46038</v>
      </c>
      <c r="I111" s="2" t="s">
        <v>1649</v>
      </c>
      <c r="J111" s="2">
        <v>3130493725329</v>
      </c>
      <c r="K111" s="2" t="s">
        <v>578</v>
      </c>
      <c r="L111" s="2" t="s">
        <v>847</v>
      </c>
      <c r="M111" s="2" t="s">
        <v>848</v>
      </c>
      <c r="N111" s="2" t="s">
        <v>849</v>
      </c>
      <c r="O111" s="2" t="s">
        <v>1648</v>
      </c>
      <c r="P111" s="2" t="s">
        <v>1109</v>
      </c>
      <c r="Q111" s="2" t="s">
        <v>1650</v>
      </c>
      <c r="R111" s="2" t="s">
        <v>1651</v>
      </c>
      <c r="S111" s="2">
        <v>44943</v>
      </c>
      <c r="T111" s="2">
        <v>46788</v>
      </c>
      <c r="U111" s="2">
        <v>1475000</v>
      </c>
      <c r="V111" s="2">
        <v>15</v>
      </c>
      <c r="W111" s="2">
        <v>221250</v>
      </c>
      <c r="X111" s="2">
        <v>1253750</v>
      </c>
      <c r="Y111" s="2">
        <v>2</v>
      </c>
      <c r="Z111" s="2">
        <v>25075</v>
      </c>
      <c r="AA111" s="2"/>
      <c r="AB111" s="2"/>
      <c r="AC111" s="2" t="s">
        <v>1301</v>
      </c>
      <c r="AD111" s="2">
        <v>1141072794</v>
      </c>
      <c r="AE111" s="2">
        <v>45720</v>
      </c>
      <c r="AF111" s="2" t="s">
        <v>1113</v>
      </c>
      <c r="AG111" s="2">
        <v>12</v>
      </c>
      <c r="AH111" s="2" t="s">
        <v>846</v>
      </c>
      <c r="AI111" s="4">
        <v>25075</v>
      </c>
      <c r="AJ111" s="2">
        <v>0</v>
      </c>
      <c r="AK111" s="2" t="s">
        <v>4</v>
      </c>
    </row>
    <row r="112" spans="1:37" x14ac:dyDescent="0.2">
      <c r="A112" s="12">
        <v>111</v>
      </c>
      <c r="B112" s="2" t="s">
        <v>1295</v>
      </c>
      <c r="C112" s="2" t="s">
        <v>1652</v>
      </c>
      <c r="D112" s="2">
        <v>45658</v>
      </c>
      <c r="E112" s="2" t="s">
        <v>1106</v>
      </c>
      <c r="F112" s="2" t="s">
        <v>983</v>
      </c>
      <c r="G112" s="2">
        <v>45666</v>
      </c>
      <c r="H112" s="2">
        <v>46030</v>
      </c>
      <c r="I112" s="2" t="s">
        <v>1653</v>
      </c>
      <c r="J112" s="2">
        <v>3120264043881</v>
      </c>
      <c r="K112" s="2" t="s">
        <v>5</v>
      </c>
      <c r="L112" s="2" t="s">
        <v>984</v>
      </c>
      <c r="M112" s="2" t="s">
        <v>985</v>
      </c>
      <c r="N112" s="2" t="s">
        <v>986</v>
      </c>
      <c r="O112" s="2" t="s">
        <v>1652</v>
      </c>
      <c r="P112" s="2" t="s">
        <v>1109</v>
      </c>
      <c r="Q112" s="2" t="s">
        <v>1139</v>
      </c>
      <c r="R112" s="2" t="s">
        <v>1654</v>
      </c>
      <c r="S112" s="2">
        <v>44953</v>
      </c>
      <c r="T112" s="2">
        <v>46788</v>
      </c>
      <c r="U112" s="2">
        <v>1733000</v>
      </c>
      <c r="V112" s="2">
        <v>15</v>
      </c>
      <c r="W112" s="2">
        <v>259950</v>
      </c>
      <c r="X112" s="2">
        <v>1473050</v>
      </c>
      <c r="Y112" s="2">
        <v>2</v>
      </c>
      <c r="Z112" s="2">
        <v>29461</v>
      </c>
      <c r="AA112" s="2"/>
      <c r="AB112" s="2"/>
      <c r="AC112" s="2" t="s">
        <v>1301</v>
      </c>
      <c r="AD112" s="2">
        <v>1141072794</v>
      </c>
      <c r="AE112" s="2">
        <v>45720</v>
      </c>
      <c r="AF112" s="2" t="s">
        <v>1113</v>
      </c>
      <c r="AG112" s="2">
        <v>12</v>
      </c>
      <c r="AH112" s="2" t="s">
        <v>983</v>
      </c>
      <c r="AI112" s="4">
        <v>29461</v>
      </c>
      <c r="AJ112" s="2">
        <v>0</v>
      </c>
      <c r="AK112" s="2" t="s">
        <v>4</v>
      </c>
    </row>
    <row r="113" spans="1:37" x14ac:dyDescent="0.2">
      <c r="A113" s="12">
        <v>112</v>
      </c>
      <c r="B113" s="2" t="s">
        <v>1295</v>
      </c>
      <c r="C113" s="2" t="s">
        <v>1655</v>
      </c>
      <c r="D113" s="2">
        <v>45658</v>
      </c>
      <c r="E113" s="2" t="s">
        <v>1106</v>
      </c>
      <c r="F113" s="2" t="s">
        <v>975</v>
      </c>
      <c r="G113" s="2">
        <v>45663</v>
      </c>
      <c r="H113" s="2">
        <v>46027</v>
      </c>
      <c r="I113" s="2" t="s">
        <v>1656</v>
      </c>
      <c r="J113" s="2">
        <v>3530186306034</v>
      </c>
      <c r="K113" s="2" t="s">
        <v>578</v>
      </c>
      <c r="L113" s="2" t="s">
        <v>976</v>
      </c>
      <c r="M113" s="2" t="s">
        <v>977</v>
      </c>
      <c r="N113" s="2" t="s">
        <v>978</v>
      </c>
      <c r="O113" s="2" t="s">
        <v>1655</v>
      </c>
      <c r="P113" s="2" t="s">
        <v>1109</v>
      </c>
      <c r="Q113" s="2" t="s">
        <v>1116</v>
      </c>
      <c r="R113" s="2" t="s">
        <v>1657</v>
      </c>
      <c r="S113" s="2">
        <v>44936</v>
      </c>
      <c r="T113" s="2">
        <v>46392</v>
      </c>
      <c r="U113" s="2">
        <v>1475000</v>
      </c>
      <c r="V113" s="2">
        <v>15</v>
      </c>
      <c r="W113" s="2">
        <v>221250</v>
      </c>
      <c r="X113" s="2">
        <v>1253750</v>
      </c>
      <c r="Y113" s="2">
        <v>2</v>
      </c>
      <c r="Z113" s="2">
        <v>25075</v>
      </c>
      <c r="AA113" s="2"/>
      <c r="AB113" s="2"/>
      <c r="AC113" s="2" t="s">
        <v>1301</v>
      </c>
      <c r="AD113" s="2">
        <v>1141072794</v>
      </c>
      <c r="AE113" s="2">
        <v>45720</v>
      </c>
      <c r="AF113" s="2" t="s">
        <v>1113</v>
      </c>
      <c r="AG113" s="2">
        <v>0</v>
      </c>
      <c r="AH113" s="2" t="s">
        <v>975</v>
      </c>
      <c r="AI113" s="4">
        <v>25075</v>
      </c>
      <c r="AJ113" s="2">
        <v>0</v>
      </c>
      <c r="AK113" s="2" t="s">
        <v>4</v>
      </c>
    </row>
    <row r="114" spans="1:37" x14ac:dyDescent="0.2">
      <c r="A114" s="12">
        <v>113</v>
      </c>
      <c r="B114" s="2" t="s">
        <v>1295</v>
      </c>
      <c r="C114" s="2" t="s">
        <v>1658</v>
      </c>
      <c r="D114" s="2">
        <v>45658</v>
      </c>
      <c r="E114" s="2" t="s">
        <v>1106</v>
      </c>
      <c r="F114" s="2" t="s">
        <v>891</v>
      </c>
      <c r="G114" s="2">
        <v>45683</v>
      </c>
      <c r="H114" s="2">
        <v>46047</v>
      </c>
      <c r="I114" s="2" t="s">
        <v>1659</v>
      </c>
      <c r="J114" s="2">
        <v>3520228405205</v>
      </c>
      <c r="K114" s="2" t="s">
        <v>46</v>
      </c>
      <c r="L114" s="2" t="s">
        <v>892</v>
      </c>
      <c r="M114" s="2" t="s">
        <v>893</v>
      </c>
      <c r="N114" s="2" t="s">
        <v>894</v>
      </c>
      <c r="O114" s="2" t="s">
        <v>1658</v>
      </c>
      <c r="P114" s="2" t="s">
        <v>1109</v>
      </c>
      <c r="Q114" s="2" t="s">
        <v>1116</v>
      </c>
      <c r="R114" s="2" t="s">
        <v>1660</v>
      </c>
      <c r="S114" s="2">
        <v>44958</v>
      </c>
      <c r="T114" s="2">
        <v>46058</v>
      </c>
      <c r="U114" s="2">
        <v>3909000</v>
      </c>
      <c r="V114" s="2">
        <v>15</v>
      </c>
      <c r="W114" s="2">
        <v>586350</v>
      </c>
      <c r="X114" s="2">
        <v>3322650</v>
      </c>
      <c r="Y114" s="2">
        <v>1.5</v>
      </c>
      <c r="Z114" s="2">
        <v>49839.75</v>
      </c>
      <c r="AA114" s="2"/>
      <c r="AB114" s="2"/>
      <c r="AC114" s="2" t="s">
        <v>1301</v>
      </c>
      <c r="AD114" s="2">
        <v>1141072794</v>
      </c>
      <c r="AE114" s="2">
        <v>45720</v>
      </c>
      <c r="AF114" s="2" t="s">
        <v>1113</v>
      </c>
      <c r="AG114" s="2">
        <v>12</v>
      </c>
      <c r="AH114" s="2" t="s">
        <v>891</v>
      </c>
      <c r="AI114" s="4">
        <v>49840</v>
      </c>
      <c r="AJ114" s="2">
        <v>0.25</v>
      </c>
      <c r="AK114" s="2" t="s">
        <v>4</v>
      </c>
    </row>
    <row r="115" spans="1:37" x14ac:dyDescent="0.2">
      <c r="A115" s="12">
        <v>114</v>
      </c>
      <c r="B115" s="2" t="s">
        <v>1295</v>
      </c>
      <c r="C115" s="2" t="s">
        <v>1661</v>
      </c>
      <c r="D115" s="2">
        <v>45658</v>
      </c>
      <c r="E115" s="2" t="s">
        <v>1106</v>
      </c>
      <c r="F115" s="2" t="s">
        <v>240</v>
      </c>
      <c r="G115" s="2">
        <v>45659</v>
      </c>
      <c r="H115" s="2">
        <v>46023</v>
      </c>
      <c r="I115" s="2" t="s">
        <v>1662</v>
      </c>
      <c r="J115" s="2">
        <v>4220177591039</v>
      </c>
      <c r="K115" s="2" t="s">
        <v>241</v>
      </c>
      <c r="L115" s="2" t="s">
        <v>242</v>
      </c>
      <c r="M115" s="2" t="s">
        <v>243</v>
      </c>
      <c r="N115" s="2" t="s">
        <v>244</v>
      </c>
      <c r="O115" s="2" t="s">
        <v>1661</v>
      </c>
      <c r="P115" s="2" t="s">
        <v>1143</v>
      </c>
      <c r="Q115" s="2" t="s">
        <v>1144</v>
      </c>
      <c r="R115" s="2" t="s">
        <v>1663</v>
      </c>
      <c r="S115" s="2">
        <v>44944</v>
      </c>
      <c r="T115" s="2">
        <v>46788</v>
      </c>
      <c r="U115" s="2">
        <v>3206000</v>
      </c>
      <c r="V115" s="2">
        <v>15</v>
      </c>
      <c r="W115" s="2">
        <v>480900</v>
      </c>
      <c r="X115" s="2">
        <v>2725100</v>
      </c>
      <c r="Y115" s="2">
        <v>2</v>
      </c>
      <c r="Z115" s="2">
        <v>54502</v>
      </c>
      <c r="AA115" s="2"/>
      <c r="AB115" s="2"/>
      <c r="AC115" s="2" t="s">
        <v>1301</v>
      </c>
      <c r="AD115" s="2">
        <v>1141072794</v>
      </c>
      <c r="AE115" s="2">
        <v>45720</v>
      </c>
      <c r="AF115" s="2" t="s">
        <v>1113</v>
      </c>
      <c r="AG115" s="2">
        <v>12</v>
      </c>
      <c r="AH115" s="2" t="s">
        <v>240</v>
      </c>
      <c r="AI115" s="4">
        <v>54502</v>
      </c>
      <c r="AJ115" s="2">
        <v>0</v>
      </c>
      <c r="AK115" s="2" t="s">
        <v>4</v>
      </c>
    </row>
    <row r="116" spans="1:37" x14ac:dyDescent="0.2">
      <c r="A116" s="12">
        <v>115</v>
      </c>
      <c r="B116" s="2" t="s">
        <v>1295</v>
      </c>
      <c r="C116" s="2" t="s">
        <v>1664</v>
      </c>
      <c r="D116" s="2">
        <v>45658</v>
      </c>
      <c r="E116" s="2" t="s">
        <v>1106</v>
      </c>
      <c r="F116" s="2" t="s">
        <v>833</v>
      </c>
      <c r="G116" s="2">
        <v>45669</v>
      </c>
      <c r="H116" s="2">
        <v>46033</v>
      </c>
      <c r="I116" s="2" t="s">
        <v>1665</v>
      </c>
      <c r="J116" s="2">
        <v>3540197730097</v>
      </c>
      <c r="K116" s="2" t="s">
        <v>578</v>
      </c>
      <c r="L116" s="2" t="s">
        <v>834</v>
      </c>
      <c r="M116" s="2" t="s">
        <v>835</v>
      </c>
      <c r="N116" s="2" t="s">
        <v>836</v>
      </c>
      <c r="O116" s="2" t="s">
        <v>1664</v>
      </c>
      <c r="P116" s="2" t="s">
        <v>1109</v>
      </c>
      <c r="Q116" s="2" t="s">
        <v>1116</v>
      </c>
      <c r="R116" s="2" t="s">
        <v>1666</v>
      </c>
      <c r="S116" s="2">
        <v>44942</v>
      </c>
      <c r="T116" s="2">
        <v>46788</v>
      </c>
      <c r="U116" s="2">
        <v>1976000</v>
      </c>
      <c r="V116" s="2">
        <v>15</v>
      </c>
      <c r="W116" s="2">
        <v>296400</v>
      </c>
      <c r="X116" s="2">
        <v>1679600</v>
      </c>
      <c r="Y116" s="2">
        <v>2</v>
      </c>
      <c r="Z116" s="2">
        <v>33592</v>
      </c>
      <c r="AA116" s="2"/>
      <c r="AB116" s="2"/>
      <c r="AC116" s="2" t="s">
        <v>1301</v>
      </c>
      <c r="AD116" s="2">
        <v>1141072794</v>
      </c>
      <c r="AE116" s="2">
        <v>45720</v>
      </c>
      <c r="AF116" s="2" t="s">
        <v>1113</v>
      </c>
      <c r="AG116" s="2">
        <v>0</v>
      </c>
      <c r="AH116" s="2" t="s">
        <v>833</v>
      </c>
      <c r="AI116" s="4">
        <v>33592</v>
      </c>
      <c r="AJ116" s="2">
        <v>0</v>
      </c>
      <c r="AK116" s="2" t="s">
        <v>4</v>
      </c>
    </row>
    <row r="117" spans="1:37" x14ac:dyDescent="0.2">
      <c r="A117" s="12">
        <v>116</v>
      </c>
      <c r="B117" s="2" t="s">
        <v>1295</v>
      </c>
      <c r="C117" s="2" t="s">
        <v>1667</v>
      </c>
      <c r="D117" s="2">
        <v>45658</v>
      </c>
      <c r="E117" s="2" t="s">
        <v>1106</v>
      </c>
      <c r="F117" s="2" t="s">
        <v>824</v>
      </c>
      <c r="G117" s="2">
        <v>45660</v>
      </c>
      <c r="H117" s="2">
        <v>46024</v>
      </c>
      <c r="I117" s="2" t="s">
        <v>1668</v>
      </c>
      <c r="J117" s="2">
        <v>3210302099336</v>
      </c>
      <c r="K117" s="2" t="s">
        <v>187</v>
      </c>
      <c r="L117" s="2" t="s">
        <v>825</v>
      </c>
      <c r="M117" s="2" t="s">
        <v>826</v>
      </c>
      <c r="N117" s="2" t="s">
        <v>827</v>
      </c>
      <c r="O117" s="2" t="s">
        <v>1667</v>
      </c>
      <c r="P117" s="2" t="s">
        <v>1109</v>
      </c>
      <c r="Q117" s="2" t="s">
        <v>1669</v>
      </c>
      <c r="R117" s="2" t="s">
        <v>1670</v>
      </c>
      <c r="S117" s="2">
        <v>44931</v>
      </c>
      <c r="T117" s="2">
        <v>46757</v>
      </c>
      <c r="U117" s="2">
        <v>3024000</v>
      </c>
      <c r="V117" s="2">
        <v>15</v>
      </c>
      <c r="W117" s="2">
        <v>453600</v>
      </c>
      <c r="X117" s="2">
        <v>2570400</v>
      </c>
      <c r="Y117" s="2">
        <v>2</v>
      </c>
      <c r="Z117" s="2">
        <v>51408</v>
      </c>
      <c r="AA117" s="2"/>
      <c r="AB117" s="2"/>
      <c r="AC117" s="2" t="s">
        <v>1301</v>
      </c>
      <c r="AD117" s="2">
        <v>1141072794</v>
      </c>
      <c r="AE117" s="2">
        <v>45720</v>
      </c>
      <c r="AF117" s="2" t="s">
        <v>1113</v>
      </c>
      <c r="AG117" s="2">
        <v>0</v>
      </c>
      <c r="AH117" s="2" t="s">
        <v>824</v>
      </c>
      <c r="AI117" s="4">
        <v>51408</v>
      </c>
      <c r="AJ117" s="2">
        <v>0</v>
      </c>
      <c r="AK117" s="2" t="s">
        <v>4</v>
      </c>
    </row>
    <row r="118" spans="1:37" x14ac:dyDescent="0.2">
      <c r="A118" s="12">
        <v>117</v>
      </c>
      <c r="B118" s="2" t="s">
        <v>1295</v>
      </c>
      <c r="C118" s="2" t="s">
        <v>1671</v>
      </c>
      <c r="D118" s="2">
        <v>45658</v>
      </c>
      <c r="E118" s="2" t="s">
        <v>1106</v>
      </c>
      <c r="F118" s="2" t="s">
        <v>828</v>
      </c>
      <c r="G118" s="2">
        <v>45669</v>
      </c>
      <c r="H118" s="2">
        <v>46033</v>
      </c>
      <c r="I118" s="2" t="s">
        <v>1672</v>
      </c>
      <c r="J118" s="2">
        <v>3520281465943</v>
      </c>
      <c r="K118" s="2" t="s">
        <v>829</v>
      </c>
      <c r="L118" s="2" t="s">
        <v>830</v>
      </c>
      <c r="M118" s="2" t="s">
        <v>831</v>
      </c>
      <c r="N118" s="2" t="s">
        <v>832</v>
      </c>
      <c r="O118" s="2" t="s">
        <v>1671</v>
      </c>
      <c r="P118" s="2" t="s">
        <v>1109</v>
      </c>
      <c r="Q118" s="2" t="s">
        <v>1116</v>
      </c>
      <c r="R118" s="2" t="s">
        <v>1673</v>
      </c>
      <c r="S118" s="2">
        <v>44939</v>
      </c>
      <c r="T118" s="2">
        <v>46027</v>
      </c>
      <c r="U118" s="2">
        <v>6143000</v>
      </c>
      <c r="V118" s="2">
        <v>15</v>
      </c>
      <c r="W118" s="2">
        <v>921450</v>
      </c>
      <c r="X118" s="2">
        <v>5221550</v>
      </c>
      <c r="Y118" s="2">
        <v>1.5</v>
      </c>
      <c r="Z118" s="2">
        <v>78323.25</v>
      </c>
      <c r="AA118" s="2"/>
      <c r="AB118" s="2"/>
      <c r="AC118" s="2" t="s">
        <v>1301</v>
      </c>
      <c r="AD118" s="2">
        <v>1141072794</v>
      </c>
      <c r="AE118" s="2">
        <v>45720</v>
      </c>
      <c r="AF118" s="2" t="s">
        <v>1113</v>
      </c>
      <c r="AG118" s="2">
        <v>12</v>
      </c>
      <c r="AH118" s="2" t="s">
        <v>828</v>
      </c>
      <c r="AI118" s="4">
        <v>78323</v>
      </c>
      <c r="AJ118" s="2">
        <v>-0.25</v>
      </c>
      <c r="AK118" s="2" t="s">
        <v>4</v>
      </c>
    </row>
    <row r="119" spans="1:37" x14ac:dyDescent="0.2">
      <c r="A119" s="12">
        <v>118</v>
      </c>
      <c r="B119" s="2" t="s">
        <v>1295</v>
      </c>
      <c r="C119" s="2" t="s">
        <v>1674</v>
      </c>
      <c r="D119" s="2">
        <v>45658</v>
      </c>
      <c r="E119" s="2" t="s">
        <v>1106</v>
      </c>
      <c r="F119" s="2" t="s">
        <v>942</v>
      </c>
      <c r="G119" s="2">
        <v>45662</v>
      </c>
      <c r="H119" s="2">
        <v>46026</v>
      </c>
      <c r="I119" s="2" t="s">
        <v>1675</v>
      </c>
      <c r="J119" s="2">
        <v>3520252504579</v>
      </c>
      <c r="K119" s="2" t="s">
        <v>433</v>
      </c>
      <c r="L119" s="2" t="s">
        <v>943</v>
      </c>
      <c r="M119" s="2" t="s">
        <v>944</v>
      </c>
      <c r="N119" s="2" t="s">
        <v>945</v>
      </c>
      <c r="O119" s="2" t="s">
        <v>1674</v>
      </c>
      <c r="P119" s="2" t="s">
        <v>1109</v>
      </c>
      <c r="Q119" s="2" t="s">
        <v>1116</v>
      </c>
      <c r="R119" s="2" t="s">
        <v>1676</v>
      </c>
      <c r="S119" s="2">
        <v>44937</v>
      </c>
      <c r="T119" s="2">
        <v>46757</v>
      </c>
      <c r="U119" s="2">
        <v>2100000</v>
      </c>
      <c r="V119" s="2">
        <v>15</v>
      </c>
      <c r="W119" s="2">
        <v>315000</v>
      </c>
      <c r="X119" s="2">
        <v>1785000</v>
      </c>
      <c r="Y119" s="2">
        <v>2</v>
      </c>
      <c r="Z119" s="2">
        <v>35700</v>
      </c>
      <c r="AA119" s="2"/>
      <c r="AB119" s="2"/>
      <c r="AC119" s="2" t="s">
        <v>1301</v>
      </c>
      <c r="AD119" s="2">
        <v>1141072794</v>
      </c>
      <c r="AE119" s="2">
        <v>45720</v>
      </c>
      <c r="AF119" s="2" t="s">
        <v>1113</v>
      </c>
      <c r="AG119" s="2">
        <v>12</v>
      </c>
      <c r="AH119" s="2" t="s">
        <v>942</v>
      </c>
      <c r="AI119" s="4">
        <v>35700</v>
      </c>
      <c r="AJ119" s="2">
        <v>0</v>
      </c>
      <c r="AK119" s="2" t="s">
        <v>4</v>
      </c>
    </row>
    <row r="120" spans="1:37" x14ac:dyDescent="0.2">
      <c r="A120" s="12">
        <v>119</v>
      </c>
      <c r="B120" s="2" t="s">
        <v>1295</v>
      </c>
      <c r="C120" s="2" t="s">
        <v>1677</v>
      </c>
      <c r="D120" s="2">
        <v>45658</v>
      </c>
      <c r="E120" s="2" t="s">
        <v>1106</v>
      </c>
      <c r="F120" s="2" t="s">
        <v>907</v>
      </c>
      <c r="G120" s="2">
        <v>45662</v>
      </c>
      <c r="H120" s="2">
        <v>46026</v>
      </c>
      <c r="I120" s="2" t="s">
        <v>1678</v>
      </c>
      <c r="J120" s="2">
        <v>3520210175271</v>
      </c>
      <c r="K120" s="2" t="s">
        <v>637</v>
      </c>
      <c r="L120" s="2" t="s">
        <v>908</v>
      </c>
      <c r="M120" s="2" t="s">
        <v>909</v>
      </c>
      <c r="N120" s="2" t="s">
        <v>910</v>
      </c>
      <c r="O120" s="2" t="s">
        <v>1677</v>
      </c>
      <c r="P120" s="2" t="s">
        <v>1109</v>
      </c>
      <c r="Q120" s="2" t="s">
        <v>1116</v>
      </c>
      <c r="R120" s="2" t="s">
        <v>1679</v>
      </c>
      <c r="S120" s="2">
        <v>44937</v>
      </c>
      <c r="T120" s="2">
        <v>46757</v>
      </c>
      <c r="U120" s="2">
        <v>2350000</v>
      </c>
      <c r="V120" s="2">
        <v>15</v>
      </c>
      <c r="W120" s="2">
        <v>352500</v>
      </c>
      <c r="X120" s="2">
        <v>1997500</v>
      </c>
      <c r="Y120" s="2">
        <v>2</v>
      </c>
      <c r="Z120" s="2">
        <v>39950</v>
      </c>
      <c r="AA120" s="2"/>
      <c r="AB120" s="2"/>
      <c r="AC120" s="2" t="s">
        <v>1301</v>
      </c>
      <c r="AD120" s="2">
        <v>1141072794</v>
      </c>
      <c r="AE120" s="2">
        <v>45720</v>
      </c>
      <c r="AF120" s="2" t="s">
        <v>1113</v>
      </c>
      <c r="AG120" s="2">
        <v>0</v>
      </c>
      <c r="AH120" s="2" t="s">
        <v>907</v>
      </c>
      <c r="AI120" s="4">
        <v>39950</v>
      </c>
      <c r="AJ120" s="2">
        <v>0</v>
      </c>
      <c r="AK120" s="2" t="s">
        <v>4</v>
      </c>
    </row>
    <row r="121" spans="1:37" x14ac:dyDescent="0.2">
      <c r="A121" s="12">
        <v>120</v>
      </c>
      <c r="B121" s="2" t="s">
        <v>1295</v>
      </c>
      <c r="C121" s="2" t="s">
        <v>1680</v>
      </c>
      <c r="D121" s="2">
        <v>45658</v>
      </c>
      <c r="E121" s="2" t="s">
        <v>1106</v>
      </c>
      <c r="F121" s="2" t="s">
        <v>841</v>
      </c>
      <c r="G121" s="2">
        <v>45673</v>
      </c>
      <c r="H121" s="2">
        <v>46037</v>
      </c>
      <c r="I121" s="2" t="s">
        <v>1681</v>
      </c>
      <c r="J121" s="2">
        <v>3520112137297</v>
      </c>
      <c r="K121" s="2" t="s">
        <v>842</v>
      </c>
      <c r="L121" s="2" t="s">
        <v>843</v>
      </c>
      <c r="M121" s="2" t="s">
        <v>844</v>
      </c>
      <c r="N121" s="2" t="s">
        <v>845</v>
      </c>
      <c r="O121" s="2" t="s">
        <v>1680</v>
      </c>
      <c r="P121" s="2" t="s">
        <v>1109</v>
      </c>
      <c r="Q121" s="2" t="s">
        <v>1116</v>
      </c>
      <c r="R121" s="2" t="s">
        <v>1682</v>
      </c>
      <c r="S121" s="2">
        <v>44942</v>
      </c>
      <c r="T121" s="2">
        <v>46058</v>
      </c>
      <c r="U121" s="2">
        <v>4200000</v>
      </c>
      <c r="V121" s="2">
        <v>15</v>
      </c>
      <c r="W121" s="2">
        <v>630000</v>
      </c>
      <c r="X121" s="2">
        <v>3570000</v>
      </c>
      <c r="Y121" s="2">
        <v>1.5</v>
      </c>
      <c r="Z121" s="2">
        <v>53550</v>
      </c>
      <c r="AA121" s="2"/>
      <c r="AB121" s="2"/>
      <c r="AC121" s="2" t="s">
        <v>1301</v>
      </c>
      <c r="AD121" s="2">
        <v>1141072794</v>
      </c>
      <c r="AE121" s="2">
        <v>45720</v>
      </c>
      <c r="AF121" s="2" t="s">
        <v>1113</v>
      </c>
      <c r="AG121" s="2">
        <v>0</v>
      </c>
      <c r="AH121" s="2" t="s">
        <v>841</v>
      </c>
      <c r="AI121" s="4">
        <v>53550</v>
      </c>
      <c r="AJ121" s="2">
        <v>0</v>
      </c>
      <c r="AK121" s="2" t="s">
        <v>4</v>
      </c>
    </row>
    <row r="122" spans="1:37" x14ac:dyDescent="0.2">
      <c r="A122" s="12">
        <v>121</v>
      </c>
      <c r="B122" s="2" t="s">
        <v>1295</v>
      </c>
      <c r="C122" s="2" t="s">
        <v>1683</v>
      </c>
      <c r="D122" s="2">
        <v>45658</v>
      </c>
      <c r="E122" s="2" t="s">
        <v>1106</v>
      </c>
      <c r="F122" s="2" t="s">
        <v>1063</v>
      </c>
      <c r="G122" s="2">
        <v>45667</v>
      </c>
      <c r="H122" s="2">
        <v>46031</v>
      </c>
      <c r="I122" s="2" t="s">
        <v>1684</v>
      </c>
      <c r="J122" s="2">
        <v>3520274634785</v>
      </c>
      <c r="K122" s="2" t="s">
        <v>29</v>
      </c>
      <c r="L122" s="2" t="s">
        <v>1064</v>
      </c>
      <c r="M122" s="2" t="s">
        <v>1065</v>
      </c>
      <c r="N122" s="2" t="s">
        <v>1066</v>
      </c>
      <c r="O122" s="2" t="s">
        <v>1683</v>
      </c>
      <c r="P122" s="2" t="s">
        <v>1109</v>
      </c>
      <c r="Q122" s="2" t="s">
        <v>1116</v>
      </c>
      <c r="R122" s="2" t="s">
        <v>1685</v>
      </c>
      <c r="S122" s="2">
        <v>44943</v>
      </c>
      <c r="T122" s="2">
        <v>46058</v>
      </c>
      <c r="U122" s="2">
        <v>1175000</v>
      </c>
      <c r="V122" s="2">
        <v>15</v>
      </c>
      <c r="W122" s="2">
        <v>176250</v>
      </c>
      <c r="X122" s="2">
        <v>998750</v>
      </c>
      <c r="Y122" s="2">
        <v>2</v>
      </c>
      <c r="Z122" s="2">
        <v>19975</v>
      </c>
      <c r="AA122" s="2"/>
      <c r="AB122" s="2"/>
      <c r="AC122" s="2" t="s">
        <v>1301</v>
      </c>
      <c r="AD122" s="2">
        <v>1141072794</v>
      </c>
      <c r="AE122" s="2">
        <v>45720</v>
      </c>
      <c r="AF122" s="2" t="s">
        <v>1113</v>
      </c>
      <c r="AG122" s="2">
        <v>0</v>
      </c>
      <c r="AH122" s="2" t="s">
        <v>1063</v>
      </c>
      <c r="AI122" s="4">
        <v>19975</v>
      </c>
      <c r="AJ122" s="2">
        <v>0</v>
      </c>
      <c r="AK122" s="2" t="s">
        <v>4</v>
      </c>
    </row>
    <row r="123" spans="1:37" x14ac:dyDescent="0.2">
      <c r="A123" s="12">
        <v>122</v>
      </c>
      <c r="B123" s="2" t="s">
        <v>1295</v>
      </c>
      <c r="C123" s="2" t="s">
        <v>1686</v>
      </c>
      <c r="D123" s="2">
        <v>45658</v>
      </c>
      <c r="E123" s="2" t="s">
        <v>1106</v>
      </c>
      <c r="F123" s="2" t="s">
        <v>850</v>
      </c>
      <c r="G123" s="2">
        <v>45675</v>
      </c>
      <c r="H123" s="2">
        <v>46039</v>
      </c>
      <c r="I123" s="2" t="s">
        <v>1687</v>
      </c>
      <c r="J123" s="2">
        <v>3460321250357</v>
      </c>
      <c r="K123" s="2" t="s">
        <v>851</v>
      </c>
      <c r="L123" s="2" t="s">
        <v>852</v>
      </c>
      <c r="M123" s="2" t="s">
        <v>853</v>
      </c>
      <c r="N123" s="2" t="s">
        <v>854</v>
      </c>
      <c r="O123" s="2" t="s">
        <v>1686</v>
      </c>
      <c r="P123" s="2" t="s">
        <v>1109</v>
      </c>
      <c r="Q123" s="2" t="s">
        <v>1116</v>
      </c>
      <c r="R123" s="2" t="s">
        <v>1688</v>
      </c>
      <c r="S123" s="2">
        <v>44946</v>
      </c>
      <c r="T123" s="2">
        <v>46788</v>
      </c>
      <c r="U123" s="2">
        <v>900000</v>
      </c>
      <c r="V123" s="2">
        <v>15</v>
      </c>
      <c r="W123" s="2">
        <v>135000</v>
      </c>
      <c r="X123" s="2">
        <v>765000</v>
      </c>
      <c r="Y123" s="2">
        <v>2</v>
      </c>
      <c r="Z123" s="2">
        <v>15300</v>
      </c>
      <c r="AA123" s="2"/>
      <c r="AB123" s="2"/>
      <c r="AC123" s="2" t="s">
        <v>1301</v>
      </c>
      <c r="AD123" s="2">
        <v>1141072794</v>
      </c>
      <c r="AE123" s="2">
        <v>45720</v>
      </c>
      <c r="AF123" s="2" t="s">
        <v>1113</v>
      </c>
      <c r="AG123" s="2">
        <v>0</v>
      </c>
      <c r="AH123" s="2" t="s">
        <v>850</v>
      </c>
      <c r="AI123" s="4">
        <v>15300</v>
      </c>
      <c r="AJ123" s="2">
        <v>0</v>
      </c>
      <c r="AK123" s="2" t="s">
        <v>4</v>
      </c>
    </row>
    <row r="124" spans="1:37" x14ac:dyDescent="0.2">
      <c r="A124" s="12">
        <v>123</v>
      </c>
      <c r="B124" s="2" t="s">
        <v>1295</v>
      </c>
      <c r="C124" s="2" t="s">
        <v>1689</v>
      </c>
      <c r="D124" s="2">
        <v>45658</v>
      </c>
      <c r="E124" s="2" t="s">
        <v>1106</v>
      </c>
      <c r="F124" s="2" t="s">
        <v>855</v>
      </c>
      <c r="G124" s="2">
        <v>45676</v>
      </c>
      <c r="H124" s="2">
        <v>46040</v>
      </c>
      <c r="I124" s="2" t="s">
        <v>1690</v>
      </c>
      <c r="J124" s="2">
        <v>3520222069085</v>
      </c>
      <c r="K124" s="2" t="s">
        <v>856</v>
      </c>
      <c r="L124" s="2" t="s">
        <v>857</v>
      </c>
      <c r="M124" s="2" t="s">
        <v>858</v>
      </c>
      <c r="N124" s="2" t="s">
        <v>859</v>
      </c>
      <c r="O124" s="2" t="s">
        <v>1689</v>
      </c>
      <c r="P124" s="2" t="s">
        <v>1109</v>
      </c>
      <c r="Q124" s="2" t="s">
        <v>1116</v>
      </c>
      <c r="R124" s="2" t="s">
        <v>1691</v>
      </c>
      <c r="S124" s="2">
        <v>44949</v>
      </c>
      <c r="T124" s="2">
        <v>46058</v>
      </c>
      <c r="U124" s="2">
        <v>3194000</v>
      </c>
      <c r="V124" s="2">
        <v>15</v>
      </c>
      <c r="W124" s="2">
        <v>479100</v>
      </c>
      <c r="X124" s="2">
        <v>2714900</v>
      </c>
      <c r="Y124" s="2">
        <v>2</v>
      </c>
      <c r="Z124" s="2">
        <v>54298</v>
      </c>
      <c r="AA124" s="2"/>
      <c r="AB124" s="2"/>
      <c r="AC124" s="2" t="s">
        <v>1301</v>
      </c>
      <c r="AD124" s="2">
        <v>1141072794</v>
      </c>
      <c r="AE124" s="2">
        <v>45720</v>
      </c>
      <c r="AF124" s="2" t="s">
        <v>1113</v>
      </c>
      <c r="AG124" s="2">
        <v>0</v>
      </c>
      <c r="AH124" s="2" t="s">
        <v>855</v>
      </c>
      <c r="AI124" s="4">
        <v>54298</v>
      </c>
      <c r="AJ124" s="2">
        <v>0</v>
      </c>
      <c r="AK124" s="2" t="s">
        <v>4</v>
      </c>
    </row>
    <row r="125" spans="1:37" x14ac:dyDescent="0.2">
      <c r="A125" s="12">
        <v>124</v>
      </c>
      <c r="B125" s="2" t="s">
        <v>1295</v>
      </c>
      <c r="C125" s="2" t="s">
        <v>1692</v>
      </c>
      <c r="D125" s="2">
        <v>45658</v>
      </c>
      <c r="E125" s="2" t="s">
        <v>1106</v>
      </c>
      <c r="F125" s="2" t="s">
        <v>864</v>
      </c>
      <c r="G125" s="2">
        <v>45676</v>
      </c>
      <c r="H125" s="2">
        <v>46040</v>
      </c>
      <c r="I125" s="2" t="s">
        <v>1693</v>
      </c>
      <c r="J125" s="2">
        <v>3110406768695</v>
      </c>
      <c r="K125" s="2" t="s">
        <v>433</v>
      </c>
      <c r="L125" s="2" t="s">
        <v>865</v>
      </c>
      <c r="M125" s="2" t="s">
        <v>866</v>
      </c>
      <c r="N125" s="2" t="s">
        <v>867</v>
      </c>
      <c r="O125" s="2" t="s">
        <v>1692</v>
      </c>
      <c r="P125" s="2" t="s">
        <v>1109</v>
      </c>
      <c r="Q125" s="2" t="s">
        <v>1557</v>
      </c>
      <c r="R125" s="2" t="s">
        <v>1694</v>
      </c>
      <c r="S125" s="2">
        <v>44950</v>
      </c>
      <c r="T125" s="2">
        <v>46058</v>
      </c>
      <c r="U125" s="2">
        <v>2050000</v>
      </c>
      <c r="V125" s="2">
        <v>15</v>
      </c>
      <c r="W125" s="2">
        <v>307500</v>
      </c>
      <c r="X125" s="2">
        <v>1742500</v>
      </c>
      <c r="Y125" s="2">
        <v>2</v>
      </c>
      <c r="Z125" s="2">
        <v>34850</v>
      </c>
      <c r="AA125" s="2"/>
      <c r="AB125" s="2"/>
      <c r="AC125" s="2" t="s">
        <v>1301</v>
      </c>
      <c r="AD125" s="2">
        <v>1141072794</v>
      </c>
      <c r="AE125" s="2">
        <v>45720</v>
      </c>
      <c r="AF125" s="2" t="s">
        <v>1113</v>
      </c>
      <c r="AG125" s="2">
        <v>12</v>
      </c>
      <c r="AH125" s="2" t="s">
        <v>864</v>
      </c>
      <c r="AI125" s="4">
        <v>34850</v>
      </c>
      <c r="AJ125" s="2">
        <v>0</v>
      </c>
      <c r="AK125" s="2" t="s">
        <v>4</v>
      </c>
    </row>
    <row r="126" spans="1:37" x14ac:dyDescent="0.2">
      <c r="A126" s="12">
        <v>125</v>
      </c>
      <c r="B126" s="2" t="s">
        <v>1295</v>
      </c>
      <c r="C126" s="2" t="s">
        <v>1695</v>
      </c>
      <c r="D126" s="2">
        <v>45658</v>
      </c>
      <c r="E126" s="2" t="s">
        <v>1106</v>
      </c>
      <c r="F126" s="2" t="s">
        <v>876</v>
      </c>
      <c r="G126" s="2">
        <v>45680</v>
      </c>
      <c r="H126" s="2">
        <v>46044</v>
      </c>
      <c r="I126" s="2" t="s">
        <v>1696</v>
      </c>
      <c r="J126" s="2">
        <v>3520227367845</v>
      </c>
      <c r="K126" s="2" t="s">
        <v>877</v>
      </c>
      <c r="L126" s="2" t="s">
        <v>878</v>
      </c>
      <c r="M126" s="2" t="s">
        <v>879</v>
      </c>
      <c r="N126" s="2" t="s">
        <v>880</v>
      </c>
      <c r="O126" s="2" t="s">
        <v>1695</v>
      </c>
      <c r="P126" s="2" t="s">
        <v>1109</v>
      </c>
      <c r="Q126" s="2" t="s">
        <v>1116</v>
      </c>
      <c r="R126" s="2" t="s">
        <v>1697</v>
      </c>
      <c r="S126" s="2">
        <v>44950</v>
      </c>
      <c r="T126" s="2">
        <v>46058</v>
      </c>
      <c r="U126" s="2">
        <v>4500000</v>
      </c>
      <c r="V126" s="2">
        <v>15</v>
      </c>
      <c r="W126" s="2">
        <v>675000</v>
      </c>
      <c r="X126" s="2">
        <v>3825000</v>
      </c>
      <c r="Y126" s="2">
        <v>1.5</v>
      </c>
      <c r="Z126" s="2">
        <v>57375</v>
      </c>
      <c r="AA126" s="2"/>
      <c r="AB126" s="2"/>
      <c r="AC126" s="2" t="s">
        <v>1301</v>
      </c>
      <c r="AD126" s="2">
        <v>1141072794</v>
      </c>
      <c r="AE126" s="2">
        <v>45720</v>
      </c>
      <c r="AF126" s="2" t="s">
        <v>1113</v>
      </c>
      <c r="AG126" s="2">
        <v>42</v>
      </c>
      <c r="AH126" s="2" t="s">
        <v>876</v>
      </c>
      <c r="AI126" s="4">
        <v>57375</v>
      </c>
      <c r="AJ126" s="2">
        <v>0</v>
      </c>
      <c r="AK126" s="2" t="s">
        <v>4</v>
      </c>
    </row>
    <row r="127" spans="1:37" x14ac:dyDescent="0.2">
      <c r="A127" s="12">
        <v>126</v>
      </c>
      <c r="B127" s="2" t="s">
        <v>1295</v>
      </c>
      <c r="C127" s="2" t="s">
        <v>1698</v>
      </c>
      <c r="D127" s="2">
        <v>45658</v>
      </c>
      <c r="E127" s="2" t="s">
        <v>1106</v>
      </c>
      <c r="F127" s="2" t="s">
        <v>868</v>
      </c>
      <c r="G127" s="2">
        <v>45677</v>
      </c>
      <c r="H127" s="2">
        <v>46041</v>
      </c>
      <c r="I127" s="2" t="s">
        <v>1699</v>
      </c>
      <c r="J127" s="2">
        <v>3520181328572</v>
      </c>
      <c r="K127" s="2" t="s">
        <v>14</v>
      </c>
      <c r="L127" s="2" t="s">
        <v>869</v>
      </c>
      <c r="M127" s="2" t="s">
        <v>870</v>
      </c>
      <c r="N127" s="2" t="s">
        <v>871</v>
      </c>
      <c r="O127" s="2" t="s">
        <v>1698</v>
      </c>
      <c r="P127" s="2" t="s">
        <v>1109</v>
      </c>
      <c r="Q127" s="2" t="s">
        <v>1116</v>
      </c>
      <c r="R127" s="2" t="s">
        <v>1700</v>
      </c>
      <c r="S127" s="2">
        <v>44951</v>
      </c>
      <c r="T127" s="2">
        <v>46423</v>
      </c>
      <c r="U127" s="2">
        <v>2280000</v>
      </c>
      <c r="V127" s="2">
        <v>15</v>
      </c>
      <c r="W127" s="2">
        <v>342000</v>
      </c>
      <c r="X127" s="2">
        <v>1938000</v>
      </c>
      <c r="Y127" s="2">
        <v>2</v>
      </c>
      <c r="Z127" s="2">
        <v>38760</v>
      </c>
      <c r="AA127" s="2"/>
      <c r="AB127" s="2"/>
      <c r="AC127" s="2" t="s">
        <v>1301</v>
      </c>
      <c r="AD127" s="2">
        <v>1141072794</v>
      </c>
      <c r="AE127" s="2">
        <v>45720</v>
      </c>
      <c r="AF127" s="2" t="s">
        <v>1113</v>
      </c>
      <c r="AG127" s="2">
        <v>0</v>
      </c>
      <c r="AH127" s="2" t="s">
        <v>868</v>
      </c>
      <c r="AI127" s="4">
        <v>38760</v>
      </c>
      <c r="AJ127" s="2">
        <v>0</v>
      </c>
      <c r="AK127" s="2" t="s">
        <v>4</v>
      </c>
    </row>
    <row r="128" spans="1:37" x14ac:dyDescent="0.2">
      <c r="A128" s="12">
        <v>127</v>
      </c>
      <c r="B128" s="2" t="s">
        <v>1295</v>
      </c>
      <c r="C128" s="2" t="s">
        <v>1701</v>
      </c>
      <c r="D128" s="2">
        <v>45658</v>
      </c>
      <c r="E128" s="2" t="s">
        <v>1106</v>
      </c>
      <c r="F128" s="2" t="s">
        <v>932</v>
      </c>
      <c r="G128" s="2">
        <v>45688</v>
      </c>
      <c r="H128" s="2">
        <v>46052</v>
      </c>
      <c r="I128" s="2" t="s">
        <v>1702</v>
      </c>
      <c r="J128" s="2">
        <v>3540118892373</v>
      </c>
      <c r="K128" s="2" t="s">
        <v>933</v>
      </c>
      <c r="L128" s="2" t="s">
        <v>934</v>
      </c>
      <c r="M128" s="2" t="s">
        <v>935</v>
      </c>
      <c r="N128" s="2" t="s">
        <v>936</v>
      </c>
      <c r="O128" s="2" t="s">
        <v>1701</v>
      </c>
      <c r="P128" s="2" t="s">
        <v>1109</v>
      </c>
      <c r="Q128" s="2" t="s">
        <v>1116</v>
      </c>
      <c r="R128" s="2" t="s">
        <v>1703</v>
      </c>
      <c r="S128" s="2">
        <v>44960</v>
      </c>
      <c r="T128" s="2">
        <v>46058</v>
      </c>
      <c r="U128" s="2">
        <v>4209000</v>
      </c>
      <c r="V128" s="2">
        <v>15</v>
      </c>
      <c r="W128" s="2">
        <v>631350</v>
      </c>
      <c r="X128" s="2">
        <v>3577650</v>
      </c>
      <c r="Y128" s="2">
        <v>1.5</v>
      </c>
      <c r="Z128" s="2">
        <v>53664.75</v>
      </c>
      <c r="AA128" s="2"/>
      <c r="AB128" s="2"/>
      <c r="AC128" s="2" t="s">
        <v>1301</v>
      </c>
      <c r="AD128" s="2">
        <v>1141072794</v>
      </c>
      <c r="AE128" s="2">
        <v>45720</v>
      </c>
      <c r="AF128" s="2" t="s">
        <v>1113</v>
      </c>
      <c r="AG128" s="2">
        <v>0</v>
      </c>
      <c r="AH128" s="2" t="s">
        <v>932</v>
      </c>
      <c r="AI128" s="4">
        <v>53665</v>
      </c>
      <c r="AJ128" s="2">
        <v>0.25</v>
      </c>
      <c r="AK128" s="2" t="s">
        <v>4</v>
      </c>
    </row>
    <row r="129" spans="1:37" x14ac:dyDescent="0.2">
      <c r="A129" s="12">
        <v>128</v>
      </c>
      <c r="B129" s="2" t="s">
        <v>1295</v>
      </c>
      <c r="C129" s="2" t="s">
        <v>1704</v>
      </c>
      <c r="D129" s="2">
        <v>45658</v>
      </c>
      <c r="E129" s="2" t="s">
        <v>1106</v>
      </c>
      <c r="F129" s="2" t="s">
        <v>872</v>
      </c>
      <c r="G129" s="2">
        <v>45680</v>
      </c>
      <c r="H129" s="2">
        <v>46044</v>
      </c>
      <c r="I129" s="2" t="s">
        <v>1705</v>
      </c>
      <c r="J129" s="2">
        <v>3310007976385</v>
      </c>
      <c r="K129" s="2" t="s">
        <v>183</v>
      </c>
      <c r="L129" s="2" t="s">
        <v>873</v>
      </c>
      <c r="M129" s="2" t="s">
        <v>874</v>
      </c>
      <c r="N129" s="2" t="s">
        <v>875</v>
      </c>
      <c r="O129" s="2" t="s">
        <v>1704</v>
      </c>
      <c r="P129" s="2" t="s">
        <v>1109</v>
      </c>
      <c r="Q129" s="2" t="s">
        <v>1129</v>
      </c>
      <c r="R129" s="2" t="s">
        <v>1706</v>
      </c>
      <c r="S129" s="2">
        <v>44952</v>
      </c>
      <c r="T129" s="2">
        <v>46423</v>
      </c>
      <c r="U129" s="2">
        <v>2169000</v>
      </c>
      <c r="V129" s="2">
        <v>15</v>
      </c>
      <c r="W129" s="2">
        <v>325350</v>
      </c>
      <c r="X129" s="2">
        <v>1843650</v>
      </c>
      <c r="Y129" s="2">
        <v>2</v>
      </c>
      <c r="Z129" s="2">
        <v>36873</v>
      </c>
      <c r="AA129" s="2"/>
      <c r="AB129" s="2"/>
      <c r="AC129" s="2" t="s">
        <v>1301</v>
      </c>
      <c r="AD129" s="2">
        <v>1141072794</v>
      </c>
      <c r="AE129" s="2">
        <v>45720</v>
      </c>
      <c r="AF129" s="2" t="s">
        <v>1113</v>
      </c>
      <c r="AG129" s="2">
        <v>0</v>
      </c>
      <c r="AH129" s="2" t="s">
        <v>872</v>
      </c>
      <c r="AI129" s="4">
        <v>36873</v>
      </c>
      <c r="AJ129" s="2">
        <v>0</v>
      </c>
      <c r="AK129" s="2" t="s">
        <v>4</v>
      </c>
    </row>
    <row r="130" spans="1:37" x14ac:dyDescent="0.2">
      <c r="A130" s="12">
        <v>129</v>
      </c>
      <c r="B130" s="2" t="s">
        <v>1295</v>
      </c>
      <c r="C130" s="2" t="s">
        <v>1707</v>
      </c>
      <c r="D130" s="2">
        <v>45658</v>
      </c>
      <c r="E130" s="2" t="s">
        <v>1106</v>
      </c>
      <c r="F130" s="2" t="s">
        <v>881</v>
      </c>
      <c r="G130" s="2">
        <v>45682</v>
      </c>
      <c r="H130" s="2">
        <v>46046</v>
      </c>
      <c r="I130" s="2" t="s">
        <v>1474</v>
      </c>
      <c r="J130" s="2">
        <v>3520160172907</v>
      </c>
      <c r="K130" s="2" t="s">
        <v>882</v>
      </c>
      <c r="L130" s="2" t="s">
        <v>883</v>
      </c>
      <c r="M130" s="2" t="s">
        <v>884</v>
      </c>
      <c r="N130" s="2" t="s">
        <v>885</v>
      </c>
      <c r="O130" s="2" t="s">
        <v>1707</v>
      </c>
      <c r="P130" s="2" t="s">
        <v>1109</v>
      </c>
      <c r="Q130" s="2" t="s">
        <v>1116</v>
      </c>
      <c r="R130" s="2" t="s">
        <v>1708</v>
      </c>
      <c r="S130" s="2">
        <v>44952</v>
      </c>
      <c r="T130" s="2">
        <v>46788</v>
      </c>
      <c r="U130" s="2">
        <v>2535000</v>
      </c>
      <c r="V130" s="2">
        <v>15</v>
      </c>
      <c r="W130" s="2">
        <v>380250</v>
      </c>
      <c r="X130" s="2">
        <v>2154750</v>
      </c>
      <c r="Y130" s="2">
        <v>2</v>
      </c>
      <c r="Z130" s="2">
        <v>43095</v>
      </c>
      <c r="AA130" s="2"/>
      <c r="AB130" s="2"/>
      <c r="AC130" s="2" t="s">
        <v>1301</v>
      </c>
      <c r="AD130" s="2">
        <v>1141072794</v>
      </c>
      <c r="AE130" s="2">
        <v>45720</v>
      </c>
      <c r="AF130" s="2" t="s">
        <v>1113</v>
      </c>
      <c r="AG130" s="2">
        <v>12</v>
      </c>
      <c r="AH130" s="2" t="s">
        <v>881</v>
      </c>
      <c r="AI130" s="4">
        <v>43095</v>
      </c>
      <c r="AJ130" s="2">
        <v>0</v>
      </c>
      <c r="AK130" s="2" t="s">
        <v>4</v>
      </c>
    </row>
    <row r="131" spans="1:37" x14ac:dyDescent="0.2">
      <c r="A131" s="12">
        <v>130</v>
      </c>
      <c r="B131" s="2" t="s">
        <v>1295</v>
      </c>
      <c r="C131" s="2" t="s">
        <v>1709</v>
      </c>
      <c r="D131" s="2">
        <v>45658</v>
      </c>
      <c r="E131" s="2" t="s">
        <v>1106</v>
      </c>
      <c r="F131" s="2" t="s">
        <v>886</v>
      </c>
      <c r="G131" s="2">
        <v>45683</v>
      </c>
      <c r="H131" s="2">
        <v>46047</v>
      </c>
      <c r="I131" s="2" t="s">
        <v>1710</v>
      </c>
      <c r="J131" s="2">
        <v>6110140768543</v>
      </c>
      <c r="K131" s="2" t="s">
        <v>887</v>
      </c>
      <c r="L131" s="2" t="s">
        <v>888</v>
      </c>
      <c r="M131" s="2" t="s">
        <v>889</v>
      </c>
      <c r="N131" s="2" t="s">
        <v>890</v>
      </c>
      <c r="O131" s="2" t="s">
        <v>1709</v>
      </c>
      <c r="P131" s="2" t="s">
        <v>1308</v>
      </c>
      <c r="Q131" s="2" t="s">
        <v>1110</v>
      </c>
      <c r="R131" s="2" t="s">
        <v>1711</v>
      </c>
      <c r="S131" s="2">
        <v>44956</v>
      </c>
      <c r="T131" s="2">
        <v>46058</v>
      </c>
      <c r="U131" s="2">
        <v>4150000</v>
      </c>
      <c r="V131" s="2">
        <v>15</v>
      </c>
      <c r="W131" s="2">
        <v>622500</v>
      </c>
      <c r="X131" s="2">
        <v>3527500</v>
      </c>
      <c r="Y131" s="2">
        <v>1.5</v>
      </c>
      <c r="Z131" s="2">
        <v>52912.5</v>
      </c>
      <c r="AA131" s="2"/>
      <c r="AB131" s="2"/>
      <c r="AC131" s="2" t="s">
        <v>1301</v>
      </c>
      <c r="AD131" s="2">
        <v>1141072794</v>
      </c>
      <c r="AE131" s="2">
        <v>45720</v>
      </c>
      <c r="AF131" s="2" t="s">
        <v>1113</v>
      </c>
      <c r="AG131" s="2">
        <v>12</v>
      </c>
      <c r="AH131" s="2" t="s">
        <v>886</v>
      </c>
      <c r="AI131" s="4">
        <v>52913</v>
      </c>
      <c r="AJ131" s="2">
        <v>0.5</v>
      </c>
      <c r="AK131" s="2" t="s">
        <v>4</v>
      </c>
    </row>
    <row r="132" spans="1:37" x14ac:dyDescent="0.2">
      <c r="A132" s="12">
        <v>131</v>
      </c>
      <c r="B132" s="2" t="s">
        <v>1295</v>
      </c>
      <c r="C132" s="2" t="s">
        <v>1712</v>
      </c>
      <c r="D132" s="2">
        <v>45658</v>
      </c>
      <c r="E132" s="2" t="s">
        <v>1106</v>
      </c>
      <c r="F132" s="2" t="s">
        <v>911</v>
      </c>
      <c r="G132" s="2">
        <v>45687</v>
      </c>
      <c r="H132" s="2">
        <v>46051</v>
      </c>
      <c r="I132" s="2" t="s">
        <v>1713</v>
      </c>
      <c r="J132" s="2">
        <v>4240117518985</v>
      </c>
      <c r="K132" s="2" t="s">
        <v>11</v>
      </c>
      <c r="L132" s="2" t="s">
        <v>912</v>
      </c>
      <c r="M132" s="2" t="s">
        <v>913</v>
      </c>
      <c r="N132" s="2" t="s">
        <v>914</v>
      </c>
      <c r="O132" s="2" t="s">
        <v>1712</v>
      </c>
      <c r="P132" s="2" t="s">
        <v>1143</v>
      </c>
      <c r="Q132" s="2" t="s">
        <v>1714</v>
      </c>
      <c r="R132" s="2" t="s">
        <v>1715</v>
      </c>
      <c r="S132" s="2">
        <v>44958</v>
      </c>
      <c r="T132" s="2">
        <v>46058</v>
      </c>
      <c r="U132" s="2">
        <v>4000000</v>
      </c>
      <c r="V132" s="2">
        <v>15</v>
      </c>
      <c r="W132" s="2">
        <v>600000</v>
      </c>
      <c r="X132" s="2">
        <v>3400000</v>
      </c>
      <c r="Y132" s="2">
        <v>1.5</v>
      </c>
      <c r="Z132" s="2">
        <v>51000</v>
      </c>
      <c r="AA132" s="2"/>
      <c r="AB132" s="2"/>
      <c r="AC132" s="2" t="s">
        <v>1301</v>
      </c>
      <c r="AD132" s="2">
        <v>1141072794</v>
      </c>
      <c r="AE132" s="2">
        <v>45720</v>
      </c>
      <c r="AF132" s="2" t="s">
        <v>1113</v>
      </c>
      <c r="AG132" s="2">
        <v>0</v>
      </c>
      <c r="AH132" s="2" t="s">
        <v>911</v>
      </c>
      <c r="AI132" s="4">
        <v>51000</v>
      </c>
      <c r="AJ132" s="2">
        <v>0</v>
      </c>
      <c r="AK132" s="2" t="s">
        <v>4</v>
      </c>
    </row>
    <row r="133" spans="1:37" x14ac:dyDescent="0.2">
      <c r="A133" s="12">
        <v>132</v>
      </c>
      <c r="B133" s="2" t="s">
        <v>1295</v>
      </c>
      <c r="C133" s="2" t="s">
        <v>1716</v>
      </c>
      <c r="D133" s="2">
        <v>45658</v>
      </c>
      <c r="E133" s="2" t="s">
        <v>1106</v>
      </c>
      <c r="F133" s="2" t="s">
        <v>915</v>
      </c>
      <c r="G133" s="2">
        <v>45687</v>
      </c>
      <c r="H133" s="2">
        <v>46051</v>
      </c>
      <c r="I133" s="2" t="s">
        <v>1717</v>
      </c>
      <c r="J133" s="2">
        <v>4230131836929</v>
      </c>
      <c r="K133" s="2" t="s">
        <v>323</v>
      </c>
      <c r="L133" s="2" t="s">
        <v>916</v>
      </c>
      <c r="M133" s="2" t="s">
        <v>917</v>
      </c>
      <c r="N133" s="2" t="s">
        <v>918</v>
      </c>
      <c r="O133" s="2" t="s">
        <v>1716</v>
      </c>
      <c r="P133" s="2" t="s">
        <v>1143</v>
      </c>
      <c r="Q133" s="2" t="s">
        <v>1718</v>
      </c>
      <c r="R133" s="2" t="s">
        <v>1719</v>
      </c>
      <c r="S133" s="2">
        <v>44957</v>
      </c>
      <c r="T133" s="2">
        <v>46788</v>
      </c>
      <c r="U133" s="2">
        <v>1800000</v>
      </c>
      <c r="V133" s="2">
        <v>15</v>
      </c>
      <c r="W133" s="2">
        <v>270000</v>
      </c>
      <c r="X133" s="2">
        <v>1530000</v>
      </c>
      <c r="Y133" s="2">
        <v>2</v>
      </c>
      <c r="Z133" s="2">
        <v>30600</v>
      </c>
      <c r="AA133" s="2"/>
      <c r="AB133" s="2"/>
      <c r="AC133" s="2" t="s">
        <v>1301</v>
      </c>
      <c r="AD133" s="2">
        <v>1141072794</v>
      </c>
      <c r="AE133" s="2">
        <v>45720</v>
      </c>
      <c r="AF133" s="2" t="s">
        <v>1113</v>
      </c>
      <c r="AG133" s="2">
        <v>0</v>
      </c>
      <c r="AH133" s="2" t="s">
        <v>915</v>
      </c>
      <c r="AI133" s="4">
        <v>30600</v>
      </c>
      <c r="AJ133" s="2">
        <v>0</v>
      </c>
      <c r="AK133" s="2" t="s">
        <v>4</v>
      </c>
    </row>
    <row r="134" spans="1:37" x14ac:dyDescent="0.2">
      <c r="A134" s="12">
        <v>133</v>
      </c>
      <c r="B134" s="2" t="s">
        <v>1295</v>
      </c>
      <c r="C134" s="2" t="s">
        <v>1720</v>
      </c>
      <c r="D134" s="2">
        <v>45658</v>
      </c>
      <c r="E134" s="2" t="s">
        <v>1106</v>
      </c>
      <c r="F134" s="2" t="s">
        <v>895</v>
      </c>
      <c r="G134" s="2">
        <v>45684</v>
      </c>
      <c r="H134" s="2">
        <v>46048</v>
      </c>
      <c r="I134" s="2" t="s">
        <v>1721</v>
      </c>
      <c r="J134" s="2">
        <v>3520152131962</v>
      </c>
      <c r="K134" s="2" t="s">
        <v>578</v>
      </c>
      <c r="L134" s="2" t="s">
        <v>896</v>
      </c>
      <c r="M134" s="2" t="s">
        <v>897</v>
      </c>
      <c r="N134" s="2" t="s">
        <v>898</v>
      </c>
      <c r="O134" s="2" t="s">
        <v>1720</v>
      </c>
      <c r="P134" s="2" t="s">
        <v>1109</v>
      </c>
      <c r="Q134" s="2" t="s">
        <v>1116</v>
      </c>
      <c r="R134" s="2" t="s">
        <v>1722</v>
      </c>
      <c r="S134" s="2">
        <v>44956</v>
      </c>
      <c r="T134" s="2">
        <v>46788</v>
      </c>
      <c r="U134" s="2">
        <v>1750000</v>
      </c>
      <c r="V134" s="2">
        <v>15</v>
      </c>
      <c r="W134" s="2">
        <v>262500</v>
      </c>
      <c r="X134" s="2">
        <v>1487500</v>
      </c>
      <c r="Y134" s="2">
        <v>2</v>
      </c>
      <c r="Z134" s="2">
        <v>29750</v>
      </c>
      <c r="AA134" s="2"/>
      <c r="AB134" s="2"/>
      <c r="AC134" s="2" t="s">
        <v>1301</v>
      </c>
      <c r="AD134" s="2">
        <v>1141072794</v>
      </c>
      <c r="AE134" s="2">
        <v>45720</v>
      </c>
      <c r="AF134" s="2" t="s">
        <v>1113</v>
      </c>
      <c r="AG134" s="2">
        <v>0</v>
      </c>
      <c r="AH134" s="2" t="s">
        <v>895</v>
      </c>
      <c r="AI134" s="4">
        <v>29750</v>
      </c>
      <c r="AJ134" s="2">
        <v>0</v>
      </c>
      <c r="AK134" s="2" t="s">
        <v>4</v>
      </c>
    </row>
    <row r="135" spans="1:37" x14ac:dyDescent="0.2">
      <c r="A135" s="12">
        <v>134</v>
      </c>
      <c r="B135" s="2" t="s">
        <v>1295</v>
      </c>
      <c r="C135" s="2" t="s">
        <v>1723</v>
      </c>
      <c r="D135" s="2">
        <v>45658</v>
      </c>
      <c r="E135" s="2" t="s">
        <v>1106</v>
      </c>
      <c r="F135" s="2" t="s">
        <v>927</v>
      </c>
      <c r="G135" s="2">
        <v>45688</v>
      </c>
      <c r="H135" s="2">
        <v>46052</v>
      </c>
      <c r="I135" s="2" t="s">
        <v>1724</v>
      </c>
      <c r="J135" s="2">
        <v>4210120629109</v>
      </c>
      <c r="K135" s="2" t="s">
        <v>928</v>
      </c>
      <c r="L135" s="2" t="s">
        <v>929</v>
      </c>
      <c r="M135" s="2" t="s">
        <v>930</v>
      </c>
      <c r="N135" s="2" t="s">
        <v>931</v>
      </c>
      <c r="O135" s="2" t="s">
        <v>1723</v>
      </c>
      <c r="P135" s="2" t="s">
        <v>1143</v>
      </c>
      <c r="Q135" s="2" t="s">
        <v>1144</v>
      </c>
      <c r="R135" s="2" t="s">
        <v>1725</v>
      </c>
      <c r="S135" s="2">
        <v>44958</v>
      </c>
      <c r="T135" s="2">
        <v>46058</v>
      </c>
      <c r="U135" s="2">
        <v>3450000</v>
      </c>
      <c r="V135" s="2">
        <v>15</v>
      </c>
      <c r="W135" s="2">
        <v>517500</v>
      </c>
      <c r="X135" s="2">
        <v>2932500</v>
      </c>
      <c r="Y135" s="2">
        <v>1.5</v>
      </c>
      <c r="Z135" s="2">
        <v>43987.5</v>
      </c>
      <c r="AA135" s="2"/>
      <c r="AB135" s="2"/>
      <c r="AC135" s="2" t="s">
        <v>1301</v>
      </c>
      <c r="AD135" s="2">
        <v>1141072794</v>
      </c>
      <c r="AE135" s="2">
        <v>45720</v>
      </c>
      <c r="AF135" s="2" t="s">
        <v>1113</v>
      </c>
      <c r="AG135" s="2">
        <v>12</v>
      </c>
      <c r="AH135" s="2" t="s">
        <v>927</v>
      </c>
      <c r="AI135" s="4">
        <v>43988</v>
      </c>
      <c r="AJ135" s="2">
        <v>0.5</v>
      </c>
      <c r="AK135" s="2" t="s">
        <v>4</v>
      </c>
    </row>
    <row r="136" spans="1:37" x14ac:dyDescent="0.2">
      <c r="A136" s="12">
        <v>135</v>
      </c>
      <c r="B136" s="2" t="s">
        <v>1295</v>
      </c>
      <c r="C136" s="2" t="s">
        <v>1726</v>
      </c>
      <c r="D136" s="2">
        <v>45658</v>
      </c>
      <c r="E136" s="2" t="s">
        <v>1106</v>
      </c>
      <c r="F136" s="2" t="s">
        <v>970</v>
      </c>
      <c r="G136" s="2">
        <v>45688</v>
      </c>
      <c r="H136" s="2">
        <v>46052</v>
      </c>
      <c r="I136" s="2" t="s">
        <v>1727</v>
      </c>
      <c r="J136" s="2">
        <v>4210197869815</v>
      </c>
      <c r="K136" s="2" t="s">
        <v>971</v>
      </c>
      <c r="L136" s="2" t="s">
        <v>972</v>
      </c>
      <c r="M136" s="2" t="s">
        <v>973</v>
      </c>
      <c r="N136" s="2" t="s">
        <v>974</v>
      </c>
      <c r="O136" s="2" t="s">
        <v>1726</v>
      </c>
      <c r="P136" s="2" t="s">
        <v>1143</v>
      </c>
      <c r="Q136" s="2" t="s">
        <v>1271</v>
      </c>
      <c r="R136" s="2" t="s">
        <v>1728</v>
      </c>
      <c r="S136" s="2">
        <v>44958</v>
      </c>
      <c r="T136" s="2">
        <v>46423</v>
      </c>
      <c r="U136" s="2">
        <v>3200000</v>
      </c>
      <c r="V136" s="2">
        <v>15</v>
      </c>
      <c r="W136" s="2">
        <v>480000</v>
      </c>
      <c r="X136" s="2">
        <v>2720000</v>
      </c>
      <c r="Y136" s="2">
        <v>2</v>
      </c>
      <c r="Z136" s="2">
        <v>54400</v>
      </c>
      <c r="AA136" s="2"/>
      <c r="AB136" s="2"/>
      <c r="AC136" s="2" t="s">
        <v>1301</v>
      </c>
      <c r="AD136" s="2">
        <v>1141072794</v>
      </c>
      <c r="AE136" s="2">
        <v>45720</v>
      </c>
      <c r="AF136" s="2" t="s">
        <v>1113</v>
      </c>
      <c r="AG136" s="2">
        <v>0</v>
      </c>
      <c r="AH136" s="2" t="s">
        <v>970</v>
      </c>
      <c r="AI136" s="4">
        <v>54400</v>
      </c>
      <c r="AJ136" s="2">
        <v>0</v>
      </c>
      <c r="AK136" s="2" t="s">
        <v>4</v>
      </c>
    </row>
    <row r="137" spans="1:37" x14ac:dyDescent="0.2">
      <c r="A137" s="12">
        <v>136</v>
      </c>
      <c r="B137" s="2" t="s">
        <v>1295</v>
      </c>
      <c r="C137" s="2" t="s">
        <v>1729</v>
      </c>
      <c r="D137" s="2">
        <v>45658</v>
      </c>
      <c r="E137" s="2" t="s">
        <v>1106</v>
      </c>
      <c r="F137" s="2" t="s">
        <v>919</v>
      </c>
      <c r="G137" s="2">
        <v>45688</v>
      </c>
      <c r="H137" s="2">
        <v>46052</v>
      </c>
      <c r="I137" s="2" t="s">
        <v>1730</v>
      </c>
      <c r="J137" s="2">
        <v>3650287990277</v>
      </c>
      <c r="K137" s="2" t="s">
        <v>14</v>
      </c>
      <c r="L137" s="2" t="s">
        <v>920</v>
      </c>
      <c r="M137" s="2" t="s">
        <v>921</v>
      </c>
      <c r="N137" s="2" t="s">
        <v>922</v>
      </c>
      <c r="O137" s="2" t="s">
        <v>1729</v>
      </c>
      <c r="P137" s="2" t="s">
        <v>1109</v>
      </c>
      <c r="Q137" s="2" t="s">
        <v>1288</v>
      </c>
      <c r="R137" s="2" t="s">
        <v>1731</v>
      </c>
      <c r="S137" s="2">
        <v>44958</v>
      </c>
      <c r="T137" s="2">
        <v>46788</v>
      </c>
      <c r="U137" s="2">
        <v>1800000</v>
      </c>
      <c r="V137" s="2">
        <v>15</v>
      </c>
      <c r="W137" s="2">
        <v>270000</v>
      </c>
      <c r="X137" s="2">
        <v>1530000</v>
      </c>
      <c r="Y137" s="2">
        <v>2</v>
      </c>
      <c r="Z137" s="2">
        <v>30600</v>
      </c>
      <c r="AA137" s="2"/>
      <c r="AB137" s="2"/>
      <c r="AC137" s="2" t="s">
        <v>1301</v>
      </c>
      <c r="AD137" s="2">
        <v>1141072794</v>
      </c>
      <c r="AE137" s="2">
        <v>45720</v>
      </c>
      <c r="AF137" s="2" t="s">
        <v>1113</v>
      </c>
      <c r="AG137" s="2">
        <v>12</v>
      </c>
      <c r="AH137" s="2" t="s">
        <v>919</v>
      </c>
      <c r="AI137" s="4">
        <v>30600</v>
      </c>
      <c r="AJ137" s="2">
        <v>0</v>
      </c>
      <c r="AK137" s="2" t="s">
        <v>4</v>
      </c>
    </row>
    <row r="138" spans="1:37" x14ac:dyDescent="0.2">
      <c r="A138" s="12">
        <v>137</v>
      </c>
      <c r="B138" s="2" t="s">
        <v>1295</v>
      </c>
      <c r="C138" s="2" t="s">
        <v>1732</v>
      </c>
      <c r="D138" s="2">
        <v>45658</v>
      </c>
      <c r="E138" s="2" t="s">
        <v>1106</v>
      </c>
      <c r="F138" s="2" t="s">
        <v>903</v>
      </c>
      <c r="G138" s="2">
        <v>45684</v>
      </c>
      <c r="H138" s="2">
        <v>46048</v>
      </c>
      <c r="I138" s="2" t="s">
        <v>1733</v>
      </c>
      <c r="J138" s="2">
        <v>3310064759631</v>
      </c>
      <c r="K138" s="2" t="s">
        <v>13</v>
      </c>
      <c r="L138" s="2" t="s">
        <v>904</v>
      </c>
      <c r="M138" s="2" t="s">
        <v>905</v>
      </c>
      <c r="N138" s="2" t="s">
        <v>906</v>
      </c>
      <c r="O138" s="2" t="s">
        <v>1732</v>
      </c>
      <c r="P138" s="2" t="s">
        <v>1109</v>
      </c>
      <c r="Q138" s="2" t="s">
        <v>1129</v>
      </c>
      <c r="R138" s="2" t="s">
        <v>1734</v>
      </c>
      <c r="S138" s="2">
        <v>44958</v>
      </c>
      <c r="T138" s="2">
        <v>46058</v>
      </c>
      <c r="U138" s="2">
        <v>5000000</v>
      </c>
      <c r="V138" s="2">
        <v>15</v>
      </c>
      <c r="W138" s="2">
        <v>750000</v>
      </c>
      <c r="X138" s="2">
        <v>4250000</v>
      </c>
      <c r="Y138" s="2">
        <v>1.5</v>
      </c>
      <c r="Z138" s="2">
        <v>63750</v>
      </c>
      <c r="AA138" s="2"/>
      <c r="AB138" s="2"/>
      <c r="AC138" s="2" t="s">
        <v>1301</v>
      </c>
      <c r="AD138" s="2">
        <v>1141072794</v>
      </c>
      <c r="AE138" s="2">
        <v>45720</v>
      </c>
      <c r="AF138" s="2" t="s">
        <v>1113</v>
      </c>
      <c r="AG138" s="2">
        <v>0</v>
      </c>
      <c r="AH138" s="2" t="s">
        <v>903</v>
      </c>
      <c r="AI138" s="4">
        <v>63750</v>
      </c>
      <c r="AJ138" s="2">
        <v>0</v>
      </c>
      <c r="AK138" s="2" t="s">
        <v>4</v>
      </c>
    </row>
    <row r="139" spans="1:37" x14ac:dyDescent="0.2">
      <c r="A139" s="12">
        <v>138</v>
      </c>
      <c r="B139" s="2" t="s">
        <v>1295</v>
      </c>
      <c r="C139" s="2" t="s">
        <v>1735</v>
      </c>
      <c r="D139" s="2">
        <v>45658</v>
      </c>
      <c r="E139" s="2" t="s">
        <v>1106</v>
      </c>
      <c r="F139" s="2" t="s">
        <v>958</v>
      </c>
      <c r="G139" s="2">
        <v>45688</v>
      </c>
      <c r="H139" s="2">
        <v>46052</v>
      </c>
      <c r="I139" s="2" t="s">
        <v>1736</v>
      </c>
      <c r="J139" s="2">
        <v>3740570695841</v>
      </c>
      <c r="K139" s="2" t="s">
        <v>887</v>
      </c>
      <c r="L139" s="2" t="s">
        <v>959</v>
      </c>
      <c r="M139" s="2" t="s">
        <v>960</v>
      </c>
      <c r="N139" s="2" t="s">
        <v>961</v>
      </c>
      <c r="O139" s="2" t="s">
        <v>1735</v>
      </c>
      <c r="P139" s="2" t="s">
        <v>1308</v>
      </c>
      <c r="Q139" s="2" t="s">
        <v>1110</v>
      </c>
      <c r="R139" s="2" t="s">
        <v>1737</v>
      </c>
      <c r="S139" s="2">
        <v>44958</v>
      </c>
      <c r="T139" s="2">
        <v>46058</v>
      </c>
      <c r="U139" s="2">
        <v>3000000</v>
      </c>
      <c r="V139" s="2">
        <v>15</v>
      </c>
      <c r="W139" s="2">
        <v>450000</v>
      </c>
      <c r="X139" s="2">
        <v>2550000</v>
      </c>
      <c r="Y139" s="2">
        <v>2</v>
      </c>
      <c r="Z139" s="2">
        <v>51000</v>
      </c>
      <c r="AA139" s="2"/>
      <c r="AB139" s="2"/>
      <c r="AC139" s="2" t="s">
        <v>1301</v>
      </c>
      <c r="AD139" s="2">
        <v>1141072794</v>
      </c>
      <c r="AE139" s="2">
        <v>45720</v>
      </c>
      <c r="AF139" s="2" t="s">
        <v>1113</v>
      </c>
      <c r="AG139" s="2">
        <v>0</v>
      </c>
      <c r="AH139" s="2" t="s">
        <v>958</v>
      </c>
      <c r="AI139" s="4">
        <v>51000</v>
      </c>
      <c r="AJ139" s="2">
        <v>0</v>
      </c>
      <c r="AK139" s="2" t="s">
        <v>4</v>
      </c>
    </row>
    <row r="140" spans="1:37" x14ac:dyDescent="0.2">
      <c r="A140" s="12">
        <v>139</v>
      </c>
      <c r="B140" s="2" t="s">
        <v>1295</v>
      </c>
      <c r="C140" s="2" t="s">
        <v>1738</v>
      </c>
      <c r="D140" s="2">
        <v>45658</v>
      </c>
      <c r="E140" s="2" t="s">
        <v>1106</v>
      </c>
      <c r="F140" s="2" t="s">
        <v>954</v>
      </c>
      <c r="G140" s="2">
        <v>45688</v>
      </c>
      <c r="H140" s="2">
        <v>46052</v>
      </c>
      <c r="I140" s="2" t="s">
        <v>1739</v>
      </c>
      <c r="J140" s="2">
        <v>3310049646525</v>
      </c>
      <c r="K140" s="2" t="s">
        <v>578</v>
      </c>
      <c r="L140" s="2" t="s">
        <v>955</v>
      </c>
      <c r="M140" s="2" t="s">
        <v>956</v>
      </c>
      <c r="N140" s="2" t="s">
        <v>957</v>
      </c>
      <c r="O140" s="2" t="s">
        <v>1738</v>
      </c>
      <c r="P140" s="2" t="s">
        <v>1109</v>
      </c>
      <c r="Q140" s="2" t="s">
        <v>1129</v>
      </c>
      <c r="R140" s="2" t="s">
        <v>1740</v>
      </c>
      <c r="S140" s="2">
        <v>44958</v>
      </c>
      <c r="T140" s="2">
        <v>46788</v>
      </c>
      <c r="U140" s="2">
        <v>2125000</v>
      </c>
      <c r="V140" s="2">
        <v>15</v>
      </c>
      <c r="W140" s="2">
        <v>318750</v>
      </c>
      <c r="X140" s="2">
        <v>1806250</v>
      </c>
      <c r="Y140" s="2">
        <v>2</v>
      </c>
      <c r="Z140" s="2">
        <v>36125</v>
      </c>
      <c r="AA140" s="2"/>
      <c r="AB140" s="2"/>
      <c r="AC140" s="2" t="s">
        <v>1301</v>
      </c>
      <c r="AD140" s="2">
        <v>1141072794</v>
      </c>
      <c r="AE140" s="2">
        <v>45720</v>
      </c>
      <c r="AF140" s="2" t="s">
        <v>1113</v>
      </c>
      <c r="AG140" s="2">
        <v>12</v>
      </c>
      <c r="AH140" s="2" t="s">
        <v>954</v>
      </c>
      <c r="AI140" s="4">
        <v>36125</v>
      </c>
      <c r="AJ140" s="2">
        <v>0</v>
      </c>
      <c r="AK140" s="2" t="s">
        <v>4</v>
      </c>
    </row>
    <row r="141" spans="1:37" x14ac:dyDescent="0.2">
      <c r="A141" s="12">
        <v>140</v>
      </c>
      <c r="B141" s="2" t="s">
        <v>1295</v>
      </c>
      <c r="C141" s="2" t="s">
        <v>1741</v>
      </c>
      <c r="D141" s="2">
        <v>45658</v>
      </c>
      <c r="E141" s="2" t="s">
        <v>1106</v>
      </c>
      <c r="F141" s="2" t="s">
        <v>923</v>
      </c>
      <c r="G141" s="2">
        <v>45688</v>
      </c>
      <c r="H141" s="2">
        <v>46052</v>
      </c>
      <c r="I141" s="2" t="s">
        <v>1742</v>
      </c>
      <c r="J141" s="2">
        <v>3520178541995</v>
      </c>
      <c r="K141" s="2" t="s">
        <v>323</v>
      </c>
      <c r="L141" s="2" t="s">
        <v>924</v>
      </c>
      <c r="M141" s="2" t="s">
        <v>925</v>
      </c>
      <c r="N141" s="2" t="s">
        <v>926</v>
      </c>
      <c r="O141" s="2" t="s">
        <v>1741</v>
      </c>
      <c r="P141" s="2" t="s">
        <v>1109</v>
      </c>
      <c r="Q141" s="2" t="s">
        <v>1116</v>
      </c>
      <c r="R141" s="2" t="s">
        <v>1743</v>
      </c>
      <c r="S141" s="2">
        <v>44958</v>
      </c>
      <c r="T141" s="2">
        <v>46788</v>
      </c>
      <c r="U141" s="2">
        <v>2130000</v>
      </c>
      <c r="V141" s="2">
        <v>15</v>
      </c>
      <c r="W141" s="2">
        <v>319500</v>
      </c>
      <c r="X141" s="2">
        <v>1810500</v>
      </c>
      <c r="Y141" s="2">
        <v>2</v>
      </c>
      <c r="Z141" s="2">
        <v>36210</v>
      </c>
      <c r="AA141" s="2"/>
      <c r="AB141" s="2"/>
      <c r="AC141" s="2" t="s">
        <v>1301</v>
      </c>
      <c r="AD141" s="2">
        <v>1141072794</v>
      </c>
      <c r="AE141" s="2">
        <v>45720</v>
      </c>
      <c r="AF141" s="2" t="s">
        <v>1113</v>
      </c>
      <c r="AG141" s="2">
        <v>0</v>
      </c>
      <c r="AH141" s="2" t="s">
        <v>923</v>
      </c>
      <c r="AI141" s="4">
        <v>36210</v>
      </c>
      <c r="AJ141" s="2">
        <v>0</v>
      </c>
      <c r="AK141" s="2" t="s">
        <v>4</v>
      </c>
    </row>
    <row r="142" spans="1:37" x14ac:dyDescent="0.2">
      <c r="A142" s="12">
        <v>141</v>
      </c>
      <c r="B142" s="2" t="s">
        <v>1295</v>
      </c>
      <c r="C142" s="2" t="s">
        <v>1744</v>
      </c>
      <c r="D142" s="2">
        <v>45658</v>
      </c>
      <c r="E142" s="2" t="s">
        <v>1106</v>
      </c>
      <c r="F142" s="2" t="s">
        <v>950</v>
      </c>
      <c r="G142" s="2">
        <v>45688</v>
      </c>
      <c r="H142" s="2">
        <v>46052</v>
      </c>
      <c r="I142" s="2" t="s">
        <v>1238</v>
      </c>
      <c r="J142" s="2">
        <v>3630242290221</v>
      </c>
      <c r="K142" s="2" t="s">
        <v>651</v>
      </c>
      <c r="L142" s="2" t="s">
        <v>951</v>
      </c>
      <c r="M142" s="2" t="s">
        <v>952</v>
      </c>
      <c r="N142" s="2" t="s">
        <v>953</v>
      </c>
      <c r="O142" s="2" t="s">
        <v>1744</v>
      </c>
      <c r="P142" s="2" t="s">
        <v>1109</v>
      </c>
      <c r="Q142" s="2" t="s">
        <v>1239</v>
      </c>
      <c r="R142" s="2" t="s">
        <v>1240</v>
      </c>
      <c r="S142" s="2">
        <v>44958</v>
      </c>
      <c r="T142" s="2">
        <v>46058</v>
      </c>
      <c r="U142" s="2">
        <v>4300000</v>
      </c>
      <c r="V142" s="2">
        <v>15</v>
      </c>
      <c r="W142" s="2">
        <v>645000</v>
      </c>
      <c r="X142" s="2">
        <v>3655000</v>
      </c>
      <c r="Y142" s="2">
        <v>1.5</v>
      </c>
      <c r="Z142" s="2">
        <v>54825</v>
      </c>
      <c r="AA142" s="2"/>
      <c r="AB142" s="2"/>
      <c r="AC142" s="2" t="s">
        <v>1301</v>
      </c>
      <c r="AD142" s="2">
        <v>1141072794</v>
      </c>
      <c r="AE142" s="2">
        <v>45720</v>
      </c>
      <c r="AF142" s="2" t="s">
        <v>1113</v>
      </c>
      <c r="AG142" s="2">
        <v>0</v>
      </c>
      <c r="AH142" s="2" t="s">
        <v>950</v>
      </c>
      <c r="AI142" s="4">
        <v>54825</v>
      </c>
      <c r="AJ142" s="2">
        <v>0</v>
      </c>
      <c r="AK142" s="2" t="s">
        <v>4</v>
      </c>
    </row>
    <row r="143" spans="1:37" x14ac:dyDescent="0.2">
      <c r="A143" s="12">
        <v>142</v>
      </c>
      <c r="B143" s="2" t="s">
        <v>1295</v>
      </c>
      <c r="C143" s="2" t="s">
        <v>1745</v>
      </c>
      <c r="D143" s="2">
        <v>45658</v>
      </c>
      <c r="E143" s="2" t="s">
        <v>1106</v>
      </c>
      <c r="F143" s="2" t="s">
        <v>966</v>
      </c>
      <c r="G143" s="2">
        <v>45688</v>
      </c>
      <c r="H143" s="2">
        <v>46052</v>
      </c>
      <c r="I143" s="2" t="s">
        <v>1746</v>
      </c>
      <c r="J143" s="2">
        <v>3110101445989</v>
      </c>
      <c r="K143" s="2" t="s">
        <v>433</v>
      </c>
      <c r="L143" s="2" t="s">
        <v>967</v>
      </c>
      <c r="M143" s="2" t="s">
        <v>968</v>
      </c>
      <c r="N143" s="2" t="s">
        <v>969</v>
      </c>
      <c r="O143" s="2" t="s">
        <v>1745</v>
      </c>
      <c r="P143" s="2" t="s">
        <v>1109</v>
      </c>
      <c r="Q143" s="2" t="s">
        <v>1360</v>
      </c>
      <c r="R143" s="2" t="s">
        <v>1747</v>
      </c>
      <c r="S143" s="2">
        <v>44958</v>
      </c>
      <c r="T143" s="2">
        <v>46788</v>
      </c>
      <c r="U143" s="2">
        <v>2000000</v>
      </c>
      <c r="V143" s="2">
        <v>15</v>
      </c>
      <c r="W143" s="2">
        <v>300000</v>
      </c>
      <c r="X143" s="2">
        <v>1700000</v>
      </c>
      <c r="Y143" s="2">
        <v>2</v>
      </c>
      <c r="Z143" s="2">
        <v>34000</v>
      </c>
      <c r="AA143" s="2"/>
      <c r="AB143" s="2"/>
      <c r="AC143" s="2" t="s">
        <v>1301</v>
      </c>
      <c r="AD143" s="2">
        <v>1141072794</v>
      </c>
      <c r="AE143" s="2">
        <v>45720</v>
      </c>
      <c r="AF143" s="2" t="s">
        <v>1113</v>
      </c>
      <c r="AG143" s="2">
        <v>0</v>
      </c>
      <c r="AH143" s="2" t="s">
        <v>966</v>
      </c>
      <c r="AI143" s="4">
        <v>34000</v>
      </c>
      <c r="AJ143" s="2">
        <v>0</v>
      </c>
      <c r="AK143" s="2" t="s">
        <v>4</v>
      </c>
    </row>
    <row r="144" spans="1:37" x14ac:dyDescent="0.2">
      <c r="A144" s="12">
        <v>143</v>
      </c>
      <c r="B144" s="2" t="s">
        <v>1295</v>
      </c>
      <c r="C144" s="2" t="s">
        <v>1748</v>
      </c>
      <c r="D144" s="2">
        <v>45658</v>
      </c>
      <c r="E144" s="2" t="s">
        <v>1106</v>
      </c>
      <c r="F144" s="2" t="s">
        <v>962</v>
      </c>
      <c r="G144" s="2">
        <v>45688</v>
      </c>
      <c r="H144" s="2">
        <v>46052</v>
      </c>
      <c r="I144" s="2" t="s">
        <v>1749</v>
      </c>
      <c r="J144" s="2">
        <v>3450291242519</v>
      </c>
      <c r="K144" s="2" t="s">
        <v>5</v>
      </c>
      <c r="L144" s="2" t="s">
        <v>963</v>
      </c>
      <c r="M144" s="2" t="s">
        <v>964</v>
      </c>
      <c r="N144" s="2" t="s">
        <v>965</v>
      </c>
      <c r="O144" s="2" t="s">
        <v>1748</v>
      </c>
      <c r="P144" s="2" t="s">
        <v>1308</v>
      </c>
      <c r="Q144" s="2" t="s">
        <v>1110</v>
      </c>
      <c r="R144" s="2" t="s">
        <v>1750</v>
      </c>
      <c r="S144" s="2">
        <v>44959</v>
      </c>
      <c r="T144" s="2">
        <v>46788</v>
      </c>
      <c r="U144" s="2">
        <v>1675000</v>
      </c>
      <c r="V144" s="2">
        <v>15</v>
      </c>
      <c r="W144" s="2">
        <v>251250</v>
      </c>
      <c r="X144" s="2">
        <v>1423750</v>
      </c>
      <c r="Y144" s="2">
        <v>2</v>
      </c>
      <c r="Z144" s="2">
        <v>28475</v>
      </c>
      <c r="AA144" s="2"/>
      <c r="AB144" s="2"/>
      <c r="AC144" s="2" t="s">
        <v>1301</v>
      </c>
      <c r="AD144" s="2">
        <v>1141072794</v>
      </c>
      <c r="AE144" s="2">
        <v>45720</v>
      </c>
      <c r="AF144" s="2" t="s">
        <v>1113</v>
      </c>
      <c r="AG144" s="2">
        <v>0</v>
      </c>
      <c r="AH144" s="2" t="s">
        <v>962</v>
      </c>
      <c r="AI144" s="4">
        <v>28475</v>
      </c>
      <c r="AJ144" s="2">
        <v>0</v>
      </c>
      <c r="AK144" s="2" t="s">
        <v>4</v>
      </c>
    </row>
    <row r="145" spans="1:37" x14ac:dyDescent="0.2">
      <c r="A145" s="12">
        <v>144</v>
      </c>
      <c r="B145" s="2" t="s">
        <v>1295</v>
      </c>
      <c r="C145" s="2" t="s">
        <v>1751</v>
      </c>
      <c r="D145" s="2">
        <v>45658</v>
      </c>
      <c r="E145" s="2" t="s">
        <v>1106</v>
      </c>
      <c r="F145" s="2" t="s">
        <v>665</v>
      </c>
      <c r="G145" s="2">
        <v>45660</v>
      </c>
      <c r="H145" s="2">
        <v>46024</v>
      </c>
      <c r="I145" s="2" t="s">
        <v>1752</v>
      </c>
      <c r="J145" s="2">
        <v>3310067244911</v>
      </c>
      <c r="K145" s="2" t="s">
        <v>9</v>
      </c>
      <c r="L145" s="2" t="s">
        <v>666</v>
      </c>
      <c r="M145" s="2" t="s">
        <v>667</v>
      </c>
      <c r="N145" s="2" t="s">
        <v>668</v>
      </c>
      <c r="O145" s="2" t="s">
        <v>1751</v>
      </c>
      <c r="P145" s="2" t="s">
        <v>1109</v>
      </c>
      <c r="Q145" s="2" t="s">
        <v>1129</v>
      </c>
      <c r="R145" s="2" t="s">
        <v>1753</v>
      </c>
      <c r="S145" s="2">
        <v>45296</v>
      </c>
      <c r="T145" s="2">
        <v>47123</v>
      </c>
      <c r="U145" s="2">
        <v>2935000</v>
      </c>
      <c r="V145" s="2">
        <v>10</v>
      </c>
      <c r="W145" s="2">
        <v>293500</v>
      </c>
      <c r="X145" s="2">
        <v>2641500</v>
      </c>
      <c r="Y145" s="2">
        <v>2</v>
      </c>
      <c r="Z145" s="2">
        <v>52830</v>
      </c>
      <c r="AA145" s="2"/>
      <c r="AB145" s="2"/>
      <c r="AC145" s="2" t="s">
        <v>1301</v>
      </c>
      <c r="AD145" s="2">
        <v>1141072794</v>
      </c>
      <c r="AE145" s="2">
        <v>45720</v>
      </c>
      <c r="AF145" s="2" t="s">
        <v>1113</v>
      </c>
      <c r="AG145" s="2">
        <v>0</v>
      </c>
      <c r="AH145" s="2" t="s">
        <v>665</v>
      </c>
      <c r="AI145" s="4">
        <v>52830</v>
      </c>
      <c r="AJ145" s="2">
        <v>0</v>
      </c>
      <c r="AK145" s="2" t="s">
        <v>4</v>
      </c>
    </row>
    <row r="146" spans="1:37" x14ac:dyDescent="0.2">
      <c r="A146" s="12">
        <v>145</v>
      </c>
      <c r="B146" s="2" t="s">
        <v>1295</v>
      </c>
      <c r="C146" s="2" t="s">
        <v>1754</v>
      </c>
      <c r="D146" s="2">
        <v>45658</v>
      </c>
      <c r="E146" s="2" t="s">
        <v>1106</v>
      </c>
      <c r="F146" s="2" t="s">
        <v>778</v>
      </c>
      <c r="G146" s="2">
        <v>45662</v>
      </c>
      <c r="H146" s="2">
        <v>46026</v>
      </c>
      <c r="I146" s="2" t="s">
        <v>1755</v>
      </c>
      <c r="J146" s="2">
        <v>3520114954959</v>
      </c>
      <c r="K146" s="2" t="s">
        <v>779</v>
      </c>
      <c r="L146" s="2" t="s">
        <v>780</v>
      </c>
      <c r="M146" s="2" t="s">
        <v>781</v>
      </c>
      <c r="N146" s="2" t="s">
        <v>782</v>
      </c>
      <c r="O146" s="2" t="s">
        <v>1754</v>
      </c>
      <c r="P146" s="2" t="s">
        <v>1109</v>
      </c>
      <c r="Q146" s="2" t="s">
        <v>1116</v>
      </c>
      <c r="R146" s="2" t="s">
        <v>1756</v>
      </c>
      <c r="S146" s="2">
        <v>45301</v>
      </c>
      <c r="T146" s="2">
        <v>46392</v>
      </c>
      <c r="U146" s="2">
        <v>4839000</v>
      </c>
      <c r="V146" s="2">
        <v>10</v>
      </c>
      <c r="W146" s="2">
        <v>483900</v>
      </c>
      <c r="X146" s="2">
        <v>4355100</v>
      </c>
      <c r="Y146" s="2">
        <v>1.5</v>
      </c>
      <c r="Z146" s="2">
        <v>65326.5</v>
      </c>
      <c r="AA146" s="2"/>
      <c r="AB146" s="2"/>
      <c r="AC146" s="2" t="s">
        <v>1301</v>
      </c>
      <c r="AD146" s="2">
        <v>1141072794</v>
      </c>
      <c r="AE146" s="2">
        <v>45720</v>
      </c>
      <c r="AF146" s="2" t="s">
        <v>1113</v>
      </c>
      <c r="AG146" s="2">
        <v>0</v>
      </c>
      <c r="AH146" s="2" t="s">
        <v>778</v>
      </c>
      <c r="AI146" s="4">
        <v>65327</v>
      </c>
      <c r="AJ146" s="2">
        <v>0.5</v>
      </c>
      <c r="AK146" s="2" t="s">
        <v>4</v>
      </c>
    </row>
    <row r="147" spans="1:37" x14ac:dyDescent="0.2">
      <c r="A147" s="12">
        <v>146</v>
      </c>
      <c r="B147" s="2" t="s">
        <v>1295</v>
      </c>
      <c r="C147" s="2" t="s">
        <v>1757</v>
      </c>
      <c r="D147" s="2">
        <v>45658</v>
      </c>
      <c r="E147" s="2" t="s">
        <v>1106</v>
      </c>
      <c r="F147" s="2" t="s">
        <v>819</v>
      </c>
      <c r="G147" s="2">
        <v>45667</v>
      </c>
      <c r="H147" s="2">
        <v>46031</v>
      </c>
      <c r="I147" s="2" t="s">
        <v>1758</v>
      </c>
      <c r="J147" s="2">
        <v>3540185543181</v>
      </c>
      <c r="K147" s="2" t="s">
        <v>820</v>
      </c>
      <c r="L147" s="2" t="s">
        <v>821</v>
      </c>
      <c r="M147" s="2" t="s">
        <v>822</v>
      </c>
      <c r="N147" s="2" t="s">
        <v>823</v>
      </c>
      <c r="O147" s="2" t="s">
        <v>1757</v>
      </c>
      <c r="P147" s="2" t="s">
        <v>1109</v>
      </c>
      <c r="Q147" s="2" t="s">
        <v>1116</v>
      </c>
      <c r="R147" s="2" t="s">
        <v>1759</v>
      </c>
      <c r="S147" s="2">
        <v>45306</v>
      </c>
      <c r="T147" s="2">
        <v>46027</v>
      </c>
      <c r="U147" s="2">
        <v>2300000</v>
      </c>
      <c r="V147" s="2">
        <v>10</v>
      </c>
      <c r="W147" s="2">
        <v>230000</v>
      </c>
      <c r="X147" s="2">
        <v>2070000</v>
      </c>
      <c r="Y147" s="2">
        <v>2</v>
      </c>
      <c r="Z147" s="2">
        <v>41400</v>
      </c>
      <c r="AA147" s="2"/>
      <c r="AB147" s="2"/>
      <c r="AC147" s="2" t="s">
        <v>1301</v>
      </c>
      <c r="AD147" s="2">
        <v>1141072794</v>
      </c>
      <c r="AE147" s="2">
        <v>45720</v>
      </c>
      <c r="AF147" s="2" t="s">
        <v>1113</v>
      </c>
      <c r="AG147" s="2">
        <v>12</v>
      </c>
      <c r="AH147" s="2" t="s">
        <v>819</v>
      </c>
      <c r="AI147" s="4">
        <v>41400</v>
      </c>
      <c r="AJ147" s="2">
        <v>0</v>
      </c>
      <c r="AK147" s="2" t="s">
        <v>4</v>
      </c>
    </row>
    <row r="148" spans="1:37" x14ac:dyDescent="0.2">
      <c r="A148" s="12">
        <v>147</v>
      </c>
      <c r="B148" s="2" t="s">
        <v>1295</v>
      </c>
      <c r="C148" s="2" t="s">
        <v>1760</v>
      </c>
      <c r="D148" s="2">
        <v>45658</v>
      </c>
      <c r="E148" s="2" t="s">
        <v>1106</v>
      </c>
      <c r="F148" s="2" t="s">
        <v>807</v>
      </c>
      <c r="G148" s="2">
        <v>45672</v>
      </c>
      <c r="H148" s="2">
        <v>46036</v>
      </c>
      <c r="I148" s="2" t="s">
        <v>1761</v>
      </c>
      <c r="J148" s="2">
        <v>3520215112204</v>
      </c>
      <c r="K148" s="2" t="s">
        <v>473</v>
      </c>
      <c r="L148" s="2" t="s">
        <v>808</v>
      </c>
      <c r="M148" s="2" t="s">
        <v>809</v>
      </c>
      <c r="N148" s="2" t="s">
        <v>810</v>
      </c>
      <c r="O148" s="2" t="s">
        <v>1760</v>
      </c>
      <c r="P148" s="2" t="s">
        <v>1109</v>
      </c>
      <c r="Q148" s="2" t="s">
        <v>1116</v>
      </c>
      <c r="R148" s="2" t="s">
        <v>1762</v>
      </c>
      <c r="S148" s="2">
        <v>45308</v>
      </c>
      <c r="T148" s="2">
        <v>46423</v>
      </c>
      <c r="U148" s="2">
        <v>4839000</v>
      </c>
      <c r="V148" s="2">
        <v>10</v>
      </c>
      <c r="W148" s="2">
        <v>483900</v>
      </c>
      <c r="X148" s="2">
        <v>4355100</v>
      </c>
      <c r="Y148" s="2">
        <v>1.5</v>
      </c>
      <c r="Z148" s="2">
        <v>65326.5</v>
      </c>
      <c r="AA148" s="2"/>
      <c r="AB148" s="2"/>
      <c r="AC148" s="2" t="s">
        <v>1301</v>
      </c>
      <c r="AD148" s="2">
        <v>1141072794</v>
      </c>
      <c r="AE148" s="2">
        <v>45720</v>
      </c>
      <c r="AF148" s="2" t="s">
        <v>1113</v>
      </c>
      <c r="AG148" s="2">
        <v>0</v>
      </c>
      <c r="AH148" s="2" t="s">
        <v>807</v>
      </c>
      <c r="AI148" s="4">
        <v>65327</v>
      </c>
      <c r="AJ148" s="2">
        <v>0.5</v>
      </c>
      <c r="AK148" s="2" t="s">
        <v>4</v>
      </c>
    </row>
    <row r="149" spans="1:37" x14ac:dyDescent="0.2">
      <c r="A149" s="12">
        <v>148</v>
      </c>
      <c r="B149" s="2" t="s">
        <v>1295</v>
      </c>
      <c r="C149" s="2" t="s">
        <v>1763</v>
      </c>
      <c r="D149" s="2">
        <v>45658</v>
      </c>
      <c r="E149" s="2" t="s">
        <v>1106</v>
      </c>
      <c r="F149" s="2" t="s">
        <v>729</v>
      </c>
      <c r="G149" s="2">
        <v>45662</v>
      </c>
      <c r="H149" s="2">
        <v>46026</v>
      </c>
      <c r="I149" s="2" t="s">
        <v>1764</v>
      </c>
      <c r="J149" s="2">
        <v>3520226690223</v>
      </c>
      <c r="K149" s="2" t="s">
        <v>530</v>
      </c>
      <c r="L149" s="2" t="s">
        <v>730</v>
      </c>
      <c r="M149" s="2" t="s">
        <v>731</v>
      </c>
      <c r="N149" s="2" t="s">
        <v>732</v>
      </c>
      <c r="O149" s="2" t="s">
        <v>1763</v>
      </c>
      <c r="P149" s="2" t="s">
        <v>1109</v>
      </c>
      <c r="Q149" s="2" t="s">
        <v>1116</v>
      </c>
      <c r="R149" s="2" t="s">
        <v>1765</v>
      </c>
      <c r="S149" s="2">
        <v>45301</v>
      </c>
      <c r="T149" s="2">
        <v>46392</v>
      </c>
      <c r="U149" s="2">
        <v>4280000</v>
      </c>
      <c r="V149" s="2">
        <v>10</v>
      </c>
      <c r="W149" s="2">
        <v>428000</v>
      </c>
      <c r="X149" s="2">
        <v>3852000</v>
      </c>
      <c r="Y149" s="2">
        <v>1.5</v>
      </c>
      <c r="Z149" s="2">
        <v>57780</v>
      </c>
      <c r="AA149" s="2"/>
      <c r="AB149" s="2"/>
      <c r="AC149" s="2" t="s">
        <v>1301</v>
      </c>
      <c r="AD149" s="2">
        <v>1141072794</v>
      </c>
      <c r="AE149" s="2">
        <v>45720</v>
      </c>
      <c r="AF149" s="2" t="s">
        <v>1113</v>
      </c>
      <c r="AG149" s="2">
        <v>0</v>
      </c>
      <c r="AH149" s="2" t="s">
        <v>729</v>
      </c>
      <c r="AI149" s="4">
        <v>57780</v>
      </c>
      <c r="AJ149" s="2">
        <v>0</v>
      </c>
      <c r="AK149" s="2" t="s">
        <v>4</v>
      </c>
    </row>
    <row r="150" spans="1:37" x14ac:dyDescent="0.2">
      <c r="A150" s="12">
        <v>149</v>
      </c>
      <c r="B150" s="2" t="s">
        <v>1295</v>
      </c>
      <c r="C150" s="2" t="s">
        <v>1766</v>
      </c>
      <c r="D150" s="2">
        <v>45658</v>
      </c>
      <c r="E150" s="2" t="s">
        <v>1106</v>
      </c>
      <c r="F150" s="2" t="s">
        <v>655</v>
      </c>
      <c r="G150" s="2">
        <v>45686</v>
      </c>
      <c r="H150" s="2">
        <v>46050</v>
      </c>
      <c r="I150" s="2" t="s">
        <v>1767</v>
      </c>
      <c r="J150" s="2">
        <v>3540365161703</v>
      </c>
      <c r="K150" s="2" t="s">
        <v>656</v>
      </c>
      <c r="L150" s="2" t="s">
        <v>657</v>
      </c>
      <c r="M150" s="2" t="s">
        <v>658</v>
      </c>
      <c r="N150" s="2" t="s">
        <v>659</v>
      </c>
      <c r="O150" s="2" t="s">
        <v>1766</v>
      </c>
      <c r="P150" s="2" t="s">
        <v>1109</v>
      </c>
      <c r="Q150" s="2" t="s">
        <v>1116</v>
      </c>
      <c r="R150" s="2" t="s">
        <v>1768</v>
      </c>
      <c r="S150" s="2">
        <v>45322</v>
      </c>
      <c r="T150" s="2">
        <v>47154</v>
      </c>
      <c r="U150" s="2">
        <v>2935000</v>
      </c>
      <c r="V150" s="2">
        <v>10</v>
      </c>
      <c r="W150" s="2">
        <v>293500</v>
      </c>
      <c r="X150" s="2">
        <v>2641500</v>
      </c>
      <c r="Y150" s="2">
        <v>2</v>
      </c>
      <c r="Z150" s="2">
        <v>52830</v>
      </c>
      <c r="AA150" s="2"/>
      <c r="AB150" s="2"/>
      <c r="AC150" s="2" t="s">
        <v>1301</v>
      </c>
      <c r="AD150" s="2">
        <v>1141072794</v>
      </c>
      <c r="AE150" s="2">
        <v>45720</v>
      </c>
      <c r="AF150" s="2" t="s">
        <v>1113</v>
      </c>
      <c r="AG150" s="2">
        <v>12</v>
      </c>
      <c r="AH150" s="2" t="s">
        <v>655</v>
      </c>
      <c r="AI150" s="4">
        <v>52830</v>
      </c>
      <c r="AJ150" s="2">
        <v>0</v>
      </c>
      <c r="AK150" s="2" t="s">
        <v>4</v>
      </c>
    </row>
    <row r="151" spans="1:37" x14ac:dyDescent="0.2">
      <c r="A151" s="12">
        <v>150</v>
      </c>
      <c r="B151" s="2" t="s">
        <v>1295</v>
      </c>
      <c r="C151" s="2" t="s">
        <v>1769</v>
      </c>
      <c r="D151" s="2">
        <v>45658</v>
      </c>
      <c r="E151" s="2" t="s">
        <v>1106</v>
      </c>
      <c r="F151" s="2" t="s">
        <v>753</v>
      </c>
      <c r="G151" s="2">
        <v>45688</v>
      </c>
      <c r="H151" s="2">
        <v>46052</v>
      </c>
      <c r="I151" s="2" t="s">
        <v>1770</v>
      </c>
      <c r="J151" s="2">
        <v>3230490091419</v>
      </c>
      <c r="K151" s="2" t="s">
        <v>754</v>
      </c>
      <c r="L151" s="2" t="s">
        <v>755</v>
      </c>
      <c r="M151" s="2" t="s">
        <v>756</v>
      </c>
      <c r="N151" s="2" t="s">
        <v>757</v>
      </c>
      <c r="O151" s="2" t="s">
        <v>1769</v>
      </c>
      <c r="P151" s="2" t="s">
        <v>1109</v>
      </c>
      <c r="Q151" s="2" t="s">
        <v>1116</v>
      </c>
      <c r="R151" s="2" t="s">
        <v>1771</v>
      </c>
      <c r="S151" s="2">
        <v>45323</v>
      </c>
      <c r="T151" s="2">
        <v>47154</v>
      </c>
      <c r="U151" s="2">
        <v>1600000</v>
      </c>
      <c r="V151" s="2">
        <v>10</v>
      </c>
      <c r="W151" s="2">
        <v>160000</v>
      </c>
      <c r="X151" s="2">
        <v>1440000</v>
      </c>
      <c r="Y151" s="2">
        <v>2</v>
      </c>
      <c r="Z151" s="2">
        <v>28800</v>
      </c>
      <c r="AA151" s="2"/>
      <c r="AB151" s="2"/>
      <c r="AC151" s="2" t="s">
        <v>1301</v>
      </c>
      <c r="AD151" s="2">
        <v>1141072794</v>
      </c>
      <c r="AE151" s="2">
        <v>45720</v>
      </c>
      <c r="AF151" s="2" t="s">
        <v>1113</v>
      </c>
      <c r="AG151" s="2">
        <v>0</v>
      </c>
      <c r="AH151" s="2" t="s">
        <v>753</v>
      </c>
      <c r="AI151" s="4">
        <v>28800</v>
      </c>
      <c r="AJ151" s="2">
        <v>0</v>
      </c>
      <c r="AK151" s="2" t="s">
        <v>4</v>
      </c>
    </row>
    <row r="152" spans="1:37" x14ac:dyDescent="0.2">
      <c r="A152" s="12">
        <v>151</v>
      </c>
      <c r="B152" s="2" t="s">
        <v>1295</v>
      </c>
      <c r="C152" s="2" t="s">
        <v>1772</v>
      </c>
      <c r="D152" s="2">
        <v>45658</v>
      </c>
      <c r="E152" s="2" t="s">
        <v>1106</v>
      </c>
      <c r="F152" s="2" t="s">
        <v>716</v>
      </c>
      <c r="G152" s="2">
        <v>45669</v>
      </c>
      <c r="H152" s="2">
        <v>46033</v>
      </c>
      <c r="I152" s="2" t="s">
        <v>1773</v>
      </c>
      <c r="J152" s="2">
        <v>6110172925915</v>
      </c>
      <c r="K152" s="2" t="s">
        <v>9</v>
      </c>
      <c r="L152" s="2" t="s">
        <v>717</v>
      </c>
      <c r="M152" s="2" t="s">
        <v>718</v>
      </c>
      <c r="N152" s="2" t="s">
        <v>719</v>
      </c>
      <c r="O152" s="2" t="s">
        <v>1772</v>
      </c>
      <c r="P152" s="2" t="s">
        <v>1308</v>
      </c>
      <c r="Q152" s="2" t="s">
        <v>1110</v>
      </c>
      <c r="R152" s="2" t="s">
        <v>1774</v>
      </c>
      <c r="S152" s="2">
        <v>45309</v>
      </c>
      <c r="T152" s="2">
        <v>46423</v>
      </c>
      <c r="U152" s="2">
        <v>2935000</v>
      </c>
      <c r="V152" s="2">
        <v>10</v>
      </c>
      <c r="W152" s="2">
        <v>293500</v>
      </c>
      <c r="X152" s="2">
        <v>2641500</v>
      </c>
      <c r="Y152" s="2">
        <v>2</v>
      </c>
      <c r="Z152" s="2">
        <v>52830</v>
      </c>
      <c r="AA152" s="2"/>
      <c r="AB152" s="2"/>
      <c r="AC152" s="2" t="s">
        <v>1301</v>
      </c>
      <c r="AD152" s="2">
        <v>1141072794</v>
      </c>
      <c r="AE152" s="2">
        <v>45720</v>
      </c>
      <c r="AF152" s="2" t="s">
        <v>1113</v>
      </c>
      <c r="AG152" s="2">
        <v>12</v>
      </c>
      <c r="AH152" s="2" t="s">
        <v>716</v>
      </c>
      <c r="AI152" s="4">
        <v>52830</v>
      </c>
      <c r="AJ152" s="2">
        <v>0</v>
      </c>
      <c r="AK152" s="2" t="s">
        <v>4</v>
      </c>
    </row>
    <row r="153" spans="1:37" x14ac:dyDescent="0.2">
      <c r="A153" s="12">
        <v>152</v>
      </c>
      <c r="B153" s="2" t="s">
        <v>1295</v>
      </c>
      <c r="C153" s="2" t="s">
        <v>1775</v>
      </c>
      <c r="D153" s="2">
        <v>45658</v>
      </c>
      <c r="E153" s="2" t="s">
        <v>1106</v>
      </c>
      <c r="F153" s="2" t="s">
        <v>292</v>
      </c>
      <c r="G153" s="2">
        <v>45662</v>
      </c>
      <c r="H153" s="2">
        <v>46026</v>
      </c>
      <c r="I153" s="2" t="s">
        <v>1776</v>
      </c>
      <c r="J153" s="2">
        <v>4220145401745</v>
      </c>
      <c r="K153" s="2" t="s">
        <v>5</v>
      </c>
      <c r="L153" s="2" t="s">
        <v>293</v>
      </c>
      <c r="M153" s="2" t="s">
        <v>294</v>
      </c>
      <c r="N153" s="2" t="s">
        <v>295</v>
      </c>
      <c r="O153" s="2" t="s">
        <v>1775</v>
      </c>
      <c r="P153" s="2" t="s">
        <v>1143</v>
      </c>
      <c r="Q153" s="2" t="s">
        <v>1144</v>
      </c>
      <c r="R153" s="2" t="s">
        <v>1777</v>
      </c>
      <c r="S153" s="2">
        <v>45299</v>
      </c>
      <c r="T153" s="2">
        <v>47123</v>
      </c>
      <c r="U153" s="2">
        <v>2130000</v>
      </c>
      <c r="V153" s="2">
        <v>10</v>
      </c>
      <c r="W153" s="2">
        <v>213000</v>
      </c>
      <c r="X153" s="2">
        <v>1917000</v>
      </c>
      <c r="Y153" s="2">
        <v>2</v>
      </c>
      <c r="Z153" s="2">
        <v>38340</v>
      </c>
      <c r="AA153" s="2"/>
      <c r="AB153" s="2"/>
      <c r="AC153" s="2" t="s">
        <v>1301</v>
      </c>
      <c r="AD153" s="2">
        <v>1141072794</v>
      </c>
      <c r="AE153" s="2">
        <v>45720</v>
      </c>
      <c r="AF153" s="2" t="s">
        <v>1113</v>
      </c>
      <c r="AG153" s="2">
        <v>12</v>
      </c>
      <c r="AH153" s="2" t="s">
        <v>292</v>
      </c>
      <c r="AI153" s="4">
        <v>38340</v>
      </c>
      <c r="AJ153" s="2">
        <v>0</v>
      </c>
      <c r="AK153" s="2" t="s">
        <v>4</v>
      </c>
    </row>
    <row r="154" spans="1:37" x14ac:dyDescent="0.2">
      <c r="A154" s="12">
        <v>153</v>
      </c>
      <c r="B154" s="2" t="s">
        <v>1295</v>
      </c>
      <c r="C154" s="2" t="s">
        <v>1778</v>
      </c>
      <c r="D154" s="2">
        <v>45658</v>
      </c>
      <c r="E154" s="2" t="s">
        <v>1106</v>
      </c>
      <c r="F154" s="2" t="s">
        <v>711</v>
      </c>
      <c r="G154" s="2">
        <v>45688</v>
      </c>
      <c r="H154" s="2">
        <v>46052</v>
      </c>
      <c r="I154" s="2" t="s">
        <v>1779</v>
      </c>
      <c r="J154" s="2">
        <v>3310253965365</v>
      </c>
      <c r="K154" s="2" t="s">
        <v>712</v>
      </c>
      <c r="L154" s="2" t="s">
        <v>713</v>
      </c>
      <c r="M154" s="2" t="s">
        <v>714</v>
      </c>
      <c r="N154" s="2" t="s">
        <v>715</v>
      </c>
      <c r="O154" s="2" t="s">
        <v>1778</v>
      </c>
      <c r="P154" s="2" t="s">
        <v>1109</v>
      </c>
      <c r="Q154" s="2" t="s">
        <v>1129</v>
      </c>
      <c r="R154" s="2" t="s">
        <v>1780</v>
      </c>
      <c r="S154" s="2">
        <v>45322</v>
      </c>
      <c r="T154" s="2">
        <v>47154</v>
      </c>
      <c r="U154" s="2">
        <v>2250000</v>
      </c>
      <c r="V154" s="2">
        <v>10</v>
      </c>
      <c r="W154" s="2">
        <v>225000</v>
      </c>
      <c r="X154" s="2">
        <v>2025000</v>
      </c>
      <c r="Y154" s="2">
        <v>2</v>
      </c>
      <c r="Z154" s="2">
        <v>40500</v>
      </c>
      <c r="AA154" s="2"/>
      <c r="AB154" s="2"/>
      <c r="AC154" s="2" t="s">
        <v>1301</v>
      </c>
      <c r="AD154" s="2">
        <v>1141072794</v>
      </c>
      <c r="AE154" s="2">
        <v>45720</v>
      </c>
      <c r="AF154" s="2" t="s">
        <v>1113</v>
      </c>
      <c r="AG154" s="2">
        <v>0</v>
      </c>
      <c r="AH154" s="2" t="s">
        <v>711</v>
      </c>
      <c r="AI154" s="4">
        <v>40500</v>
      </c>
      <c r="AJ154" s="2">
        <v>0</v>
      </c>
      <c r="AK154" s="2" t="s">
        <v>4</v>
      </c>
    </row>
    <row r="155" spans="1:37" x14ac:dyDescent="0.2">
      <c r="A155" s="12">
        <v>154</v>
      </c>
      <c r="B155" s="2" t="s">
        <v>1295</v>
      </c>
      <c r="C155" s="2" t="s">
        <v>1781</v>
      </c>
      <c r="D155" s="2">
        <v>45658</v>
      </c>
      <c r="E155" s="2" t="s">
        <v>1106</v>
      </c>
      <c r="F155" s="2" t="s">
        <v>432</v>
      </c>
      <c r="G155" s="2">
        <v>45681</v>
      </c>
      <c r="H155" s="2">
        <v>46045</v>
      </c>
      <c r="I155" s="2" t="s">
        <v>1782</v>
      </c>
      <c r="J155" s="2">
        <v>3520260834423</v>
      </c>
      <c r="K155" s="2" t="s">
        <v>433</v>
      </c>
      <c r="L155" s="2" t="s">
        <v>434</v>
      </c>
      <c r="M155" s="2" t="s">
        <v>435</v>
      </c>
      <c r="N155" s="2" t="s">
        <v>436</v>
      </c>
      <c r="O155" s="2" t="s">
        <v>1781</v>
      </c>
      <c r="P155" s="2" t="s">
        <v>1109</v>
      </c>
      <c r="Q155" s="2" t="s">
        <v>1116</v>
      </c>
      <c r="R155" s="2" t="s">
        <v>1783</v>
      </c>
      <c r="S155" s="2">
        <v>45320</v>
      </c>
      <c r="T155" s="2">
        <v>47154</v>
      </c>
      <c r="U155" s="2">
        <v>3500000</v>
      </c>
      <c r="V155" s="2">
        <v>10</v>
      </c>
      <c r="W155" s="2">
        <v>350000</v>
      </c>
      <c r="X155" s="2">
        <v>3150000</v>
      </c>
      <c r="Y155" s="2">
        <v>1.5</v>
      </c>
      <c r="Z155" s="2">
        <v>47250</v>
      </c>
      <c r="AA155" s="2"/>
      <c r="AB155" s="2"/>
      <c r="AC155" s="2" t="s">
        <v>1301</v>
      </c>
      <c r="AD155" s="2">
        <v>1141072794</v>
      </c>
      <c r="AE155" s="2">
        <v>45720</v>
      </c>
      <c r="AF155" s="2" t="s">
        <v>1113</v>
      </c>
      <c r="AG155" s="2">
        <v>12</v>
      </c>
      <c r="AH155" s="2" t="s">
        <v>432</v>
      </c>
      <c r="AI155" s="4">
        <v>47250</v>
      </c>
      <c r="AJ155" s="2">
        <v>0</v>
      </c>
      <c r="AK155" s="2" t="s">
        <v>4</v>
      </c>
    </row>
    <row r="156" spans="1:37" x14ac:dyDescent="0.2">
      <c r="A156" s="12">
        <v>155</v>
      </c>
      <c r="B156" s="2" t="s">
        <v>1295</v>
      </c>
      <c r="C156" s="2" t="s">
        <v>1784</v>
      </c>
      <c r="D156" s="2">
        <v>45658</v>
      </c>
      <c r="E156" s="2" t="s">
        <v>1106</v>
      </c>
      <c r="F156" s="2" t="s">
        <v>803</v>
      </c>
      <c r="G156" s="2">
        <v>45665</v>
      </c>
      <c r="H156" s="2">
        <v>46029</v>
      </c>
      <c r="I156" s="2" t="s">
        <v>1785</v>
      </c>
      <c r="J156" s="2">
        <v>3520289551809</v>
      </c>
      <c r="K156" s="2" t="s">
        <v>9</v>
      </c>
      <c r="L156" s="2" t="s">
        <v>804</v>
      </c>
      <c r="M156" s="2" t="s">
        <v>805</v>
      </c>
      <c r="N156" s="2" t="s">
        <v>806</v>
      </c>
      <c r="O156" s="2" t="s">
        <v>1784</v>
      </c>
      <c r="P156" s="2" t="s">
        <v>1109</v>
      </c>
      <c r="Q156" s="2" t="s">
        <v>1116</v>
      </c>
      <c r="R156" s="2" t="s">
        <v>1786</v>
      </c>
      <c r="S156" s="2">
        <v>45301</v>
      </c>
      <c r="T156" s="2">
        <v>47123</v>
      </c>
      <c r="U156" s="2">
        <v>2150000</v>
      </c>
      <c r="V156" s="2">
        <v>10</v>
      </c>
      <c r="W156" s="2">
        <v>215000</v>
      </c>
      <c r="X156" s="2">
        <v>1935000</v>
      </c>
      <c r="Y156" s="2">
        <v>2</v>
      </c>
      <c r="Z156" s="2">
        <v>38700</v>
      </c>
      <c r="AA156" s="2"/>
      <c r="AB156" s="2"/>
      <c r="AC156" s="2" t="s">
        <v>1301</v>
      </c>
      <c r="AD156" s="2">
        <v>1141072794</v>
      </c>
      <c r="AE156" s="2">
        <v>45720</v>
      </c>
      <c r="AF156" s="2" t="s">
        <v>1113</v>
      </c>
      <c r="AG156" s="2">
        <v>74</v>
      </c>
      <c r="AH156" s="2" t="s">
        <v>803</v>
      </c>
      <c r="AI156" s="4">
        <v>38700</v>
      </c>
      <c r="AJ156" s="2">
        <v>0</v>
      </c>
      <c r="AK156" s="2" t="s">
        <v>4</v>
      </c>
    </row>
    <row r="157" spans="1:37" x14ac:dyDescent="0.2">
      <c r="A157" s="12">
        <v>156</v>
      </c>
      <c r="B157" s="2" t="s">
        <v>1295</v>
      </c>
      <c r="C157" s="2" t="s">
        <v>1787</v>
      </c>
      <c r="D157" s="2">
        <v>45658</v>
      </c>
      <c r="E157" s="2" t="s">
        <v>1106</v>
      </c>
      <c r="F157" s="2" t="s">
        <v>697</v>
      </c>
      <c r="G157" s="2">
        <v>45687</v>
      </c>
      <c r="H157" s="2">
        <v>46051</v>
      </c>
      <c r="I157" s="2" t="s">
        <v>1788</v>
      </c>
      <c r="J157" s="2">
        <v>3520285886905</v>
      </c>
      <c r="K157" s="2" t="s">
        <v>698</v>
      </c>
      <c r="L157" s="2" t="s">
        <v>699</v>
      </c>
      <c r="M157" s="2" t="s">
        <v>700</v>
      </c>
      <c r="N157" s="2" t="s">
        <v>701</v>
      </c>
      <c r="O157" s="2" t="s">
        <v>1787</v>
      </c>
      <c r="P157" s="2" t="s">
        <v>1109</v>
      </c>
      <c r="Q157" s="2" t="s">
        <v>1116</v>
      </c>
      <c r="R157" s="2" t="s">
        <v>1789</v>
      </c>
      <c r="S157" s="2">
        <v>45322</v>
      </c>
      <c r="T157" s="2">
        <v>46423</v>
      </c>
      <c r="U157" s="2">
        <v>3800000</v>
      </c>
      <c r="V157" s="2">
        <v>10</v>
      </c>
      <c r="W157" s="2">
        <v>380000</v>
      </c>
      <c r="X157" s="2">
        <v>3420000</v>
      </c>
      <c r="Y157" s="2">
        <v>1.5</v>
      </c>
      <c r="Z157" s="2">
        <v>51300</v>
      </c>
      <c r="AA157" s="2"/>
      <c r="AB157" s="2"/>
      <c r="AC157" s="2" t="s">
        <v>1301</v>
      </c>
      <c r="AD157" s="2">
        <v>1141072794</v>
      </c>
      <c r="AE157" s="2">
        <v>45720</v>
      </c>
      <c r="AF157" s="2" t="s">
        <v>1113</v>
      </c>
      <c r="AG157" s="2">
        <v>0</v>
      </c>
      <c r="AH157" s="2" t="s">
        <v>697</v>
      </c>
      <c r="AI157" s="4">
        <v>51300</v>
      </c>
      <c r="AJ157" s="2">
        <v>0</v>
      </c>
      <c r="AK157" s="2" t="s">
        <v>4</v>
      </c>
    </row>
    <row r="158" spans="1:37" x14ac:dyDescent="0.2">
      <c r="A158" s="12">
        <v>157</v>
      </c>
      <c r="B158" s="2" t="s">
        <v>1295</v>
      </c>
      <c r="C158" s="2" t="s">
        <v>1790</v>
      </c>
      <c r="D158" s="2">
        <v>45658</v>
      </c>
      <c r="E158" s="2" t="s">
        <v>1106</v>
      </c>
      <c r="F158" s="2" t="s">
        <v>991</v>
      </c>
      <c r="G158" s="2">
        <v>45679</v>
      </c>
      <c r="H158" s="2">
        <v>46043</v>
      </c>
      <c r="I158" s="2" t="s">
        <v>1791</v>
      </c>
      <c r="J158" s="2">
        <v>3520055030368</v>
      </c>
      <c r="K158" s="2" t="s">
        <v>9</v>
      </c>
      <c r="L158" s="2" t="s">
        <v>992</v>
      </c>
      <c r="M158" s="2" t="s">
        <v>993</v>
      </c>
      <c r="N158" s="2" t="s">
        <v>994</v>
      </c>
      <c r="O158" s="2" t="s">
        <v>1790</v>
      </c>
      <c r="P158" s="2" t="s">
        <v>1109</v>
      </c>
      <c r="Q158" s="2" t="s">
        <v>1116</v>
      </c>
      <c r="R158" s="2" t="s">
        <v>1792</v>
      </c>
      <c r="S158" s="2">
        <v>45314</v>
      </c>
      <c r="T158" s="2">
        <v>47154</v>
      </c>
      <c r="U158" s="2">
        <v>2510000</v>
      </c>
      <c r="V158" s="2">
        <v>10</v>
      </c>
      <c r="W158" s="2">
        <v>251000</v>
      </c>
      <c r="X158" s="2">
        <v>2259000</v>
      </c>
      <c r="Y158" s="2">
        <v>2</v>
      </c>
      <c r="Z158" s="2">
        <v>45180</v>
      </c>
      <c r="AA158" s="2"/>
      <c r="AB158" s="2"/>
      <c r="AC158" s="2" t="s">
        <v>1301</v>
      </c>
      <c r="AD158" s="2">
        <v>1141072794</v>
      </c>
      <c r="AE158" s="2">
        <v>45720</v>
      </c>
      <c r="AF158" s="2" t="s">
        <v>1113</v>
      </c>
      <c r="AG158" s="2">
        <v>0</v>
      </c>
      <c r="AH158" s="2" t="s">
        <v>991</v>
      </c>
      <c r="AI158" s="4">
        <v>45180</v>
      </c>
      <c r="AJ158" s="2">
        <v>0</v>
      </c>
      <c r="AK158" s="2" t="s">
        <v>4</v>
      </c>
    </row>
    <row r="159" spans="1:37" x14ac:dyDescent="0.2">
      <c r="A159" s="12">
        <v>158</v>
      </c>
      <c r="B159" s="2" t="s">
        <v>1295</v>
      </c>
      <c r="C159" s="2" t="s">
        <v>1793</v>
      </c>
      <c r="D159" s="2">
        <v>45658</v>
      </c>
      <c r="E159" s="2" t="s">
        <v>1106</v>
      </c>
      <c r="F159" s="2" t="s">
        <v>565</v>
      </c>
      <c r="G159" s="2">
        <v>45682</v>
      </c>
      <c r="H159" s="2">
        <v>46046</v>
      </c>
      <c r="I159" s="2" t="s">
        <v>1794</v>
      </c>
      <c r="J159" s="2">
        <v>3310001531301</v>
      </c>
      <c r="K159" s="2" t="s">
        <v>255</v>
      </c>
      <c r="L159" s="2" t="s">
        <v>566</v>
      </c>
      <c r="M159" s="2" t="s">
        <v>567</v>
      </c>
      <c r="N159" s="2" t="s">
        <v>568</v>
      </c>
      <c r="O159" s="2" t="s">
        <v>1793</v>
      </c>
      <c r="P159" s="2" t="s">
        <v>1109</v>
      </c>
      <c r="Q159" s="2" t="s">
        <v>1129</v>
      </c>
      <c r="R159" s="2" t="s">
        <v>1795</v>
      </c>
      <c r="S159" s="2">
        <v>45320</v>
      </c>
      <c r="T159" s="2">
        <v>46423</v>
      </c>
      <c r="U159" s="2">
        <v>4000000</v>
      </c>
      <c r="V159" s="2">
        <v>10</v>
      </c>
      <c r="W159" s="2">
        <v>400000</v>
      </c>
      <c r="X159" s="2">
        <v>3600000</v>
      </c>
      <c r="Y159" s="2">
        <v>1.5</v>
      </c>
      <c r="Z159" s="2">
        <v>54000</v>
      </c>
      <c r="AA159" s="2"/>
      <c r="AB159" s="2"/>
      <c r="AC159" s="2" t="s">
        <v>1301</v>
      </c>
      <c r="AD159" s="2">
        <v>1141072794</v>
      </c>
      <c r="AE159" s="2">
        <v>45720</v>
      </c>
      <c r="AF159" s="2" t="s">
        <v>1113</v>
      </c>
      <c r="AG159" s="2">
        <v>12</v>
      </c>
      <c r="AH159" s="2" t="s">
        <v>565</v>
      </c>
      <c r="AI159" s="4">
        <v>54000</v>
      </c>
      <c r="AJ159" s="2">
        <v>0</v>
      </c>
      <c r="AK159" s="2" t="s">
        <v>4</v>
      </c>
    </row>
    <row r="160" spans="1:37" x14ac:dyDescent="0.2">
      <c r="A160" s="12">
        <v>159</v>
      </c>
      <c r="B160" s="2" t="s">
        <v>1295</v>
      </c>
      <c r="C160" s="2" t="s">
        <v>1796</v>
      </c>
      <c r="D160" s="2">
        <v>45658</v>
      </c>
      <c r="E160" s="2" t="s">
        <v>1106</v>
      </c>
      <c r="F160" s="2" t="s">
        <v>815</v>
      </c>
      <c r="G160" s="2">
        <v>45665</v>
      </c>
      <c r="H160" s="2">
        <v>46029</v>
      </c>
      <c r="I160" s="2" t="s">
        <v>1797</v>
      </c>
      <c r="J160" s="2">
        <v>1610248450089</v>
      </c>
      <c r="K160" s="2" t="s">
        <v>816</v>
      </c>
      <c r="L160" s="2" t="s">
        <v>775</v>
      </c>
      <c r="M160" s="2" t="s">
        <v>817</v>
      </c>
      <c r="N160" s="2" t="s">
        <v>818</v>
      </c>
      <c r="O160" s="2" t="s">
        <v>1796</v>
      </c>
      <c r="P160" s="2" t="s">
        <v>1308</v>
      </c>
      <c r="Q160" s="2" t="s">
        <v>1110</v>
      </c>
      <c r="R160" s="2" t="s">
        <v>1798</v>
      </c>
      <c r="S160" s="2">
        <v>45309</v>
      </c>
      <c r="T160" s="2">
        <v>47154</v>
      </c>
      <c r="U160" s="2">
        <v>2799000</v>
      </c>
      <c r="V160" s="2">
        <v>10</v>
      </c>
      <c r="W160" s="2">
        <v>279900</v>
      </c>
      <c r="X160" s="2">
        <v>2519100</v>
      </c>
      <c r="Y160" s="2">
        <v>2</v>
      </c>
      <c r="Z160" s="2">
        <v>50382</v>
      </c>
      <c r="AA160" s="2"/>
      <c r="AB160" s="2"/>
      <c r="AC160" s="2" t="s">
        <v>1301</v>
      </c>
      <c r="AD160" s="2">
        <v>1141072794</v>
      </c>
      <c r="AE160" s="2">
        <v>45720</v>
      </c>
      <c r="AF160" s="2" t="s">
        <v>1113</v>
      </c>
      <c r="AG160" s="2">
        <v>42</v>
      </c>
      <c r="AH160" s="2" t="s">
        <v>815</v>
      </c>
      <c r="AI160" s="4">
        <v>50382</v>
      </c>
      <c r="AJ160" s="2">
        <v>0</v>
      </c>
      <c r="AK160" s="2" t="s">
        <v>4</v>
      </c>
    </row>
    <row r="161" spans="1:37" x14ac:dyDescent="0.2">
      <c r="A161" s="12">
        <v>160</v>
      </c>
      <c r="B161" s="2" t="s">
        <v>1295</v>
      </c>
      <c r="C161" s="2" t="s">
        <v>1799</v>
      </c>
      <c r="D161" s="2">
        <v>45658</v>
      </c>
      <c r="E161" s="2" t="s">
        <v>1106</v>
      </c>
      <c r="F161" s="2" t="s">
        <v>811</v>
      </c>
      <c r="G161" s="2">
        <v>45665</v>
      </c>
      <c r="H161" s="2">
        <v>46029</v>
      </c>
      <c r="I161" s="2" t="s">
        <v>1415</v>
      </c>
      <c r="J161" s="2">
        <v>3520128186875</v>
      </c>
      <c r="K161" s="2" t="s">
        <v>9</v>
      </c>
      <c r="L161" s="2" t="s">
        <v>812</v>
      </c>
      <c r="M161" s="2" t="s">
        <v>813</v>
      </c>
      <c r="N161" s="2" t="s">
        <v>814</v>
      </c>
      <c r="O161" s="2" t="s">
        <v>1799</v>
      </c>
      <c r="P161" s="2" t="s">
        <v>1109</v>
      </c>
      <c r="Q161" s="2" t="s">
        <v>1116</v>
      </c>
      <c r="R161" s="2" t="s">
        <v>1800</v>
      </c>
      <c r="S161" s="2">
        <v>45303</v>
      </c>
      <c r="T161" s="2">
        <v>46392</v>
      </c>
      <c r="U161" s="2">
        <v>2935000</v>
      </c>
      <c r="V161" s="2">
        <v>10</v>
      </c>
      <c r="W161" s="2">
        <v>293500</v>
      </c>
      <c r="X161" s="2">
        <v>2641500</v>
      </c>
      <c r="Y161" s="2">
        <v>2</v>
      </c>
      <c r="Z161" s="2">
        <v>52830</v>
      </c>
      <c r="AA161" s="2"/>
      <c r="AB161" s="2"/>
      <c r="AC161" s="2" t="s">
        <v>1301</v>
      </c>
      <c r="AD161" s="2">
        <v>1141072794</v>
      </c>
      <c r="AE161" s="2">
        <v>45720</v>
      </c>
      <c r="AF161" s="2" t="s">
        <v>1113</v>
      </c>
      <c r="AG161" s="2">
        <v>74</v>
      </c>
      <c r="AH161" s="2" t="s">
        <v>811</v>
      </c>
      <c r="AI161" s="4">
        <v>52830</v>
      </c>
      <c r="AJ161" s="2">
        <v>0</v>
      </c>
      <c r="AK161" s="2" t="s">
        <v>4</v>
      </c>
    </row>
    <row r="162" spans="1:37" x14ac:dyDescent="0.2">
      <c r="A162" s="12">
        <v>161</v>
      </c>
      <c r="B162" s="2" t="s">
        <v>1295</v>
      </c>
      <c r="C162" s="2" t="s">
        <v>1801</v>
      </c>
      <c r="D162" s="2">
        <v>45658</v>
      </c>
      <c r="E162" s="2" t="s">
        <v>1106</v>
      </c>
      <c r="F162" s="2" t="s">
        <v>946</v>
      </c>
      <c r="G162" s="2">
        <v>45675</v>
      </c>
      <c r="H162" s="2">
        <v>46039</v>
      </c>
      <c r="I162" s="2" t="s">
        <v>1802</v>
      </c>
      <c r="J162" s="2">
        <v>2120325952239</v>
      </c>
      <c r="K162" s="2" t="s">
        <v>5</v>
      </c>
      <c r="L162" s="2" t="s">
        <v>947</v>
      </c>
      <c r="M162" s="2" t="s">
        <v>948</v>
      </c>
      <c r="N162" s="2" t="s">
        <v>949</v>
      </c>
      <c r="O162" s="2" t="s">
        <v>1801</v>
      </c>
      <c r="P162" s="2" t="s">
        <v>1143</v>
      </c>
      <c r="Q162" s="2" t="s">
        <v>1144</v>
      </c>
      <c r="R162" s="2" t="s">
        <v>1803</v>
      </c>
      <c r="S162" s="2">
        <v>45317</v>
      </c>
      <c r="T162" s="2">
        <v>46423</v>
      </c>
      <c r="U162" s="2">
        <v>2612000</v>
      </c>
      <c r="V162" s="2">
        <v>10</v>
      </c>
      <c r="W162" s="2">
        <v>261200</v>
      </c>
      <c r="X162" s="2">
        <v>2350800</v>
      </c>
      <c r="Y162" s="2">
        <v>2</v>
      </c>
      <c r="Z162" s="2">
        <v>47016</v>
      </c>
      <c r="AA162" s="2"/>
      <c r="AB162" s="2"/>
      <c r="AC162" s="2" t="s">
        <v>1301</v>
      </c>
      <c r="AD162" s="2">
        <v>1141072794</v>
      </c>
      <c r="AE162" s="2">
        <v>45720</v>
      </c>
      <c r="AF162" s="2" t="s">
        <v>1113</v>
      </c>
      <c r="AG162" s="2">
        <v>0</v>
      </c>
      <c r="AH162" s="2" t="s">
        <v>946</v>
      </c>
      <c r="AI162" s="4">
        <v>47016</v>
      </c>
      <c r="AJ162" s="2">
        <v>0</v>
      </c>
      <c r="AK162" s="2" t="s">
        <v>4</v>
      </c>
    </row>
    <row r="163" spans="1:37" x14ac:dyDescent="0.2">
      <c r="A163" s="12">
        <v>162</v>
      </c>
      <c r="B163" s="2" t="s">
        <v>1295</v>
      </c>
      <c r="C163" s="2" t="s">
        <v>1804</v>
      </c>
      <c r="D163" s="2">
        <v>45658</v>
      </c>
      <c r="E163" s="2" t="s">
        <v>1106</v>
      </c>
      <c r="F163" s="2" t="s">
        <v>472</v>
      </c>
      <c r="G163" s="2">
        <v>45682</v>
      </c>
      <c r="H163" s="2">
        <v>46046</v>
      </c>
      <c r="I163" s="2" t="s">
        <v>1805</v>
      </c>
      <c r="J163" s="2">
        <v>6110124509377</v>
      </c>
      <c r="K163" s="2" t="s">
        <v>473</v>
      </c>
      <c r="L163" s="2" t="s">
        <v>474</v>
      </c>
      <c r="M163" s="2" t="s">
        <v>475</v>
      </c>
      <c r="N163" s="2" t="s">
        <v>476</v>
      </c>
      <c r="O163" s="2" t="s">
        <v>1804</v>
      </c>
      <c r="P163" s="2" t="s">
        <v>1308</v>
      </c>
      <c r="Q163" s="2" t="s">
        <v>1806</v>
      </c>
      <c r="R163" s="2" t="s">
        <v>1807</v>
      </c>
      <c r="S163" s="2">
        <v>45324</v>
      </c>
      <c r="T163" s="2">
        <v>46423</v>
      </c>
      <c r="U163" s="2">
        <v>5469500</v>
      </c>
      <c r="V163" s="2">
        <v>10</v>
      </c>
      <c r="W163" s="2">
        <v>546950</v>
      </c>
      <c r="X163" s="2">
        <v>4922550</v>
      </c>
      <c r="Y163" s="2">
        <v>1.5</v>
      </c>
      <c r="Z163" s="2">
        <v>73838.25</v>
      </c>
      <c r="AA163" s="2"/>
      <c r="AB163" s="2"/>
      <c r="AC163" s="2" t="s">
        <v>1301</v>
      </c>
      <c r="AD163" s="2">
        <v>1141072794</v>
      </c>
      <c r="AE163" s="2">
        <v>45720</v>
      </c>
      <c r="AF163" s="2" t="s">
        <v>1113</v>
      </c>
      <c r="AG163" s="2">
        <v>0</v>
      </c>
      <c r="AH163" s="2" t="s">
        <v>472</v>
      </c>
      <c r="AI163" s="4">
        <v>73838</v>
      </c>
      <c r="AJ163" s="2">
        <v>-0.25</v>
      </c>
      <c r="AK163" s="2" t="s">
        <v>4</v>
      </c>
    </row>
    <row r="164" spans="1:37" x14ac:dyDescent="0.2">
      <c r="A164" s="12">
        <v>163</v>
      </c>
      <c r="B164" s="2" t="s">
        <v>1295</v>
      </c>
      <c r="C164" s="2" t="s">
        <v>1808</v>
      </c>
      <c r="D164" s="2">
        <v>45658</v>
      </c>
      <c r="E164" s="2" t="s">
        <v>1106</v>
      </c>
      <c r="F164" s="2" t="s">
        <v>770</v>
      </c>
      <c r="G164" s="2">
        <v>45688</v>
      </c>
      <c r="H164" s="2">
        <v>46052</v>
      </c>
      <c r="I164" s="2" t="s">
        <v>1809</v>
      </c>
      <c r="J164" s="2">
        <v>3520213944073</v>
      </c>
      <c r="K164" s="2" t="s">
        <v>14</v>
      </c>
      <c r="L164" s="2" t="s">
        <v>771</v>
      </c>
      <c r="M164" s="2" t="s">
        <v>772</v>
      </c>
      <c r="N164" s="2" t="s">
        <v>773</v>
      </c>
      <c r="O164" s="2" t="s">
        <v>1808</v>
      </c>
      <c r="P164" s="2" t="s">
        <v>1109</v>
      </c>
      <c r="Q164" s="2" t="s">
        <v>1116</v>
      </c>
      <c r="R164" s="2" t="s">
        <v>1810</v>
      </c>
      <c r="S164" s="2">
        <v>45323</v>
      </c>
      <c r="T164" s="2">
        <v>46788</v>
      </c>
      <c r="U164" s="2">
        <v>2200000</v>
      </c>
      <c r="V164" s="2">
        <v>10</v>
      </c>
      <c r="W164" s="2">
        <v>220000</v>
      </c>
      <c r="X164" s="2">
        <v>1980000</v>
      </c>
      <c r="Y164" s="2">
        <v>2</v>
      </c>
      <c r="Z164" s="2">
        <v>39600</v>
      </c>
      <c r="AA164" s="2"/>
      <c r="AB164" s="2"/>
      <c r="AC164" s="2" t="s">
        <v>1301</v>
      </c>
      <c r="AD164" s="2">
        <v>1141072794</v>
      </c>
      <c r="AE164" s="2">
        <v>45720</v>
      </c>
      <c r="AF164" s="2" t="s">
        <v>1113</v>
      </c>
      <c r="AG164" s="2">
        <v>12</v>
      </c>
      <c r="AH164" s="2" t="s">
        <v>770</v>
      </c>
      <c r="AI164" s="4">
        <v>39600</v>
      </c>
      <c r="AJ164" s="2">
        <v>0</v>
      </c>
      <c r="AK164" s="2" t="s">
        <v>4</v>
      </c>
    </row>
    <row r="165" spans="1:37" x14ac:dyDescent="0.2">
      <c r="A165" s="12">
        <v>164</v>
      </c>
      <c r="B165" s="2" t="s">
        <v>1295</v>
      </c>
      <c r="C165" s="2" t="s">
        <v>1811</v>
      </c>
      <c r="D165" s="2">
        <v>45658</v>
      </c>
      <c r="E165" s="2" t="s">
        <v>1106</v>
      </c>
      <c r="F165" s="2" t="s">
        <v>762</v>
      </c>
      <c r="G165" s="2">
        <v>45672</v>
      </c>
      <c r="H165" s="2">
        <v>46036</v>
      </c>
      <c r="I165" s="2" t="s">
        <v>1812</v>
      </c>
      <c r="J165" s="2">
        <v>3520094406074</v>
      </c>
      <c r="K165" s="2" t="s">
        <v>100</v>
      </c>
      <c r="L165" s="2" t="s">
        <v>763</v>
      </c>
      <c r="M165" s="2" t="s">
        <v>764</v>
      </c>
      <c r="N165" s="2" t="s">
        <v>765</v>
      </c>
      <c r="O165" s="2" t="s">
        <v>1811</v>
      </c>
      <c r="P165" s="2" t="s">
        <v>1109</v>
      </c>
      <c r="Q165" s="2" t="s">
        <v>1116</v>
      </c>
      <c r="R165" s="2" t="s">
        <v>1813</v>
      </c>
      <c r="S165" s="2">
        <v>45308</v>
      </c>
      <c r="T165" s="2">
        <v>46423</v>
      </c>
      <c r="U165" s="2">
        <v>3500000</v>
      </c>
      <c r="V165" s="2">
        <v>10</v>
      </c>
      <c r="W165" s="2">
        <v>350000</v>
      </c>
      <c r="X165" s="2">
        <v>3150000</v>
      </c>
      <c r="Y165" s="2">
        <v>1.5</v>
      </c>
      <c r="Z165" s="2">
        <v>47250</v>
      </c>
      <c r="AA165" s="2"/>
      <c r="AB165" s="2"/>
      <c r="AC165" s="2" t="s">
        <v>1301</v>
      </c>
      <c r="AD165" s="2">
        <v>1141072794</v>
      </c>
      <c r="AE165" s="2">
        <v>45720</v>
      </c>
      <c r="AF165" s="2" t="s">
        <v>1113</v>
      </c>
      <c r="AG165" s="2">
        <v>0</v>
      </c>
      <c r="AH165" s="2" t="s">
        <v>762</v>
      </c>
      <c r="AI165" s="4">
        <v>47250</v>
      </c>
      <c r="AJ165" s="2">
        <v>0</v>
      </c>
      <c r="AK165" s="2" t="s">
        <v>4</v>
      </c>
    </row>
    <row r="166" spans="1:37" x14ac:dyDescent="0.2">
      <c r="A166" s="12">
        <v>165</v>
      </c>
      <c r="B166" s="2" t="s">
        <v>1295</v>
      </c>
      <c r="C166" s="2" t="s">
        <v>1814</v>
      </c>
      <c r="D166" s="2">
        <v>45658</v>
      </c>
      <c r="E166" s="2" t="s">
        <v>1106</v>
      </c>
      <c r="F166" s="2" t="s">
        <v>749</v>
      </c>
      <c r="G166" s="2">
        <v>45688</v>
      </c>
      <c r="H166" s="2">
        <v>46052</v>
      </c>
      <c r="I166" s="2" t="s">
        <v>1815</v>
      </c>
      <c r="J166" s="2">
        <v>3530175971583</v>
      </c>
      <c r="K166" s="2" t="s">
        <v>8</v>
      </c>
      <c r="L166" s="2" t="s">
        <v>750</v>
      </c>
      <c r="M166" s="2" t="s">
        <v>751</v>
      </c>
      <c r="N166" s="2" t="s">
        <v>752</v>
      </c>
      <c r="O166" s="2" t="s">
        <v>1814</v>
      </c>
      <c r="P166" s="2" t="s">
        <v>1109</v>
      </c>
      <c r="Q166" s="2" t="s">
        <v>1116</v>
      </c>
      <c r="R166" s="2" t="s">
        <v>1816</v>
      </c>
      <c r="S166" s="2">
        <v>45323</v>
      </c>
      <c r="T166" s="2">
        <v>46423</v>
      </c>
      <c r="U166" s="2">
        <v>2100000</v>
      </c>
      <c r="V166" s="2">
        <v>10</v>
      </c>
      <c r="W166" s="2">
        <v>210000</v>
      </c>
      <c r="X166" s="2">
        <v>1890000</v>
      </c>
      <c r="Y166" s="2">
        <v>2</v>
      </c>
      <c r="Z166" s="2">
        <v>37800</v>
      </c>
      <c r="AA166" s="2"/>
      <c r="AB166" s="2"/>
      <c r="AC166" s="2" t="s">
        <v>1301</v>
      </c>
      <c r="AD166" s="2">
        <v>1141072794</v>
      </c>
      <c r="AE166" s="2">
        <v>45720</v>
      </c>
      <c r="AF166" s="2" t="s">
        <v>1113</v>
      </c>
      <c r="AG166" s="2">
        <v>0</v>
      </c>
      <c r="AH166" s="2" t="s">
        <v>749</v>
      </c>
      <c r="AI166" s="4">
        <v>37800</v>
      </c>
      <c r="AJ166" s="2">
        <v>0</v>
      </c>
      <c r="AK166" s="2" t="s">
        <v>4</v>
      </c>
    </row>
    <row r="167" spans="1:37" x14ac:dyDescent="0.2">
      <c r="A167" s="12">
        <v>166</v>
      </c>
      <c r="B167" s="2" t="s">
        <v>1295</v>
      </c>
      <c r="C167" s="2" t="s">
        <v>1817</v>
      </c>
      <c r="D167" s="2">
        <v>45658</v>
      </c>
      <c r="E167" s="2" t="s">
        <v>1106</v>
      </c>
      <c r="F167" s="2" t="s">
        <v>678</v>
      </c>
      <c r="G167" s="2">
        <v>45662</v>
      </c>
      <c r="H167" s="2">
        <v>46026</v>
      </c>
      <c r="I167" s="2" t="s">
        <v>1818</v>
      </c>
      <c r="J167" s="2">
        <v>3130411036397</v>
      </c>
      <c r="K167" s="2" t="s">
        <v>679</v>
      </c>
      <c r="L167" s="2" t="s">
        <v>680</v>
      </c>
      <c r="M167" s="2" t="s">
        <v>681</v>
      </c>
      <c r="N167" s="2" t="s">
        <v>682</v>
      </c>
      <c r="O167" s="2" t="s">
        <v>1817</v>
      </c>
      <c r="P167" s="2" t="s">
        <v>1109</v>
      </c>
      <c r="Q167" s="2" t="s">
        <v>1116</v>
      </c>
      <c r="R167" s="2" t="s">
        <v>1819</v>
      </c>
      <c r="S167" s="2">
        <v>45299</v>
      </c>
      <c r="T167" s="2">
        <v>46757</v>
      </c>
      <c r="U167" s="2">
        <v>4250000</v>
      </c>
      <c r="V167" s="2">
        <v>10</v>
      </c>
      <c r="W167" s="2">
        <v>425000</v>
      </c>
      <c r="X167" s="2">
        <v>3825000</v>
      </c>
      <c r="Y167" s="2">
        <v>1.5</v>
      </c>
      <c r="Z167" s="2">
        <v>57375</v>
      </c>
      <c r="AA167" s="2"/>
      <c r="AB167" s="2"/>
      <c r="AC167" s="2" t="s">
        <v>1301</v>
      </c>
      <c r="AD167" s="2">
        <v>1141072794</v>
      </c>
      <c r="AE167" s="2">
        <v>45720</v>
      </c>
      <c r="AF167" s="2" t="s">
        <v>1113</v>
      </c>
      <c r="AG167" s="2">
        <v>12</v>
      </c>
      <c r="AH167" s="2" t="s">
        <v>678</v>
      </c>
      <c r="AI167" s="4">
        <v>57375</v>
      </c>
      <c r="AJ167" s="2">
        <v>0</v>
      </c>
      <c r="AK167" s="2" t="s">
        <v>4</v>
      </c>
    </row>
    <row r="168" spans="1:37" x14ac:dyDescent="0.2">
      <c r="A168" s="12">
        <v>167</v>
      </c>
      <c r="B168" s="2" t="s">
        <v>1295</v>
      </c>
      <c r="C168" s="2" t="s">
        <v>1820</v>
      </c>
      <c r="D168" s="2">
        <v>45658</v>
      </c>
      <c r="E168" s="2" t="s">
        <v>1106</v>
      </c>
      <c r="F168" s="2" t="s">
        <v>720</v>
      </c>
      <c r="G168" s="2">
        <v>45688</v>
      </c>
      <c r="H168" s="2">
        <v>46052</v>
      </c>
      <c r="I168" s="2" t="s">
        <v>1821</v>
      </c>
      <c r="J168" s="2">
        <v>3520266981755</v>
      </c>
      <c r="K168" s="2" t="s">
        <v>8</v>
      </c>
      <c r="L168" s="2" t="s">
        <v>721</v>
      </c>
      <c r="M168" s="2" t="s">
        <v>722</v>
      </c>
      <c r="N168" s="2" t="s">
        <v>723</v>
      </c>
      <c r="O168" s="2" t="s">
        <v>1820</v>
      </c>
      <c r="P168" s="2" t="s">
        <v>1109</v>
      </c>
      <c r="Q168" s="2" t="s">
        <v>1116</v>
      </c>
      <c r="R168" s="2" t="s">
        <v>1822</v>
      </c>
      <c r="S168" s="2">
        <v>45323</v>
      </c>
      <c r="T168" s="2">
        <v>46788</v>
      </c>
      <c r="U168" s="2">
        <v>1500000</v>
      </c>
      <c r="V168" s="2">
        <v>10</v>
      </c>
      <c r="W168" s="2">
        <v>150000</v>
      </c>
      <c r="X168" s="2">
        <v>1350000</v>
      </c>
      <c r="Y168" s="2">
        <v>2</v>
      </c>
      <c r="Z168" s="2">
        <v>27000</v>
      </c>
      <c r="AA168" s="2"/>
      <c r="AB168" s="2"/>
      <c r="AC168" s="2" t="s">
        <v>1301</v>
      </c>
      <c r="AD168" s="2">
        <v>1141072794</v>
      </c>
      <c r="AE168" s="2">
        <v>45720</v>
      </c>
      <c r="AF168" s="2" t="s">
        <v>1113</v>
      </c>
      <c r="AG168" s="2">
        <v>0</v>
      </c>
      <c r="AH168" s="2" t="s">
        <v>720</v>
      </c>
      <c r="AI168" s="4">
        <v>27000</v>
      </c>
      <c r="AJ168" s="2">
        <v>0</v>
      </c>
      <c r="AK168" s="2" t="s">
        <v>4</v>
      </c>
    </row>
    <row r="169" spans="1:37" x14ac:dyDescent="0.2">
      <c r="A169" s="12">
        <v>168</v>
      </c>
      <c r="B169" s="2" t="s">
        <v>1295</v>
      </c>
      <c r="C169" s="2" t="s">
        <v>1823</v>
      </c>
      <c r="D169" s="2">
        <v>45658</v>
      </c>
      <c r="E169" s="2" t="s">
        <v>1106</v>
      </c>
      <c r="F169" s="2" t="s">
        <v>758</v>
      </c>
      <c r="G169" s="2">
        <v>45688</v>
      </c>
      <c r="H169" s="2">
        <v>46052</v>
      </c>
      <c r="I169" s="2" t="s">
        <v>1432</v>
      </c>
      <c r="J169" s="2">
        <v>3740182563753</v>
      </c>
      <c r="K169" s="2" t="s">
        <v>578</v>
      </c>
      <c r="L169" s="2" t="s">
        <v>759</v>
      </c>
      <c r="M169" s="2" t="s">
        <v>760</v>
      </c>
      <c r="N169" s="2" t="s">
        <v>761</v>
      </c>
      <c r="O169" s="2" t="s">
        <v>1823</v>
      </c>
      <c r="P169" s="2" t="s">
        <v>1109</v>
      </c>
      <c r="Q169" s="2" t="s">
        <v>1116</v>
      </c>
      <c r="R169" s="2" t="s">
        <v>1824</v>
      </c>
      <c r="S169" s="2">
        <v>45323</v>
      </c>
      <c r="T169" s="2">
        <v>47154</v>
      </c>
      <c r="U169" s="2">
        <v>2200000</v>
      </c>
      <c r="V169" s="2">
        <v>10</v>
      </c>
      <c r="W169" s="2">
        <v>220000</v>
      </c>
      <c r="X169" s="2">
        <v>1980000</v>
      </c>
      <c r="Y169" s="2">
        <v>2</v>
      </c>
      <c r="Z169" s="2">
        <v>39600</v>
      </c>
      <c r="AA169" s="2"/>
      <c r="AB169" s="2"/>
      <c r="AC169" s="2" t="s">
        <v>1301</v>
      </c>
      <c r="AD169" s="2">
        <v>1141072794</v>
      </c>
      <c r="AE169" s="2">
        <v>45720</v>
      </c>
      <c r="AF169" s="2" t="s">
        <v>1113</v>
      </c>
      <c r="AG169" s="2">
        <v>0</v>
      </c>
      <c r="AH169" s="2" t="s">
        <v>758</v>
      </c>
      <c r="AI169" s="4">
        <v>39600</v>
      </c>
      <c r="AJ169" s="2">
        <v>0</v>
      </c>
      <c r="AK169" s="2" t="s">
        <v>4</v>
      </c>
    </row>
    <row r="170" spans="1:37" x14ac:dyDescent="0.2">
      <c r="A170" s="12">
        <v>169</v>
      </c>
      <c r="B170" s="2" t="s">
        <v>1295</v>
      </c>
      <c r="C170" s="2" t="s">
        <v>1825</v>
      </c>
      <c r="D170" s="2">
        <v>45658</v>
      </c>
      <c r="E170" s="2" t="s">
        <v>1106</v>
      </c>
      <c r="F170" s="2" t="s">
        <v>388</v>
      </c>
      <c r="G170" s="2">
        <v>45680</v>
      </c>
      <c r="H170" s="2">
        <v>46044</v>
      </c>
      <c r="I170" s="2" t="s">
        <v>1826</v>
      </c>
      <c r="J170" s="2">
        <v>3520252083403</v>
      </c>
      <c r="K170" s="2" t="s">
        <v>389</v>
      </c>
      <c r="L170" s="2" t="s">
        <v>390</v>
      </c>
      <c r="M170" s="2" t="s">
        <v>391</v>
      </c>
      <c r="N170" s="2" t="s">
        <v>392</v>
      </c>
      <c r="O170" s="2" t="s">
        <v>1825</v>
      </c>
      <c r="P170" s="2" t="s">
        <v>1109</v>
      </c>
      <c r="Q170" s="2" t="s">
        <v>1116</v>
      </c>
      <c r="R170" s="2" t="s">
        <v>1827</v>
      </c>
      <c r="S170" s="2">
        <v>45317</v>
      </c>
      <c r="T170" s="2">
        <v>46423</v>
      </c>
      <c r="U170" s="2">
        <v>2500000</v>
      </c>
      <c r="V170" s="2">
        <v>10</v>
      </c>
      <c r="W170" s="2">
        <v>250000</v>
      </c>
      <c r="X170" s="2">
        <v>2250000</v>
      </c>
      <c r="Y170" s="2">
        <v>2</v>
      </c>
      <c r="Z170" s="2">
        <v>45000</v>
      </c>
      <c r="AA170" s="2"/>
      <c r="AB170" s="2"/>
      <c r="AC170" s="2" t="s">
        <v>1301</v>
      </c>
      <c r="AD170" s="2">
        <v>1141072794</v>
      </c>
      <c r="AE170" s="2">
        <v>45720</v>
      </c>
      <c r="AF170" s="2" t="s">
        <v>1113</v>
      </c>
      <c r="AG170" s="2">
        <v>0</v>
      </c>
      <c r="AH170" s="2" t="s">
        <v>388</v>
      </c>
      <c r="AI170" s="4">
        <v>45000</v>
      </c>
      <c r="AJ170" s="2">
        <v>0</v>
      </c>
      <c r="AK170" s="2" t="s">
        <v>4</v>
      </c>
    </row>
    <row r="171" spans="1:37" x14ac:dyDescent="0.2">
      <c r="A171" s="12">
        <v>170</v>
      </c>
      <c r="B171" s="2" t="s">
        <v>1295</v>
      </c>
      <c r="C171" s="2" t="s">
        <v>1828</v>
      </c>
      <c r="D171" s="2">
        <v>45658</v>
      </c>
      <c r="E171" s="2" t="s">
        <v>1106</v>
      </c>
      <c r="F171" s="2" t="s">
        <v>766</v>
      </c>
      <c r="G171" s="2">
        <v>45688</v>
      </c>
      <c r="H171" s="2">
        <v>46052</v>
      </c>
      <c r="I171" s="2" t="s">
        <v>1829</v>
      </c>
      <c r="J171" s="2">
        <v>3610429096917</v>
      </c>
      <c r="K171" s="2" t="s">
        <v>8</v>
      </c>
      <c r="L171" s="2" t="s">
        <v>767</v>
      </c>
      <c r="M171" s="2" t="s">
        <v>768</v>
      </c>
      <c r="N171" s="2" t="s">
        <v>769</v>
      </c>
      <c r="O171" s="2" t="s">
        <v>1828</v>
      </c>
      <c r="P171" s="2" t="s">
        <v>1109</v>
      </c>
      <c r="Q171" s="2" t="s">
        <v>1116</v>
      </c>
      <c r="R171" s="2" t="s">
        <v>1830</v>
      </c>
      <c r="S171" s="2">
        <v>45323</v>
      </c>
      <c r="T171" s="2">
        <v>47154</v>
      </c>
      <c r="U171" s="2">
        <v>2100000</v>
      </c>
      <c r="V171" s="2">
        <v>10</v>
      </c>
      <c r="W171" s="2">
        <v>210000</v>
      </c>
      <c r="X171" s="2">
        <v>1890000</v>
      </c>
      <c r="Y171" s="2">
        <v>2</v>
      </c>
      <c r="Z171" s="2">
        <v>37800</v>
      </c>
      <c r="AA171" s="2"/>
      <c r="AB171" s="2"/>
      <c r="AC171" s="2" t="s">
        <v>1301</v>
      </c>
      <c r="AD171" s="2">
        <v>1141072794</v>
      </c>
      <c r="AE171" s="2">
        <v>45720</v>
      </c>
      <c r="AF171" s="2" t="s">
        <v>1113</v>
      </c>
      <c r="AG171" s="2">
        <v>12</v>
      </c>
      <c r="AH171" s="2" t="s">
        <v>766</v>
      </c>
      <c r="AI171" s="4">
        <v>37800</v>
      </c>
      <c r="AJ171" s="2">
        <v>0</v>
      </c>
      <c r="AK171" s="2" t="s">
        <v>4</v>
      </c>
    </row>
    <row r="172" spans="1:37" x14ac:dyDescent="0.2">
      <c r="A172" s="12">
        <v>171</v>
      </c>
      <c r="B172" s="2" t="s">
        <v>1295</v>
      </c>
      <c r="C172" s="2" t="s">
        <v>1831</v>
      </c>
      <c r="D172" s="2">
        <v>45658</v>
      </c>
      <c r="E172" s="2" t="s">
        <v>1106</v>
      </c>
      <c r="F172" s="2" t="s">
        <v>774</v>
      </c>
      <c r="G172" s="2">
        <v>45688</v>
      </c>
      <c r="H172" s="2">
        <v>46052</v>
      </c>
      <c r="I172" s="2" t="s">
        <v>1797</v>
      </c>
      <c r="J172" s="2">
        <v>3740539400825</v>
      </c>
      <c r="K172" s="2" t="s">
        <v>9</v>
      </c>
      <c r="L172" s="2" t="s">
        <v>775</v>
      </c>
      <c r="M172" s="2" t="s">
        <v>776</v>
      </c>
      <c r="N172" s="2" t="s">
        <v>777</v>
      </c>
      <c r="O172" s="2" t="s">
        <v>1831</v>
      </c>
      <c r="P172" s="2" t="s">
        <v>1308</v>
      </c>
      <c r="Q172" s="2" t="s">
        <v>1110</v>
      </c>
      <c r="R172" s="2" t="s">
        <v>1832</v>
      </c>
      <c r="S172" s="2">
        <v>45323</v>
      </c>
      <c r="T172" s="2">
        <v>47154</v>
      </c>
      <c r="U172" s="2">
        <v>2935000</v>
      </c>
      <c r="V172" s="2">
        <v>10</v>
      </c>
      <c r="W172" s="2">
        <v>293500</v>
      </c>
      <c r="X172" s="2">
        <v>2641500</v>
      </c>
      <c r="Y172" s="2">
        <v>2</v>
      </c>
      <c r="Z172" s="2">
        <v>52830</v>
      </c>
      <c r="AA172" s="2"/>
      <c r="AB172" s="2"/>
      <c r="AC172" s="2" t="s">
        <v>1301</v>
      </c>
      <c r="AD172" s="2">
        <v>1141072794</v>
      </c>
      <c r="AE172" s="2">
        <v>45720</v>
      </c>
      <c r="AF172" s="2" t="s">
        <v>1113</v>
      </c>
      <c r="AG172" s="2">
        <v>0</v>
      </c>
      <c r="AH172" s="2" t="s">
        <v>774</v>
      </c>
      <c r="AI172" s="4">
        <v>52830</v>
      </c>
      <c r="AJ172" s="2">
        <v>0</v>
      </c>
      <c r="AK172" s="2" t="s">
        <v>4</v>
      </c>
    </row>
    <row r="173" spans="1:37" x14ac:dyDescent="0.2">
      <c r="A173" s="12">
        <v>172</v>
      </c>
      <c r="B173" s="2" t="s">
        <v>1295</v>
      </c>
      <c r="C173" s="2" t="s">
        <v>1833</v>
      </c>
      <c r="D173" s="2">
        <v>45658</v>
      </c>
      <c r="E173" s="2" t="s">
        <v>1106</v>
      </c>
      <c r="F173" s="2" t="s">
        <v>611</v>
      </c>
      <c r="G173" s="2">
        <v>45683</v>
      </c>
      <c r="H173" s="2">
        <v>46047</v>
      </c>
      <c r="I173" s="2" t="s">
        <v>1834</v>
      </c>
      <c r="J173" s="2">
        <v>3310090181775</v>
      </c>
      <c r="K173" s="2" t="s">
        <v>394</v>
      </c>
      <c r="L173" s="2" t="s">
        <v>612</v>
      </c>
      <c r="M173" s="2" t="s">
        <v>613</v>
      </c>
      <c r="N173" s="2" t="s">
        <v>614</v>
      </c>
      <c r="O173" s="2" t="s">
        <v>1833</v>
      </c>
      <c r="P173" s="2" t="s">
        <v>1109</v>
      </c>
      <c r="Q173" s="2" t="s">
        <v>1129</v>
      </c>
      <c r="R173" s="2" t="s">
        <v>1835</v>
      </c>
      <c r="S173" s="2">
        <v>45322</v>
      </c>
      <c r="T173" s="2">
        <v>47154</v>
      </c>
      <c r="U173" s="2">
        <v>1140000</v>
      </c>
      <c r="V173" s="2">
        <v>10</v>
      </c>
      <c r="W173" s="2">
        <v>114000</v>
      </c>
      <c r="X173" s="2">
        <v>1026000</v>
      </c>
      <c r="Y173" s="2">
        <v>2</v>
      </c>
      <c r="Z173" s="2">
        <v>20520</v>
      </c>
      <c r="AA173" s="2"/>
      <c r="AB173" s="2"/>
      <c r="AC173" s="2" t="s">
        <v>1301</v>
      </c>
      <c r="AD173" s="2">
        <v>1141072794</v>
      </c>
      <c r="AE173" s="2">
        <v>45720</v>
      </c>
      <c r="AF173" s="2" t="s">
        <v>1113</v>
      </c>
      <c r="AG173" s="2">
        <v>12</v>
      </c>
      <c r="AH173" s="2" t="s">
        <v>611</v>
      </c>
      <c r="AI173" s="4">
        <v>20520</v>
      </c>
      <c r="AJ173" s="2">
        <v>0</v>
      </c>
      <c r="AK173" s="2" t="s">
        <v>4</v>
      </c>
    </row>
    <row r="174" spans="1:37" x14ac:dyDescent="0.2">
      <c r="A174" s="12">
        <v>173</v>
      </c>
      <c r="B174" s="2" t="s">
        <v>1295</v>
      </c>
      <c r="C174" s="2" t="s">
        <v>1836</v>
      </c>
      <c r="D174" s="2">
        <v>45658</v>
      </c>
      <c r="E174" s="2" t="s">
        <v>1106</v>
      </c>
      <c r="F174" s="2" t="s">
        <v>783</v>
      </c>
      <c r="G174" s="2">
        <v>45688</v>
      </c>
      <c r="H174" s="2">
        <v>46052</v>
      </c>
      <c r="I174" s="2" t="s">
        <v>1837</v>
      </c>
      <c r="J174" s="2">
        <v>6110174182559</v>
      </c>
      <c r="K174" s="2" t="s">
        <v>13</v>
      </c>
      <c r="L174" s="2" t="s">
        <v>784</v>
      </c>
      <c r="M174" s="2" t="s">
        <v>785</v>
      </c>
      <c r="N174" s="2" t="s">
        <v>786</v>
      </c>
      <c r="O174" s="2" t="s">
        <v>1836</v>
      </c>
      <c r="P174" s="2" t="s">
        <v>1308</v>
      </c>
      <c r="Q174" s="2" t="s">
        <v>1110</v>
      </c>
      <c r="R174" s="2" t="s">
        <v>1838</v>
      </c>
      <c r="S174" s="2">
        <v>45323</v>
      </c>
      <c r="T174" s="2">
        <v>46423</v>
      </c>
      <c r="U174" s="2">
        <v>4175000</v>
      </c>
      <c r="V174" s="2">
        <v>10</v>
      </c>
      <c r="W174" s="2">
        <v>417500</v>
      </c>
      <c r="X174" s="2">
        <v>3757500</v>
      </c>
      <c r="Y174" s="2">
        <v>1.5</v>
      </c>
      <c r="Z174" s="2">
        <v>56362.5</v>
      </c>
      <c r="AA174" s="2"/>
      <c r="AB174" s="2"/>
      <c r="AC174" s="2" t="s">
        <v>1301</v>
      </c>
      <c r="AD174" s="2">
        <v>1141072794</v>
      </c>
      <c r="AE174" s="2">
        <v>45720</v>
      </c>
      <c r="AF174" s="2" t="s">
        <v>1113</v>
      </c>
      <c r="AG174" s="2">
        <v>74</v>
      </c>
      <c r="AH174" s="2" t="s">
        <v>783</v>
      </c>
      <c r="AI174" s="4">
        <v>56363</v>
      </c>
      <c r="AJ174" s="2">
        <v>0.5</v>
      </c>
      <c r="AK174" s="2" t="s">
        <v>4</v>
      </c>
    </row>
    <row r="175" spans="1:37" x14ac:dyDescent="0.2">
      <c r="A175" s="12">
        <v>174</v>
      </c>
      <c r="B175" s="2" t="s">
        <v>1295</v>
      </c>
      <c r="C175" s="2" t="s">
        <v>1839</v>
      </c>
      <c r="D175" s="2">
        <v>45658</v>
      </c>
      <c r="E175" s="2" t="s">
        <v>1106</v>
      </c>
      <c r="F175" s="2" t="s">
        <v>899</v>
      </c>
      <c r="G175" s="2">
        <v>45675</v>
      </c>
      <c r="H175" s="2">
        <v>46039</v>
      </c>
      <c r="I175" s="2" t="s">
        <v>1840</v>
      </c>
      <c r="J175" s="2">
        <v>3310212609537</v>
      </c>
      <c r="K175" s="2" t="s">
        <v>71</v>
      </c>
      <c r="L175" s="2" t="s">
        <v>900</v>
      </c>
      <c r="M175" s="2" t="s">
        <v>901</v>
      </c>
      <c r="N175" s="2" t="s">
        <v>902</v>
      </c>
      <c r="O175" s="2" t="s">
        <v>1839</v>
      </c>
      <c r="P175" s="2" t="s">
        <v>1109</v>
      </c>
      <c r="Q175" s="2" t="s">
        <v>1129</v>
      </c>
      <c r="R175" s="2" t="s">
        <v>1841</v>
      </c>
      <c r="S175" s="2">
        <v>45314</v>
      </c>
      <c r="T175" s="2">
        <v>46423</v>
      </c>
      <c r="U175" s="2">
        <v>8030000</v>
      </c>
      <c r="V175" s="2">
        <v>10</v>
      </c>
      <c r="W175" s="2">
        <v>803000</v>
      </c>
      <c r="X175" s="2">
        <v>7227000</v>
      </c>
      <c r="Y175" s="2">
        <v>1.5</v>
      </c>
      <c r="Z175" s="2">
        <v>108405</v>
      </c>
      <c r="AA175" s="2"/>
      <c r="AB175" s="2"/>
      <c r="AC175" s="2" t="s">
        <v>1301</v>
      </c>
      <c r="AD175" s="2">
        <v>1141072794</v>
      </c>
      <c r="AE175" s="2">
        <v>45720</v>
      </c>
      <c r="AF175" s="2" t="s">
        <v>1113</v>
      </c>
      <c r="AG175" s="2">
        <v>12</v>
      </c>
      <c r="AH175" s="2" t="s">
        <v>899</v>
      </c>
      <c r="AI175" s="4">
        <v>108405</v>
      </c>
      <c r="AJ175" s="2">
        <v>0</v>
      </c>
      <c r="AK175" s="2" t="s">
        <v>4</v>
      </c>
    </row>
    <row r="176" spans="1:37" x14ac:dyDescent="0.2">
      <c r="A176" s="12">
        <v>175</v>
      </c>
      <c r="B176" s="2" t="s">
        <v>1295</v>
      </c>
      <c r="C176" s="2" t="s">
        <v>1842</v>
      </c>
      <c r="D176" s="2">
        <v>45658</v>
      </c>
      <c r="E176" s="2" t="s">
        <v>1106</v>
      </c>
      <c r="F176" s="2" t="s">
        <v>787</v>
      </c>
      <c r="G176" s="2">
        <v>45688</v>
      </c>
      <c r="H176" s="2">
        <v>46052</v>
      </c>
      <c r="I176" s="2" t="s">
        <v>1843</v>
      </c>
      <c r="J176" s="2">
        <v>4220189504597</v>
      </c>
      <c r="K176" s="2" t="s">
        <v>13</v>
      </c>
      <c r="L176" s="2" t="s">
        <v>788</v>
      </c>
      <c r="M176" s="2" t="s">
        <v>789</v>
      </c>
      <c r="N176" s="2" t="s">
        <v>790</v>
      </c>
      <c r="O176" s="2" t="s">
        <v>1842</v>
      </c>
      <c r="P176" s="2" t="s">
        <v>1143</v>
      </c>
      <c r="Q176" s="2" t="s">
        <v>1144</v>
      </c>
      <c r="R176" s="2" t="s">
        <v>1844</v>
      </c>
      <c r="S176" s="2">
        <v>45323</v>
      </c>
      <c r="T176" s="2">
        <v>46423</v>
      </c>
      <c r="U176" s="2">
        <v>5530000</v>
      </c>
      <c r="V176" s="2">
        <v>10</v>
      </c>
      <c r="W176" s="2">
        <v>553000</v>
      </c>
      <c r="X176" s="2">
        <v>4977000</v>
      </c>
      <c r="Y176" s="2">
        <v>1.5</v>
      </c>
      <c r="Z176" s="2">
        <v>74655</v>
      </c>
      <c r="AA176" s="2"/>
      <c r="AB176" s="2"/>
      <c r="AC176" s="2" t="s">
        <v>1301</v>
      </c>
      <c r="AD176" s="2">
        <v>1141072794</v>
      </c>
      <c r="AE176" s="2">
        <v>45720</v>
      </c>
      <c r="AF176" s="2" t="s">
        <v>1113</v>
      </c>
      <c r="AG176" s="2">
        <v>0</v>
      </c>
      <c r="AH176" s="2" t="s">
        <v>787</v>
      </c>
      <c r="AI176" s="4">
        <v>74655</v>
      </c>
      <c r="AJ176" s="2">
        <v>0</v>
      </c>
      <c r="AK176" s="2" t="s">
        <v>4</v>
      </c>
    </row>
    <row r="177" spans="1:37" x14ac:dyDescent="0.2">
      <c r="A177" s="12">
        <v>176</v>
      </c>
      <c r="B177" s="2" t="s">
        <v>1295</v>
      </c>
      <c r="C177" s="2" t="s">
        <v>1845</v>
      </c>
      <c r="D177" s="2">
        <v>45658</v>
      </c>
      <c r="E177" s="2" t="s">
        <v>1106</v>
      </c>
      <c r="F177" s="2" t="s">
        <v>520</v>
      </c>
      <c r="G177" s="2">
        <v>45682</v>
      </c>
      <c r="H177" s="2">
        <v>46046</v>
      </c>
      <c r="I177" s="2" t="s">
        <v>1846</v>
      </c>
      <c r="J177" s="2">
        <v>3520128299925</v>
      </c>
      <c r="K177" s="2" t="s">
        <v>71</v>
      </c>
      <c r="L177" s="2" t="s">
        <v>521</v>
      </c>
      <c r="M177" s="2" t="s">
        <v>522</v>
      </c>
      <c r="N177" s="2" t="s">
        <v>523</v>
      </c>
      <c r="O177" s="2" t="s">
        <v>1845</v>
      </c>
      <c r="P177" s="2" t="s">
        <v>1109</v>
      </c>
      <c r="Q177" s="2" t="s">
        <v>1116</v>
      </c>
      <c r="R177" s="2" t="s">
        <v>1847</v>
      </c>
      <c r="S177" s="2">
        <v>45317</v>
      </c>
      <c r="T177" s="2">
        <v>46423</v>
      </c>
      <c r="U177" s="2">
        <v>8055000</v>
      </c>
      <c r="V177" s="2">
        <v>10</v>
      </c>
      <c r="W177" s="2">
        <v>805500</v>
      </c>
      <c r="X177" s="2">
        <v>7249500</v>
      </c>
      <c r="Y177" s="2">
        <v>1.5</v>
      </c>
      <c r="Z177" s="2">
        <v>108742.5</v>
      </c>
      <c r="AA177" s="2"/>
      <c r="AB177" s="2"/>
      <c r="AC177" s="2" t="s">
        <v>1301</v>
      </c>
      <c r="AD177" s="2">
        <v>1141072794</v>
      </c>
      <c r="AE177" s="2">
        <v>45720</v>
      </c>
      <c r="AF177" s="2" t="s">
        <v>1113</v>
      </c>
      <c r="AG177" s="2">
        <v>0</v>
      </c>
      <c r="AH177" s="2" t="s">
        <v>520</v>
      </c>
      <c r="AI177" s="4">
        <v>108743</v>
      </c>
      <c r="AJ177" s="2">
        <v>0.5</v>
      </c>
      <c r="AK177" s="2" t="s">
        <v>4</v>
      </c>
    </row>
    <row r="178" spans="1:37" x14ac:dyDescent="0.2">
      <c r="A178" s="12">
        <v>177</v>
      </c>
      <c r="B178" s="2" t="s">
        <v>1295</v>
      </c>
      <c r="C178" s="2" t="s">
        <v>1848</v>
      </c>
      <c r="D178" s="2">
        <v>45658</v>
      </c>
      <c r="E178" s="2" t="s">
        <v>1106</v>
      </c>
      <c r="F178" s="2" t="s">
        <v>673</v>
      </c>
      <c r="G178" s="2">
        <v>45687</v>
      </c>
      <c r="H178" s="2">
        <v>46051</v>
      </c>
      <c r="I178" s="2" t="s">
        <v>1849</v>
      </c>
      <c r="J178" s="2">
        <v>3310420685813</v>
      </c>
      <c r="K178" s="2" t="s">
        <v>674</v>
      </c>
      <c r="L178" s="2" t="s">
        <v>675</v>
      </c>
      <c r="M178" s="2" t="s">
        <v>676</v>
      </c>
      <c r="N178" s="2" t="s">
        <v>677</v>
      </c>
      <c r="O178" s="2" t="s">
        <v>1848</v>
      </c>
      <c r="P178" s="2" t="s">
        <v>1109</v>
      </c>
      <c r="Q178" s="2" t="s">
        <v>1129</v>
      </c>
      <c r="R178" s="2" t="s">
        <v>1850</v>
      </c>
      <c r="S178" s="2">
        <v>45322</v>
      </c>
      <c r="T178" s="2">
        <v>46423</v>
      </c>
      <c r="U178" s="2">
        <v>3050000</v>
      </c>
      <c r="V178" s="2">
        <v>10</v>
      </c>
      <c r="W178" s="2">
        <v>305000</v>
      </c>
      <c r="X178" s="2">
        <v>2745000</v>
      </c>
      <c r="Y178" s="2">
        <v>2</v>
      </c>
      <c r="Z178" s="2">
        <v>54900</v>
      </c>
      <c r="AA178" s="2"/>
      <c r="AB178" s="2"/>
      <c r="AC178" s="2" t="s">
        <v>1301</v>
      </c>
      <c r="AD178" s="2">
        <v>1141072794</v>
      </c>
      <c r="AE178" s="2">
        <v>45720</v>
      </c>
      <c r="AF178" s="2" t="s">
        <v>1113</v>
      </c>
      <c r="AG178" s="2">
        <v>12</v>
      </c>
      <c r="AH178" s="2" t="s">
        <v>673</v>
      </c>
      <c r="AI178" s="4">
        <v>54900</v>
      </c>
      <c r="AJ178" s="2">
        <v>0</v>
      </c>
      <c r="AK178" s="2" t="s">
        <v>4</v>
      </c>
    </row>
    <row r="179" spans="1:37" x14ac:dyDescent="0.2">
      <c r="A179" s="12">
        <v>178</v>
      </c>
      <c r="B179" s="2" t="s">
        <v>1295</v>
      </c>
      <c r="C179" s="2" t="s">
        <v>1851</v>
      </c>
      <c r="D179" s="2">
        <v>45658</v>
      </c>
      <c r="E179" s="2" t="s">
        <v>1106</v>
      </c>
      <c r="F179" s="2" t="s">
        <v>688</v>
      </c>
      <c r="G179" s="2">
        <v>45688</v>
      </c>
      <c r="H179" s="2">
        <v>46052</v>
      </c>
      <c r="I179" s="2" t="s">
        <v>1852</v>
      </c>
      <c r="J179" s="2">
        <v>3510223938263</v>
      </c>
      <c r="K179" s="2" t="s">
        <v>637</v>
      </c>
      <c r="L179" s="2" t="s">
        <v>689</v>
      </c>
      <c r="M179" s="2" t="s">
        <v>690</v>
      </c>
      <c r="N179" s="2" t="s">
        <v>691</v>
      </c>
      <c r="O179" s="2" t="s">
        <v>1851</v>
      </c>
      <c r="P179" s="2" t="s">
        <v>1109</v>
      </c>
      <c r="Q179" s="2" t="s">
        <v>1116</v>
      </c>
      <c r="R179" s="2" t="s">
        <v>1853</v>
      </c>
      <c r="S179" s="2">
        <v>45322</v>
      </c>
      <c r="T179" s="2">
        <v>47154</v>
      </c>
      <c r="U179" s="2">
        <v>2935000</v>
      </c>
      <c r="V179" s="2">
        <v>10</v>
      </c>
      <c r="W179" s="2">
        <v>293500</v>
      </c>
      <c r="X179" s="2">
        <v>2641500</v>
      </c>
      <c r="Y179" s="2">
        <v>2</v>
      </c>
      <c r="Z179" s="2">
        <v>52830</v>
      </c>
      <c r="AA179" s="2"/>
      <c r="AB179" s="2"/>
      <c r="AC179" s="2" t="s">
        <v>1301</v>
      </c>
      <c r="AD179" s="2">
        <v>1141072794</v>
      </c>
      <c r="AE179" s="2">
        <v>45720</v>
      </c>
      <c r="AF179" s="2" t="s">
        <v>1113</v>
      </c>
      <c r="AG179" s="2">
        <v>0</v>
      </c>
      <c r="AH179" s="2" t="s">
        <v>688</v>
      </c>
      <c r="AI179" s="4">
        <v>52830</v>
      </c>
      <c r="AJ179" s="2">
        <v>0</v>
      </c>
      <c r="AK179" s="2" t="s">
        <v>4</v>
      </c>
    </row>
    <row r="180" spans="1:37" x14ac:dyDescent="0.2">
      <c r="A180" s="12">
        <v>179</v>
      </c>
      <c r="B180" s="2" t="s">
        <v>1295</v>
      </c>
      <c r="C180" s="2" t="s">
        <v>1854</v>
      </c>
      <c r="D180" s="2">
        <v>45658</v>
      </c>
      <c r="E180" s="2" t="s">
        <v>1106</v>
      </c>
      <c r="F180" s="2" t="s">
        <v>791</v>
      </c>
      <c r="G180" s="2">
        <v>45688</v>
      </c>
      <c r="H180" s="2">
        <v>46052</v>
      </c>
      <c r="I180" s="2" t="s">
        <v>1855</v>
      </c>
      <c r="J180" s="2">
        <v>3520123118307</v>
      </c>
      <c r="K180" s="2" t="s">
        <v>578</v>
      </c>
      <c r="L180" s="2" t="s">
        <v>792</v>
      </c>
      <c r="M180" s="2" t="s">
        <v>793</v>
      </c>
      <c r="N180" s="2" t="s">
        <v>794</v>
      </c>
      <c r="O180" s="2" t="s">
        <v>1854</v>
      </c>
      <c r="P180" s="2" t="s">
        <v>1109</v>
      </c>
      <c r="Q180" s="2" t="s">
        <v>1116</v>
      </c>
      <c r="R180" s="2" t="s">
        <v>1856</v>
      </c>
      <c r="S180" s="2">
        <v>45323</v>
      </c>
      <c r="T180" s="2">
        <v>46788</v>
      </c>
      <c r="U180" s="2">
        <v>2450000</v>
      </c>
      <c r="V180" s="2">
        <v>10</v>
      </c>
      <c r="W180" s="2">
        <v>245000</v>
      </c>
      <c r="X180" s="2">
        <v>2205000</v>
      </c>
      <c r="Y180" s="2">
        <v>2</v>
      </c>
      <c r="Z180" s="2">
        <v>44100</v>
      </c>
      <c r="AA180" s="2"/>
      <c r="AB180" s="2"/>
      <c r="AC180" s="2" t="s">
        <v>1301</v>
      </c>
      <c r="AD180" s="2">
        <v>1141072794</v>
      </c>
      <c r="AE180" s="2">
        <v>45720</v>
      </c>
      <c r="AF180" s="2" t="s">
        <v>1113</v>
      </c>
      <c r="AG180" s="2">
        <v>0</v>
      </c>
      <c r="AH180" s="2" t="s">
        <v>791</v>
      </c>
      <c r="AI180" s="4">
        <v>44100</v>
      </c>
      <c r="AJ180" s="2">
        <v>0</v>
      </c>
      <c r="AK180" s="2" t="s">
        <v>4</v>
      </c>
    </row>
    <row r="181" spans="1:37" x14ac:dyDescent="0.2">
      <c r="A181" s="12">
        <v>180</v>
      </c>
      <c r="B181" s="2" t="s">
        <v>1295</v>
      </c>
      <c r="C181" s="2" t="s">
        <v>1857</v>
      </c>
      <c r="D181" s="2">
        <v>45658</v>
      </c>
      <c r="E181" s="2" t="s">
        <v>1106</v>
      </c>
      <c r="F181" s="2" t="s">
        <v>692</v>
      </c>
      <c r="G181" s="2">
        <v>45687</v>
      </c>
      <c r="H181" s="2">
        <v>46051</v>
      </c>
      <c r="I181" s="2" t="s">
        <v>1858</v>
      </c>
      <c r="J181" s="2">
        <v>3520152961363</v>
      </c>
      <c r="K181" s="2" t="s">
        <v>693</v>
      </c>
      <c r="L181" s="2" t="s">
        <v>694</v>
      </c>
      <c r="M181" s="2" t="s">
        <v>695</v>
      </c>
      <c r="N181" s="2" t="s">
        <v>696</v>
      </c>
      <c r="O181" s="2" t="s">
        <v>1857</v>
      </c>
      <c r="P181" s="2" t="s">
        <v>1109</v>
      </c>
      <c r="Q181" s="2" t="s">
        <v>1116</v>
      </c>
      <c r="R181" s="2" t="s">
        <v>1859</v>
      </c>
      <c r="S181" s="2">
        <v>45322</v>
      </c>
      <c r="T181" s="2">
        <v>46423</v>
      </c>
      <c r="U181" s="2">
        <v>4275000</v>
      </c>
      <c r="V181" s="2">
        <v>10</v>
      </c>
      <c r="W181" s="2">
        <v>427500</v>
      </c>
      <c r="X181" s="2">
        <v>3847500</v>
      </c>
      <c r="Y181" s="2">
        <v>1.5</v>
      </c>
      <c r="Z181" s="2">
        <v>57712.5</v>
      </c>
      <c r="AA181" s="2"/>
      <c r="AB181" s="2"/>
      <c r="AC181" s="2" t="s">
        <v>1301</v>
      </c>
      <c r="AD181" s="2">
        <v>1141072794</v>
      </c>
      <c r="AE181" s="2">
        <v>45720</v>
      </c>
      <c r="AF181" s="2" t="s">
        <v>1113</v>
      </c>
      <c r="AG181" s="2">
        <v>74</v>
      </c>
      <c r="AH181" s="2" t="s">
        <v>692</v>
      </c>
      <c r="AI181" s="4">
        <v>57713</v>
      </c>
      <c r="AJ181" s="2">
        <v>0.5</v>
      </c>
      <c r="AK181" s="2" t="s">
        <v>4</v>
      </c>
    </row>
    <row r="182" spans="1:37" x14ac:dyDescent="0.2">
      <c r="A182" s="12">
        <v>181</v>
      </c>
      <c r="B182" s="2" t="s">
        <v>1295</v>
      </c>
      <c r="C182" s="2" t="s">
        <v>1860</v>
      </c>
      <c r="D182" s="2">
        <v>45658</v>
      </c>
      <c r="E182" s="2" t="s">
        <v>1106</v>
      </c>
      <c r="F182" s="2" t="s">
        <v>669</v>
      </c>
      <c r="G182" s="2">
        <v>45686</v>
      </c>
      <c r="H182" s="2">
        <v>46050</v>
      </c>
      <c r="I182" s="2" t="s">
        <v>1861</v>
      </c>
      <c r="J182" s="2">
        <v>3520269896787</v>
      </c>
      <c r="K182" s="2" t="s">
        <v>16</v>
      </c>
      <c r="L182" s="2" t="s">
        <v>670</v>
      </c>
      <c r="M182" s="2" t="s">
        <v>671</v>
      </c>
      <c r="N182" s="2" t="s">
        <v>672</v>
      </c>
      <c r="O182" s="2" t="s">
        <v>1860</v>
      </c>
      <c r="P182" s="2" t="s">
        <v>1109</v>
      </c>
      <c r="Q182" s="2" t="s">
        <v>1116</v>
      </c>
      <c r="R182" s="2" t="s">
        <v>1862</v>
      </c>
      <c r="S182" s="2">
        <v>45321</v>
      </c>
      <c r="T182" s="2">
        <v>46423</v>
      </c>
      <c r="U182" s="2">
        <v>6500000</v>
      </c>
      <c r="V182" s="2">
        <v>10</v>
      </c>
      <c r="W182" s="2">
        <v>650000</v>
      </c>
      <c r="X182" s="2">
        <v>5850000</v>
      </c>
      <c r="Y182" s="2">
        <v>1.5</v>
      </c>
      <c r="Z182" s="2">
        <v>87750</v>
      </c>
      <c r="AA182" s="2"/>
      <c r="AB182" s="2"/>
      <c r="AC182" s="2" t="s">
        <v>1301</v>
      </c>
      <c r="AD182" s="2">
        <v>1141072794</v>
      </c>
      <c r="AE182" s="2">
        <v>45720</v>
      </c>
      <c r="AF182" s="2" t="s">
        <v>1113</v>
      </c>
      <c r="AG182" s="2">
        <v>12</v>
      </c>
      <c r="AH182" s="2" t="s">
        <v>669</v>
      </c>
      <c r="AI182" s="4">
        <v>87750</v>
      </c>
      <c r="AJ182" s="2">
        <v>0</v>
      </c>
      <c r="AK182" s="2" t="s">
        <v>4</v>
      </c>
    </row>
    <row r="183" spans="1:37" x14ac:dyDescent="0.2">
      <c r="A183" s="12">
        <v>182</v>
      </c>
      <c r="B183" s="2" t="s">
        <v>1295</v>
      </c>
      <c r="C183" s="2" t="s">
        <v>1863</v>
      </c>
      <c r="D183" s="2">
        <v>45658</v>
      </c>
      <c r="E183" s="2" t="s">
        <v>1106</v>
      </c>
      <c r="F183" s="2" t="s">
        <v>706</v>
      </c>
      <c r="G183" s="2">
        <v>45688</v>
      </c>
      <c r="H183" s="2">
        <v>46052</v>
      </c>
      <c r="I183" s="2" t="s">
        <v>1864</v>
      </c>
      <c r="J183" s="2">
        <v>3630247517215</v>
      </c>
      <c r="K183" s="2" t="s">
        <v>707</v>
      </c>
      <c r="L183" s="2" t="s">
        <v>708</v>
      </c>
      <c r="M183" s="2" t="s">
        <v>709</v>
      </c>
      <c r="N183" s="2" t="s">
        <v>710</v>
      </c>
      <c r="O183" s="2" t="s">
        <v>1863</v>
      </c>
      <c r="P183" s="2" t="s">
        <v>1109</v>
      </c>
      <c r="Q183" s="2" t="s">
        <v>1239</v>
      </c>
      <c r="R183" s="2" t="s">
        <v>1865</v>
      </c>
      <c r="S183" s="2">
        <v>45322</v>
      </c>
      <c r="T183" s="2">
        <v>46423</v>
      </c>
      <c r="U183" s="2">
        <v>5873500</v>
      </c>
      <c r="V183" s="2">
        <v>10</v>
      </c>
      <c r="W183" s="2">
        <v>587350</v>
      </c>
      <c r="X183" s="2">
        <v>5286150</v>
      </c>
      <c r="Y183" s="2">
        <v>1.5</v>
      </c>
      <c r="Z183" s="2">
        <v>79292.25</v>
      </c>
      <c r="AA183" s="2"/>
      <c r="AB183" s="2"/>
      <c r="AC183" s="2" t="s">
        <v>1301</v>
      </c>
      <c r="AD183" s="2">
        <v>1141072794</v>
      </c>
      <c r="AE183" s="2">
        <v>45720</v>
      </c>
      <c r="AF183" s="2" t="s">
        <v>1113</v>
      </c>
      <c r="AG183" s="2">
        <v>0</v>
      </c>
      <c r="AH183" s="2" t="s">
        <v>706</v>
      </c>
      <c r="AI183" s="4">
        <v>79292</v>
      </c>
      <c r="AJ183" s="2">
        <v>-0.25</v>
      </c>
      <c r="AK183" s="2" t="s">
        <v>4</v>
      </c>
    </row>
    <row r="184" spans="1:37" x14ac:dyDescent="0.2">
      <c r="A184" s="12">
        <v>183</v>
      </c>
      <c r="B184" s="2" t="s">
        <v>1295</v>
      </c>
      <c r="C184" s="2" t="s">
        <v>1866</v>
      </c>
      <c r="D184" s="2">
        <v>45658</v>
      </c>
      <c r="E184" s="2" t="s">
        <v>1106</v>
      </c>
      <c r="F184" s="2" t="s">
        <v>245</v>
      </c>
      <c r="G184" s="2">
        <v>45679</v>
      </c>
      <c r="H184" s="2">
        <v>46043</v>
      </c>
      <c r="I184" s="2" t="s">
        <v>1867</v>
      </c>
      <c r="J184" s="2">
        <v>3410165281003</v>
      </c>
      <c r="K184" s="2" t="s">
        <v>9</v>
      </c>
      <c r="L184" s="2" t="s">
        <v>246</v>
      </c>
      <c r="M184" s="2" t="s">
        <v>247</v>
      </c>
      <c r="N184" s="2" t="s">
        <v>248</v>
      </c>
      <c r="O184" s="2" t="s">
        <v>1866</v>
      </c>
      <c r="P184" s="2" t="s">
        <v>1109</v>
      </c>
      <c r="Q184" s="2" t="s">
        <v>1239</v>
      </c>
      <c r="R184" s="2" t="s">
        <v>1868</v>
      </c>
      <c r="S184" s="2">
        <v>45320</v>
      </c>
      <c r="T184" s="2">
        <v>46788</v>
      </c>
      <c r="U184" s="2">
        <v>2700000</v>
      </c>
      <c r="V184" s="2">
        <v>10</v>
      </c>
      <c r="W184" s="2">
        <v>270000</v>
      </c>
      <c r="X184" s="2">
        <v>2430000</v>
      </c>
      <c r="Y184" s="2">
        <v>2</v>
      </c>
      <c r="Z184" s="2">
        <v>48600</v>
      </c>
      <c r="AA184" s="2"/>
      <c r="AB184" s="2"/>
      <c r="AC184" s="2" t="s">
        <v>1301</v>
      </c>
      <c r="AD184" s="2">
        <v>1141072794</v>
      </c>
      <c r="AE184" s="2">
        <v>45720</v>
      </c>
      <c r="AF184" s="2" t="s">
        <v>1113</v>
      </c>
      <c r="AG184" s="2">
        <v>12</v>
      </c>
      <c r="AH184" s="2" t="s">
        <v>245</v>
      </c>
      <c r="AI184" s="4">
        <v>48600</v>
      </c>
      <c r="AJ184" s="2">
        <v>0</v>
      </c>
      <c r="AK184" s="2" t="s">
        <v>4</v>
      </c>
    </row>
    <row r="185" spans="1:37" x14ac:dyDescent="0.2">
      <c r="A185" s="12">
        <v>184</v>
      </c>
      <c r="B185" s="2" t="s">
        <v>1295</v>
      </c>
      <c r="C185" s="2" t="s">
        <v>1869</v>
      </c>
      <c r="D185" s="2">
        <v>45658</v>
      </c>
      <c r="E185" s="2" t="s">
        <v>1106</v>
      </c>
      <c r="F185" s="2" t="s">
        <v>724</v>
      </c>
      <c r="G185" s="2">
        <v>45688</v>
      </c>
      <c r="H185" s="2">
        <v>46052</v>
      </c>
      <c r="I185" s="2" t="s">
        <v>1870</v>
      </c>
      <c r="J185" s="2">
        <v>3720165462209</v>
      </c>
      <c r="K185" s="2" t="s">
        <v>725</v>
      </c>
      <c r="L185" s="2" t="s">
        <v>726</v>
      </c>
      <c r="M185" s="2" t="s">
        <v>727</v>
      </c>
      <c r="N185" s="2" t="s">
        <v>728</v>
      </c>
      <c r="O185" s="2" t="s">
        <v>1869</v>
      </c>
      <c r="P185" s="2" t="s">
        <v>1143</v>
      </c>
      <c r="Q185" s="2" t="s">
        <v>1144</v>
      </c>
      <c r="R185" s="2" t="s">
        <v>1871</v>
      </c>
      <c r="S185" s="2">
        <v>45323</v>
      </c>
      <c r="T185" s="2">
        <v>46423</v>
      </c>
      <c r="U185" s="2">
        <v>3700000</v>
      </c>
      <c r="V185" s="2">
        <v>10</v>
      </c>
      <c r="W185" s="2">
        <v>370000</v>
      </c>
      <c r="X185" s="2">
        <v>3330000</v>
      </c>
      <c r="Y185" s="2">
        <v>1.5</v>
      </c>
      <c r="Z185" s="2">
        <v>49950</v>
      </c>
      <c r="AA185" s="2"/>
      <c r="AB185" s="2"/>
      <c r="AC185" s="2" t="s">
        <v>1301</v>
      </c>
      <c r="AD185" s="2">
        <v>1141072794</v>
      </c>
      <c r="AE185" s="2">
        <v>45720</v>
      </c>
      <c r="AF185" s="2" t="s">
        <v>1113</v>
      </c>
      <c r="AG185" s="2">
        <v>0</v>
      </c>
      <c r="AH185" s="2" t="s">
        <v>724</v>
      </c>
      <c r="AI185" s="4">
        <v>49950</v>
      </c>
      <c r="AJ185" s="2">
        <v>0</v>
      </c>
      <c r="AK185" s="2" t="s">
        <v>4</v>
      </c>
    </row>
    <row r="186" spans="1:37" x14ac:dyDescent="0.2">
      <c r="A186" s="12">
        <v>185</v>
      </c>
      <c r="B186" s="2" t="s">
        <v>1295</v>
      </c>
      <c r="C186" s="2" t="s">
        <v>1872</v>
      </c>
      <c r="D186" s="2">
        <v>45658</v>
      </c>
      <c r="E186" s="2" t="s">
        <v>1106</v>
      </c>
      <c r="F186" s="2" t="s">
        <v>702</v>
      </c>
      <c r="G186" s="2">
        <v>45688</v>
      </c>
      <c r="H186" s="2">
        <v>46052</v>
      </c>
      <c r="I186" s="2" t="s">
        <v>1873</v>
      </c>
      <c r="J186" s="2">
        <v>3520173907565</v>
      </c>
      <c r="K186" s="2" t="s">
        <v>14</v>
      </c>
      <c r="L186" s="2" t="s">
        <v>703</v>
      </c>
      <c r="M186" s="2" t="s">
        <v>704</v>
      </c>
      <c r="N186" s="2" t="s">
        <v>705</v>
      </c>
      <c r="O186" s="2" t="s">
        <v>1872</v>
      </c>
      <c r="P186" s="2" t="s">
        <v>1109</v>
      </c>
      <c r="Q186" s="2" t="s">
        <v>1116</v>
      </c>
      <c r="R186" s="2" t="s">
        <v>1874</v>
      </c>
      <c r="S186" s="2">
        <v>45322</v>
      </c>
      <c r="T186" s="2">
        <v>47154</v>
      </c>
      <c r="U186" s="2">
        <v>2150000</v>
      </c>
      <c r="V186" s="2">
        <v>10</v>
      </c>
      <c r="W186" s="2">
        <v>215000</v>
      </c>
      <c r="X186" s="2">
        <v>1935000</v>
      </c>
      <c r="Y186" s="2">
        <v>2</v>
      </c>
      <c r="Z186" s="2">
        <v>38700</v>
      </c>
      <c r="AA186" s="2"/>
      <c r="AB186" s="2"/>
      <c r="AC186" s="2" t="s">
        <v>1301</v>
      </c>
      <c r="AD186" s="2">
        <v>1141072794</v>
      </c>
      <c r="AE186" s="2">
        <v>45720</v>
      </c>
      <c r="AF186" s="2" t="s">
        <v>1113</v>
      </c>
      <c r="AG186" s="2">
        <v>0</v>
      </c>
      <c r="AH186" s="2" t="s">
        <v>702</v>
      </c>
      <c r="AI186" s="4">
        <v>38700</v>
      </c>
      <c r="AJ186" s="2">
        <v>0</v>
      </c>
      <c r="AK186" s="2" t="s">
        <v>4</v>
      </c>
    </row>
    <row r="187" spans="1:37" x14ac:dyDescent="0.2">
      <c r="A187" s="12">
        <v>186</v>
      </c>
      <c r="B187" s="2" t="s">
        <v>1295</v>
      </c>
      <c r="C187" s="2" t="s">
        <v>1875</v>
      </c>
      <c r="D187" s="2">
        <v>45658</v>
      </c>
      <c r="E187" s="2" t="s">
        <v>1106</v>
      </c>
      <c r="F187" s="2" t="s">
        <v>741</v>
      </c>
      <c r="G187" s="2">
        <v>45688</v>
      </c>
      <c r="H187" s="2">
        <v>46052</v>
      </c>
      <c r="I187" s="2" t="s">
        <v>1876</v>
      </c>
      <c r="J187" s="2">
        <v>3630230369513</v>
      </c>
      <c r="K187" s="2" t="s">
        <v>11</v>
      </c>
      <c r="L187" s="2" t="s">
        <v>742</v>
      </c>
      <c r="M187" s="2" t="s">
        <v>743</v>
      </c>
      <c r="N187" s="2" t="s">
        <v>744</v>
      </c>
      <c r="O187" s="2" t="s">
        <v>1875</v>
      </c>
      <c r="P187" s="2" t="s">
        <v>1109</v>
      </c>
      <c r="Q187" s="2" t="s">
        <v>1239</v>
      </c>
      <c r="R187" s="2" t="s">
        <v>1877</v>
      </c>
      <c r="S187" s="2">
        <v>45322</v>
      </c>
      <c r="T187" s="2">
        <v>46058</v>
      </c>
      <c r="U187" s="2">
        <v>4200000</v>
      </c>
      <c r="V187" s="2">
        <v>10</v>
      </c>
      <c r="W187" s="2">
        <v>420000</v>
      </c>
      <c r="X187" s="2">
        <v>3780000</v>
      </c>
      <c r="Y187" s="2">
        <v>1.5</v>
      </c>
      <c r="Z187" s="2">
        <v>56700</v>
      </c>
      <c r="AA187" s="2"/>
      <c r="AB187" s="2"/>
      <c r="AC187" s="2" t="s">
        <v>1301</v>
      </c>
      <c r="AD187" s="2">
        <v>1141072794</v>
      </c>
      <c r="AE187" s="2">
        <v>45720</v>
      </c>
      <c r="AF187" s="2" t="s">
        <v>1113</v>
      </c>
      <c r="AG187" s="2">
        <v>0</v>
      </c>
      <c r="AH187" s="2" t="s">
        <v>741</v>
      </c>
      <c r="AI187" s="4">
        <v>56700</v>
      </c>
      <c r="AJ187" s="2">
        <v>0</v>
      </c>
      <c r="AK187" s="2" t="s">
        <v>4</v>
      </c>
    </row>
    <row r="188" spans="1:37" x14ac:dyDescent="0.2">
      <c r="A188" s="12">
        <v>187</v>
      </c>
      <c r="B188" s="2" t="s">
        <v>1295</v>
      </c>
      <c r="C188" s="2" t="s">
        <v>1878</v>
      </c>
      <c r="D188" s="2">
        <v>45658</v>
      </c>
      <c r="E188" s="2" t="s">
        <v>1106</v>
      </c>
      <c r="F188" s="2" t="s">
        <v>341</v>
      </c>
      <c r="G188" s="2">
        <v>45680</v>
      </c>
      <c r="H188" s="2">
        <v>46044</v>
      </c>
      <c r="I188" s="2" t="s">
        <v>1879</v>
      </c>
      <c r="J188" s="2">
        <v>3520297795189</v>
      </c>
      <c r="K188" s="2" t="s">
        <v>342</v>
      </c>
      <c r="L188" s="2" t="s">
        <v>343</v>
      </c>
      <c r="M188" s="2" t="s">
        <v>344</v>
      </c>
      <c r="N188" s="2" t="s">
        <v>345</v>
      </c>
      <c r="O188" s="2" t="s">
        <v>1878</v>
      </c>
      <c r="P188" s="2" t="s">
        <v>1109</v>
      </c>
      <c r="Q188" s="2" t="s">
        <v>1116</v>
      </c>
      <c r="R188" s="2" t="s">
        <v>1880</v>
      </c>
      <c r="S188" s="2">
        <v>45316</v>
      </c>
      <c r="T188" s="2">
        <v>46788</v>
      </c>
      <c r="U188" s="2">
        <v>7000000</v>
      </c>
      <c r="V188" s="2">
        <v>10</v>
      </c>
      <c r="W188" s="2">
        <v>700000</v>
      </c>
      <c r="X188" s="2">
        <v>6300000</v>
      </c>
      <c r="Y188" s="2">
        <v>1.5</v>
      </c>
      <c r="Z188" s="2">
        <v>94500</v>
      </c>
      <c r="AA188" s="2"/>
      <c r="AB188" s="2"/>
      <c r="AC188" s="2" t="s">
        <v>1301</v>
      </c>
      <c r="AD188" s="2">
        <v>1141072794</v>
      </c>
      <c r="AE188" s="2">
        <v>45720</v>
      </c>
      <c r="AF188" s="2" t="s">
        <v>1113</v>
      </c>
      <c r="AG188" s="2">
        <v>12</v>
      </c>
      <c r="AH188" s="2" t="s">
        <v>341</v>
      </c>
      <c r="AI188" s="4">
        <v>94500</v>
      </c>
      <c r="AJ188" s="2">
        <v>0</v>
      </c>
      <c r="AK188" s="2" t="s">
        <v>4</v>
      </c>
    </row>
    <row r="189" spans="1:37" x14ac:dyDescent="0.2">
      <c r="A189" s="12">
        <v>188</v>
      </c>
      <c r="B189" s="2" t="s">
        <v>1295</v>
      </c>
      <c r="C189" s="2" t="s">
        <v>1881</v>
      </c>
      <c r="D189" s="2">
        <v>45658</v>
      </c>
      <c r="E189" s="2" t="s">
        <v>1106</v>
      </c>
      <c r="F189" s="2" t="s">
        <v>799</v>
      </c>
      <c r="G189" s="2">
        <v>45688</v>
      </c>
      <c r="H189" s="2">
        <v>46052</v>
      </c>
      <c r="I189" s="2" t="s">
        <v>1882</v>
      </c>
      <c r="J189" s="2">
        <v>3740591847583</v>
      </c>
      <c r="K189" s="2" t="s">
        <v>13</v>
      </c>
      <c r="L189" s="2" t="s">
        <v>800</v>
      </c>
      <c r="M189" s="2" t="s">
        <v>801</v>
      </c>
      <c r="N189" s="2" t="s">
        <v>802</v>
      </c>
      <c r="O189" s="2" t="s">
        <v>1881</v>
      </c>
      <c r="P189" s="2" t="s">
        <v>1308</v>
      </c>
      <c r="Q189" s="2" t="s">
        <v>1110</v>
      </c>
      <c r="R189" s="2" t="s">
        <v>1883</v>
      </c>
      <c r="S189" s="2">
        <v>45323</v>
      </c>
      <c r="T189" s="2">
        <v>46423</v>
      </c>
      <c r="U189" s="2">
        <v>5000000</v>
      </c>
      <c r="V189" s="2">
        <v>10</v>
      </c>
      <c r="W189" s="2">
        <v>500000</v>
      </c>
      <c r="X189" s="2">
        <v>4500000</v>
      </c>
      <c r="Y189" s="2">
        <v>1.5</v>
      </c>
      <c r="Z189" s="2">
        <v>67500</v>
      </c>
      <c r="AA189" s="2"/>
      <c r="AB189" s="2"/>
      <c r="AC189" s="2" t="s">
        <v>1301</v>
      </c>
      <c r="AD189" s="2">
        <v>1141072794</v>
      </c>
      <c r="AE189" s="2">
        <v>45720</v>
      </c>
      <c r="AF189" s="2" t="s">
        <v>1113</v>
      </c>
      <c r="AG189" s="2">
        <v>12</v>
      </c>
      <c r="AH189" s="2" t="s">
        <v>799</v>
      </c>
      <c r="AI189" s="4">
        <v>67500</v>
      </c>
      <c r="AJ189" s="2">
        <v>0</v>
      </c>
      <c r="AK189" s="2" t="s">
        <v>4</v>
      </c>
    </row>
    <row r="190" spans="1:37" x14ac:dyDescent="0.2">
      <c r="A190" s="12">
        <v>189</v>
      </c>
      <c r="B190" s="2" t="s">
        <v>1295</v>
      </c>
      <c r="C190" s="2" t="s">
        <v>1884</v>
      </c>
      <c r="D190" s="2">
        <v>45658</v>
      </c>
      <c r="E190" s="2" t="s">
        <v>1106</v>
      </c>
      <c r="F190" s="2" t="s">
        <v>745</v>
      </c>
      <c r="G190" s="2">
        <v>45688</v>
      </c>
      <c r="H190" s="2">
        <v>46052</v>
      </c>
      <c r="I190" s="2" t="s">
        <v>1885</v>
      </c>
      <c r="J190" s="2">
        <v>3520014460243</v>
      </c>
      <c r="K190" s="2" t="s">
        <v>11</v>
      </c>
      <c r="L190" s="2" t="s">
        <v>746</v>
      </c>
      <c r="M190" s="2" t="s">
        <v>747</v>
      </c>
      <c r="N190" s="2" t="s">
        <v>748</v>
      </c>
      <c r="O190" s="2" t="s">
        <v>1884</v>
      </c>
      <c r="P190" s="2" t="s">
        <v>1109</v>
      </c>
      <c r="Q190" s="2" t="s">
        <v>1222</v>
      </c>
      <c r="R190" s="2" t="s">
        <v>1886</v>
      </c>
      <c r="S190" s="2">
        <v>45323</v>
      </c>
      <c r="T190" s="2">
        <v>46423</v>
      </c>
      <c r="U190" s="2">
        <v>5040000</v>
      </c>
      <c r="V190" s="2">
        <v>10</v>
      </c>
      <c r="W190" s="2">
        <v>504000</v>
      </c>
      <c r="X190" s="2">
        <v>4536000</v>
      </c>
      <c r="Y190" s="2">
        <v>1.5</v>
      </c>
      <c r="Z190" s="2">
        <v>68040</v>
      </c>
      <c r="AA190" s="2"/>
      <c r="AB190" s="2"/>
      <c r="AC190" s="2" t="s">
        <v>1301</v>
      </c>
      <c r="AD190" s="2">
        <v>1141072794</v>
      </c>
      <c r="AE190" s="2">
        <v>45720</v>
      </c>
      <c r="AF190" s="2" t="s">
        <v>1113</v>
      </c>
      <c r="AG190" s="2">
        <v>0</v>
      </c>
      <c r="AH190" s="2" t="s">
        <v>745</v>
      </c>
      <c r="AI190" s="4">
        <v>68040</v>
      </c>
      <c r="AJ190" s="2">
        <v>0</v>
      </c>
      <c r="AK190" s="2" t="s">
        <v>4</v>
      </c>
    </row>
    <row r="191" spans="1:37" x14ac:dyDescent="0.2">
      <c r="A191" s="12">
        <v>190</v>
      </c>
      <c r="B191" s="2" t="s">
        <v>1295</v>
      </c>
      <c r="C191" s="2" t="s">
        <v>1887</v>
      </c>
      <c r="D191" s="2">
        <v>45658</v>
      </c>
      <c r="E191" s="2" t="s">
        <v>1106</v>
      </c>
      <c r="F191" s="2" t="s">
        <v>733</v>
      </c>
      <c r="G191" s="2">
        <v>45688</v>
      </c>
      <c r="H191" s="2">
        <v>46052</v>
      </c>
      <c r="I191" s="2" t="s">
        <v>1888</v>
      </c>
      <c r="J191" s="2">
        <v>3840529936269</v>
      </c>
      <c r="K191" s="2" t="s">
        <v>18</v>
      </c>
      <c r="L191" s="2" t="s">
        <v>734</v>
      </c>
      <c r="M191" s="2" t="s">
        <v>735</v>
      </c>
      <c r="N191" s="2" t="s">
        <v>736</v>
      </c>
      <c r="O191" s="2" t="s">
        <v>1887</v>
      </c>
      <c r="P191" s="2" t="s">
        <v>1308</v>
      </c>
      <c r="Q191" s="2" t="s">
        <v>1110</v>
      </c>
      <c r="R191" s="2" t="s">
        <v>1889</v>
      </c>
      <c r="S191" s="2">
        <v>45323</v>
      </c>
      <c r="T191" s="2">
        <v>46788</v>
      </c>
      <c r="U191" s="2">
        <v>2600000</v>
      </c>
      <c r="V191" s="2">
        <v>10</v>
      </c>
      <c r="W191" s="2">
        <v>260000</v>
      </c>
      <c r="X191" s="2">
        <v>2340000</v>
      </c>
      <c r="Y191" s="2">
        <v>2</v>
      </c>
      <c r="Z191" s="2">
        <v>46800</v>
      </c>
      <c r="AA191" s="2"/>
      <c r="AB191" s="2"/>
      <c r="AC191" s="2" t="s">
        <v>1301</v>
      </c>
      <c r="AD191" s="2">
        <v>1141072794</v>
      </c>
      <c r="AE191" s="2">
        <v>45720</v>
      </c>
      <c r="AF191" s="2" t="s">
        <v>1113</v>
      </c>
      <c r="AG191" s="2">
        <v>0</v>
      </c>
      <c r="AH191" s="2" t="s">
        <v>733</v>
      </c>
      <c r="AI191" s="4">
        <v>46800</v>
      </c>
      <c r="AJ191" s="2">
        <v>0</v>
      </c>
      <c r="AK191" s="2" t="s">
        <v>4</v>
      </c>
    </row>
    <row r="192" spans="1:37" x14ac:dyDescent="0.2">
      <c r="A192" s="12">
        <v>191</v>
      </c>
      <c r="B192" s="2" t="s">
        <v>1295</v>
      </c>
      <c r="C192" s="2" t="s">
        <v>1890</v>
      </c>
      <c r="D192" s="2">
        <v>45658</v>
      </c>
      <c r="E192" s="2" t="s">
        <v>1106</v>
      </c>
      <c r="F192" s="2" t="s">
        <v>737</v>
      </c>
      <c r="G192" s="2">
        <v>45688</v>
      </c>
      <c r="H192" s="2">
        <v>46052</v>
      </c>
      <c r="I192" s="2" t="s">
        <v>1891</v>
      </c>
      <c r="J192" s="2">
        <v>3630211941645</v>
      </c>
      <c r="K192" s="2" t="s">
        <v>656</v>
      </c>
      <c r="L192" s="2" t="s">
        <v>738</v>
      </c>
      <c r="M192" s="2" t="s">
        <v>739</v>
      </c>
      <c r="N192" s="2" t="s">
        <v>740</v>
      </c>
      <c r="O192" s="2" t="s">
        <v>1890</v>
      </c>
      <c r="P192" s="2" t="s">
        <v>1109</v>
      </c>
      <c r="Q192" s="2" t="s">
        <v>1116</v>
      </c>
      <c r="R192" s="2" t="s">
        <v>1892</v>
      </c>
      <c r="S192" s="2">
        <v>45323</v>
      </c>
      <c r="T192" s="2">
        <v>46788</v>
      </c>
      <c r="U192" s="2">
        <v>2935000</v>
      </c>
      <c r="V192" s="2">
        <v>10</v>
      </c>
      <c r="W192" s="2">
        <v>293500</v>
      </c>
      <c r="X192" s="2">
        <v>2641500</v>
      </c>
      <c r="Y192" s="2">
        <v>2</v>
      </c>
      <c r="Z192" s="2">
        <v>52830</v>
      </c>
      <c r="AA192" s="2"/>
      <c r="AB192" s="2"/>
      <c r="AC192" s="2" t="s">
        <v>1301</v>
      </c>
      <c r="AD192" s="2">
        <v>1141072794</v>
      </c>
      <c r="AE192" s="2">
        <v>45720</v>
      </c>
      <c r="AF192" s="2" t="s">
        <v>1113</v>
      </c>
      <c r="AG192" s="2">
        <v>12</v>
      </c>
      <c r="AH192" s="2" t="s">
        <v>737</v>
      </c>
      <c r="AI192" s="4">
        <v>52830</v>
      </c>
      <c r="AJ192" s="2">
        <v>0</v>
      </c>
      <c r="AK192" s="2" t="s">
        <v>4</v>
      </c>
    </row>
    <row r="193" spans="1:37" x14ac:dyDescent="0.2">
      <c r="A193" s="12">
        <v>192</v>
      </c>
      <c r="B193" s="2" t="s">
        <v>1295</v>
      </c>
      <c r="C193" s="2" t="s">
        <v>1893</v>
      </c>
      <c r="D193" s="2">
        <v>45658</v>
      </c>
      <c r="E193" s="2" t="s">
        <v>1106</v>
      </c>
      <c r="F193" s="2" t="s">
        <v>795</v>
      </c>
      <c r="G193" s="2">
        <v>45688</v>
      </c>
      <c r="H193" s="2">
        <v>46052</v>
      </c>
      <c r="I193" s="2" t="s">
        <v>1894</v>
      </c>
      <c r="J193" s="2">
        <v>3520271090779</v>
      </c>
      <c r="K193" s="2" t="s">
        <v>8</v>
      </c>
      <c r="L193" s="2" t="s">
        <v>796</v>
      </c>
      <c r="M193" s="2" t="s">
        <v>797</v>
      </c>
      <c r="N193" s="2" t="s">
        <v>798</v>
      </c>
      <c r="O193" s="2" t="s">
        <v>1893</v>
      </c>
      <c r="P193" s="2" t="s">
        <v>1109</v>
      </c>
      <c r="Q193" s="2" t="s">
        <v>1495</v>
      </c>
      <c r="R193" s="2" t="s">
        <v>1895</v>
      </c>
      <c r="S193" s="2">
        <v>45323</v>
      </c>
      <c r="T193" s="2">
        <v>46423</v>
      </c>
      <c r="U193" s="2">
        <v>2612000</v>
      </c>
      <c r="V193" s="2">
        <v>10</v>
      </c>
      <c r="W193" s="2">
        <v>261200</v>
      </c>
      <c r="X193" s="2">
        <v>2350800</v>
      </c>
      <c r="Y193" s="2">
        <v>2</v>
      </c>
      <c r="Z193" s="2">
        <v>47016</v>
      </c>
      <c r="AA193" s="2"/>
      <c r="AB193" s="2"/>
      <c r="AC193" s="2" t="s">
        <v>1301</v>
      </c>
      <c r="AD193" s="2">
        <v>1141072794</v>
      </c>
      <c r="AE193" s="2">
        <v>45720</v>
      </c>
      <c r="AF193" s="2" t="s">
        <v>1113</v>
      </c>
      <c r="AG193" s="2">
        <v>12</v>
      </c>
      <c r="AH193" s="2" t="s">
        <v>795</v>
      </c>
      <c r="AI193" s="4">
        <v>47016</v>
      </c>
      <c r="AJ193" s="2">
        <v>0</v>
      </c>
      <c r="AK193" s="2" t="s">
        <v>4</v>
      </c>
    </row>
    <row r="194" spans="1:37" x14ac:dyDescent="0.2">
      <c r="A194" s="12">
        <v>193</v>
      </c>
      <c r="B194" s="2" t="s">
        <v>1295</v>
      </c>
      <c r="C194" s="2" t="s">
        <v>1896</v>
      </c>
      <c r="D194" s="2">
        <v>45658</v>
      </c>
      <c r="E194" s="2" t="s">
        <v>1106</v>
      </c>
      <c r="F194" s="2" t="s">
        <v>683</v>
      </c>
      <c r="G194" s="2">
        <v>45687</v>
      </c>
      <c r="H194" s="2">
        <v>46051</v>
      </c>
      <c r="I194" s="2" t="s">
        <v>1897</v>
      </c>
      <c r="J194" s="2">
        <v>3520229215671</v>
      </c>
      <c r="K194" s="2" t="s">
        <v>684</v>
      </c>
      <c r="L194" s="2" t="s">
        <v>685</v>
      </c>
      <c r="M194" s="2" t="s">
        <v>686</v>
      </c>
      <c r="N194" s="2" t="s">
        <v>687</v>
      </c>
      <c r="O194" s="2" t="s">
        <v>1896</v>
      </c>
      <c r="P194" s="2" t="s">
        <v>1109</v>
      </c>
      <c r="Q194" s="2" t="s">
        <v>1116</v>
      </c>
      <c r="R194" s="2" t="s">
        <v>1898</v>
      </c>
      <c r="S194" s="2">
        <v>45328</v>
      </c>
      <c r="T194" s="2">
        <v>46788</v>
      </c>
      <c r="U194" s="2">
        <v>4900000</v>
      </c>
      <c r="V194" s="2">
        <v>10</v>
      </c>
      <c r="W194" s="2">
        <v>490000</v>
      </c>
      <c r="X194" s="2">
        <v>4410000</v>
      </c>
      <c r="Y194" s="2">
        <v>1.5</v>
      </c>
      <c r="Z194" s="2">
        <v>66150</v>
      </c>
      <c r="AA194" s="2"/>
      <c r="AB194" s="2"/>
      <c r="AC194" s="2" t="s">
        <v>1301</v>
      </c>
      <c r="AD194" s="2">
        <v>1141072794</v>
      </c>
      <c r="AE194" s="2">
        <v>45720</v>
      </c>
      <c r="AF194" s="2" t="s">
        <v>1113</v>
      </c>
      <c r="AG194" s="2">
        <v>12</v>
      </c>
      <c r="AH194" s="2" t="s">
        <v>683</v>
      </c>
      <c r="AI194" s="4">
        <v>66150</v>
      </c>
      <c r="AJ194" s="2">
        <v>0</v>
      </c>
      <c r="AK194" s="2" t="s">
        <v>4</v>
      </c>
    </row>
    <row r="195" spans="1:37" x14ac:dyDescent="0.2">
      <c r="AH195" s="2" t="s">
        <v>34</v>
      </c>
      <c r="AI195" s="4">
        <v>71400</v>
      </c>
      <c r="AJ195" s="5">
        <v>0</v>
      </c>
      <c r="AK195" s="2" t="s">
        <v>6</v>
      </c>
    </row>
    <row r="196" spans="1:37" x14ac:dyDescent="0.2">
      <c r="AH196" s="2" t="s">
        <v>38</v>
      </c>
      <c r="AI196" s="4">
        <v>70785</v>
      </c>
      <c r="AJ196" s="5">
        <v>0</v>
      </c>
      <c r="AK196" s="2" t="s">
        <v>6</v>
      </c>
    </row>
    <row r="197" spans="1:37" x14ac:dyDescent="0.2">
      <c r="AH197" s="2" t="s">
        <v>106</v>
      </c>
      <c r="AI197" s="4">
        <v>63000</v>
      </c>
      <c r="AJ197" s="5">
        <v>0</v>
      </c>
      <c r="AK197" s="2" t="s">
        <v>6</v>
      </c>
    </row>
    <row r="198" spans="1:37" x14ac:dyDescent="0.2">
      <c r="AH198" s="2" t="s">
        <v>95</v>
      </c>
      <c r="AI198" s="4">
        <v>76770</v>
      </c>
      <c r="AJ198" s="5">
        <v>0</v>
      </c>
      <c r="AK198" s="2" t="s">
        <v>6</v>
      </c>
    </row>
    <row r="199" spans="1:37" x14ac:dyDescent="0.2">
      <c r="AH199" s="2" t="s">
        <v>178</v>
      </c>
      <c r="AI199" s="4">
        <v>63000</v>
      </c>
      <c r="AJ199" s="5">
        <v>0</v>
      </c>
      <c r="AK199" s="2" t="s">
        <v>6</v>
      </c>
    </row>
    <row r="200" spans="1:37" x14ac:dyDescent="0.2">
      <c r="AH200" s="2" t="s">
        <v>70</v>
      </c>
      <c r="AI200" s="4">
        <v>112500</v>
      </c>
      <c r="AJ200" s="5">
        <v>0</v>
      </c>
      <c r="AK200" s="2" t="s">
        <v>6</v>
      </c>
    </row>
    <row r="201" spans="1:37" x14ac:dyDescent="0.2">
      <c r="AH201" s="2" t="s">
        <v>225</v>
      </c>
      <c r="AI201" s="4">
        <v>60980</v>
      </c>
      <c r="AJ201" s="5">
        <v>0</v>
      </c>
      <c r="AK201" s="2" t="s">
        <v>6</v>
      </c>
    </row>
    <row r="202" spans="1:37" x14ac:dyDescent="0.2">
      <c r="AH202" s="2" t="s">
        <v>221</v>
      </c>
      <c r="AI202" s="4">
        <v>61500</v>
      </c>
      <c r="AJ202" s="5">
        <v>0</v>
      </c>
      <c r="AK202" s="2" t="s">
        <v>6</v>
      </c>
    </row>
    <row r="203" spans="1:37" x14ac:dyDescent="0.2">
      <c r="AH203" s="2" t="s">
        <v>75</v>
      </c>
      <c r="AI203" s="4">
        <v>43000</v>
      </c>
      <c r="AJ203" s="5">
        <v>0</v>
      </c>
      <c r="AK203" s="2" t="s">
        <v>6</v>
      </c>
    </row>
    <row r="204" spans="1:37" x14ac:dyDescent="0.2">
      <c r="AH204" s="2" t="s">
        <v>79</v>
      </c>
      <c r="AI204" s="4">
        <v>43000</v>
      </c>
      <c r="AJ204" s="5">
        <v>0</v>
      </c>
      <c r="AK204" s="2" t="s">
        <v>6</v>
      </c>
    </row>
    <row r="205" spans="1:37" x14ac:dyDescent="0.2">
      <c r="AH205" s="2" t="s">
        <v>30</v>
      </c>
      <c r="AI205" s="4">
        <v>44000</v>
      </c>
      <c r="AJ205" s="5">
        <v>0</v>
      </c>
      <c r="AK205" s="2" t="s">
        <v>6</v>
      </c>
    </row>
    <row r="206" spans="1:37" x14ac:dyDescent="0.2">
      <c r="AH206" s="2" t="s">
        <v>56</v>
      </c>
      <c r="AI206" s="4">
        <v>54140</v>
      </c>
      <c r="AJ206" s="5">
        <v>0</v>
      </c>
      <c r="AK206" s="2" t="s">
        <v>6</v>
      </c>
    </row>
    <row r="207" spans="1:37" x14ac:dyDescent="0.2">
      <c r="AH207" s="2" t="s">
        <v>174</v>
      </c>
      <c r="AI207" s="4">
        <v>52500</v>
      </c>
      <c r="AJ207" s="5">
        <v>0</v>
      </c>
      <c r="AK207" s="2" t="s">
        <v>6</v>
      </c>
    </row>
    <row r="208" spans="1:37" x14ac:dyDescent="0.2">
      <c r="AH208" s="2" t="s">
        <v>236</v>
      </c>
      <c r="AI208" s="4">
        <v>132135</v>
      </c>
      <c r="AJ208" s="5">
        <v>0</v>
      </c>
      <c r="AK208" s="2" t="s">
        <v>6</v>
      </c>
    </row>
    <row r="209" spans="34:37" x14ac:dyDescent="0.2">
      <c r="AH209" s="2" t="s">
        <v>229</v>
      </c>
      <c r="AI209" s="4">
        <v>64500</v>
      </c>
      <c r="AJ209" s="5">
        <v>0</v>
      </c>
      <c r="AK209" s="2" t="s">
        <v>6</v>
      </c>
    </row>
    <row r="210" spans="34:37" x14ac:dyDescent="0.2">
      <c r="AH210" s="2" t="s">
        <v>233</v>
      </c>
      <c r="AI210" s="4">
        <v>54140</v>
      </c>
      <c r="AJ210" s="5">
        <v>0</v>
      </c>
      <c r="AK210" s="2" t="s">
        <v>6</v>
      </c>
    </row>
    <row r="211" spans="34:37" x14ac:dyDescent="0.2">
      <c r="AH211" s="2" t="s">
        <v>45</v>
      </c>
      <c r="AI211" s="4">
        <v>70785</v>
      </c>
      <c r="AJ211" s="5">
        <v>0</v>
      </c>
      <c r="AK211" s="2" t="s">
        <v>6</v>
      </c>
    </row>
    <row r="212" spans="34:37" x14ac:dyDescent="0.2">
      <c r="AH212" s="2" t="s">
        <v>118</v>
      </c>
      <c r="AI212" s="4">
        <v>55980</v>
      </c>
      <c r="AJ212" s="5">
        <v>0</v>
      </c>
      <c r="AK212" s="2" t="s">
        <v>6</v>
      </c>
    </row>
    <row r="213" spans="34:37" x14ac:dyDescent="0.2">
      <c r="AH213" s="2" t="s">
        <v>114</v>
      </c>
      <c r="AI213" s="4">
        <v>70785</v>
      </c>
      <c r="AJ213" s="5">
        <v>0</v>
      </c>
      <c r="AK213" s="2" t="s">
        <v>6</v>
      </c>
    </row>
    <row r="214" spans="34:37" x14ac:dyDescent="0.2">
      <c r="AH214" s="2" t="s">
        <v>121</v>
      </c>
      <c r="AI214" s="4">
        <v>84000</v>
      </c>
      <c r="AJ214" s="5">
        <v>0</v>
      </c>
      <c r="AK214" s="2" t="s">
        <v>6</v>
      </c>
    </row>
    <row r="215" spans="34:37" x14ac:dyDescent="0.2">
      <c r="AH215" s="2" t="s">
        <v>1032</v>
      </c>
      <c r="AI215" s="4">
        <v>37120</v>
      </c>
      <c r="AJ215" s="5">
        <v>0</v>
      </c>
      <c r="AK215" s="2" t="s">
        <v>6</v>
      </c>
    </row>
    <row r="216" spans="34:37" x14ac:dyDescent="0.2">
      <c r="AH216" s="2" t="s">
        <v>1035</v>
      </c>
      <c r="AI216" s="4">
        <v>37120</v>
      </c>
      <c r="AJ216" s="5">
        <v>0</v>
      </c>
      <c r="AK216" s="2" t="s">
        <v>6</v>
      </c>
    </row>
    <row r="217" spans="34:37" x14ac:dyDescent="0.2">
      <c r="AH217" s="2" t="s">
        <v>66</v>
      </c>
      <c r="AI217" s="4">
        <v>49000</v>
      </c>
      <c r="AJ217" s="5">
        <v>0</v>
      </c>
      <c r="AK217" s="2" t="s">
        <v>6</v>
      </c>
    </row>
    <row r="218" spans="34:37" x14ac:dyDescent="0.2">
      <c r="AH218" s="2" t="s">
        <v>63</v>
      </c>
      <c r="AI218" s="4">
        <v>54140</v>
      </c>
      <c r="AJ218" s="5">
        <v>0</v>
      </c>
      <c r="AK218" s="2" t="s">
        <v>6</v>
      </c>
    </row>
    <row r="219" spans="34:37" x14ac:dyDescent="0.2">
      <c r="AH219" s="2" t="s">
        <v>148</v>
      </c>
      <c r="AI219" s="4">
        <v>52500</v>
      </c>
      <c r="AJ219" s="5">
        <v>0</v>
      </c>
      <c r="AK219" s="2" t="s">
        <v>6</v>
      </c>
    </row>
    <row r="220" spans="34:37" x14ac:dyDescent="0.2">
      <c r="AH220" s="2" t="s">
        <v>83</v>
      </c>
      <c r="AI220" s="4">
        <v>54000</v>
      </c>
      <c r="AJ220" s="5">
        <v>0</v>
      </c>
      <c r="AK220" s="2" t="s">
        <v>6</v>
      </c>
    </row>
    <row r="221" spans="34:37" x14ac:dyDescent="0.2">
      <c r="AH221" s="2" t="s">
        <v>59</v>
      </c>
      <c r="AI221" s="4">
        <v>44000</v>
      </c>
      <c r="AJ221" s="5">
        <v>0</v>
      </c>
      <c r="AK221" s="2" t="s">
        <v>6</v>
      </c>
    </row>
    <row r="222" spans="34:37" x14ac:dyDescent="0.2">
      <c r="AH222" s="2" t="s">
        <v>217</v>
      </c>
      <c r="AI222" s="4">
        <v>64000</v>
      </c>
      <c r="AJ222" s="5">
        <v>0</v>
      </c>
      <c r="AK222" s="2" t="s">
        <v>6</v>
      </c>
    </row>
    <row r="223" spans="34:37" x14ac:dyDescent="0.2">
      <c r="AH223" s="2" t="s">
        <v>49</v>
      </c>
      <c r="AI223" s="4">
        <v>60900</v>
      </c>
      <c r="AJ223" s="5">
        <v>0</v>
      </c>
      <c r="AK223" s="2" t="s">
        <v>6</v>
      </c>
    </row>
    <row r="224" spans="34:37" x14ac:dyDescent="0.2">
      <c r="AH224" s="2" t="s">
        <v>91</v>
      </c>
      <c r="AI224" s="4">
        <v>54000</v>
      </c>
      <c r="AJ224" s="5">
        <v>0</v>
      </c>
      <c r="AK224" s="2" t="s">
        <v>6</v>
      </c>
    </row>
    <row r="225" spans="34:37" x14ac:dyDescent="0.2">
      <c r="AH225" s="2" t="s">
        <v>133</v>
      </c>
      <c r="AI225" s="4">
        <v>46000</v>
      </c>
      <c r="AJ225" s="5">
        <v>0</v>
      </c>
      <c r="AK225" s="2" t="s">
        <v>6</v>
      </c>
    </row>
    <row r="226" spans="34:37" x14ac:dyDescent="0.2">
      <c r="AH226" s="2" t="s">
        <v>41</v>
      </c>
      <c r="AI226" s="4">
        <v>55980</v>
      </c>
      <c r="AJ226" s="5">
        <v>0</v>
      </c>
      <c r="AK226" s="2" t="s">
        <v>6</v>
      </c>
    </row>
    <row r="227" spans="34:37" x14ac:dyDescent="0.2">
      <c r="AH227" s="2" t="s">
        <v>87</v>
      </c>
      <c r="AI227" s="4">
        <v>70500</v>
      </c>
      <c r="AJ227" s="5">
        <v>0</v>
      </c>
      <c r="AK227" s="2" t="s">
        <v>6</v>
      </c>
    </row>
    <row r="228" spans="34:37" x14ac:dyDescent="0.2">
      <c r="AH228" s="2" t="s">
        <v>161</v>
      </c>
      <c r="AI228" s="4">
        <v>60900</v>
      </c>
      <c r="AJ228" s="5">
        <v>0</v>
      </c>
      <c r="AK228" s="2" t="s">
        <v>6</v>
      </c>
    </row>
    <row r="229" spans="34:37" x14ac:dyDescent="0.2">
      <c r="AH229" s="2" t="s">
        <v>152</v>
      </c>
      <c r="AI229" s="4">
        <v>63000</v>
      </c>
      <c r="AJ229" s="5">
        <v>0</v>
      </c>
      <c r="AK229" s="2" t="s">
        <v>6</v>
      </c>
    </row>
    <row r="230" spans="34:37" x14ac:dyDescent="0.2">
      <c r="AH230" s="2" t="s">
        <v>137</v>
      </c>
      <c r="AI230" s="4">
        <v>46000</v>
      </c>
      <c r="AJ230" s="5">
        <v>0</v>
      </c>
      <c r="AK230" s="2" t="s">
        <v>6</v>
      </c>
    </row>
    <row r="231" spans="34:37" x14ac:dyDescent="0.2">
      <c r="AH231" s="2" t="s">
        <v>99</v>
      </c>
      <c r="AI231" s="4">
        <v>82500</v>
      </c>
      <c r="AJ231" s="5">
        <v>0</v>
      </c>
      <c r="AK231" s="2" t="s">
        <v>6</v>
      </c>
    </row>
    <row r="232" spans="34:37" x14ac:dyDescent="0.2">
      <c r="AH232" s="2" t="s">
        <v>52</v>
      </c>
      <c r="AI232" s="4">
        <v>118935</v>
      </c>
      <c r="AJ232" s="5">
        <v>0</v>
      </c>
      <c r="AK232" s="2" t="s">
        <v>6</v>
      </c>
    </row>
    <row r="233" spans="34:37" x14ac:dyDescent="0.2">
      <c r="AH233" s="2" t="s">
        <v>103</v>
      </c>
      <c r="AI233" s="4">
        <v>60900</v>
      </c>
      <c r="AJ233" s="5">
        <v>0</v>
      </c>
      <c r="AK233" s="2" t="s">
        <v>6</v>
      </c>
    </row>
    <row r="234" spans="34:37" x14ac:dyDescent="0.2">
      <c r="AH234" s="2" t="s">
        <v>157</v>
      </c>
      <c r="AI234" s="4">
        <v>60000</v>
      </c>
      <c r="AJ234" s="5">
        <v>0</v>
      </c>
      <c r="AK234" s="2" t="s">
        <v>6</v>
      </c>
    </row>
    <row r="235" spans="34:37" x14ac:dyDescent="0.2">
      <c r="AH235" s="2" t="s">
        <v>191</v>
      </c>
      <c r="AI235" s="4">
        <v>56000</v>
      </c>
      <c r="AJ235" s="5">
        <v>0</v>
      </c>
      <c r="AK235" s="2" t="s">
        <v>6</v>
      </c>
    </row>
    <row r="236" spans="34:37" x14ac:dyDescent="0.2">
      <c r="AH236" s="2" t="s">
        <v>195</v>
      </c>
      <c r="AI236" s="4">
        <v>70785</v>
      </c>
      <c r="AJ236" s="5">
        <v>0</v>
      </c>
      <c r="AK236" s="2" t="s">
        <v>6</v>
      </c>
    </row>
    <row r="237" spans="34:37" x14ac:dyDescent="0.2">
      <c r="AH237" s="2" t="s">
        <v>203</v>
      </c>
      <c r="AI237" s="4">
        <v>55980</v>
      </c>
      <c r="AJ237" s="5">
        <v>0</v>
      </c>
      <c r="AK237" s="2" t="s">
        <v>6</v>
      </c>
    </row>
    <row r="238" spans="34:37" x14ac:dyDescent="0.2">
      <c r="AH238" s="2" t="s">
        <v>144</v>
      </c>
      <c r="AI238" s="4">
        <v>99615</v>
      </c>
      <c r="AJ238" s="5">
        <v>0</v>
      </c>
      <c r="AK238" s="2" t="s">
        <v>6</v>
      </c>
    </row>
    <row r="239" spans="34:37" x14ac:dyDescent="0.2">
      <c r="AH239" s="2" t="s">
        <v>169</v>
      </c>
      <c r="AI239" s="4">
        <v>60000</v>
      </c>
      <c r="AJ239" s="5">
        <v>0</v>
      </c>
      <c r="AK239" s="2" t="s">
        <v>6</v>
      </c>
    </row>
    <row r="240" spans="34:37" x14ac:dyDescent="0.2">
      <c r="AH240" s="2" t="s">
        <v>141</v>
      </c>
      <c r="AI240" s="4">
        <v>70785</v>
      </c>
      <c r="AJ240" s="5">
        <v>0</v>
      </c>
      <c r="AK240" s="2" t="s">
        <v>6</v>
      </c>
    </row>
    <row r="241" spans="34:37" x14ac:dyDescent="0.2">
      <c r="AH241" s="2" t="s">
        <v>182</v>
      </c>
      <c r="AI241" s="4">
        <v>60980</v>
      </c>
      <c r="AJ241" s="5">
        <v>0</v>
      </c>
      <c r="AK241" s="2" t="s">
        <v>6</v>
      </c>
    </row>
    <row r="242" spans="34:37" x14ac:dyDescent="0.2">
      <c r="AH242" s="2" t="s">
        <v>209</v>
      </c>
      <c r="AI242" s="4">
        <v>67500</v>
      </c>
      <c r="AJ242" s="5">
        <v>0</v>
      </c>
      <c r="AK242" s="2" t="s">
        <v>6</v>
      </c>
    </row>
    <row r="243" spans="34:37" x14ac:dyDescent="0.2">
      <c r="AH243" s="2" t="s">
        <v>206</v>
      </c>
      <c r="AI243" s="4">
        <v>48000</v>
      </c>
      <c r="AJ243" s="5">
        <v>0</v>
      </c>
      <c r="AK243" s="2" t="s">
        <v>6</v>
      </c>
    </row>
    <row r="244" spans="34:37" x14ac:dyDescent="0.2">
      <c r="AH244" s="2" t="s">
        <v>125</v>
      </c>
      <c r="AI244" s="4">
        <v>60900</v>
      </c>
      <c r="AJ244" s="5">
        <v>0</v>
      </c>
      <c r="AK244" s="2" t="s">
        <v>6</v>
      </c>
    </row>
    <row r="245" spans="34:37" x14ac:dyDescent="0.2">
      <c r="AH245" s="2" t="s">
        <v>198</v>
      </c>
      <c r="AI245" s="4">
        <v>62250</v>
      </c>
      <c r="AJ245" s="5">
        <v>0</v>
      </c>
      <c r="AK245" s="2" t="s">
        <v>6</v>
      </c>
    </row>
    <row r="246" spans="34:37" x14ac:dyDescent="0.2">
      <c r="AH246" s="2" t="s">
        <v>165</v>
      </c>
      <c r="AI246" s="4">
        <v>52500</v>
      </c>
      <c r="AJ246" s="5">
        <v>0</v>
      </c>
      <c r="AK246" s="2" t="s">
        <v>6</v>
      </c>
    </row>
    <row r="247" spans="34:37" x14ac:dyDescent="0.2">
      <c r="AH247" s="2" t="s">
        <v>128</v>
      </c>
      <c r="AI247" s="4">
        <v>60000</v>
      </c>
      <c r="AJ247" s="5">
        <v>0</v>
      </c>
      <c r="AK247" s="2" t="s">
        <v>6</v>
      </c>
    </row>
    <row r="248" spans="34:37" x14ac:dyDescent="0.2">
      <c r="AH248" s="2" t="s">
        <v>186</v>
      </c>
      <c r="AI248" s="4">
        <v>60000</v>
      </c>
      <c r="AJ248" s="5">
        <v>0</v>
      </c>
      <c r="AK248" s="2" t="s">
        <v>6</v>
      </c>
    </row>
    <row r="249" spans="34:37" x14ac:dyDescent="0.2">
      <c r="AH249" s="2" t="s">
        <v>110</v>
      </c>
      <c r="AI249" s="4">
        <v>103500</v>
      </c>
      <c r="AJ249" s="5">
        <v>0</v>
      </c>
      <c r="AK249" s="2" t="s">
        <v>6</v>
      </c>
    </row>
    <row r="250" spans="34:37" x14ac:dyDescent="0.2">
      <c r="AH250" s="2" t="s">
        <v>213</v>
      </c>
      <c r="AI250" s="4">
        <v>52000</v>
      </c>
      <c r="AJ250" s="5">
        <v>0</v>
      </c>
      <c r="AK250" s="2" t="s">
        <v>6</v>
      </c>
    </row>
    <row r="251" spans="34:37" x14ac:dyDescent="0.2">
      <c r="AI251" s="13">
        <f>SUM(AI2:AI250)</f>
        <v>11390231</v>
      </c>
    </row>
  </sheetData>
  <conditionalFormatting sqref="AH1:AH1048576">
    <cfRule type="duplicateValues" dxfId="12" priority="1"/>
    <cfRule type="duplicateValues" dxfId="1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352E-BAA5-4969-9255-43F5B6CBB276}">
  <dimension ref="A1:H250"/>
  <sheetViews>
    <sheetView topLeftCell="A248" workbookViewId="0">
      <selection activeCell="H250" sqref="H2:H250"/>
    </sheetView>
  </sheetViews>
  <sheetFormatPr defaultRowHeight="12.75" x14ac:dyDescent="0.2"/>
  <cols>
    <col min="1" max="1" width="46.140625" customWidth="1"/>
    <col min="2" max="2" width="13.5703125" bestFit="1" customWidth="1"/>
    <col min="3" max="3" width="12.85546875" bestFit="1" customWidth="1"/>
    <col min="4" max="4" width="9.5703125" bestFit="1" customWidth="1"/>
    <col min="5" max="5" width="13.7109375" bestFit="1" customWidth="1"/>
    <col min="6" max="6" width="97.7109375" customWidth="1"/>
    <col min="7" max="7" width="89.7109375" customWidth="1"/>
    <col min="8" max="8" width="81" customWidth="1"/>
  </cols>
  <sheetData>
    <row r="1" spans="1:8" ht="15" x14ac:dyDescent="0.25">
      <c r="A1" s="16" t="s">
        <v>2334</v>
      </c>
      <c r="B1" s="14" t="s">
        <v>2335</v>
      </c>
      <c r="C1" s="14"/>
      <c r="D1" s="17" t="s">
        <v>2336</v>
      </c>
      <c r="E1" s="22" t="s">
        <v>2340</v>
      </c>
      <c r="F1" s="14"/>
      <c r="G1" s="14"/>
      <c r="H1" s="14"/>
    </row>
    <row r="2" spans="1:8" ht="96.75" customHeight="1" x14ac:dyDescent="0.2">
      <c r="A2" s="2" t="s">
        <v>24</v>
      </c>
      <c r="B2" t="str">
        <f>VLOOKUP(A2,policy!B:C,2,0)</f>
        <v>070000172495</v>
      </c>
      <c r="C2" s="4">
        <v>37318</v>
      </c>
      <c r="D2" s="18">
        <f>ROUND(C2,0)</f>
        <v>37318</v>
      </c>
      <c r="E2" s="22" t="s">
        <v>2340</v>
      </c>
      <c r="F2" s="1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0" t="str">
        <f>"('"&amp;E2&amp;"','"&amp;B2&amp;"','"&amp;D2&amp;"',(select max(to_number(i.premium_rcv_detail_code))+1
from ins_premium_det i),'"&amp;D2&amp;"','"&amp;D2&amp;"','02', '11000003','00','Request by Mr. Saqib Saleem 06-Mar-2024');"</f>
        <v>('06Mar250008','070000172495','37318',(select max(to_number(i.premium_rcv_detail_code))+1
from ins_premium_det i),'37318','37318','02', '11000003','00','Request by Mr. Saqib Saleem 06-Mar-2024');</v>
      </c>
      <c r="H2" s="21" t="str">
        <f>F2&amp;G2</f>
        <v>insert into ins_premium_det (premium_rcv_code,assorted_code, rec_amount,premium_rcv_detail_code,remaining_amt, payrec, mode_code,coinsurance_code,class_cd,it_remarks) values('06Mar250008','070000172495','37318',(select max(to_number(i.premium_rcv_detail_code))+1
from ins_premium_det i),'37318','37318','02', '11000003','00','Request by Mr. Saqib Saleem 06-Mar-2024');</v>
      </c>
    </row>
    <row r="3" spans="1:8" ht="89.25" x14ac:dyDescent="0.2">
      <c r="A3" s="2" t="s">
        <v>19</v>
      </c>
      <c r="B3" t="str">
        <f>VLOOKUP(A3,policy!B:C,2,0)</f>
        <v>070000172494</v>
      </c>
      <c r="C3" s="4">
        <v>20475</v>
      </c>
      <c r="D3" s="18">
        <f t="shared" ref="D3:D66" si="1">ROUND(C3,0)</f>
        <v>20475</v>
      </c>
      <c r="E3" s="22" t="s">
        <v>2340</v>
      </c>
      <c r="F3" s="19" t="str">
        <f t="shared" si="0"/>
        <v>insert into ins_premium_det (premium_rcv_code,assorted_code, rec_amount,premium_rcv_detail_code,remaining_amt, payrec, mode_code,coinsurance_code,class_cd,it_remarks) values</v>
      </c>
      <c r="G3" s="20" t="str">
        <f t="shared" ref="G3:G66" si="2">"('"&amp;E3&amp;"','"&amp;B3&amp;"','"&amp;D3&amp;"',(select max(to_number(i.premium_rcv_detail_code))+1
from ins_premium_det i),'"&amp;D3&amp;"','"&amp;D3&amp;"','02', '11000003','00','Request by Mr. Saqib Saleem 06-Mar-2024');"</f>
        <v>('06Mar250008','070000172494','20475',(select max(to_number(i.premium_rcv_detail_code))+1
from ins_premium_det i),'20475','20475','02', '11000003','00','Request by Mr. Saqib Saleem 06-Mar-2024');</v>
      </c>
      <c r="H3" s="21" t="str">
        <f t="shared" ref="H3:H66" si="3">F3&amp;G3</f>
        <v>insert into ins_premium_det (premium_rcv_code,assorted_code, rec_amount,premium_rcv_detail_code,remaining_amt, payrec, mode_code,coinsurance_code,class_cd,it_remarks) values('06Mar250008','070000172494','20475',(select max(to_number(i.premium_rcv_detail_code))+1
from ins_premium_det i),'20475','20475','02', '11000003','00','Request by Mr. Saqib Saleem 06-Mar-2024');</v>
      </c>
    </row>
    <row r="4" spans="1:8" ht="89.25" x14ac:dyDescent="0.2">
      <c r="A4" s="2" t="s">
        <v>1003</v>
      </c>
      <c r="B4" t="str">
        <f>VLOOKUP(A4,policy!B:C,2,0)</f>
        <v>070000174295</v>
      </c>
      <c r="C4" s="4">
        <v>39233</v>
      </c>
      <c r="D4" s="18">
        <f t="shared" si="1"/>
        <v>39233</v>
      </c>
      <c r="E4" s="22" t="s">
        <v>2340</v>
      </c>
      <c r="F4" s="19" t="str">
        <f t="shared" si="0"/>
        <v>insert into ins_premium_det (premium_rcv_code,assorted_code, rec_amount,premium_rcv_detail_code,remaining_amt, payrec, mode_code,coinsurance_code,class_cd,it_remarks) values</v>
      </c>
      <c r="G4" s="20" t="str">
        <f t="shared" si="2"/>
        <v>('06Mar250008','070000174295','39233',(select max(to_number(i.premium_rcv_detail_code))+1
from ins_premium_det i),'39233','39233','02', '11000003','00','Request by Mr. Saqib Saleem 06-Mar-2024');</v>
      </c>
      <c r="H4" s="21" t="str">
        <f t="shared" si="3"/>
        <v>insert into ins_premium_det (premium_rcv_code,assorted_code, rec_amount,premium_rcv_detail_code,remaining_amt, payrec, mode_code,coinsurance_code,class_cd,it_remarks) values('06Mar250008','070000174295','39233',(select max(to_number(i.premium_rcv_detail_code))+1
from ins_premium_det i),'39233','39233','02', '11000003','00','Request by Mr. Saqib Saleem 06-Mar-2024');</v>
      </c>
    </row>
    <row r="5" spans="1:8" ht="89.25" x14ac:dyDescent="0.2">
      <c r="A5" s="2" t="s">
        <v>305</v>
      </c>
      <c r="B5" t="str">
        <f>VLOOKUP(A5,policy!B:C,2,0)</f>
        <v>070000174315</v>
      </c>
      <c r="C5" s="4">
        <v>79296</v>
      </c>
      <c r="D5" s="18">
        <f t="shared" si="1"/>
        <v>79296</v>
      </c>
      <c r="E5" s="22" t="s">
        <v>2340</v>
      </c>
      <c r="F5" s="19" t="str">
        <f t="shared" si="0"/>
        <v>insert into ins_premium_det (premium_rcv_code,assorted_code, rec_amount,premium_rcv_detail_code,remaining_amt, payrec, mode_code,coinsurance_code,class_cd,it_remarks) values</v>
      </c>
      <c r="G5" s="20" t="str">
        <f t="shared" si="2"/>
        <v>('06Mar250008','070000174315','79296',(select max(to_number(i.premium_rcv_detail_code))+1
from ins_premium_det i),'79296','79296','02', '11000003','00','Request by Mr. Saqib Saleem 06-Mar-2024');</v>
      </c>
      <c r="H5" s="21" t="str">
        <f t="shared" si="3"/>
        <v>insert into ins_premium_det (premium_rcv_code,assorted_code, rec_amount,premium_rcv_detail_code,remaining_amt, payrec, mode_code,coinsurance_code,class_cd,it_remarks) values('06Mar250008','070000174315','79296',(select max(to_number(i.premium_rcv_detail_code))+1
from ins_premium_det i),'79296','79296','02', '11000003','00','Request by Mr. Saqib Saleem 06-Mar-2024');</v>
      </c>
    </row>
    <row r="6" spans="1:8" ht="89.25" x14ac:dyDescent="0.2">
      <c r="A6" s="2" t="s">
        <v>1008</v>
      </c>
      <c r="B6" t="str">
        <f>VLOOKUP(A6,policy!B:C,2,0)</f>
        <v>070000174298</v>
      </c>
      <c r="C6" s="4">
        <v>32438</v>
      </c>
      <c r="D6" s="18">
        <f t="shared" si="1"/>
        <v>32438</v>
      </c>
      <c r="E6" s="22" t="s">
        <v>2340</v>
      </c>
      <c r="F6" s="19" t="str">
        <f t="shared" si="0"/>
        <v>insert into ins_premium_det (premium_rcv_code,assorted_code, rec_amount,premium_rcv_detail_code,remaining_amt, payrec, mode_code,coinsurance_code,class_cd,it_remarks) values</v>
      </c>
      <c r="G6" s="20" t="str">
        <f t="shared" si="2"/>
        <v>('06Mar250008','070000174298','32438',(select max(to_number(i.premium_rcv_detail_code))+1
from ins_premium_det i),'32438','32438','02', '11000003','00','Request by Mr. Saqib Saleem 06-Mar-2024');</v>
      </c>
      <c r="H6" s="21" t="str">
        <f t="shared" si="3"/>
        <v>insert into ins_premium_det (premium_rcv_code,assorted_code, rec_amount,premium_rcv_detail_code,remaining_amt, payrec, mode_code,coinsurance_code,class_cd,it_remarks) values('06Mar250008','070000174298','32438',(select max(to_number(i.premium_rcv_detail_code))+1
from ins_premium_det i),'32438','32438','02', '11000003','00','Request by Mr. Saqib Saleem 06-Mar-2024');</v>
      </c>
    </row>
    <row r="7" spans="1:8" ht="89.25" x14ac:dyDescent="0.2">
      <c r="A7" s="2" t="s">
        <v>380</v>
      </c>
      <c r="B7" t="str">
        <f>VLOOKUP(A7,policy!B:C,2,0)</f>
        <v>070000174331</v>
      </c>
      <c r="C7" s="4">
        <v>26869</v>
      </c>
      <c r="D7" s="18">
        <f t="shared" si="1"/>
        <v>26869</v>
      </c>
      <c r="E7" s="22" t="s">
        <v>2340</v>
      </c>
      <c r="F7" s="19" t="str">
        <f t="shared" si="0"/>
        <v>insert into ins_premium_det (premium_rcv_code,assorted_code, rec_amount,premium_rcv_detail_code,remaining_amt, payrec, mode_code,coinsurance_code,class_cd,it_remarks) values</v>
      </c>
      <c r="G7" s="20" t="str">
        <f t="shared" si="2"/>
        <v>('06Mar250008','070000174331','26869',(select max(to_number(i.premium_rcv_detail_code))+1
from ins_premium_det i),'26869','26869','02', '11000003','00','Request by Mr. Saqib Saleem 06-Mar-2024');</v>
      </c>
      <c r="H7" s="21" t="str">
        <f t="shared" si="3"/>
        <v>insert into ins_premium_det (premium_rcv_code,assorted_code, rec_amount,premium_rcv_detail_code,remaining_amt, payrec, mode_code,coinsurance_code,class_cd,it_remarks) values('06Mar250008','070000174331','26869',(select max(to_number(i.premium_rcv_detail_code))+1
from ins_premium_det i),'26869','26869','02', '11000003','00','Request by Mr. Saqib Saleem 06-Mar-2024');</v>
      </c>
    </row>
    <row r="8" spans="1:8" ht="89.25" x14ac:dyDescent="0.2">
      <c r="A8" s="2" t="s">
        <v>376</v>
      </c>
      <c r="B8" t="str">
        <f>VLOOKUP(A8,policy!B:C,2,0)</f>
        <v>070000174330</v>
      </c>
      <c r="C8" s="4">
        <v>55313</v>
      </c>
      <c r="D8" s="18">
        <f t="shared" si="1"/>
        <v>55313</v>
      </c>
      <c r="E8" s="22" t="s">
        <v>2340</v>
      </c>
      <c r="F8" s="19" t="str">
        <f t="shared" si="0"/>
        <v>insert into ins_premium_det (premium_rcv_code,assorted_code, rec_amount,premium_rcv_detail_code,remaining_amt, payrec, mode_code,coinsurance_code,class_cd,it_remarks) values</v>
      </c>
      <c r="G8" s="20" t="str">
        <f t="shared" si="2"/>
        <v>('06Mar250008','070000174330','55313',(select max(to_number(i.premium_rcv_detail_code))+1
from ins_premium_det i),'55313','55313','02', '11000003','00','Request by Mr. Saqib Saleem 06-Mar-2024');</v>
      </c>
      <c r="H8" s="21" t="str">
        <f t="shared" si="3"/>
        <v>insert into ins_premium_det (premium_rcv_code,assorted_code, rec_amount,premium_rcv_detail_code,remaining_amt, payrec, mode_code,coinsurance_code,class_cd,it_remarks) values('06Mar250008','070000174330','55313',(select max(to_number(i.premium_rcv_detail_code))+1
from ins_premium_det i),'55313','55313','02', '11000003','00','Request by Mr. Saqib Saleem 06-Mar-2024');</v>
      </c>
    </row>
    <row r="9" spans="1:8" ht="89.25" x14ac:dyDescent="0.2">
      <c r="A9" s="2" t="s">
        <v>393</v>
      </c>
      <c r="B9" t="str">
        <f>VLOOKUP(A9,policy!B:C,2,0)</f>
        <v>070000174333</v>
      </c>
      <c r="C9" s="4">
        <v>17813</v>
      </c>
      <c r="D9" s="18">
        <f t="shared" si="1"/>
        <v>17813</v>
      </c>
      <c r="E9" s="22" t="s">
        <v>2340</v>
      </c>
      <c r="F9" s="19" t="str">
        <f t="shared" si="0"/>
        <v>insert into ins_premium_det (premium_rcv_code,assorted_code, rec_amount,premium_rcv_detail_code,remaining_amt, payrec, mode_code,coinsurance_code,class_cd,it_remarks) values</v>
      </c>
      <c r="G9" s="20" t="str">
        <f t="shared" si="2"/>
        <v>('06Mar250008','070000174333','17813',(select max(to_number(i.premium_rcv_detail_code))+1
from ins_premium_det i),'17813','17813','02', '11000003','00','Request by Mr. Saqib Saleem 06-Mar-2024');</v>
      </c>
      <c r="H9" s="21" t="str">
        <f t="shared" si="3"/>
        <v>insert into ins_premium_det (premium_rcv_code,assorted_code, rec_amount,premium_rcv_detail_code,remaining_amt, payrec, mode_code,coinsurance_code,class_cd,it_remarks) values('06Mar250008','070000174333','17813',(select max(to_number(i.premium_rcv_detail_code))+1
from ins_premium_det i),'17813','17813','02', '11000003','00','Request by Mr. Saqib Saleem 06-Mar-2024');</v>
      </c>
    </row>
    <row r="10" spans="1:8" ht="89.25" x14ac:dyDescent="0.2">
      <c r="A10" s="2" t="s">
        <v>384</v>
      </c>
      <c r="B10" t="str">
        <f>VLOOKUP(A10,policy!B:C,2,0)</f>
        <v>070000174332</v>
      </c>
      <c r="C10" s="4">
        <v>59438</v>
      </c>
      <c r="D10" s="18">
        <f t="shared" si="1"/>
        <v>59438</v>
      </c>
      <c r="E10" s="22" t="s">
        <v>2340</v>
      </c>
      <c r="F10" s="19" t="str">
        <f t="shared" si="0"/>
        <v>insert into ins_premium_det (premium_rcv_code,assorted_code, rec_amount,premium_rcv_detail_code,remaining_amt, payrec, mode_code,coinsurance_code,class_cd,it_remarks) values</v>
      </c>
      <c r="G10" s="20" t="str">
        <f t="shared" si="2"/>
        <v>('06Mar250008','070000174332','59438',(select max(to_number(i.premium_rcv_detail_code))+1
from ins_premium_det i),'59438','59438','02', '11000003','00','Request by Mr. Saqib Saleem 06-Mar-2024');</v>
      </c>
      <c r="H10" s="21" t="str">
        <f t="shared" si="3"/>
        <v>insert into ins_premium_det (premium_rcv_code,assorted_code, rec_amount,premium_rcv_detail_code,remaining_amt, payrec, mode_code,coinsurance_code,class_cd,it_remarks) values('06Mar250008','070000174332','59438',(select max(to_number(i.premium_rcv_detail_code))+1
from ins_premium_det i),'59438','59438','02', '11000003','00','Request by Mr. Saqib Saleem 06-Mar-2024');</v>
      </c>
    </row>
    <row r="11" spans="1:8" ht="89.25" x14ac:dyDescent="0.2">
      <c r="A11" s="2" t="s">
        <v>398</v>
      </c>
      <c r="B11" t="str">
        <f>VLOOKUP(A11,policy!B:C,2,0)</f>
        <v>070000174334</v>
      </c>
      <c r="C11" s="4">
        <v>21263</v>
      </c>
      <c r="D11" s="18">
        <f t="shared" si="1"/>
        <v>21263</v>
      </c>
      <c r="E11" s="22" t="s">
        <v>2340</v>
      </c>
      <c r="F11" s="19" t="str">
        <f t="shared" si="0"/>
        <v>insert into ins_premium_det (premium_rcv_code,assorted_code, rec_amount,premium_rcv_detail_code,remaining_amt, payrec, mode_code,coinsurance_code,class_cd,it_remarks) values</v>
      </c>
      <c r="G11" s="20" t="str">
        <f t="shared" si="2"/>
        <v>('06Mar250008','070000174334','21263',(select max(to_number(i.premium_rcv_detail_code))+1
from ins_premium_det i),'21263','21263','02', '11000003','00','Request by Mr. Saqib Saleem 06-Mar-2024');</v>
      </c>
      <c r="H11" s="21" t="str">
        <f t="shared" si="3"/>
        <v>insert into ins_premium_det (premium_rcv_code,assorted_code, rec_amount,premium_rcv_detail_code,remaining_amt, payrec, mode_code,coinsurance_code,class_cd,it_remarks) values('06Mar250008','070000174334','21263',(select max(to_number(i.premium_rcv_detail_code))+1
from ins_premium_det i),'21263','21263','02', '11000003','00','Request by Mr. Saqib Saleem 06-Mar-2024');</v>
      </c>
    </row>
    <row r="12" spans="1:8" ht="89.25" x14ac:dyDescent="0.2">
      <c r="A12" s="2" t="s">
        <v>1012</v>
      </c>
      <c r="B12" t="str">
        <f>VLOOKUP(A12,policy!B:C,2,0)</f>
        <v>070000174299</v>
      </c>
      <c r="C12" s="4">
        <v>26869</v>
      </c>
      <c r="D12" s="18">
        <f t="shared" si="1"/>
        <v>26869</v>
      </c>
      <c r="E12" s="22" t="s">
        <v>2340</v>
      </c>
      <c r="F12" s="19" t="str">
        <f t="shared" si="0"/>
        <v>insert into ins_premium_det (premium_rcv_code,assorted_code, rec_amount,premium_rcv_detail_code,remaining_amt, payrec, mode_code,coinsurance_code,class_cd,it_remarks) values</v>
      </c>
      <c r="G12" s="20" t="str">
        <f t="shared" si="2"/>
        <v>('06Mar250008','070000174299','26869',(select max(to_number(i.premium_rcv_detail_code))+1
from ins_premium_det i),'26869','26869','02', '11000003','00','Request by Mr. Saqib Saleem 06-Mar-2024');</v>
      </c>
      <c r="H12" s="21" t="str">
        <f t="shared" si="3"/>
        <v>insert into ins_premium_det (premium_rcv_code,assorted_code, rec_amount,premium_rcv_detail_code,remaining_amt, payrec, mode_code,coinsurance_code,class_cd,it_remarks) values('06Mar250008','070000174299','26869',(select max(to_number(i.premium_rcv_detail_code))+1
from ins_premium_det i),'26869','26869','02', '11000003','00','Request by Mr. Saqib Saleem 06-Mar-2024');</v>
      </c>
    </row>
    <row r="13" spans="1:8" ht="89.25" x14ac:dyDescent="0.2">
      <c r="A13" s="2" t="s">
        <v>1024</v>
      </c>
      <c r="B13" t="str">
        <f>VLOOKUP(A13,policy!B:C,2,0)</f>
        <v>070000174302</v>
      </c>
      <c r="C13" s="4">
        <v>34688</v>
      </c>
      <c r="D13" s="18">
        <f t="shared" si="1"/>
        <v>34688</v>
      </c>
      <c r="E13" s="22" t="s">
        <v>2340</v>
      </c>
      <c r="F13" s="19" t="str">
        <f t="shared" si="0"/>
        <v>insert into ins_premium_det (premium_rcv_code,assorted_code, rec_amount,premium_rcv_detail_code,remaining_amt, payrec, mode_code,coinsurance_code,class_cd,it_remarks) values</v>
      </c>
      <c r="G13" s="20" t="str">
        <f t="shared" si="2"/>
        <v>('06Mar250008','070000174302','34688',(select max(to_number(i.premium_rcv_detail_code))+1
from ins_premium_det i),'34688','34688','02', '11000003','00','Request by Mr. Saqib Saleem 06-Mar-2024');</v>
      </c>
      <c r="H13" s="21" t="str">
        <f t="shared" si="3"/>
        <v>insert into ins_premium_det (premium_rcv_code,assorted_code, rec_amount,premium_rcv_detail_code,remaining_amt, payrec, mode_code,coinsurance_code,class_cd,it_remarks) values('06Mar250008','070000174302','34688',(select max(to_number(i.premium_rcv_detail_code))+1
from ins_premium_det i),'34688','34688','02', '11000003','00','Request by Mr. Saqib Saleem 06-Mar-2024');</v>
      </c>
    </row>
    <row r="14" spans="1:8" ht="89.25" x14ac:dyDescent="0.2">
      <c r="A14" s="2" t="s">
        <v>1016</v>
      </c>
      <c r="B14" t="str">
        <f>VLOOKUP(A14,policy!B:C,2,0)</f>
        <v>070000174300</v>
      </c>
      <c r="C14" s="4">
        <v>61088</v>
      </c>
      <c r="D14" s="18">
        <f t="shared" si="1"/>
        <v>61088</v>
      </c>
      <c r="E14" s="22" t="s">
        <v>2340</v>
      </c>
      <c r="F14" s="19" t="str">
        <f t="shared" si="0"/>
        <v>insert into ins_premium_det (premium_rcv_code,assorted_code, rec_amount,premium_rcv_detail_code,remaining_amt, payrec, mode_code,coinsurance_code,class_cd,it_remarks) values</v>
      </c>
      <c r="G14" s="20" t="str">
        <f t="shared" si="2"/>
        <v>('06Mar250008','070000174300','61088',(select max(to_number(i.premium_rcv_detail_code))+1
from ins_premium_det i),'61088','61088','02', '11000003','00','Request by Mr. Saqib Saleem 06-Mar-2024');</v>
      </c>
      <c r="H14" s="21" t="str">
        <f t="shared" si="3"/>
        <v>insert into ins_premium_det (premium_rcv_code,assorted_code, rec_amount,premium_rcv_detail_code,remaining_amt, payrec, mode_code,coinsurance_code,class_cd,it_remarks) values('06Mar250008','070000174300','61088',(select max(to_number(i.premium_rcv_detail_code))+1
from ins_premium_det i),'61088','61088','02', '11000003','00','Request by Mr. Saqib Saleem 06-Mar-2024');</v>
      </c>
    </row>
    <row r="15" spans="1:8" ht="89.25" x14ac:dyDescent="0.2">
      <c r="A15" s="2" t="s">
        <v>259</v>
      </c>
      <c r="B15" t="str">
        <f>VLOOKUP(A15,policy!B:C,2,0)</f>
        <v>070000174305</v>
      </c>
      <c r="C15" s="4">
        <v>25500</v>
      </c>
      <c r="D15" s="18">
        <f t="shared" si="1"/>
        <v>25500</v>
      </c>
      <c r="E15" s="22" t="s">
        <v>2340</v>
      </c>
      <c r="F15" s="19" t="str">
        <f t="shared" si="0"/>
        <v>insert into ins_premium_det (premium_rcv_code,assorted_code, rec_amount,premium_rcv_detail_code,remaining_amt, payrec, mode_code,coinsurance_code,class_cd,it_remarks) values</v>
      </c>
      <c r="G15" s="20" t="str">
        <f t="shared" si="2"/>
        <v>('06Mar250008','070000174305','25500',(select max(to_number(i.premium_rcv_detail_code))+1
from ins_premium_det i),'25500','25500','02', '11000003','00','Request by Mr. Saqib Saleem 06-Mar-2024');</v>
      </c>
      <c r="H15" s="21" t="str">
        <f t="shared" si="3"/>
        <v>insert into ins_premium_det (premium_rcv_code,assorted_code, rec_amount,premium_rcv_detail_code,remaining_amt, payrec, mode_code,coinsurance_code,class_cd,it_remarks) values('06Mar250008','070000174305','25500',(select max(to_number(i.premium_rcv_detail_code))+1
from ins_premium_det i),'25500','25500','02', '11000003','00','Request by Mr. Saqib Saleem 06-Mar-2024');</v>
      </c>
    </row>
    <row r="16" spans="1:8" ht="89.25" x14ac:dyDescent="0.2">
      <c r="A16" s="2" t="s">
        <v>276</v>
      </c>
      <c r="B16" t="str">
        <f>VLOOKUP(A16,policy!B:C,2,0)</f>
        <v>070000174309</v>
      </c>
      <c r="C16" s="4">
        <v>26869</v>
      </c>
      <c r="D16" s="18">
        <f t="shared" si="1"/>
        <v>26869</v>
      </c>
      <c r="E16" s="22" t="s">
        <v>2340</v>
      </c>
      <c r="F16" s="19" t="str">
        <f t="shared" si="0"/>
        <v>insert into ins_premium_det (premium_rcv_code,assorted_code, rec_amount,premium_rcv_detail_code,remaining_amt, payrec, mode_code,coinsurance_code,class_cd,it_remarks) values</v>
      </c>
      <c r="G16" s="20" t="str">
        <f t="shared" si="2"/>
        <v>('06Mar250008','070000174309','26869',(select max(to_number(i.premium_rcv_detail_code))+1
from ins_premium_det i),'26869','26869','02', '11000003','00','Request by Mr. Saqib Saleem 06-Mar-2024');</v>
      </c>
      <c r="H16" s="21" t="str">
        <f t="shared" si="3"/>
        <v>insert into ins_premium_det (premium_rcv_code,assorted_code, rec_amount,premium_rcv_detail_code,remaining_amt, payrec, mode_code,coinsurance_code,class_cd,it_remarks) values('06Mar250008','070000174309','26869',(select max(to_number(i.premium_rcv_detail_code))+1
from ins_premium_det i),'26869','26869','02', '11000003','00','Request by Mr. Saqib Saleem 06-Mar-2024');</v>
      </c>
    </row>
    <row r="17" spans="1:8" ht="89.25" x14ac:dyDescent="0.2">
      <c r="A17" s="2" t="s">
        <v>1020</v>
      </c>
      <c r="B17" t="str">
        <f>VLOOKUP(A17,policy!B:C,2,0)</f>
        <v>070000174301</v>
      </c>
      <c r="C17" s="4">
        <v>24375</v>
      </c>
      <c r="D17" s="18">
        <f t="shared" si="1"/>
        <v>24375</v>
      </c>
      <c r="E17" s="22" t="s">
        <v>2340</v>
      </c>
      <c r="F17" s="19" t="str">
        <f t="shared" si="0"/>
        <v>insert into ins_premium_det (premium_rcv_code,assorted_code, rec_amount,premium_rcv_detail_code,remaining_amt, payrec, mode_code,coinsurance_code,class_cd,it_remarks) values</v>
      </c>
      <c r="G17" s="20" t="str">
        <f t="shared" si="2"/>
        <v>('06Mar250008','070000174301','24375',(select max(to_number(i.premium_rcv_detail_code))+1
from ins_premium_det i),'24375','24375','02', '11000003','00','Request by Mr. Saqib Saleem 06-Mar-2024');</v>
      </c>
      <c r="H17" s="21" t="str">
        <f t="shared" si="3"/>
        <v>insert into ins_premium_det (premium_rcv_code,assorted_code, rec_amount,premium_rcv_detail_code,remaining_amt, payrec, mode_code,coinsurance_code,class_cd,it_remarks) values('06Mar250008','070000174301','24375',(select max(to_number(i.premium_rcv_detail_code))+1
from ins_premium_det i),'24375','24375','02', '11000003','00','Request by Mr. Saqib Saleem 06-Mar-2024');</v>
      </c>
    </row>
    <row r="18" spans="1:8" ht="89.25" x14ac:dyDescent="0.2">
      <c r="A18" s="2" t="s">
        <v>272</v>
      </c>
      <c r="B18" t="str">
        <f>VLOOKUP(A18,policy!B:C,2,0)</f>
        <v>070000174308</v>
      </c>
      <c r="C18" s="4">
        <v>30619</v>
      </c>
      <c r="D18" s="18">
        <f t="shared" si="1"/>
        <v>30619</v>
      </c>
      <c r="E18" s="22" t="s">
        <v>2340</v>
      </c>
      <c r="F18" s="19" t="str">
        <f t="shared" si="0"/>
        <v>insert into ins_premium_det (premium_rcv_code,assorted_code, rec_amount,premium_rcv_detail_code,remaining_amt, payrec, mode_code,coinsurance_code,class_cd,it_remarks) values</v>
      </c>
      <c r="G18" s="20" t="str">
        <f t="shared" si="2"/>
        <v>('06Mar250008','070000174308','30619',(select max(to_number(i.premium_rcv_detail_code))+1
from ins_premium_det i),'30619','30619','02', '11000003','00','Request by Mr. Saqib Saleem 06-Mar-2024');</v>
      </c>
      <c r="H18" s="21" t="str">
        <f t="shared" si="3"/>
        <v>insert into ins_premium_det (premium_rcv_code,assorted_code, rec_amount,premium_rcv_detail_code,remaining_amt, payrec, mode_code,coinsurance_code,class_cd,it_remarks) values('06Mar250008','070000174308','30619',(select max(to_number(i.premium_rcv_detail_code))+1
from ins_premium_det i),'30619','30619','02', '11000003','00','Request by Mr. Saqib Saleem 06-Mar-2024');</v>
      </c>
    </row>
    <row r="19" spans="1:8" ht="89.25" x14ac:dyDescent="0.2">
      <c r="A19" s="2" t="s">
        <v>280</v>
      </c>
      <c r="B19" t="str">
        <f>VLOOKUP(A19,policy!B:C,2,0)</f>
        <v>070000174310</v>
      </c>
      <c r="C19" s="4">
        <v>61088</v>
      </c>
      <c r="D19" s="18">
        <f t="shared" si="1"/>
        <v>61088</v>
      </c>
      <c r="E19" s="22" t="s">
        <v>2340</v>
      </c>
      <c r="F19" s="19" t="str">
        <f t="shared" si="0"/>
        <v>insert into ins_premium_det (premium_rcv_code,assorted_code, rec_amount,premium_rcv_detail_code,remaining_amt, payrec, mode_code,coinsurance_code,class_cd,it_remarks) values</v>
      </c>
      <c r="G19" s="20" t="str">
        <f t="shared" si="2"/>
        <v>('06Mar250008','070000174310','61088',(select max(to_number(i.premium_rcv_detail_code))+1
from ins_premium_det i),'61088','61088','02', '11000003','00','Request by Mr. Saqib Saleem 06-Mar-2024');</v>
      </c>
      <c r="H19" s="21" t="str">
        <f t="shared" si="3"/>
        <v>insert into ins_premium_det (premium_rcv_code,assorted_code, rec_amount,premium_rcv_detail_code,remaining_amt, payrec, mode_code,coinsurance_code,class_cd,it_remarks) values('06Mar250008','070000174310','61088',(select max(to_number(i.premium_rcv_detail_code))+1
from ins_premium_det i),'61088','61088','02', '11000003','00','Request by Mr. Saqib Saleem 06-Mar-2024');</v>
      </c>
    </row>
    <row r="20" spans="1:8" ht="89.25" x14ac:dyDescent="0.2">
      <c r="A20" s="2" t="s">
        <v>284</v>
      </c>
      <c r="B20" t="str">
        <f>VLOOKUP(A20,policy!B:C,2,0)</f>
        <v>070000174311</v>
      </c>
      <c r="C20" s="4">
        <v>30619</v>
      </c>
      <c r="D20" s="18">
        <f t="shared" si="1"/>
        <v>30619</v>
      </c>
      <c r="E20" s="22" t="s">
        <v>2340</v>
      </c>
      <c r="F20" s="19" t="str">
        <f t="shared" si="0"/>
        <v>insert into ins_premium_det (premium_rcv_code,assorted_code, rec_amount,premium_rcv_detail_code,remaining_amt, payrec, mode_code,coinsurance_code,class_cd,it_remarks) values</v>
      </c>
      <c r="G20" s="20" t="str">
        <f t="shared" si="2"/>
        <v>('06Mar250008','070000174311','30619',(select max(to_number(i.premium_rcv_detail_code))+1
from ins_premium_det i),'30619','30619','02', '11000003','00','Request by Mr. Saqib Saleem 06-Mar-2024');</v>
      </c>
      <c r="H20" s="21" t="str">
        <f t="shared" si="3"/>
        <v>insert into ins_premium_det (premium_rcv_code,assorted_code, rec_amount,premium_rcv_detail_code,remaining_amt, payrec, mode_code,coinsurance_code,class_cd,it_remarks) values('06Mar250008','070000174311','30619',(select max(to_number(i.premium_rcv_detail_code))+1
from ins_premium_det i),'30619','30619','02', '11000003','00','Request by Mr. Saqib Saleem 06-Mar-2024');</v>
      </c>
    </row>
    <row r="21" spans="1:8" ht="89.25" x14ac:dyDescent="0.2">
      <c r="A21" s="2" t="s">
        <v>268</v>
      </c>
      <c r="B21" t="str">
        <f>VLOOKUP(A21,policy!B:C,2,0)</f>
        <v>070000174307</v>
      </c>
      <c r="C21" s="4">
        <v>49594</v>
      </c>
      <c r="D21" s="18">
        <f t="shared" si="1"/>
        <v>49594</v>
      </c>
      <c r="E21" s="22" t="s">
        <v>2340</v>
      </c>
      <c r="F21" s="19" t="str">
        <f t="shared" si="0"/>
        <v>insert into ins_premium_det (premium_rcv_code,assorted_code, rec_amount,premium_rcv_detail_code,remaining_amt, payrec, mode_code,coinsurance_code,class_cd,it_remarks) values</v>
      </c>
      <c r="G21" s="20" t="str">
        <f t="shared" si="2"/>
        <v>('06Mar250008','070000174307','49594',(select max(to_number(i.premium_rcv_detail_code))+1
from ins_premium_det i),'49594','49594','02', '11000003','00','Request by Mr. Saqib Saleem 06-Mar-2024');</v>
      </c>
      <c r="H21" s="21" t="str">
        <f t="shared" si="3"/>
        <v>insert into ins_premium_det (premium_rcv_code,assorted_code, rec_amount,premium_rcv_detail_code,remaining_amt, payrec, mode_code,coinsurance_code,class_cd,it_remarks) values('06Mar250008','070000174307','49594',(select max(to_number(i.premium_rcv_detail_code))+1
from ins_premium_det i),'49594','49594','02', '11000003','00','Request by Mr. Saqib Saleem 06-Mar-2024');</v>
      </c>
    </row>
    <row r="22" spans="1:8" ht="89.25" x14ac:dyDescent="0.2">
      <c r="A22" s="2" t="s">
        <v>264</v>
      </c>
      <c r="B22" t="str">
        <f>VLOOKUP(A22,policy!B:C,2,0)</f>
        <v>070000174306</v>
      </c>
      <c r="C22" s="4">
        <v>32438</v>
      </c>
      <c r="D22" s="18">
        <f t="shared" si="1"/>
        <v>32438</v>
      </c>
      <c r="E22" s="22" t="s">
        <v>2340</v>
      </c>
      <c r="F22" s="19" t="str">
        <f t="shared" si="0"/>
        <v>insert into ins_premium_det (premium_rcv_code,assorted_code, rec_amount,premium_rcv_detail_code,remaining_amt, payrec, mode_code,coinsurance_code,class_cd,it_remarks) values</v>
      </c>
      <c r="G22" s="20" t="str">
        <f t="shared" si="2"/>
        <v>('06Mar250008','070000174306','32438',(select max(to_number(i.premium_rcv_detail_code))+1
from ins_premium_det i),'32438','32438','02', '11000003','00','Request by Mr. Saqib Saleem 06-Mar-2024');</v>
      </c>
      <c r="H22" s="21" t="str">
        <f t="shared" si="3"/>
        <v>insert into ins_premium_det (premium_rcv_code,assorted_code, rec_amount,premium_rcv_detail_code,remaining_amt, payrec, mode_code,coinsurance_code,class_cd,it_remarks) values('06Mar250008','070000174306','32438',(select max(to_number(i.premium_rcv_detail_code))+1
from ins_premium_det i),'32438','32438','02', '11000003','00','Request by Mr. Saqib Saleem 06-Mar-2024');</v>
      </c>
    </row>
    <row r="23" spans="1:8" ht="89.25" x14ac:dyDescent="0.2">
      <c r="A23" s="2" t="s">
        <v>301</v>
      </c>
      <c r="B23" t="str">
        <f>VLOOKUP(A23,policy!B:C,2,0)</f>
        <v>070000174314</v>
      </c>
      <c r="C23" s="4">
        <v>26869</v>
      </c>
      <c r="D23" s="18">
        <f t="shared" si="1"/>
        <v>26869</v>
      </c>
      <c r="E23" s="22" t="s">
        <v>2340</v>
      </c>
      <c r="F23" s="19" t="str">
        <f t="shared" si="0"/>
        <v>insert into ins_premium_det (premium_rcv_code,assorted_code, rec_amount,premium_rcv_detail_code,remaining_amt, payrec, mode_code,coinsurance_code,class_cd,it_remarks) values</v>
      </c>
      <c r="G23" s="20" t="str">
        <f t="shared" si="2"/>
        <v>('06Mar250008','070000174314','26869',(select max(to_number(i.premium_rcv_detail_code))+1
from ins_premium_det i),'26869','26869','02', '11000003','00','Request by Mr. Saqib Saleem 06-Mar-2024');</v>
      </c>
      <c r="H23" s="21" t="str">
        <f t="shared" si="3"/>
        <v>insert into ins_premium_det (premium_rcv_code,assorted_code, rec_amount,premium_rcv_detail_code,remaining_amt, payrec, mode_code,coinsurance_code,class_cd,it_remarks) values('06Mar250008','070000174314','26869',(select max(to_number(i.premium_rcv_detail_code))+1
from ins_premium_det i),'26869','26869','02', '11000003','00','Request by Mr. Saqib Saleem 06-Mar-2024');</v>
      </c>
    </row>
    <row r="24" spans="1:8" ht="89.25" x14ac:dyDescent="0.2">
      <c r="A24" s="2" t="s">
        <v>360</v>
      </c>
      <c r="B24" t="str">
        <f>VLOOKUP(A24,policy!B:C,2,0)</f>
        <v>070000174326</v>
      </c>
      <c r="C24" s="4">
        <v>24844</v>
      </c>
      <c r="D24" s="18">
        <f t="shared" si="1"/>
        <v>24844</v>
      </c>
      <c r="E24" s="22" t="s">
        <v>2340</v>
      </c>
      <c r="F24" s="19" t="str">
        <f t="shared" si="0"/>
        <v>insert into ins_premium_det (premium_rcv_code,assorted_code, rec_amount,premium_rcv_detail_code,remaining_amt, payrec, mode_code,coinsurance_code,class_cd,it_remarks) values</v>
      </c>
      <c r="G24" s="20" t="str">
        <f t="shared" si="2"/>
        <v>('06Mar250008','070000174326','24844',(select max(to_number(i.premium_rcv_detail_code))+1
from ins_premium_det i),'24844','24844','02', '11000003','00','Request by Mr. Saqib Saleem 06-Mar-2024');</v>
      </c>
      <c r="H24" s="21" t="str">
        <f t="shared" si="3"/>
        <v>insert into ins_premium_det (premium_rcv_code,assorted_code, rec_amount,premium_rcv_detail_code,remaining_amt, payrec, mode_code,coinsurance_code,class_cd,it_remarks) values('06Mar250008','070000174326','24844',(select max(to_number(i.premium_rcv_detail_code))+1
from ins_premium_det i),'24844','24844','02', '11000003','00','Request by Mr. Saqib Saleem 06-Mar-2024');</v>
      </c>
    </row>
    <row r="25" spans="1:8" ht="89.25" x14ac:dyDescent="0.2">
      <c r="A25" s="2" t="s">
        <v>368</v>
      </c>
      <c r="B25" t="str">
        <f>VLOOKUP(A25,policy!B:C,2,0)</f>
        <v>070000174328</v>
      </c>
      <c r="C25" s="4">
        <v>48750</v>
      </c>
      <c r="D25" s="18">
        <f t="shared" si="1"/>
        <v>48750</v>
      </c>
      <c r="E25" s="22" t="s">
        <v>2340</v>
      </c>
      <c r="F25" s="19" t="str">
        <f t="shared" si="0"/>
        <v>insert into ins_premium_det (premium_rcv_code,assorted_code, rec_amount,premium_rcv_detail_code,remaining_amt, payrec, mode_code,coinsurance_code,class_cd,it_remarks) values</v>
      </c>
      <c r="G25" s="20" t="str">
        <f t="shared" si="2"/>
        <v>('06Mar250008','070000174328','48750',(select max(to_number(i.premium_rcv_detail_code))+1
from ins_premium_det i),'48750','48750','02', '11000003','00','Request by Mr. Saqib Saleem 06-Mar-2024');</v>
      </c>
      <c r="H25" s="21" t="str">
        <f t="shared" si="3"/>
        <v>insert into ins_premium_det (premium_rcv_code,assorted_code, rec_amount,premium_rcv_detail_code,remaining_amt, payrec, mode_code,coinsurance_code,class_cd,it_remarks) values('06Mar250008','070000174328','48750',(select max(to_number(i.premium_rcv_detail_code))+1
from ins_premium_det i),'48750','48750','02', '11000003','00','Request by Mr. Saqib Saleem 06-Mar-2024');</v>
      </c>
    </row>
    <row r="26" spans="1:8" ht="89.25" x14ac:dyDescent="0.2">
      <c r="A26" s="2" t="s">
        <v>337</v>
      </c>
      <c r="B26" t="str">
        <f>VLOOKUP(A26,policy!B:C,2,0)</f>
        <v>070000174322</v>
      </c>
      <c r="C26" s="4">
        <v>21263</v>
      </c>
      <c r="D26" s="18">
        <f t="shared" si="1"/>
        <v>21263</v>
      </c>
      <c r="E26" s="22" t="s">
        <v>2340</v>
      </c>
      <c r="F26" s="19" t="str">
        <f t="shared" si="0"/>
        <v>insert into ins_premium_det (premium_rcv_code,assorted_code, rec_amount,premium_rcv_detail_code,remaining_amt, payrec, mode_code,coinsurance_code,class_cd,it_remarks) values</v>
      </c>
      <c r="G26" s="20" t="str">
        <f t="shared" si="2"/>
        <v>('06Mar250008','070000174322','21263',(select max(to_number(i.premium_rcv_detail_code))+1
from ins_premium_det i),'21263','21263','02', '11000003','00','Request by Mr. Saqib Saleem 06-Mar-2024');</v>
      </c>
      <c r="H26" s="21" t="str">
        <f t="shared" si="3"/>
        <v>insert into ins_premium_det (premium_rcv_code,assorted_code, rec_amount,premium_rcv_detail_code,remaining_amt, payrec, mode_code,coinsurance_code,class_cd,it_remarks) values('06Mar250008','070000174322','21263',(select max(to_number(i.premium_rcv_detail_code))+1
from ins_premium_det i),'21263','21263','02', '11000003','00','Request by Mr. Saqib Saleem 06-Mar-2024');</v>
      </c>
    </row>
    <row r="27" spans="1:8" ht="89.25" x14ac:dyDescent="0.2">
      <c r="A27" s="2" t="s">
        <v>310</v>
      </c>
      <c r="B27" t="str">
        <f>VLOOKUP(A27,policy!B:C,2,0)</f>
        <v>070000174316</v>
      </c>
      <c r="C27" s="4">
        <v>46513</v>
      </c>
      <c r="D27" s="18">
        <f t="shared" si="1"/>
        <v>46513</v>
      </c>
      <c r="E27" s="22" t="s">
        <v>2340</v>
      </c>
      <c r="F27" s="19" t="str">
        <f t="shared" si="0"/>
        <v>insert into ins_premium_det (premium_rcv_code,assorted_code, rec_amount,premium_rcv_detail_code,remaining_amt, payrec, mode_code,coinsurance_code,class_cd,it_remarks) values</v>
      </c>
      <c r="G27" s="20" t="str">
        <f t="shared" si="2"/>
        <v>('06Mar250008','070000174316','46513',(select max(to_number(i.premium_rcv_detail_code))+1
from ins_premium_det i),'46513','46513','02', '11000003','00','Request by Mr. Saqib Saleem 06-Mar-2024');</v>
      </c>
      <c r="H27" s="21" t="str">
        <f t="shared" si="3"/>
        <v>insert into ins_premium_det (premium_rcv_code,assorted_code, rec_amount,premium_rcv_detail_code,remaining_amt, payrec, mode_code,coinsurance_code,class_cd,it_remarks) values('06Mar250008','070000174316','46513',(select max(to_number(i.premium_rcv_detail_code))+1
from ins_premium_det i),'46513','46513','02', '11000003','00','Request by Mr. Saqib Saleem 06-Mar-2024');</v>
      </c>
    </row>
    <row r="28" spans="1:8" ht="89.25" x14ac:dyDescent="0.2">
      <c r="A28" s="2" t="s">
        <v>650</v>
      </c>
      <c r="B28" t="str">
        <f>VLOOKUP(A28,policy!B:C,2,0)</f>
        <v>070000174392</v>
      </c>
      <c r="C28" s="4">
        <v>56119</v>
      </c>
      <c r="D28" s="18">
        <f t="shared" si="1"/>
        <v>56119</v>
      </c>
      <c r="E28" s="22" t="s">
        <v>2340</v>
      </c>
      <c r="F28" s="19" t="str">
        <f t="shared" si="0"/>
        <v>insert into ins_premium_det (premium_rcv_code,assorted_code, rec_amount,premium_rcv_detail_code,remaining_amt, payrec, mode_code,coinsurance_code,class_cd,it_remarks) values</v>
      </c>
      <c r="G28" s="20" t="str">
        <f t="shared" si="2"/>
        <v>('06Mar250008','070000174392','56119',(select max(to_number(i.premium_rcv_detail_code))+1
from ins_premium_det i),'56119','56119','02', '11000003','00','Request by Mr. Saqib Saleem 06-Mar-2024');</v>
      </c>
      <c r="H28" s="21" t="str">
        <f t="shared" si="3"/>
        <v>insert into ins_premium_det (premium_rcv_code,assorted_code, rec_amount,premium_rcv_detail_code,remaining_amt, payrec, mode_code,coinsurance_code,class_cd,it_remarks) values('06Mar250008','070000174392','56119',(select max(to_number(i.premium_rcv_detail_code))+1
from ins_premium_det i),'56119','56119','02', '11000003','00','Request by Mr. Saqib Saleem 06-Mar-2024');</v>
      </c>
    </row>
    <row r="29" spans="1:8" ht="89.25" x14ac:dyDescent="0.2">
      <c r="A29" s="2" t="s">
        <v>288</v>
      </c>
      <c r="B29" t="str">
        <f>VLOOKUP(A29,policy!B:C,2,0)</f>
        <v>070000174312</v>
      </c>
      <c r="C29" s="4">
        <v>27938</v>
      </c>
      <c r="D29" s="18">
        <f t="shared" si="1"/>
        <v>27938</v>
      </c>
      <c r="E29" s="22" t="s">
        <v>2340</v>
      </c>
      <c r="F29" s="19" t="str">
        <f t="shared" si="0"/>
        <v>insert into ins_premium_det (premium_rcv_code,assorted_code, rec_amount,premium_rcv_detail_code,remaining_amt, payrec, mode_code,coinsurance_code,class_cd,it_remarks) values</v>
      </c>
      <c r="G29" s="20" t="str">
        <f t="shared" si="2"/>
        <v>('06Mar250008','070000174312','27938',(select max(to_number(i.premium_rcv_detail_code))+1
from ins_premium_det i),'27938','27938','02', '11000003','00','Request by Mr. Saqib Saleem 06-Mar-2024');</v>
      </c>
      <c r="H29" s="21" t="str">
        <f t="shared" si="3"/>
        <v>insert into ins_premium_det (premium_rcv_code,assorted_code, rec_amount,premium_rcv_detail_code,remaining_amt, payrec, mode_code,coinsurance_code,class_cd,it_remarks) values('06Mar250008','070000174312','27938',(select max(to_number(i.premium_rcv_detail_code))+1
from ins_premium_det i),'27938','27938','02', '11000003','00','Request by Mr. Saqib Saleem 06-Mar-2024');</v>
      </c>
    </row>
    <row r="30" spans="1:8" ht="89.25" x14ac:dyDescent="0.2">
      <c r="A30" s="2" t="s">
        <v>296</v>
      </c>
      <c r="B30" t="str">
        <f>VLOOKUP(A30,policy!B:C,2,0)</f>
        <v>070000174313</v>
      </c>
      <c r="C30" s="4">
        <v>49594</v>
      </c>
      <c r="D30" s="18">
        <f t="shared" si="1"/>
        <v>49594</v>
      </c>
      <c r="E30" s="22" t="s">
        <v>2340</v>
      </c>
      <c r="F30" s="19" t="str">
        <f t="shared" si="0"/>
        <v>insert into ins_premium_det (premium_rcv_code,assorted_code, rec_amount,premium_rcv_detail_code,remaining_amt, payrec, mode_code,coinsurance_code,class_cd,it_remarks) values</v>
      </c>
      <c r="G30" s="20" t="str">
        <f t="shared" si="2"/>
        <v>('06Mar250008','070000174313','49594',(select max(to_number(i.premium_rcv_detail_code))+1
from ins_premium_det i),'49594','49594','02', '11000003','00','Request by Mr. Saqib Saleem 06-Mar-2024');</v>
      </c>
      <c r="H30" s="21" t="str">
        <f t="shared" si="3"/>
        <v>insert into ins_premium_det (premium_rcv_code,assorted_code, rec_amount,premium_rcv_detail_code,remaining_amt, payrec, mode_code,coinsurance_code,class_cd,it_remarks) values('06Mar250008','070000174313','49594',(select max(to_number(i.premium_rcv_detail_code))+1
from ins_premium_det i),'49594','49594','02', '11000003','00','Request by Mr. Saqib Saleem 06-Mar-2024');</v>
      </c>
    </row>
    <row r="31" spans="1:8" ht="89.25" x14ac:dyDescent="0.2">
      <c r="A31" s="2" t="s">
        <v>314</v>
      </c>
      <c r="B31" t="str">
        <f>VLOOKUP(A31,policy!B:C,2,0)</f>
        <v>070000174317</v>
      </c>
      <c r="C31" s="4">
        <v>46429</v>
      </c>
      <c r="D31" s="18">
        <f t="shared" si="1"/>
        <v>46429</v>
      </c>
      <c r="E31" s="22" t="s">
        <v>2340</v>
      </c>
      <c r="F31" s="19" t="str">
        <f t="shared" si="0"/>
        <v>insert into ins_premium_det (premium_rcv_code,assorted_code, rec_amount,premium_rcv_detail_code,remaining_amt, payrec, mode_code,coinsurance_code,class_cd,it_remarks) values</v>
      </c>
      <c r="G31" s="20" t="str">
        <f t="shared" si="2"/>
        <v>('06Mar250008','070000174317','46429',(select max(to_number(i.premium_rcv_detail_code))+1
from ins_premium_det i),'46429','46429','02', '11000003','00','Request by Mr. Saqib Saleem 06-Mar-2024');</v>
      </c>
      <c r="H31" s="21" t="str">
        <f t="shared" si="3"/>
        <v>insert into ins_premium_det (premium_rcv_code,assorted_code, rec_amount,premium_rcv_detail_code,remaining_amt, payrec, mode_code,coinsurance_code,class_cd,it_remarks) values('06Mar250008','070000174317','46429',(select max(to_number(i.premium_rcv_detail_code))+1
from ins_premium_det i),'46429','46429','02', '11000003','00','Request by Mr. Saqib Saleem 06-Mar-2024');</v>
      </c>
    </row>
    <row r="32" spans="1:8" ht="89.25" x14ac:dyDescent="0.2">
      <c r="A32" s="2" t="s">
        <v>249</v>
      </c>
      <c r="B32" t="str">
        <f>VLOOKUP(A32,policy!B:C,2,0)</f>
        <v>070000174303</v>
      </c>
      <c r="C32" s="4">
        <v>21263</v>
      </c>
      <c r="D32" s="18">
        <f t="shared" si="1"/>
        <v>21263</v>
      </c>
      <c r="E32" s="22" t="s">
        <v>2340</v>
      </c>
      <c r="F32" s="19" t="str">
        <f t="shared" si="0"/>
        <v>insert into ins_premium_det (premium_rcv_code,assorted_code, rec_amount,premium_rcv_detail_code,remaining_amt, payrec, mode_code,coinsurance_code,class_cd,it_remarks) values</v>
      </c>
      <c r="G32" s="20" t="str">
        <f t="shared" si="2"/>
        <v>('06Mar250008','070000174303','21263',(select max(to_number(i.premium_rcv_detail_code))+1
from ins_premium_det i),'21263','21263','02', '11000003','00','Request by Mr. Saqib Saleem 06-Mar-2024');</v>
      </c>
      <c r="H32" s="21" t="str">
        <f t="shared" si="3"/>
        <v>insert into ins_premium_det (premium_rcv_code,assorted_code, rec_amount,premium_rcv_detail_code,remaining_amt, payrec, mode_code,coinsurance_code,class_cd,it_remarks) values('06Mar250008','070000174303','21263',(select max(to_number(i.premium_rcv_detail_code))+1
from ins_premium_det i),'21263','21263','02', '11000003','00','Request by Mr. Saqib Saleem 06-Mar-2024');</v>
      </c>
    </row>
    <row r="33" spans="1:8" ht="89.25" x14ac:dyDescent="0.2">
      <c r="A33" s="2" t="s">
        <v>318</v>
      </c>
      <c r="B33" t="str">
        <f>VLOOKUP(A33,policy!B:C,2,0)</f>
        <v>070000174318</v>
      </c>
      <c r="C33" s="4">
        <v>16875</v>
      </c>
      <c r="D33" s="18">
        <f t="shared" si="1"/>
        <v>16875</v>
      </c>
      <c r="E33" s="22" t="s">
        <v>2340</v>
      </c>
      <c r="F33" s="19" t="str">
        <f t="shared" si="0"/>
        <v>insert into ins_premium_det (premium_rcv_code,assorted_code, rec_amount,premium_rcv_detail_code,remaining_amt, payrec, mode_code,coinsurance_code,class_cd,it_remarks) values</v>
      </c>
      <c r="G33" s="20" t="str">
        <f t="shared" si="2"/>
        <v>('06Mar250008','070000174318','16875',(select max(to_number(i.premium_rcv_detail_code))+1
from ins_premium_det i),'16875','16875','02', '11000003','00','Request by Mr. Saqib Saleem 06-Mar-2024');</v>
      </c>
      <c r="H33" s="21" t="str">
        <f t="shared" si="3"/>
        <v>insert into ins_premium_det (premium_rcv_code,assorted_code, rec_amount,premium_rcv_detail_code,remaining_amt, payrec, mode_code,coinsurance_code,class_cd,it_remarks) values('06Mar250008','070000174318','16875',(select max(to_number(i.premium_rcv_detail_code))+1
from ins_premium_det i),'16875','16875','02', '11000003','00','Request by Mr. Saqib Saleem 06-Mar-2024');</v>
      </c>
    </row>
    <row r="34" spans="1:8" ht="89.25" x14ac:dyDescent="0.2">
      <c r="A34" s="2" t="s">
        <v>351</v>
      </c>
      <c r="B34" t="str">
        <f>VLOOKUP(A34,policy!B:C,2,0)</f>
        <v>070000174324</v>
      </c>
      <c r="C34" s="4">
        <v>56119</v>
      </c>
      <c r="D34" s="18">
        <f t="shared" si="1"/>
        <v>56119</v>
      </c>
      <c r="E34" s="22" t="s">
        <v>2340</v>
      </c>
      <c r="F34" s="19" t="str">
        <f t="shared" si="0"/>
        <v>insert into ins_premium_det (premium_rcv_code,assorted_code, rec_amount,premium_rcv_detail_code,remaining_amt, payrec, mode_code,coinsurance_code,class_cd,it_remarks) values</v>
      </c>
      <c r="G34" s="20" t="str">
        <f t="shared" si="2"/>
        <v>('06Mar250008','070000174324','56119',(select max(to_number(i.premium_rcv_detail_code))+1
from ins_premium_det i),'56119','56119','02', '11000003','00','Request by Mr. Saqib Saleem 06-Mar-2024');</v>
      </c>
      <c r="H34" s="21" t="str">
        <f t="shared" si="3"/>
        <v>insert into ins_premium_det (premium_rcv_code,assorted_code, rec_amount,premium_rcv_detail_code,remaining_amt, payrec, mode_code,coinsurance_code,class_cd,it_remarks) values('06Mar250008','070000174324','56119',(select max(to_number(i.premium_rcv_detail_code))+1
from ins_premium_det i),'56119','56119','02', '11000003','00','Request by Mr. Saqib Saleem 06-Mar-2024');</v>
      </c>
    </row>
    <row r="35" spans="1:8" ht="89.25" x14ac:dyDescent="0.2">
      <c r="A35" s="2" t="s">
        <v>322</v>
      </c>
      <c r="B35" t="str">
        <f>VLOOKUP(A35,policy!B:C,2,0)</f>
        <v>070000174319</v>
      </c>
      <c r="C35" s="4">
        <v>30750</v>
      </c>
      <c r="D35" s="18">
        <f t="shared" si="1"/>
        <v>30750</v>
      </c>
      <c r="E35" s="22" t="s">
        <v>2340</v>
      </c>
      <c r="F35" s="19" t="str">
        <f t="shared" si="0"/>
        <v>insert into ins_premium_det (premium_rcv_code,assorted_code, rec_amount,premium_rcv_detail_code,remaining_amt, payrec, mode_code,coinsurance_code,class_cd,it_remarks) values</v>
      </c>
      <c r="G35" s="20" t="str">
        <f t="shared" si="2"/>
        <v>('06Mar250008','070000174319','30750',(select max(to_number(i.premium_rcv_detail_code))+1
from ins_premium_det i),'30750','30750','02', '11000003','00','Request by Mr. Saqib Saleem 06-Mar-2024');</v>
      </c>
      <c r="H35" s="21" t="str">
        <f t="shared" si="3"/>
        <v>insert into ins_premium_det (premium_rcv_code,assorted_code, rec_amount,premium_rcv_detail_code,remaining_amt, payrec, mode_code,coinsurance_code,class_cd,it_remarks) values('06Mar250008','070000174319','30750',(select max(to_number(i.premium_rcv_detail_code))+1
from ins_premium_det i),'30750','30750','02', '11000003','00','Request by Mr. Saqib Saleem 06-Mar-2024');</v>
      </c>
    </row>
    <row r="36" spans="1:8" ht="89.25" x14ac:dyDescent="0.2">
      <c r="A36" s="2" t="s">
        <v>1067</v>
      </c>
      <c r="B36" t="str">
        <f>VLOOKUP(A36,policy!B:C,2,0)</f>
        <v>070000174175</v>
      </c>
      <c r="C36" s="4">
        <v>19388</v>
      </c>
      <c r="D36" s="18">
        <f t="shared" si="1"/>
        <v>19388</v>
      </c>
      <c r="E36" s="22" t="s">
        <v>2340</v>
      </c>
      <c r="F36" s="19" t="str">
        <f t="shared" si="0"/>
        <v>insert into ins_premium_det (premium_rcv_code,assorted_code, rec_amount,premium_rcv_detail_code,remaining_amt, payrec, mode_code,coinsurance_code,class_cd,it_remarks) values</v>
      </c>
      <c r="G36" s="20" t="str">
        <f t="shared" si="2"/>
        <v>('06Mar250008','070000174175','19388',(select max(to_number(i.premium_rcv_detail_code))+1
from ins_premium_det i),'19388','19388','02', '11000003','00','Request by Mr. Saqib Saleem 06-Mar-2024');</v>
      </c>
      <c r="H36" s="21" t="str">
        <f t="shared" si="3"/>
        <v>insert into ins_premium_det (premium_rcv_code,assorted_code, rec_amount,premium_rcv_detail_code,remaining_amt, payrec, mode_code,coinsurance_code,class_cd,it_remarks) values('06Mar250008','070000174175','19388',(select max(to_number(i.premium_rcv_detail_code))+1
from ins_premium_det i),'19388','19388','02', '11000003','00','Request by Mr. Saqib Saleem 06-Mar-2024');</v>
      </c>
    </row>
    <row r="37" spans="1:8" ht="89.25" x14ac:dyDescent="0.2">
      <c r="A37" s="2" t="s">
        <v>332</v>
      </c>
      <c r="B37" t="str">
        <f>VLOOKUP(A37,policy!B:C,2,0)</f>
        <v>070000174321</v>
      </c>
      <c r="C37" s="4">
        <v>27169</v>
      </c>
      <c r="D37" s="18">
        <f t="shared" si="1"/>
        <v>27169</v>
      </c>
      <c r="E37" s="22" t="s">
        <v>2340</v>
      </c>
      <c r="F37" s="19" t="str">
        <f t="shared" si="0"/>
        <v>insert into ins_premium_det (premium_rcv_code,assorted_code, rec_amount,premium_rcv_detail_code,remaining_amt, payrec, mode_code,coinsurance_code,class_cd,it_remarks) values</v>
      </c>
      <c r="G37" s="20" t="str">
        <f t="shared" si="2"/>
        <v>('06Mar250008','070000174321','27169',(select max(to_number(i.premium_rcv_detail_code))+1
from ins_premium_det i),'27169','27169','02', '11000003','00','Request by Mr. Saqib Saleem 06-Mar-2024');</v>
      </c>
      <c r="H37" s="21" t="str">
        <f t="shared" si="3"/>
        <v>insert into ins_premium_det (premium_rcv_code,assorted_code, rec_amount,premium_rcv_detail_code,remaining_amt, payrec, mode_code,coinsurance_code,class_cd,it_remarks) values('06Mar250008','070000174321','27169',(select max(to_number(i.premium_rcv_detail_code))+1
from ins_premium_det i),'27169','27169','02', '11000003','00','Request by Mr. Saqib Saleem 06-Mar-2024');</v>
      </c>
    </row>
    <row r="38" spans="1:8" ht="89.25" x14ac:dyDescent="0.2">
      <c r="A38" s="2" t="s">
        <v>346</v>
      </c>
      <c r="B38" t="str">
        <f>VLOOKUP(A38,policy!B:C,2,0)</f>
        <v>070000174323</v>
      </c>
      <c r="C38" s="4">
        <v>28125</v>
      </c>
      <c r="D38" s="18">
        <f t="shared" si="1"/>
        <v>28125</v>
      </c>
      <c r="E38" s="22" t="s">
        <v>2340</v>
      </c>
      <c r="F38" s="19" t="str">
        <f t="shared" si="0"/>
        <v>insert into ins_premium_det (premium_rcv_code,assorted_code, rec_amount,premium_rcv_detail_code,remaining_amt, payrec, mode_code,coinsurance_code,class_cd,it_remarks) values</v>
      </c>
      <c r="G38" s="20" t="str">
        <f t="shared" si="2"/>
        <v>('06Mar250008','070000174323','28125',(select max(to_number(i.premium_rcv_detail_code))+1
from ins_premium_det i),'28125','28125','02', '11000003','00','Request by Mr. Saqib Saleem 06-Mar-2024');</v>
      </c>
      <c r="H38" s="21" t="str">
        <f t="shared" si="3"/>
        <v>insert into ins_premium_det (premium_rcv_code,assorted_code, rec_amount,premium_rcv_detail_code,remaining_amt, payrec, mode_code,coinsurance_code,class_cd,it_remarks) values('06Mar250008','070000174323','28125',(select max(to_number(i.premium_rcv_detail_code))+1
from ins_premium_det i),'28125','28125','02', '11000003','00','Request by Mr. Saqib Saleem 06-Mar-2024');</v>
      </c>
    </row>
    <row r="39" spans="1:8" ht="89.25" x14ac:dyDescent="0.2">
      <c r="A39" s="2" t="s">
        <v>355</v>
      </c>
      <c r="B39" t="str">
        <f>VLOOKUP(A39,policy!B:C,2,0)</f>
        <v>070000174325</v>
      </c>
      <c r="C39" s="4">
        <v>63133</v>
      </c>
      <c r="D39" s="18">
        <f t="shared" si="1"/>
        <v>63133</v>
      </c>
      <c r="E39" s="22" t="s">
        <v>2340</v>
      </c>
      <c r="F39" s="19" t="str">
        <f t="shared" si="0"/>
        <v>insert into ins_premium_det (premium_rcv_code,assorted_code, rec_amount,premium_rcv_detail_code,remaining_amt, payrec, mode_code,coinsurance_code,class_cd,it_remarks) values</v>
      </c>
      <c r="G39" s="20" t="str">
        <f t="shared" si="2"/>
        <v>('06Mar250008','070000174325','63133',(select max(to_number(i.premium_rcv_detail_code))+1
from ins_premium_det i),'63133','63133','02', '11000003','00','Request by Mr. Saqib Saleem 06-Mar-2024');</v>
      </c>
      <c r="H39" s="21" t="str">
        <f t="shared" si="3"/>
        <v>insert into ins_premium_det (premium_rcv_code,assorted_code, rec_amount,premium_rcv_detail_code,remaining_amt, payrec, mode_code,coinsurance_code,class_cd,it_remarks) values('06Mar250008','070000174325','63133',(select max(to_number(i.premium_rcv_detail_code))+1
from ins_premium_det i),'63133','63133','02', '11000003','00','Request by Mr. Saqib Saleem 06-Mar-2024');</v>
      </c>
    </row>
    <row r="40" spans="1:8" ht="89.25" x14ac:dyDescent="0.2">
      <c r="A40" s="2" t="s">
        <v>327</v>
      </c>
      <c r="B40" t="str">
        <f>VLOOKUP(A40,policy!B:C,2,0)</f>
        <v>070000174320</v>
      </c>
      <c r="C40" s="4">
        <v>46031</v>
      </c>
      <c r="D40" s="18">
        <f t="shared" si="1"/>
        <v>46031</v>
      </c>
      <c r="E40" s="22" t="s">
        <v>2340</v>
      </c>
      <c r="F40" s="19" t="str">
        <f t="shared" si="0"/>
        <v>insert into ins_premium_det (premium_rcv_code,assorted_code, rec_amount,premium_rcv_detail_code,remaining_amt, payrec, mode_code,coinsurance_code,class_cd,it_remarks) values</v>
      </c>
      <c r="G40" s="20" t="str">
        <f t="shared" si="2"/>
        <v>('06Mar250008','070000174320','46031',(select max(to_number(i.premium_rcv_detail_code))+1
from ins_premium_det i),'46031','46031','02', '11000003','00','Request by Mr. Saqib Saleem 06-Mar-2024');</v>
      </c>
      <c r="H40" s="21" t="str">
        <f t="shared" si="3"/>
        <v>insert into ins_premium_det (premium_rcv_code,assorted_code, rec_amount,premium_rcv_detail_code,remaining_amt, payrec, mode_code,coinsurance_code,class_cd,it_remarks) values('06Mar250008','070000174320','46031',(select max(to_number(i.premium_rcv_detail_code))+1
from ins_premium_det i),'46031','46031','02', '11000003','00','Request by Mr. Saqib Saleem 06-Mar-2024');</v>
      </c>
    </row>
    <row r="41" spans="1:8" ht="89.25" x14ac:dyDescent="0.2">
      <c r="A41" s="2" t="s">
        <v>364</v>
      </c>
      <c r="B41" t="str">
        <f>VLOOKUP(A41,policy!B:C,2,0)</f>
        <v>070000174327</v>
      </c>
      <c r="C41" s="4">
        <v>30619</v>
      </c>
      <c r="D41" s="18">
        <f t="shared" si="1"/>
        <v>30619</v>
      </c>
      <c r="E41" s="22" t="s">
        <v>2340</v>
      </c>
      <c r="F41" s="19" t="str">
        <f t="shared" si="0"/>
        <v>insert into ins_premium_det (premium_rcv_code,assorted_code, rec_amount,premium_rcv_detail_code,remaining_amt, payrec, mode_code,coinsurance_code,class_cd,it_remarks) values</v>
      </c>
      <c r="G41" s="20" t="str">
        <f t="shared" si="2"/>
        <v>('06Mar250008','070000174327','30619',(select max(to_number(i.premium_rcv_detail_code))+1
from ins_premium_det i),'30619','30619','02', '11000003','00','Request by Mr. Saqib Saleem 06-Mar-2024');</v>
      </c>
      <c r="H41" s="21" t="str">
        <f t="shared" si="3"/>
        <v>insert into ins_premium_det (premium_rcv_code,assorted_code, rec_amount,premium_rcv_detail_code,remaining_amt, payrec, mode_code,coinsurance_code,class_cd,it_remarks) values('06Mar250008','070000174327','30619',(select max(to_number(i.premium_rcv_detail_code))+1
from ins_premium_det i),'30619','30619','02', '11000003','00','Request by Mr. Saqib Saleem 06-Mar-2024');</v>
      </c>
    </row>
    <row r="42" spans="1:8" ht="89.25" x14ac:dyDescent="0.2">
      <c r="A42" s="2" t="s">
        <v>372</v>
      </c>
      <c r="B42" t="str">
        <f>VLOOKUP(A42,policy!B:C,2,0)</f>
        <v>070000174329</v>
      </c>
      <c r="C42" s="4">
        <v>28688</v>
      </c>
      <c r="D42" s="18">
        <f t="shared" si="1"/>
        <v>28688</v>
      </c>
      <c r="E42" s="22" t="s">
        <v>2340</v>
      </c>
      <c r="F42" s="19" t="str">
        <f t="shared" si="0"/>
        <v>insert into ins_premium_det (premium_rcv_code,assorted_code, rec_amount,premium_rcv_detail_code,remaining_amt, payrec, mode_code,coinsurance_code,class_cd,it_remarks) values</v>
      </c>
      <c r="G42" s="20" t="str">
        <f t="shared" si="2"/>
        <v>('06Mar250008','070000174329','28688',(select max(to_number(i.premium_rcv_detail_code))+1
from ins_premium_det i),'28688','28688','02', '11000003','00','Request by Mr. Saqib Saleem 06-Mar-2024');</v>
      </c>
      <c r="H42" s="21" t="str">
        <f t="shared" si="3"/>
        <v>insert into ins_premium_det (premium_rcv_code,assorted_code, rec_amount,premium_rcv_detail_code,remaining_amt, payrec, mode_code,coinsurance_code,class_cd,it_remarks) values('06Mar250008','070000174329','28688',(select max(to_number(i.premium_rcv_detail_code))+1
from ins_premium_det i),'28688','28688','02', '11000003','00','Request by Mr. Saqib Saleem 06-Mar-2024');</v>
      </c>
    </row>
    <row r="43" spans="1:8" ht="89.25" x14ac:dyDescent="0.2">
      <c r="A43" s="2" t="s">
        <v>254</v>
      </c>
      <c r="B43" t="str">
        <f>VLOOKUP(A43,policy!B:C,2,0)</f>
        <v>070000174304</v>
      </c>
      <c r="C43" s="4">
        <v>56869</v>
      </c>
      <c r="D43" s="18">
        <f t="shared" si="1"/>
        <v>56869</v>
      </c>
      <c r="E43" s="22" t="s">
        <v>2340</v>
      </c>
      <c r="F43" s="19" t="str">
        <f t="shared" si="0"/>
        <v>insert into ins_premium_det (premium_rcv_code,assorted_code, rec_amount,premium_rcv_detail_code,remaining_amt, payrec, mode_code,coinsurance_code,class_cd,it_remarks) values</v>
      </c>
      <c r="G43" s="20" t="str">
        <f t="shared" si="2"/>
        <v>('06Mar250008','070000174304','56869',(select max(to_number(i.premium_rcv_detail_code))+1
from ins_premium_det i),'56869','56869','02', '11000003','00','Request by Mr. Saqib Saleem 06-Mar-2024');</v>
      </c>
      <c r="H43" s="21" t="str">
        <f t="shared" si="3"/>
        <v>insert into ins_premium_det (premium_rcv_code,assorted_code, rec_amount,premium_rcv_detail_code,remaining_amt, payrec, mode_code,coinsurance_code,class_cd,it_remarks) values('06Mar250008','070000174304','56869',(select max(to_number(i.premium_rcv_detail_code))+1
from ins_premium_det i),'56869','56869','02', '11000003','00','Request by Mr. Saqib Saleem 06-Mar-2024');</v>
      </c>
    </row>
    <row r="44" spans="1:8" ht="89.25" x14ac:dyDescent="0.2">
      <c r="A44" s="2" t="s">
        <v>660</v>
      </c>
      <c r="B44" t="str">
        <f>VLOOKUP(A44,policy!B:C,2,0)</f>
        <v>070000174393</v>
      </c>
      <c r="C44" s="4">
        <v>65820</v>
      </c>
      <c r="D44" s="18">
        <f t="shared" si="1"/>
        <v>65820</v>
      </c>
      <c r="E44" s="22" t="s">
        <v>2340</v>
      </c>
      <c r="F44" s="19" t="str">
        <f t="shared" si="0"/>
        <v>insert into ins_premium_det (premium_rcv_code,assorted_code, rec_amount,premium_rcv_detail_code,remaining_amt, payrec, mode_code,coinsurance_code,class_cd,it_remarks) values</v>
      </c>
      <c r="G44" s="20" t="str">
        <f t="shared" si="2"/>
        <v>('06Mar250008','070000174393','65820',(select max(to_number(i.premium_rcv_detail_code))+1
from ins_premium_det i),'65820','65820','02', '11000003','00','Request by Mr. Saqib Saleem 06-Mar-2024');</v>
      </c>
      <c r="H44" s="21" t="str">
        <f t="shared" si="3"/>
        <v>insert into ins_premium_det (premium_rcv_code,assorted_code, rec_amount,premium_rcv_detail_code,remaining_amt, payrec, mode_code,coinsurance_code,class_cd,it_remarks) values('06Mar250008','070000174393','65820',(select max(to_number(i.premium_rcv_detail_code))+1
from ins_premium_det i),'65820','65820','02', '11000003','00','Request by Mr. Saqib Saleem 06-Mar-2024');</v>
      </c>
    </row>
    <row r="45" spans="1:8" ht="89.25" x14ac:dyDescent="0.2">
      <c r="A45" s="2" t="s">
        <v>412</v>
      </c>
      <c r="B45" t="str">
        <f>VLOOKUP(A45,policy!B:C,2,0)</f>
        <v>070000174338</v>
      </c>
      <c r="C45" s="4">
        <v>27980</v>
      </c>
      <c r="D45" s="18">
        <f t="shared" si="1"/>
        <v>27980</v>
      </c>
      <c r="E45" s="22" t="s">
        <v>2340</v>
      </c>
      <c r="F45" s="19" t="str">
        <f t="shared" si="0"/>
        <v>insert into ins_premium_det (premium_rcv_code,assorted_code, rec_amount,premium_rcv_detail_code,remaining_amt, payrec, mode_code,coinsurance_code,class_cd,it_remarks) values</v>
      </c>
      <c r="G45" s="20" t="str">
        <f t="shared" si="2"/>
        <v>('06Mar250008','070000174338','27980',(select max(to_number(i.premium_rcv_detail_code))+1
from ins_premium_det i),'27980','27980','02', '11000003','00','Request by Mr. Saqib Saleem 06-Mar-2024');</v>
      </c>
      <c r="H45" s="21" t="str">
        <f t="shared" si="3"/>
        <v>insert into ins_premium_det (premium_rcv_code,assorted_code, rec_amount,premium_rcv_detail_code,remaining_amt, payrec, mode_code,coinsurance_code,class_cd,it_remarks) values('06Mar250008','070000174338','27980',(select max(to_number(i.premium_rcv_detail_code))+1
from ins_premium_det i),'27980','27980','02', '11000003','00','Request by Mr. Saqib Saleem 06-Mar-2024');</v>
      </c>
    </row>
    <row r="46" spans="1:8" ht="89.25" x14ac:dyDescent="0.2">
      <c r="A46" s="2" t="s">
        <v>437</v>
      </c>
      <c r="B46" t="str">
        <f>VLOOKUP(A46,policy!B:C,2,0)</f>
        <v>070000174344</v>
      </c>
      <c r="C46" s="4">
        <v>22260</v>
      </c>
      <c r="D46" s="18">
        <f t="shared" si="1"/>
        <v>22260</v>
      </c>
      <c r="E46" s="22" t="s">
        <v>2340</v>
      </c>
      <c r="F46" s="19" t="str">
        <f t="shared" si="0"/>
        <v>insert into ins_premium_det (premium_rcv_code,assorted_code, rec_amount,premium_rcv_detail_code,remaining_amt, payrec, mode_code,coinsurance_code,class_cd,it_remarks) values</v>
      </c>
      <c r="G46" s="20" t="str">
        <f t="shared" si="2"/>
        <v>('06Mar250008','070000174344','22260',(select max(to_number(i.premium_rcv_detail_code))+1
from ins_premium_det i),'22260','22260','02', '11000003','00','Request by Mr. Saqib Saleem 06-Mar-2024');</v>
      </c>
      <c r="H46" s="21" t="str">
        <f t="shared" si="3"/>
        <v>insert into ins_premium_det (premium_rcv_code,assorted_code, rec_amount,premium_rcv_detail_code,remaining_amt, payrec, mode_code,coinsurance_code,class_cd,it_remarks) values('06Mar250008','070000174344','22260',(select max(to_number(i.premium_rcv_detail_code))+1
from ins_premium_det i),'22260','22260','02', '11000003','00','Request by Mr. Saqib Saleem 06-Mar-2024');</v>
      </c>
    </row>
    <row r="47" spans="1:8" ht="89.25" x14ac:dyDescent="0.2">
      <c r="A47" s="2" t="s">
        <v>508</v>
      </c>
      <c r="B47" t="str">
        <f>VLOOKUP(A47,policy!B:C,2,0)</f>
        <v>070000174360</v>
      </c>
      <c r="C47" s="4">
        <v>22260</v>
      </c>
      <c r="D47" s="18">
        <f t="shared" si="1"/>
        <v>22260</v>
      </c>
      <c r="E47" s="22" t="s">
        <v>2340</v>
      </c>
      <c r="F47" s="19" t="str">
        <f t="shared" si="0"/>
        <v>insert into ins_premium_det (premium_rcv_code,assorted_code, rec_amount,premium_rcv_detail_code,remaining_amt, payrec, mode_code,coinsurance_code,class_cd,it_remarks) values</v>
      </c>
      <c r="G47" s="20" t="str">
        <f t="shared" si="2"/>
        <v>('06Mar250008','070000174360','22260',(select max(to_number(i.premium_rcv_detail_code))+1
from ins_premium_det i),'22260','22260','02', '11000003','00','Request by Mr. Saqib Saleem 06-Mar-2024');</v>
      </c>
      <c r="H47" s="21" t="str">
        <f t="shared" si="3"/>
        <v>insert into ins_premium_det (premium_rcv_code,assorted_code, rec_amount,premium_rcv_detail_code,remaining_amt, payrec, mode_code,coinsurance_code,class_cd,it_remarks) values('06Mar250008','070000174360','22260',(select max(to_number(i.premium_rcv_detail_code))+1
from ins_premium_det i),'22260','22260','02', '11000003','00','Request by Mr. Saqib Saleem 06-Mar-2024');</v>
      </c>
    </row>
    <row r="48" spans="1:8" ht="89.25" x14ac:dyDescent="0.2">
      <c r="A48" s="2" t="s">
        <v>402</v>
      </c>
      <c r="B48" t="str">
        <f>VLOOKUP(A48,policy!B:C,2,0)</f>
        <v>070000174336</v>
      </c>
      <c r="C48" s="4">
        <v>22260</v>
      </c>
      <c r="D48" s="18">
        <f t="shared" si="1"/>
        <v>22260</v>
      </c>
      <c r="E48" s="22" t="s">
        <v>2340</v>
      </c>
      <c r="F48" s="19" t="str">
        <f t="shared" si="0"/>
        <v>insert into ins_premium_det (premium_rcv_code,assorted_code, rec_amount,premium_rcv_detail_code,remaining_amt, payrec, mode_code,coinsurance_code,class_cd,it_remarks) values</v>
      </c>
      <c r="G48" s="20" t="str">
        <f t="shared" si="2"/>
        <v>('06Mar250008','070000174336','22260',(select max(to_number(i.premium_rcv_detail_code))+1
from ins_premium_det i),'22260','22260','02', '11000003','00','Request by Mr. Saqib Saleem 06-Mar-2024');</v>
      </c>
      <c r="H48" s="21" t="str">
        <f t="shared" si="3"/>
        <v>insert into ins_premium_det (premium_rcv_code,assorted_code, rec_amount,premium_rcv_detail_code,remaining_amt, payrec, mode_code,coinsurance_code,class_cd,it_remarks) values('06Mar250008','070000174336','22260',(select max(to_number(i.premium_rcv_detail_code))+1
from ins_premium_det i),'22260','22260','02', '11000003','00','Request by Mr. Saqib Saleem 06-Mar-2024');</v>
      </c>
    </row>
    <row r="49" spans="1:8" ht="89.25" x14ac:dyDescent="0.2">
      <c r="A49" s="2" t="s">
        <v>416</v>
      </c>
      <c r="B49" t="str">
        <f>VLOOKUP(A49,policy!B:C,2,0)</f>
        <v>070000174339</v>
      </c>
      <c r="C49" s="4">
        <v>26700</v>
      </c>
      <c r="D49" s="18">
        <f t="shared" si="1"/>
        <v>26700</v>
      </c>
      <c r="E49" s="22" t="s">
        <v>2340</v>
      </c>
      <c r="F49" s="19" t="str">
        <f t="shared" si="0"/>
        <v>insert into ins_premium_det (premium_rcv_code,assorted_code, rec_amount,premium_rcv_detail_code,remaining_amt, payrec, mode_code,coinsurance_code,class_cd,it_remarks) values</v>
      </c>
      <c r="G49" s="20" t="str">
        <f t="shared" si="2"/>
        <v>('06Mar250008','070000174339','26700',(select max(to_number(i.premium_rcv_detail_code))+1
from ins_premium_det i),'26700','26700','02', '11000003','00','Request by Mr. Saqib Saleem 06-Mar-2024');</v>
      </c>
      <c r="H49" s="21" t="str">
        <f t="shared" si="3"/>
        <v>insert into ins_premium_det (premium_rcv_code,assorted_code, rec_amount,premium_rcv_detail_code,remaining_amt, payrec, mode_code,coinsurance_code,class_cd,it_remarks) values('06Mar250008','070000174339','26700',(select max(to_number(i.premium_rcv_detail_code))+1
from ins_premium_det i),'26700','26700','02', '11000003','00','Request by Mr. Saqib Saleem 06-Mar-2024');</v>
      </c>
    </row>
    <row r="50" spans="1:8" ht="89.25" x14ac:dyDescent="0.2">
      <c r="A50" s="2" t="s">
        <v>494</v>
      </c>
      <c r="B50" t="str">
        <f>VLOOKUP(A50,policy!B:C,2,0)</f>
        <v>070000174357</v>
      </c>
      <c r="C50" s="4">
        <v>36246</v>
      </c>
      <c r="D50" s="18">
        <f t="shared" si="1"/>
        <v>36246</v>
      </c>
      <c r="E50" s="22" t="s">
        <v>2340</v>
      </c>
      <c r="F50" s="19" t="str">
        <f t="shared" si="0"/>
        <v>insert into ins_premium_det (premium_rcv_code,assorted_code, rec_amount,premium_rcv_detail_code,remaining_amt, payrec, mode_code,coinsurance_code,class_cd,it_remarks) values</v>
      </c>
      <c r="G50" s="20" t="str">
        <f t="shared" si="2"/>
        <v>('06Mar250008','070000174357','36246',(select max(to_number(i.premium_rcv_detail_code))+1
from ins_premium_det i),'36246','36246','02', '11000003','00','Request by Mr. Saqib Saleem 06-Mar-2024');</v>
      </c>
      <c r="H50" s="21" t="str">
        <f t="shared" si="3"/>
        <v>insert into ins_premium_det (premium_rcv_code,assorted_code, rec_amount,premium_rcv_detail_code,remaining_amt, payrec, mode_code,coinsurance_code,class_cd,it_remarks) values('06Mar250008','070000174357','36246',(select max(to_number(i.premium_rcv_detail_code))+1
from ins_premium_det i),'36246','36246','02', '11000003','00','Request by Mr. Saqib Saleem 06-Mar-2024');</v>
      </c>
    </row>
    <row r="51" spans="1:8" ht="89.25" x14ac:dyDescent="0.2">
      <c r="A51" s="2" t="s">
        <v>407</v>
      </c>
      <c r="B51" t="str">
        <f>VLOOKUP(A51,policy!B:C,2,0)</f>
        <v>070000174337</v>
      </c>
      <c r="C51" s="4">
        <v>48000</v>
      </c>
      <c r="D51" s="18">
        <f t="shared" si="1"/>
        <v>48000</v>
      </c>
      <c r="E51" s="22" t="s">
        <v>2340</v>
      </c>
      <c r="F51" s="19" t="str">
        <f t="shared" si="0"/>
        <v>insert into ins_premium_det (premium_rcv_code,assorted_code, rec_amount,premium_rcv_detail_code,remaining_amt, payrec, mode_code,coinsurance_code,class_cd,it_remarks) values</v>
      </c>
      <c r="G51" s="20" t="str">
        <f t="shared" si="2"/>
        <v>('06Mar250008','070000174337','48000',(select max(to_number(i.premium_rcv_detail_code))+1
from ins_premium_det i),'48000','48000','02', '11000003','00','Request by Mr. Saqib Saleem 06-Mar-2024');</v>
      </c>
      <c r="H51" s="21" t="str">
        <f t="shared" si="3"/>
        <v>insert into ins_premium_det (premium_rcv_code,assorted_code, rec_amount,premium_rcv_detail_code,remaining_amt, payrec, mode_code,coinsurance_code,class_cd,it_remarks) values('06Mar250008','070000174337','48000',(select max(to_number(i.premium_rcv_detail_code))+1
from ins_premium_det i),'48000','48000','02', '11000003','00','Request by Mr. Saqib Saleem 06-Mar-2024');</v>
      </c>
    </row>
    <row r="52" spans="1:8" ht="89.25" x14ac:dyDescent="0.2">
      <c r="A52" s="2" t="s">
        <v>628</v>
      </c>
      <c r="B52" t="str">
        <f>VLOOKUP(A52,policy!B:C,2,0)</f>
        <v>070000174386</v>
      </c>
      <c r="C52" s="4">
        <v>47250</v>
      </c>
      <c r="D52" s="18">
        <f t="shared" si="1"/>
        <v>47250</v>
      </c>
      <c r="E52" s="22" t="s">
        <v>2340</v>
      </c>
      <c r="F52" s="19" t="str">
        <f t="shared" si="0"/>
        <v>insert into ins_premium_det (premium_rcv_code,assorted_code, rec_amount,premium_rcv_detail_code,remaining_amt, payrec, mode_code,coinsurance_code,class_cd,it_remarks) values</v>
      </c>
      <c r="G52" s="20" t="str">
        <f t="shared" si="2"/>
        <v>('06Mar250008','070000174386','47250',(select max(to_number(i.premium_rcv_detail_code))+1
from ins_premium_det i),'47250','47250','02', '11000003','00','Request by Mr. Saqib Saleem 06-Mar-2024');</v>
      </c>
      <c r="H52" s="21" t="str">
        <f t="shared" si="3"/>
        <v>insert into ins_premium_det (premium_rcv_code,assorted_code, rec_amount,premium_rcv_detail_code,remaining_amt, payrec, mode_code,coinsurance_code,class_cd,it_remarks) values('06Mar250008','070000174386','47250',(select max(to_number(i.premium_rcv_detail_code))+1
from ins_premium_det i),'47250','47250','02', '11000003','00','Request by Mr. Saqib Saleem 06-Mar-2024');</v>
      </c>
    </row>
    <row r="53" spans="1:8" ht="89.25" x14ac:dyDescent="0.2">
      <c r="A53" s="2" t="s">
        <v>420</v>
      </c>
      <c r="B53" t="str">
        <f>VLOOKUP(A53,policy!B:C,2,0)</f>
        <v>070000174340</v>
      </c>
      <c r="C53" s="4">
        <v>31080</v>
      </c>
      <c r="D53" s="18">
        <f t="shared" si="1"/>
        <v>31080</v>
      </c>
      <c r="E53" s="22" t="s">
        <v>2340</v>
      </c>
      <c r="F53" s="19" t="str">
        <f t="shared" si="0"/>
        <v>insert into ins_premium_det (premium_rcv_code,assorted_code, rec_amount,premium_rcv_detail_code,remaining_amt, payrec, mode_code,coinsurance_code,class_cd,it_remarks) values</v>
      </c>
      <c r="G53" s="20" t="str">
        <f t="shared" si="2"/>
        <v>('06Mar250008','070000174340','31080',(select max(to_number(i.premium_rcv_detail_code))+1
from ins_premium_det i),'31080','31080','02', '11000003','00','Request by Mr. Saqib Saleem 06-Mar-2024');</v>
      </c>
      <c r="H53" s="21" t="str">
        <f t="shared" si="3"/>
        <v>insert into ins_premium_det (premium_rcv_code,assorted_code, rec_amount,premium_rcv_detail_code,remaining_amt, payrec, mode_code,coinsurance_code,class_cd,it_remarks) values('06Mar250008','070000174340','31080',(select max(to_number(i.premium_rcv_detail_code))+1
from ins_premium_det i),'31080','31080','02', '11000003','00','Request by Mr. Saqib Saleem 06-Mar-2024');</v>
      </c>
    </row>
    <row r="54" spans="1:8" ht="89.25" x14ac:dyDescent="0.2">
      <c r="A54" s="2" t="s">
        <v>424</v>
      </c>
      <c r="B54" t="str">
        <f>VLOOKUP(A54,policy!B:C,2,0)</f>
        <v>070000174341</v>
      </c>
      <c r="C54" s="4">
        <v>21644</v>
      </c>
      <c r="D54" s="18">
        <f t="shared" si="1"/>
        <v>21644</v>
      </c>
      <c r="E54" s="22" t="s">
        <v>2340</v>
      </c>
      <c r="F54" s="19" t="str">
        <f t="shared" si="0"/>
        <v>insert into ins_premium_det (premium_rcv_code,assorted_code, rec_amount,premium_rcv_detail_code,remaining_amt, payrec, mode_code,coinsurance_code,class_cd,it_remarks) values</v>
      </c>
      <c r="G54" s="20" t="str">
        <f t="shared" si="2"/>
        <v>('06Mar250008','070000174341','21644',(select max(to_number(i.premium_rcv_detail_code))+1
from ins_premium_det i),'21644','21644','02', '11000003','00','Request by Mr. Saqib Saleem 06-Mar-2024');</v>
      </c>
      <c r="H54" s="21" t="str">
        <f t="shared" si="3"/>
        <v>insert into ins_premium_det (premium_rcv_code,assorted_code, rec_amount,premium_rcv_detail_code,remaining_amt, payrec, mode_code,coinsurance_code,class_cd,it_remarks) values('06Mar250008','070000174341','21644',(select max(to_number(i.premium_rcv_detail_code))+1
from ins_premium_det i),'21644','21644','02', '11000003','00','Request by Mr. Saqib Saleem 06-Mar-2024');</v>
      </c>
    </row>
    <row r="55" spans="1:8" ht="89.25" x14ac:dyDescent="0.2">
      <c r="A55" s="2" t="s">
        <v>428</v>
      </c>
      <c r="B55" t="str">
        <f>VLOOKUP(A55,policy!B:C,2,0)</f>
        <v>070000174342</v>
      </c>
      <c r="C55" s="4">
        <v>32200</v>
      </c>
      <c r="D55" s="18">
        <f t="shared" si="1"/>
        <v>32200</v>
      </c>
      <c r="E55" s="22" t="s">
        <v>2340</v>
      </c>
      <c r="F55" s="19" t="str">
        <f t="shared" si="0"/>
        <v>insert into ins_premium_det (premium_rcv_code,assorted_code, rec_amount,premium_rcv_detail_code,remaining_amt, payrec, mode_code,coinsurance_code,class_cd,it_remarks) values</v>
      </c>
      <c r="G55" s="20" t="str">
        <f t="shared" si="2"/>
        <v>('06Mar250008','070000174342','32200',(select max(to_number(i.premium_rcv_detail_code))+1
from ins_premium_det i),'32200','32200','02', '11000003','00','Request by Mr. Saqib Saleem 06-Mar-2024');</v>
      </c>
      <c r="H55" s="21" t="str">
        <f t="shared" si="3"/>
        <v>insert into ins_premium_det (premium_rcv_code,assorted_code, rec_amount,premium_rcv_detail_code,remaining_amt, payrec, mode_code,coinsurance_code,class_cd,it_remarks) values('06Mar250008','070000174342','32200',(select max(to_number(i.premium_rcv_detail_code))+1
from ins_premium_det i),'32200','32200','02', '11000003','00','Request by Mr. Saqib Saleem 06-Mar-2024');</v>
      </c>
    </row>
    <row r="56" spans="1:8" ht="89.25" x14ac:dyDescent="0.2">
      <c r="A56" s="2" t="s">
        <v>1038</v>
      </c>
      <c r="B56" t="str">
        <f>VLOOKUP(A56,policy!B:C,2,0)</f>
        <v>070000174166</v>
      </c>
      <c r="C56" s="4">
        <v>15638</v>
      </c>
      <c r="D56" s="18">
        <f t="shared" si="1"/>
        <v>15638</v>
      </c>
      <c r="E56" s="22" t="s">
        <v>2340</v>
      </c>
      <c r="F56" s="19" t="str">
        <f t="shared" si="0"/>
        <v>insert into ins_premium_det (premium_rcv_code,assorted_code, rec_amount,premium_rcv_detail_code,remaining_amt, payrec, mode_code,coinsurance_code,class_cd,it_remarks) values</v>
      </c>
      <c r="G56" s="20" t="str">
        <f t="shared" si="2"/>
        <v>('06Mar250008','070000174166','15638',(select max(to_number(i.premium_rcv_detail_code))+1
from ins_premium_det i),'15638','15638','02', '11000003','00','Request by Mr. Saqib Saleem 06-Mar-2024');</v>
      </c>
      <c r="H56" s="21" t="str">
        <f t="shared" si="3"/>
        <v>insert into ins_premium_det (premium_rcv_code,assorted_code, rec_amount,premium_rcv_detail_code,remaining_amt, payrec, mode_code,coinsurance_code,class_cd,it_remarks) values('06Mar250008','070000174166','15638',(select max(to_number(i.premium_rcv_detail_code))+1
from ins_premium_det i),'15638','15638','02', '11000003','00','Request by Mr. Saqib Saleem 06-Mar-2024');</v>
      </c>
    </row>
    <row r="57" spans="1:8" ht="89.25" x14ac:dyDescent="0.2">
      <c r="A57" s="2" t="s">
        <v>454</v>
      </c>
      <c r="B57" t="str">
        <f>VLOOKUP(A57,policy!B:C,2,0)</f>
        <v>070000174349</v>
      </c>
      <c r="C57" s="4">
        <v>28700</v>
      </c>
      <c r="D57" s="18">
        <f t="shared" si="1"/>
        <v>28700</v>
      </c>
      <c r="E57" s="22" t="s">
        <v>2340</v>
      </c>
      <c r="F57" s="19" t="str">
        <f t="shared" si="0"/>
        <v>insert into ins_premium_det (premium_rcv_code,assorted_code, rec_amount,premium_rcv_detail_code,remaining_amt, payrec, mode_code,coinsurance_code,class_cd,it_remarks) values</v>
      </c>
      <c r="G57" s="20" t="str">
        <f t="shared" si="2"/>
        <v>('06Mar250008','070000174349','28700',(select max(to_number(i.premium_rcv_detail_code))+1
from ins_premium_det i),'28700','28700','02', '11000003','00','Request by Mr. Saqib Saleem 06-Mar-2024');</v>
      </c>
      <c r="H57" s="21" t="str">
        <f t="shared" si="3"/>
        <v>insert into ins_premium_det (premium_rcv_code,assorted_code, rec_amount,premium_rcv_detail_code,remaining_amt, payrec, mode_code,coinsurance_code,class_cd,it_remarks) values('06Mar250008','070000174349','28700',(select max(to_number(i.premium_rcv_detail_code))+1
from ins_premium_det i),'28700','28700','02', '11000003','00','Request by Mr. Saqib Saleem 06-Mar-2024');</v>
      </c>
    </row>
    <row r="58" spans="1:8" ht="89.25" x14ac:dyDescent="0.2">
      <c r="A58" s="2" t="s">
        <v>450</v>
      </c>
      <c r="B58" t="str">
        <f>VLOOKUP(A58,policy!B:C,2,0)</f>
        <v>070000174348</v>
      </c>
      <c r="C58" s="4">
        <v>29400</v>
      </c>
      <c r="D58" s="18">
        <f t="shared" si="1"/>
        <v>29400</v>
      </c>
      <c r="E58" s="22" t="s">
        <v>2340</v>
      </c>
      <c r="F58" s="19" t="str">
        <f t="shared" si="0"/>
        <v>insert into ins_premium_det (premium_rcv_code,assorted_code, rec_amount,premium_rcv_detail_code,remaining_amt, payrec, mode_code,coinsurance_code,class_cd,it_remarks) values</v>
      </c>
      <c r="G58" s="20" t="str">
        <f t="shared" si="2"/>
        <v>('06Mar250008','070000174348','29400',(select max(to_number(i.premium_rcv_detail_code))+1
from ins_premium_det i),'29400','29400','02', '11000003','00','Request by Mr. Saqib Saleem 06-Mar-2024');</v>
      </c>
      <c r="H58" s="21" t="str">
        <f t="shared" si="3"/>
        <v>insert into ins_premium_det (premium_rcv_code,assorted_code, rec_amount,premium_rcv_detail_code,remaining_amt, payrec, mode_code,coinsurance_code,class_cd,it_remarks) values('06Mar250008','070000174348','29400',(select max(to_number(i.premium_rcv_detail_code))+1
from ins_premium_det i),'29400','29400','02', '11000003','00','Request by Mr. Saqib Saleem 06-Mar-2024');</v>
      </c>
    </row>
    <row r="59" spans="1:8" ht="89.25" x14ac:dyDescent="0.2">
      <c r="A59" s="2" t="s">
        <v>1042</v>
      </c>
      <c r="B59" t="str">
        <f>VLOOKUP(A59,policy!B:C,2,0)</f>
        <v>070000174167</v>
      </c>
      <c r="C59" s="4">
        <v>15638</v>
      </c>
      <c r="D59" s="18">
        <f t="shared" si="1"/>
        <v>15638</v>
      </c>
      <c r="E59" s="22" t="s">
        <v>2340</v>
      </c>
      <c r="F59" s="19" t="str">
        <f t="shared" si="0"/>
        <v>insert into ins_premium_det (premium_rcv_code,assorted_code, rec_amount,premium_rcv_detail_code,remaining_amt, payrec, mode_code,coinsurance_code,class_cd,it_remarks) values</v>
      </c>
      <c r="G59" s="20" t="str">
        <f t="shared" si="2"/>
        <v>('06Mar250008','070000174167','15638',(select max(to_number(i.premium_rcv_detail_code))+1
from ins_premium_det i),'15638','15638','02', '11000003','00','Request by Mr. Saqib Saleem 06-Mar-2024');</v>
      </c>
      <c r="H59" s="21" t="str">
        <f t="shared" si="3"/>
        <v>insert into ins_premium_det (premium_rcv_code,assorted_code, rec_amount,premium_rcv_detail_code,remaining_amt, payrec, mode_code,coinsurance_code,class_cd,it_remarks) values('06Mar250008','070000174167','15638',(select max(to_number(i.premium_rcv_detail_code))+1
from ins_premium_det i),'15638','15638','02', '11000003','00','Request by Mr. Saqib Saleem 06-Mar-2024');</v>
      </c>
    </row>
    <row r="60" spans="1:8" ht="89.25" x14ac:dyDescent="0.2">
      <c r="A60" s="2" t="s">
        <v>446</v>
      </c>
      <c r="B60" t="str">
        <f>VLOOKUP(A60,policy!B:C,2,0)</f>
        <v>070000174347</v>
      </c>
      <c r="C60" s="4">
        <v>25200</v>
      </c>
      <c r="D60" s="18">
        <f t="shared" si="1"/>
        <v>25200</v>
      </c>
      <c r="E60" s="22" t="s">
        <v>2340</v>
      </c>
      <c r="F60" s="19" t="str">
        <f t="shared" si="0"/>
        <v>insert into ins_premium_det (premium_rcv_code,assorted_code, rec_amount,premium_rcv_detail_code,remaining_amt, payrec, mode_code,coinsurance_code,class_cd,it_remarks) values</v>
      </c>
      <c r="G60" s="20" t="str">
        <f t="shared" si="2"/>
        <v>('06Mar250008','070000174347','25200',(select max(to_number(i.premium_rcv_detail_code))+1
from ins_premium_det i),'25200','25200','02', '11000003','00','Request by Mr. Saqib Saleem 06-Mar-2024');</v>
      </c>
      <c r="H60" s="21" t="str">
        <f t="shared" si="3"/>
        <v>insert into ins_premium_det (premium_rcv_code,assorted_code, rec_amount,premium_rcv_detail_code,remaining_amt, payrec, mode_code,coinsurance_code,class_cd,it_remarks) values('06Mar250008','070000174347','25200',(select max(to_number(i.premium_rcv_detail_code))+1
from ins_premium_det i),'25200','25200','02', '11000003','00','Request by Mr. Saqib Saleem 06-Mar-2024');</v>
      </c>
    </row>
    <row r="61" spans="1:8" ht="89.25" x14ac:dyDescent="0.2">
      <c r="A61" s="2" t="s">
        <v>464</v>
      </c>
      <c r="B61" t="str">
        <f>VLOOKUP(A61,policy!B:C,2,0)</f>
        <v>070000174351</v>
      </c>
      <c r="C61" s="4">
        <v>59100</v>
      </c>
      <c r="D61" s="18">
        <f t="shared" si="1"/>
        <v>59100</v>
      </c>
      <c r="E61" s="22" t="s">
        <v>2340</v>
      </c>
      <c r="F61" s="19" t="str">
        <f t="shared" si="0"/>
        <v>insert into ins_premium_det (premium_rcv_code,assorted_code, rec_amount,premium_rcv_detail_code,remaining_amt, payrec, mode_code,coinsurance_code,class_cd,it_remarks) values</v>
      </c>
      <c r="G61" s="20" t="str">
        <f t="shared" si="2"/>
        <v>('06Mar250008','070000174351','59100',(select max(to_number(i.premium_rcv_detail_code))+1
from ins_premium_det i),'59100','59100','02', '11000003','00','Request by Mr. Saqib Saleem 06-Mar-2024');</v>
      </c>
      <c r="H61" s="21" t="str">
        <f t="shared" si="3"/>
        <v>insert into ins_premium_det (premium_rcv_code,assorted_code, rec_amount,premium_rcv_detail_code,remaining_amt, payrec, mode_code,coinsurance_code,class_cd,it_remarks) values('06Mar250008','070000174351','59100',(select max(to_number(i.premium_rcv_detail_code))+1
from ins_premium_det i),'59100','59100','02', '11000003','00','Request by Mr. Saqib Saleem 06-Mar-2024');</v>
      </c>
    </row>
    <row r="62" spans="1:8" ht="89.25" x14ac:dyDescent="0.2">
      <c r="A62" s="2" t="s">
        <v>459</v>
      </c>
      <c r="B62" t="str">
        <f>VLOOKUP(A62,policy!B:C,2,0)</f>
        <v>070000174350</v>
      </c>
      <c r="C62" s="4">
        <v>42000</v>
      </c>
      <c r="D62" s="18">
        <f t="shared" si="1"/>
        <v>42000</v>
      </c>
      <c r="E62" s="22" t="s">
        <v>2340</v>
      </c>
      <c r="F62" s="19" t="str">
        <f t="shared" si="0"/>
        <v>insert into ins_premium_det (premium_rcv_code,assorted_code, rec_amount,premium_rcv_detail_code,remaining_amt, payrec, mode_code,coinsurance_code,class_cd,it_remarks) values</v>
      </c>
      <c r="G62" s="20" t="str">
        <f t="shared" si="2"/>
        <v>('06Mar250008','070000174350','42000',(select max(to_number(i.premium_rcv_detail_code))+1
from ins_premium_det i),'42000','42000','02', '11000003','00','Request by Mr. Saqib Saleem 06-Mar-2024');</v>
      </c>
      <c r="H62" s="21" t="str">
        <f t="shared" si="3"/>
        <v>insert into ins_premium_det (premium_rcv_code,assorted_code, rec_amount,premium_rcv_detail_code,remaining_amt, payrec, mode_code,coinsurance_code,class_cd,it_remarks) values('06Mar250008','070000174350','42000',(select max(to_number(i.premium_rcv_detail_code))+1
from ins_premium_det i),'42000','42000','02', '11000003','00','Request by Mr. Saqib Saleem 06-Mar-2024');</v>
      </c>
    </row>
    <row r="63" spans="1:8" ht="89.25" x14ac:dyDescent="0.2">
      <c r="A63" s="2" t="s">
        <v>442</v>
      </c>
      <c r="B63" t="str">
        <f>VLOOKUP(A63,policy!B:C,2,0)</f>
        <v>070000174346</v>
      </c>
      <c r="C63" s="4">
        <v>16086</v>
      </c>
      <c r="D63" s="18">
        <f t="shared" si="1"/>
        <v>16086</v>
      </c>
      <c r="E63" s="22" t="s">
        <v>2340</v>
      </c>
      <c r="F63" s="19" t="str">
        <f t="shared" si="0"/>
        <v>insert into ins_premium_det (premium_rcv_code,assorted_code, rec_amount,premium_rcv_detail_code,remaining_amt, payrec, mode_code,coinsurance_code,class_cd,it_remarks) values</v>
      </c>
      <c r="G63" s="20" t="str">
        <f t="shared" si="2"/>
        <v>('06Mar250008','070000174346','16086',(select max(to_number(i.premium_rcv_detail_code))+1
from ins_premium_det i),'16086','16086','02', '11000003','00','Request by Mr. Saqib Saleem 06-Mar-2024');</v>
      </c>
      <c r="H63" s="21" t="str">
        <f t="shared" si="3"/>
        <v>insert into ins_premium_det (premium_rcv_code,assorted_code, rec_amount,premium_rcv_detail_code,remaining_amt, payrec, mode_code,coinsurance_code,class_cd,it_remarks) values('06Mar250008','070000174346','16086',(select max(to_number(i.premium_rcv_detail_code))+1
from ins_premium_det i),'16086','16086','02', '11000003','00','Request by Mr. Saqib Saleem 06-Mar-2024');</v>
      </c>
    </row>
    <row r="64" spans="1:8" ht="89.25" x14ac:dyDescent="0.2">
      <c r="A64" s="2" t="s">
        <v>1046</v>
      </c>
      <c r="B64" t="str">
        <f>VLOOKUP(A64,policy!B:C,2,0)</f>
        <v>070000174168</v>
      </c>
      <c r="C64" s="4">
        <v>15638</v>
      </c>
      <c r="D64" s="18">
        <f t="shared" si="1"/>
        <v>15638</v>
      </c>
      <c r="E64" s="22" t="s">
        <v>2340</v>
      </c>
      <c r="F64" s="19" t="str">
        <f t="shared" si="0"/>
        <v>insert into ins_premium_det (premium_rcv_code,assorted_code, rec_amount,premium_rcv_detail_code,remaining_amt, payrec, mode_code,coinsurance_code,class_cd,it_remarks) values</v>
      </c>
      <c r="G64" s="20" t="str">
        <f t="shared" si="2"/>
        <v>('06Mar250008','070000174168','15638',(select max(to_number(i.premium_rcv_detail_code))+1
from ins_premium_det i),'15638','15638','02', '11000003','00','Request by Mr. Saqib Saleem 06-Mar-2024');</v>
      </c>
      <c r="H64" s="21" t="str">
        <f t="shared" si="3"/>
        <v>insert into ins_premium_det (premium_rcv_code,assorted_code, rec_amount,premium_rcv_detail_code,remaining_amt, payrec, mode_code,coinsurance_code,class_cd,it_remarks) values('06Mar250008','070000174168','15638',(select max(to_number(i.premium_rcv_detail_code))+1
from ins_premium_det i),'15638','15638','02', '11000003','00','Request by Mr. Saqib Saleem 06-Mar-2024');</v>
      </c>
    </row>
    <row r="65" spans="1:8" ht="89.25" x14ac:dyDescent="0.2">
      <c r="A65" s="2" t="s">
        <v>468</v>
      </c>
      <c r="B65" t="str">
        <f>VLOOKUP(A65,policy!B:C,2,0)</f>
        <v>070000174352</v>
      </c>
      <c r="C65" s="4">
        <v>32200</v>
      </c>
      <c r="D65" s="18">
        <f t="shared" si="1"/>
        <v>32200</v>
      </c>
      <c r="E65" s="22" t="s">
        <v>2340</v>
      </c>
      <c r="F65" s="19" t="str">
        <f t="shared" si="0"/>
        <v>insert into ins_premium_det (premium_rcv_code,assorted_code, rec_amount,premium_rcv_detail_code,remaining_amt, payrec, mode_code,coinsurance_code,class_cd,it_remarks) values</v>
      </c>
      <c r="G65" s="20" t="str">
        <f t="shared" si="2"/>
        <v>('06Mar250008','070000174352','32200',(select max(to_number(i.premium_rcv_detail_code))+1
from ins_premium_det i),'32200','32200','02', '11000003','00','Request by Mr. Saqib Saleem 06-Mar-2024');</v>
      </c>
      <c r="H65" s="21" t="str">
        <f t="shared" si="3"/>
        <v>insert into ins_premium_det (premium_rcv_code,assorted_code, rec_amount,premium_rcv_detail_code,remaining_amt, payrec, mode_code,coinsurance_code,class_cd,it_remarks) values('06Mar250008','070000174352','32200',(select max(to_number(i.premium_rcv_detail_code))+1
from ins_premium_det i),'32200','32200','02', '11000003','00','Request by Mr. Saqib Saleem 06-Mar-2024');</v>
      </c>
    </row>
    <row r="66" spans="1:8" ht="89.25" x14ac:dyDescent="0.2">
      <c r="A66" s="2" t="s">
        <v>1055</v>
      </c>
      <c r="B66" t="str">
        <f>VLOOKUP(A66,policy!B:C,2,0)</f>
        <v>070000174170</v>
      </c>
      <c r="C66" s="4">
        <v>15638</v>
      </c>
      <c r="D66" s="18">
        <f t="shared" si="1"/>
        <v>15638</v>
      </c>
      <c r="E66" s="22" t="s">
        <v>2340</v>
      </c>
      <c r="F66" s="19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0" t="str">
        <f t="shared" si="2"/>
        <v>('06Mar250008','070000174170','15638',(select max(to_number(i.premium_rcv_detail_code))+1
from ins_premium_det i),'15638','15638','02', '11000003','00','Request by Mr. Saqib Saleem 06-Mar-2024');</v>
      </c>
      <c r="H66" s="21" t="str">
        <f t="shared" si="3"/>
        <v>insert into ins_premium_det (premium_rcv_code,assorted_code, rec_amount,premium_rcv_detail_code,remaining_amt, payrec, mode_code,coinsurance_code,class_cd,it_remarks) values('06Mar250008','070000174170','15638',(select max(to_number(i.premium_rcv_detail_code))+1
from ins_premium_det i),'15638','15638','02', '11000003','00','Request by Mr. Saqib Saleem 06-Mar-2024');</v>
      </c>
    </row>
    <row r="67" spans="1:8" ht="89.25" x14ac:dyDescent="0.2">
      <c r="A67" s="2" t="s">
        <v>490</v>
      </c>
      <c r="B67" t="str">
        <f>VLOOKUP(A67,policy!B:C,2,0)</f>
        <v>070000174356</v>
      </c>
      <c r="C67" s="4">
        <v>21294</v>
      </c>
      <c r="D67" s="18">
        <f t="shared" ref="D67:D130" si="5">ROUND(C67,0)</f>
        <v>21294</v>
      </c>
      <c r="E67" s="22" t="s">
        <v>2340</v>
      </c>
      <c r="F67" s="19" t="str">
        <f t="shared" si="4"/>
        <v>insert into ins_premium_det (premium_rcv_code,assorted_code, rec_amount,premium_rcv_detail_code,remaining_amt, payrec, mode_code,coinsurance_code,class_cd,it_remarks) values</v>
      </c>
      <c r="G67" s="20" t="str">
        <f t="shared" ref="G67:G130" si="6">"('"&amp;E67&amp;"','"&amp;B67&amp;"','"&amp;D67&amp;"',(select max(to_number(i.premium_rcv_detail_code))+1
from ins_premium_det i),'"&amp;D67&amp;"','"&amp;D67&amp;"','02', '11000003','00','Request by Mr. Saqib Saleem 06-Mar-2024');"</f>
        <v>('06Mar250008','070000174356','21294',(select max(to_number(i.premium_rcv_detail_code))+1
from ins_premium_det i),'21294','21294','02', '11000003','00','Request by Mr. Saqib Saleem 06-Mar-2024');</v>
      </c>
      <c r="H67" s="21" t="str">
        <f t="shared" ref="H67:H130" si="7">F67&amp;G67</f>
        <v>insert into ins_premium_det (premium_rcv_code,assorted_code, rec_amount,premium_rcv_detail_code,remaining_amt, payrec, mode_code,coinsurance_code,class_cd,it_remarks) values('06Mar250008','070000174356','21294',(select max(to_number(i.premium_rcv_detail_code))+1
from ins_premium_det i),'21294','21294','02', '11000003','00','Request by Mr. Saqib Saleem 06-Mar-2024');</v>
      </c>
    </row>
    <row r="68" spans="1:8" ht="89.25" x14ac:dyDescent="0.2">
      <c r="A68" s="2" t="s">
        <v>512</v>
      </c>
      <c r="B68" t="str">
        <f>VLOOKUP(A68,policy!B:C,2,0)</f>
        <v>070000174361</v>
      </c>
      <c r="C68" s="4">
        <v>12320</v>
      </c>
      <c r="D68" s="18">
        <f t="shared" si="5"/>
        <v>12320</v>
      </c>
      <c r="E68" s="22" t="s">
        <v>2340</v>
      </c>
      <c r="F68" s="19" t="str">
        <f t="shared" si="4"/>
        <v>insert into ins_premium_det (premium_rcv_code,assorted_code, rec_amount,premium_rcv_detail_code,remaining_amt, payrec, mode_code,coinsurance_code,class_cd,it_remarks) values</v>
      </c>
      <c r="G68" s="20" t="str">
        <f t="shared" si="6"/>
        <v>('06Mar250008','070000174361','12320',(select max(to_number(i.premium_rcv_detail_code))+1
from ins_premium_det i),'12320','12320','02', '11000003','00','Request by Mr. Saqib Saleem 06-Mar-2024');</v>
      </c>
      <c r="H68" s="21" t="str">
        <f t="shared" si="7"/>
        <v>insert into ins_premium_det (premium_rcv_code,assorted_code, rec_amount,premium_rcv_detail_code,remaining_amt, payrec, mode_code,coinsurance_code,class_cd,it_remarks) values('06Mar250008','070000174361','12320',(select max(to_number(i.premium_rcv_detail_code))+1
from ins_premium_det i),'12320','12320','02', '11000003','00','Request by Mr. Saqib Saleem 06-Mar-2024');</v>
      </c>
    </row>
    <row r="69" spans="1:8" ht="89.25" x14ac:dyDescent="0.2">
      <c r="A69" s="2" t="s">
        <v>503</v>
      </c>
      <c r="B69" t="str">
        <f>VLOOKUP(A69,policy!B:C,2,0)</f>
        <v>070000174359</v>
      </c>
      <c r="C69" s="4">
        <v>46836</v>
      </c>
      <c r="D69" s="18">
        <f t="shared" si="5"/>
        <v>46836</v>
      </c>
      <c r="E69" s="22" t="s">
        <v>2340</v>
      </c>
      <c r="F69" s="19" t="str">
        <f t="shared" si="4"/>
        <v>insert into ins_premium_det (premium_rcv_code,assorted_code, rec_amount,premium_rcv_detail_code,remaining_amt, payrec, mode_code,coinsurance_code,class_cd,it_remarks) values</v>
      </c>
      <c r="G69" s="20" t="str">
        <f t="shared" si="6"/>
        <v>('06Mar250008','070000174359','46836',(select max(to_number(i.premium_rcv_detail_code))+1
from ins_premium_det i),'46836','46836','02', '11000003','00','Request by Mr. Saqib Saleem 06-Mar-2024');</v>
      </c>
      <c r="H69" s="21" t="str">
        <f t="shared" si="7"/>
        <v>insert into ins_premium_det (premium_rcv_code,assorted_code, rec_amount,premium_rcv_detail_code,remaining_amt, payrec, mode_code,coinsurance_code,class_cd,it_remarks) values('06Mar250008','070000174359','46836',(select max(to_number(i.premium_rcv_detail_code))+1
from ins_premium_det i),'46836','46836','02', '11000003','00','Request by Mr. Saqib Saleem 06-Mar-2024');</v>
      </c>
    </row>
    <row r="70" spans="1:8" ht="89.25" x14ac:dyDescent="0.2">
      <c r="A70" s="2" t="s">
        <v>477</v>
      </c>
      <c r="B70" t="str">
        <f>VLOOKUP(A70,policy!B:C,2,0)</f>
        <v>070000174353</v>
      </c>
      <c r="C70" s="4">
        <v>15582</v>
      </c>
      <c r="D70" s="18">
        <f t="shared" si="5"/>
        <v>15582</v>
      </c>
      <c r="E70" s="22" t="s">
        <v>2340</v>
      </c>
      <c r="F70" s="19" t="str">
        <f t="shared" si="4"/>
        <v>insert into ins_premium_det (premium_rcv_code,assorted_code, rec_amount,premium_rcv_detail_code,remaining_amt, payrec, mode_code,coinsurance_code,class_cd,it_remarks) values</v>
      </c>
      <c r="G70" s="20" t="str">
        <f t="shared" si="6"/>
        <v>('06Mar250008','070000174353','15582',(select max(to_number(i.premium_rcv_detail_code))+1
from ins_premium_det i),'15582','15582','02', '11000003','00','Request by Mr. Saqib Saleem 06-Mar-2024');</v>
      </c>
      <c r="H70" s="21" t="str">
        <f t="shared" si="7"/>
        <v>insert into ins_premium_det (premium_rcv_code,assorted_code, rec_amount,premium_rcv_detail_code,remaining_amt, payrec, mode_code,coinsurance_code,class_cd,it_remarks) values('06Mar250008','070000174353','15582',(select max(to_number(i.premium_rcv_detail_code))+1
from ins_premium_det i),'15582','15582','02', '11000003','00','Request by Mr. Saqib Saleem 06-Mar-2024');</v>
      </c>
    </row>
    <row r="71" spans="1:8" ht="89.25" x14ac:dyDescent="0.2">
      <c r="A71" s="2" t="s">
        <v>516</v>
      </c>
      <c r="B71" t="str">
        <f>VLOOKUP(A71,policy!B:C,2,0)</f>
        <v>070000174362</v>
      </c>
      <c r="C71" s="4">
        <v>21644</v>
      </c>
      <c r="D71" s="18">
        <f t="shared" si="5"/>
        <v>21644</v>
      </c>
      <c r="E71" s="22" t="s">
        <v>2340</v>
      </c>
      <c r="F71" s="19" t="str">
        <f t="shared" si="4"/>
        <v>insert into ins_premium_det (premium_rcv_code,assorted_code, rec_amount,premium_rcv_detail_code,remaining_amt, payrec, mode_code,coinsurance_code,class_cd,it_remarks) values</v>
      </c>
      <c r="G71" s="20" t="str">
        <f t="shared" si="6"/>
        <v>('06Mar250008','070000174362','21644',(select max(to_number(i.premium_rcv_detail_code))+1
from ins_premium_det i),'21644','21644','02', '11000003','00','Request by Mr. Saqib Saleem 06-Mar-2024');</v>
      </c>
      <c r="H71" s="21" t="str">
        <f t="shared" si="7"/>
        <v>insert into ins_premium_det (premium_rcv_code,assorted_code, rec_amount,premium_rcv_detail_code,remaining_amt, payrec, mode_code,coinsurance_code,class_cd,it_remarks) values('06Mar250008','070000174362','21644',(select max(to_number(i.premium_rcv_detail_code))+1
from ins_premium_det i),'21644','21644','02', '11000003','00','Request by Mr. Saqib Saleem 06-Mar-2024');</v>
      </c>
    </row>
    <row r="72" spans="1:8" ht="89.25" x14ac:dyDescent="0.2">
      <c r="A72" s="2" t="s">
        <v>543</v>
      </c>
      <c r="B72" t="str">
        <f>VLOOKUP(A72,policy!B:C,2,0)</f>
        <v>070000174368</v>
      </c>
      <c r="C72" s="4">
        <v>29680</v>
      </c>
      <c r="D72" s="18">
        <f t="shared" si="5"/>
        <v>29680</v>
      </c>
      <c r="E72" s="22" t="s">
        <v>2340</v>
      </c>
      <c r="F72" s="19" t="str">
        <f t="shared" si="4"/>
        <v>insert into ins_premium_det (premium_rcv_code,assorted_code, rec_amount,premium_rcv_detail_code,remaining_amt, payrec, mode_code,coinsurance_code,class_cd,it_remarks) values</v>
      </c>
      <c r="G72" s="20" t="str">
        <f t="shared" si="6"/>
        <v>('06Mar250008','070000174368','29680',(select max(to_number(i.premium_rcv_detail_code))+1
from ins_premium_det i),'29680','29680','02', '11000003','00','Request by Mr. Saqib Saleem 06-Mar-2024');</v>
      </c>
      <c r="H72" s="21" t="str">
        <f t="shared" si="7"/>
        <v>insert into ins_premium_det (premium_rcv_code,assorted_code, rec_amount,premium_rcv_detail_code,remaining_amt, payrec, mode_code,coinsurance_code,class_cd,it_remarks) values('06Mar250008','070000174368','29680',(select max(to_number(i.premium_rcv_detail_code))+1
from ins_premium_det i),'29680','29680','02', '11000003','00','Request by Mr. Saqib Saleem 06-Mar-2024');</v>
      </c>
    </row>
    <row r="73" spans="1:8" ht="89.25" x14ac:dyDescent="0.2">
      <c r="A73" s="2" t="s">
        <v>539</v>
      </c>
      <c r="B73" t="str">
        <f>VLOOKUP(A73,policy!B:C,2,0)</f>
        <v>070000174367</v>
      </c>
      <c r="C73" s="4">
        <v>30450</v>
      </c>
      <c r="D73" s="18">
        <f t="shared" si="5"/>
        <v>30450</v>
      </c>
      <c r="E73" s="22" t="s">
        <v>2340</v>
      </c>
      <c r="F73" s="19" t="str">
        <f t="shared" si="4"/>
        <v>insert into ins_premium_det (premium_rcv_code,assorted_code, rec_amount,premium_rcv_detail_code,remaining_amt, payrec, mode_code,coinsurance_code,class_cd,it_remarks) values</v>
      </c>
      <c r="G73" s="20" t="str">
        <f t="shared" si="6"/>
        <v>('06Mar250008','070000174367','30450',(select max(to_number(i.premium_rcv_detail_code))+1
from ins_premium_det i),'30450','30450','02', '11000003','00','Request by Mr. Saqib Saleem 06-Mar-2024');</v>
      </c>
      <c r="H73" s="21" t="str">
        <f t="shared" si="7"/>
        <v>insert into ins_premium_det (premium_rcv_code,assorted_code, rec_amount,premium_rcv_detail_code,remaining_amt, payrec, mode_code,coinsurance_code,class_cd,it_remarks) values('06Mar250008','070000174367','30450',(select max(to_number(i.premium_rcv_detail_code))+1
from ins_premium_det i),'30450','30450','02', '11000003','00','Request by Mr. Saqib Saleem 06-Mar-2024');</v>
      </c>
    </row>
    <row r="74" spans="1:8" ht="89.25" x14ac:dyDescent="0.2">
      <c r="A74" s="2" t="s">
        <v>529</v>
      </c>
      <c r="B74" t="str">
        <f>VLOOKUP(A74,policy!B:C,2,0)</f>
        <v>070000174364</v>
      </c>
      <c r="C74" s="4">
        <v>40000</v>
      </c>
      <c r="D74" s="18">
        <f t="shared" si="5"/>
        <v>40000</v>
      </c>
      <c r="E74" s="22" t="s">
        <v>2340</v>
      </c>
      <c r="F74" s="19" t="str">
        <f t="shared" si="4"/>
        <v>insert into ins_premium_det (premium_rcv_code,assorted_code, rec_amount,premium_rcv_detail_code,remaining_amt, payrec, mode_code,coinsurance_code,class_cd,it_remarks) values</v>
      </c>
      <c r="G74" s="20" t="str">
        <f t="shared" si="6"/>
        <v>('06Mar250008','070000174364','40000',(select max(to_number(i.premium_rcv_detail_code))+1
from ins_premium_det i),'40000','40000','02', '11000003','00','Request by Mr. Saqib Saleem 06-Mar-2024');</v>
      </c>
      <c r="H74" s="21" t="str">
        <f t="shared" si="7"/>
        <v>insert into ins_premium_det (premium_rcv_code,assorted_code, rec_amount,premium_rcv_detail_code,remaining_amt, payrec, mode_code,coinsurance_code,class_cd,it_remarks) values('06Mar250008','070000174364','40000',(select max(to_number(i.premium_rcv_detail_code))+1
from ins_premium_det i),'40000','40000','02', '11000003','00','Request by Mr. Saqib Saleem 06-Mar-2024');</v>
      </c>
    </row>
    <row r="75" spans="1:8" ht="89.25" x14ac:dyDescent="0.2">
      <c r="A75" s="2" t="s">
        <v>999</v>
      </c>
      <c r="B75" t="str">
        <f>VLOOKUP(A75,policy!B:C,2,0)</f>
        <v>070000174294</v>
      </c>
      <c r="C75" s="4">
        <v>30200</v>
      </c>
      <c r="D75" s="18">
        <f t="shared" si="5"/>
        <v>30200</v>
      </c>
      <c r="E75" s="22" t="s">
        <v>2340</v>
      </c>
      <c r="F75" s="19" t="str">
        <f t="shared" si="4"/>
        <v>insert into ins_premium_det (premium_rcv_code,assorted_code, rec_amount,premium_rcv_detail_code,remaining_amt, payrec, mode_code,coinsurance_code,class_cd,it_remarks) values</v>
      </c>
      <c r="G75" s="20" t="str">
        <f t="shared" si="6"/>
        <v>('06Mar250008','070000174294','30200',(select max(to_number(i.premium_rcv_detail_code))+1
from ins_premium_det i),'30200','30200','02', '11000003','00','Request by Mr. Saqib Saleem 06-Mar-2024');</v>
      </c>
      <c r="H75" s="21" t="str">
        <f t="shared" si="7"/>
        <v>insert into ins_premium_det (premium_rcv_code,assorted_code, rec_amount,premium_rcv_detail_code,remaining_amt, payrec, mode_code,coinsurance_code,class_cd,it_remarks) values('06Mar250008','070000174294','30200',(select max(to_number(i.premium_rcv_detail_code))+1
from ins_premium_det i),'30200','30200','02', '11000003','00','Request by Mr. Saqib Saleem 06-Mar-2024');</v>
      </c>
    </row>
    <row r="76" spans="1:8" ht="89.25" x14ac:dyDescent="0.2">
      <c r="A76" s="2" t="s">
        <v>534</v>
      </c>
      <c r="B76" t="str">
        <f>VLOOKUP(A76,policy!B:C,2,0)</f>
        <v>070000174366</v>
      </c>
      <c r="C76" s="4">
        <v>23560</v>
      </c>
      <c r="D76" s="18">
        <f t="shared" si="5"/>
        <v>23560</v>
      </c>
      <c r="E76" s="22" t="s">
        <v>2340</v>
      </c>
      <c r="F76" s="19" t="str">
        <f t="shared" si="4"/>
        <v>insert into ins_premium_det (premium_rcv_code,assorted_code, rec_amount,premium_rcv_detail_code,remaining_amt, payrec, mode_code,coinsurance_code,class_cd,it_remarks) values</v>
      </c>
      <c r="G76" s="20" t="str">
        <f t="shared" si="6"/>
        <v>('06Mar250008','070000174366','23560',(select max(to_number(i.premium_rcv_detail_code))+1
from ins_premium_det i),'23560','23560','02', '11000003','00','Request by Mr. Saqib Saleem 06-Mar-2024');</v>
      </c>
      <c r="H76" s="21" t="str">
        <f t="shared" si="7"/>
        <v>insert into ins_premium_det (premium_rcv_code,assorted_code, rec_amount,premium_rcv_detail_code,remaining_amt, payrec, mode_code,coinsurance_code,class_cd,it_remarks) values('06Mar250008','070000174366','23560',(select max(to_number(i.premium_rcv_detail_code))+1
from ins_premium_det i),'23560','23560','02', '11000003','00','Request by Mr. Saqib Saleem 06-Mar-2024');</v>
      </c>
    </row>
    <row r="77" spans="1:8" ht="89.25" x14ac:dyDescent="0.2">
      <c r="A77" s="2" t="s">
        <v>636</v>
      </c>
      <c r="B77" t="str">
        <f>VLOOKUP(A77,policy!B:C,2,0)</f>
        <v>070000174388</v>
      </c>
      <c r="C77" s="4">
        <v>24360</v>
      </c>
      <c r="D77" s="18">
        <f t="shared" si="5"/>
        <v>24360</v>
      </c>
      <c r="E77" s="22" t="s">
        <v>2340</v>
      </c>
      <c r="F77" s="19" t="str">
        <f t="shared" si="4"/>
        <v>insert into ins_premium_det (premium_rcv_code,assorted_code, rec_amount,premium_rcv_detail_code,remaining_amt, payrec, mode_code,coinsurance_code,class_cd,it_remarks) values</v>
      </c>
      <c r="G77" s="20" t="str">
        <f t="shared" si="6"/>
        <v>('06Mar250008','070000174388','24360',(select max(to_number(i.premium_rcv_detail_code))+1
from ins_premium_det i),'24360','24360','02', '11000003','00','Request by Mr. Saqib Saleem 06-Mar-2024');</v>
      </c>
      <c r="H77" s="21" t="str">
        <f t="shared" si="7"/>
        <v>insert into ins_premium_det (premium_rcv_code,assorted_code, rec_amount,premium_rcv_detail_code,remaining_amt, payrec, mode_code,coinsurance_code,class_cd,it_remarks) values('06Mar250008','070000174388','24360',(select max(to_number(i.premium_rcv_detail_code))+1
from ins_premium_det i),'24360','24360','02', '11000003','00','Request by Mr. Saqib Saleem 06-Mar-2024');</v>
      </c>
    </row>
    <row r="78" spans="1:8" ht="89.25" x14ac:dyDescent="0.2">
      <c r="A78" s="2" t="s">
        <v>524</v>
      </c>
      <c r="B78" t="str">
        <f>VLOOKUP(A78,policy!B:C,2,0)</f>
        <v>070000174363</v>
      </c>
      <c r="C78" s="4">
        <v>26680</v>
      </c>
      <c r="D78" s="18">
        <f t="shared" si="5"/>
        <v>26680</v>
      </c>
      <c r="E78" s="22" t="s">
        <v>2340</v>
      </c>
      <c r="F78" s="19" t="str">
        <f t="shared" si="4"/>
        <v>insert into ins_premium_det (premium_rcv_code,assorted_code, rec_amount,premium_rcv_detail_code,remaining_amt, payrec, mode_code,coinsurance_code,class_cd,it_remarks) values</v>
      </c>
      <c r="G78" s="20" t="str">
        <f t="shared" si="6"/>
        <v>('06Mar250008','070000174363','26680',(select max(to_number(i.premium_rcv_detail_code))+1
from ins_premium_det i),'26680','26680','02', '11000003','00','Request by Mr. Saqib Saleem 06-Mar-2024');</v>
      </c>
      <c r="H78" s="21" t="str">
        <f t="shared" si="7"/>
        <v>insert into ins_premium_det (premium_rcv_code,assorted_code, rec_amount,premium_rcv_detail_code,remaining_amt, payrec, mode_code,coinsurance_code,class_cd,it_remarks) values('06Mar250008','070000174363','26680',(select max(to_number(i.premium_rcv_detail_code))+1
from ins_premium_det i),'26680','26680','02', '11000003','00','Request by Mr. Saqib Saleem 06-Mar-2024');</v>
      </c>
    </row>
    <row r="79" spans="1:8" ht="89.25" x14ac:dyDescent="0.2">
      <c r="A79" s="2" t="s">
        <v>486</v>
      </c>
      <c r="B79" t="str">
        <f>VLOOKUP(A79,policy!B:C,2,0)</f>
        <v>070000174355</v>
      </c>
      <c r="C79" s="4">
        <v>29400</v>
      </c>
      <c r="D79" s="18">
        <f t="shared" si="5"/>
        <v>29400</v>
      </c>
      <c r="E79" s="22" t="s">
        <v>2340</v>
      </c>
      <c r="F79" s="19" t="str">
        <f t="shared" si="4"/>
        <v>insert into ins_premium_det (premium_rcv_code,assorted_code, rec_amount,premium_rcv_detail_code,remaining_amt, payrec, mode_code,coinsurance_code,class_cd,it_remarks) values</v>
      </c>
      <c r="G79" s="20" t="str">
        <f t="shared" si="6"/>
        <v>('06Mar250008','070000174355','29400',(select max(to_number(i.premium_rcv_detail_code))+1
from ins_premium_det i),'29400','29400','02', '11000003','00','Request by Mr. Saqib Saleem 06-Mar-2024');</v>
      </c>
      <c r="H79" s="21" t="str">
        <f t="shared" si="7"/>
        <v>insert into ins_premium_det (premium_rcv_code,assorted_code, rec_amount,premium_rcv_detail_code,remaining_amt, payrec, mode_code,coinsurance_code,class_cd,it_remarks) values('06Mar250008','070000174355','29400',(select max(to_number(i.premium_rcv_detail_code))+1
from ins_premium_det i),'29400','29400','02', '11000003','00','Request by Mr. Saqib Saleem 06-Mar-2024');</v>
      </c>
    </row>
    <row r="80" spans="1:8" ht="89.25" x14ac:dyDescent="0.2">
      <c r="A80" s="2" t="s">
        <v>632</v>
      </c>
      <c r="B80" t="str">
        <f>VLOOKUP(A80,policy!B:C,2,0)</f>
        <v>070000174387</v>
      </c>
      <c r="C80" s="4">
        <v>23560</v>
      </c>
      <c r="D80" s="18">
        <f t="shared" si="5"/>
        <v>23560</v>
      </c>
      <c r="E80" s="22" t="s">
        <v>2340</v>
      </c>
      <c r="F80" s="19" t="str">
        <f t="shared" si="4"/>
        <v>insert into ins_premium_det (premium_rcv_code,assorted_code, rec_amount,premium_rcv_detail_code,remaining_amt, payrec, mode_code,coinsurance_code,class_cd,it_remarks) values</v>
      </c>
      <c r="G80" s="20" t="str">
        <f t="shared" si="6"/>
        <v>('06Mar250008','070000174387','23560',(select max(to_number(i.premium_rcv_detail_code))+1
from ins_premium_det i),'23560','23560','02', '11000003','00','Request by Mr. Saqib Saleem 06-Mar-2024');</v>
      </c>
      <c r="H80" s="21" t="str">
        <f t="shared" si="7"/>
        <v>insert into ins_premium_det (premium_rcv_code,assorted_code, rec_amount,premium_rcv_detail_code,remaining_amt, payrec, mode_code,coinsurance_code,class_cd,it_remarks) values('06Mar250008','070000174387','23560',(select max(to_number(i.premium_rcv_detail_code))+1
from ins_premium_det i),'23560','23560','02', '11000003','00','Request by Mr. Saqib Saleem 06-Mar-2024');</v>
      </c>
    </row>
    <row r="81" spans="1:8" ht="89.25" x14ac:dyDescent="0.2">
      <c r="A81" s="2" t="s">
        <v>1050</v>
      </c>
      <c r="B81" t="str">
        <f>VLOOKUP(A81,policy!B:C,2,0)</f>
        <v>070000174169</v>
      </c>
      <c r="C81" s="4">
        <v>15638</v>
      </c>
      <c r="D81" s="18">
        <f t="shared" si="5"/>
        <v>15638</v>
      </c>
      <c r="E81" s="22" t="s">
        <v>2340</v>
      </c>
      <c r="F81" s="19" t="str">
        <f t="shared" si="4"/>
        <v>insert into ins_premium_det (premium_rcv_code,assorted_code, rec_amount,premium_rcv_detail_code,remaining_amt, payrec, mode_code,coinsurance_code,class_cd,it_remarks) values</v>
      </c>
      <c r="G81" s="20" t="str">
        <f t="shared" si="6"/>
        <v>('06Mar250008','070000174169','15638',(select max(to_number(i.premium_rcv_detail_code))+1
from ins_premium_det i),'15638','15638','02', '11000003','00','Request by Mr. Saqib Saleem 06-Mar-2024');</v>
      </c>
      <c r="H81" s="21" t="str">
        <f t="shared" si="7"/>
        <v>insert into ins_premium_det (premium_rcv_code,assorted_code, rec_amount,premium_rcv_detail_code,remaining_amt, payrec, mode_code,coinsurance_code,class_cd,it_remarks) values('06Mar250008','070000174169','15638',(select max(to_number(i.premium_rcv_detail_code))+1
from ins_premium_det i),'15638','15638','02', '11000003','00','Request by Mr. Saqib Saleem 06-Mar-2024');</v>
      </c>
    </row>
    <row r="82" spans="1:8" ht="89.25" x14ac:dyDescent="0.2">
      <c r="A82" s="2" t="s">
        <v>577</v>
      </c>
      <c r="B82" t="str">
        <f>VLOOKUP(A82,policy!B:C,2,0)</f>
        <v>070000174375</v>
      </c>
      <c r="C82" s="4">
        <v>30400</v>
      </c>
      <c r="D82" s="18">
        <f t="shared" si="5"/>
        <v>30400</v>
      </c>
      <c r="E82" s="22" t="s">
        <v>2340</v>
      </c>
      <c r="F82" s="19" t="str">
        <f t="shared" si="4"/>
        <v>insert into ins_premium_det (premium_rcv_code,assorted_code, rec_amount,premium_rcv_detail_code,remaining_amt, payrec, mode_code,coinsurance_code,class_cd,it_remarks) values</v>
      </c>
      <c r="G82" s="20" t="str">
        <f t="shared" si="6"/>
        <v>('06Mar250008','070000174375','30400',(select max(to_number(i.premium_rcv_detail_code))+1
from ins_premium_det i),'30400','30400','02', '11000003','00','Request by Mr. Saqib Saleem 06-Mar-2024');</v>
      </c>
      <c r="H82" s="21" t="str">
        <f t="shared" si="7"/>
        <v>insert into ins_premium_det (premium_rcv_code,assorted_code, rec_amount,premium_rcv_detail_code,remaining_amt, payrec, mode_code,coinsurance_code,class_cd,it_remarks) values('06Mar250008','070000174375','30400',(select max(to_number(i.premium_rcv_detail_code))+1
from ins_premium_det i),'30400','30400','02', '11000003','00','Request by Mr. Saqib Saleem 06-Mar-2024');</v>
      </c>
    </row>
    <row r="83" spans="1:8" ht="89.25" x14ac:dyDescent="0.2">
      <c r="A83" s="2" t="s">
        <v>556</v>
      </c>
      <c r="B83" t="str">
        <f>VLOOKUP(A83,policy!B:C,2,0)</f>
        <v>070000174371</v>
      </c>
      <c r="C83" s="4">
        <v>36000</v>
      </c>
      <c r="D83" s="18">
        <f t="shared" si="5"/>
        <v>36000</v>
      </c>
      <c r="E83" s="22" t="s">
        <v>2340</v>
      </c>
      <c r="F83" s="19" t="str">
        <f t="shared" si="4"/>
        <v>insert into ins_premium_det (premium_rcv_code,assorted_code, rec_amount,premium_rcv_detail_code,remaining_amt, payrec, mode_code,coinsurance_code,class_cd,it_remarks) values</v>
      </c>
      <c r="G83" s="20" t="str">
        <f t="shared" si="6"/>
        <v>('06Mar250008','070000174371','36000',(select max(to_number(i.premium_rcv_detail_code))+1
from ins_premium_det i),'36000','36000','02', '11000003','00','Request by Mr. Saqib Saleem 06-Mar-2024');</v>
      </c>
      <c r="H83" s="21" t="str">
        <f t="shared" si="7"/>
        <v>insert into ins_premium_det (premium_rcv_code,assorted_code, rec_amount,premium_rcv_detail_code,remaining_amt, payrec, mode_code,coinsurance_code,class_cd,it_remarks) values('06Mar250008','070000174371','36000',(select max(to_number(i.premium_rcv_detail_code))+1
from ins_premium_det i),'36000','36000','02', '11000003','00','Request by Mr. Saqib Saleem 06-Mar-2024');</v>
      </c>
    </row>
    <row r="84" spans="1:8" ht="89.25" x14ac:dyDescent="0.2">
      <c r="A84" s="2" t="s">
        <v>590</v>
      </c>
      <c r="B84" t="str">
        <f>VLOOKUP(A84,policy!B:C,2,0)</f>
        <v>070000174378</v>
      </c>
      <c r="C84" s="4">
        <v>35400</v>
      </c>
      <c r="D84" s="18">
        <f t="shared" si="5"/>
        <v>35400</v>
      </c>
      <c r="E84" s="22" t="s">
        <v>2340</v>
      </c>
      <c r="F84" s="19" t="str">
        <f t="shared" si="4"/>
        <v>insert into ins_premium_det (premium_rcv_code,assorted_code, rec_amount,premium_rcv_detail_code,remaining_amt, payrec, mode_code,coinsurance_code,class_cd,it_remarks) values</v>
      </c>
      <c r="G84" s="20" t="str">
        <f t="shared" si="6"/>
        <v>('06Mar250008','070000174378','35400',(select max(to_number(i.premium_rcv_detail_code))+1
from ins_premium_det i),'35400','35400','02', '11000003','00','Request by Mr. Saqib Saleem 06-Mar-2024');</v>
      </c>
      <c r="H84" s="21" t="str">
        <f t="shared" si="7"/>
        <v>insert into ins_premium_det (premium_rcv_code,assorted_code, rec_amount,premium_rcv_detail_code,remaining_amt, payrec, mode_code,coinsurance_code,class_cd,it_remarks) values('06Mar250008','070000174378','35400',(select max(to_number(i.premium_rcv_detail_code))+1
from ins_premium_det i),'35400','35400','02', '11000003','00','Request by Mr. Saqib Saleem 06-Mar-2024');</v>
      </c>
    </row>
    <row r="85" spans="1:8" ht="89.25" x14ac:dyDescent="0.2">
      <c r="A85" s="2" t="s">
        <v>623</v>
      </c>
      <c r="B85" t="str">
        <f>VLOOKUP(A85,policy!B:C,2,0)</f>
        <v>070000174385</v>
      </c>
      <c r="C85" s="4">
        <v>50598</v>
      </c>
      <c r="D85" s="18">
        <f t="shared" si="5"/>
        <v>50598</v>
      </c>
      <c r="E85" s="22" t="s">
        <v>2340</v>
      </c>
      <c r="F85" s="19" t="str">
        <f t="shared" si="4"/>
        <v>insert into ins_premium_det (premium_rcv_code,assorted_code, rec_amount,premium_rcv_detail_code,remaining_amt, payrec, mode_code,coinsurance_code,class_cd,it_remarks) values</v>
      </c>
      <c r="G85" s="20" t="str">
        <f t="shared" si="6"/>
        <v>('06Mar250008','070000174385','50598',(select max(to_number(i.premium_rcv_detail_code))+1
from ins_premium_det i),'50598','50598','02', '11000003','00','Request by Mr. Saqib Saleem 06-Mar-2024');</v>
      </c>
      <c r="H85" s="21" t="str">
        <f t="shared" si="7"/>
        <v>insert into ins_premium_det (premium_rcv_code,assorted_code, rec_amount,premium_rcv_detail_code,remaining_amt, payrec, mode_code,coinsurance_code,class_cd,it_remarks) values('06Mar250008','070000174385','50598',(select max(to_number(i.premium_rcv_detail_code))+1
from ins_premium_det i),'50598','50598','02', '11000003','00','Request by Mr. Saqib Saleem 06-Mar-2024');</v>
      </c>
    </row>
    <row r="86" spans="1:8" ht="89.25" x14ac:dyDescent="0.2">
      <c r="A86" s="2" t="s">
        <v>607</v>
      </c>
      <c r="B86" t="str">
        <f>VLOOKUP(A86,policy!B:C,2,0)</f>
        <v>070000174382</v>
      </c>
      <c r="C86" s="4">
        <v>45500</v>
      </c>
      <c r="D86" s="18">
        <f t="shared" si="5"/>
        <v>45500</v>
      </c>
      <c r="E86" s="22" t="s">
        <v>2340</v>
      </c>
      <c r="F86" s="19" t="str">
        <f t="shared" si="4"/>
        <v>insert into ins_premium_det (premium_rcv_code,assorted_code, rec_amount,premium_rcv_detail_code,remaining_amt, payrec, mode_code,coinsurance_code,class_cd,it_remarks) values</v>
      </c>
      <c r="G86" s="20" t="str">
        <f t="shared" si="6"/>
        <v>('06Mar250008','070000174382','45500',(select max(to_number(i.premium_rcv_detail_code))+1
from ins_premium_det i),'45500','45500','02', '11000003','00','Request by Mr. Saqib Saleem 06-Mar-2024');</v>
      </c>
      <c r="H86" s="21" t="str">
        <f t="shared" si="7"/>
        <v>insert into ins_premium_det (premium_rcv_code,assorted_code, rec_amount,premium_rcv_detail_code,remaining_amt, payrec, mode_code,coinsurance_code,class_cd,it_remarks) values('06Mar250008','070000174382','45500',(select max(to_number(i.premium_rcv_detail_code))+1
from ins_premium_det i),'45500','45500','02', '11000003','00','Request by Mr. Saqib Saleem 06-Mar-2024');</v>
      </c>
    </row>
    <row r="87" spans="1:8" ht="89.25" x14ac:dyDescent="0.2">
      <c r="A87" s="2" t="s">
        <v>598</v>
      </c>
      <c r="B87" t="str">
        <f>VLOOKUP(A87,policy!B:C,2,0)</f>
        <v>070000174380</v>
      </c>
      <c r="C87" s="4">
        <v>52200</v>
      </c>
      <c r="D87" s="18">
        <f t="shared" si="5"/>
        <v>52200</v>
      </c>
      <c r="E87" s="22" t="s">
        <v>2340</v>
      </c>
      <c r="F87" s="19" t="str">
        <f t="shared" si="4"/>
        <v>insert into ins_premium_det (premium_rcv_code,assorted_code, rec_amount,premium_rcv_detail_code,remaining_amt, payrec, mode_code,coinsurance_code,class_cd,it_remarks) values</v>
      </c>
      <c r="G87" s="20" t="str">
        <f t="shared" si="6"/>
        <v>('06Mar250008','070000174380','52200',(select max(to_number(i.premium_rcv_detail_code))+1
from ins_premium_det i),'52200','52200','02', '11000003','00','Request by Mr. Saqib Saleem 06-Mar-2024');</v>
      </c>
      <c r="H87" s="21" t="str">
        <f t="shared" si="7"/>
        <v>insert into ins_premium_det (premium_rcv_code,assorted_code, rec_amount,premium_rcv_detail_code,remaining_amt, payrec, mode_code,coinsurance_code,class_cd,it_remarks) values('06Mar250008','070000174380','52200',(select max(to_number(i.premium_rcv_detail_code))+1
from ins_premium_det i),'52200','52200','02', '11000003','00','Request by Mr. Saqib Saleem 06-Mar-2024');</v>
      </c>
    </row>
    <row r="88" spans="1:8" ht="89.25" x14ac:dyDescent="0.2">
      <c r="A88" s="2" t="s">
        <v>1059</v>
      </c>
      <c r="B88" t="str">
        <f>VLOOKUP(A88,policy!B:C,2,0)</f>
        <v>070000174173</v>
      </c>
      <c r="C88" s="4">
        <v>15638</v>
      </c>
      <c r="D88" s="18">
        <f t="shared" si="5"/>
        <v>15638</v>
      </c>
      <c r="E88" s="22" t="s">
        <v>2340</v>
      </c>
      <c r="F88" s="19" t="str">
        <f t="shared" si="4"/>
        <v>insert into ins_premium_det (premium_rcv_code,assorted_code, rec_amount,premium_rcv_detail_code,remaining_amt, payrec, mode_code,coinsurance_code,class_cd,it_remarks) values</v>
      </c>
      <c r="G88" s="20" t="str">
        <f t="shared" si="6"/>
        <v>('06Mar250008','070000174173','15638',(select max(to_number(i.premium_rcv_detail_code))+1
from ins_premium_det i),'15638','15638','02', '11000003','00','Request by Mr. Saqib Saleem 06-Mar-2024');</v>
      </c>
      <c r="H88" s="21" t="str">
        <f t="shared" si="7"/>
        <v>insert into ins_premium_det (premium_rcv_code,assorted_code, rec_amount,premium_rcv_detail_code,remaining_amt, payrec, mode_code,coinsurance_code,class_cd,it_remarks) values('06Mar250008','070000174173','15638',(select max(to_number(i.premium_rcv_detail_code))+1
from ins_premium_det i),'15638','15638','02', '11000003','00','Request by Mr. Saqib Saleem 06-Mar-2024');</v>
      </c>
    </row>
    <row r="89" spans="1:8" ht="89.25" x14ac:dyDescent="0.2">
      <c r="A89" s="2" t="s">
        <v>602</v>
      </c>
      <c r="B89" t="str">
        <f>VLOOKUP(A89,policy!B:C,2,0)</f>
        <v>070000174381</v>
      </c>
      <c r="C89" s="4">
        <v>50856</v>
      </c>
      <c r="D89" s="18">
        <f t="shared" si="5"/>
        <v>50856</v>
      </c>
      <c r="E89" s="22" t="s">
        <v>2340</v>
      </c>
      <c r="F89" s="19" t="str">
        <f t="shared" si="4"/>
        <v>insert into ins_premium_det (premium_rcv_code,assorted_code, rec_amount,premium_rcv_detail_code,remaining_amt, payrec, mode_code,coinsurance_code,class_cd,it_remarks) values</v>
      </c>
      <c r="G89" s="20" t="str">
        <f t="shared" si="6"/>
        <v>('06Mar250008','070000174381','50856',(select max(to_number(i.premium_rcv_detail_code))+1
from ins_premium_det i),'50856','50856','02', '11000003','00','Request by Mr. Saqib Saleem 06-Mar-2024');</v>
      </c>
      <c r="H89" s="21" t="str">
        <f t="shared" si="7"/>
        <v>insert into ins_premium_det (premium_rcv_code,assorted_code, rec_amount,premium_rcv_detail_code,remaining_amt, payrec, mode_code,coinsurance_code,class_cd,it_remarks) values('06Mar250008','070000174381','50856',(select max(to_number(i.premium_rcv_detail_code))+1
from ins_premium_det i),'50856','50856','02', '11000003','00','Request by Mr. Saqib Saleem 06-Mar-2024');</v>
      </c>
    </row>
    <row r="90" spans="1:8" ht="89.25" x14ac:dyDescent="0.2">
      <c r="A90" s="2" t="s">
        <v>569</v>
      </c>
      <c r="B90" t="str">
        <f>VLOOKUP(A90,policy!B:C,2,0)</f>
        <v>070000174373</v>
      </c>
      <c r="C90" s="4">
        <v>16492</v>
      </c>
      <c r="D90" s="18">
        <f t="shared" si="5"/>
        <v>16492</v>
      </c>
      <c r="E90" s="22" t="s">
        <v>2340</v>
      </c>
      <c r="F90" s="19" t="str">
        <f t="shared" si="4"/>
        <v>insert into ins_premium_det (premium_rcv_code,assorted_code, rec_amount,premium_rcv_detail_code,remaining_amt, payrec, mode_code,coinsurance_code,class_cd,it_remarks) values</v>
      </c>
      <c r="G90" s="20" t="str">
        <f t="shared" si="6"/>
        <v>('06Mar250008','070000174373','16492',(select max(to_number(i.premium_rcv_detail_code))+1
from ins_premium_det i),'16492','16492','02', '11000003','00','Request by Mr. Saqib Saleem 06-Mar-2024');</v>
      </c>
      <c r="H90" s="21" t="str">
        <f t="shared" si="7"/>
        <v>insert into ins_premium_det (premium_rcv_code,assorted_code, rec_amount,premium_rcv_detail_code,remaining_amt, payrec, mode_code,coinsurance_code,class_cd,it_remarks) values('06Mar250008','070000174373','16492',(select max(to_number(i.premium_rcv_detail_code))+1
from ins_premium_det i),'16492','16492','02', '11000003','00','Request by Mr. Saqib Saleem 06-Mar-2024');</v>
      </c>
    </row>
    <row r="91" spans="1:8" ht="89.25" x14ac:dyDescent="0.2">
      <c r="A91" s="2" t="s">
        <v>481</v>
      </c>
      <c r="B91" t="str">
        <f>VLOOKUP(A91,policy!B:C,2,0)</f>
        <v>070000174354</v>
      </c>
      <c r="C91" s="4">
        <v>16492</v>
      </c>
      <c r="D91" s="18">
        <f t="shared" si="5"/>
        <v>16492</v>
      </c>
      <c r="E91" s="22" t="s">
        <v>2340</v>
      </c>
      <c r="F91" s="19" t="str">
        <f t="shared" si="4"/>
        <v>insert into ins_premium_det (premium_rcv_code,assorted_code, rec_amount,premium_rcv_detail_code,remaining_amt, payrec, mode_code,coinsurance_code,class_cd,it_remarks) values</v>
      </c>
      <c r="G91" s="20" t="str">
        <f t="shared" si="6"/>
        <v>('06Mar250008','070000174354','16492',(select max(to_number(i.premium_rcv_detail_code))+1
from ins_premium_det i),'16492','16492','02', '11000003','00','Request by Mr. Saqib Saleem 06-Mar-2024');</v>
      </c>
      <c r="H91" s="21" t="str">
        <f t="shared" si="7"/>
        <v>insert into ins_premium_det (premium_rcv_code,assorted_code, rec_amount,premium_rcv_detail_code,remaining_amt, payrec, mode_code,coinsurance_code,class_cd,it_remarks) values('06Mar250008','070000174354','16492',(select max(to_number(i.premium_rcv_detail_code))+1
from ins_premium_det i),'16492','16492','02', '11000003','00','Request by Mr. Saqib Saleem 06-Mar-2024');</v>
      </c>
    </row>
    <row r="92" spans="1:8" ht="89.25" x14ac:dyDescent="0.2">
      <c r="A92" s="2" t="s">
        <v>641</v>
      </c>
      <c r="B92" t="str">
        <f>VLOOKUP(A92,policy!B:C,2,0)</f>
        <v>070000174389</v>
      </c>
      <c r="C92" s="4">
        <v>14000</v>
      </c>
      <c r="D92" s="18">
        <f t="shared" si="5"/>
        <v>14000</v>
      </c>
      <c r="E92" s="22" t="s">
        <v>2340</v>
      </c>
      <c r="F92" s="19" t="str">
        <f t="shared" si="4"/>
        <v>insert into ins_premium_det (premium_rcv_code,assorted_code, rec_amount,premium_rcv_detail_code,remaining_amt, payrec, mode_code,coinsurance_code,class_cd,it_remarks) values</v>
      </c>
      <c r="G92" s="20" t="str">
        <f t="shared" si="6"/>
        <v>('06Mar250008','070000174389','14000',(select max(to_number(i.premium_rcv_detail_code))+1
from ins_premium_det i),'14000','14000','02', '11000003','00','Request by Mr. Saqib Saleem 06-Mar-2024');</v>
      </c>
      <c r="H92" s="21" t="str">
        <f t="shared" si="7"/>
        <v>insert into ins_premium_det (premium_rcv_code,assorted_code, rec_amount,premium_rcv_detail_code,remaining_amt, payrec, mode_code,coinsurance_code,class_cd,it_remarks) values('06Mar250008','070000174389','14000',(select max(to_number(i.premium_rcv_detail_code))+1
from ins_premium_det i),'14000','14000','02', '11000003','00','Request by Mr. Saqib Saleem 06-Mar-2024');</v>
      </c>
    </row>
    <row r="93" spans="1:8" ht="89.25" x14ac:dyDescent="0.2">
      <c r="A93" s="2" t="s">
        <v>619</v>
      </c>
      <c r="B93" t="str">
        <f>VLOOKUP(A93,policy!B:C,2,0)</f>
        <v>070000174384</v>
      </c>
      <c r="C93" s="4">
        <v>36400</v>
      </c>
      <c r="D93" s="18">
        <f t="shared" si="5"/>
        <v>36400</v>
      </c>
      <c r="E93" s="22" t="s">
        <v>2340</v>
      </c>
      <c r="F93" s="19" t="str">
        <f t="shared" si="4"/>
        <v>insert into ins_premium_det (premium_rcv_code,assorted_code, rec_amount,premium_rcv_detail_code,remaining_amt, payrec, mode_code,coinsurance_code,class_cd,it_remarks) values</v>
      </c>
      <c r="G93" s="20" t="str">
        <f t="shared" si="6"/>
        <v>('06Mar250008','070000174384','36400',(select max(to_number(i.premium_rcv_detail_code))+1
from ins_premium_det i),'36400','36400','02', '11000003','00','Request by Mr. Saqib Saleem 06-Mar-2024');</v>
      </c>
      <c r="H93" s="21" t="str">
        <f t="shared" si="7"/>
        <v>insert into ins_premium_det (premium_rcv_code,assorted_code, rec_amount,premium_rcv_detail_code,remaining_amt, payrec, mode_code,coinsurance_code,class_cd,it_remarks) values('06Mar250008','070000174384','36400',(select max(to_number(i.premium_rcv_detail_code))+1
from ins_premium_det i),'36400','36400','02', '11000003','00','Request by Mr. Saqib Saleem 06-Mar-2024');</v>
      </c>
    </row>
    <row r="94" spans="1:8" ht="89.25" x14ac:dyDescent="0.2">
      <c r="A94" s="2" t="s">
        <v>499</v>
      </c>
      <c r="B94" t="str">
        <f>VLOOKUP(A94,policy!B:C,2,0)</f>
        <v>070000174358</v>
      </c>
      <c r="C94" s="4">
        <v>21644</v>
      </c>
      <c r="D94" s="18">
        <f t="shared" si="5"/>
        <v>21644</v>
      </c>
      <c r="E94" s="22" t="s">
        <v>2340</v>
      </c>
      <c r="F94" s="19" t="str">
        <f t="shared" si="4"/>
        <v>insert into ins_premium_det (premium_rcv_code,assorted_code, rec_amount,premium_rcv_detail_code,remaining_amt, payrec, mode_code,coinsurance_code,class_cd,it_remarks) values</v>
      </c>
      <c r="G94" s="20" t="str">
        <f t="shared" si="6"/>
        <v>('06Mar250008','070000174358','21644',(select max(to_number(i.premium_rcv_detail_code))+1
from ins_premium_det i),'21644','21644','02', '11000003','00','Request by Mr. Saqib Saleem 06-Mar-2024');</v>
      </c>
      <c r="H94" s="21" t="str">
        <f t="shared" si="7"/>
        <v>insert into ins_premium_det (premium_rcv_code,assorted_code, rec_amount,premium_rcv_detail_code,remaining_amt, payrec, mode_code,coinsurance_code,class_cd,it_remarks) values('06Mar250008','070000174358','21644',(select max(to_number(i.premium_rcv_detail_code))+1
from ins_premium_det i),'21644','21644','02', '11000003','00','Request by Mr. Saqib Saleem 06-Mar-2024');</v>
      </c>
    </row>
    <row r="95" spans="1:8" ht="89.25" x14ac:dyDescent="0.2">
      <c r="A95" s="2" t="s">
        <v>573</v>
      </c>
      <c r="B95" t="str">
        <f>VLOOKUP(A95,policy!B:C,2,0)</f>
        <v>070000174374</v>
      </c>
      <c r="C95" s="4">
        <v>26278</v>
      </c>
      <c r="D95" s="18">
        <f t="shared" si="5"/>
        <v>26278</v>
      </c>
      <c r="E95" s="22" t="s">
        <v>2340</v>
      </c>
      <c r="F95" s="19" t="str">
        <f t="shared" si="4"/>
        <v>insert into ins_premium_det (premium_rcv_code,assorted_code, rec_amount,premium_rcv_detail_code,remaining_amt, payrec, mode_code,coinsurance_code,class_cd,it_remarks) values</v>
      </c>
      <c r="G95" s="20" t="str">
        <f t="shared" si="6"/>
        <v>('06Mar250008','070000174374','26278',(select max(to_number(i.premium_rcv_detail_code))+1
from ins_premium_det i),'26278','26278','02', '11000003','00','Request by Mr. Saqib Saleem 06-Mar-2024');</v>
      </c>
      <c r="H95" s="21" t="str">
        <f t="shared" si="7"/>
        <v>insert into ins_premium_det (premium_rcv_code,assorted_code, rec_amount,premium_rcv_detail_code,remaining_amt, payrec, mode_code,coinsurance_code,class_cd,it_remarks) values('06Mar250008','070000174374','26278',(select max(to_number(i.premium_rcv_detail_code))+1
from ins_premium_det i),'26278','26278','02', '11000003','00','Request by Mr. Saqib Saleem 06-Mar-2024');</v>
      </c>
    </row>
    <row r="96" spans="1:8" ht="89.25" x14ac:dyDescent="0.2">
      <c r="A96" s="2" t="s">
        <v>582</v>
      </c>
      <c r="B96" t="str">
        <f>VLOOKUP(A96,policy!B:C,2,0)</f>
        <v>070000174376</v>
      </c>
      <c r="C96" s="4">
        <v>23996</v>
      </c>
      <c r="D96" s="18">
        <f t="shared" si="5"/>
        <v>23996</v>
      </c>
      <c r="E96" s="22" t="s">
        <v>2340</v>
      </c>
      <c r="F96" s="19" t="str">
        <f t="shared" si="4"/>
        <v>insert into ins_premium_det (premium_rcv_code,assorted_code, rec_amount,premium_rcv_detail_code,remaining_amt, payrec, mode_code,coinsurance_code,class_cd,it_remarks) values</v>
      </c>
      <c r="G96" s="20" t="str">
        <f t="shared" si="6"/>
        <v>('06Mar250008','070000174376','23996',(select max(to_number(i.premium_rcv_detail_code))+1
from ins_premium_det i),'23996','23996','02', '11000003','00','Request by Mr. Saqib Saleem 06-Mar-2024');</v>
      </c>
      <c r="H96" s="21" t="str">
        <f t="shared" si="7"/>
        <v>insert into ins_premium_det (premium_rcv_code,assorted_code, rec_amount,premium_rcv_detail_code,remaining_amt, payrec, mode_code,coinsurance_code,class_cd,it_remarks) values('06Mar250008','070000174376','23996',(select max(to_number(i.premium_rcv_detail_code))+1
from ins_premium_det i),'23996','23996','02', '11000003','00','Request by Mr. Saqib Saleem 06-Mar-2024');</v>
      </c>
    </row>
    <row r="97" spans="1:8" ht="89.25" x14ac:dyDescent="0.2">
      <c r="A97" s="2" t="s">
        <v>552</v>
      </c>
      <c r="B97" t="str">
        <f>VLOOKUP(A97,policy!B:C,2,0)</f>
        <v>070000174370</v>
      </c>
      <c r="C97" s="4">
        <v>16492</v>
      </c>
      <c r="D97" s="18">
        <f t="shared" si="5"/>
        <v>16492</v>
      </c>
      <c r="E97" s="22" t="s">
        <v>2340</v>
      </c>
      <c r="F97" s="19" t="str">
        <f t="shared" si="4"/>
        <v>insert into ins_premium_det (premium_rcv_code,assorted_code, rec_amount,premium_rcv_detail_code,remaining_amt, payrec, mode_code,coinsurance_code,class_cd,it_remarks) values</v>
      </c>
      <c r="G97" s="20" t="str">
        <f t="shared" si="6"/>
        <v>('06Mar250008','070000174370','16492',(select max(to_number(i.premium_rcv_detail_code))+1
from ins_premium_det i),'16492','16492','02', '11000003','00','Request by Mr. Saqib Saleem 06-Mar-2024');</v>
      </c>
      <c r="H97" s="21" t="str">
        <f t="shared" si="7"/>
        <v>insert into ins_premium_det (premium_rcv_code,assorted_code, rec_amount,premium_rcv_detail_code,remaining_amt, payrec, mode_code,coinsurance_code,class_cd,it_remarks) values('06Mar250008','070000174370','16492',(select max(to_number(i.premium_rcv_detail_code))+1
from ins_premium_det i),'16492','16492','02', '11000003','00','Request by Mr. Saqib Saleem 06-Mar-2024');</v>
      </c>
    </row>
    <row r="98" spans="1:8" ht="89.25" x14ac:dyDescent="0.2">
      <c r="A98" s="2" t="s">
        <v>615</v>
      </c>
      <c r="B98" t="str">
        <f>VLOOKUP(A98,policy!B:C,2,0)</f>
        <v>070000174383</v>
      </c>
      <c r="C98" s="4">
        <v>31080</v>
      </c>
      <c r="D98" s="18">
        <f t="shared" si="5"/>
        <v>31080</v>
      </c>
      <c r="E98" s="22" t="s">
        <v>2340</v>
      </c>
      <c r="F98" s="19" t="str">
        <f t="shared" si="4"/>
        <v>insert into ins_premium_det (premium_rcv_code,assorted_code, rec_amount,premium_rcv_detail_code,remaining_amt, payrec, mode_code,coinsurance_code,class_cd,it_remarks) values</v>
      </c>
      <c r="G98" s="20" t="str">
        <f t="shared" si="6"/>
        <v>('06Mar250008','070000174383','31080',(select max(to_number(i.premium_rcv_detail_code))+1
from ins_premium_det i),'31080','31080','02', '11000003','00','Request by Mr. Saqib Saleem 06-Mar-2024');</v>
      </c>
      <c r="H98" s="21" t="str">
        <f t="shared" si="7"/>
        <v>insert into ins_premium_det (premium_rcv_code,assorted_code, rec_amount,premium_rcv_detail_code,remaining_amt, payrec, mode_code,coinsurance_code,class_cd,it_remarks) values('06Mar250008','070000174383','31080',(select max(to_number(i.premium_rcv_detail_code))+1
from ins_premium_det i),'31080','31080','02', '11000003','00','Request by Mr. Saqib Saleem 06-Mar-2024');</v>
      </c>
    </row>
    <row r="99" spans="1:8" ht="89.25" x14ac:dyDescent="0.2">
      <c r="A99" s="2" t="s">
        <v>586</v>
      </c>
      <c r="B99" t="str">
        <f>VLOOKUP(A99,policy!B:C,2,0)</f>
        <v>070000174377</v>
      </c>
      <c r="C99" s="4">
        <v>24500</v>
      </c>
      <c r="D99" s="18">
        <f t="shared" si="5"/>
        <v>24500</v>
      </c>
      <c r="E99" s="22" t="s">
        <v>2340</v>
      </c>
      <c r="F99" s="19" t="str">
        <f t="shared" si="4"/>
        <v>insert into ins_premium_det (premium_rcv_code,assorted_code, rec_amount,premium_rcv_detail_code,remaining_amt, payrec, mode_code,coinsurance_code,class_cd,it_remarks) values</v>
      </c>
      <c r="G99" s="20" t="str">
        <f t="shared" si="6"/>
        <v>('06Mar250008','070000174377','24500',(select max(to_number(i.premium_rcv_detail_code))+1
from ins_premium_det i),'24500','24500','02', '11000003','00','Request by Mr. Saqib Saleem 06-Mar-2024');</v>
      </c>
      <c r="H99" s="21" t="str">
        <f t="shared" si="7"/>
        <v>insert into ins_premium_det (premium_rcv_code,assorted_code, rec_amount,premium_rcv_detail_code,remaining_amt, payrec, mode_code,coinsurance_code,class_cd,it_remarks) values('06Mar250008','070000174377','24500',(select max(to_number(i.premium_rcv_detail_code))+1
from ins_premium_det i),'24500','24500','02', '11000003','00','Request by Mr. Saqib Saleem 06-Mar-2024');</v>
      </c>
    </row>
    <row r="100" spans="1:8" ht="89.25" x14ac:dyDescent="0.2">
      <c r="A100" s="2" t="s">
        <v>548</v>
      </c>
      <c r="B100" t="str">
        <f>VLOOKUP(A100,policy!B:C,2,0)</f>
        <v>070000174369</v>
      </c>
      <c r="C100" s="4">
        <v>50000</v>
      </c>
      <c r="D100" s="18">
        <f t="shared" si="5"/>
        <v>50000</v>
      </c>
      <c r="E100" s="22" t="s">
        <v>2340</v>
      </c>
      <c r="F100" s="19" t="str">
        <f t="shared" si="4"/>
        <v>insert into ins_premium_det (premium_rcv_code,assorted_code, rec_amount,premium_rcv_detail_code,remaining_amt, payrec, mode_code,coinsurance_code,class_cd,it_remarks) values</v>
      </c>
      <c r="G100" s="20" t="str">
        <f t="shared" si="6"/>
        <v>('06Mar250008','070000174369','50000',(select max(to_number(i.premium_rcv_detail_code))+1
from ins_premium_det i),'50000','50000','02', '11000003','00','Request by Mr. Saqib Saleem 06-Mar-2024');</v>
      </c>
      <c r="H100" s="21" t="str">
        <f t="shared" si="7"/>
        <v>insert into ins_premium_det (premium_rcv_code,assorted_code, rec_amount,premium_rcv_detail_code,remaining_amt, payrec, mode_code,coinsurance_code,class_cd,it_remarks) values('06Mar250008','070000174369','50000',(select max(to_number(i.premium_rcv_detail_code))+1
from ins_premium_det i),'50000','50000','02', '11000003','00','Request by Mr. Saqib Saleem 06-Mar-2024');</v>
      </c>
    </row>
    <row r="101" spans="1:8" ht="89.25" x14ac:dyDescent="0.2">
      <c r="A101" s="2" t="s">
        <v>594</v>
      </c>
      <c r="B101" t="str">
        <f>VLOOKUP(A101,policy!B:C,2,0)</f>
        <v>070000174379</v>
      </c>
      <c r="C101" s="4">
        <v>22400</v>
      </c>
      <c r="D101" s="18">
        <f t="shared" si="5"/>
        <v>22400</v>
      </c>
      <c r="E101" s="22" t="s">
        <v>2340</v>
      </c>
      <c r="F101" s="19" t="str">
        <f t="shared" si="4"/>
        <v>insert into ins_premium_det (premium_rcv_code,assorted_code, rec_amount,premium_rcv_detail_code,remaining_amt, payrec, mode_code,coinsurance_code,class_cd,it_remarks) values</v>
      </c>
      <c r="G101" s="20" t="str">
        <f t="shared" si="6"/>
        <v>('06Mar250008','070000174379','22400',(select max(to_number(i.premium_rcv_detail_code))+1
from ins_premium_det i),'22400','22400','02', '11000003','00','Request by Mr. Saqib Saleem 06-Mar-2024');</v>
      </c>
      <c r="H101" s="21" t="str">
        <f t="shared" si="7"/>
        <v>insert into ins_premium_det (premium_rcv_code,assorted_code, rec_amount,premium_rcv_detail_code,remaining_amt, payrec, mode_code,coinsurance_code,class_cd,it_remarks) values('06Mar250008','070000174379','22400',(select max(to_number(i.premium_rcv_detail_code))+1
from ins_premium_det i),'22400','22400','02', '11000003','00','Request by Mr. Saqib Saleem 06-Mar-2024');</v>
      </c>
    </row>
    <row r="102" spans="1:8" ht="89.25" x14ac:dyDescent="0.2">
      <c r="A102" s="2" t="s">
        <v>560</v>
      </c>
      <c r="B102" t="str">
        <f>VLOOKUP(A102,policy!B:C,2,0)</f>
        <v>070000174372</v>
      </c>
      <c r="C102" s="4">
        <v>36862</v>
      </c>
      <c r="D102" s="18">
        <f t="shared" si="5"/>
        <v>36862</v>
      </c>
      <c r="E102" s="22" t="s">
        <v>2340</v>
      </c>
      <c r="F102" s="19" t="str">
        <f t="shared" si="4"/>
        <v>insert into ins_premium_det (premium_rcv_code,assorted_code, rec_amount,premium_rcv_detail_code,remaining_amt, payrec, mode_code,coinsurance_code,class_cd,it_remarks) values</v>
      </c>
      <c r="G102" s="20" t="str">
        <f t="shared" si="6"/>
        <v>('06Mar250008','070000174372','36862',(select max(to_number(i.premium_rcv_detail_code))+1
from ins_premium_det i),'36862','36862','02', '11000003','00','Request by Mr. Saqib Saleem 06-Mar-2024');</v>
      </c>
      <c r="H102" s="21" t="str">
        <f t="shared" si="7"/>
        <v>insert into ins_premium_det (premium_rcv_code,assorted_code, rec_amount,premium_rcv_detail_code,remaining_amt, payrec, mode_code,coinsurance_code,class_cd,it_remarks) values('06Mar250008','070000174372','36862',(select max(to_number(i.premium_rcv_detail_code))+1
from ins_premium_det i),'36862','36862','02', '11000003','00','Request by Mr. Saqib Saleem 06-Mar-2024');</v>
      </c>
    </row>
    <row r="103" spans="1:8" ht="89.25" x14ac:dyDescent="0.2">
      <c r="A103" s="2" t="s">
        <v>646</v>
      </c>
      <c r="B103" t="str">
        <f>VLOOKUP(A103,policy!B:C,2,0)</f>
        <v>070000174391</v>
      </c>
      <c r="C103" s="4">
        <v>42000</v>
      </c>
      <c r="D103" s="18">
        <f t="shared" si="5"/>
        <v>42000</v>
      </c>
      <c r="E103" s="22" t="s">
        <v>2340</v>
      </c>
      <c r="F103" s="19" t="str">
        <f t="shared" si="4"/>
        <v>insert into ins_premium_det (premium_rcv_code,assorted_code, rec_amount,premium_rcv_detail_code,remaining_amt, payrec, mode_code,coinsurance_code,class_cd,it_remarks) values</v>
      </c>
      <c r="G103" s="20" t="str">
        <f t="shared" si="6"/>
        <v>('06Mar250008','070000174391','42000',(select max(to_number(i.premium_rcv_detail_code))+1
from ins_premium_det i),'42000','42000','02', '11000003','00','Request by Mr. Saqib Saleem 06-Mar-2024');</v>
      </c>
      <c r="H103" s="21" t="str">
        <f t="shared" si="7"/>
        <v>insert into ins_premium_det (premium_rcv_code,assorted_code, rec_amount,premium_rcv_detail_code,remaining_amt, payrec, mode_code,coinsurance_code,class_cd,it_remarks) values('06Mar250008','070000174391','42000',(select max(to_number(i.premium_rcv_detail_code))+1
from ins_premium_det i),'42000','42000','02', '11000003','00','Request by Mr. Saqib Saleem 06-Mar-2024');</v>
      </c>
    </row>
    <row r="104" spans="1:8" ht="89.25" x14ac:dyDescent="0.2">
      <c r="A104" s="2" t="s">
        <v>837</v>
      </c>
      <c r="B104" t="str">
        <f>VLOOKUP(A104,policy!B:C,2,0)</f>
        <v>070000174258</v>
      </c>
      <c r="C104" s="4">
        <v>49030</v>
      </c>
      <c r="D104" s="18">
        <f t="shared" si="5"/>
        <v>49030</v>
      </c>
      <c r="E104" s="22" t="s">
        <v>2340</v>
      </c>
      <c r="F104" s="19" t="str">
        <f t="shared" si="4"/>
        <v>insert into ins_premium_det (premium_rcv_code,assorted_code, rec_amount,premium_rcv_detail_code,remaining_amt, payrec, mode_code,coinsurance_code,class_cd,it_remarks) values</v>
      </c>
      <c r="G104" s="20" t="str">
        <f t="shared" si="6"/>
        <v>('06Mar250008','070000174258','49030',(select max(to_number(i.premium_rcv_detail_code))+1
from ins_premium_det i),'49030','49030','02', '11000003','00','Request by Mr. Saqib Saleem 06-Mar-2024');</v>
      </c>
      <c r="H104" s="21" t="str">
        <f t="shared" si="7"/>
        <v>insert into ins_premium_det (premium_rcv_code,assorted_code, rec_amount,premium_rcv_detail_code,remaining_amt, payrec, mode_code,coinsurance_code,class_cd,it_remarks) values('06Mar250008','070000174258','49030',(select max(to_number(i.premium_rcv_detail_code))+1
from ins_premium_det i),'49030','49030','02', '11000003','00','Request by Mr. Saqib Saleem 06-Mar-2024');</v>
      </c>
    </row>
    <row r="105" spans="1:8" ht="89.25" x14ac:dyDescent="0.2">
      <c r="A105" s="2" t="s">
        <v>987</v>
      </c>
      <c r="B105" t="str">
        <f>VLOOKUP(A105,policy!B:C,2,0)</f>
        <v>070000174292</v>
      </c>
      <c r="C105" s="4">
        <v>54812</v>
      </c>
      <c r="D105" s="18">
        <f t="shared" si="5"/>
        <v>54812</v>
      </c>
      <c r="E105" s="22" t="s">
        <v>2340</v>
      </c>
      <c r="F105" s="19" t="str">
        <f t="shared" si="4"/>
        <v>insert into ins_premium_det (premium_rcv_code,assorted_code, rec_amount,premium_rcv_detail_code,remaining_amt, payrec, mode_code,coinsurance_code,class_cd,it_remarks) values</v>
      </c>
      <c r="G105" s="20" t="str">
        <f t="shared" si="6"/>
        <v>('06Mar250008','070000174292','54812',(select max(to_number(i.premium_rcv_detail_code))+1
from ins_premium_det i),'54812','54812','02', '11000003','00','Request by Mr. Saqib Saleem 06-Mar-2024');</v>
      </c>
      <c r="H105" s="21" t="str">
        <f t="shared" si="7"/>
        <v>insert into ins_premium_det (premium_rcv_code,assorted_code, rec_amount,premium_rcv_detail_code,remaining_amt, payrec, mode_code,coinsurance_code,class_cd,it_remarks) values('06Mar250008','070000174292','54812',(select max(to_number(i.premium_rcv_detail_code))+1
from ins_premium_det i),'54812','54812','02', '11000003','00','Request by Mr. Saqib Saleem 06-Mar-2024');</v>
      </c>
    </row>
    <row r="106" spans="1:8" ht="89.25" x14ac:dyDescent="0.2">
      <c r="A106" s="2" t="s">
        <v>937</v>
      </c>
      <c r="B106" t="str">
        <f>VLOOKUP(A106,policy!B:C,2,0)</f>
        <v>070000174280</v>
      </c>
      <c r="C106" s="4">
        <v>87835</v>
      </c>
      <c r="D106" s="18">
        <f t="shared" si="5"/>
        <v>87835</v>
      </c>
      <c r="E106" s="22" t="s">
        <v>2340</v>
      </c>
      <c r="F106" s="19" t="str">
        <f t="shared" si="4"/>
        <v>insert into ins_premium_det (premium_rcv_code,assorted_code, rec_amount,premium_rcv_detail_code,remaining_amt, payrec, mode_code,coinsurance_code,class_cd,it_remarks) values</v>
      </c>
      <c r="G106" s="20" t="str">
        <f t="shared" si="6"/>
        <v>('06Mar250008','070000174280','87835',(select max(to_number(i.premium_rcv_detail_code))+1
from ins_premium_det i),'87835','87835','02', '11000003','00','Request by Mr. Saqib Saleem 06-Mar-2024');</v>
      </c>
      <c r="H106" s="21" t="str">
        <f t="shared" si="7"/>
        <v>insert into ins_premium_det (premium_rcv_code,assorted_code, rec_amount,premium_rcv_detail_code,remaining_amt, payrec, mode_code,coinsurance_code,class_cd,it_remarks) values('06Mar250008','070000174280','87835',(select max(to_number(i.premium_rcv_detail_code))+1
from ins_premium_det i),'87835','87835','02', '11000003','00','Request by Mr. Saqib Saleem 06-Mar-2024');</v>
      </c>
    </row>
    <row r="107" spans="1:8" ht="89.25" x14ac:dyDescent="0.2">
      <c r="A107" s="2" t="s">
        <v>1028</v>
      </c>
      <c r="B107" t="str">
        <f>VLOOKUP(A107,policy!B:C,2,0)</f>
        <v>070000173877</v>
      </c>
      <c r="C107" s="4">
        <v>30281</v>
      </c>
      <c r="D107" s="18">
        <f t="shared" si="5"/>
        <v>30281</v>
      </c>
      <c r="E107" s="22" t="s">
        <v>2340</v>
      </c>
      <c r="F107" s="19" t="str">
        <f t="shared" si="4"/>
        <v>insert into ins_premium_det (premium_rcv_code,assorted_code, rec_amount,premium_rcv_detail_code,remaining_amt, payrec, mode_code,coinsurance_code,class_cd,it_remarks) values</v>
      </c>
      <c r="G107" s="20" t="str">
        <f t="shared" si="6"/>
        <v>('06Mar250008','070000173877','30281',(select max(to_number(i.premium_rcv_detail_code))+1
from ins_premium_det i),'30281','30281','02', '11000003','00','Request by Mr. Saqib Saleem 06-Mar-2024');</v>
      </c>
      <c r="H107" s="21" t="str">
        <f t="shared" si="7"/>
        <v>insert into ins_premium_det (premium_rcv_code,assorted_code, rec_amount,premium_rcv_detail_code,remaining_amt, payrec, mode_code,coinsurance_code,class_cd,it_remarks) values('06Mar250008','070000173877','30281',(select max(to_number(i.premium_rcv_detail_code))+1
from ins_premium_det i),'30281','30281','02', '11000003','00','Request by Mr. Saqib Saleem 06-Mar-2024');</v>
      </c>
    </row>
    <row r="108" spans="1:8" ht="89.25" x14ac:dyDescent="0.2">
      <c r="A108" s="2" t="s">
        <v>860</v>
      </c>
      <c r="B108" t="str">
        <f>VLOOKUP(A108,policy!B:C,2,0)</f>
        <v>070000174263</v>
      </c>
      <c r="C108" s="4">
        <v>41459</v>
      </c>
      <c r="D108" s="18">
        <f t="shared" si="5"/>
        <v>41459</v>
      </c>
      <c r="E108" s="22" t="s">
        <v>2340</v>
      </c>
      <c r="F108" s="19" t="str">
        <f t="shared" si="4"/>
        <v>insert into ins_premium_det (premium_rcv_code,assorted_code, rec_amount,premium_rcv_detail_code,remaining_amt, payrec, mode_code,coinsurance_code,class_cd,it_remarks) values</v>
      </c>
      <c r="G108" s="20" t="str">
        <f t="shared" si="6"/>
        <v>('06Mar250008','070000174263','41459',(select max(to_number(i.premium_rcv_detail_code))+1
from ins_premium_det i),'41459','41459','02', '11000003','00','Request by Mr. Saqib Saleem 06-Mar-2024');</v>
      </c>
      <c r="H108" s="21" t="str">
        <f t="shared" si="7"/>
        <v>insert into ins_premium_det (premium_rcv_code,assorted_code, rec_amount,premium_rcv_detail_code,remaining_amt, payrec, mode_code,coinsurance_code,class_cd,it_remarks) values('06Mar250008','070000174263','41459',(select max(to_number(i.premium_rcv_detail_code))+1
from ins_premium_det i),'41459','41459','02', '11000003','00','Request by Mr. Saqib Saleem 06-Mar-2024');</v>
      </c>
    </row>
    <row r="109" spans="1:8" ht="89.25" x14ac:dyDescent="0.2">
      <c r="A109" s="2" t="s">
        <v>979</v>
      </c>
      <c r="B109" t="str">
        <f>VLOOKUP(A109,policy!B:C,2,0)</f>
        <v>070000174290</v>
      </c>
      <c r="C109" s="4">
        <v>33167</v>
      </c>
      <c r="D109" s="18">
        <f t="shared" si="5"/>
        <v>33167</v>
      </c>
      <c r="E109" s="22" t="s">
        <v>2340</v>
      </c>
      <c r="F109" s="19" t="str">
        <f t="shared" si="4"/>
        <v>insert into ins_premium_det (premium_rcv_code,assorted_code, rec_amount,premium_rcv_detail_code,remaining_amt, payrec, mode_code,coinsurance_code,class_cd,it_remarks) values</v>
      </c>
      <c r="G109" s="20" t="str">
        <f t="shared" si="6"/>
        <v>('06Mar250008','070000174290','33167',(select max(to_number(i.premium_rcv_detail_code))+1
from ins_premium_det i),'33167','33167','02', '11000003','00','Request by Mr. Saqib Saleem 06-Mar-2024');</v>
      </c>
      <c r="H109" s="21" t="str">
        <f t="shared" si="7"/>
        <v>insert into ins_premium_det (premium_rcv_code,assorted_code, rec_amount,premium_rcv_detail_code,remaining_amt, payrec, mode_code,coinsurance_code,class_cd,it_remarks) values('06Mar250008','070000174290','33167',(select max(to_number(i.premium_rcv_detail_code))+1
from ins_premium_det i),'33167','33167','02', '11000003','00','Request by Mr. Saqib Saleem 06-Mar-2024');</v>
      </c>
    </row>
    <row r="110" spans="1:8" ht="89.25" x14ac:dyDescent="0.2">
      <c r="A110" s="2" t="s">
        <v>995</v>
      </c>
      <c r="B110" t="str">
        <f>VLOOKUP(A110,policy!B:C,2,0)</f>
        <v>070000174293</v>
      </c>
      <c r="C110" s="4">
        <v>29461</v>
      </c>
      <c r="D110" s="18">
        <f t="shared" si="5"/>
        <v>29461</v>
      </c>
      <c r="E110" s="22" t="s">
        <v>2340</v>
      </c>
      <c r="F110" s="19" t="str">
        <f t="shared" si="4"/>
        <v>insert into ins_premium_det (premium_rcv_code,assorted_code, rec_amount,premium_rcv_detail_code,remaining_amt, payrec, mode_code,coinsurance_code,class_cd,it_remarks) values</v>
      </c>
      <c r="G110" s="20" t="str">
        <f t="shared" si="6"/>
        <v>('06Mar250008','070000174293','29461',(select max(to_number(i.premium_rcv_detail_code))+1
from ins_premium_det i),'29461','29461','02', '11000003','00','Request by Mr. Saqib Saleem 06-Mar-2024');</v>
      </c>
      <c r="H110" s="21" t="str">
        <f t="shared" si="7"/>
        <v>insert into ins_premium_det (premium_rcv_code,assorted_code, rec_amount,premium_rcv_detail_code,remaining_amt, payrec, mode_code,coinsurance_code,class_cd,it_remarks) values('06Mar250008','070000174293','29461',(select max(to_number(i.premium_rcv_detail_code))+1
from ins_premium_det i),'29461','29461','02', '11000003','00','Request by Mr. Saqib Saleem 06-Mar-2024');</v>
      </c>
    </row>
    <row r="111" spans="1:8" ht="89.25" x14ac:dyDescent="0.2">
      <c r="A111" s="2" t="s">
        <v>846</v>
      </c>
      <c r="B111" t="str">
        <f>VLOOKUP(A111,policy!B:C,2,0)</f>
        <v>070000174260</v>
      </c>
      <c r="C111" s="4">
        <v>25075</v>
      </c>
      <c r="D111" s="18">
        <f t="shared" si="5"/>
        <v>25075</v>
      </c>
      <c r="E111" s="22" t="s">
        <v>2340</v>
      </c>
      <c r="F111" s="19" t="str">
        <f t="shared" si="4"/>
        <v>insert into ins_premium_det (premium_rcv_code,assorted_code, rec_amount,premium_rcv_detail_code,remaining_amt, payrec, mode_code,coinsurance_code,class_cd,it_remarks) values</v>
      </c>
      <c r="G111" s="20" t="str">
        <f t="shared" si="6"/>
        <v>('06Mar250008','070000174260','25075',(select max(to_number(i.premium_rcv_detail_code))+1
from ins_premium_det i),'25075','25075','02', '11000003','00','Request by Mr. Saqib Saleem 06-Mar-2024');</v>
      </c>
      <c r="H111" s="21" t="str">
        <f t="shared" si="7"/>
        <v>insert into ins_premium_det (premium_rcv_code,assorted_code, rec_amount,premium_rcv_detail_code,remaining_amt, payrec, mode_code,coinsurance_code,class_cd,it_remarks) values('06Mar250008','070000174260','25075',(select max(to_number(i.premium_rcv_detail_code))+1
from ins_premium_det i),'25075','25075','02', '11000003','00','Request by Mr. Saqib Saleem 06-Mar-2024');</v>
      </c>
    </row>
    <row r="112" spans="1:8" ht="89.25" x14ac:dyDescent="0.2">
      <c r="A112" s="2" t="s">
        <v>983</v>
      </c>
      <c r="B112" t="str">
        <f>VLOOKUP(A112,policy!B:C,2,0)</f>
        <v>070000174291</v>
      </c>
      <c r="C112" s="4">
        <v>29461</v>
      </c>
      <c r="D112" s="18">
        <f t="shared" si="5"/>
        <v>29461</v>
      </c>
      <c r="E112" s="22" t="s">
        <v>2340</v>
      </c>
      <c r="F112" s="19" t="str">
        <f t="shared" si="4"/>
        <v>insert into ins_premium_det (premium_rcv_code,assorted_code, rec_amount,premium_rcv_detail_code,remaining_amt, payrec, mode_code,coinsurance_code,class_cd,it_remarks) values</v>
      </c>
      <c r="G112" s="20" t="str">
        <f t="shared" si="6"/>
        <v>('06Mar250008','070000174291','29461',(select max(to_number(i.premium_rcv_detail_code))+1
from ins_premium_det i),'29461','29461','02', '11000003','00','Request by Mr. Saqib Saleem 06-Mar-2024');</v>
      </c>
      <c r="H112" s="21" t="str">
        <f t="shared" si="7"/>
        <v>insert into ins_premium_det (premium_rcv_code,assorted_code, rec_amount,premium_rcv_detail_code,remaining_amt, payrec, mode_code,coinsurance_code,class_cd,it_remarks) values('06Mar250008','070000174291','29461',(select max(to_number(i.premium_rcv_detail_code))+1
from ins_premium_det i),'29461','29461','02', '11000003','00','Request by Mr. Saqib Saleem 06-Mar-2024');</v>
      </c>
    </row>
    <row r="113" spans="1:8" ht="89.25" x14ac:dyDescent="0.2">
      <c r="A113" s="2" t="s">
        <v>975</v>
      </c>
      <c r="B113" t="str">
        <f>VLOOKUP(A113,policy!B:C,2,0)</f>
        <v>070000174289</v>
      </c>
      <c r="C113" s="4">
        <v>25075</v>
      </c>
      <c r="D113" s="18">
        <f t="shared" si="5"/>
        <v>25075</v>
      </c>
      <c r="E113" s="22" t="s">
        <v>2340</v>
      </c>
      <c r="F113" s="19" t="str">
        <f t="shared" si="4"/>
        <v>insert into ins_premium_det (premium_rcv_code,assorted_code, rec_amount,premium_rcv_detail_code,remaining_amt, payrec, mode_code,coinsurance_code,class_cd,it_remarks) values</v>
      </c>
      <c r="G113" s="20" t="str">
        <f t="shared" si="6"/>
        <v>('06Mar250008','070000174289','25075',(select max(to_number(i.premium_rcv_detail_code))+1
from ins_premium_det i),'25075','25075','02', '11000003','00','Request by Mr. Saqib Saleem 06-Mar-2024');</v>
      </c>
      <c r="H113" s="21" t="str">
        <f t="shared" si="7"/>
        <v>insert into ins_premium_det (premium_rcv_code,assorted_code, rec_amount,premium_rcv_detail_code,remaining_amt, payrec, mode_code,coinsurance_code,class_cd,it_remarks) values('06Mar250008','070000174289','25075',(select max(to_number(i.premium_rcv_detail_code))+1
from ins_premium_det i),'25075','25075','02', '11000003','00','Request by Mr. Saqib Saleem 06-Mar-2024');</v>
      </c>
    </row>
    <row r="114" spans="1:8" ht="89.25" x14ac:dyDescent="0.2">
      <c r="A114" s="2" t="s">
        <v>891</v>
      </c>
      <c r="B114" t="str">
        <f>VLOOKUP(A114,policy!B:C,2,0)</f>
        <v>070000174270</v>
      </c>
      <c r="C114" s="4">
        <v>49840</v>
      </c>
      <c r="D114" s="18">
        <f t="shared" si="5"/>
        <v>49840</v>
      </c>
      <c r="E114" s="22" t="s">
        <v>2340</v>
      </c>
      <c r="F114" s="19" t="str">
        <f t="shared" si="4"/>
        <v>insert into ins_premium_det (premium_rcv_code,assorted_code, rec_amount,premium_rcv_detail_code,remaining_amt, payrec, mode_code,coinsurance_code,class_cd,it_remarks) values</v>
      </c>
      <c r="G114" s="20" t="str">
        <f t="shared" si="6"/>
        <v>('06Mar250008','070000174270','49840',(select max(to_number(i.premium_rcv_detail_code))+1
from ins_premium_det i),'49840','49840','02', '11000003','00','Request by Mr. Saqib Saleem 06-Mar-2024');</v>
      </c>
      <c r="H114" s="21" t="str">
        <f t="shared" si="7"/>
        <v>insert into ins_premium_det (premium_rcv_code,assorted_code, rec_amount,premium_rcv_detail_code,remaining_amt, payrec, mode_code,coinsurance_code,class_cd,it_remarks) values('06Mar250008','070000174270','49840',(select max(to_number(i.premium_rcv_detail_code))+1
from ins_premium_det i),'49840','49840','02', '11000003','00','Request by Mr. Saqib Saleem 06-Mar-2024');</v>
      </c>
    </row>
    <row r="115" spans="1:8" ht="89.25" x14ac:dyDescent="0.2">
      <c r="A115" s="2" t="s">
        <v>240</v>
      </c>
      <c r="B115" t="str">
        <f>VLOOKUP(A115,policy!B:C,2,0)</f>
        <v>070000173802</v>
      </c>
      <c r="C115" s="4">
        <v>54502</v>
      </c>
      <c r="D115" s="18">
        <f t="shared" si="5"/>
        <v>54502</v>
      </c>
      <c r="E115" s="22" t="s">
        <v>2340</v>
      </c>
      <c r="F115" s="19" t="str">
        <f t="shared" si="4"/>
        <v>insert into ins_premium_det (premium_rcv_code,assorted_code, rec_amount,premium_rcv_detail_code,remaining_amt, payrec, mode_code,coinsurance_code,class_cd,it_remarks) values</v>
      </c>
      <c r="G115" s="20" t="str">
        <f t="shared" si="6"/>
        <v>('06Mar250008','070000173802','54502',(select max(to_number(i.premium_rcv_detail_code))+1
from ins_premium_det i),'54502','54502','02', '11000003','00','Request by Mr. Saqib Saleem 06-Mar-2024');</v>
      </c>
      <c r="H115" s="21" t="str">
        <f t="shared" si="7"/>
        <v>insert into ins_premium_det (premium_rcv_code,assorted_code, rec_amount,premium_rcv_detail_code,remaining_amt, payrec, mode_code,coinsurance_code,class_cd,it_remarks) values('06Mar250008','070000173802','54502',(select max(to_number(i.premium_rcv_detail_code))+1
from ins_premium_det i),'54502','54502','02', '11000003','00','Request by Mr. Saqib Saleem 06-Mar-2024');</v>
      </c>
    </row>
    <row r="116" spans="1:8" ht="89.25" x14ac:dyDescent="0.2">
      <c r="A116" s="2" t="s">
        <v>833</v>
      </c>
      <c r="B116" t="str">
        <f>VLOOKUP(A116,policy!B:C,2,0)</f>
        <v>070000174257</v>
      </c>
      <c r="C116" s="4">
        <v>33592</v>
      </c>
      <c r="D116" s="18">
        <f t="shared" si="5"/>
        <v>33592</v>
      </c>
      <c r="E116" s="22" t="s">
        <v>2340</v>
      </c>
      <c r="F116" s="19" t="str">
        <f t="shared" si="4"/>
        <v>insert into ins_premium_det (premium_rcv_code,assorted_code, rec_amount,premium_rcv_detail_code,remaining_amt, payrec, mode_code,coinsurance_code,class_cd,it_remarks) values</v>
      </c>
      <c r="G116" s="20" t="str">
        <f t="shared" si="6"/>
        <v>('06Mar250008','070000174257','33592',(select max(to_number(i.premium_rcv_detail_code))+1
from ins_premium_det i),'33592','33592','02', '11000003','00','Request by Mr. Saqib Saleem 06-Mar-2024');</v>
      </c>
      <c r="H116" s="21" t="str">
        <f t="shared" si="7"/>
        <v>insert into ins_premium_det (premium_rcv_code,assorted_code, rec_amount,premium_rcv_detail_code,remaining_amt, payrec, mode_code,coinsurance_code,class_cd,it_remarks) values('06Mar250008','070000174257','33592',(select max(to_number(i.premium_rcv_detail_code))+1
from ins_premium_det i),'33592','33592','02', '11000003','00','Request by Mr. Saqib Saleem 06-Mar-2024');</v>
      </c>
    </row>
    <row r="117" spans="1:8" ht="89.25" x14ac:dyDescent="0.2">
      <c r="A117" s="2" t="s">
        <v>824</v>
      </c>
      <c r="B117" t="str">
        <f>VLOOKUP(A117,policy!B:C,2,0)</f>
        <v>070000174255</v>
      </c>
      <c r="C117" s="4">
        <v>51408</v>
      </c>
      <c r="D117" s="18">
        <f t="shared" si="5"/>
        <v>51408</v>
      </c>
      <c r="E117" s="22" t="s">
        <v>2340</v>
      </c>
      <c r="F117" s="19" t="str">
        <f t="shared" si="4"/>
        <v>insert into ins_premium_det (premium_rcv_code,assorted_code, rec_amount,premium_rcv_detail_code,remaining_amt, payrec, mode_code,coinsurance_code,class_cd,it_remarks) values</v>
      </c>
      <c r="G117" s="20" t="str">
        <f t="shared" si="6"/>
        <v>('06Mar250008','070000174255','51408',(select max(to_number(i.premium_rcv_detail_code))+1
from ins_premium_det i),'51408','51408','02', '11000003','00','Request by Mr. Saqib Saleem 06-Mar-2024');</v>
      </c>
      <c r="H117" s="21" t="str">
        <f t="shared" si="7"/>
        <v>insert into ins_premium_det (premium_rcv_code,assorted_code, rec_amount,premium_rcv_detail_code,remaining_amt, payrec, mode_code,coinsurance_code,class_cd,it_remarks) values('06Mar250008','070000174255','51408',(select max(to_number(i.premium_rcv_detail_code))+1
from ins_premium_det i),'51408','51408','02', '11000003','00','Request by Mr. Saqib Saleem 06-Mar-2024');</v>
      </c>
    </row>
    <row r="118" spans="1:8" ht="89.25" x14ac:dyDescent="0.2">
      <c r="A118" s="2" t="s">
        <v>828</v>
      </c>
      <c r="B118" t="str">
        <f>VLOOKUP(A118,policy!B:C,2,0)</f>
        <v>070000174256</v>
      </c>
      <c r="C118" s="4">
        <v>78323</v>
      </c>
      <c r="D118" s="18">
        <f t="shared" si="5"/>
        <v>78323</v>
      </c>
      <c r="E118" s="22" t="s">
        <v>2340</v>
      </c>
      <c r="F118" s="19" t="str">
        <f t="shared" si="4"/>
        <v>insert into ins_premium_det (premium_rcv_code,assorted_code, rec_amount,premium_rcv_detail_code,remaining_amt, payrec, mode_code,coinsurance_code,class_cd,it_remarks) values</v>
      </c>
      <c r="G118" s="20" t="str">
        <f t="shared" si="6"/>
        <v>('06Mar250008','070000174256','78323',(select max(to_number(i.premium_rcv_detail_code))+1
from ins_premium_det i),'78323','78323','02', '11000003','00','Request by Mr. Saqib Saleem 06-Mar-2024');</v>
      </c>
      <c r="H118" s="21" t="str">
        <f t="shared" si="7"/>
        <v>insert into ins_premium_det (premium_rcv_code,assorted_code, rec_amount,premium_rcv_detail_code,remaining_amt, payrec, mode_code,coinsurance_code,class_cd,it_remarks) values('06Mar250008','070000174256','78323',(select max(to_number(i.premium_rcv_detail_code))+1
from ins_premium_det i),'78323','78323','02', '11000003','00','Request by Mr. Saqib Saleem 06-Mar-2024');</v>
      </c>
    </row>
    <row r="119" spans="1:8" ht="89.25" x14ac:dyDescent="0.2">
      <c r="A119" s="2" t="s">
        <v>942</v>
      </c>
      <c r="B119" t="str">
        <f>VLOOKUP(A119,policy!B:C,2,0)</f>
        <v>070000174281</v>
      </c>
      <c r="C119" s="4">
        <v>35700</v>
      </c>
      <c r="D119" s="18">
        <f t="shared" si="5"/>
        <v>35700</v>
      </c>
      <c r="E119" s="22" t="s">
        <v>2340</v>
      </c>
      <c r="F119" s="19" t="str">
        <f t="shared" si="4"/>
        <v>insert into ins_premium_det (premium_rcv_code,assorted_code, rec_amount,premium_rcv_detail_code,remaining_amt, payrec, mode_code,coinsurance_code,class_cd,it_remarks) values</v>
      </c>
      <c r="G119" s="20" t="str">
        <f t="shared" si="6"/>
        <v>('06Mar250008','070000174281','35700',(select max(to_number(i.premium_rcv_detail_code))+1
from ins_premium_det i),'35700','35700','02', '11000003','00','Request by Mr. Saqib Saleem 06-Mar-2024');</v>
      </c>
      <c r="H119" s="21" t="str">
        <f t="shared" si="7"/>
        <v>insert into ins_premium_det (premium_rcv_code,assorted_code, rec_amount,premium_rcv_detail_code,remaining_amt, payrec, mode_code,coinsurance_code,class_cd,it_remarks) values('06Mar250008','070000174281','35700',(select max(to_number(i.premium_rcv_detail_code))+1
from ins_premium_det i),'35700','35700','02', '11000003','00','Request by Mr. Saqib Saleem 06-Mar-2024');</v>
      </c>
    </row>
    <row r="120" spans="1:8" ht="89.25" x14ac:dyDescent="0.2">
      <c r="A120" s="2" t="s">
        <v>907</v>
      </c>
      <c r="B120" t="str">
        <f>VLOOKUP(A120,policy!B:C,2,0)</f>
        <v>070000174273</v>
      </c>
      <c r="C120" s="4">
        <v>39950</v>
      </c>
      <c r="D120" s="18">
        <f t="shared" si="5"/>
        <v>39950</v>
      </c>
      <c r="E120" s="22" t="s">
        <v>2340</v>
      </c>
      <c r="F120" s="19" t="str">
        <f t="shared" si="4"/>
        <v>insert into ins_premium_det (premium_rcv_code,assorted_code, rec_amount,premium_rcv_detail_code,remaining_amt, payrec, mode_code,coinsurance_code,class_cd,it_remarks) values</v>
      </c>
      <c r="G120" s="20" t="str">
        <f t="shared" si="6"/>
        <v>('06Mar250008','070000174273','39950',(select max(to_number(i.premium_rcv_detail_code))+1
from ins_premium_det i),'39950','39950','02', '11000003','00','Request by Mr. Saqib Saleem 06-Mar-2024');</v>
      </c>
      <c r="H120" s="21" t="str">
        <f t="shared" si="7"/>
        <v>insert into ins_premium_det (premium_rcv_code,assorted_code, rec_amount,premium_rcv_detail_code,remaining_amt, payrec, mode_code,coinsurance_code,class_cd,it_remarks) values('06Mar250008','070000174273','39950',(select max(to_number(i.premium_rcv_detail_code))+1
from ins_premium_det i),'39950','39950','02', '11000003','00','Request by Mr. Saqib Saleem 06-Mar-2024');</v>
      </c>
    </row>
    <row r="121" spans="1:8" ht="89.25" x14ac:dyDescent="0.2">
      <c r="A121" s="2" t="s">
        <v>841</v>
      </c>
      <c r="B121" t="str">
        <f>VLOOKUP(A121,policy!B:C,2,0)</f>
        <v>070000174259</v>
      </c>
      <c r="C121" s="4">
        <v>53550</v>
      </c>
      <c r="D121" s="18">
        <f t="shared" si="5"/>
        <v>53550</v>
      </c>
      <c r="E121" s="22" t="s">
        <v>2340</v>
      </c>
      <c r="F121" s="19" t="str">
        <f t="shared" si="4"/>
        <v>insert into ins_premium_det (premium_rcv_code,assorted_code, rec_amount,premium_rcv_detail_code,remaining_amt, payrec, mode_code,coinsurance_code,class_cd,it_remarks) values</v>
      </c>
      <c r="G121" s="20" t="str">
        <f t="shared" si="6"/>
        <v>('06Mar250008','070000174259','53550',(select max(to_number(i.premium_rcv_detail_code))+1
from ins_premium_det i),'53550','53550','02', '11000003','00','Request by Mr. Saqib Saleem 06-Mar-2024');</v>
      </c>
      <c r="H121" s="21" t="str">
        <f t="shared" si="7"/>
        <v>insert into ins_premium_det (premium_rcv_code,assorted_code, rec_amount,premium_rcv_detail_code,remaining_amt, payrec, mode_code,coinsurance_code,class_cd,it_remarks) values('06Mar250008','070000174259','53550',(select max(to_number(i.premium_rcv_detail_code))+1
from ins_premium_det i),'53550','53550','02', '11000003','00','Request by Mr. Saqib Saleem 06-Mar-2024');</v>
      </c>
    </row>
    <row r="122" spans="1:8" ht="89.25" x14ac:dyDescent="0.2">
      <c r="A122" s="2" t="s">
        <v>1063</v>
      </c>
      <c r="B122" t="str">
        <f>VLOOKUP(A122,policy!B:C,2,0)</f>
        <v>070000174174</v>
      </c>
      <c r="C122" s="4">
        <v>19975</v>
      </c>
      <c r="D122" s="18">
        <f t="shared" si="5"/>
        <v>19975</v>
      </c>
      <c r="E122" s="22" t="s">
        <v>2340</v>
      </c>
      <c r="F122" s="19" t="str">
        <f t="shared" si="4"/>
        <v>insert into ins_premium_det (premium_rcv_code,assorted_code, rec_amount,premium_rcv_detail_code,remaining_amt, payrec, mode_code,coinsurance_code,class_cd,it_remarks) values</v>
      </c>
      <c r="G122" s="20" t="str">
        <f t="shared" si="6"/>
        <v>('06Mar250008','070000174174','19975',(select max(to_number(i.premium_rcv_detail_code))+1
from ins_premium_det i),'19975','19975','02', '11000003','00','Request by Mr. Saqib Saleem 06-Mar-2024');</v>
      </c>
      <c r="H122" s="21" t="str">
        <f t="shared" si="7"/>
        <v>insert into ins_premium_det (premium_rcv_code,assorted_code, rec_amount,premium_rcv_detail_code,remaining_amt, payrec, mode_code,coinsurance_code,class_cd,it_remarks) values('06Mar250008','070000174174','19975',(select max(to_number(i.premium_rcv_detail_code))+1
from ins_premium_det i),'19975','19975','02', '11000003','00','Request by Mr. Saqib Saleem 06-Mar-2024');</v>
      </c>
    </row>
    <row r="123" spans="1:8" ht="89.25" x14ac:dyDescent="0.2">
      <c r="A123" s="2" t="s">
        <v>850</v>
      </c>
      <c r="B123" t="str">
        <f>VLOOKUP(A123,policy!B:C,2,0)</f>
        <v>070000174261</v>
      </c>
      <c r="C123" s="4">
        <v>15300</v>
      </c>
      <c r="D123" s="18">
        <f t="shared" si="5"/>
        <v>15300</v>
      </c>
      <c r="E123" s="22" t="s">
        <v>2340</v>
      </c>
      <c r="F123" s="19" t="str">
        <f t="shared" si="4"/>
        <v>insert into ins_premium_det (premium_rcv_code,assorted_code, rec_amount,premium_rcv_detail_code,remaining_amt, payrec, mode_code,coinsurance_code,class_cd,it_remarks) values</v>
      </c>
      <c r="G123" s="20" t="str">
        <f t="shared" si="6"/>
        <v>('06Mar250008','070000174261','15300',(select max(to_number(i.premium_rcv_detail_code))+1
from ins_premium_det i),'15300','15300','02', '11000003','00','Request by Mr. Saqib Saleem 06-Mar-2024');</v>
      </c>
      <c r="H123" s="21" t="str">
        <f t="shared" si="7"/>
        <v>insert into ins_premium_det (premium_rcv_code,assorted_code, rec_amount,premium_rcv_detail_code,remaining_amt, payrec, mode_code,coinsurance_code,class_cd,it_remarks) values('06Mar250008','070000174261','15300',(select max(to_number(i.premium_rcv_detail_code))+1
from ins_premium_det i),'15300','15300','02', '11000003','00','Request by Mr. Saqib Saleem 06-Mar-2024');</v>
      </c>
    </row>
    <row r="124" spans="1:8" ht="89.25" x14ac:dyDescent="0.2">
      <c r="A124" s="2" t="s">
        <v>855</v>
      </c>
      <c r="B124" t="str">
        <f>VLOOKUP(A124,policy!B:C,2,0)</f>
        <v>070000174262</v>
      </c>
      <c r="C124" s="4">
        <v>54298</v>
      </c>
      <c r="D124" s="18">
        <f t="shared" si="5"/>
        <v>54298</v>
      </c>
      <c r="E124" s="22" t="s">
        <v>2340</v>
      </c>
      <c r="F124" s="19" t="str">
        <f t="shared" si="4"/>
        <v>insert into ins_premium_det (premium_rcv_code,assorted_code, rec_amount,premium_rcv_detail_code,remaining_amt, payrec, mode_code,coinsurance_code,class_cd,it_remarks) values</v>
      </c>
      <c r="G124" s="20" t="str">
        <f t="shared" si="6"/>
        <v>('06Mar250008','070000174262','54298',(select max(to_number(i.premium_rcv_detail_code))+1
from ins_premium_det i),'54298','54298','02', '11000003','00','Request by Mr. Saqib Saleem 06-Mar-2024');</v>
      </c>
      <c r="H124" s="21" t="str">
        <f t="shared" si="7"/>
        <v>insert into ins_premium_det (premium_rcv_code,assorted_code, rec_amount,premium_rcv_detail_code,remaining_amt, payrec, mode_code,coinsurance_code,class_cd,it_remarks) values('06Mar250008','070000174262','54298',(select max(to_number(i.premium_rcv_detail_code))+1
from ins_premium_det i),'54298','54298','02', '11000003','00','Request by Mr. Saqib Saleem 06-Mar-2024');</v>
      </c>
    </row>
    <row r="125" spans="1:8" ht="89.25" x14ac:dyDescent="0.2">
      <c r="A125" s="2" t="s">
        <v>864</v>
      </c>
      <c r="B125" t="str">
        <f>VLOOKUP(A125,policy!B:C,2,0)</f>
        <v>070000174264</v>
      </c>
      <c r="C125" s="4">
        <v>34850</v>
      </c>
      <c r="D125" s="18">
        <f t="shared" si="5"/>
        <v>34850</v>
      </c>
      <c r="E125" s="22" t="s">
        <v>2340</v>
      </c>
      <c r="F125" s="19" t="str">
        <f t="shared" si="4"/>
        <v>insert into ins_premium_det (premium_rcv_code,assorted_code, rec_amount,premium_rcv_detail_code,remaining_amt, payrec, mode_code,coinsurance_code,class_cd,it_remarks) values</v>
      </c>
      <c r="G125" s="20" t="str">
        <f t="shared" si="6"/>
        <v>('06Mar250008','070000174264','34850',(select max(to_number(i.premium_rcv_detail_code))+1
from ins_premium_det i),'34850','34850','02', '11000003','00','Request by Mr. Saqib Saleem 06-Mar-2024');</v>
      </c>
      <c r="H125" s="21" t="str">
        <f t="shared" si="7"/>
        <v>insert into ins_premium_det (premium_rcv_code,assorted_code, rec_amount,premium_rcv_detail_code,remaining_amt, payrec, mode_code,coinsurance_code,class_cd,it_remarks) values('06Mar250008','070000174264','34850',(select max(to_number(i.premium_rcv_detail_code))+1
from ins_premium_det i),'34850','34850','02', '11000003','00','Request by Mr. Saqib Saleem 06-Mar-2024');</v>
      </c>
    </row>
    <row r="126" spans="1:8" ht="89.25" x14ac:dyDescent="0.2">
      <c r="A126" s="2" t="s">
        <v>876</v>
      </c>
      <c r="B126" t="str">
        <f>VLOOKUP(A126,policy!B:C,2,0)</f>
        <v>070000174267</v>
      </c>
      <c r="C126" s="4">
        <v>57375</v>
      </c>
      <c r="D126" s="18">
        <f t="shared" si="5"/>
        <v>57375</v>
      </c>
      <c r="E126" s="22" t="s">
        <v>2340</v>
      </c>
      <c r="F126" s="19" t="str">
        <f t="shared" si="4"/>
        <v>insert into ins_premium_det (premium_rcv_code,assorted_code, rec_amount,premium_rcv_detail_code,remaining_amt, payrec, mode_code,coinsurance_code,class_cd,it_remarks) values</v>
      </c>
      <c r="G126" s="20" t="str">
        <f t="shared" si="6"/>
        <v>('06Mar250008','070000174267','57375',(select max(to_number(i.premium_rcv_detail_code))+1
from ins_premium_det i),'57375','57375','02', '11000003','00','Request by Mr. Saqib Saleem 06-Mar-2024');</v>
      </c>
      <c r="H126" s="21" t="str">
        <f t="shared" si="7"/>
        <v>insert into ins_premium_det (premium_rcv_code,assorted_code, rec_amount,premium_rcv_detail_code,remaining_amt, payrec, mode_code,coinsurance_code,class_cd,it_remarks) values('06Mar250008','070000174267','57375',(select max(to_number(i.premium_rcv_detail_code))+1
from ins_premium_det i),'57375','57375','02', '11000003','00','Request by Mr. Saqib Saleem 06-Mar-2024');</v>
      </c>
    </row>
    <row r="127" spans="1:8" ht="89.25" x14ac:dyDescent="0.2">
      <c r="A127" s="2" t="s">
        <v>868</v>
      </c>
      <c r="B127" t="str">
        <f>VLOOKUP(A127,policy!B:C,2,0)</f>
        <v>070000174265</v>
      </c>
      <c r="C127" s="4">
        <v>38760</v>
      </c>
      <c r="D127" s="18">
        <f t="shared" si="5"/>
        <v>38760</v>
      </c>
      <c r="E127" s="22" t="s">
        <v>2340</v>
      </c>
      <c r="F127" s="19" t="str">
        <f t="shared" si="4"/>
        <v>insert into ins_premium_det (premium_rcv_code,assorted_code, rec_amount,premium_rcv_detail_code,remaining_amt, payrec, mode_code,coinsurance_code,class_cd,it_remarks) values</v>
      </c>
      <c r="G127" s="20" t="str">
        <f t="shared" si="6"/>
        <v>('06Mar250008','070000174265','38760',(select max(to_number(i.premium_rcv_detail_code))+1
from ins_premium_det i),'38760','38760','02', '11000003','00','Request by Mr. Saqib Saleem 06-Mar-2024');</v>
      </c>
      <c r="H127" s="21" t="str">
        <f t="shared" si="7"/>
        <v>insert into ins_premium_det (premium_rcv_code,assorted_code, rec_amount,premium_rcv_detail_code,remaining_amt, payrec, mode_code,coinsurance_code,class_cd,it_remarks) values('06Mar250008','070000174265','38760',(select max(to_number(i.premium_rcv_detail_code))+1
from ins_premium_det i),'38760','38760','02', '11000003','00','Request by Mr. Saqib Saleem 06-Mar-2024');</v>
      </c>
    </row>
    <row r="128" spans="1:8" ht="89.25" x14ac:dyDescent="0.2">
      <c r="A128" s="2" t="s">
        <v>932</v>
      </c>
      <c r="B128" t="str">
        <f>VLOOKUP(A128,policy!B:C,2,0)</f>
        <v>070000174279</v>
      </c>
      <c r="C128" s="4">
        <v>53665</v>
      </c>
      <c r="D128" s="18">
        <f t="shared" si="5"/>
        <v>53665</v>
      </c>
      <c r="E128" s="22" t="s">
        <v>2340</v>
      </c>
      <c r="F128" s="19" t="str">
        <f t="shared" si="4"/>
        <v>insert into ins_premium_det (premium_rcv_code,assorted_code, rec_amount,premium_rcv_detail_code,remaining_amt, payrec, mode_code,coinsurance_code,class_cd,it_remarks) values</v>
      </c>
      <c r="G128" s="20" t="str">
        <f t="shared" si="6"/>
        <v>('06Mar250008','070000174279','53665',(select max(to_number(i.premium_rcv_detail_code))+1
from ins_premium_det i),'53665','53665','02', '11000003','00','Request by Mr. Saqib Saleem 06-Mar-2024');</v>
      </c>
      <c r="H128" s="21" t="str">
        <f t="shared" si="7"/>
        <v>insert into ins_premium_det (premium_rcv_code,assorted_code, rec_amount,premium_rcv_detail_code,remaining_amt, payrec, mode_code,coinsurance_code,class_cd,it_remarks) values('06Mar250008','070000174279','53665',(select max(to_number(i.premium_rcv_detail_code))+1
from ins_premium_det i),'53665','53665','02', '11000003','00','Request by Mr. Saqib Saleem 06-Mar-2024');</v>
      </c>
    </row>
    <row r="129" spans="1:8" ht="89.25" x14ac:dyDescent="0.2">
      <c r="A129" s="2" t="s">
        <v>872</v>
      </c>
      <c r="B129" t="str">
        <f>VLOOKUP(A129,policy!B:C,2,0)</f>
        <v>070000174266</v>
      </c>
      <c r="C129" s="4">
        <v>36873</v>
      </c>
      <c r="D129" s="18">
        <f t="shared" si="5"/>
        <v>36873</v>
      </c>
      <c r="E129" s="22" t="s">
        <v>2340</v>
      </c>
      <c r="F129" s="19" t="str">
        <f t="shared" si="4"/>
        <v>insert into ins_premium_det (premium_rcv_code,assorted_code, rec_amount,premium_rcv_detail_code,remaining_amt, payrec, mode_code,coinsurance_code,class_cd,it_remarks) values</v>
      </c>
      <c r="G129" s="20" t="str">
        <f t="shared" si="6"/>
        <v>('06Mar250008','070000174266','36873',(select max(to_number(i.premium_rcv_detail_code))+1
from ins_premium_det i),'36873','36873','02', '11000003','00','Request by Mr. Saqib Saleem 06-Mar-2024');</v>
      </c>
      <c r="H129" s="21" t="str">
        <f t="shared" si="7"/>
        <v>insert into ins_premium_det (premium_rcv_code,assorted_code, rec_amount,premium_rcv_detail_code,remaining_amt, payrec, mode_code,coinsurance_code,class_cd,it_remarks) values('06Mar250008','070000174266','36873',(select max(to_number(i.premium_rcv_detail_code))+1
from ins_premium_det i),'36873','36873','02', '11000003','00','Request by Mr. Saqib Saleem 06-Mar-2024');</v>
      </c>
    </row>
    <row r="130" spans="1:8" ht="89.25" x14ac:dyDescent="0.2">
      <c r="A130" s="2" t="s">
        <v>881</v>
      </c>
      <c r="B130" t="str">
        <f>VLOOKUP(A130,policy!B:C,2,0)</f>
        <v>070000174268</v>
      </c>
      <c r="C130" s="4">
        <v>43095</v>
      </c>
      <c r="D130" s="18">
        <f t="shared" si="5"/>
        <v>43095</v>
      </c>
      <c r="E130" s="22" t="s">
        <v>2340</v>
      </c>
      <c r="F130" s="19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0" t="str">
        <f t="shared" si="6"/>
        <v>('06Mar250008','070000174268','43095',(select max(to_number(i.premium_rcv_detail_code))+1
from ins_premium_det i),'43095','43095','02', '11000003','00','Request by Mr. Saqib Saleem 06-Mar-2024');</v>
      </c>
      <c r="H130" s="21" t="str">
        <f t="shared" si="7"/>
        <v>insert into ins_premium_det (premium_rcv_code,assorted_code, rec_amount,premium_rcv_detail_code,remaining_amt, payrec, mode_code,coinsurance_code,class_cd,it_remarks) values('06Mar250008','070000174268','43095',(select max(to_number(i.premium_rcv_detail_code))+1
from ins_premium_det i),'43095','43095','02', '11000003','00','Request by Mr. Saqib Saleem 06-Mar-2024');</v>
      </c>
    </row>
    <row r="131" spans="1:8" ht="89.25" x14ac:dyDescent="0.2">
      <c r="A131" s="2" t="s">
        <v>886</v>
      </c>
      <c r="B131" t="str">
        <f>VLOOKUP(A131,policy!B:C,2,0)</f>
        <v>070000174269</v>
      </c>
      <c r="C131" s="4">
        <v>52913</v>
      </c>
      <c r="D131" s="18">
        <f t="shared" ref="D131:D194" si="9">ROUND(C131,0)</f>
        <v>52913</v>
      </c>
      <c r="E131" s="22" t="s">
        <v>2340</v>
      </c>
      <c r="F131" s="19" t="str">
        <f t="shared" si="8"/>
        <v>insert into ins_premium_det (premium_rcv_code,assorted_code, rec_amount,premium_rcv_detail_code,remaining_amt, payrec, mode_code,coinsurance_code,class_cd,it_remarks) values</v>
      </c>
      <c r="G131" s="20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06-Mar-2024');"</f>
        <v>('06Mar250008','070000174269','52913',(select max(to_number(i.premium_rcv_detail_code))+1
from ins_premium_det i),'52913','52913','02', '11000003','00','Request by Mr. Saqib Saleem 06-Mar-2024');</v>
      </c>
      <c r="H131" s="21" t="str">
        <f t="shared" ref="H131:H194" si="11">F131&amp;G131</f>
        <v>insert into ins_premium_det (premium_rcv_code,assorted_code, rec_amount,premium_rcv_detail_code,remaining_amt, payrec, mode_code,coinsurance_code,class_cd,it_remarks) values('06Mar250008','070000174269','52913',(select max(to_number(i.premium_rcv_detail_code))+1
from ins_premium_det i),'52913','52913','02', '11000003','00','Request by Mr. Saqib Saleem 06-Mar-2024');</v>
      </c>
    </row>
    <row r="132" spans="1:8" ht="89.25" x14ac:dyDescent="0.2">
      <c r="A132" s="2" t="s">
        <v>911</v>
      </c>
      <c r="B132" t="str">
        <f>VLOOKUP(A132,policy!B:C,2,0)</f>
        <v>070000174274</v>
      </c>
      <c r="C132" s="4">
        <v>51000</v>
      </c>
      <c r="D132" s="18">
        <f t="shared" si="9"/>
        <v>51000</v>
      </c>
      <c r="E132" s="22" t="s">
        <v>2340</v>
      </c>
      <c r="F132" s="19" t="str">
        <f t="shared" si="8"/>
        <v>insert into ins_premium_det (premium_rcv_code,assorted_code, rec_amount,premium_rcv_detail_code,remaining_amt, payrec, mode_code,coinsurance_code,class_cd,it_remarks) values</v>
      </c>
      <c r="G132" s="20" t="str">
        <f t="shared" si="10"/>
        <v>('06Mar250008','070000174274','51000',(select max(to_number(i.premium_rcv_detail_code))+1
from ins_premium_det i),'51000','51000','02', '11000003','00','Request by Mr. Saqib Saleem 06-Mar-2024');</v>
      </c>
      <c r="H132" s="21" t="str">
        <f t="shared" si="11"/>
        <v>insert into ins_premium_det (premium_rcv_code,assorted_code, rec_amount,premium_rcv_detail_code,remaining_amt, payrec, mode_code,coinsurance_code,class_cd,it_remarks) values('06Mar250008','070000174274','51000',(select max(to_number(i.premium_rcv_detail_code))+1
from ins_premium_det i),'51000','51000','02', '11000003','00','Request by Mr. Saqib Saleem 06-Mar-2024');</v>
      </c>
    </row>
    <row r="133" spans="1:8" ht="89.25" x14ac:dyDescent="0.2">
      <c r="A133" s="2" t="s">
        <v>915</v>
      </c>
      <c r="B133" t="str">
        <f>VLOOKUP(A133,policy!B:C,2,0)</f>
        <v>070000174275</v>
      </c>
      <c r="C133" s="4">
        <v>30600</v>
      </c>
      <c r="D133" s="18">
        <f t="shared" si="9"/>
        <v>30600</v>
      </c>
      <c r="E133" s="22" t="s">
        <v>2340</v>
      </c>
      <c r="F133" s="19" t="str">
        <f t="shared" si="8"/>
        <v>insert into ins_premium_det (premium_rcv_code,assorted_code, rec_amount,premium_rcv_detail_code,remaining_amt, payrec, mode_code,coinsurance_code,class_cd,it_remarks) values</v>
      </c>
      <c r="G133" s="20" t="str">
        <f t="shared" si="10"/>
        <v>('06Mar250008','070000174275','30600',(select max(to_number(i.premium_rcv_detail_code))+1
from ins_premium_det i),'30600','30600','02', '11000003','00','Request by Mr. Saqib Saleem 06-Mar-2024');</v>
      </c>
      <c r="H133" s="21" t="str">
        <f t="shared" si="11"/>
        <v>insert into ins_premium_det (premium_rcv_code,assorted_code, rec_amount,premium_rcv_detail_code,remaining_amt, payrec, mode_code,coinsurance_code,class_cd,it_remarks) values('06Mar250008','070000174275','30600',(select max(to_number(i.premium_rcv_detail_code))+1
from ins_premium_det i),'30600','30600','02', '11000003','00','Request by Mr. Saqib Saleem 06-Mar-2024');</v>
      </c>
    </row>
    <row r="134" spans="1:8" ht="89.25" x14ac:dyDescent="0.2">
      <c r="A134" s="2" t="s">
        <v>895</v>
      </c>
      <c r="B134" t="str">
        <f>VLOOKUP(A134,policy!B:C,2,0)</f>
        <v>070000174271</v>
      </c>
      <c r="C134" s="4">
        <v>29750</v>
      </c>
      <c r="D134" s="18">
        <f t="shared" si="9"/>
        <v>29750</v>
      </c>
      <c r="E134" s="22" t="s">
        <v>2340</v>
      </c>
      <c r="F134" s="19" t="str">
        <f t="shared" si="8"/>
        <v>insert into ins_premium_det (premium_rcv_code,assorted_code, rec_amount,premium_rcv_detail_code,remaining_amt, payrec, mode_code,coinsurance_code,class_cd,it_remarks) values</v>
      </c>
      <c r="G134" s="20" t="str">
        <f t="shared" si="10"/>
        <v>('06Mar250008','070000174271','29750',(select max(to_number(i.premium_rcv_detail_code))+1
from ins_premium_det i),'29750','29750','02', '11000003','00','Request by Mr. Saqib Saleem 06-Mar-2024');</v>
      </c>
      <c r="H134" s="21" t="str">
        <f t="shared" si="11"/>
        <v>insert into ins_premium_det (premium_rcv_code,assorted_code, rec_amount,premium_rcv_detail_code,remaining_amt, payrec, mode_code,coinsurance_code,class_cd,it_remarks) values('06Mar250008','070000174271','29750',(select max(to_number(i.premium_rcv_detail_code))+1
from ins_premium_det i),'29750','29750','02', '11000003','00','Request by Mr. Saqib Saleem 06-Mar-2024');</v>
      </c>
    </row>
    <row r="135" spans="1:8" ht="89.25" x14ac:dyDescent="0.2">
      <c r="A135" s="2" t="s">
        <v>927</v>
      </c>
      <c r="B135" t="str">
        <f>VLOOKUP(A135,policy!B:C,2,0)</f>
        <v>070000174278</v>
      </c>
      <c r="C135" s="4">
        <v>43988</v>
      </c>
      <c r="D135" s="18">
        <f t="shared" si="9"/>
        <v>43988</v>
      </c>
      <c r="E135" s="22" t="s">
        <v>2340</v>
      </c>
      <c r="F135" s="19" t="str">
        <f t="shared" si="8"/>
        <v>insert into ins_premium_det (premium_rcv_code,assorted_code, rec_amount,premium_rcv_detail_code,remaining_amt, payrec, mode_code,coinsurance_code,class_cd,it_remarks) values</v>
      </c>
      <c r="G135" s="20" t="str">
        <f t="shared" si="10"/>
        <v>('06Mar250008','070000174278','43988',(select max(to_number(i.premium_rcv_detail_code))+1
from ins_premium_det i),'43988','43988','02', '11000003','00','Request by Mr. Saqib Saleem 06-Mar-2024');</v>
      </c>
      <c r="H135" s="21" t="str">
        <f t="shared" si="11"/>
        <v>insert into ins_premium_det (premium_rcv_code,assorted_code, rec_amount,premium_rcv_detail_code,remaining_amt, payrec, mode_code,coinsurance_code,class_cd,it_remarks) values('06Mar250008','070000174278','43988',(select max(to_number(i.premium_rcv_detail_code))+1
from ins_premium_det i),'43988','43988','02', '11000003','00','Request by Mr. Saqib Saleem 06-Mar-2024');</v>
      </c>
    </row>
    <row r="136" spans="1:8" ht="89.25" x14ac:dyDescent="0.2">
      <c r="A136" s="2" t="s">
        <v>970</v>
      </c>
      <c r="B136" t="str">
        <f>VLOOKUP(A136,policy!B:C,2,0)</f>
        <v>070000174288</v>
      </c>
      <c r="C136" s="4">
        <v>54400</v>
      </c>
      <c r="D136" s="18">
        <f t="shared" si="9"/>
        <v>54400</v>
      </c>
      <c r="E136" s="22" t="s">
        <v>2340</v>
      </c>
      <c r="F136" s="19" t="str">
        <f t="shared" si="8"/>
        <v>insert into ins_premium_det (premium_rcv_code,assorted_code, rec_amount,premium_rcv_detail_code,remaining_amt, payrec, mode_code,coinsurance_code,class_cd,it_remarks) values</v>
      </c>
      <c r="G136" s="20" t="str">
        <f t="shared" si="10"/>
        <v>('06Mar250008','070000174288','54400',(select max(to_number(i.premium_rcv_detail_code))+1
from ins_premium_det i),'54400','54400','02', '11000003','00','Request by Mr. Saqib Saleem 06-Mar-2024');</v>
      </c>
      <c r="H136" s="21" t="str">
        <f t="shared" si="11"/>
        <v>insert into ins_premium_det (premium_rcv_code,assorted_code, rec_amount,premium_rcv_detail_code,remaining_amt, payrec, mode_code,coinsurance_code,class_cd,it_remarks) values('06Mar250008','070000174288','54400',(select max(to_number(i.premium_rcv_detail_code))+1
from ins_premium_det i),'54400','54400','02', '11000003','00','Request by Mr. Saqib Saleem 06-Mar-2024');</v>
      </c>
    </row>
    <row r="137" spans="1:8" ht="89.25" x14ac:dyDescent="0.2">
      <c r="A137" s="2" t="s">
        <v>919</v>
      </c>
      <c r="B137" t="str">
        <f>VLOOKUP(A137,policy!B:C,2,0)</f>
        <v>070000174276</v>
      </c>
      <c r="C137" s="4">
        <v>30600</v>
      </c>
      <c r="D137" s="18">
        <f t="shared" si="9"/>
        <v>30600</v>
      </c>
      <c r="E137" s="22" t="s">
        <v>2340</v>
      </c>
      <c r="F137" s="19" t="str">
        <f t="shared" si="8"/>
        <v>insert into ins_premium_det (premium_rcv_code,assorted_code, rec_amount,premium_rcv_detail_code,remaining_amt, payrec, mode_code,coinsurance_code,class_cd,it_remarks) values</v>
      </c>
      <c r="G137" s="20" t="str">
        <f t="shared" si="10"/>
        <v>('06Mar250008','070000174276','30600',(select max(to_number(i.premium_rcv_detail_code))+1
from ins_premium_det i),'30600','30600','02', '11000003','00','Request by Mr. Saqib Saleem 06-Mar-2024');</v>
      </c>
      <c r="H137" s="21" t="str">
        <f t="shared" si="11"/>
        <v>insert into ins_premium_det (premium_rcv_code,assorted_code, rec_amount,premium_rcv_detail_code,remaining_amt, payrec, mode_code,coinsurance_code,class_cd,it_remarks) values('06Mar250008','070000174276','30600',(select max(to_number(i.premium_rcv_detail_code))+1
from ins_premium_det i),'30600','30600','02', '11000003','00','Request by Mr. Saqib Saleem 06-Mar-2024');</v>
      </c>
    </row>
    <row r="138" spans="1:8" ht="89.25" x14ac:dyDescent="0.2">
      <c r="A138" s="2" t="s">
        <v>903</v>
      </c>
      <c r="B138" t="str">
        <f>VLOOKUP(A138,policy!B:C,2,0)</f>
        <v>070000174272</v>
      </c>
      <c r="C138" s="4">
        <v>63750</v>
      </c>
      <c r="D138" s="18">
        <f t="shared" si="9"/>
        <v>63750</v>
      </c>
      <c r="E138" s="22" t="s">
        <v>2340</v>
      </c>
      <c r="F138" s="19" t="str">
        <f t="shared" si="8"/>
        <v>insert into ins_premium_det (premium_rcv_code,assorted_code, rec_amount,premium_rcv_detail_code,remaining_amt, payrec, mode_code,coinsurance_code,class_cd,it_remarks) values</v>
      </c>
      <c r="G138" s="20" t="str">
        <f t="shared" si="10"/>
        <v>('06Mar250008','070000174272','63750',(select max(to_number(i.premium_rcv_detail_code))+1
from ins_premium_det i),'63750','63750','02', '11000003','00','Request by Mr. Saqib Saleem 06-Mar-2024');</v>
      </c>
      <c r="H138" s="21" t="str">
        <f t="shared" si="11"/>
        <v>insert into ins_premium_det (premium_rcv_code,assorted_code, rec_amount,premium_rcv_detail_code,remaining_amt, payrec, mode_code,coinsurance_code,class_cd,it_remarks) values('06Mar250008','070000174272','63750',(select max(to_number(i.premium_rcv_detail_code))+1
from ins_premium_det i),'63750','63750','02', '11000003','00','Request by Mr. Saqib Saleem 06-Mar-2024');</v>
      </c>
    </row>
    <row r="139" spans="1:8" ht="89.25" x14ac:dyDescent="0.2">
      <c r="A139" s="2" t="s">
        <v>958</v>
      </c>
      <c r="B139" t="str">
        <f>VLOOKUP(A139,policy!B:C,2,0)</f>
        <v>070000174285</v>
      </c>
      <c r="C139" s="4">
        <v>51000</v>
      </c>
      <c r="D139" s="18">
        <f t="shared" si="9"/>
        <v>51000</v>
      </c>
      <c r="E139" s="22" t="s">
        <v>2340</v>
      </c>
      <c r="F139" s="19" t="str">
        <f t="shared" si="8"/>
        <v>insert into ins_premium_det (premium_rcv_code,assorted_code, rec_amount,premium_rcv_detail_code,remaining_amt, payrec, mode_code,coinsurance_code,class_cd,it_remarks) values</v>
      </c>
      <c r="G139" s="20" t="str">
        <f t="shared" si="10"/>
        <v>('06Mar250008','070000174285','51000',(select max(to_number(i.premium_rcv_detail_code))+1
from ins_premium_det i),'51000','51000','02', '11000003','00','Request by Mr. Saqib Saleem 06-Mar-2024');</v>
      </c>
      <c r="H139" s="21" t="str">
        <f t="shared" si="11"/>
        <v>insert into ins_premium_det (premium_rcv_code,assorted_code, rec_amount,premium_rcv_detail_code,remaining_amt, payrec, mode_code,coinsurance_code,class_cd,it_remarks) values('06Mar250008','070000174285','51000',(select max(to_number(i.premium_rcv_detail_code))+1
from ins_premium_det i),'51000','51000','02', '11000003','00','Request by Mr. Saqib Saleem 06-Mar-2024');</v>
      </c>
    </row>
    <row r="140" spans="1:8" ht="89.25" x14ac:dyDescent="0.2">
      <c r="A140" s="2" t="s">
        <v>954</v>
      </c>
      <c r="B140" t="str">
        <f>VLOOKUP(A140,policy!B:C,2,0)</f>
        <v>070000174284</v>
      </c>
      <c r="C140" s="4">
        <v>36125</v>
      </c>
      <c r="D140" s="18">
        <f t="shared" si="9"/>
        <v>36125</v>
      </c>
      <c r="E140" s="22" t="s">
        <v>2340</v>
      </c>
      <c r="F140" s="19" t="str">
        <f t="shared" si="8"/>
        <v>insert into ins_premium_det (premium_rcv_code,assorted_code, rec_amount,premium_rcv_detail_code,remaining_amt, payrec, mode_code,coinsurance_code,class_cd,it_remarks) values</v>
      </c>
      <c r="G140" s="20" t="str">
        <f t="shared" si="10"/>
        <v>('06Mar250008','070000174284','36125',(select max(to_number(i.premium_rcv_detail_code))+1
from ins_premium_det i),'36125','36125','02', '11000003','00','Request by Mr. Saqib Saleem 06-Mar-2024');</v>
      </c>
      <c r="H140" s="21" t="str">
        <f t="shared" si="11"/>
        <v>insert into ins_premium_det (premium_rcv_code,assorted_code, rec_amount,premium_rcv_detail_code,remaining_amt, payrec, mode_code,coinsurance_code,class_cd,it_remarks) values('06Mar250008','070000174284','36125',(select max(to_number(i.premium_rcv_detail_code))+1
from ins_premium_det i),'36125','36125','02', '11000003','00','Request by Mr. Saqib Saleem 06-Mar-2024');</v>
      </c>
    </row>
    <row r="141" spans="1:8" ht="89.25" x14ac:dyDescent="0.2">
      <c r="A141" s="2" t="s">
        <v>923</v>
      </c>
      <c r="B141" t="str">
        <f>VLOOKUP(A141,policy!B:C,2,0)</f>
        <v>070000174277</v>
      </c>
      <c r="C141" s="4">
        <v>36210</v>
      </c>
      <c r="D141" s="18">
        <f t="shared" si="9"/>
        <v>36210</v>
      </c>
      <c r="E141" s="22" t="s">
        <v>2340</v>
      </c>
      <c r="F141" s="19" t="str">
        <f t="shared" si="8"/>
        <v>insert into ins_premium_det (premium_rcv_code,assorted_code, rec_amount,premium_rcv_detail_code,remaining_amt, payrec, mode_code,coinsurance_code,class_cd,it_remarks) values</v>
      </c>
      <c r="G141" s="20" t="str">
        <f t="shared" si="10"/>
        <v>('06Mar250008','070000174277','36210',(select max(to_number(i.premium_rcv_detail_code))+1
from ins_premium_det i),'36210','36210','02', '11000003','00','Request by Mr. Saqib Saleem 06-Mar-2024');</v>
      </c>
      <c r="H141" s="21" t="str">
        <f t="shared" si="11"/>
        <v>insert into ins_premium_det (premium_rcv_code,assorted_code, rec_amount,premium_rcv_detail_code,remaining_amt, payrec, mode_code,coinsurance_code,class_cd,it_remarks) values('06Mar250008','070000174277','36210',(select max(to_number(i.premium_rcv_detail_code))+1
from ins_premium_det i),'36210','36210','02', '11000003','00','Request by Mr. Saqib Saleem 06-Mar-2024');</v>
      </c>
    </row>
    <row r="142" spans="1:8" ht="89.25" x14ac:dyDescent="0.2">
      <c r="A142" s="2" t="s">
        <v>950</v>
      </c>
      <c r="B142" t="str">
        <f>VLOOKUP(A142,policy!B:C,2,0)</f>
        <v>070000174282</v>
      </c>
      <c r="C142" s="4">
        <v>54825</v>
      </c>
      <c r="D142" s="18">
        <f t="shared" si="9"/>
        <v>54825</v>
      </c>
      <c r="E142" s="22" t="s">
        <v>2340</v>
      </c>
      <c r="F142" s="19" t="str">
        <f t="shared" si="8"/>
        <v>insert into ins_premium_det (premium_rcv_code,assorted_code, rec_amount,premium_rcv_detail_code,remaining_amt, payrec, mode_code,coinsurance_code,class_cd,it_remarks) values</v>
      </c>
      <c r="G142" s="20" t="str">
        <f t="shared" si="10"/>
        <v>('06Mar250008','070000174282','54825',(select max(to_number(i.premium_rcv_detail_code))+1
from ins_premium_det i),'54825','54825','02', '11000003','00','Request by Mr. Saqib Saleem 06-Mar-2024');</v>
      </c>
      <c r="H142" s="21" t="str">
        <f t="shared" si="11"/>
        <v>insert into ins_premium_det (premium_rcv_code,assorted_code, rec_amount,premium_rcv_detail_code,remaining_amt, payrec, mode_code,coinsurance_code,class_cd,it_remarks) values('06Mar250008','070000174282','54825',(select max(to_number(i.premium_rcv_detail_code))+1
from ins_premium_det i),'54825','54825','02', '11000003','00','Request by Mr. Saqib Saleem 06-Mar-2024');</v>
      </c>
    </row>
    <row r="143" spans="1:8" ht="89.25" x14ac:dyDescent="0.2">
      <c r="A143" s="2" t="s">
        <v>966</v>
      </c>
      <c r="B143" t="str">
        <f>VLOOKUP(A143,policy!B:C,2,0)</f>
        <v>070000174287</v>
      </c>
      <c r="C143" s="4">
        <v>34000</v>
      </c>
      <c r="D143" s="18">
        <f t="shared" si="9"/>
        <v>34000</v>
      </c>
      <c r="E143" s="22" t="s">
        <v>2340</v>
      </c>
      <c r="F143" s="19" t="str">
        <f t="shared" si="8"/>
        <v>insert into ins_premium_det (premium_rcv_code,assorted_code, rec_amount,premium_rcv_detail_code,remaining_amt, payrec, mode_code,coinsurance_code,class_cd,it_remarks) values</v>
      </c>
      <c r="G143" s="20" t="str">
        <f t="shared" si="10"/>
        <v>('06Mar250008','070000174287','34000',(select max(to_number(i.premium_rcv_detail_code))+1
from ins_premium_det i),'34000','34000','02', '11000003','00','Request by Mr. Saqib Saleem 06-Mar-2024');</v>
      </c>
      <c r="H143" s="21" t="str">
        <f t="shared" si="11"/>
        <v>insert into ins_premium_det (premium_rcv_code,assorted_code, rec_amount,premium_rcv_detail_code,remaining_amt, payrec, mode_code,coinsurance_code,class_cd,it_remarks) values('06Mar250008','070000174287','34000',(select max(to_number(i.premium_rcv_detail_code))+1
from ins_premium_det i),'34000','34000','02', '11000003','00','Request by Mr. Saqib Saleem 06-Mar-2024');</v>
      </c>
    </row>
    <row r="144" spans="1:8" ht="89.25" x14ac:dyDescent="0.2">
      <c r="A144" s="2" t="s">
        <v>962</v>
      </c>
      <c r="B144" t="str">
        <f>VLOOKUP(A144,policy!B:C,2,0)</f>
        <v>070000174286</v>
      </c>
      <c r="C144" s="4">
        <v>28475</v>
      </c>
      <c r="D144" s="18">
        <f t="shared" si="9"/>
        <v>28475</v>
      </c>
      <c r="E144" s="22" t="s">
        <v>2340</v>
      </c>
      <c r="F144" s="19" t="str">
        <f t="shared" si="8"/>
        <v>insert into ins_premium_det (premium_rcv_code,assorted_code, rec_amount,premium_rcv_detail_code,remaining_amt, payrec, mode_code,coinsurance_code,class_cd,it_remarks) values</v>
      </c>
      <c r="G144" s="20" t="str">
        <f t="shared" si="10"/>
        <v>('06Mar250008','070000174286','28475',(select max(to_number(i.premium_rcv_detail_code))+1
from ins_premium_det i),'28475','28475','02', '11000003','00','Request by Mr. Saqib Saleem 06-Mar-2024');</v>
      </c>
      <c r="H144" s="21" t="str">
        <f t="shared" si="11"/>
        <v>insert into ins_premium_det (premium_rcv_code,assorted_code, rec_amount,premium_rcv_detail_code,remaining_amt, payrec, mode_code,coinsurance_code,class_cd,it_remarks) values('06Mar250008','070000174286','28475',(select max(to_number(i.premium_rcv_detail_code))+1
from ins_premium_det i),'28475','28475','02', '11000003','00','Request by Mr. Saqib Saleem 06-Mar-2024');</v>
      </c>
    </row>
    <row r="145" spans="1:8" ht="89.25" x14ac:dyDescent="0.2">
      <c r="A145" s="2" t="s">
        <v>665</v>
      </c>
      <c r="B145" t="str">
        <f>VLOOKUP(A145,policy!B:C,2,0)</f>
        <v>070000174204</v>
      </c>
      <c r="C145" s="4">
        <v>52830</v>
      </c>
      <c r="D145" s="18">
        <f t="shared" si="9"/>
        <v>52830</v>
      </c>
      <c r="E145" s="22" t="s">
        <v>2340</v>
      </c>
      <c r="F145" s="19" t="str">
        <f t="shared" si="8"/>
        <v>insert into ins_premium_det (premium_rcv_code,assorted_code, rec_amount,premium_rcv_detail_code,remaining_amt, payrec, mode_code,coinsurance_code,class_cd,it_remarks) values</v>
      </c>
      <c r="G145" s="20" t="str">
        <f t="shared" si="10"/>
        <v>('06Mar250008','070000174204','52830',(select max(to_number(i.premium_rcv_detail_code))+1
from ins_premium_det i),'52830','52830','02', '11000003','00','Request by Mr. Saqib Saleem 06-Mar-2024');</v>
      </c>
      <c r="H145" s="21" t="str">
        <f t="shared" si="11"/>
        <v>insert into ins_premium_det (premium_rcv_code,assorted_code, rec_amount,premium_rcv_detail_code,remaining_amt, payrec, mode_code,coinsurance_code,class_cd,it_remarks) values('06Mar250008','070000174204','52830',(select max(to_number(i.premium_rcv_detail_code))+1
from ins_premium_det i),'52830','52830','02', '11000003','00','Request by Mr. Saqib Saleem 06-Mar-2024');</v>
      </c>
    </row>
    <row r="146" spans="1:8" ht="89.25" x14ac:dyDescent="0.2">
      <c r="A146" s="2" t="s">
        <v>778</v>
      </c>
      <c r="B146" t="str">
        <f>VLOOKUP(A146,policy!B:C,2,0)</f>
        <v>070000174245</v>
      </c>
      <c r="C146" s="4">
        <v>65327</v>
      </c>
      <c r="D146" s="18">
        <f t="shared" si="9"/>
        <v>65327</v>
      </c>
      <c r="E146" s="22" t="s">
        <v>2340</v>
      </c>
      <c r="F146" s="19" t="str">
        <f t="shared" si="8"/>
        <v>insert into ins_premium_det (premium_rcv_code,assorted_code, rec_amount,premium_rcv_detail_code,remaining_amt, payrec, mode_code,coinsurance_code,class_cd,it_remarks) values</v>
      </c>
      <c r="G146" s="20" t="str">
        <f t="shared" si="10"/>
        <v>('06Mar250008','070000174245','65327',(select max(to_number(i.premium_rcv_detail_code))+1
from ins_premium_det i),'65327','65327','02', '11000003','00','Request by Mr. Saqib Saleem 06-Mar-2024');</v>
      </c>
      <c r="H146" s="21" t="str">
        <f t="shared" si="11"/>
        <v>insert into ins_premium_det (premium_rcv_code,assorted_code, rec_amount,premium_rcv_detail_code,remaining_amt, payrec, mode_code,coinsurance_code,class_cd,it_remarks) values('06Mar250008','070000174245','65327',(select max(to_number(i.premium_rcv_detail_code))+1
from ins_premium_det i),'65327','65327','02', '11000003','00','Request by Mr. Saqib Saleem 06-Mar-2024');</v>
      </c>
    </row>
    <row r="147" spans="1:8" ht="89.25" x14ac:dyDescent="0.2">
      <c r="A147" s="2" t="s">
        <v>819</v>
      </c>
      <c r="B147" t="str">
        <f>VLOOKUP(A147,policy!B:C,2,0)</f>
        <v>070000174254</v>
      </c>
      <c r="C147" s="4">
        <v>41400</v>
      </c>
      <c r="D147" s="18">
        <f t="shared" si="9"/>
        <v>41400</v>
      </c>
      <c r="E147" s="22" t="s">
        <v>2340</v>
      </c>
      <c r="F147" s="19" t="str">
        <f t="shared" si="8"/>
        <v>insert into ins_premium_det (premium_rcv_code,assorted_code, rec_amount,premium_rcv_detail_code,remaining_amt, payrec, mode_code,coinsurance_code,class_cd,it_remarks) values</v>
      </c>
      <c r="G147" s="20" t="str">
        <f t="shared" si="10"/>
        <v>('06Mar250008','070000174254','41400',(select max(to_number(i.premium_rcv_detail_code))+1
from ins_premium_det i),'41400','41400','02', '11000003','00','Request by Mr. Saqib Saleem 06-Mar-2024');</v>
      </c>
      <c r="H147" s="21" t="str">
        <f t="shared" si="11"/>
        <v>insert into ins_premium_det (premium_rcv_code,assorted_code, rec_amount,premium_rcv_detail_code,remaining_amt, payrec, mode_code,coinsurance_code,class_cd,it_remarks) values('06Mar250008','070000174254','41400',(select max(to_number(i.premium_rcv_detail_code))+1
from ins_premium_det i),'41400','41400','02', '11000003','00','Request by Mr. Saqib Saleem 06-Mar-2024');</v>
      </c>
    </row>
    <row r="148" spans="1:8" ht="89.25" x14ac:dyDescent="0.2">
      <c r="A148" s="2" t="s">
        <v>807</v>
      </c>
      <c r="B148" t="str">
        <f>VLOOKUP(A148,policy!B:C,2,0)</f>
        <v>070000174207</v>
      </c>
      <c r="C148" s="4">
        <v>65327</v>
      </c>
      <c r="D148" s="18">
        <f t="shared" si="9"/>
        <v>65327</v>
      </c>
      <c r="E148" s="22" t="s">
        <v>2340</v>
      </c>
      <c r="F148" s="19" t="str">
        <f t="shared" si="8"/>
        <v>insert into ins_premium_det (premium_rcv_code,assorted_code, rec_amount,premium_rcv_detail_code,remaining_amt, payrec, mode_code,coinsurance_code,class_cd,it_remarks) values</v>
      </c>
      <c r="G148" s="20" t="str">
        <f t="shared" si="10"/>
        <v>('06Mar250008','070000174207','65327',(select max(to_number(i.premium_rcv_detail_code))+1
from ins_premium_det i),'65327','65327','02', '11000003','00','Request by Mr. Saqib Saleem 06-Mar-2024');</v>
      </c>
      <c r="H148" s="21" t="str">
        <f t="shared" si="11"/>
        <v>insert into ins_premium_det (premium_rcv_code,assorted_code, rec_amount,premium_rcv_detail_code,remaining_amt, payrec, mode_code,coinsurance_code,class_cd,it_remarks) values('06Mar250008','070000174207','65327',(select max(to_number(i.premium_rcv_detail_code))+1
from ins_premium_det i),'65327','65327','02', '11000003','00','Request by Mr. Saqib Saleem 06-Mar-2024');</v>
      </c>
    </row>
    <row r="149" spans="1:8" ht="89.25" x14ac:dyDescent="0.2">
      <c r="A149" s="2" t="s">
        <v>729</v>
      </c>
      <c r="B149" t="str">
        <f>VLOOKUP(A149,policy!B:C,2,0)</f>
        <v>070000174234</v>
      </c>
      <c r="C149" s="4">
        <v>57780</v>
      </c>
      <c r="D149" s="18">
        <f t="shared" si="9"/>
        <v>57780</v>
      </c>
      <c r="E149" s="22" t="s">
        <v>2340</v>
      </c>
      <c r="F149" s="19" t="str">
        <f t="shared" si="8"/>
        <v>insert into ins_premium_det (premium_rcv_code,assorted_code, rec_amount,premium_rcv_detail_code,remaining_amt, payrec, mode_code,coinsurance_code,class_cd,it_remarks) values</v>
      </c>
      <c r="G149" s="20" t="str">
        <f t="shared" si="10"/>
        <v>('06Mar250008','070000174234','57780',(select max(to_number(i.premium_rcv_detail_code))+1
from ins_premium_det i),'57780','57780','02', '11000003','00','Request by Mr. Saqib Saleem 06-Mar-2024');</v>
      </c>
      <c r="H149" s="21" t="str">
        <f t="shared" si="11"/>
        <v>insert into ins_premium_det (premium_rcv_code,assorted_code, rec_amount,premium_rcv_detail_code,remaining_amt, payrec, mode_code,coinsurance_code,class_cd,it_remarks) values('06Mar250008','070000174234','57780',(select max(to_number(i.premium_rcv_detail_code))+1
from ins_premium_det i),'57780','57780','02', '11000003','00','Request by Mr. Saqib Saleem 06-Mar-2024');</v>
      </c>
    </row>
    <row r="150" spans="1:8" ht="89.25" x14ac:dyDescent="0.2">
      <c r="A150" s="2" t="s">
        <v>655</v>
      </c>
      <c r="B150" t="str">
        <f>VLOOKUP(A150,policy!B:C,2,0)</f>
        <v>070000174221</v>
      </c>
      <c r="C150" s="4">
        <v>52830</v>
      </c>
      <c r="D150" s="18">
        <f t="shared" si="9"/>
        <v>52830</v>
      </c>
      <c r="E150" s="22" t="s">
        <v>2340</v>
      </c>
      <c r="F150" s="19" t="str">
        <f t="shared" si="8"/>
        <v>insert into ins_premium_det (premium_rcv_code,assorted_code, rec_amount,premium_rcv_detail_code,remaining_amt, payrec, mode_code,coinsurance_code,class_cd,it_remarks) values</v>
      </c>
      <c r="G150" s="20" t="str">
        <f t="shared" si="10"/>
        <v>('06Mar250008','070000174221','52830',(select max(to_number(i.premium_rcv_detail_code))+1
from ins_premium_det i),'52830','52830','02', '11000003','00','Request by Mr. Saqib Saleem 06-Mar-2024');</v>
      </c>
      <c r="H150" s="21" t="str">
        <f t="shared" si="11"/>
        <v>insert into ins_premium_det (premium_rcv_code,assorted_code, rec_amount,premium_rcv_detail_code,remaining_amt, payrec, mode_code,coinsurance_code,class_cd,it_remarks) values('06Mar250008','070000174221','52830',(select max(to_number(i.premium_rcv_detail_code))+1
from ins_premium_det i),'52830','52830','02', '11000003','00','Request by Mr. Saqib Saleem 06-Mar-2024');</v>
      </c>
    </row>
    <row r="151" spans="1:8" ht="89.25" x14ac:dyDescent="0.2">
      <c r="A151" s="2" t="s">
        <v>753</v>
      </c>
      <c r="B151" t="str">
        <f>VLOOKUP(A151,policy!B:C,2,0)</f>
        <v>070000174240</v>
      </c>
      <c r="C151" s="4">
        <v>28800</v>
      </c>
      <c r="D151" s="18">
        <f t="shared" si="9"/>
        <v>28800</v>
      </c>
      <c r="E151" s="22" t="s">
        <v>2340</v>
      </c>
      <c r="F151" s="19" t="str">
        <f t="shared" si="8"/>
        <v>insert into ins_premium_det (premium_rcv_code,assorted_code, rec_amount,premium_rcv_detail_code,remaining_amt, payrec, mode_code,coinsurance_code,class_cd,it_remarks) values</v>
      </c>
      <c r="G151" s="20" t="str">
        <f t="shared" si="10"/>
        <v>('06Mar250008','070000174240','28800',(select max(to_number(i.premium_rcv_detail_code))+1
from ins_premium_det i),'28800','28800','02', '11000003','00','Request by Mr. Saqib Saleem 06-Mar-2024');</v>
      </c>
      <c r="H151" s="21" t="str">
        <f t="shared" si="11"/>
        <v>insert into ins_premium_det (premium_rcv_code,assorted_code, rec_amount,premium_rcv_detail_code,remaining_amt, payrec, mode_code,coinsurance_code,class_cd,it_remarks) values('06Mar250008','070000174240','28800',(select max(to_number(i.premium_rcv_detail_code))+1
from ins_premium_det i),'28800','28800','02', '11000003','00','Request by Mr. Saqib Saleem 06-Mar-2024');</v>
      </c>
    </row>
    <row r="152" spans="1:8" ht="89.25" x14ac:dyDescent="0.2">
      <c r="A152" s="2" t="s">
        <v>716</v>
      </c>
      <c r="B152" t="str">
        <f>VLOOKUP(A152,policy!B:C,2,0)</f>
        <v>070000174205</v>
      </c>
      <c r="C152" s="4">
        <v>52830</v>
      </c>
      <c r="D152" s="18">
        <f t="shared" si="9"/>
        <v>52830</v>
      </c>
      <c r="E152" s="22" t="s">
        <v>2340</v>
      </c>
      <c r="F152" s="19" t="str">
        <f t="shared" si="8"/>
        <v>insert into ins_premium_det (premium_rcv_code,assorted_code, rec_amount,premium_rcv_detail_code,remaining_amt, payrec, mode_code,coinsurance_code,class_cd,it_remarks) values</v>
      </c>
      <c r="G152" s="20" t="str">
        <f t="shared" si="10"/>
        <v>('06Mar250008','070000174205','52830',(select max(to_number(i.premium_rcv_detail_code))+1
from ins_premium_det i),'52830','52830','02', '11000003','00','Request by Mr. Saqib Saleem 06-Mar-2024');</v>
      </c>
      <c r="H152" s="21" t="str">
        <f t="shared" si="11"/>
        <v>insert into ins_premium_det (premium_rcv_code,assorted_code, rec_amount,premium_rcv_detail_code,remaining_amt, payrec, mode_code,coinsurance_code,class_cd,it_remarks) values('06Mar250008','070000174205','52830',(select max(to_number(i.premium_rcv_detail_code))+1
from ins_premium_det i),'52830','52830','02', '11000003','00','Request by Mr. Saqib Saleem 06-Mar-2024');</v>
      </c>
    </row>
    <row r="153" spans="1:8" ht="89.25" x14ac:dyDescent="0.2">
      <c r="A153" s="2" t="s">
        <v>292</v>
      </c>
      <c r="B153" t="str">
        <f>VLOOKUP(A153,policy!B:C,2,0)</f>
        <v>070000174213</v>
      </c>
      <c r="C153" s="4">
        <v>38340</v>
      </c>
      <c r="D153" s="18">
        <f t="shared" si="9"/>
        <v>38340</v>
      </c>
      <c r="E153" s="22" t="s">
        <v>2340</v>
      </c>
      <c r="F153" s="19" t="str">
        <f t="shared" si="8"/>
        <v>insert into ins_premium_det (premium_rcv_code,assorted_code, rec_amount,premium_rcv_detail_code,remaining_amt, payrec, mode_code,coinsurance_code,class_cd,it_remarks) values</v>
      </c>
      <c r="G153" s="20" t="str">
        <f t="shared" si="10"/>
        <v>('06Mar250008','070000174213','38340',(select max(to_number(i.premium_rcv_detail_code))+1
from ins_premium_det i),'38340','38340','02', '11000003','00','Request by Mr. Saqib Saleem 06-Mar-2024');</v>
      </c>
      <c r="H153" s="21" t="str">
        <f t="shared" si="11"/>
        <v>insert into ins_premium_det (premium_rcv_code,assorted_code, rec_amount,premium_rcv_detail_code,remaining_amt, payrec, mode_code,coinsurance_code,class_cd,it_remarks) values('06Mar250008','070000174213','38340',(select max(to_number(i.premium_rcv_detail_code))+1
from ins_premium_det i),'38340','38340','02', '11000003','00','Request by Mr. Saqib Saleem 06-Mar-2024');</v>
      </c>
    </row>
    <row r="154" spans="1:8" ht="89.25" x14ac:dyDescent="0.2">
      <c r="A154" s="2" t="s">
        <v>711</v>
      </c>
      <c r="B154" t="str">
        <f>VLOOKUP(A154,policy!B:C,2,0)</f>
        <v>070000174231</v>
      </c>
      <c r="C154" s="4">
        <v>40500</v>
      </c>
      <c r="D154" s="18">
        <f t="shared" si="9"/>
        <v>40500</v>
      </c>
      <c r="E154" s="22" t="s">
        <v>2340</v>
      </c>
      <c r="F154" s="19" t="str">
        <f t="shared" si="8"/>
        <v>insert into ins_premium_det (premium_rcv_code,assorted_code, rec_amount,premium_rcv_detail_code,remaining_amt, payrec, mode_code,coinsurance_code,class_cd,it_remarks) values</v>
      </c>
      <c r="G154" s="20" t="str">
        <f t="shared" si="10"/>
        <v>('06Mar250008','070000174231','40500',(select max(to_number(i.premium_rcv_detail_code))+1
from ins_premium_det i),'40500','40500','02', '11000003','00','Request by Mr. Saqib Saleem 06-Mar-2024');</v>
      </c>
      <c r="H154" s="21" t="str">
        <f t="shared" si="11"/>
        <v>insert into ins_premium_det (premium_rcv_code,assorted_code, rec_amount,premium_rcv_detail_code,remaining_amt, payrec, mode_code,coinsurance_code,class_cd,it_remarks) values('06Mar250008','070000174231','40500',(select max(to_number(i.premium_rcv_detail_code))+1
from ins_premium_det i),'40500','40500','02', '11000003','00','Request by Mr. Saqib Saleem 06-Mar-2024');</v>
      </c>
    </row>
    <row r="155" spans="1:8" ht="89.25" x14ac:dyDescent="0.2">
      <c r="A155" s="2" t="s">
        <v>432</v>
      </c>
      <c r="B155" t="str">
        <f>VLOOKUP(A155,policy!B:C,2,0)</f>
        <v>070000174216</v>
      </c>
      <c r="C155" s="4">
        <v>47250</v>
      </c>
      <c r="D155" s="18">
        <f t="shared" si="9"/>
        <v>47250</v>
      </c>
      <c r="E155" s="22" t="s">
        <v>2340</v>
      </c>
      <c r="F155" s="19" t="str">
        <f t="shared" si="8"/>
        <v>insert into ins_premium_det (premium_rcv_code,assorted_code, rec_amount,premium_rcv_detail_code,remaining_amt, payrec, mode_code,coinsurance_code,class_cd,it_remarks) values</v>
      </c>
      <c r="G155" s="20" t="str">
        <f t="shared" si="10"/>
        <v>('06Mar250008','070000174216','47250',(select max(to_number(i.premium_rcv_detail_code))+1
from ins_premium_det i),'47250','47250','02', '11000003','00','Request by Mr. Saqib Saleem 06-Mar-2024');</v>
      </c>
      <c r="H155" s="21" t="str">
        <f t="shared" si="11"/>
        <v>insert into ins_premium_det (premium_rcv_code,assorted_code, rec_amount,premium_rcv_detail_code,remaining_amt, payrec, mode_code,coinsurance_code,class_cd,it_remarks) values('06Mar250008','070000174216','47250',(select max(to_number(i.premium_rcv_detail_code))+1
from ins_premium_det i),'47250','47250','02', '11000003','00','Request by Mr. Saqib Saleem 06-Mar-2024');</v>
      </c>
    </row>
    <row r="156" spans="1:8" ht="89.25" x14ac:dyDescent="0.2">
      <c r="A156" s="2" t="s">
        <v>803</v>
      </c>
      <c r="B156" t="str">
        <f>VLOOKUP(A156,policy!B:C,2,0)</f>
        <v>070000174251</v>
      </c>
      <c r="C156" s="4">
        <v>38700</v>
      </c>
      <c r="D156" s="18">
        <f t="shared" si="9"/>
        <v>38700</v>
      </c>
      <c r="E156" s="22" t="s">
        <v>2340</v>
      </c>
      <c r="F156" s="19" t="str">
        <f t="shared" si="8"/>
        <v>insert into ins_premium_det (premium_rcv_code,assorted_code, rec_amount,premium_rcv_detail_code,remaining_amt, payrec, mode_code,coinsurance_code,class_cd,it_remarks) values</v>
      </c>
      <c r="G156" s="20" t="str">
        <f t="shared" si="10"/>
        <v>('06Mar250008','070000174251','38700',(select max(to_number(i.premium_rcv_detail_code))+1
from ins_premium_det i),'38700','38700','02', '11000003','00','Request by Mr. Saqib Saleem 06-Mar-2024');</v>
      </c>
      <c r="H156" s="21" t="str">
        <f t="shared" si="11"/>
        <v>insert into ins_premium_det (premium_rcv_code,assorted_code, rec_amount,premium_rcv_detail_code,remaining_amt, payrec, mode_code,coinsurance_code,class_cd,it_remarks) values('06Mar250008','070000174251','38700',(select max(to_number(i.premium_rcv_detail_code))+1
from ins_premium_det i),'38700','38700','02', '11000003','00','Request by Mr. Saqib Saleem 06-Mar-2024');</v>
      </c>
    </row>
    <row r="157" spans="1:8" ht="89.25" x14ac:dyDescent="0.2">
      <c r="A157" s="2" t="s">
        <v>697</v>
      </c>
      <c r="B157" t="str">
        <f>VLOOKUP(A157,policy!B:C,2,0)</f>
        <v>070000174228</v>
      </c>
      <c r="C157" s="4">
        <v>51300</v>
      </c>
      <c r="D157" s="18">
        <f t="shared" si="9"/>
        <v>51300</v>
      </c>
      <c r="E157" s="22" t="s">
        <v>2340</v>
      </c>
      <c r="F157" s="19" t="str">
        <f t="shared" si="8"/>
        <v>insert into ins_premium_det (premium_rcv_code,assorted_code, rec_amount,premium_rcv_detail_code,remaining_amt, payrec, mode_code,coinsurance_code,class_cd,it_remarks) values</v>
      </c>
      <c r="G157" s="20" t="str">
        <f t="shared" si="10"/>
        <v>('06Mar250008','070000174228','51300',(select max(to_number(i.premium_rcv_detail_code))+1
from ins_premium_det i),'51300','51300','02', '11000003','00','Request by Mr. Saqib Saleem 06-Mar-2024');</v>
      </c>
      <c r="H157" s="21" t="str">
        <f t="shared" si="11"/>
        <v>insert into ins_premium_det (premium_rcv_code,assorted_code, rec_amount,premium_rcv_detail_code,remaining_amt, payrec, mode_code,coinsurance_code,class_cd,it_remarks) values('06Mar250008','070000174228','51300',(select max(to_number(i.premium_rcv_detail_code))+1
from ins_premium_det i),'51300','51300','02', '11000003','00','Request by Mr. Saqib Saleem 06-Mar-2024');</v>
      </c>
    </row>
    <row r="158" spans="1:8" ht="89.25" x14ac:dyDescent="0.2">
      <c r="A158" s="2" t="s">
        <v>991</v>
      </c>
      <c r="B158" t="str">
        <f>VLOOKUP(A158,policy!B:C,2,0)</f>
        <v>070000174211</v>
      </c>
      <c r="C158" s="4">
        <v>45180</v>
      </c>
      <c r="D158" s="18">
        <f t="shared" si="9"/>
        <v>45180</v>
      </c>
      <c r="E158" s="22" t="s">
        <v>2340</v>
      </c>
      <c r="F158" s="19" t="str">
        <f t="shared" si="8"/>
        <v>insert into ins_premium_det (premium_rcv_code,assorted_code, rec_amount,premium_rcv_detail_code,remaining_amt, payrec, mode_code,coinsurance_code,class_cd,it_remarks) values</v>
      </c>
      <c r="G158" s="20" t="str">
        <f t="shared" si="10"/>
        <v>('06Mar250008','070000174211','45180',(select max(to_number(i.premium_rcv_detail_code))+1
from ins_premium_det i),'45180','45180','02', '11000003','00','Request by Mr. Saqib Saleem 06-Mar-2024');</v>
      </c>
      <c r="H158" s="21" t="str">
        <f t="shared" si="11"/>
        <v>insert into ins_premium_det (premium_rcv_code,assorted_code, rec_amount,premium_rcv_detail_code,remaining_amt, payrec, mode_code,coinsurance_code,class_cd,it_remarks) values('06Mar250008','070000174211','45180',(select max(to_number(i.premium_rcv_detail_code))+1
from ins_premium_det i),'45180','45180','02', '11000003','00','Request by Mr. Saqib Saleem 06-Mar-2024');</v>
      </c>
    </row>
    <row r="159" spans="1:8" ht="89.25" x14ac:dyDescent="0.2">
      <c r="A159" s="2" t="s">
        <v>565</v>
      </c>
      <c r="B159" t="str">
        <f>VLOOKUP(A159,policy!B:C,2,0)</f>
        <v>070000174219</v>
      </c>
      <c r="C159" s="4">
        <v>54000</v>
      </c>
      <c r="D159" s="18">
        <f t="shared" si="9"/>
        <v>54000</v>
      </c>
      <c r="E159" s="22" t="s">
        <v>2340</v>
      </c>
      <c r="F159" s="19" t="str">
        <f t="shared" si="8"/>
        <v>insert into ins_premium_det (premium_rcv_code,assorted_code, rec_amount,premium_rcv_detail_code,remaining_amt, payrec, mode_code,coinsurance_code,class_cd,it_remarks) values</v>
      </c>
      <c r="G159" s="20" t="str">
        <f t="shared" si="10"/>
        <v>('06Mar250008','070000174219','54000',(select max(to_number(i.premium_rcv_detail_code))+1
from ins_premium_det i),'54000','54000','02', '11000003','00','Request by Mr. Saqib Saleem 06-Mar-2024');</v>
      </c>
      <c r="H159" s="21" t="str">
        <f t="shared" si="11"/>
        <v>insert into ins_premium_det (premium_rcv_code,assorted_code, rec_amount,premium_rcv_detail_code,remaining_amt, payrec, mode_code,coinsurance_code,class_cd,it_remarks) values('06Mar250008','070000174219','54000',(select max(to_number(i.premium_rcv_detail_code))+1
from ins_premium_det i),'54000','54000','02', '11000003','00','Request by Mr. Saqib Saleem 06-Mar-2024');</v>
      </c>
    </row>
    <row r="160" spans="1:8" ht="89.25" x14ac:dyDescent="0.2">
      <c r="A160" s="2" t="s">
        <v>815</v>
      </c>
      <c r="B160" t="str">
        <f>VLOOKUP(A160,policy!B:C,2,0)</f>
        <v>070000174253</v>
      </c>
      <c r="C160" s="4">
        <v>50382</v>
      </c>
      <c r="D160" s="18">
        <f t="shared" si="9"/>
        <v>50382</v>
      </c>
      <c r="E160" s="22" t="s">
        <v>2340</v>
      </c>
      <c r="F160" s="19" t="str">
        <f t="shared" si="8"/>
        <v>insert into ins_premium_det (premium_rcv_code,assorted_code, rec_amount,premium_rcv_detail_code,remaining_amt, payrec, mode_code,coinsurance_code,class_cd,it_remarks) values</v>
      </c>
      <c r="G160" s="20" t="str">
        <f t="shared" si="10"/>
        <v>('06Mar250008','070000174253','50382',(select max(to_number(i.premium_rcv_detail_code))+1
from ins_premium_det i),'50382','50382','02', '11000003','00','Request by Mr. Saqib Saleem 06-Mar-2024');</v>
      </c>
      <c r="H160" s="21" t="str">
        <f t="shared" si="11"/>
        <v>insert into ins_premium_det (premium_rcv_code,assorted_code, rec_amount,premium_rcv_detail_code,remaining_amt, payrec, mode_code,coinsurance_code,class_cd,it_remarks) values('06Mar250008','070000174253','50382',(select max(to_number(i.premium_rcv_detail_code))+1
from ins_premium_det i),'50382','50382','02', '11000003','00','Request by Mr. Saqib Saleem 06-Mar-2024');</v>
      </c>
    </row>
    <row r="161" spans="1:8" ht="89.25" x14ac:dyDescent="0.2">
      <c r="A161" s="2" t="s">
        <v>811</v>
      </c>
      <c r="B161" t="str">
        <f>VLOOKUP(A161,policy!B:C,2,0)</f>
        <v>070000174252</v>
      </c>
      <c r="C161" s="4">
        <v>52830</v>
      </c>
      <c r="D161" s="18">
        <f t="shared" si="9"/>
        <v>52830</v>
      </c>
      <c r="E161" s="22" t="s">
        <v>2340</v>
      </c>
      <c r="F161" s="19" t="str">
        <f t="shared" si="8"/>
        <v>insert into ins_premium_det (premium_rcv_code,assorted_code, rec_amount,premium_rcv_detail_code,remaining_amt, payrec, mode_code,coinsurance_code,class_cd,it_remarks) values</v>
      </c>
      <c r="G161" s="20" t="str">
        <f t="shared" si="10"/>
        <v>('06Mar250008','070000174252','52830',(select max(to_number(i.premium_rcv_detail_code))+1
from ins_premium_det i),'52830','52830','02', '11000003','00','Request by Mr. Saqib Saleem 06-Mar-2024');</v>
      </c>
      <c r="H161" s="21" t="str">
        <f t="shared" si="11"/>
        <v>insert into ins_premium_det (premium_rcv_code,assorted_code, rec_amount,premium_rcv_detail_code,remaining_amt, payrec, mode_code,coinsurance_code,class_cd,it_remarks) values('06Mar250008','070000174252','52830',(select max(to_number(i.premium_rcv_detail_code))+1
from ins_premium_det i),'52830','52830','02', '11000003','00','Request by Mr. Saqib Saleem 06-Mar-2024');</v>
      </c>
    </row>
    <row r="162" spans="1:8" ht="89.25" x14ac:dyDescent="0.2">
      <c r="A162" s="2" t="s">
        <v>946</v>
      </c>
      <c r="B162" t="str">
        <f>VLOOKUP(A162,policy!B:C,2,0)</f>
        <v>070000174210</v>
      </c>
      <c r="C162" s="4">
        <v>47016</v>
      </c>
      <c r="D162" s="18">
        <f t="shared" si="9"/>
        <v>47016</v>
      </c>
      <c r="E162" s="22" t="s">
        <v>2340</v>
      </c>
      <c r="F162" s="19" t="str">
        <f t="shared" si="8"/>
        <v>insert into ins_premium_det (premium_rcv_code,assorted_code, rec_amount,premium_rcv_detail_code,remaining_amt, payrec, mode_code,coinsurance_code,class_cd,it_remarks) values</v>
      </c>
      <c r="G162" s="20" t="str">
        <f t="shared" si="10"/>
        <v>('06Mar250008','070000174210','47016',(select max(to_number(i.premium_rcv_detail_code))+1
from ins_premium_det i),'47016','47016','02', '11000003','00','Request by Mr. Saqib Saleem 06-Mar-2024');</v>
      </c>
      <c r="H162" s="21" t="str">
        <f t="shared" si="11"/>
        <v>insert into ins_premium_det (premium_rcv_code,assorted_code, rec_amount,premium_rcv_detail_code,remaining_amt, payrec, mode_code,coinsurance_code,class_cd,it_remarks) values('06Mar250008','070000174210','47016',(select max(to_number(i.premium_rcv_detail_code))+1
from ins_premium_det i),'47016','47016','02', '11000003','00','Request by Mr. Saqib Saleem 06-Mar-2024');</v>
      </c>
    </row>
    <row r="163" spans="1:8" ht="89.25" x14ac:dyDescent="0.2">
      <c r="A163" s="2" t="s">
        <v>472</v>
      </c>
      <c r="B163" t="str">
        <f>VLOOKUP(A163,policy!B:C,2,0)</f>
        <v>070000174217</v>
      </c>
      <c r="C163" s="4">
        <v>73838</v>
      </c>
      <c r="D163" s="18">
        <f t="shared" si="9"/>
        <v>73838</v>
      </c>
      <c r="E163" s="22" t="s">
        <v>2340</v>
      </c>
      <c r="F163" s="19" t="str">
        <f t="shared" si="8"/>
        <v>insert into ins_premium_det (premium_rcv_code,assorted_code, rec_amount,premium_rcv_detail_code,remaining_amt, payrec, mode_code,coinsurance_code,class_cd,it_remarks) values</v>
      </c>
      <c r="G163" s="20" t="str">
        <f t="shared" si="10"/>
        <v>('06Mar250008','070000174217','73838',(select max(to_number(i.premium_rcv_detail_code))+1
from ins_premium_det i),'73838','73838','02', '11000003','00','Request by Mr. Saqib Saleem 06-Mar-2024');</v>
      </c>
      <c r="H163" s="21" t="str">
        <f t="shared" si="11"/>
        <v>insert into ins_premium_det (premium_rcv_code,assorted_code, rec_amount,premium_rcv_detail_code,remaining_amt, payrec, mode_code,coinsurance_code,class_cd,it_remarks) values('06Mar250008','070000174217','73838',(select max(to_number(i.premium_rcv_detail_code))+1
from ins_premium_det i),'73838','73838','02', '11000003','00','Request by Mr. Saqib Saleem 06-Mar-2024');</v>
      </c>
    </row>
    <row r="164" spans="1:8" ht="89.25" x14ac:dyDescent="0.2">
      <c r="A164" s="2" t="s">
        <v>770</v>
      </c>
      <c r="B164" t="str">
        <f>VLOOKUP(A164,policy!B:C,2,0)</f>
        <v>070000174243</v>
      </c>
      <c r="C164" s="4">
        <v>39600</v>
      </c>
      <c r="D164" s="18">
        <f t="shared" si="9"/>
        <v>39600</v>
      </c>
      <c r="E164" s="22" t="s">
        <v>2340</v>
      </c>
      <c r="F164" s="19" t="str">
        <f t="shared" si="8"/>
        <v>insert into ins_premium_det (premium_rcv_code,assorted_code, rec_amount,premium_rcv_detail_code,remaining_amt, payrec, mode_code,coinsurance_code,class_cd,it_remarks) values</v>
      </c>
      <c r="G164" s="20" t="str">
        <f t="shared" si="10"/>
        <v>('06Mar250008','070000174243','39600',(select max(to_number(i.premium_rcv_detail_code))+1
from ins_premium_det i),'39600','39600','02', '11000003','00','Request by Mr. Saqib Saleem 06-Mar-2024');</v>
      </c>
      <c r="H164" s="21" t="str">
        <f t="shared" si="11"/>
        <v>insert into ins_premium_det (premium_rcv_code,assorted_code, rec_amount,premium_rcv_detail_code,remaining_amt, payrec, mode_code,coinsurance_code,class_cd,it_remarks) values('06Mar250008','070000174243','39600',(select max(to_number(i.premium_rcv_detail_code))+1
from ins_premium_det i),'39600','39600','02', '11000003','00','Request by Mr. Saqib Saleem 06-Mar-2024');</v>
      </c>
    </row>
    <row r="165" spans="1:8" ht="89.25" x14ac:dyDescent="0.2">
      <c r="A165" s="2" t="s">
        <v>762</v>
      </c>
      <c r="B165" t="str">
        <f>VLOOKUP(A165,policy!B:C,2,0)</f>
        <v>070000174206</v>
      </c>
      <c r="C165" s="4">
        <v>47250</v>
      </c>
      <c r="D165" s="18">
        <f t="shared" si="9"/>
        <v>47250</v>
      </c>
      <c r="E165" s="22" t="s">
        <v>2340</v>
      </c>
      <c r="F165" s="19" t="str">
        <f t="shared" si="8"/>
        <v>insert into ins_premium_det (premium_rcv_code,assorted_code, rec_amount,premium_rcv_detail_code,remaining_amt, payrec, mode_code,coinsurance_code,class_cd,it_remarks) values</v>
      </c>
      <c r="G165" s="20" t="str">
        <f t="shared" si="10"/>
        <v>('06Mar250008','070000174206','47250',(select max(to_number(i.premium_rcv_detail_code))+1
from ins_premium_det i),'47250','47250','02', '11000003','00','Request by Mr. Saqib Saleem 06-Mar-2024');</v>
      </c>
      <c r="H165" s="21" t="str">
        <f t="shared" si="11"/>
        <v>insert into ins_premium_det (premium_rcv_code,assorted_code, rec_amount,premium_rcv_detail_code,remaining_amt, payrec, mode_code,coinsurance_code,class_cd,it_remarks) values('06Mar250008','070000174206','47250',(select max(to_number(i.premium_rcv_detail_code))+1
from ins_premium_det i),'47250','47250','02', '11000003','00','Request by Mr. Saqib Saleem 06-Mar-2024');</v>
      </c>
    </row>
    <row r="166" spans="1:8" ht="89.25" x14ac:dyDescent="0.2">
      <c r="A166" s="2" t="s">
        <v>749</v>
      </c>
      <c r="B166" t="str">
        <f>VLOOKUP(A166,policy!B:C,2,0)</f>
        <v>070000174239</v>
      </c>
      <c r="C166" s="4">
        <v>37800</v>
      </c>
      <c r="D166" s="18">
        <f t="shared" si="9"/>
        <v>37800</v>
      </c>
      <c r="E166" s="22" t="s">
        <v>2340</v>
      </c>
      <c r="F166" s="19" t="str">
        <f t="shared" si="8"/>
        <v>insert into ins_premium_det (premium_rcv_code,assorted_code, rec_amount,premium_rcv_detail_code,remaining_amt, payrec, mode_code,coinsurance_code,class_cd,it_remarks) values</v>
      </c>
      <c r="G166" s="20" t="str">
        <f t="shared" si="10"/>
        <v>('06Mar250008','070000174239','37800',(select max(to_number(i.premium_rcv_detail_code))+1
from ins_premium_det i),'37800','37800','02', '11000003','00','Request by Mr. Saqib Saleem 06-Mar-2024');</v>
      </c>
      <c r="H166" s="21" t="str">
        <f t="shared" si="11"/>
        <v>insert into ins_premium_det (premium_rcv_code,assorted_code, rec_amount,premium_rcv_detail_code,remaining_amt, payrec, mode_code,coinsurance_code,class_cd,it_remarks) values('06Mar250008','070000174239','37800',(select max(to_number(i.premium_rcv_detail_code))+1
from ins_premium_det i),'37800','37800','02', '11000003','00','Request by Mr. Saqib Saleem 06-Mar-2024');</v>
      </c>
    </row>
    <row r="167" spans="1:8" ht="89.25" x14ac:dyDescent="0.2">
      <c r="A167" s="2" t="s">
        <v>678</v>
      </c>
      <c r="B167" t="str">
        <f>VLOOKUP(A167,policy!B:C,2,0)</f>
        <v>070000174224</v>
      </c>
      <c r="C167" s="4">
        <v>57375</v>
      </c>
      <c r="D167" s="18">
        <f t="shared" si="9"/>
        <v>57375</v>
      </c>
      <c r="E167" s="22" t="s">
        <v>2340</v>
      </c>
      <c r="F167" s="19" t="str">
        <f t="shared" si="8"/>
        <v>insert into ins_premium_det (premium_rcv_code,assorted_code, rec_amount,premium_rcv_detail_code,remaining_amt, payrec, mode_code,coinsurance_code,class_cd,it_remarks) values</v>
      </c>
      <c r="G167" s="20" t="str">
        <f t="shared" si="10"/>
        <v>('06Mar250008','070000174224','57375',(select max(to_number(i.premium_rcv_detail_code))+1
from ins_premium_det i),'57375','57375','02', '11000003','00','Request by Mr. Saqib Saleem 06-Mar-2024');</v>
      </c>
      <c r="H167" s="21" t="str">
        <f t="shared" si="11"/>
        <v>insert into ins_premium_det (premium_rcv_code,assorted_code, rec_amount,premium_rcv_detail_code,remaining_amt, payrec, mode_code,coinsurance_code,class_cd,it_remarks) values('06Mar250008','070000174224','57375',(select max(to_number(i.premium_rcv_detail_code))+1
from ins_premium_det i),'57375','57375','02', '11000003','00','Request by Mr. Saqib Saleem 06-Mar-2024');</v>
      </c>
    </row>
    <row r="168" spans="1:8" ht="89.25" x14ac:dyDescent="0.2">
      <c r="A168" s="2" t="s">
        <v>720</v>
      </c>
      <c r="B168" t="str">
        <f>VLOOKUP(A168,policy!B:C,2,0)</f>
        <v>070000174232</v>
      </c>
      <c r="C168" s="4">
        <v>27000</v>
      </c>
      <c r="D168" s="18">
        <f t="shared" si="9"/>
        <v>27000</v>
      </c>
      <c r="E168" s="22" t="s">
        <v>2340</v>
      </c>
      <c r="F168" s="19" t="str">
        <f t="shared" si="8"/>
        <v>insert into ins_premium_det (premium_rcv_code,assorted_code, rec_amount,premium_rcv_detail_code,remaining_amt, payrec, mode_code,coinsurance_code,class_cd,it_remarks) values</v>
      </c>
      <c r="G168" s="20" t="str">
        <f t="shared" si="10"/>
        <v>('06Mar250008','070000174232','27000',(select max(to_number(i.premium_rcv_detail_code))+1
from ins_premium_det i),'27000','27000','02', '11000003','00','Request by Mr. Saqib Saleem 06-Mar-2024');</v>
      </c>
      <c r="H168" s="21" t="str">
        <f t="shared" si="11"/>
        <v>insert into ins_premium_det (premium_rcv_code,assorted_code, rec_amount,premium_rcv_detail_code,remaining_amt, payrec, mode_code,coinsurance_code,class_cd,it_remarks) values('06Mar250008','070000174232','27000',(select max(to_number(i.premium_rcv_detail_code))+1
from ins_premium_det i),'27000','27000','02', '11000003','00','Request by Mr. Saqib Saleem 06-Mar-2024');</v>
      </c>
    </row>
    <row r="169" spans="1:8" ht="89.25" x14ac:dyDescent="0.2">
      <c r="A169" s="2" t="s">
        <v>758</v>
      </c>
      <c r="B169" t="str">
        <f>VLOOKUP(A169,policy!B:C,2,0)</f>
        <v>070000174241</v>
      </c>
      <c r="C169" s="4">
        <v>39600</v>
      </c>
      <c r="D169" s="18">
        <f t="shared" si="9"/>
        <v>39600</v>
      </c>
      <c r="E169" s="22" t="s">
        <v>2340</v>
      </c>
      <c r="F169" s="19" t="str">
        <f t="shared" si="8"/>
        <v>insert into ins_premium_det (premium_rcv_code,assorted_code, rec_amount,premium_rcv_detail_code,remaining_amt, payrec, mode_code,coinsurance_code,class_cd,it_remarks) values</v>
      </c>
      <c r="G169" s="20" t="str">
        <f t="shared" si="10"/>
        <v>('06Mar250008','070000174241','39600',(select max(to_number(i.premium_rcv_detail_code))+1
from ins_premium_det i),'39600','39600','02', '11000003','00','Request by Mr. Saqib Saleem 06-Mar-2024');</v>
      </c>
      <c r="H169" s="21" t="str">
        <f t="shared" si="11"/>
        <v>insert into ins_premium_det (premium_rcv_code,assorted_code, rec_amount,premium_rcv_detail_code,remaining_amt, payrec, mode_code,coinsurance_code,class_cd,it_remarks) values('06Mar250008','070000174241','39600',(select max(to_number(i.premium_rcv_detail_code))+1
from ins_premium_det i),'39600','39600','02', '11000003','00','Request by Mr. Saqib Saleem 06-Mar-2024');</v>
      </c>
    </row>
    <row r="170" spans="1:8" ht="89.25" x14ac:dyDescent="0.2">
      <c r="A170" s="2" t="s">
        <v>388</v>
      </c>
      <c r="B170" t="str">
        <f>VLOOKUP(A170,policy!B:C,2,0)</f>
        <v>070000174215</v>
      </c>
      <c r="C170" s="4">
        <v>45000</v>
      </c>
      <c r="D170" s="18">
        <f t="shared" si="9"/>
        <v>45000</v>
      </c>
      <c r="E170" s="22" t="s">
        <v>2340</v>
      </c>
      <c r="F170" s="19" t="str">
        <f t="shared" si="8"/>
        <v>insert into ins_premium_det (premium_rcv_code,assorted_code, rec_amount,premium_rcv_detail_code,remaining_amt, payrec, mode_code,coinsurance_code,class_cd,it_remarks) values</v>
      </c>
      <c r="G170" s="20" t="str">
        <f t="shared" si="10"/>
        <v>('06Mar250008','070000174215','45000',(select max(to_number(i.premium_rcv_detail_code))+1
from ins_premium_det i),'45000','45000','02', '11000003','00','Request by Mr. Saqib Saleem 06-Mar-2024');</v>
      </c>
      <c r="H170" s="21" t="str">
        <f t="shared" si="11"/>
        <v>insert into ins_premium_det (premium_rcv_code,assorted_code, rec_amount,premium_rcv_detail_code,remaining_amt, payrec, mode_code,coinsurance_code,class_cd,it_remarks) values('06Mar250008','070000174215','45000',(select max(to_number(i.premium_rcv_detail_code))+1
from ins_premium_det i),'45000','45000','02', '11000003','00','Request by Mr. Saqib Saleem 06-Mar-2024');</v>
      </c>
    </row>
    <row r="171" spans="1:8" ht="89.25" x14ac:dyDescent="0.2">
      <c r="A171" s="2" t="s">
        <v>766</v>
      </c>
      <c r="B171" t="str">
        <f>VLOOKUP(A171,policy!B:C,2,0)</f>
        <v>070000174242</v>
      </c>
      <c r="C171" s="4">
        <v>37800</v>
      </c>
      <c r="D171" s="18">
        <f t="shared" si="9"/>
        <v>37800</v>
      </c>
      <c r="E171" s="22" t="s">
        <v>2340</v>
      </c>
      <c r="F171" s="19" t="str">
        <f t="shared" si="8"/>
        <v>insert into ins_premium_det (premium_rcv_code,assorted_code, rec_amount,premium_rcv_detail_code,remaining_amt, payrec, mode_code,coinsurance_code,class_cd,it_remarks) values</v>
      </c>
      <c r="G171" s="20" t="str">
        <f t="shared" si="10"/>
        <v>('06Mar250008','070000174242','37800',(select max(to_number(i.premium_rcv_detail_code))+1
from ins_premium_det i),'37800','37800','02', '11000003','00','Request by Mr. Saqib Saleem 06-Mar-2024');</v>
      </c>
      <c r="H171" s="21" t="str">
        <f t="shared" si="11"/>
        <v>insert into ins_premium_det (premium_rcv_code,assorted_code, rec_amount,premium_rcv_detail_code,remaining_amt, payrec, mode_code,coinsurance_code,class_cd,it_remarks) values('06Mar250008','070000174242','37800',(select max(to_number(i.premium_rcv_detail_code))+1
from ins_premium_det i),'37800','37800','02', '11000003','00','Request by Mr. Saqib Saleem 06-Mar-2024');</v>
      </c>
    </row>
    <row r="172" spans="1:8" ht="89.25" x14ac:dyDescent="0.2">
      <c r="A172" s="2" t="s">
        <v>774</v>
      </c>
      <c r="B172" t="str">
        <f>VLOOKUP(A172,policy!B:C,2,0)</f>
        <v>070000174244</v>
      </c>
      <c r="C172" s="4">
        <v>52830</v>
      </c>
      <c r="D172" s="18">
        <f t="shared" si="9"/>
        <v>52830</v>
      </c>
      <c r="E172" s="22" t="s">
        <v>2340</v>
      </c>
      <c r="F172" s="19" t="str">
        <f t="shared" si="8"/>
        <v>insert into ins_premium_det (premium_rcv_code,assorted_code, rec_amount,premium_rcv_detail_code,remaining_amt, payrec, mode_code,coinsurance_code,class_cd,it_remarks) values</v>
      </c>
      <c r="G172" s="20" t="str">
        <f t="shared" si="10"/>
        <v>('06Mar250008','070000174244','52830',(select max(to_number(i.premium_rcv_detail_code))+1
from ins_premium_det i),'52830','52830','02', '11000003','00','Request by Mr. Saqib Saleem 06-Mar-2024');</v>
      </c>
      <c r="H172" s="21" t="str">
        <f t="shared" si="11"/>
        <v>insert into ins_premium_det (premium_rcv_code,assorted_code, rec_amount,premium_rcv_detail_code,remaining_amt, payrec, mode_code,coinsurance_code,class_cd,it_remarks) values('06Mar250008','070000174244','52830',(select max(to_number(i.premium_rcv_detail_code))+1
from ins_premium_det i),'52830','52830','02', '11000003','00','Request by Mr. Saqib Saleem 06-Mar-2024');</v>
      </c>
    </row>
    <row r="173" spans="1:8" ht="89.25" x14ac:dyDescent="0.2">
      <c r="A173" s="2" t="s">
        <v>611</v>
      </c>
      <c r="B173" t="str">
        <f>VLOOKUP(A173,policy!B:C,2,0)</f>
        <v>070000174220</v>
      </c>
      <c r="C173" s="4">
        <v>20520</v>
      </c>
      <c r="D173" s="18">
        <f t="shared" si="9"/>
        <v>20520</v>
      </c>
      <c r="E173" s="22" t="s">
        <v>2340</v>
      </c>
      <c r="F173" s="19" t="str">
        <f t="shared" si="8"/>
        <v>insert into ins_premium_det (premium_rcv_code,assorted_code, rec_amount,premium_rcv_detail_code,remaining_amt, payrec, mode_code,coinsurance_code,class_cd,it_remarks) values</v>
      </c>
      <c r="G173" s="20" t="str">
        <f t="shared" si="10"/>
        <v>('06Mar250008','070000174220','20520',(select max(to_number(i.premium_rcv_detail_code))+1
from ins_premium_det i),'20520','20520','02', '11000003','00','Request by Mr. Saqib Saleem 06-Mar-2024');</v>
      </c>
      <c r="H173" s="21" t="str">
        <f t="shared" si="11"/>
        <v>insert into ins_premium_det (premium_rcv_code,assorted_code, rec_amount,premium_rcv_detail_code,remaining_amt, payrec, mode_code,coinsurance_code,class_cd,it_remarks) values('06Mar250008','070000174220','20520',(select max(to_number(i.premium_rcv_detail_code))+1
from ins_premium_det i),'20520','20520','02', '11000003','00','Request by Mr. Saqib Saleem 06-Mar-2024');</v>
      </c>
    </row>
    <row r="174" spans="1:8" ht="89.25" x14ac:dyDescent="0.2">
      <c r="A174" s="2" t="s">
        <v>783</v>
      </c>
      <c r="B174" t="str">
        <f>VLOOKUP(A174,policy!B:C,2,0)</f>
        <v>070000174246</v>
      </c>
      <c r="C174" s="4">
        <v>56363</v>
      </c>
      <c r="D174" s="18">
        <f t="shared" si="9"/>
        <v>56363</v>
      </c>
      <c r="E174" s="22" t="s">
        <v>2340</v>
      </c>
      <c r="F174" s="19" t="str">
        <f t="shared" si="8"/>
        <v>insert into ins_premium_det (premium_rcv_code,assorted_code, rec_amount,premium_rcv_detail_code,remaining_amt, payrec, mode_code,coinsurance_code,class_cd,it_remarks) values</v>
      </c>
      <c r="G174" s="20" t="str">
        <f t="shared" si="10"/>
        <v>('06Mar250008','070000174246','56363',(select max(to_number(i.premium_rcv_detail_code))+1
from ins_premium_det i),'56363','56363','02', '11000003','00','Request by Mr. Saqib Saleem 06-Mar-2024');</v>
      </c>
      <c r="H174" s="21" t="str">
        <f t="shared" si="11"/>
        <v>insert into ins_premium_det (premium_rcv_code,assorted_code, rec_amount,premium_rcv_detail_code,remaining_amt, payrec, mode_code,coinsurance_code,class_cd,it_remarks) values('06Mar250008','070000174246','56363',(select max(to_number(i.premium_rcv_detail_code))+1
from ins_premium_det i),'56363','56363','02', '11000003','00','Request by Mr. Saqib Saleem 06-Mar-2024');</v>
      </c>
    </row>
    <row r="175" spans="1:8" ht="89.25" x14ac:dyDescent="0.2">
      <c r="A175" s="2" t="s">
        <v>899</v>
      </c>
      <c r="B175" t="str">
        <f>VLOOKUP(A175,policy!B:C,2,0)</f>
        <v>070000174209</v>
      </c>
      <c r="C175" s="4">
        <v>108405</v>
      </c>
      <c r="D175" s="18">
        <f t="shared" si="9"/>
        <v>108405</v>
      </c>
      <c r="E175" s="22" t="s">
        <v>2340</v>
      </c>
      <c r="F175" s="19" t="str">
        <f t="shared" si="8"/>
        <v>insert into ins_premium_det (premium_rcv_code,assorted_code, rec_amount,premium_rcv_detail_code,remaining_amt, payrec, mode_code,coinsurance_code,class_cd,it_remarks) values</v>
      </c>
      <c r="G175" s="20" t="str">
        <f t="shared" si="10"/>
        <v>('06Mar250008','070000174209','108405',(select max(to_number(i.premium_rcv_detail_code))+1
from ins_premium_det i),'108405','108405','02', '11000003','00','Request by Mr. Saqib Saleem 06-Mar-2024');</v>
      </c>
      <c r="H175" s="21" t="str">
        <f t="shared" si="11"/>
        <v>insert into ins_premium_det (premium_rcv_code,assorted_code, rec_amount,premium_rcv_detail_code,remaining_amt, payrec, mode_code,coinsurance_code,class_cd,it_remarks) values('06Mar250008','070000174209','108405',(select max(to_number(i.premium_rcv_detail_code))+1
from ins_premium_det i),'108405','108405','02', '11000003','00','Request by Mr. Saqib Saleem 06-Mar-2024');</v>
      </c>
    </row>
    <row r="176" spans="1:8" ht="89.25" x14ac:dyDescent="0.2">
      <c r="A176" s="2" t="s">
        <v>787</v>
      </c>
      <c r="B176" t="str">
        <f>VLOOKUP(A176,policy!B:C,2,0)</f>
        <v>070000174247</v>
      </c>
      <c r="C176" s="4">
        <v>74655</v>
      </c>
      <c r="D176" s="18">
        <f t="shared" si="9"/>
        <v>74655</v>
      </c>
      <c r="E176" s="22" t="s">
        <v>2340</v>
      </c>
      <c r="F176" s="19" t="str">
        <f t="shared" si="8"/>
        <v>insert into ins_premium_det (premium_rcv_code,assorted_code, rec_amount,premium_rcv_detail_code,remaining_amt, payrec, mode_code,coinsurance_code,class_cd,it_remarks) values</v>
      </c>
      <c r="G176" s="20" t="str">
        <f t="shared" si="10"/>
        <v>('06Mar250008','070000174247','74655',(select max(to_number(i.premium_rcv_detail_code))+1
from ins_premium_det i),'74655','74655','02', '11000003','00','Request by Mr. Saqib Saleem 06-Mar-2024');</v>
      </c>
      <c r="H176" s="21" t="str">
        <f t="shared" si="11"/>
        <v>insert into ins_premium_det (premium_rcv_code,assorted_code, rec_amount,premium_rcv_detail_code,remaining_amt, payrec, mode_code,coinsurance_code,class_cd,it_remarks) values('06Mar250008','070000174247','74655',(select max(to_number(i.premium_rcv_detail_code))+1
from ins_premium_det i),'74655','74655','02', '11000003','00','Request by Mr. Saqib Saleem 06-Mar-2024');</v>
      </c>
    </row>
    <row r="177" spans="1:8" ht="89.25" x14ac:dyDescent="0.2">
      <c r="A177" s="2" t="s">
        <v>520</v>
      </c>
      <c r="B177" t="str">
        <f>VLOOKUP(A177,policy!B:C,2,0)</f>
        <v>070000174218</v>
      </c>
      <c r="C177" s="4">
        <v>108743</v>
      </c>
      <c r="D177" s="18">
        <f t="shared" si="9"/>
        <v>108743</v>
      </c>
      <c r="E177" s="22" t="s">
        <v>2340</v>
      </c>
      <c r="F177" s="19" t="str">
        <f t="shared" si="8"/>
        <v>insert into ins_premium_det (premium_rcv_code,assorted_code, rec_amount,premium_rcv_detail_code,remaining_amt, payrec, mode_code,coinsurance_code,class_cd,it_remarks) values</v>
      </c>
      <c r="G177" s="20" t="str">
        <f t="shared" si="10"/>
        <v>('06Mar250008','070000174218','108743',(select max(to_number(i.premium_rcv_detail_code))+1
from ins_premium_det i),'108743','108743','02', '11000003','00','Request by Mr. Saqib Saleem 06-Mar-2024');</v>
      </c>
      <c r="H177" s="21" t="str">
        <f t="shared" si="11"/>
        <v>insert into ins_premium_det (premium_rcv_code,assorted_code, rec_amount,premium_rcv_detail_code,remaining_amt, payrec, mode_code,coinsurance_code,class_cd,it_remarks) values('06Mar250008','070000174218','108743',(select max(to_number(i.premium_rcv_detail_code))+1
from ins_premium_det i),'108743','108743','02', '11000003','00','Request by Mr. Saqib Saleem 06-Mar-2024');</v>
      </c>
    </row>
    <row r="178" spans="1:8" ht="89.25" x14ac:dyDescent="0.2">
      <c r="A178" s="2" t="s">
        <v>673</v>
      </c>
      <c r="B178" t="str">
        <f>VLOOKUP(A178,policy!B:C,2,0)</f>
        <v>070000174223</v>
      </c>
      <c r="C178" s="4">
        <v>54900</v>
      </c>
      <c r="D178" s="18">
        <f t="shared" si="9"/>
        <v>54900</v>
      </c>
      <c r="E178" s="22" t="s">
        <v>2340</v>
      </c>
      <c r="F178" s="19" t="str">
        <f t="shared" si="8"/>
        <v>insert into ins_premium_det (premium_rcv_code,assorted_code, rec_amount,premium_rcv_detail_code,remaining_amt, payrec, mode_code,coinsurance_code,class_cd,it_remarks) values</v>
      </c>
      <c r="G178" s="20" t="str">
        <f t="shared" si="10"/>
        <v>('06Mar250008','070000174223','54900',(select max(to_number(i.premium_rcv_detail_code))+1
from ins_premium_det i),'54900','54900','02', '11000003','00','Request by Mr. Saqib Saleem 06-Mar-2024');</v>
      </c>
      <c r="H178" s="21" t="str">
        <f t="shared" si="11"/>
        <v>insert into ins_premium_det (premium_rcv_code,assorted_code, rec_amount,premium_rcv_detail_code,remaining_amt, payrec, mode_code,coinsurance_code,class_cd,it_remarks) values('06Mar250008','070000174223','54900',(select max(to_number(i.premium_rcv_detail_code))+1
from ins_premium_det i),'54900','54900','02', '11000003','00','Request by Mr. Saqib Saleem 06-Mar-2024');</v>
      </c>
    </row>
    <row r="179" spans="1:8" ht="89.25" x14ac:dyDescent="0.2">
      <c r="A179" s="2" t="s">
        <v>688</v>
      </c>
      <c r="B179" t="str">
        <f>VLOOKUP(A179,policy!B:C,2,0)</f>
        <v>070000174226</v>
      </c>
      <c r="C179" s="4">
        <v>52830</v>
      </c>
      <c r="D179" s="18">
        <f t="shared" si="9"/>
        <v>52830</v>
      </c>
      <c r="E179" s="22" t="s">
        <v>2340</v>
      </c>
      <c r="F179" s="19" t="str">
        <f t="shared" si="8"/>
        <v>insert into ins_premium_det (premium_rcv_code,assorted_code, rec_amount,premium_rcv_detail_code,remaining_amt, payrec, mode_code,coinsurance_code,class_cd,it_remarks) values</v>
      </c>
      <c r="G179" s="20" t="str">
        <f t="shared" si="10"/>
        <v>('06Mar250008','070000174226','52830',(select max(to_number(i.premium_rcv_detail_code))+1
from ins_premium_det i),'52830','52830','02', '11000003','00','Request by Mr. Saqib Saleem 06-Mar-2024');</v>
      </c>
      <c r="H179" s="21" t="str">
        <f t="shared" si="11"/>
        <v>insert into ins_premium_det (premium_rcv_code,assorted_code, rec_amount,premium_rcv_detail_code,remaining_amt, payrec, mode_code,coinsurance_code,class_cd,it_remarks) values('06Mar250008','070000174226','52830',(select max(to_number(i.premium_rcv_detail_code))+1
from ins_premium_det i),'52830','52830','02', '11000003','00','Request by Mr. Saqib Saleem 06-Mar-2024');</v>
      </c>
    </row>
    <row r="180" spans="1:8" ht="89.25" x14ac:dyDescent="0.2">
      <c r="A180" s="2" t="s">
        <v>791</v>
      </c>
      <c r="B180" t="str">
        <f>VLOOKUP(A180,policy!B:C,2,0)</f>
        <v>070000174248</v>
      </c>
      <c r="C180" s="4">
        <v>44100</v>
      </c>
      <c r="D180" s="18">
        <f t="shared" si="9"/>
        <v>44100</v>
      </c>
      <c r="E180" s="22" t="s">
        <v>2340</v>
      </c>
      <c r="F180" s="19" t="str">
        <f t="shared" si="8"/>
        <v>insert into ins_premium_det (premium_rcv_code,assorted_code, rec_amount,premium_rcv_detail_code,remaining_amt, payrec, mode_code,coinsurance_code,class_cd,it_remarks) values</v>
      </c>
      <c r="G180" s="20" t="str">
        <f t="shared" si="10"/>
        <v>('06Mar250008','070000174248','44100',(select max(to_number(i.premium_rcv_detail_code))+1
from ins_premium_det i),'44100','44100','02', '11000003','00','Request by Mr. Saqib Saleem 06-Mar-2024');</v>
      </c>
      <c r="H180" s="21" t="str">
        <f t="shared" si="11"/>
        <v>insert into ins_premium_det (premium_rcv_code,assorted_code, rec_amount,premium_rcv_detail_code,remaining_amt, payrec, mode_code,coinsurance_code,class_cd,it_remarks) values('06Mar250008','070000174248','44100',(select max(to_number(i.premium_rcv_detail_code))+1
from ins_premium_det i),'44100','44100','02', '11000003','00','Request by Mr. Saqib Saleem 06-Mar-2024');</v>
      </c>
    </row>
    <row r="181" spans="1:8" ht="89.25" x14ac:dyDescent="0.2">
      <c r="A181" s="2" t="s">
        <v>692</v>
      </c>
      <c r="B181" t="str">
        <f>VLOOKUP(A181,policy!B:C,2,0)</f>
        <v>070000174227</v>
      </c>
      <c r="C181" s="4">
        <v>57713</v>
      </c>
      <c r="D181" s="18">
        <f t="shared" si="9"/>
        <v>57713</v>
      </c>
      <c r="E181" s="22" t="s">
        <v>2340</v>
      </c>
      <c r="F181" s="19" t="str">
        <f t="shared" si="8"/>
        <v>insert into ins_premium_det (premium_rcv_code,assorted_code, rec_amount,premium_rcv_detail_code,remaining_amt, payrec, mode_code,coinsurance_code,class_cd,it_remarks) values</v>
      </c>
      <c r="G181" s="20" t="str">
        <f t="shared" si="10"/>
        <v>('06Mar250008','070000174227','57713',(select max(to_number(i.premium_rcv_detail_code))+1
from ins_premium_det i),'57713','57713','02', '11000003','00','Request by Mr. Saqib Saleem 06-Mar-2024');</v>
      </c>
      <c r="H181" s="21" t="str">
        <f t="shared" si="11"/>
        <v>insert into ins_premium_det (premium_rcv_code,assorted_code, rec_amount,premium_rcv_detail_code,remaining_amt, payrec, mode_code,coinsurance_code,class_cd,it_remarks) values('06Mar250008','070000174227','57713',(select max(to_number(i.premium_rcv_detail_code))+1
from ins_premium_det i),'57713','57713','02', '11000003','00','Request by Mr. Saqib Saleem 06-Mar-2024');</v>
      </c>
    </row>
    <row r="182" spans="1:8" ht="89.25" x14ac:dyDescent="0.2">
      <c r="A182" s="2" t="s">
        <v>669</v>
      </c>
      <c r="B182" t="str">
        <f>VLOOKUP(A182,policy!B:C,2,0)</f>
        <v>070000174222</v>
      </c>
      <c r="C182" s="4">
        <v>87750</v>
      </c>
      <c r="D182" s="18">
        <f t="shared" si="9"/>
        <v>87750</v>
      </c>
      <c r="E182" s="22" t="s">
        <v>2340</v>
      </c>
      <c r="F182" s="19" t="str">
        <f t="shared" si="8"/>
        <v>insert into ins_premium_det (premium_rcv_code,assorted_code, rec_amount,premium_rcv_detail_code,remaining_amt, payrec, mode_code,coinsurance_code,class_cd,it_remarks) values</v>
      </c>
      <c r="G182" s="20" t="str">
        <f t="shared" si="10"/>
        <v>('06Mar250008','070000174222','87750',(select max(to_number(i.premium_rcv_detail_code))+1
from ins_premium_det i),'87750','87750','02', '11000003','00','Request by Mr. Saqib Saleem 06-Mar-2024');</v>
      </c>
      <c r="H182" s="21" t="str">
        <f t="shared" si="11"/>
        <v>insert into ins_premium_det (premium_rcv_code,assorted_code, rec_amount,premium_rcv_detail_code,remaining_amt, payrec, mode_code,coinsurance_code,class_cd,it_remarks) values('06Mar250008','070000174222','87750',(select max(to_number(i.premium_rcv_detail_code))+1
from ins_premium_det i),'87750','87750','02', '11000003','00','Request by Mr. Saqib Saleem 06-Mar-2024');</v>
      </c>
    </row>
    <row r="183" spans="1:8" ht="89.25" x14ac:dyDescent="0.2">
      <c r="A183" s="2" t="s">
        <v>706</v>
      </c>
      <c r="B183" t="str">
        <f>VLOOKUP(A183,policy!B:C,2,0)</f>
        <v>070000174230</v>
      </c>
      <c r="C183" s="4">
        <v>79292</v>
      </c>
      <c r="D183" s="18">
        <f t="shared" si="9"/>
        <v>79292</v>
      </c>
      <c r="E183" s="22" t="s">
        <v>2340</v>
      </c>
      <c r="F183" s="19" t="str">
        <f t="shared" si="8"/>
        <v>insert into ins_premium_det (premium_rcv_code,assorted_code, rec_amount,premium_rcv_detail_code,remaining_amt, payrec, mode_code,coinsurance_code,class_cd,it_remarks) values</v>
      </c>
      <c r="G183" s="20" t="str">
        <f t="shared" si="10"/>
        <v>('06Mar250008','070000174230','79292',(select max(to_number(i.premium_rcv_detail_code))+1
from ins_premium_det i),'79292','79292','02', '11000003','00','Request by Mr. Saqib Saleem 06-Mar-2024');</v>
      </c>
      <c r="H183" s="21" t="str">
        <f t="shared" si="11"/>
        <v>insert into ins_premium_det (premium_rcv_code,assorted_code, rec_amount,premium_rcv_detail_code,remaining_amt, payrec, mode_code,coinsurance_code,class_cd,it_remarks) values('06Mar250008','070000174230','79292',(select max(to_number(i.premium_rcv_detail_code))+1
from ins_premium_det i),'79292','79292','02', '11000003','00','Request by Mr. Saqib Saleem 06-Mar-2024');</v>
      </c>
    </row>
    <row r="184" spans="1:8" ht="89.25" x14ac:dyDescent="0.2">
      <c r="A184" s="2" t="s">
        <v>245</v>
      </c>
      <c r="B184" t="str">
        <f>VLOOKUP(A184,policy!B:C,2,0)</f>
        <v>070000174212</v>
      </c>
      <c r="C184" s="4">
        <v>48600</v>
      </c>
      <c r="D184" s="18">
        <f t="shared" si="9"/>
        <v>48600</v>
      </c>
      <c r="E184" s="22" t="s">
        <v>2340</v>
      </c>
      <c r="F184" s="19" t="str">
        <f t="shared" si="8"/>
        <v>insert into ins_premium_det (premium_rcv_code,assorted_code, rec_amount,premium_rcv_detail_code,remaining_amt, payrec, mode_code,coinsurance_code,class_cd,it_remarks) values</v>
      </c>
      <c r="G184" s="20" t="str">
        <f t="shared" si="10"/>
        <v>('06Mar250008','070000174212','48600',(select max(to_number(i.premium_rcv_detail_code))+1
from ins_premium_det i),'48600','48600','02', '11000003','00','Request by Mr. Saqib Saleem 06-Mar-2024');</v>
      </c>
      <c r="H184" s="21" t="str">
        <f t="shared" si="11"/>
        <v>insert into ins_premium_det (premium_rcv_code,assorted_code, rec_amount,premium_rcv_detail_code,remaining_amt, payrec, mode_code,coinsurance_code,class_cd,it_remarks) values('06Mar250008','070000174212','48600',(select max(to_number(i.premium_rcv_detail_code))+1
from ins_premium_det i),'48600','48600','02', '11000003','00','Request by Mr. Saqib Saleem 06-Mar-2024');</v>
      </c>
    </row>
    <row r="185" spans="1:8" ht="89.25" x14ac:dyDescent="0.2">
      <c r="A185" s="2" t="s">
        <v>724</v>
      </c>
      <c r="B185" t="str">
        <f>VLOOKUP(A185,policy!B:C,2,0)</f>
        <v>070000174233</v>
      </c>
      <c r="C185" s="4">
        <v>49950</v>
      </c>
      <c r="D185" s="18">
        <f t="shared" si="9"/>
        <v>49950</v>
      </c>
      <c r="E185" s="22" t="s">
        <v>2340</v>
      </c>
      <c r="F185" s="19" t="str">
        <f t="shared" si="8"/>
        <v>insert into ins_premium_det (premium_rcv_code,assorted_code, rec_amount,premium_rcv_detail_code,remaining_amt, payrec, mode_code,coinsurance_code,class_cd,it_remarks) values</v>
      </c>
      <c r="G185" s="20" t="str">
        <f t="shared" si="10"/>
        <v>('06Mar250008','070000174233','49950',(select max(to_number(i.premium_rcv_detail_code))+1
from ins_premium_det i),'49950','49950','02', '11000003','00','Request by Mr. Saqib Saleem 06-Mar-2024');</v>
      </c>
      <c r="H185" s="21" t="str">
        <f t="shared" si="11"/>
        <v>insert into ins_premium_det (premium_rcv_code,assorted_code, rec_amount,premium_rcv_detail_code,remaining_amt, payrec, mode_code,coinsurance_code,class_cd,it_remarks) values('06Mar250008','070000174233','49950',(select max(to_number(i.premium_rcv_detail_code))+1
from ins_premium_det i),'49950','49950','02', '11000003','00','Request by Mr. Saqib Saleem 06-Mar-2024');</v>
      </c>
    </row>
    <row r="186" spans="1:8" ht="89.25" x14ac:dyDescent="0.2">
      <c r="A186" s="2" t="s">
        <v>702</v>
      </c>
      <c r="B186" t="str">
        <f>VLOOKUP(A186,policy!B:C,2,0)</f>
        <v>070000174229</v>
      </c>
      <c r="C186" s="4">
        <v>38700</v>
      </c>
      <c r="D186" s="18">
        <f t="shared" si="9"/>
        <v>38700</v>
      </c>
      <c r="E186" s="22" t="s">
        <v>2340</v>
      </c>
      <c r="F186" s="19" t="str">
        <f t="shared" si="8"/>
        <v>insert into ins_premium_det (premium_rcv_code,assorted_code, rec_amount,premium_rcv_detail_code,remaining_amt, payrec, mode_code,coinsurance_code,class_cd,it_remarks) values</v>
      </c>
      <c r="G186" s="20" t="str">
        <f t="shared" si="10"/>
        <v>('06Mar250008','070000174229','38700',(select max(to_number(i.premium_rcv_detail_code))+1
from ins_premium_det i),'38700','38700','02', '11000003','00','Request by Mr. Saqib Saleem 06-Mar-2024');</v>
      </c>
      <c r="H186" s="21" t="str">
        <f t="shared" si="11"/>
        <v>insert into ins_premium_det (premium_rcv_code,assorted_code, rec_amount,premium_rcv_detail_code,remaining_amt, payrec, mode_code,coinsurance_code,class_cd,it_remarks) values('06Mar250008','070000174229','38700',(select max(to_number(i.premium_rcv_detail_code))+1
from ins_premium_det i),'38700','38700','02', '11000003','00','Request by Mr. Saqib Saleem 06-Mar-2024');</v>
      </c>
    </row>
    <row r="187" spans="1:8" ht="89.25" x14ac:dyDescent="0.2">
      <c r="A187" s="2" t="s">
        <v>741</v>
      </c>
      <c r="B187" t="str">
        <f>VLOOKUP(A187,policy!B:C,2,0)</f>
        <v>070000174237</v>
      </c>
      <c r="C187" s="4">
        <v>56700</v>
      </c>
      <c r="D187" s="18">
        <f t="shared" si="9"/>
        <v>56700</v>
      </c>
      <c r="E187" s="22" t="s">
        <v>2340</v>
      </c>
      <c r="F187" s="19" t="str">
        <f t="shared" si="8"/>
        <v>insert into ins_premium_det (premium_rcv_code,assorted_code, rec_amount,premium_rcv_detail_code,remaining_amt, payrec, mode_code,coinsurance_code,class_cd,it_remarks) values</v>
      </c>
      <c r="G187" s="20" t="str">
        <f t="shared" si="10"/>
        <v>('06Mar250008','070000174237','56700',(select max(to_number(i.premium_rcv_detail_code))+1
from ins_premium_det i),'56700','56700','02', '11000003','00','Request by Mr. Saqib Saleem 06-Mar-2024');</v>
      </c>
      <c r="H187" s="21" t="str">
        <f t="shared" si="11"/>
        <v>insert into ins_premium_det (premium_rcv_code,assorted_code, rec_amount,premium_rcv_detail_code,remaining_amt, payrec, mode_code,coinsurance_code,class_cd,it_remarks) values('06Mar250008','070000174237','56700',(select max(to_number(i.premium_rcv_detail_code))+1
from ins_premium_det i),'56700','56700','02', '11000003','00','Request by Mr. Saqib Saleem 06-Mar-2024');</v>
      </c>
    </row>
    <row r="188" spans="1:8" ht="89.25" x14ac:dyDescent="0.2">
      <c r="A188" s="2" t="s">
        <v>341</v>
      </c>
      <c r="B188" t="str">
        <f>VLOOKUP(A188,policy!B:C,2,0)</f>
        <v>070000174214</v>
      </c>
      <c r="C188" s="4">
        <v>94500</v>
      </c>
      <c r="D188" s="18">
        <f t="shared" si="9"/>
        <v>94500</v>
      </c>
      <c r="E188" s="22" t="s">
        <v>2340</v>
      </c>
      <c r="F188" s="19" t="str">
        <f t="shared" si="8"/>
        <v>insert into ins_premium_det (premium_rcv_code,assorted_code, rec_amount,premium_rcv_detail_code,remaining_amt, payrec, mode_code,coinsurance_code,class_cd,it_remarks) values</v>
      </c>
      <c r="G188" s="20" t="str">
        <f t="shared" si="10"/>
        <v>('06Mar250008','070000174214','94500',(select max(to_number(i.premium_rcv_detail_code))+1
from ins_premium_det i),'94500','94500','02', '11000003','00','Request by Mr. Saqib Saleem 06-Mar-2024');</v>
      </c>
      <c r="H188" s="21" t="str">
        <f t="shared" si="11"/>
        <v>insert into ins_premium_det (premium_rcv_code,assorted_code, rec_amount,premium_rcv_detail_code,remaining_amt, payrec, mode_code,coinsurance_code,class_cd,it_remarks) values('06Mar250008','070000174214','94500',(select max(to_number(i.premium_rcv_detail_code))+1
from ins_premium_det i),'94500','94500','02', '11000003','00','Request by Mr. Saqib Saleem 06-Mar-2024');</v>
      </c>
    </row>
    <row r="189" spans="1:8" ht="89.25" x14ac:dyDescent="0.2">
      <c r="A189" s="2" t="s">
        <v>799</v>
      </c>
      <c r="B189" t="str">
        <f>VLOOKUP(A189,policy!B:C,2,0)</f>
        <v>070000174250</v>
      </c>
      <c r="C189" s="4">
        <v>67500</v>
      </c>
      <c r="D189" s="18">
        <f t="shared" si="9"/>
        <v>67500</v>
      </c>
      <c r="E189" s="22" t="s">
        <v>2340</v>
      </c>
      <c r="F189" s="19" t="str">
        <f t="shared" si="8"/>
        <v>insert into ins_premium_det (premium_rcv_code,assorted_code, rec_amount,premium_rcv_detail_code,remaining_amt, payrec, mode_code,coinsurance_code,class_cd,it_remarks) values</v>
      </c>
      <c r="G189" s="20" t="str">
        <f t="shared" si="10"/>
        <v>('06Mar250008','070000174250','67500',(select max(to_number(i.premium_rcv_detail_code))+1
from ins_premium_det i),'67500','67500','02', '11000003','00','Request by Mr. Saqib Saleem 06-Mar-2024');</v>
      </c>
      <c r="H189" s="21" t="str">
        <f t="shared" si="11"/>
        <v>insert into ins_premium_det (premium_rcv_code,assorted_code, rec_amount,premium_rcv_detail_code,remaining_amt, payrec, mode_code,coinsurance_code,class_cd,it_remarks) values('06Mar250008','070000174250','67500',(select max(to_number(i.premium_rcv_detail_code))+1
from ins_premium_det i),'67500','67500','02', '11000003','00','Request by Mr. Saqib Saleem 06-Mar-2024');</v>
      </c>
    </row>
    <row r="190" spans="1:8" ht="89.25" x14ac:dyDescent="0.2">
      <c r="A190" s="2" t="s">
        <v>745</v>
      </c>
      <c r="B190" t="str">
        <f>VLOOKUP(A190,policy!B:C,2,0)</f>
        <v>070000174238</v>
      </c>
      <c r="C190" s="4">
        <v>68040</v>
      </c>
      <c r="D190" s="18">
        <f t="shared" si="9"/>
        <v>68040</v>
      </c>
      <c r="E190" s="22" t="s">
        <v>2340</v>
      </c>
      <c r="F190" s="19" t="str">
        <f t="shared" si="8"/>
        <v>insert into ins_premium_det (premium_rcv_code,assorted_code, rec_amount,premium_rcv_detail_code,remaining_amt, payrec, mode_code,coinsurance_code,class_cd,it_remarks) values</v>
      </c>
      <c r="G190" s="20" t="str">
        <f t="shared" si="10"/>
        <v>('06Mar250008','070000174238','68040',(select max(to_number(i.premium_rcv_detail_code))+1
from ins_premium_det i),'68040','68040','02', '11000003','00','Request by Mr. Saqib Saleem 06-Mar-2024');</v>
      </c>
      <c r="H190" s="21" t="str">
        <f t="shared" si="11"/>
        <v>insert into ins_premium_det (premium_rcv_code,assorted_code, rec_amount,premium_rcv_detail_code,remaining_amt, payrec, mode_code,coinsurance_code,class_cd,it_remarks) values('06Mar250008','070000174238','68040',(select max(to_number(i.premium_rcv_detail_code))+1
from ins_premium_det i),'68040','68040','02', '11000003','00','Request by Mr. Saqib Saleem 06-Mar-2024');</v>
      </c>
    </row>
    <row r="191" spans="1:8" ht="89.25" x14ac:dyDescent="0.2">
      <c r="A191" s="2" t="s">
        <v>733</v>
      </c>
      <c r="B191" t="str">
        <f>VLOOKUP(A191,policy!B:C,2,0)</f>
        <v>070000174235</v>
      </c>
      <c r="C191" s="4">
        <v>46800</v>
      </c>
      <c r="D191" s="18">
        <f t="shared" si="9"/>
        <v>46800</v>
      </c>
      <c r="E191" s="22" t="s">
        <v>2340</v>
      </c>
      <c r="F191" s="19" t="str">
        <f t="shared" si="8"/>
        <v>insert into ins_premium_det (premium_rcv_code,assorted_code, rec_amount,premium_rcv_detail_code,remaining_amt, payrec, mode_code,coinsurance_code,class_cd,it_remarks) values</v>
      </c>
      <c r="G191" s="20" t="str">
        <f t="shared" si="10"/>
        <v>('06Mar250008','070000174235','46800',(select max(to_number(i.premium_rcv_detail_code))+1
from ins_premium_det i),'46800','46800','02', '11000003','00','Request by Mr. Saqib Saleem 06-Mar-2024');</v>
      </c>
      <c r="H191" s="21" t="str">
        <f t="shared" si="11"/>
        <v>insert into ins_premium_det (premium_rcv_code,assorted_code, rec_amount,premium_rcv_detail_code,remaining_amt, payrec, mode_code,coinsurance_code,class_cd,it_remarks) values('06Mar250008','070000174235','46800',(select max(to_number(i.premium_rcv_detail_code))+1
from ins_premium_det i),'46800','46800','02', '11000003','00','Request by Mr. Saqib Saleem 06-Mar-2024');</v>
      </c>
    </row>
    <row r="192" spans="1:8" ht="89.25" x14ac:dyDescent="0.2">
      <c r="A192" s="2" t="s">
        <v>737</v>
      </c>
      <c r="B192" t="str">
        <f>VLOOKUP(A192,policy!B:C,2,0)</f>
        <v>070000174236</v>
      </c>
      <c r="C192" s="4">
        <v>52830</v>
      </c>
      <c r="D192" s="18">
        <f t="shared" si="9"/>
        <v>52830</v>
      </c>
      <c r="E192" s="22" t="s">
        <v>2340</v>
      </c>
      <c r="F192" s="19" t="str">
        <f t="shared" si="8"/>
        <v>insert into ins_premium_det (premium_rcv_code,assorted_code, rec_amount,premium_rcv_detail_code,remaining_amt, payrec, mode_code,coinsurance_code,class_cd,it_remarks) values</v>
      </c>
      <c r="G192" s="20" t="str">
        <f t="shared" si="10"/>
        <v>('06Mar250008','070000174236','52830',(select max(to_number(i.premium_rcv_detail_code))+1
from ins_premium_det i),'52830','52830','02', '11000003','00','Request by Mr. Saqib Saleem 06-Mar-2024');</v>
      </c>
      <c r="H192" s="21" t="str">
        <f t="shared" si="11"/>
        <v>insert into ins_premium_det (premium_rcv_code,assorted_code, rec_amount,premium_rcv_detail_code,remaining_amt, payrec, mode_code,coinsurance_code,class_cd,it_remarks) values('06Mar250008','070000174236','52830',(select max(to_number(i.premium_rcv_detail_code))+1
from ins_premium_det i),'52830','52830','02', '11000003','00','Request by Mr. Saqib Saleem 06-Mar-2024');</v>
      </c>
    </row>
    <row r="193" spans="1:8" ht="89.25" x14ac:dyDescent="0.2">
      <c r="A193" s="2" t="s">
        <v>795</v>
      </c>
      <c r="B193" t="str">
        <f>VLOOKUP(A193,policy!B:C,2,0)</f>
        <v>070000174249</v>
      </c>
      <c r="C193" s="4">
        <v>47016</v>
      </c>
      <c r="D193" s="18">
        <f t="shared" si="9"/>
        <v>47016</v>
      </c>
      <c r="E193" s="22" t="s">
        <v>2340</v>
      </c>
      <c r="F193" s="19" t="str">
        <f t="shared" si="8"/>
        <v>insert into ins_premium_det (premium_rcv_code,assorted_code, rec_amount,premium_rcv_detail_code,remaining_amt, payrec, mode_code,coinsurance_code,class_cd,it_remarks) values</v>
      </c>
      <c r="G193" s="20" t="str">
        <f t="shared" si="10"/>
        <v>('06Mar250008','070000174249','47016',(select max(to_number(i.premium_rcv_detail_code))+1
from ins_premium_det i),'47016','47016','02', '11000003','00','Request by Mr. Saqib Saleem 06-Mar-2024');</v>
      </c>
      <c r="H193" s="21" t="str">
        <f t="shared" si="11"/>
        <v>insert into ins_premium_det (premium_rcv_code,assorted_code, rec_amount,premium_rcv_detail_code,remaining_amt, payrec, mode_code,coinsurance_code,class_cd,it_remarks) values('06Mar250008','070000174249','47016',(select max(to_number(i.premium_rcv_detail_code))+1
from ins_premium_det i),'47016','47016','02', '11000003','00','Request by Mr. Saqib Saleem 06-Mar-2024');</v>
      </c>
    </row>
    <row r="194" spans="1:8" ht="89.25" x14ac:dyDescent="0.2">
      <c r="A194" s="2" t="s">
        <v>683</v>
      </c>
      <c r="B194" t="str">
        <f>VLOOKUP(A194,policy!B:C,2,0)</f>
        <v>070000174225</v>
      </c>
      <c r="C194" s="4">
        <v>66150</v>
      </c>
      <c r="D194" s="18">
        <f t="shared" si="9"/>
        <v>66150</v>
      </c>
      <c r="E194" s="22" t="s">
        <v>2340</v>
      </c>
      <c r="F194" s="19" t="str">
        <f t="shared" ref="F194:F250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0" t="str">
        <f t="shared" si="10"/>
        <v>('06Mar250008','070000174225','66150',(select max(to_number(i.premium_rcv_detail_code))+1
from ins_premium_det i),'66150','66150','02', '11000003','00','Request by Mr. Saqib Saleem 06-Mar-2024');</v>
      </c>
      <c r="H194" s="21" t="str">
        <f t="shared" si="11"/>
        <v>insert into ins_premium_det (premium_rcv_code,assorted_code, rec_amount,premium_rcv_detail_code,remaining_amt, payrec, mode_code,coinsurance_code,class_cd,it_remarks) values('06Mar250008','070000174225','66150',(select max(to_number(i.premium_rcv_detail_code))+1
from ins_premium_det i),'66150','66150','02', '11000003','00','Request by Mr. Saqib Saleem 06-Mar-2024');</v>
      </c>
    </row>
    <row r="195" spans="1:8" ht="89.25" x14ac:dyDescent="0.2">
      <c r="A195" s="2" t="s">
        <v>34</v>
      </c>
      <c r="B195" t="str">
        <f>VLOOKUP(A195,policy!B:C,2,0)</f>
        <v>070000173925</v>
      </c>
      <c r="C195" s="4">
        <v>71400</v>
      </c>
      <c r="D195" s="18">
        <f t="shared" ref="D195:D250" si="13">ROUND(C195,0)</f>
        <v>71400</v>
      </c>
      <c r="E195" s="22" t="s">
        <v>2340</v>
      </c>
      <c r="F195" s="19" t="str">
        <f t="shared" si="12"/>
        <v>insert into ins_premium_det (premium_rcv_code,assorted_code, rec_amount,premium_rcv_detail_code,remaining_amt, payrec, mode_code,coinsurance_code,class_cd,it_remarks) values</v>
      </c>
      <c r="G195" s="20" t="str">
        <f t="shared" ref="G195:G250" si="14">"('"&amp;E195&amp;"','"&amp;B195&amp;"','"&amp;D195&amp;"',(select max(to_number(i.premium_rcv_detail_code))+1
from ins_premium_det i),'"&amp;D195&amp;"','"&amp;D195&amp;"','02', '11000003','00','Request by Mr. Saqib Saleem 06-Mar-2024');"</f>
        <v>('06Mar250008','070000173925','71400',(select max(to_number(i.premium_rcv_detail_code))+1
from ins_premium_det i),'71400','71400','02', '11000003','00','Request by Mr. Saqib Saleem 06-Mar-2024');</v>
      </c>
      <c r="H195" s="21" t="str">
        <f t="shared" ref="H195:H250" si="15">F195&amp;G195</f>
        <v>insert into ins_premium_det (premium_rcv_code,assorted_code, rec_amount,premium_rcv_detail_code,remaining_amt, payrec, mode_code,coinsurance_code,class_cd,it_remarks) values('06Mar250008','070000173925','71400',(select max(to_number(i.premium_rcv_detail_code))+1
from ins_premium_det i),'71400','71400','02', '11000003','00','Request by Mr. Saqib Saleem 06-Mar-2024');</v>
      </c>
    </row>
    <row r="196" spans="1:8" ht="89.25" x14ac:dyDescent="0.2">
      <c r="A196" s="2" t="s">
        <v>38</v>
      </c>
      <c r="B196" t="str">
        <f>VLOOKUP(A196,policy!B:C,2,0)</f>
        <v>070000173927</v>
      </c>
      <c r="C196" s="4">
        <v>70785</v>
      </c>
      <c r="D196" s="18">
        <f t="shared" si="13"/>
        <v>70785</v>
      </c>
      <c r="E196" s="22" t="s">
        <v>2340</v>
      </c>
      <c r="F196" s="19" t="str">
        <f t="shared" si="12"/>
        <v>insert into ins_premium_det (premium_rcv_code,assorted_code, rec_amount,premium_rcv_detail_code,remaining_amt, payrec, mode_code,coinsurance_code,class_cd,it_remarks) values</v>
      </c>
      <c r="G196" s="20" t="str">
        <f t="shared" si="14"/>
        <v>('06Mar250008','070000173927','70785',(select max(to_number(i.premium_rcv_detail_code))+1
from ins_premium_det i),'70785','70785','02', '11000003','00','Request by Mr. Saqib Saleem 06-Mar-2024');</v>
      </c>
      <c r="H196" s="21" t="str">
        <f t="shared" si="15"/>
        <v>insert into ins_premium_det (premium_rcv_code,assorted_code, rec_amount,premium_rcv_detail_code,remaining_amt, payrec, mode_code,coinsurance_code,class_cd,it_remarks) values('06Mar250008','070000173927','70785',(select max(to_number(i.premium_rcv_detail_code))+1
from ins_premium_det i),'70785','70785','02', '11000003','00','Request by Mr. Saqib Saleem 06-Mar-2024');</v>
      </c>
    </row>
    <row r="197" spans="1:8" ht="89.25" x14ac:dyDescent="0.2">
      <c r="A197" s="2" t="s">
        <v>106</v>
      </c>
      <c r="B197" t="str">
        <f>VLOOKUP(A197,policy!B:C,2,0)</f>
        <v>070000174438</v>
      </c>
      <c r="C197" s="4">
        <v>63000</v>
      </c>
      <c r="D197" s="18">
        <f t="shared" si="13"/>
        <v>63000</v>
      </c>
      <c r="E197" s="22" t="s">
        <v>2340</v>
      </c>
      <c r="F197" s="19" t="str">
        <f t="shared" si="12"/>
        <v>insert into ins_premium_det (premium_rcv_code,assorted_code, rec_amount,premium_rcv_detail_code,remaining_amt, payrec, mode_code,coinsurance_code,class_cd,it_remarks) values</v>
      </c>
      <c r="G197" s="20" t="str">
        <f t="shared" si="14"/>
        <v>('06Mar250008','070000174438','63000',(select max(to_number(i.premium_rcv_detail_code))+1
from ins_premium_det i),'63000','63000','02', '11000003','00','Request by Mr. Saqib Saleem 06-Mar-2024');</v>
      </c>
      <c r="H197" s="21" t="str">
        <f t="shared" si="15"/>
        <v>insert into ins_premium_det (premium_rcv_code,assorted_code, rec_amount,premium_rcv_detail_code,remaining_amt, payrec, mode_code,coinsurance_code,class_cd,it_remarks) values('06Mar250008','070000174438','63000',(select max(to_number(i.premium_rcv_detail_code))+1
from ins_premium_det i),'63000','63000','02', '11000003','00','Request by Mr. Saqib Saleem 06-Mar-2024');</v>
      </c>
    </row>
    <row r="198" spans="1:8" ht="89.25" x14ac:dyDescent="0.2">
      <c r="A198" s="2" t="s">
        <v>95</v>
      </c>
      <c r="B198" t="str">
        <f>VLOOKUP(A198,policy!B:C,2,0)</f>
        <v>070000174202</v>
      </c>
      <c r="C198" s="4">
        <v>76770</v>
      </c>
      <c r="D198" s="18">
        <f t="shared" si="13"/>
        <v>76770</v>
      </c>
      <c r="E198" s="22" t="s">
        <v>2340</v>
      </c>
      <c r="F198" s="19" t="str">
        <f t="shared" si="12"/>
        <v>insert into ins_premium_det (premium_rcv_code,assorted_code, rec_amount,premium_rcv_detail_code,remaining_amt, payrec, mode_code,coinsurance_code,class_cd,it_remarks) values</v>
      </c>
      <c r="G198" s="20" t="str">
        <f t="shared" si="14"/>
        <v>('06Mar250008','070000174202','76770',(select max(to_number(i.premium_rcv_detail_code))+1
from ins_premium_det i),'76770','76770','02', '11000003','00','Request by Mr. Saqib Saleem 06-Mar-2024');</v>
      </c>
      <c r="H198" s="21" t="str">
        <f t="shared" si="15"/>
        <v>insert into ins_premium_det (premium_rcv_code,assorted_code, rec_amount,premium_rcv_detail_code,remaining_amt, payrec, mode_code,coinsurance_code,class_cd,it_remarks) values('06Mar250008','070000174202','76770',(select max(to_number(i.premium_rcv_detail_code))+1
from ins_premium_det i),'76770','76770','02', '11000003','00','Request by Mr. Saqib Saleem 06-Mar-2024');</v>
      </c>
    </row>
    <row r="199" spans="1:8" ht="89.25" x14ac:dyDescent="0.2">
      <c r="A199" s="2" t="s">
        <v>178</v>
      </c>
      <c r="B199" t="str">
        <f>VLOOKUP(A199,policy!B:C,2,0)</f>
        <v>070000176316</v>
      </c>
      <c r="C199" s="4">
        <v>63000</v>
      </c>
      <c r="D199" s="18">
        <f t="shared" si="13"/>
        <v>63000</v>
      </c>
      <c r="E199" s="22" t="s">
        <v>2340</v>
      </c>
      <c r="F199" s="19" t="str">
        <f t="shared" si="12"/>
        <v>insert into ins_premium_det (premium_rcv_code,assorted_code, rec_amount,premium_rcv_detail_code,remaining_amt, payrec, mode_code,coinsurance_code,class_cd,it_remarks) values</v>
      </c>
      <c r="G199" s="20" t="str">
        <f t="shared" si="14"/>
        <v>('06Mar250008','070000176316','63000',(select max(to_number(i.premium_rcv_detail_code))+1
from ins_premium_det i),'63000','63000','02', '11000003','00','Request by Mr. Saqib Saleem 06-Mar-2024');</v>
      </c>
      <c r="H199" s="21" t="str">
        <f t="shared" si="15"/>
        <v>insert into ins_premium_det (premium_rcv_code,assorted_code, rec_amount,premium_rcv_detail_code,remaining_amt, payrec, mode_code,coinsurance_code,class_cd,it_remarks) values('06Mar250008','070000176316','63000',(select max(to_number(i.premium_rcv_detail_code))+1
from ins_premium_det i),'63000','63000','02', '11000003','00','Request by Mr. Saqib Saleem 06-Mar-2024');</v>
      </c>
    </row>
    <row r="200" spans="1:8" ht="89.25" x14ac:dyDescent="0.2">
      <c r="A200" s="2" t="s">
        <v>70</v>
      </c>
      <c r="B200" t="str">
        <f>VLOOKUP(A200,policy!B:C,2,0)</f>
        <v>070000173805</v>
      </c>
      <c r="C200" s="4">
        <v>112500</v>
      </c>
      <c r="D200" s="18">
        <f t="shared" si="13"/>
        <v>112500</v>
      </c>
      <c r="E200" s="22" t="s">
        <v>2340</v>
      </c>
      <c r="F200" s="19" t="str">
        <f t="shared" si="12"/>
        <v>insert into ins_premium_det (premium_rcv_code,assorted_code, rec_amount,premium_rcv_detail_code,remaining_amt, payrec, mode_code,coinsurance_code,class_cd,it_remarks) values</v>
      </c>
      <c r="G200" s="20" t="str">
        <f t="shared" si="14"/>
        <v>('06Mar250008','070000173805','112500',(select max(to_number(i.premium_rcv_detail_code))+1
from ins_premium_det i),'112500','112500','02', '11000003','00','Request by Mr. Saqib Saleem 06-Mar-2024');</v>
      </c>
      <c r="H200" s="21" t="str">
        <f t="shared" si="15"/>
        <v>insert into ins_premium_det (premium_rcv_code,assorted_code, rec_amount,premium_rcv_detail_code,remaining_amt, payrec, mode_code,coinsurance_code,class_cd,it_remarks) values('06Mar250008','070000173805','112500',(select max(to_number(i.premium_rcv_detail_code))+1
from ins_premium_det i),'112500','112500','02', '11000003','00','Request by Mr. Saqib Saleem 06-Mar-2024');</v>
      </c>
    </row>
    <row r="201" spans="1:8" ht="89.25" x14ac:dyDescent="0.2">
      <c r="A201" s="2" t="s">
        <v>225</v>
      </c>
      <c r="B201" t="str">
        <f>VLOOKUP(A201,policy!B:C,2,0)</f>
        <v>070000173849</v>
      </c>
      <c r="C201" s="4">
        <v>60980</v>
      </c>
      <c r="D201" s="18">
        <f t="shared" si="13"/>
        <v>60980</v>
      </c>
      <c r="E201" s="22" t="s">
        <v>2340</v>
      </c>
      <c r="F201" s="19" t="str">
        <f t="shared" si="12"/>
        <v>insert into ins_premium_det (premium_rcv_code,assorted_code, rec_amount,premium_rcv_detail_code,remaining_amt, payrec, mode_code,coinsurance_code,class_cd,it_remarks) values</v>
      </c>
      <c r="G201" s="20" t="str">
        <f t="shared" si="14"/>
        <v>('06Mar250008','070000173849','60980',(select max(to_number(i.premium_rcv_detail_code))+1
from ins_premium_det i),'60980','60980','02', '11000003','00','Request by Mr. Saqib Saleem 06-Mar-2024');</v>
      </c>
      <c r="H201" s="21" t="str">
        <f t="shared" si="15"/>
        <v>insert into ins_premium_det (premium_rcv_code,assorted_code, rec_amount,premium_rcv_detail_code,remaining_amt, payrec, mode_code,coinsurance_code,class_cd,it_remarks) values('06Mar250008','070000173849','60980',(select max(to_number(i.premium_rcv_detail_code))+1
from ins_premium_det i),'60980','60980','02', '11000003','00','Request by Mr. Saqib Saleem 06-Mar-2024');</v>
      </c>
    </row>
    <row r="202" spans="1:8" ht="89.25" x14ac:dyDescent="0.2">
      <c r="A202" s="2" t="s">
        <v>221</v>
      </c>
      <c r="B202" t="str">
        <f>VLOOKUP(A202,policy!B:C,2,0)</f>
        <v>070000176365</v>
      </c>
      <c r="C202" s="4">
        <v>61500</v>
      </c>
      <c r="D202" s="18">
        <f t="shared" si="13"/>
        <v>61500</v>
      </c>
      <c r="E202" s="22" t="s">
        <v>2340</v>
      </c>
      <c r="F202" s="19" t="str">
        <f t="shared" si="12"/>
        <v>insert into ins_premium_det (premium_rcv_code,assorted_code, rec_amount,premium_rcv_detail_code,remaining_amt, payrec, mode_code,coinsurance_code,class_cd,it_remarks) values</v>
      </c>
      <c r="G202" s="20" t="str">
        <f t="shared" si="14"/>
        <v>('06Mar250008','070000176365','61500',(select max(to_number(i.premium_rcv_detail_code))+1
from ins_premium_det i),'61500','61500','02', '11000003','00','Request by Mr. Saqib Saleem 06-Mar-2024');</v>
      </c>
      <c r="H202" s="21" t="str">
        <f t="shared" si="15"/>
        <v>insert into ins_premium_det (premium_rcv_code,assorted_code, rec_amount,premium_rcv_detail_code,remaining_amt, payrec, mode_code,coinsurance_code,class_cd,it_remarks) values('06Mar250008','070000176365','61500',(select max(to_number(i.premium_rcv_detail_code))+1
from ins_premium_det i),'61500','61500','02', '11000003','00','Request by Mr. Saqib Saleem 06-Mar-2024');</v>
      </c>
    </row>
    <row r="203" spans="1:8" ht="89.25" x14ac:dyDescent="0.2">
      <c r="A203" s="2" t="s">
        <v>75</v>
      </c>
      <c r="B203" t="str">
        <f>VLOOKUP(A203,policy!B:C,2,0)</f>
        <v>070000174161</v>
      </c>
      <c r="C203" s="4">
        <v>43000</v>
      </c>
      <c r="D203" s="18">
        <f t="shared" si="13"/>
        <v>43000</v>
      </c>
      <c r="E203" s="22" t="s">
        <v>2340</v>
      </c>
      <c r="F203" s="19" t="str">
        <f t="shared" si="12"/>
        <v>insert into ins_premium_det (premium_rcv_code,assorted_code, rec_amount,premium_rcv_detail_code,remaining_amt, payrec, mode_code,coinsurance_code,class_cd,it_remarks) values</v>
      </c>
      <c r="G203" s="20" t="str">
        <f t="shared" si="14"/>
        <v>('06Mar250008','070000174161','43000',(select max(to_number(i.premium_rcv_detail_code))+1
from ins_premium_det i),'43000','43000','02', '11000003','00','Request by Mr. Saqib Saleem 06-Mar-2024');</v>
      </c>
      <c r="H203" s="21" t="str">
        <f t="shared" si="15"/>
        <v>insert into ins_premium_det (premium_rcv_code,assorted_code, rec_amount,premium_rcv_detail_code,remaining_amt, payrec, mode_code,coinsurance_code,class_cd,it_remarks) values('06Mar250008','070000174161','43000',(select max(to_number(i.premium_rcv_detail_code))+1
from ins_premium_det i),'43000','43000','02', '11000003','00','Request by Mr. Saqib Saleem 06-Mar-2024');</v>
      </c>
    </row>
    <row r="204" spans="1:8" ht="89.25" x14ac:dyDescent="0.2">
      <c r="A204" s="2" t="s">
        <v>79</v>
      </c>
      <c r="B204" t="str">
        <f>VLOOKUP(A204,policy!B:C,2,0)</f>
        <v>070000174162</v>
      </c>
      <c r="C204" s="4">
        <v>43000</v>
      </c>
      <c r="D204" s="18">
        <f t="shared" si="13"/>
        <v>43000</v>
      </c>
      <c r="E204" s="22" t="s">
        <v>2340</v>
      </c>
      <c r="F204" s="19" t="str">
        <f t="shared" si="12"/>
        <v>insert into ins_premium_det (premium_rcv_code,assorted_code, rec_amount,premium_rcv_detail_code,remaining_amt, payrec, mode_code,coinsurance_code,class_cd,it_remarks) values</v>
      </c>
      <c r="G204" s="20" t="str">
        <f t="shared" si="14"/>
        <v>('06Mar250008','070000174162','43000',(select max(to_number(i.premium_rcv_detail_code))+1
from ins_premium_det i),'43000','43000','02', '11000003','00','Request by Mr. Saqib Saleem 06-Mar-2024');</v>
      </c>
      <c r="H204" s="21" t="str">
        <f t="shared" si="15"/>
        <v>insert into ins_premium_det (premium_rcv_code,assorted_code, rec_amount,premium_rcv_detail_code,remaining_amt, payrec, mode_code,coinsurance_code,class_cd,it_remarks) values('06Mar250008','070000174162','43000',(select max(to_number(i.premium_rcv_detail_code))+1
from ins_premium_det i),'43000','43000','02', '11000003','00','Request by Mr. Saqib Saleem 06-Mar-2024');</v>
      </c>
    </row>
    <row r="205" spans="1:8" ht="89.25" x14ac:dyDescent="0.2">
      <c r="A205" s="2" t="s">
        <v>30</v>
      </c>
      <c r="B205" t="str">
        <f>VLOOKUP(A205,policy!B:C,2,0)</f>
        <v>070000173651</v>
      </c>
      <c r="C205" s="4">
        <v>44000</v>
      </c>
      <c r="D205" s="18">
        <f t="shared" si="13"/>
        <v>44000</v>
      </c>
      <c r="E205" s="22" t="s">
        <v>2340</v>
      </c>
      <c r="F205" s="19" t="str">
        <f t="shared" si="12"/>
        <v>insert into ins_premium_det (premium_rcv_code,assorted_code, rec_amount,premium_rcv_detail_code,remaining_amt, payrec, mode_code,coinsurance_code,class_cd,it_remarks) values</v>
      </c>
      <c r="G205" s="20" t="str">
        <f t="shared" si="14"/>
        <v>('06Mar250008','070000173651','44000',(select max(to_number(i.premium_rcv_detail_code))+1
from ins_premium_det i),'44000','44000','02', '11000003','00','Request by Mr. Saqib Saleem 06-Mar-2024');</v>
      </c>
      <c r="H205" s="21" t="str">
        <f t="shared" si="15"/>
        <v>insert into ins_premium_det (premium_rcv_code,assorted_code, rec_amount,premium_rcv_detail_code,remaining_amt, payrec, mode_code,coinsurance_code,class_cd,it_remarks) values('06Mar250008','070000173651','44000',(select max(to_number(i.premium_rcv_detail_code))+1
from ins_premium_det i),'44000','44000','02', '11000003','00','Request by Mr. Saqib Saleem 06-Mar-2024');</v>
      </c>
    </row>
    <row r="206" spans="1:8" ht="89.25" x14ac:dyDescent="0.2">
      <c r="A206" s="2" t="s">
        <v>56</v>
      </c>
      <c r="B206" t="str">
        <f>VLOOKUP(A206,policy!B:C,2,0)</f>
        <v>070000174097</v>
      </c>
      <c r="C206" s="4">
        <v>54140</v>
      </c>
      <c r="D206" s="18">
        <f t="shared" si="13"/>
        <v>54140</v>
      </c>
      <c r="E206" s="22" t="s">
        <v>2340</v>
      </c>
      <c r="F206" s="19" t="str">
        <f t="shared" si="12"/>
        <v>insert into ins_premium_det (premium_rcv_code,assorted_code, rec_amount,premium_rcv_detail_code,remaining_amt, payrec, mode_code,coinsurance_code,class_cd,it_remarks) values</v>
      </c>
      <c r="G206" s="20" t="str">
        <f t="shared" si="14"/>
        <v>('06Mar250008','070000174097','54140',(select max(to_number(i.premium_rcv_detail_code))+1
from ins_premium_det i),'54140','54140','02', '11000003','00','Request by Mr. Saqib Saleem 06-Mar-2024');</v>
      </c>
      <c r="H206" s="21" t="str">
        <f t="shared" si="15"/>
        <v>insert into ins_premium_det (premium_rcv_code,assorted_code, rec_amount,premium_rcv_detail_code,remaining_amt, payrec, mode_code,coinsurance_code,class_cd,it_remarks) values('06Mar250008','070000174097','54140',(select max(to_number(i.premium_rcv_detail_code))+1
from ins_premium_det i),'54140','54140','02', '11000003','00','Request by Mr. Saqib Saleem 06-Mar-2024');</v>
      </c>
    </row>
    <row r="207" spans="1:8" ht="89.25" x14ac:dyDescent="0.2">
      <c r="A207" s="2" t="s">
        <v>174</v>
      </c>
      <c r="B207" t="str">
        <f>VLOOKUP(A207,policy!B:C,2,0)</f>
        <v>070000176301</v>
      </c>
      <c r="C207" s="4">
        <v>52500</v>
      </c>
      <c r="D207" s="18">
        <f t="shared" si="13"/>
        <v>52500</v>
      </c>
      <c r="E207" s="22" t="s">
        <v>2340</v>
      </c>
      <c r="F207" s="19" t="str">
        <f t="shared" si="12"/>
        <v>insert into ins_premium_det (premium_rcv_code,assorted_code, rec_amount,premium_rcv_detail_code,remaining_amt, payrec, mode_code,coinsurance_code,class_cd,it_remarks) values</v>
      </c>
      <c r="G207" s="20" t="str">
        <f t="shared" si="14"/>
        <v>('06Mar250008','070000176301','52500',(select max(to_number(i.premium_rcv_detail_code))+1
from ins_premium_det i),'52500','52500','02', '11000003','00','Request by Mr. Saqib Saleem 06-Mar-2024');</v>
      </c>
      <c r="H207" s="21" t="str">
        <f t="shared" si="15"/>
        <v>insert into ins_premium_det (premium_rcv_code,assorted_code, rec_amount,premium_rcv_detail_code,remaining_amt, payrec, mode_code,coinsurance_code,class_cd,it_remarks) values('06Mar250008','070000176301','52500',(select max(to_number(i.premium_rcv_detail_code))+1
from ins_premium_det i),'52500','52500','02', '11000003','00','Request by Mr. Saqib Saleem 06-Mar-2024');</v>
      </c>
    </row>
    <row r="208" spans="1:8" ht="89.25" x14ac:dyDescent="0.2">
      <c r="A208" s="2" t="s">
        <v>236</v>
      </c>
      <c r="B208" t="str">
        <f>VLOOKUP(A208,policy!B:C,2,0)</f>
        <v>070000173894</v>
      </c>
      <c r="C208" s="4">
        <v>132135</v>
      </c>
      <c r="D208" s="18">
        <f t="shared" si="13"/>
        <v>132135</v>
      </c>
      <c r="E208" s="22" t="s">
        <v>2340</v>
      </c>
      <c r="F208" s="19" t="str">
        <f t="shared" si="12"/>
        <v>insert into ins_premium_det (premium_rcv_code,assorted_code, rec_amount,premium_rcv_detail_code,remaining_amt, payrec, mode_code,coinsurance_code,class_cd,it_remarks) values</v>
      </c>
      <c r="G208" s="20" t="str">
        <f t="shared" si="14"/>
        <v>('06Mar250008','070000173894','132135',(select max(to_number(i.premium_rcv_detail_code))+1
from ins_premium_det i),'132135','132135','02', '11000003','00','Request by Mr. Saqib Saleem 06-Mar-2024');</v>
      </c>
      <c r="H208" s="21" t="str">
        <f t="shared" si="15"/>
        <v>insert into ins_premium_det (premium_rcv_code,assorted_code, rec_amount,premium_rcv_detail_code,remaining_amt, payrec, mode_code,coinsurance_code,class_cd,it_remarks) values('06Mar250008','070000173894','132135',(select max(to_number(i.premium_rcv_detail_code))+1
from ins_premium_det i),'132135','132135','02', '11000003','00','Request by Mr. Saqib Saleem 06-Mar-2024');</v>
      </c>
    </row>
    <row r="209" spans="1:8" ht="89.25" x14ac:dyDescent="0.2">
      <c r="A209" s="2" t="s">
        <v>229</v>
      </c>
      <c r="B209" t="str">
        <f>VLOOKUP(A209,policy!B:C,2,0)</f>
        <v>070000173882</v>
      </c>
      <c r="C209" s="4">
        <v>64500</v>
      </c>
      <c r="D209" s="18">
        <f t="shared" si="13"/>
        <v>64500</v>
      </c>
      <c r="E209" s="22" t="s">
        <v>2340</v>
      </c>
      <c r="F209" s="19" t="str">
        <f t="shared" si="12"/>
        <v>insert into ins_premium_det (premium_rcv_code,assorted_code, rec_amount,premium_rcv_detail_code,remaining_amt, payrec, mode_code,coinsurance_code,class_cd,it_remarks) values</v>
      </c>
      <c r="G209" s="20" t="str">
        <f t="shared" si="14"/>
        <v>('06Mar250008','070000173882','64500',(select max(to_number(i.premium_rcv_detail_code))+1
from ins_premium_det i),'64500','64500','02', '11000003','00','Request by Mr. Saqib Saleem 06-Mar-2024');</v>
      </c>
      <c r="H209" s="21" t="str">
        <f t="shared" si="15"/>
        <v>insert into ins_premium_det (premium_rcv_code,assorted_code, rec_amount,premium_rcv_detail_code,remaining_amt, payrec, mode_code,coinsurance_code,class_cd,it_remarks) values('06Mar250008','070000173882','64500',(select max(to_number(i.premium_rcv_detail_code))+1
from ins_premium_det i),'64500','64500','02', '11000003','00','Request by Mr. Saqib Saleem 06-Mar-2024');</v>
      </c>
    </row>
    <row r="210" spans="1:8" ht="89.25" x14ac:dyDescent="0.2">
      <c r="A210" s="2" t="s">
        <v>233</v>
      </c>
      <c r="B210" t="str">
        <f>VLOOKUP(A210,policy!B:C,2,0)</f>
        <v>070000173883</v>
      </c>
      <c r="C210" s="4">
        <v>54140</v>
      </c>
      <c r="D210" s="18">
        <f t="shared" si="13"/>
        <v>54140</v>
      </c>
      <c r="E210" s="22" t="s">
        <v>2340</v>
      </c>
      <c r="F210" s="19" t="str">
        <f t="shared" si="12"/>
        <v>insert into ins_premium_det (premium_rcv_code,assorted_code, rec_amount,premium_rcv_detail_code,remaining_amt, payrec, mode_code,coinsurance_code,class_cd,it_remarks) values</v>
      </c>
      <c r="G210" s="20" t="str">
        <f t="shared" si="14"/>
        <v>('06Mar250008','070000173883','54140',(select max(to_number(i.premium_rcv_detail_code))+1
from ins_premium_det i),'54140','54140','02', '11000003','00','Request by Mr. Saqib Saleem 06-Mar-2024');</v>
      </c>
      <c r="H210" s="21" t="str">
        <f t="shared" si="15"/>
        <v>insert into ins_premium_det (premium_rcv_code,assorted_code, rec_amount,premium_rcv_detail_code,remaining_amt, payrec, mode_code,coinsurance_code,class_cd,it_remarks) values('06Mar250008','070000173883','54140',(select max(to_number(i.premium_rcv_detail_code))+1
from ins_premium_det i),'54140','54140','02', '11000003','00','Request by Mr. Saqib Saleem 06-Mar-2024');</v>
      </c>
    </row>
    <row r="211" spans="1:8" ht="89.25" x14ac:dyDescent="0.2">
      <c r="A211" s="2" t="s">
        <v>45</v>
      </c>
      <c r="B211" t="str">
        <f>VLOOKUP(A211,policy!B:C,2,0)</f>
        <v>070000174025</v>
      </c>
      <c r="C211" s="4">
        <v>70785</v>
      </c>
      <c r="D211" s="18">
        <f t="shared" si="13"/>
        <v>70785</v>
      </c>
      <c r="E211" s="22" t="s">
        <v>2340</v>
      </c>
      <c r="F211" s="19" t="str">
        <f t="shared" si="12"/>
        <v>insert into ins_premium_det (premium_rcv_code,assorted_code, rec_amount,premium_rcv_detail_code,remaining_amt, payrec, mode_code,coinsurance_code,class_cd,it_remarks) values</v>
      </c>
      <c r="G211" s="20" t="str">
        <f t="shared" si="14"/>
        <v>('06Mar250008','070000174025','70785',(select max(to_number(i.premium_rcv_detail_code))+1
from ins_premium_det i),'70785','70785','02', '11000003','00','Request by Mr. Saqib Saleem 06-Mar-2024');</v>
      </c>
      <c r="H211" s="21" t="str">
        <f t="shared" si="15"/>
        <v>insert into ins_premium_det (premium_rcv_code,assorted_code, rec_amount,premium_rcv_detail_code,remaining_amt, payrec, mode_code,coinsurance_code,class_cd,it_remarks) values('06Mar250008','070000174025','70785',(select max(to_number(i.premium_rcv_detail_code))+1
from ins_premium_det i),'70785','70785','02', '11000003','00','Request by Mr. Saqib Saleem 06-Mar-2024');</v>
      </c>
    </row>
    <row r="212" spans="1:8" ht="89.25" x14ac:dyDescent="0.2">
      <c r="A212" s="2" t="s">
        <v>118</v>
      </c>
      <c r="B212" t="str">
        <f>VLOOKUP(A212,policy!B:C,2,0)</f>
        <v>070000174455</v>
      </c>
      <c r="C212" s="4">
        <v>55980</v>
      </c>
      <c r="D212" s="18">
        <f t="shared" si="13"/>
        <v>55980</v>
      </c>
      <c r="E212" s="22" t="s">
        <v>2340</v>
      </c>
      <c r="F212" s="19" t="str">
        <f t="shared" si="12"/>
        <v>insert into ins_premium_det (premium_rcv_code,assorted_code, rec_amount,premium_rcv_detail_code,remaining_amt, payrec, mode_code,coinsurance_code,class_cd,it_remarks) values</v>
      </c>
      <c r="G212" s="20" t="str">
        <f t="shared" si="14"/>
        <v>('06Mar250008','070000174455','55980',(select max(to_number(i.premium_rcv_detail_code))+1
from ins_premium_det i),'55980','55980','02', '11000003','00','Request by Mr. Saqib Saleem 06-Mar-2024');</v>
      </c>
      <c r="H212" s="21" t="str">
        <f t="shared" si="15"/>
        <v>insert into ins_premium_det (premium_rcv_code,assorted_code, rec_amount,premium_rcv_detail_code,remaining_amt, payrec, mode_code,coinsurance_code,class_cd,it_remarks) values('06Mar250008','070000174455','55980',(select max(to_number(i.premium_rcv_detail_code))+1
from ins_premium_det i),'55980','55980','02', '11000003','00','Request by Mr. Saqib Saleem 06-Mar-2024');</v>
      </c>
    </row>
    <row r="213" spans="1:8" ht="89.25" x14ac:dyDescent="0.2">
      <c r="A213" s="2" t="s">
        <v>114</v>
      </c>
      <c r="B213" t="str">
        <f>VLOOKUP(A213,policy!B:C,2,0)</f>
        <v>070000173843</v>
      </c>
      <c r="C213" s="4">
        <v>70785</v>
      </c>
      <c r="D213" s="18">
        <f t="shared" si="13"/>
        <v>70785</v>
      </c>
      <c r="E213" s="22" t="s">
        <v>2340</v>
      </c>
      <c r="F213" s="19" t="str">
        <f t="shared" si="12"/>
        <v>insert into ins_premium_det (premium_rcv_code,assorted_code, rec_amount,premium_rcv_detail_code,remaining_amt, payrec, mode_code,coinsurance_code,class_cd,it_remarks) values</v>
      </c>
      <c r="G213" s="20" t="str">
        <f t="shared" si="14"/>
        <v>('06Mar250008','070000173843','70785',(select max(to_number(i.premium_rcv_detail_code))+1
from ins_premium_det i),'70785','70785','02', '11000003','00','Request by Mr. Saqib Saleem 06-Mar-2024');</v>
      </c>
      <c r="H213" s="21" t="str">
        <f t="shared" si="15"/>
        <v>insert into ins_premium_det (premium_rcv_code,assorted_code, rec_amount,premium_rcv_detail_code,remaining_amt, payrec, mode_code,coinsurance_code,class_cd,it_remarks) values('06Mar250008','070000173843','70785',(select max(to_number(i.premium_rcv_detail_code))+1
from ins_premium_det i),'70785','70785','02', '11000003','00','Request by Mr. Saqib Saleem 06-Mar-2024');</v>
      </c>
    </row>
    <row r="214" spans="1:8" ht="89.25" x14ac:dyDescent="0.2">
      <c r="A214" s="2" t="s">
        <v>121</v>
      </c>
      <c r="B214" t="str">
        <f>VLOOKUP(A214,policy!B:C,2,0)</f>
        <v>070000174501</v>
      </c>
      <c r="C214" s="4">
        <v>84000</v>
      </c>
      <c r="D214" s="18">
        <f t="shared" si="13"/>
        <v>84000</v>
      </c>
      <c r="E214" s="22" t="s">
        <v>2340</v>
      </c>
      <c r="F214" s="19" t="str">
        <f t="shared" si="12"/>
        <v>insert into ins_premium_det (premium_rcv_code,assorted_code, rec_amount,premium_rcv_detail_code,remaining_amt, payrec, mode_code,coinsurance_code,class_cd,it_remarks) values</v>
      </c>
      <c r="G214" s="20" t="str">
        <f t="shared" si="14"/>
        <v>('06Mar250008','070000174501','84000',(select max(to_number(i.premium_rcv_detail_code))+1
from ins_premium_det i),'84000','84000','02', '11000003','00','Request by Mr. Saqib Saleem 06-Mar-2024');</v>
      </c>
      <c r="H214" s="21" t="str">
        <f t="shared" si="15"/>
        <v>insert into ins_premium_det (premium_rcv_code,assorted_code, rec_amount,premium_rcv_detail_code,remaining_amt, payrec, mode_code,coinsurance_code,class_cd,it_remarks) values('06Mar250008','070000174501','84000',(select max(to_number(i.premium_rcv_detail_code))+1
from ins_premium_det i),'84000','84000','02', '11000003','00','Request by Mr. Saqib Saleem 06-Mar-2024');</v>
      </c>
    </row>
    <row r="215" spans="1:8" ht="89.25" x14ac:dyDescent="0.2">
      <c r="A215" s="2" t="s">
        <v>1032</v>
      </c>
      <c r="B215" t="str">
        <f>VLOOKUP(A215,policy!B:C,2,0)</f>
        <v>070000174045</v>
      </c>
      <c r="C215" s="4">
        <v>37120</v>
      </c>
      <c r="D215" s="18">
        <f t="shared" si="13"/>
        <v>37120</v>
      </c>
      <c r="E215" s="22" t="s">
        <v>2340</v>
      </c>
      <c r="F215" s="19" t="str">
        <f t="shared" si="12"/>
        <v>insert into ins_premium_det (premium_rcv_code,assorted_code, rec_amount,premium_rcv_detail_code,remaining_amt, payrec, mode_code,coinsurance_code,class_cd,it_remarks) values</v>
      </c>
      <c r="G215" s="20" t="str">
        <f t="shared" si="14"/>
        <v>('06Mar250008','070000174045','37120',(select max(to_number(i.premium_rcv_detail_code))+1
from ins_premium_det i),'37120','37120','02', '11000003','00','Request by Mr. Saqib Saleem 06-Mar-2024');</v>
      </c>
      <c r="H215" s="21" t="str">
        <f t="shared" si="15"/>
        <v>insert into ins_premium_det (premium_rcv_code,assorted_code, rec_amount,premium_rcv_detail_code,remaining_amt, payrec, mode_code,coinsurance_code,class_cd,it_remarks) values('06Mar250008','070000174045','37120',(select max(to_number(i.premium_rcv_detail_code))+1
from ins_premium_det i),'37120','37120','02', '11000003','00','Request by Mr. Saqib Saleem 06-Mar-2024');</v>
      </c>
    </row>
    <row r="216" spans="1:8" ht="89.25" x14ac:dyDescent="0.2">
      <c r="A216" s="2" t="s">
        <v>1035</v>
      </c>
      <c r="B216" t="str">
        <f>VLOOKUP(A216,policy!B:C,2,0)</f>
        <v>070000174088</v>
      </c>
      <c r="C216" s="4">
        <v>37120</v>
      </c>
      <c r="D216" s="18">
        <f t="shared" si="13"/>
        <v>37120</v>
      </c>
      <c r="E216" s="22" t="s">
        <v>2340</v>
      </c>
      <c r="F216" s="19" t="str">
        <f t="shared" si="12"/>
        <v>insert into ins_premium_det (premium_rcv_code,assorted_code, rec_amount,premium_rcv_detail_code,remaining_amt, payrec, mode_code,coinsurance_code,class_cd,it_remarks) values</v>
      </c>
      <c r="G216" s="20" t="str">
        <f t="shared" si="14"/>
        <v>('06Mar250008','070000174088','37120',(select max(to_number(i.premium_rcv_detail_code))+1
from ins_premium_det i),'37120','37120','02', '11000003','00','Request by Mr. Saqib Saleem 06-Mar-2024');</v>
      </c>
      <c r="H216" s="21" t="str">
        <f t="shared" si="15"/>
        <v>insert into ins_premium_det (premium_rcv_code,assorted_code, rec_amount,premium_rcv_detail_code,remaining_amt, payrec, mode_code,coinsurance_code,class_cd,it_remarks) values('06Mar250008','070000174088','37120',(select max(to_number(i.premium_rcv_detail_code))+1
from ins_premium_det i),'37120','37120','02', '11000003','00','Request by Mr. Saqib Saleem 06-Mar-2024');</v>
      </c>
    </row>
    <row r="217" spans="1:8" ht="89.25" x14ac:dyDescent="0.2">
      <c r="A217" s="2" t="s">
        <v>66</v>
      </c>
      <c r="B217" t="str">
        <f>VLOOKUP(A217,policy!B:C,2,0)</f>
        <v>070000174115</v>
      </c>
      <c r="C217" s="4">
        <v>49000</v>
      </c>
      <c r="D217" s="18">
        <f t="shared" si="13"/>
        <v>49000</v>
      </c>
      <c r="E217" s="22" t="s">
        <v>2340</v>
      </c>
      <c r="F217" s="19" t="str">
        <f t="shared" si="12"/>
        <v>insert into ins_premium_det (premium_rcv_code,assorted_code, rec_amount,premium_rcv_detail_code,remaining_amt, payrec, mode_code,coinsurance_code,class_cd,it_remarks) values</v>
      </c>
      <c r="G217" s="20" t="str">
        <f t="shared" si="14"/>
        <v>('06Mar250008','070000174115','49000',(select max(to_number(i.premium_rcv_detail_code))+1
from ins_premium_det i),'49000','49000','02', '11000003','00','Request by Mr. Saqib Saleem 06-Mar-2024');</v>
      </c>
      <c r="H217" s="21" t="str">
        <f t="shared" si="15"/>
        <v>insert into ins_premium_det (premium_rcv_code,assorted_code, rec_amount,premium_rcv_detail_code,remaining_amt, payrec, mode_code,coinsurance_code,class_cd,it_remarks) values('06Mar250008','070000174115','49000',(select max(to_number(i.premium_rcv_detail_code))+1
from ins_premium_det i),'49000','49000','02', '11000003','00','Request by Mr. Saqib Saleem 06-Mar-2024');</v>
      </c>
    </row>
    <row r="218" spans="1:8" ht="89.25" x14ac:dyDescent="0.2">
      <c r="A218" s="2" t="s">
        <v>63</v>
      </c>
      <c r="B218" t="str">
        <f>VLOOKUP(A218,policy!B:C,2,0)</f>
        <v>070000174113</v>
      </c>
      <c r="C218" s="4">
        <v>54140</v>
      </c>
      <c r="D218" s="18">
        <f t="shared" si="13"/>
        <v>54140</v>
      </c>
      <c r="E218" s="22" t="s">
        <v>2340</v>
      </c>
      <c r="F218" s="19" t="str">
        <f t="shared" si="12"/>
        <v>insert into ins_premium_det (premium_rcv_code,assorted_code, rec_amount,premium_rcv_detail_code,remaining_amt, payrec, mode_code,coinsurance_code,class_cd,it_remarks) values</v>
      </c>
      <c r="G218" s="20" t="str">
        <f t="shared" si="14"/>
        <v>('06Mar250008','070000174113','54140',(select max(to_number(i.premium_rcv_detail_code))+1
from ins_premium_det i),'54140','54140','02', '11000003','00','Request by Mr. Saqib Saleem 06-Mar-2024');</v>
      </c>
      <c r="H218" s="21" t="str">
        <f t="shared" si="15"/>
        <v>insert into ins_premium_det (premium_rcv_code,assorted_code, rec_amount,premium_rcv_detail_code,remaining_amt, payrec, mode_code,coinsurance_code,class_cd,it_remarks) values('06Mar250008','070000174113','54140',(select max(to_number(i.premium_rcv_detail_code))+1
from ins_premium_det i),'54140','54140','02', '11000003','00','Request by Mr. Saqib Saleem 06-Mar-2024');</v>
      </c>
    </row>
    <row r="219" spans="1:8" ht="89.25" x14ac:dyDescent="0.2">
      <c r="A219" s="2" t="s">
        <v>148</v>
      </c>
      <c r="B219" t="str">
        <f>VLOOKUP(A219,policy!B:C,2,0)</f>
        <v>070000175134</v>
      </c>
      <c r="C219" s="4">
        <v>52500</v>
      </c>
      <c r="D219" s="18">
        <f t="shared" si="13"/>
        <v>52500</v>
      </c>
      <c r="E219" s="22" t="s">
        <v>2340</v>
      </c>
      <c r="F219" s="19" t="str">
        <f t="shared" si="12"/>
        <v>insert into ins_premium_det (premium_rcv_code,assorted_code, rec_amount,premium_rcv_detail_code,remaining_amt, payrec, mode_code,coinsurance_code,class_cd,it_remarks) values</v>
      </c>
      <c r="G219" s="20" t="str">
        <f t="shared" si="14"/>
        <v>('06Mar250008','070000175134','52500',(select max(to_number(i.premium_rcv_detail_code))+1
from ins_premium_det i),'52500','52500','02', '11000003','00','Request by Mr. Saqib Saleem 06-Mar-2024');</v>
      </c>
      <c r="H219" s="21" t="str">
        <f t="shared" si="15"/>
        <v>insert into ins_premium_det (premium_rcv_code,assorted_code, rec_amount,premium_rcv_detail_code,remaining_amt, payrec, mode_code,coinsurance_code,class_cd,it_remarks) values('06Mar250008','070000175134','52500',(select max(to_number(i.premium_rcv_detail_code))+1
from ins_premium_det i),'52500','52500','02', '11000003','00','Request by Mr. Saqib Saleem 06-Mar-2024');</v>
      </c>
    </row>
    <row r="220" spans="1:8" ht="89.25" x14ac:dyDescent="0.2">
      <c r="A220" s="2" t="s">
        <v>83</v>
      </c>
      <c r="B220" t="str">
        <f>VLOOKUP(A220,policy!B:C,2,0)</f>
        <v>070000174163</v>
      </c>
      <c r="C220" s="4">
        <v>54000</v>
      </c>
      <c r="D220" s="18">
        <f t="shared" si="13"/>
        <v>54000</v>
      </c>
      <c r="E220" s="22" t="s">
        <v>2340</v>
      </c>
      <c r="F220" s="19" t="str">
        <f t="shared" si="12"/>
        <v>insert into ins_premium_det (premium_rcv_code,assorted_code, rec_amount,premium_rcv_detail_code,remaining_amt, payrec, mode_code,coinsurance_code,class_cd,it_remarks) values</v>
      </c>
      <c r="G220" s="20" t="str">
        <f t="shared" si="14"/>
        <v>('06Mar250008','070000174163','54000',(select max(to_number(i.premium_rcv_detail_code))+1
from ins_premium_det i),'54000','54000','02', '11000003','00','Request by Mr. Saqib Saleem 06-Mar-2024');</v>
      </c>
      <c r="H220" s="21" t="str">
        <f t="shared" si="15"/>
        <v>insert into ins_premium_det (premium_rcv_code,assorted_code, rec_amount,premium_rcv_detail_code,remaining_amt, payrec, mode_code,coinsurance_code,class_cd,it_remarks) values('06Mar250008','070000174163','54000',(select max(to_number(i.premium_rcv_detail_code))+1
from ins_premium_det i),'54000','54000','02', '11000003','00','Request by Mr. Saqib Saleem 06-Mar-2024');</v>
      </c>
    </row>
    <row r="221" spans="1:8" ht="89.25" x14ac:dyDescent="0.2">
      <c r="A221" s="2" t="s">
        <v>59</v>
      </c>
      <c r="B221" t="str">
        <f>VLOOKUP(A221,policy!B:C,2,0)</f>
        <v>070000174112</v>
      </c>
      <c r="C221" s="4">
        <v>44000</v>
      </c>
      <c r="D221" s="18">
        <f t="shared" si="13"/>
        <v>44000</v>
      </c>
      <c r="E221" s="22" t="s">
        <v>2340</v>
      </c>
      <c r="F221" s="19" t="str">
        <f t="shared" si="12"/>
        <v>insert into ins_premium_det (premium_rcv_code,assorted_code, rec_amount,premium_rcv_detail_code,remaining_amt, payrec, mode_code,coinsurance_code,class_cd,it_remarks) values</v>
      </c>
      <c r="G221" s="20" t="str">
        <f t="shared" si="14"/>
        <v>('06Mar250008','070000174112','44000',(select max(to_number(i.premium_rcv_detail_code))+1
from ins_premium_det i),'44000','44000','02', '11000003','00','Request by Mr. Saqib Saleem 06-Mar-2024');</v>
      </c>
      <c r="H221" s="21" t="str">
        <f t="shared" si="15"/>
        <v>insert into ins_premium_det (premium_rcv_code,assorted_code, rec_amount,premium_rcv_detail_code,remaining_amt, payrec, mode_code,coinsurance_code,class_cd,it_remarks) values('06Mar250008','070000174112','44000',(select max(to_number(i.premium_rcv_detail_code))+1
from ins_premium_det i),'44000','44000','02', '11000003','00','Request by Mr. Saqib Saleem 06-Mar-2024');</v>
      </c>
    </row>
    <row r="222" spans="1:8" ht="89.25" x14ac:dyDescent="0.2">
      <c r="A222" s="2" t="s">
        <v>217</v>
      </c>
      <c r="B222" t="str">
        <f>VLOOKUP(A222,policy!B:C,2,0)</f>
        <v>070000176357</v>
      </c>
      <c r="C222" s="4">
        <v>64000</v>
      </c>
      <c r="D222" s="18">
        <f t="shared" si="13"/>
        <v>64000</v>
      </c>
      <c r="E222" s="22" t="s">
        <v>2340</v>
      </c>
      <c r="F222" s="19" t="str">
        <f t="shared" si="12"/>
        <v>insert into ins_premium_det (premium_rcv_code,assorted_code, rec_amount,premium_rcv_detail_code,remaining_amt, payrec, mode_code,coinsurance_code,class_cd,it_remarks) values</v>
      </c>
      <c r="G222" s="20" t="str">
        <f t="shared" si="14"/>
        <v>('06Mar250008','070000176357','64000',(select max(to_number(i.premium_rcv_detail_code))+1
from ins_premium_det i),'64000','64000','02', '11000003','00','Request by Mr. Saqib Saleem 06-Mar-2024');</v>
      </c>
      <c r="H222" s="21" t="str">
        <f t="shared" si="15"/>
        <v>insert into ins_premium_det (premium_rcv_code,assorted_code, rec_amount,premium_rcv_detail_code,remaining_amt, payrec, mode_code,coinsurance_code,class_cd,it_remarks) values('06Mar250008','070000176357','64000',(select max(to_number(i.premium_rcv_detail_code))+1
from ins_premium_det i),'64000','64000','02', '11000003','00','Request by Mr. Saqib Saleem 06-Mar-2024');</v>
      </c>
    </row>
    <row r="223" spans="1:8" ht="89.25" x14ac:dyDescent="0.2">
      <c r="A223" s="2" t="s">
        <v>49</v>
      </c>
      <c r="B223" t="str">
        <f>VLOOKUP(A223,policy!B:C,2,0)</f>
        <v>070000174086</v>
      </c>
      <c r="C223" s="4">
        <v>60900</v>
      </c>
      <c r="D223" s="18">
        <f t="shared" si="13"/>
        <v>60900</v>
      </c>
      <c r="E223" s="22" t="s">
        <v>2340</v>
      </c>
      <c r="F223" s="19" t="str">
        <f t="shared" si="12"/>
        <v>insert into ins_premium_det (premium_rcv_code,assorted_code, rec_amount,premium_rcv_detail_code,remaining_amt, payrec, mode_code,coinsurance_code,class_cd,it_remarks) values</v>
      </c>
      <c r="G223" s="20" t="str">
        <f t="shared" si="14"/>
        <v>('06Mar250008','070000174086','60900',(select max(to_number(i.premium_rcv_detail_code))+1
from ins_premium_det i),'60900','60900','02', '11000003','00','Request by Mr. Saqib Saleem 06-Mar-2024');</v>
      </c>
      <c r="H223" s="21" t="str">
        <f t="shared" si="15"/>
        <v>insert into ins_premium_det (premium_rcv_code,assorted_code, rec_amount,premium_rcv_detail_code,remaining_amt, payrec, mode_code,coinsurance_code,class_cd,it_remarks) values('06Mar250008','070000174086','60900',(select max(to_number(i.premium_rcv_detail_code))+1
from ins_premium_det i),'60900','60900','02', '11000003','00','Request by Mr. Saqib Saleem 06-Mar-2024');</v>
      </c>
    </row>
    <row r="224" spans="1:8" ht="89.25" x14ac:dyDescent="0.2">
      <c r="A224" s="2" t="s">
        <v>91</v>
      </c>
      <c r="B224" t="str">
        <f>VLOOKUP(A224,policy!B:C,2,0)</f>
        <v>070000174198</v>
      </c>
      <c r="C224" s="4">
        <v>54000</v>
      </c>
      <c r="D224" s="18">
        <f t="shared" si="13"/>
        <v>54000</v>
      </c>
      <c r="E224" s="22" t="s">
        <v>2340</v>
      </c>
      <c r="F224" s="19" t="str">
        <f t="shared" si="12"/>
        <v>insert into ins_premium_det (premium_rcv_code,assorted_code, rec_amount,premium_rcv_detail_code,remaining_amt, payrec, mode_code,coinsurance_code,class_cd,it_remarks) values</v>
      </c>
      <c r="G224" s="20" t="str">
        <f t="shared" si="14"/>
        <v>('06Mar250008','070000174198','54000',(select max(to_number(i.premium_rcv_detail_code))+1
from ins_premium_det i),'54000','54000','02', '11000003','00','Request by Mr. Saqib Saleem 06-Mar-2024');</v>
      </c>
      <c r="H224" s="21" t="str">
        <f t="shared" si="15"/>
        <v>insert into ins_premium_det (premium_rcv_code,assorted_code, rec_amount,premium_rcv_detail_code,remaining_amt, payrec, mode_code,coinsurance_code,class_cd,it_remarks) values('06Mar250008','070000174198','54000',(select max(to_number(i.premium_rcv_detail_code))+1
from ins_premium_det i),'54000','54000','02', '11000003','00','Request by Mr. Saqib Saleem 06-Mar-2024');</v>
      </c>
    </row>
    <row r="225" spans="1:8" ht="89.25" x14ac:dyDescent="0.2">
      <c r="A225" s="2" t="s">
        <v>133</v>
      </c>
      <c r="B225" t="str">
        <f>VLOOKUP(A225,policy!B:C,2,0)</f>
        <v>070000174992</v>
      </c>
      <c r="C225" s="4">
        <v>46000</v>
      </c>
      <c r="D225" s="18">
        <f t="shared" si="13"/>
        <v>46000</v>
      </c>
      <c r="E225" s="22" t="s">
        <v>2340</v>
      </c>
      <c r="F225" s="19" t="str">
        <f t="shared" si="12"/>
        <v>insert into ins_premium_det (premium_rcv_code,assorted_code, rec_amount,premium_rcv_detail_code,remaining_amt, payrec, mode_code,coinsurance_code,class_cd,it_remarks) values</v>
      </c>
      <c r="G225" s="20" t="str">
        <f t="shared" si="14"/>
        <v>('06Mar250008','070000174992','46000',(select max(to_number(i.premium_rcv_detail_code))+1
from ins_premium_det i),'46000','46000','02', '11000003','00','Request by Mr. Saqib Saleem 06-Mar-2024');</v>
      </c>
      <c r="H225" s="21" t="str">
        <f t="shared" si="15"/>
        <v>insert into ins_premium_det (premium_rcv_code,assorted_code, rec_amount,premium_rcv_detail_code,remaining_amt, payrec, mode_code,coinsurance_code,class_cd,it_remarks) values('06Mar250008','070000174992','46000',(select max(to_number(i.premium_rcv_detail_code))+1
from ins_premium_det i),'46000','46000','02', '11000003','00','Request by Mr. Saqib Saleem 06-Mar-2024');</v>
      </c>
    </row>
    <row r="226" spans="1:8" ht="89.25" x14ac:dyDescent="0.2">
      <c r="A226" s="2" t="s">
        <v>41</v>
      </c>
      <c r="B226" t="str">
        <f>VLOOKUP(A226,policy!B:C,2,0)</f>
        <v>070000174010</v>
      </c>
      <c r="C226" s="4">
        <v>55980</v>
      </c>
      <c r="D226" s="18">
        <f t="shared" si="13"/>
        <v>55980</v>
      </c>
      <c r="E226" s="22" t="s">
        <v>2340</v>
      </c>
      <c r="F226" s="19" t="str">
        <f t="shared" si="12"/>
        <v>insert into ins_premium_det (premium_rcv_code,assorted_code, rec_amount,premium_rcv_detail_code,remaining_amt, payrec, mode_code,coinsurance_code,class_cd,it_remarks) values</v>
      </c>
      <c r="G226" s="20" t="str">
        <f t="shared" si="14"/>
        <v>('06Mar250008','070000174010','55980',(select max(to_number(i.premium_rcv_detail_code))+1
from ins_premium_det i),'55980','55980','02', '11000003','00','Request by Mr. Saqib Saleem 06-Mar-2024');</v>
      </c>
      <c r="H226" s="21" t="str">
        <f t="shared" si="15"/>
        <v>insert into ins_premium_det (premium_rcv_code,assorted_code, rec_amount,premium_rcv_detail_code,remaining_amt, payrec, mode_code,coinsurance_code,class_cd,it_remarks) values('06Mar250008','070000174010','55980',(select max(to_number(i.premium_rcv_detail_code))+1
from ins_premium_det i),'55980','55980','02', '11000003','00','Request by Mr. Saqib Saleem 06-Mar-2024');</v>
      </c>
    </row>
    <row r="227" spans="1:8" ht="89.25" x14ac:dyDescent="0.2">
      <c r="A227" s="2" t="s">
        <v>87</v>
      </c>
      <c r="B227" t="str">
        <f>VLOOKUP(A227,policy!B:C,2,0)</f>
        <v>070000174182</v>
      </c>
      <c r="C227" s="4">
        <v>70500</v>
      </c>
      <c r="D227" s="18">
        <f t="shared" si="13"/>
        <v>70500</v>
      </c>
      <c r="E227" s="22" t="s">
        <v>2340</v>
      </c>
      <c r="F227" s="19" t="str">
        <f t="shared" si="12"/>
        <v>insert into ins_premium_det (premium_rcv_code,assorted_code, rec_amount,premium_rcv_detail_code,remaining_amt, payrec, mode_code,coinsurance_code,class_cd,it_remarks) values</v>
      </c>
      <c r="G227" s="20" t="str">
        <f t="shared" si="14"/>
        <v>('06Mar250008','070000174182','70500',(select max(to_number(i.premium_rcv_detail_code))+1
from ins_premium_det i),'70500','70500','02', '11000003','00','Request by Mr. Saqib Saleem 06-Mar-2024');</v>
      </c>
      <c r="H227" s="21" t="str">
        <f t="shared" si="15"/>
        <v>insert into ins_premium_det (premium_rcv_code,assorted_code, rec_amount,premium_rcv_detail_code,remaining_amt, payrec, mode_code,coinsurance_code,class_cd,it_remarks) values('06Mar250008','070000174182','70500',(select max(to_number(i.premium_rcv_detail_code))+1
from ins_premium_det i),'70500','70500','02', '11000003','00','Request by Mr. Saqib Saleem 06-Mar-2024');</v>
      </c>
    </row>
    <row r="228" spans="1:8" ht="89.25" x14ac:dyDescent="0.2">
      <c r="A228" s="2" t="s">
        <v>161</v>
      </c>
      <c r="B228" t="str">
        <f>VLOOKUP(A228,policy!B:C,2,0)</f>
        <v>070000175510</v>
      </c>
      <c r="C228" s="4">
        <v>60900</v>
      </c>
      <c r="D228" s="18">
        <f t="shared" si="13"/>
        <v>60900</v>
      </c>
      <c r="E228" s="22" t="s">
        <v>2340</v>
      </c>
      <c r="F228" s="19" t="str">
        <f t="shared" si="12"/>
        <v>insert into ins_premium_det (premium_rcv_code,assorted_code, rec_amount,premium_rcv_detail_code,remaining_amt, payrec, mode_code,coinsurance_code,class_cd,it_remarks) values</v>
      </c>
      <c r="G228" s="20" t="str">
        <f t="shared" si="14"/>
        <v>('06Mar250008','070000175510','60900',(select max(to_number(i.premium_rcv_detail_code))+1
from ins_premium_det i),'60900','60900','02', '11000003','00','Request by Mr. Saqib Saleem 06-Mar-2024');</v>
      </c>
      <c r="H228" s="21" t="str">
        <f t="shared" si="15"/>
        <v>insert into ins_premium_det (premium_rcv_code,assorted_code, rec_amount,premium_rcv_detail_code,remaining_amt, payrec, mode_code,coinsurance_code,class_cd,it_remarks) values('06Mar250008','070000175510','60900',(select max(to_number(i.premium_rcv_detail_code))+1
from ins_premium_det i),'60900','60900','02', '11000003','00','Request by Mr. Saqib Saleem 06-Mar-2024');</v>
      </c>
    </row>
    <row r="229" spans="1:8" ht="89.25" x14ac:dyDescent="0.2">
      <c r="A229" s="2" t="s">
        <v>152</v>
      </c>
      <c r="B229" t="str">
        <f>VLOOKUP(A229,policy!B:C,2,0)</f>
        <v>070000175466</v>
      </c>
      <c r="C229" s="4">
        <v>63000</v>
      </c>
      <c r="D229" s="18">
        <f t="shared" si="13"/>
        <v>63000</v>
      </c>
      <c r="E229" s="22" t="s">
        <v>2340</v>
      </c>
      <c r="F229" s="19" t="str">
        <f t="shared" si="12"/>
        <v>insert into ins_premium_det (premium_rcv_code,assorted_code, rec_amount,premium_rcv_detail_code,remaining_amt, payrec, mode_code,coinsurance_code,class_cd,it_remarks) values</v>
      </c>
      <c r="G229" s="20" t="str">
        <f t="shared" si="14"/>
        <v>('06Mar250008','070000175466','63000',(select max(to_number(i.premium_rcv_detail_code))+1
from ins_premium_det i),'63000','63000','02', '11000003','00','Request by Mr. Saqib Saleem 06-Mar-2024');</v>
      </c>
      <c r="H229" s="21" t="str">
        <f t="shared" si="15"/>
        <v>insert into ins_premium_det (premium_rcv_code,assorted_code, rec_amount,premium_rcv_detail_code,remaining_amt, payrec, mode_code,coinsurance_code,class_cd,it_remarks) values('06Mar250008','070000175466','63000',(select max(to_number(i.premium_rcv_detail_code))+1
from ins_premium_det i),'63000','63000','02', '11000003','00','Request by Mr. Saqib Saleem 06-Mar-2024');</v>
      </c>
    </row>
    <row r="230" spans="1:8" ht="89.25" x14ac:dyDescent="0.2">
      <c r="A230" s="2" t="s">
        <v>137</v>
      </c>
      <c r="B230" t="str">
        <f>VLOOKUP(A230,policy!B:C,2,0)</f>
        <v>070000174996</v>
      </c>
      <c r="C230" s="4">
        <v>46000</v>
      </c>
      <c r="D230" s="18">
        <f t="shared" si="13"/>
        <v>46000</v>
      </c>
      <c r="E230" s="22" t="s">
        <v>2340</v>
      </c>
      <c r="F230" s="19" t="str">
        <f t="shared" si="12"/>
        <v>insert into ins_premium_det (premium_rcv_code,assorted_code, rec_amount,premium_rcv_detail_code,remaining_amt, payrec, mode_code,coinsurance_code,class_cd,it_remarks) values</v>
      </c>
      <c r="G230" s="20" t="str">
        <f t="shared" si="14"/>
        <v>('06Mar250008','070000174996','46000',(select max(to_number(i.premium_rcv_detail_code))+1
from ins_premium_det i),'46000','46000','02', '11000003','00','Request by Mr. Saqib Saleem 06-Mar-2024');</v>
      </c>
      <c r="H230" s="21" t="str">
        <f t="shared" si="15"/>
        <v>insert into ins_premium_det (premium_rcv_code,assorted_code, rec_amount,premium_rcv_detail_code,remaining_amt, payrec, mode_code,coinsurance_code,class_cd,it_remarks) values('06Mar250008','070000174996','46000',(select max(to_number(i.premium_rcv_detail_code))+1
from ins_premium_det i),'46000','46000','02', '11000003','00','Request by Mr. Saqib Saleem 06-Mar-2024');</v>
      </c>
    </row>
    <row r="231" spans="1:8" ht="89.25" x14ac:dyDescent="0.2">
      <c r="A231" s="2" t="s">
        <v>99</v>
      </c>
      <c r="B231" t="str">
        <f>VLOOKUP(A231,policy!B:C,2,0)</f>
        <v>070000174405</v>
      </c>
      <c r="C231" s="4">
        <v>82500</v>
      </c>
      <c r="D231" s="18">
        <f t="shared" si="13"/>
        <v>82500</v>
      </c>
      <c r="E231" s="22" t="s">
        <v>2340</v>
      </c>
      <c r="F231" s="19" t="str">
        <f t="shared" si="12"/>
        <v>insert into ins_premium_det (premium_rcv_code,assorted_code, rec_amount,premium_rcv_detail_code,remaining_amt, payrec, mode_code,coinsurance_code,class_cd,it_remarks) values</v>
      </c>
      <c r="G231" s="20" t="str">
        <f t="shared" si="14"/>
        <v>('06Mar250008','070000174405','82500',(select max(to_number(i.premium_rcv_detail_code))+1
from ins_premium_det i),'82500','82500','02', '11000003','00','Request by Mr. Saqib Saleem 06-Mar-2024');</v>
      </c>
      <c r="H231" s="21" t="str">
        <f t="shared" si="15"/>
        <v>insert into ins_premium_det (premium_rcv_code,assorted_code, rec_amount,premium_rcv_detail_code,remaining_amt, payrec, mode_code,coinsurance_code,class_cd,it_remarks) values('06Mar250008','070000174405','82500',(select max(to_number(i.premium_rcv_detail_code))+1
from ins_premium_det i),'82500','82500','02', '11000003','00','Request by Mr. Saqib Saleem 06-Mar-2024');</v>
      </c>
    </row>
    <row r="232" spans="1:8" ht="89.25" x14ac:dyDescent="0.2">
      <c r="A232" s="2" t="s">
        <v>52</v>
      </c>
      <c r="B232" t="str">
        <f>VLOOKUP(A232,policy!B:C,2,0)</f>
        <v>070000174089</v>
      </c>
      <c r="C232" s="4">
        <v>118935</v>
      </c>
      <c r="D232" s="18">
        <f t="shared" si="13"/>
        <v>118935</v>
      </c>
      <c r="E232" s="22" t="s">
        <v>2340</v>
      </c>
      <c r="F232" s="19" t="str">
        <f t="shared" si="12"/>
        <v>insert into ins_premium_det (premium_rcv_code,assorted_code, rec_amount,premium_rcv_detail_code,remaining_amt, payrec, mode_code,coinsurance_code,class_cd,it_remarks) values</v>
      </c>
      <c r="G232" s="20" t="str">
        <f t="shared" si="14"/>
        <v>('06Mar250008','070000174089','118935',(select max(to_number(i.premium_rcv_detail_code))+1
from ins_premium_det i),'118935','118935','02', '11000003','00','Request by Mr. Saqib Saleem 06-Mar-2024');</v>
      </c>
      <c r="H232" s="21" t="str">
        <f t="shared" si="15"/>
        <v>insert into ins_premium_det (premium_rcv_code,assorted_code, rec_amount,premium_rcv_detail_code,remaining_amt, payrec, mode_code,coinsurance_code,class_cd,it_remarks) values('06Mar250008','070000174089','118935',(select max(to_number(i.premium_rcv_detail_code))+1
from ins_premium_det i),'118935','118935','02', '11000003','00','Request by Mr. Saqib Saleem 06-Mar-2024');</v>
      </c>
    </row>
    <row r="233" spans="1:8" ht="89.25" x14ac:dyDescent="0.2">
      <c r="A233" s="2" t="s">
        <v>103</v>
      </c>
      <c r="B233" t="str">
        <f>VLOOKUP(A233,policy!B:C,2,0)</f>
        <v>070000174428</v>
      </c>
      <c r="C233" s="4">
        <v>60900</v>
      </c>
      <c r="D233" s="18">
        <f t="shared" si="13"/>
        <v>60900</v>
      </c>
      <c r="E233" s="22" t="s">
        <v>2340</v>
      </c>
      <c r="F233" s="19" t="str">
        <f t="shared" si="12"/>
        <v>insert into ins_premium_det (premium_rcv_code,assorted_code, rec_amount,premium_rcv_detail_code,remaining_amt, payrec, mode_code,coinsurance_code,class_cd,it_remarks) values</v>
      </c>
      <c r="G233" s="20" t="str">
        <f t="shared" si="14"/>
        <v>('06Mar250008','070000174428','60900',(select max(to_number(i.premium_rcv_detail_code))+1
from ins_premium_det i),'60900','60900','02', '11000003','00','Request by Mr. Saqib Saleem 06-Mar-2024');</v>
      </c>
      <c r="H233" s="21" t="str">
        <f t="shared" si="15"/>
        <v>insert into ins_premium_det (premium_rcv_code,assorted_code, rec_amount,premium_rcv_detail_code,remaining_amt, payrec, mode_code,coinsurance_code,class_cd,it_remarks) values('06Mar250008','070000174428','60900',(select max(to_number(i.premium_rcv_detail_code))+1
from ins_premium_det i),'60900','60900','02', '11000003','00','Request by Mr. Saqib Saleem 06-Mar-2024');</v>
      </c>
    </row>
    <row r="234" spans="1:8" ht="89.25" x14ac:dyDescent="0.2">
      <c r="A234" s="2" t="s">
        <v>157</v>
      </c>
      <c r="B234" t="str">
        <f>VLOOKUP(A234,policy!B:C,2,0)</f>
        <v>070000173845</v>
      </c>
      <c r="C234" s="4">
        <v>60000</v>
      </c>
      <c r="D234" s="18">
        <f t="shared" si="13"/>
        <v>60000</v>
      </c>
      <c r="E234" s="22" t="s">
        <v>2340</v>
      </c>
      <c r="F234" s="19" t="str">
        <f t="shared" si="12"/>
        <v>insert into ins_premium_det (premium_rcv_code,assorted_code, rec_amount,premium_rcv_detail_code,remaining_amt, payrec, mode_code,coinsurance_code,class_cd,it_remarks) values</v>
      </c>
      <c r="G234" s="20" t="str">
        <f t="shared" si="14"/>
        <v>('06Mar250008','070000173845','60000',(select max(to_number(i.premium_rcv_detail_code))+1
from ins_premium_det i),'60000','60000','02', '11000003','00','Request by Mr. Saqib Saleem 06-Mar-2024');</v>
      </c>
      <c r="H234" s="21" t="str">
        <f t="shared" si="15"/>
        <v>insert into ins_premium_det (premium_rcv_code,assorted_code, rec_amount,premium_rcv_detail_code,remaining_amt, payrec, mode_code,coinsurance_code,class_cd,it_remarks) values('06Mar250008','070000173845','60000',(select max(to_number(i.premium_rcv_detail_code))+1
from ins_premium_det i),'60000','60000','02', '11000003','00','Request by Mr. Saqib Saleem 06-Mar-2024');</v>
      </c>
    </row>
    <row r="235" spans="1:8" ht="89.25" x14ac:dyDescent="0.2">
      <c r="A235" s="2" t="s">
        <v>191</v>
      </c>
      <c r="B235" t="str">
        <f>VLOOKUP(A235,policy!B:C,2,0)</f>
        <v>070000176319</v>
      </c>
      <c r="C235" s="4">
        <v>56000</v>
      </c>
      <c r="D235" s="18">
        <f t="shared" si="13"/>
        <v>56000</v>
      </c>
      <c r="E235" s="22" t="s">
        <v>2340</v>
      </c>
      <c r="F235" s="19" t="str">
        <f t="shared" si="12"/>
        <v>insert into ins_premium_det (premium_rcv_code,assorted_code, rec_amount,premium_rcv_detail_code,remaining_amt, payrec, mode_code,coinsurance_code,class_cd,it_remarks) values</v>
      </c>
      <c r="G235" s="20" t="str">
        <f t="shared" si="14"/>
        <v>('06Mar250008','070000176319','56000',(select max(to_number(i.premium_rcv_detail_code))+1
from ins_premium_det i),'56000','56000','02', '11000003','00','Request by Mr. Saqib Saleem 06-Mar-2024');</v>
      </c>
      <c r="H235" s="21" t="str">
        <f t="shared" si="15"/>
        <v>insert into ins_premium_det (premium_rcv_code,assorted_code, rec_amount,premium_rcv_detail_code,remaining_amt, payrec, mode_code,coinsurance_code,class_cd,it_remarks) values('06Mar250008','070000176319','56000',(select max(to_number(i.premium_rcv_detail_code))+1
from ins_premium_det i),'56000','56000','02', '11000003','00','Request by Mr. Saqib Saleem 06-Mar-2024');</v>
      </c>
    </row>
    <row r="236" spans="1:8" ht="89.25" x14ac:dyDescent="0.2">
      <c r="A236" s="2" t="s">
        <v>195</v>
      </c>
      <c r="B236" t="str">
        <f>VLOOKUP(A236,policy!B:C,2,0)</f>
        <v>070000176322</v>
      </c>
      <c r="C236" s="4">
        <v>70785</v>
      </c>
      <c r="D236" s="18">
        <f t="shared" si="13"/>
        <v>70785</v>
      </c>
      <c r="E236" s="22" t="s">
        <v>2340</v>
      </c>
      <c r="F236" s="19" t="str">
        <f t="shared" si="12"/>
        <v>insert into ins_premium_det (premium_rcv_code,assorted_code, rec_amount,premium_rcv_detail_code,remaining_amt, payrec, mode_code,coinsurance_code,class_cd,it_remarks) values</v>
      </c>
      <c r="G236" s="20" t="str">
        <f t="shared" si="14"/>
        <v>('06Mar250008','070000176322','70785',(select max(to_number(i.premium_rcv_detail_code))+1
from ins_premium_det i),'70785','70785','02', '11000003','00','Request by Mr. Saqib Saleem 06-Mar-2024');</v>
      </c>
      <c r="H236" s="21" t="str">
        <f t="shared" si="15"/>
        <v>insert into ins_premium_det (premium_rcv_code,assorted_code, rec_amount,premium_rcv_detail_code,remaining_amt, payrec, mode_code,coinsurance_code,class_cd,it_remarks) values('06Mar250008','070000176322','70785',(select max(to_number(i.premium_rcv_detail_code))+1
from ins_premium_det i),'70785','70785','02', '11000003','00','Request by Mr. Saqib Saleem 06-Mar-2024');</v>
      </c>
    </row>
    <row r="237" spans="1:8" ht="89.25" x14ac:dyDescent="0.2">
      <c r="A237" s="2" t="s">
        <v>203</v>
      </c>
      <c r="B237" t="str">
        <f>VLOOKUP(A237,policy!B:C,2,0)</f>
        <v>070000176332</v>
      </c>
      <c r="C237" s="4">
        <v>55980</v>
      </c>
      <c r="D237" s="18">
        <f t="shared" si="13"/>
        <v>55980</v>
      </c>
      <c r="E237" s="22" t="s">
        <v>2340</v>
      </c>
      <c r="F237" s="19" t="str">
        <f t="shared" si="12"/>
        <v>insert into ins_premium_det (premium_rcv_code,assorted_code, rec_amount,premium_rcv_detail_code,remaining_amt, payrec, mode_code,coinsurance_code,class_cd,it_remarks) values</v>
      </c>
      <c r="G237" s="20" t="str">
        <f t="shared" si="14"/>
        <v>('06Mar250008','070000176332','55980',(select max(to_number(i.premium_rcv_detail_code))+1
from ins_premium_det i),'55980','55980','02', '11000003','00','Request by Mr. Saqib Saleem 06-Mar-2024');</v>
      </c>
      <c r="H237" s="21" t="str">
        <f t="shared" si="15"/>
        <v>insert into ins_premium_det (premium_rcv_code,assorted_code, rec_amount,premium_rcv_detail_code,remaining_amt, payrec, mode_code,coinsurance_code,class_cd,it_remarks) values('06Mar250008','070000176332','55980',(select max(to_number(i.premium_rcv_detail_code))+1
from ins_premium_det i),'55980','55980','02', '11000003','00','Request by Mr. Saqib Saleem 06-Mar-2024');</v>
      </c>
    </row>
    <row r="238" spans="1:8" ht="89.25" x14ac:dyDescent="0.2">
      <c r="A238" s="2" t="s">
        <v>144</v>
      </c>
      <c r="B238" t="str">
        <f>VLOOKUP(A238,policy!B:C,2,0)</f>
        <v>070000175117</v>
      </c>
      <c r="C238" s="4">
        <v>99615</v>
      </c>
      <c r="D238" s="18">
        <f t="shared" si="13"/>
        <v>99615</v>
      </c>
      <c r="E238" s="22" t="s">
        <v>2340</v>
      </c>
      <c r="F238" s="19" t="str">
        <f t="shared" si="12"/>
        <v>insert into ins_premium_det (premium_rcv_code,assorted_code, rec_amount,premium_rcv_detail_code,remaining_amt, payrec, mode_code,coinsurance_code,class_cd,it_remarks) values</v>
      </c>
      <c r="G238" s="20" t="str">
        <f t="shared" si="14"/>
        <v>('06Mar250008','070000175117','99615',(select max(to_number(i.premium_rcv_detail_code))+1
from ins_premium_det i),'99615','99615','02', '11000003','00','Request by Mr. Saqib Saleem 06-Mar-2024');</v>
      </c>
      <c r="H238" s="21" t="str">
        <f t="shared" si="15"/>
        <v>insert into ins_premium_det (premium_rcv_code,assorted_code, rec_amount,premium_rcv_detail_code,remaining_amt, payrec, mode_code,coinsurance_code,class_cd,it_remarks) values('06Mar250008','070000175117','99615',(select max(to_number(i.premium_rcv_detail_code))+1
from ins_premium_det i),'99615','99615','02', '11000003','00','Request by Mr. Saqib Saleem 06-Mar-2024');</v>
      </c>
    </row>
    <row r="239" spans="1:8" ht="89.25" x14ac:dyDescent="0.2">
      <c r="A239" s="2" t="s">
        <v>169</v>
      </c>
      <c r="B239" t="str">
        <f>VLOOKUP(A239,policy!B:C,2,0)</f>
        <v>070000176299</v>
      </c>
      <c r="C239" s="4">
        <v>60000</v>
      </c>
      <c r="D239" s="18">
        <f t="shared" si="13"/>
        <v>60000</v>
      </c>
      <c r="E239" s="22" t="s">
        <v>2340</v>
      </c>
      <c r="F239" s="19" t="str">
        <f t="shared" si="12"/>
        <v>insert into ins_premium_det (premium_rcv_code,assorted_code, rec_amount,premium_rcv_detail_code,remaining_amt, payrec, mode_code,coinsurance_code,class_cd,it_remarks) values</v>
      </c>
      <c r="G239" s="20" t="str">
        <f t="shared" si="14"/>
        <v>('06Mar250008','070000176299','60000',(select max(to_number(i.premium_rcv_detail_code))+1
from ins_premium_det i),'60000','60000','02', '11000003','00','Request by Mr. Saqib Saleem 06-Mar-2024');</v>
      </c>
      <c r="H239" s="21" t="str">
        <f t="shared" si="15"/>
        <v>insert into ins_premium_det (premium_rcv_code,assorted_code, rec_amount,premium_rcv_detail_code,remaining_amt, payrec, mode_code,coinsurance_code,class_cd,it_remarks) values('06Mar250008','070000176299','60000',(select max(to_number(i.premium_rcv_detail_code))+1
from ins_premium_det i),'60000','60000','02', '11000003','00','Request by Mr. Saqib Saleem 06-Mar-2024');</v>
      </c>
    </row>
    <row r="240" spans="1:8" ht="89.25" x14ac:dyDescent="0.2">
      <c r="A240" s="2" t="s">
        <v>141</v>
      </c>
      <c r="B240" t="str">
        <f>VLOOKUP(A240,policy!B:C,2,0)</f>
        <v>070000175097</v>
      </c>
      <c r="C240" s="4">
        <v>70785</v>
      </c>
      <c r="D240" s="18">
        <f t="shared" si="13"/>
        <v>70785</v>
      </c>
      <c r="E240" s="22" t="s">
        <v>2340</v>
      </c>
      <c r="F240" s="19" t="str">
        <f t="shared" si="12"/>
        <v>insert into ins_premium_det (premium_rcv_code,assorted_code, rec_amount,premium_rcv_detail_code,remaining_amt, payrec, mode_code,coinsurance_code,class_cd,it_remarks) values</v>
      </c>
      <c r="G240" s="20" t="str">
        <f t="shared" si="14"/>
        <v>('06Mar250008','070000175097','70785',(select max(to_number(i.premium_rcv_detail_code))+1
from ins_premium_det i),'70785','70785','02', '11000003','00','Request by Mr. Saqib Saleem 06-Mar-2024');</v>
      </c>
      <c r="H240" s="21" t="str">
        <f t="shared" si="15"/>
        <v>insert into ins_premium_det (premium_rcv_code,assorted_code, rec_amount,premium_rcv_detail_code,remaining_amt, payrec, mode_code,coinsurance_code,class_cd,it_remarks) values('06Mar250008','070000175097','70785',(select max(to_number(i.premium_rcv_detail_code))+1
from ins_premium_det i),'70785','70785','02', '11000003','00','Request by Mr. Saqib Saleem 06-Mar-2024');</v>
      </c>
    </row>
    <row r="241" spans="1:8" ht="89.25" x14ac:dyDescent="0.2">
      <c r="A241" s="2" t="s">
        <v>182</v>
      </c>
      <c r="B241" t="str">
        <f>VLOOKUP(A241,policy!B:C,2,0)</f>
        <v>070000176317</v>
      </c>
      <c r="C241" s="4">
        <v>60980</v>
      </c>
      <c r="D241" s="18">
        <f t="shared" si="13"/>
        <v>60980</v>
      </c>
      <c r="E241" s="22" t="s">
        <v>2340</v>
      </c>
      <c r="F241" s="19" t="str">
        <f t="shared" si="12"/>
        <v>insert into ins_premium_det (premium_rcv_code,assorted_code, rec_amount,premium_rcv_detail_code,remaining_amt, payrec, mode_code,coinsurance_code,class_cd,it_remarks) values</v>
      </c>
      <c r="G241" s="20" t="str">
        <f t="shared" si="14"/>
        <v>('06Mar250008','070000176317','60980',(select max(to_number(i.premium_rcv_detail_code))+1
from ins_premium_det i),'60980','60980','02', '11000003','00','Request by Mr. Saqib Saleem 06-Mar-2024');</v>
      </c>
      <c r="H241" s="21" t="str">
        <f t="shared" si="15"/>
        <v>insert into ins_premium_det (premium_rcv_code,assorted_code, rec_amount,premium_rcv_detail_code,remaining_amt, payrec, mode_code,coinsurance_code,class_cd,it_remarks) values('06Mar250008','070000176317','60980',(select max(to_number(i.premium_rcv_detail_code))+1
from ins_premium_det i),'60980','60980','02', '11000003','00','Request by Mr. Saqib Saleem 06-Mar-2024');</v>
      </c>
    </row>
    <row r="242" spans="1:8" ht="89.25" x14ac:dyDescent="0.2">
      <c r="A242" s="2" t="s">
        <v>209</v>
      </c>
      <c r="B242" t="str">
        <f>VLOOKUP(A242,policy!B:C,2,0)</f>
        <v>070000176344</v>
      </c>
      <c r="C242" s="4">
        <v>67500</v>
      </c>
      <c r="D242" s="18">
        <f t="shared" si="13"/>
        <v>67500</v>
      </c>
      <c r="E242" s="22" t="s">
        <v>2340</v>
      </c>
      <c r="F242" s="19" t="str">
        <f t="shared" si="12"/>
        <v>insert into ins_premium_det (premium_rcv_code,assorted_code, rec_amount,premium_rcv_detail_code,remaining_amt, payrec, mode_code,coinsurance_code,class_cd,it_remarks) values</v>
      </c>
      <c r="G242" s="20" t="str">
        <f t="shared" si="14"/>
        <v>('06Mar250008','070000176344','67500',(select max(to_number(i.premium_rcv_detail_code))+1
from ins_premium_det i),'67500','67500','02', '11000003','00','Request by Mr. Saqib Saleem 06-Mar-2024');</v>
      </c>
      <c r="H242" s="21" t="str">
        <f t="shared" si="15"/>
        <v>insert into ins_premium_det (premium_rcv_code,assorted_code, rec_amount,premium_rcv_detail_code,remaining_amt, payrec, mode_code,coinsurance_code,class_cd,it_remarks) values('06Mar250008','070000176344','67500',(select max(to_number(i.premium_rcv_detail_code))+1
from ins_premium_det i),'67500','67500','02', '11000003','00','Request by Mr. Saqib Saleem 06-Mar-2024');</v>
      </c>
    </row>
    <row r="243" spans="1:8" ht="89.25" x14ac:dyDescent="0.2">
      <c r="A243" s="2" t="s">
        <v>206</v>
      </c>
      <c r="B243" t="str">
        <f>VLOOKUP(A243,policy!B:C,2,0)</f>
        <v>070000176334</v>
      </c>
      <c r="C243" s="4">
        <v>48000</v>
      </c>
      <c r="D243" s="18">
        <f t="shared" si="13"/>
        <v>48000</v>
      </c>
      <c r="E243" s="22" t="s">
        <v>2340</v>
      </c>
      <c r="F243" s="19" t="str">
        <f t="shared" si="12"/>
        <v>insert into ins_premium_det (premium_rcv_code,assorted_code, rec_amount,premium_rcv_detail_code,remaining_amt, payrec, mode_code,coinsurance_code,class_cd,it_remarks) values</v>
      </c>
      <c r="G243" s="20" t="str">
        <f t="shared" si="14"/>
        <v>('06Mar250008','070000176334','48000',(select max(to_number(i.premium_rcv_detail_code))+1
from ins_premium_det i),'48000','48000','02', '11000003','00','Request by Mr. Saqib Saleem 06-Mar-2024');</v>
      </c>
      <c r="H243" s="21" t="str">
        <f t="shared" si="15"/>
        <v>insert into ins_premium_det (premium_rcv_code,assorted_code, rec_amount,premium_rcv_detail_code,remaining_amt, payrec, mode_code,coinsurance_code,class_cd,it_remarks) values('06Mar250008','070000176334','48000',(select max(to_number(i.premium_rcv_detail_code))+1
from ins_premium_det i),'48000','48000','02', '11000003','00','Request by Mr. Saqib Saleem 06-Mar-2024');</v>
      </c>
    </row>
    <row r="244" spans="1:8" ht="89.25" x14ac:dyDescent="0.2">
      <c r="A244" s="2" t="s">
        <v>125</v>
      </c>
      <c r="B244" t="str">
        <f>VLOOKUP(A244,policy!B:C,2,0)</f>
        <v>070000174831</v>
      </c>
      <c r="C244" s="4">
        <v>60900</v>
      </c>
      <c r="D244" s="18">
        <f t="shared" si="13"/>
        <v>60900</v>
      </c>
      <c r="E244" s="22" t="s">
        <v>2340</v>
      </c>
      <c r="F244" s="19" t="str">
        <f t="shared" si="12"/>
        <v>insert into ins_premium_det (premium_rcv_code,assorted_code, rec_amount,premium_rcv_detail_code,remaining_amt, payrec, mode_code,coinsurance_code,class_cd,it_remarks) values</v>
      </c>
      <c r="G244" s="20" t="str">
        <f t="shared" si="14"/>
        <v>('06Mar250008','070000174831','60900',(select max(to_number(i.premium_rcv_detail_code))+1
from ins_premium_det i),'60900','60900','02', '11000003','00','Request by Mr. Saqib Saleem 06-Mar-2024');</v>
      </c>
      <c r="H244" s="21" t="str">
        <f t="shared" si="15"/>
        <v>insert into ins_premium_det (premium_rcv_code,assorted_code, rec_amount,premium_rcv_detail_code,remaining_amt, payrec, mode_code,coinsurance_code,class_cd,it_remarks) values('06Mar250008','070000174831','60900',(select max(to_number(i.premium_rcv_detail_code))+1
from ins_premium_det i),'60900','60900','02', '11000003','00','Request by Mr. Saqib Saleem 06-Mar-2024');</v>
      </c>
    </row>
    <row r="245" spans="1:8" ht="89.25" x14ac:dyDescent="0.2">
      <c r="A245" s="2" t="s">
        <v>198</v>
      </c>
      <c r="B245" t="str">
        <f>VLOOKUP(A245,policy!B:C,2,0)</f>
        <v>070000176325</v>
      </c>
      <c r="C245" s="4">
        <v>62250</v>
      </c>
      <c r="D245" s="18">
        <f t="shared" si="13"/>
        <v>62250</v>
      </c>
      <c r="E245" s="22" t="s">
        <v>2340</v>
      </c>
      <c r="F245" s="19" t="str">
        <f t="shared" si="12"/>
        <v>insert into ins_premium_det (premium_rcv_code,assorted_code, rec_amount,premium_rcv_detail_code,remaining_amt, payrec, mode_code,coinsurance_code,class_cd,it_remarks) values</v>
      </c>
      <c r="G245" s="20" t="str">
        <f t="shared" si="14"/>
        <v>('06Mar250008','070000176325','62250',(select max(to_number(i.premium_rcv_detail_code))+1
from ins_premium_det i),'62250','62250','02', '11000003','00','Request by Mr. Saqib Saleem 06-Mar-2024');</v>
      </c>
      <c r="H245" s="21" t="str">
        <f t="shared" si="15"/>
        <v>insert into ins_premium_det (premium_rcv_code,assorted_code, rec_amount,premium_rcv_detail_code,remaining_amt, payrec, mode_code,coinsurance_code,class_cd,it_remarks) values('06Mar250008','070000176325','62250',(select max(to_number(i.premium_rcv_detail_code))+1
from ins_premium_det i),'62250','62250','02', '11000003','00','Request by Mr. Saqib Saleem 06-Mar-2024');</v>
      </c>
    </row>
    <row r="246" spans="1:8" ht="89.25" x14ac:dyDescent="0.2">
      <c r="A246" s="2" t="s">
        <v>165</v>
      </c>
      <c r="B246" t="str">
        <f>VLOOKUP(A246,policy!B:C,2,0)</f>
        <v>070000175798</v>
      </c>
      <c r="C246" s="4">
        <v>52500</v>
      </c>
      <c r="D246" s="18">
        <f t="shared" si="13"/>
        <v>52500</v>
      </c>
      <c r="E246" s="22" t="s">
        <v>2340</v>
      </c>
      <c r="F246" s="19" t="str">
        <f t="shared" si="12"/>
        <v>insert into ins_premium_det (premium_rcv_code,assorted_code, rec_amount,premium_rcv_detail_code,remaining_amt, payrec, mode_code,coinsurance_code,class_cd,it_remarks) values</v>
      </c>
      <c r="G246" s="20" t="str">
        <f t="shared" si="14"/>
        <v>('06Mar250008','070000175798','52500',(select max(to_number(i.premium_rcv_detail_code))+1
from ins_premium_det i),'52500','52500','02', '11000003','00','Request by Mr. Saqib Saleem 06-Mar-2024');</v>
      </c>
      <c r="H246" s="21" t="str">
        <f t="shared" si="15"/>
        <v>insert into ins_premium_det (premium_rcv_code,assorted_code, rec_amount,premium_rcv_detail_code,remaining_amt, payrec, mode_code,coinsurance_code,class_cd,it_remarks) values('06Mar250008','070000175798','52500',(select max(to_number(i.premium_rcv_detail_code))+1
from ins_premium_det i),'52500','52500','02', '11000003','00','Request by Mr. Saqib Saleem 06-Mar-2024');</v>
      </c>
    </row>
    <row r="247" spans="1:8" ht="89.25" x14ac:dyDescent="0.2">
      <c r="A247" s="2" t="s">
        <v>128</v>
      </c>
      <c r="B247" t="str">
        <f>VLOOKUP(A247,policy!B:C,2,0)</f>
        <v>070000174984</v>
      </c>
      <c r="C247" s="4">
        <v>60000</v>
      </c>
      <c r="D247" s="18">
        <f t="shared" si="13"/>
        <v>60000</v>
      </c>
      <c r="E247" s="22" t="s">
        <v>2340</v>
      </c>
      <c r="F247" s="19" t="str">
        <f t="shared" si="12"/>
        <v>insert into ins_premium_det (premium_rcv_code,assorted_code, rec_amount,premium_rcv_detail_code,remaining_amt, payrec, mode_code,coinsurance_code,class_cd,it_remarks) values</v>
      </c>
      <c r="G247" s="20" t="str">
        <f t="shared" si="14"/>
        <v>('06Mar250008','070000174984','60000',(select max(to_number(i.premium_rcv_detail_code))+1
from ins_premium_det i),'60000','60000','02', '11000003','00','Request by Mr. Saqib Saleem 06-Mar-2024');</v>
      </c>
      <c r="H247" s="21" t="str">
        <f t="shared" si="15"/>
        <v>insert into ins_premium_det (premium_rcv_code,assorted_code, rec_amount,premium_rcv_detail_code,remaining_amt, payrec, mode_code,coinsurance_code,class_cd,it_remarks) values('06Mar250008','070000174984','60000',(select max(to_number(i.premium_rcv_detail_code))+1
from ins_premium_det i),'60000','60000','02', '11000003','00','Request by Mr. Saqib Saleem 06-Mar-2024');</v>
      </c>
    </row>
    <row r="248" spans="1:8" ht="89.25" x14ac:dyDescent="0.2">
      <c r="A248" s="2" t="s">
        <v>186</v>
      </c>
      <c r="B248" t="str">
        <f>VLOOKUP(A248,policy!B:C,2,0)</f>
        <v>070000176318</v>
      </c>
      <c r="C248" s="4">
        <v>60000</v>
      </c>
      <c r="D248" s="18">
        <f t="shared" si="13"/>
        <v>60000</v>
      </c>
      <c r="E248" s="22" t="s">
        <v>2340</v>
      </c>
      <c r="F248" s="19" t="str">
        <f t="shared" si="12"/>
        <v>insert into ins_premium_det (premium_rcv_code,assorted_code, rec_amount,premium_rcv_detail_code,remaining_amt, payrec, mode_code,coinsurance_code,class_cd,it_remarks) values</v>
      </c>
      <c r="G248" s="20" t="str">
        <f t="shared" si="14"/>
        <v>('06Mar250008','070000176318','60000',(select max(to_number(i.premium_rcv_detail_code))+1
from ins_premium_det i),'60000','60000','02', '11000003','00','Request by Mr. Saqib Saleem 06-Mar-2024');</v>
      </c>
      <c r="H248" s="21" t="str">
        <f t="shared" si="15"/>
        <v>insert into ins_premium_det (premium_rcv_code,assorted_code, rec_amount,premium_rcv_detail_code,remaining_amt, payrec, mode_code,coinsurance_code,class_cd,it_remarks) values('06Mar250008','070000176318','60000',(select max(to_number(i.premium_rcv_detail_code))+1
from ins_premium_det i),'60000','60000','02', '11000003','00','Request by Mr. Saqib Saleem 06-Mar-2024');</v>
      </c>
    </row>
    <row r="249" spans="1:8" ht="89.25" x14ac:dyDescent="0.2">
      <c r="A249" s="2" t="s">
        <v>110</v>
      </c>
      <c r="B249" t="str">
        <f>VLOOKUP(A249,policy!B:C,2,0)</f>
        <v>070000174451</v>
      </c>
      <c r="C249" s="4">
        <v>103500</v>
      </c>
      <c r="D249" s="18">
        <f t="shared" si="13"/>
        <v>103500</v>
      </c>
      <c r="E249" s="22" t="s">
        <v>2340</v>
      </c>
      <c r="F249" s="19" t="str">
        <f t="shared" si="12"/>
        <v>insert into ins_premium_det (premium_rcv_code,assorted_code, rec_amount,premium_rcv_detail_code,remaining_amt, payrec, mode_code,coinsurance_code,class_cd,it_remarks) values</v>
      </c>
      <c r="G249" s="20" t="str">
        <f t="shared" si="14"/>
        <v>('06Mar250008','070000174451','103500',(select max(to_number(i.premium_rcv_detail_code))+1
from ins_premium_det i),'103500','103500','02', '11000003','00','Request by Mr. Saqib Saleem 06-Mar-2024');</v>
      </c>
      <c r="H249" s="21" t="str">
        <f t="shared" si="15"/>
        <v>insert into ins_premium_det (premium_rcv_code,assorted_code, rec_amount,premium_rcv_detail_code,remaining_amt, payrec, mode_code,coinsurance_code,class_cd,it_remarks) values('06Mar250008','070000174451','103500',(select max(to_number(i.premium_rcv_detail_code))+1
from ins_premium_det i),'103500','103500','02', '11000003','00','Request by Mr. Saqib Saleem 06-Mar-2024');</v>
      </c>
    </row>
    <row r="250" spans="1:8" ht="89.25" x14ac:dyDescent="0.2">
      <c r="A250" s="2" t="s">
        <v>213</v>
      </c>
      <c r="B250" t="str">
        <f>VLOOKUP(A250,policy!B:C,2,0)</f>
        <v>070000176346</v>
      </c>
      <c r="C250" s="4">
        <v>52000</v>
      </c>
      <c r="D250" s="18">
        <f t="shared" si="13"/>
        <v>52000</v>
      </c>
      <c r="E250" s="22" t="s">
        <v>2340</v>
      </c>
      <c r="F250" s="19" t="str">
        <f t="shared" si="12"/>
        <v>insert into ins_premium_det (premium_rcv_code,assorted_code, rec_amount,premium_rcv_detail_code,remaining_amt, payrec, mode_code,coinsurance_code,class_cd,it_remarks) values</v>
      </c>
      <c r="G250" s="20" t="str">
        <f t="shared" si="14"/>
        <v>('06Mar250008','070000176346','52000',(select max(to_number(i.premium_rcv_detail_code))+1
from ins_premium_det i),'52000','52000','02', '11000003','00','Request by Mr. Saqib Saleem 06-Mar-2024');</v>
      </c>
      <c r="H250" s="21" t="str">
        <f t="shared" si="15"/>
        <v>insert into ins_premium_det (premium_rcv_code,assorted_code, rec_amount,premium_rcv_detail_code,remaining_amt, payrec, mode_code,coinsurance_code,class_cd,it_remarks) values('06Mar250008','070000176346','52000',(select max(to_number(i.premium_rcv_detail_code))+1
from ins_premium_det i),'52000','52000','02', '11000003','00','Request by Mr. Saqib Saleem 06-Mar-2024');</v>
      </c>
    </row>
  </sheetData>
  <conditionalFormatting sqref="A1">
    <cfRule type="duplicateValues" dxfId="5" priority="3"/>
  </conditionalFormatting>
  <conditionalFormatting sqref="B2:B250">
    <cfRule type="duplicateValues" dxfId="4" priority="4"/>
    <cfRule type="duplicateValues" dxfId="3" priority="5"/>
    <cfRule type="duplicateValues" dxfId="2" priority="6"/>
  </conditionalFormatting>
  <conditionalFormatting sqref="A2:A25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E17A-48C4-419F-AFEE-477F1FBE65DA}">
  <dimension ref="A1:J249"/>
  <sheetViews>
    <sheetView topLeftCell="A226" workbookViewId="0">
      <selection activeCell="E240" sqref="E240"/>
    </sheetView>
  </sheetViews>
  <sheetFormatPr defaultRowHeight="12.75" x14ac:dyDescent="0.2"/>
  <cols>
    <col min="1" max="1" width="42.28515625" bestFit="1" customWidth="1"/>
  </cols>
  <sheetData>
    <row r="1" spans="1:10" x14ac:dyDescent="0.2">
      <c r="A1" s="2" t="s">
        <v>24</v>
      </c>
      <c r="B1" t="s">
        <v>2337</v>
      </c>
      <c r="H1">
        <v>103764</v>
      </c>
      <c r="I1" t="s">
        <v>1900</v>
      </c>
      <c r="J1" s="14" t="str">
        <f>"ia.assorted_string like '%"&amp;H1&amp;"-"&amp;I1&amp;B1&amp;"%' or"</f>
        <v>ia.assorted_string like '%103764-00162-12-2024%' or</v>
      </c>
    </row>
    <row r="2" spans="1:10" x14ac:dyDescent="0.2">
      <c r="A2" s="2" t="s">
        <v>19</v>
      </c>
      <c r="B2" t="s">
        <v>2337</v>
      </c>
      <c r="H2">
        <v>103764</v>
      </c>
      <c r="I2" t="s">
        <v>1901</v>
      </c>
      <c r="J2" s="14" t="str">
        <f t="shared" ref="J2:J65" si="0">"ia.assorted_string like '%"&amp;H2&amp;"-"&amp;I2&amp;B2&amp;"%' or"</f>
        <v>ia.assorted_string like '%103764-00161-12-2024%' or</v>
      </c>
    </row>
    <row r="3" spans="1:10" x14ac:dyDescent="0.2">
      <c r="A3" s="2" t="s">
        <v>1003</v>
      </c>
      <c r="B3" t="s">
        <v>1899</v>
      </c>
      <c r="H3">
        <v>105499</v>
      </c>
      <c r="I3" t="s">
        <v>1902</v>
      </c>
      <c r="J3" s="14" t="str">
        <f t="shared" si="0"/>
        <v>ia.assorted_string like '%105499-00092-01-2025%' or</v>
      </c>
    </row>
    <row r="4" spans="1:10" x14ac:dyDescent="0.2">
      <c r="A4" s="2" t="s">
        <v>305</v>
      </c>
      <c r="B4" t="s">
        <v>1899</v>
      </c>
      <c r="H4">
        <v>105499</v>
      </c>
      <c r="I4" t="s">
        <v>1903</v>
      </c>
      <c r="J4" s="14" t="str">
        <f t="shared" si="0"/>
        <v>ia.assorted_string like '%105499-00112-01-2025%' or</v>
      </c>
    </row>
    <row r="5" spans="1:10" x14ac:dyDescent="0.2">
      <c r="A5" s="2" t="s">
        <v>1008</v>
      </c>
      <c r="B5" t="s">
        <v>1899</v>
      </c>
      <c r="H5">
        <v>105499</v>
      </c>
      <c r="I5" t="s">
        <v>1904</v>
      </c>
      <c r="J5" s="14" t="str">
        <f t="shared" si="0"/>
        <v>ia.assorted_string like '%105499-00095-01-2025%' or</v>
      </c>
    </row>
    <row r="6" spans="1:10" x14ac:dyDescent="0.2">
      <c r="A6" s="2" t="s">
        <v>380</v>
      </c>
      <c r="B6" t="s">
        <v>1899</v>
      </c>
      <c r="H6">
        <v>105499</v>
      </c>
      <c r="I6" t="s">
        <v>1905</v>
      </c>
      <c r="J6" s="14" t="str">
        <f t="shared" si="0"/>
        <v>ia.assorted_string like '%105499-00128-01-2025%' or</v>
      </c>
    </row>
    <row r="7" spans="1:10" x14ac:dyDescent="0.2">
      <c r="A7" s="2" t="s">
        <v>376</v>
      </c>
      <c r="B7" t="s">
        <v>1899</v>
      </c>
      <c r="H7">
        <v>105499</v>
      </c>
      <c r="I7" t="s">
        <v>1906</v>
      </c>
      <c r="J7" s="14" t="str">
        <f t="shared" si="0"/>
        <v>ia.assorted_string like '%105499-00127-01-2025%' or</v>
      </c>
    </row>
    <row r="8" spans="1:10" x14ac:dyDescent="0.2">
      <c r="A8" s="2" t="s">
        <v>393</v>
      </c>
      <c r="B8" t="s">
        <v>1899</v>
      </c>
      <c r="H8">
        <v>105499</v>
      </c>
      <c r="I8" t="s">
        <v>1907</v>
      </c>
      <c r="J8" s="14" t="str">
        <f t="shared" si="0"/>
        <v>ia.assorted_string like '%105499-00130-01-2025%' or</v>
      </c>
    </row>
    <row r="9" spans="1:10" x14ac:dyDescent="0.2">
      <c r="A9" s="2" t="s">
        <v>384</v>
      </c>
      <c r="B9" t="s">
        <v>1899</v>
      </c>
      <c r="H9">
        <v>105499</v>
      </c>
      <c r="I9" t="s">
        <v>1908</v>
      </c>
      <c r="J9" s="14" t="str">
        <f t="shared" si="0"/>
        <v>ia.assorted_string like '%105499-00129-01-2025%' or</v>
      </c>
    </row>
    <row r="10" spans="1:10" x14ac:dyDescent="0.2">
      <c r="A10" s="2" t="s">
        <v>398</v>
      </c>
      <c r="B10" t="s">
        <v>1899</v>
      </c>
      <c r="H10">
        <v>105499</v>
      </c>
      <c r="I10" t="s">
        <v>1909</v>
      </c>
      <c r="J10" s="14" t="str">
        <f t="shared" si="0"/>
        <v>ia.assorted_string like '%105499-00131-01-2025%' or</v>
      </c>
    </row>
    <row r="11" spans="1:10" x14ac:dyDescent="0.2">
      <c r="A11" s="2" t="s">
        <v>1012</v>
      </c>
      <c r="B11" t="s">
        <v>1899</v>
      </c>
      <c r="H11">
        <v>105499</v>
      </c>
      <c r="I11" t="s">
        <v>1910</v>
      </c>
      <c r="J11" s="14" t="str">
        <f t="shared" si="0"/>
        <v>ia.assorted_string like '%105499-00096-01-2025%' or</v>
      </c>
    </row>
    <row r="12" spans="1:10" x14ac:dyDescent="0.2">
      <c r="A12" s="2" t="s">
        <v>1024</v>
      </c>
      <c r="B12" t="s">
        <v>1899</v>
      </c>
      <c r="H12">
        <v>105499</v>
      </c>
      <c r="I12" t="s">
        <v>1911</v>
      </c>
      <c r="J12" s="14" t="str">
        <f t="shared" si="0"/>
        <v>ia.assorted_string like '%105499-00099-01-2025%' or</v>
      </c>
    </row>
    <row r="13" spans="1:10" x14ac:dyDescent="0.2">
      <c r="A13" s="2" t="s">
        <v>1016</v>
      </c>
      <c r="B13" t="s">
        <v>1899</v>
      </c>
      <c r="H13">
        <v>105499</v>
      </c>
      <c r="I13" t="s">
        <v>1912</v>
      </c>
      <c r="J13" s="14" t="str">
        <f t="shared" si="0"/>
        <v>ia.assorted_string like '%105499-00097-01-2025%' or</v>
      </c>
    </row>
    <row r="14" spans="1:10" x14ac:dyDescent="0.2">
      <c r="A14" s="2" t="s">
        <v>259</v>
      </c>
      <c r="B14" t="s">
        <v>1899</v>
      </c>
      <c r="H14">
        <v>105499</v>
      </c>
      <c r="I14" t="s">
        <v>1913</v>
      </c>
      <c r="J14" s="14" t="str">
        <f t="shared" si="0"/>
        <v>ia.assorted_string like '%105499-00102-01-2025%' or</v>
      </c>
    </row>
    <row r="15" spans="1:10" x14ac:dyDescent="0.2">
      <c r="A15" s="2" t="s">
        <v>276</v>
      </c>
      <c r="B15" t="s">
        <v>1899</v>
      </c>
      <c r="H15">
        <v>105499</v>
      </c>
      <c r="I15" t="s">
        <v>1914</v>
      </c>
      <c r="J15" s="14" t="str">
        <f t="shared" si="0"/>
        <v>ia.assorted_string like '%105499-00106-01-2025%' or</v>
      </c>
    </row>
    <row r="16" spans="1:10" x14ac:dyDescent="0.2">
      <c r="A16" s="2" t="s">
        <v>1020</v>
      </c>
      <c r="B16" t="s">
        <v>1899</v>
      </c>
      <c r="H16">
        <v>105499</v>
      </c>
      <c r="I16" t="s">
        <v>1915</v>
      </c>
      <c r="J16" s="14" t="str">
        <f t="shared" si="0"/>
        <v>ia.assorted_string like '%105499-00098-01-2025%' or</v>
      </c>
    </row>
    <row r="17" spans="1:10" x14ac:dyDescent="0.2">
      <c r="A17" s="2" t="s">
        <v>272</v>
      </c>
      <c r="B17" t="s">
        <v>1899</v>
      </c>
      <c r="H17">
        <v>105499</v>
      </c>
      <c r="I17" t="s">
        <v>1916</v>
      </c>
      <c r="J17" s="14" t="str">
        <f t="shared" si="0"/>
        <v>ia.assorted_string like '%105499-00105-01-2025%' or</v>
      </c>
    </row>
    <row r="18" spans="1:10" x14ac:dyDescent="0.2">
      <c r="A18" s="2" t="s">
        <v>280</v>
      </c>
      <c r="B18" t="s">
        <v>1899</v>
      </c>
      <c r="H18">
        <v>105499</v>
      </c>
      <c r="I18" t="s">
        <v>1917</v>
      </c>
      <c r="J18" s="14" t="str">
        <f t="shared" si="0"/>
        <v>ia.assorted_string like '%105499-00107-01-2025%' or</v>
      </c>
    </row>
    <row r="19" spans="1:10" x14ac:dyDescent="0.2">
      <c r="A19" s="2" t="s">
        <v>284</v>
      </c>
      <c r="B19" t="s">
        <v>1899</v>
      </c>
      <c r="H19">
        <v>105499</v>
      </c>
      <c r="I19" t="s">
        <v>1918</v>
      </c>
      <c r="J19" s="14" t="str">
        <f t="shared" si="0"/>
        <v>ia.assorted_string like '%105499-00108-01-2025%' or</v>
      </c>
    </row>
    <row r="20" spans="1:10" x14ac:dyDescent="0.2">
      <c r="A20" s="2" t="s">
        <v>268</v>
      </c>
      <c r="B20" t="s">
        <v>1899</v>
      </c>
      <c r="H20">
        <v>105499</v>
      </c>
      <c r="I20" t="s">
        <v>1919</v>
      </c>
      <c r="J20" s="14" t="str">
        <f t="shared" si="0"/>
        <v>ia.assorted_string like '%105499-00104-01-2025%' or</v>
      </c>
    </row>
    <row r="21" spans="1:10" x14ac:dyDescent="0.2">
      <c r="A21" s="2" t="s">
        <v>264</v>
      </c>
      <c r="B21" t="s">
        <v>1899</v>
      </c>
      <c r="H21">
        <v>105499</v>
      </c>
      <c r="I21" t="s">
        <v>1920</v>
      </c>
      <c r="J21" s="14" t="str">
        <f t="shared" si="0"/>
        <v>ia.assorted_string like '%105499-00103-01-2025%' or</v>
      </c>
    </row>
    <row r="22" spans="1:10" x14ac:dyDescent="0.2">
      <c r="A22" s="2" t="s">
        <v>301</v>
      </c>
      <c r="B22" t="s">
        <v>1899</v>
      </c>
      <c r="H22">
        <v>105499</v>
      </c>
      <c r="I22" t="s">
        <v>1921</v>
      </c>
      <c r="J22" s="14" t="str">
        <f t="shared" si="0"/>
        <v>ia.assorted_string like '%105499-00111-01-2025%' or</v>
      </c>
    </row>
    <row r="23" spans="1:10" x14ac:dyDescent="0.2">
      <c r="A23" s="2" t="s">
        <v>360</v>
      </c>
      <c r="B23" t="s">
        <v>1899</v>
      </c>
      <c r="H23">
        <v>105499</v>
      </c>
      <c r="I23" t="s">
        <v>1922</v>
      </c>
      <c r="J23" s="14" t="str">
        <f t="shared" si="0"/>
        <v>ia.assorted_string like '%105499-00123-01-2025%' or</v>
      </c>
    </row>
    <row r="24" spans="1:10" x14ac:dyDescent="0.2">
      <c r="A24" s="2" t="s">
        <v>368</v>
      </c>
      <c r="B24" t="s">
        <v>1899</v>
      </c>
      <c r="H24">
        <v>105499</v>
      </c>
      <c r="I24" t="s">
        <v>1923</v>
      </c>
      <c r="J24" s="14" t="str">
        <f t="shared" si="0"/>
        <v>ia.assorted_string like '%105499-00125-01-2025%' or</v>
      </c>
    </row>
    <row r="25" spans="1:10" x14ac:dyDescent="0.2">
      <c r="A25" s="2" t="s">
        <v>337</v>
      </c>
      <c r="B25" t="s">
        <v>1899</v>
      </c>
      <c r="H25">
        <v>105499</v>
      </c>
      <c r="I25" t="s">
        <v>1924</v>
      </c>
      <c r="J25" s="14" t="str">
        <f t="shared" si="0"/>
        <v>ia.assorted_string like '%105499-00119-01-2025%' or</v>
      </c>
    </row>
    <row r="26" spans="1:10" x14ac:dyDescent="0.2">
      <c r="A26" s="2" t="s">
        <v>310</v>
      </c>
      <c r="B26" t="s">
        <v>1899</v>
      </c>
      <c r="H26">
        <v>105499</v>
      </c>
      <c r="I26" t="s">
        <v>1925</v>
      </c>
      <c r="J26" s="14" t="str">
        <f t="shared" si="0"/>
        <v>ia.assorted_string like '%105499-00113-01-2025%' or</v>
      </c>
    </row>
    <row r="27" spans="1:10" x14ac:dyDescent="0.2">
      <c r="A27" s="2" t="s">
        <v>650</v>
      </c>
      <c r="B27" t="s">
        <v>1899</v>
      </c>
      <c r="H27">
        <v>105499</v>
      </c>
      <c r="I27" t="s">
        <v>1926</v>
      </c>
      <c r="J27" s="14" t="str">
        <f t="shared" si="0"/>
        <v>ia.assorted_string like '%105499-00189-01-2025%' or</v>
      </c>
    </row>
    <row r="28" spans="1:10" x14ac:dyDescent="0.2">
      <c r="A28" s="2" t="s">
        <v>288</v>
      </c>
      <c r="B28" t="s">
        <v>1899</v>
      </c>
      <c r="H28">
        <v>105499</v>
      </c>
      <c r="I28" t="s">
        <v>1927</v>
      </c>
      <c r="J28" s="14" t="str">
        <f t="shared" si="0"/>
        <v>ia.assorted_string like '%105499-00109-01-2025%' or</v>
      </c>
    </row>
    <row r="29" spans="1:10" x14ac:dyDescent="0.2">
      <c r="A29" s="2" t="s">
        <v>296</v>
      </c>
      <c r="B29" t="s">
        <v>1899</v>
      </c>
      <c r="H29">
        <v>105499</v>
      </c>
      <c r="I29" t="s">
        <v>1928</v>
      </c>
      <c r="J29" s="14" t="str">
        <f t="shared" si="0"/>
        <v>ia.assorted_string like '%105499-00110-01-2025%' or</v>
      </c>
    </row>
    <row r="30" spans="1:10" x14ac:dyDescent="0.2">
      <c r="A30" s="2" t="s">
        <v>314</v>
      </c>
      <c r="B30" t="s">
        <v>1899</v>
      </c>
      <c r="H30">
        <v>105499</v>
      </c>
      <c r="I30" t="s">
        <v>1929</v>
      </c>
      <c r="J30" s="14" t="str">
        <f t="shared" si="0"/>
        <v>ia.assorted_string like '%105499-00114-01-2025%' or</v>
      </c>
    </row>
    <row r="31" spans="1:10" x14ac:dyDescent="0.2">
      <c r="A31" s="2" t="s">
        <v>249</v>
      </c>
      <c r="B31" t="s">
        <v>1899</v>
      </c>
      <c r="H31">
        <v>105499</v>
      </c>
      <c r="I31" t="s">
        <v>1930</v>
      </c>
      <c r="J31" s="14" t="str">
        <f t="shared" si="0"/>
        <v>ia.assorted_string like '%105499-00100-01-2025%' or</v>
      </c>
    </row>
    <row r="32" spans="1:10" x14ac:dyDescent="0.2">
      <c r="A32" s="2" t="s">
        <v>318</v>
      </c>
      <c r="B32" t="s">
        <v>1899</v>
      </c>
      <c r="H32">
        <v>105499</v>
      </c>
      <c r="I32" t="s">
        <v>1931</v>
      </c>
      <c r="J32" s="14" t="str">
        <f t="shared" si="0"/>
        <v>ia.assorted_string like '%105499-00115-01-2025%' or</v>
      </c>
    </row>
    <row r="33" spans="1:10" x14ac:dyDescent="0.2">
      <c r="A33" s="2" t="s">
        <v>351</v>
      </c>
      <c r="B33" t="s">
        <v>1899</v>
      </c>
      <c r="H33">
        <v>105499</v>
      </c>
      <c r="I33" t="s">
        <v>1932</v>
      </c>
      <c r="J33" s="14" t="str">
        <f t="shared" si="0"/>
        <v>ia.assorted_string like '%105499-00121-01-2025%' or</v>
      </c>
    </row>
    <row r="34" spans="1:10" x14ac:dyDescent="0.2">
      <c r="A34" s="2" t="s">
        <v>322</v>
      </c>
      <c r="B34" t="s">
        <v>1899</v>
      </c>
      <c r="H34">
        <v>105499</v>
      </c>
      <c r="I34" t="s">
        <v>1933</v>
      </c>
      <c r="J34" s="14" t="str">
        <f t="shared" si="0"/>
        <v>ia.assorted_string like '%105499-00116-01-2025%' or</v>
      </c>
    </row>
    <row r="35" spans="1:10" x14ac:dyDescent="0.2">
      <c r="A35" s="2" t="s">
        <v>1067</v>
      </c>
      <c r="B35" t="s">
        <v>1899</v>
      </c>
      <c r="H35">
        <v>106429</v>
      </c>
      <c r="I35" t="s">
        <v>1934</v>
      </c>
      <c r="J35" s="14" t="str">
        <f t="shared" si="0"/>
        <v>ia.assorted_string like '%106429-00008-01-2025%' or</v>
      </c>
    </row>
    <row r="36" spans="1:10" x14ac:dyDescent="0.2">
      <c r="A36" s="2" t="s">
        <v>332</v>
      </c>
      <c r="B36" t="s">
        <v>1899</v>
      </c>
      <c r="H36">
        <v>105499</v>
      </c>
      <c r="I36" t="s">
        <v>1935</v>
      </c>
      <c r="J36" s="14" t="str">
        <f t="shared" si="0"/>
        <v>ia.assorted_string like '%105499-00118-01-2025%' or</v>
      </c>
    </row>
    <row r="37" spans="1:10" x14ac:dyDescent="0.2">
      <c r="A37" s="2" t="s">
        <v>346</v>
      </c>
      <c r="B37" t="s">
        <v>1899</v>
      </c>
      <c r="H37">
        <v>105499</v>
      </c>
      <c r="I37" t="s">
        <v>1936</v>
      </c>
      <c r="J37" s="14" t="str">
        <f t="shared" si="0"/>
        <v>ia.assorted_string like '%105499-00120-01-2025%' or</v>
      </c>
    </row>
    <row r="38" spans="1:10" x14ac:dyDescent="0.2">
      <c r="A38" s="2" t="s">
        <v>355</v>
      </c>
      <c r="B38" t="s">
        <v>1899</v>
      </c>
      <c r="H38">
        <v>105499</v>
      </c>
      <c r="I38" t="s">
        <v>1937</v>
      </c>
      <c r="J38" s="14" t="str">
        <f t="shared" si="0"/>
        <v>ia.assorted_string like '%105499-00122-01-2025%' or</v>
      </c>
    </row>
    <row r="39" spans="1:10" x14ac:dyDescent="0.2">
      <c r="A39" s="2" t="s">
        <v>327</v>
      </c>
      <c r="B39" t="s">
        <v>1899</v>
      </c>
      <c r="H39">
        <v>105499</v>
      </c>
      <c r="I39" t="s">
        <v>1938</v>
      </c>
      <c r="J39" s="14" t="str">
        <f t="shared" si="0"/>
        <v>ia.assorted_string like '%105499-00117-01-2025%' or</v>
      </c>
    </row>
    <row r="40" spans="1:10" x14ac:dyDescent="0.2">
      <c r="A40" s="2" t="s">
        <v>364</v>
      </c>
      <c r="B40" t="s">
        <v>1899</v>
      </c>
      <c r="H40">
        <v>105499</v>
      </c>
      <c r="I40" t="s">
        <v>1939</v>
      </c>
      <c r="J40" s="14" t="str">
        <f t="shared" si="0"/>
        <v>ia.assorted_string like '%105499-00124-01-2025%' or</v>
      </c>
    </row>
    <row r="41" spans="1:10" x14ac:dyDescent="0.2">
      <c r="A41" s="2" t="s">
        <v>372</v>
      </c>
      <c r="B41" t="s">
        <v>1899</v>
      </c>
      <c r="H41">
        <v>105499</v>
      </c>
      <c r="I41" t="s">
        <v>1940</v>
      </c>
      <c r="J41" s="14" t="str">
        <f t="shared" si="0"/>
        <v>ia.assorted_string like '%105499-00126-01-2025%' or</v>
      </c>
    </row>
    <row r="42" spans="1:10" x14ac:dyDescent="0.2">
      <c r="A42" s="2" t="s">
        <v>254</v>
      </c>
      <c r="B42" t="s">
        <v>1899</v>
      </c>
      <c r="H42">
        <v>105499</v>
      </c>
      <c r="I42" t="s">
        <v>1941</v>
      </c>
      <c r="J42" s="14" t="str">
        <f t="shared" si="0"/>
        <v>ia.assorted_string like '%105499-00101-01-2025%' or</v>
      </c>
    </row>
    <row r="43" spans="1:10" x14ac:dyDescent="0.2">
      <c r="A43" s="2" t="s">
        <v>660</v>
      </c>
      <c r="B43" t="s">
        <v>1899</v>
      </c>
      <c r="H43">
        <v>105499</v>
      </c>
      <c r="I43" t="s">
        <v>1942</v>
      </c>
      <c r="J43" s="14" t="str">
        <f t="shared" si="0"/>
        <v>ia.assorted_string like '%105499-00190-01-2025%' or</v>
      </c>
    </row>
    <row r="44" spans="1:10" x14ac:dyDescent="0.2">
      <c r="A44" s="2" t="s">
        <v>412</v>
      </c>
      <c r="B44" t="s">
        <v>1899</v>
      </c>
      <c r="H44">
        <v>105499</v>
      </c>
      <c r="I44" t="s">
        <v>1943</v>
      </c>
      <c r="J44" s="14" t="str">
        <f t="shared" si="0"/>
        <v>ia.assorted_string like '%105499-00135-01-2025%' or</v>
      </c>
    </row>
    <row r="45" spans="1:10" x14ac:dyDescent="0.2">
      <c r="A45" s="2" t="s">
        <v>437</v>
      </c>
      <c r="B45" t="s">
        <v>1899</v>
      </c>
      <c r="H45">
        <v>105499</v>
      </c>
      <c r="I45" t="s">
        <v>1944</v>
      </c>
      <c r="J45" s="14" t="str">
        <f t="shared" si="0"/>
        <v>ia.assorted_string like '%105499-00141-01-2025%' or</v>
      </c>
    </row>
    <row r="46" spans="1:10" x14ac:dyDescent="0.2">
      <c r="A46" s="2" t="s">
        <v>508</v>
      </c>
      <c r="B46" t="s">
        <v>1899</v>
      </c>
      <c r="H46">
        <v>105499</v>
      </c>
      <c r="I46" t="s">
        <v>1945</v>
      </c>
      <c r="J46" s="14" t="str">
        <f t="shared" si="0"/>
        <v>ia.assorted_string like '%105499-00157-01-2025%' or</v>
      </c>
    </row>
    <row r="47" spans="1:10" x14ac:dyDescent="0.2">
      <c r="A47" s="2" t="s">
        <v>402</v>
      </c>
      <c r="B47" t="s">
        <v>1899</v>
      </c>
      <c r="H47">
        <v>105499</v>
      </c>
      <c r="I47" t="s">
        <v>1946</v>
      </c>
      <c r="J47" s="14" t="str">
        <f t="shared" si="0"/>
        <v>ia.assorted_string like '%105499-00133-01-2025%' or</v>
      </c>
    </row>
    <row r="48" spans="1:10" x14ac:dyDescent="0.2">
      <c r="A48" s="2" t="s">
        <v>416</v>
      </c>
      <c r="B48" t="s">
        <v>1899</v>
      </c>
      <c r="H48">
        <v>105499</v>
      </c>
      <c r="I48" t="s">
        <v>1947</v>
      </c>
      <c r="J48" s="14" t="str">
        <f t="shared" si="0"/>
        <v>ia.assorted_string like '%105499-00136-01-2025%' or</v>
      </c>
    </row>
    <row r="49" spans="1:10" x14ac:dyDescent="0.2">
      <c r="A49" s="2" t="s">
        <v>494</v>
      </c>
      <c r="B49" t="s">
        <v>1899</v>
      </c>
      <c r="H49">
        <v>105499</v>
      </c>
      <c r="I49" t="s">
        <v>1948</v>
      </c>
      <c r="J49" s="14" t="str">
        <f t="shared" si="0"/>
        <v>ia.assorted_string like '%105499-00154-01-2025%' or</v>
      </c>
    </row>
    <row r="50" spans="1:10" x14ac:dyDescent="0.2">
      <c r="A50" s="2" t="s">
        <v>407</v>
      </c>
      <c r="B50" t="s">
        <v>1899</v>
      </c>
      <c r="H50">
        <v>105499</v>
      </c>
      <c r="I50" t="s">
        <v>1949</v>
      </c>
      <c r="J50" s="14" t="str">
        <f t="shared" si="0"/>
        <v>ia.assorted_string like '%105499-00134-01-2025%' or</v>
      </c>
    </row>
    <row r="51" spans="1:10" x14ac:dyDescent="0.2">
      <c r="A51" s="2" t="s">
        <v>628</v>
      </c>
      <c r="B51" t="s">
        <v>1899</v>
      </c>
      <c r="H51">
        <v>105499</v>
      </c>
      <c r="I51" t="s">
        <v>1950</v>
      </c>
      <c r="J51" s="14" t="str">
        <f t="shared" si="0"/>
        <v>ia.assorted_string like '%105499-00183-01-2025%' or</v>
      </c>
    </row>
    <row r="52" spans="1:10" x14ac:dyDescent="0.2">
      <c r="A52" s="2" t="s">
        <v>420</v>
      </c>
      <c r="B52" t="s">
        <v>1899</v>
      </c>
      <c r="H52">
        <v>105499</v>
      </c>
      <c r="I52" t="s">
        <v>1951</v>
      </c>
      <c r="J52" s="14" t="str">
        <f t="shared" si="0"/>
        <v>ia.assorted_string like '%105499-00137-01-2025%' or</v>
      </c>
    </row>
    <row r="53" spans="1:10" x14ac:dyDescent="0.2">
      <c r="A53" s="2" t="s">
        <v>424</v>
      </c>
      <c r="B53" t="s">
        <v>1899</v>
      </c>
      <c r="H53">
        <v>105499</v>
      </c>
      <c r="I53" t="s">
        <v>1952</v>
      </c>
      <c r="J53" s="14" t="str">
        <f t="shared" si="0"/>
        <v>ia.assorted_string like '%105499-00138-01-2025%' or</v>
      </c>
    </row>
    <row r="54" spans="1:10" x14ac:dyDescent="0.2">
      <c r="A54" s="2" t="s">
        <v>428</v>
      </c>
      <c r="B54" t="s">
        <v>1899</v>
      </c>
      <c r="H54">
        <v>105499</v>
      </c>
      <c r="I54" t="s">
        <v>1953</v>
      </c>
      <c r="J54" s="14" t="str">
        <f t="shared" si="0"/>
        <v>ia.assorted_string like '%105499-00139-01-2025%' or</v>
      </c>
    </row>
    <row r="55" spans="1:10" x14ac:dyDescent="0.2">
      <c r="A55" s="2" t="s">
        <v>1038</v>
      </c>
      <c r="B55" t="s">
        <v>1899</v>
      </c>
      <c r="H55">
        <v>106429</v>
      </c>
      <c r="I55" t="s">
        <v>1954</v>
      </c>
      <c r="J55" s="14" t="str">
        <f t="shared" si="0"/>
        <v>ia.assorted_string like '%106429-00001-01-2025%' or</v>
      </c>
    </row>
    <row r="56" spans="1:10" x14ac:dyDescent="0.2">
      <c r="A56" s="2" t="s">
        <v>454</v>
      </c>
      <c r="B56" t="s">
        <v>1899</v>
      </c>
      <c r="H56">
        <v>105499</v>
      </c>
      <c r="I56" t="s">
        <v>1955</v>
      </c>
      <c r="J56" s="14" t="str">
        <f t="shared" si="0"/>
        <v>ia.assorted_string like '%105499-00146-01-2025%' or</v>
      </c>
    </row>
    <row r="57" spans="1:10" x14ac:dyDescent="0.2">
      <c r="A57" s="2" t="s">
        <v>450</v>
      </c>
      <c r="B57" t="s">
        <v>1899</v>
      </c>
      <c r="H57">
        <v>105499</v>
      </c>
      <c r="I57" t="s">
        <v>1956</v>
      </c>
      <c r="J57" s="14" t="str">
        <f t="shared" si="0"/>
        <v>ia.assorted_string like '%105499-00145-01-2025%' or</v>
      </c>
    </row>
    <row r="58" spans="1:10" x14ac:dyDescent="0.2">
      <c r="A58" s="2" t="s">
        <v>1042</v>
      </c>
      <c r="B58" t="s">
        <v>1899</v>
      </c>
      <c r="H58">
        <v>106429</v>
      </c>
      <c r="I58" t="s">
        <v>1957</v>
      </c>
      <c r="J58" s="14" t="str">
        <f t="shared" si="0"/>
        <v>ia.assorted_string like '%106429-00002-01-2025%' or</v>
      </c>
    </row>
    <row r="59" spans="1:10" x14ac:dyDescent="0.2">
      <c r="A59" s="2" t="s">
        <v>446</v>
      </c>
      <c r="B59" t="s">
        <v>1899</v>
      </c>
      <c r="H59">
        <v>105499</v>
      </c>
      <c r="I59" t="s">
        <v>1958</v>
      </c>
      <c r="J59" s="14" t="str">
        <f t="shared" si="0"/>
        <v>ia.assorted_string like '%105499-00144-01-2025%' or</v>
      </c>
    </row>
    <row r="60" spans="1:10" x14ac:dyDescent="0.2">
      <c r="A60" s="2" t="s">
        <v>464</v>
      </c>
      <c r="B60" t="s">
        <v>1899</v>
      </c>
      <c r="H60">
        <v>105499</v>
      </c>
      <c r="I60" t="s">
        <v>1959</v>
      </c>
      <c r="J60" s="14" t="str">
        <f t="shared" si="0"/>
        <v>ia.assorted_string like '%105499-00148-01-2025%' or</v>
      </c>
    </row>
    <row r="61" spans="1:10" x14ac:dyDescent="0.2">
      <c r="A61" s="2" t="s">
        <v>459</v>
      </c>
      <c r="B61" t="s">
        <v>1899</v>
      </c>
      <c r="H61">
        <v>105499</v>
      </c>
      <c r="I61" t="s">
        <v>1960</v>
      </c>
      <c r="J61" s="14" t="str">
        <f t="shared" si="0"/>
        <v>ia.assorted_string like '%105499-00147-01-2025%' or</v>
      </c>
    </row>
    <row r="62" spans="1:10" x14ac:dyDescent="0.2">
      <c r="A62" s="2" t="s">
        <v>442</v>
      </c>
      <c r="B62" t="s">
        <v>1899</v>
      </c>
      <c r="H62">
        <v>105499</v>
      </c>
      <c r="I62" t="s">
        <v>1961</v>
      </c>
      <c r="J62" s="14" t="str">
        <f t="shared" si="0"/>
        <v>ia.assorted_string like '%105499-00143-01-2025%' or</v>
      </c>
    </row>
    <row r="63" spans="1:10" x14ac:dyDescent="0.2">
      <c r="A63" s="2" t="s">
        <v>1046</v>
      </c>
      <c r="B63" t="s">
        <v>1899</v>
      </c>
      <c r="H63">
        <v>106429</v>
      </c>
      <c r="I63" t="s">
        <v>1962</v>
      </c>
      <c r="J63" s="14" t="str">
        <f t="shared" si="0"/>
        <v>ia.assorted_string like '%106429-00003-01-2025%' or</v>
      </c>
    </row>
    <row r="64" spans="1:10" x14ac:dyDescent="0.2">
      <c r="A64" s="2" t="s">
        <v>468</v>
      </c>
      <c r="B64" t="s">
        <v>1899</v>
      </c>
      <c r="H64">
        <v>105499</v>
      </c>
      <c r="I64" t="s">
        <v>1963</v>
      </c>
      <c r="J64" s="14" t="str">
        <f t="shared" si="0"/>
        <v>ia.assorted_string like '%105499-00149-01-2025%' or</v>
      </c>
    </row>
    <row r="65" spans="1:10" x14ac:dyDescent="0.2">
      <c r="A65" s="2" t="s">
        <v>1055</v>
      </c>
      <c r="B65" t="s">
        <v>1899</v>
      </c>
      <c r="H65">
        <v>106429</v>
      </c>
      <c r="I65" t="s">
        <v>1964</v>
      </c>
      <c r="J65" s="14" t="str">
        <f t="shared" si="0"/>
        <v>ia.assorted_string like '%106429-00005-01-2025%' or</v>
      </c>
    </row>
    <row r="66" spans="1:10" x14ac:dyDescent="0.2">
      <c r="A66" s="2" t="s">
        <v>490</v>
      </c>
      <c r="B66" t="s">
        <v>1899</v>
      </c>
      <c r="H66">
        <v>105499</v>
      </c>
      <c r="I66" t="s">
        <v>1965</v>
      </c>
      <c r="J66" s="14" t="str">
        <f t="shared" ref="J66:J129" si="1">"ia.assorted_string like '%"&amp;H66&amp;"-"&amp;I66&amp;B66&amp;"%' or"</f>
        <v>ia.assorted_string like '%105499-00153-01-2025%' or</v>
      </c>
    </row>
    <row r="67" spans="1:10" x14ac:dyDescent="0.2">
      <c r="A67" s="2" t="s">
        <v>512</v>
      </c>
      <c r="B67" t="s">
        <v>1899</v>
      </c>
      <c r="H67">
        <v>105499</v>
      </c>
      <c r="I67" t="s">
        <v>1966</v>
      </c>
      <c r="J67" s="14" t="str">
        <f t="shared" si="1"/>
        <v>ia.assorted_string like '%105499-00158-01-2025%' or</v>
      </c>
    </row>
    <row r="68" spans="1:10" x14ac:dyDescent="0.2">
      <c r="A68" s="2" t="s">
        <v>503</v>
      </c>
      <c r="B68" t="s">
        <v>1899</v>
      </c>
      <c r="H68">
        <v>105499</v>
      </c>
      <c r="I68" t="s">
        <v>1967</v>
      </c>
      <c r="J68" s="14" t="str">
        <f t="shared" si="1"/>
        <v>ia.assorted_string like '%105499-00156-01-2025%' or</v>
      </c>
    </row>
    <row r="69" spans="1:10" x14ac:dyDescent="0.2">
      <c r="A69" s="2" t="s">
        <v>477</v>
      </c>
      <c r="B69" t="s">
        <v>1899</v>
      </c>
      <c r="H69">
        <v>105499</v>
      </c>
      <c r="I69" t="s">
        <v>1968</v>
      </c>
      <c r="J69" s="14" t="str">
        <f t="shared" si="1"/>
        <v>ia.assorted_string like '%105499-00150-01-2025%' or</v>
      </c>
    </row>
    <row r="70" spans="1:10" x14ac:dyDescent="0.2">
      <c r="A70" s="2" t="s">
        <v>516</v>
      </c>
      <c r="B70" t="s">
        <v>1899</v>
      </c>
      <c r="H70">
        <v>105499</v>
      </c>
      <c r="I70" t="s">
        <v>1969</v>
      </c>
      <c r="J70" s="14" t="str">
        <f t="shared" si="1"/>
        <v>ia.assorted_string like '%105499-00159-01-2025%' or</v>
      </c>
    </row>
    <row r="71" spans="1:10" x14ac:dyDescent="0.2">
      <c r="A71" s="2" t="s">
        <v>543</v>
      </c>
      <c r="B71" t="s">
        <v>1899</v>
      </c>
      <c r="H71">
        <v>105499</v>
      </c>
      <c r="I71" t="s">
        <v>1970</v>
      </c>
      <c r="J71" s="14" t="str">
        <f t="shared" si="1"/>
        <v>ia.assorted_string like '%105499-00165-01-2025%' or</v>
      </c>
    </row>
    <row r="72" spans="1:10" x14ac:dyDescent="0.2">
      <c r="A72" s="2" t="s">
        <v>539</v>
      </c>
      <c r="B72" t="s">
        <v>1899</v>
      </c>
      <c r="H72">
        <v>105499</v>
      </c>
      <c r="I72" t="s">
        <v>1971</v>
      </c>
      <c r="J72" s="14" t="str">
        <f t="shared" si="1"/>
        <v>ia.assorted_string like '%105499-00164-01-2025%' or</v>
      </c>
    </row>
    <row r="73" spans="1:10" x14ac:dyDescent="0.2">
      <c r="A73" s="2" t="s">
        <v>529</v>
      </c>
      <c r="B73" t="s">
        <v>1899</v>
      </c>
      <c r="H73">
        <v>105499</v>
      </c>
      <c r="I73" t="s">
        <v>1901</v>
      </c>
      <c r="J73" s="14" t="str">
        <f t="shared" si="1"/>
        <v>ia.assorted_string like '%105499-00161-01-2025%' or</v>
      </c>
    </row>
    <row r="74" spans="1:10" x14ac:dyDescent="0.2">
      <c r="A74" s="2" t="s">
        <v>999</v>
      </c>
      <c r="B74" t="s">
        <v>1899</v>
      </c>
      <c r="H74">
        <v>105499</v>
      </c>
      <c r="I74" t="s">
        <v>1972</v>
      </c>
      <c r="J74" s="14" t="str">
        <f t="shared" si="1"/>
        <v>ia.assorted_string like '%105499-00091-01-2025%' or</v>
      </c>
    </row>
    <row r="75" spans="1:10" x14ac:dyDescent="0.2">
      <c r="A75" s="2" t="s">
        <v>534</v>
      </c>
      <c r="B75" t="s">
        <v>1899</v>
      </c>
      <c r="H75">
        <v>105499</v>
      </c>
      <c r="I75" t="s">
        <v>1973</v>
      </c>
      <c r="J75" s="14" t="str">
        <f t="shared" si="1"/>
        <v>ia.assorted_string like '%105499-00163-01-2025%' or</v>
      </c>
    </row>
    <row r="76" spans="1:10" x14ac:dyDescent="0.2">
      <c r="A76" s="2" t="s">
        <v>636</v>
      </c>
      <c r="B76" t="s">
        <v>1899</v>
      </c>
      <c r="H76">
        <v>105499</v>
      </c>
      <c r="I76" t="s">
        <v>1974</v>
      </c>
      <c r="J76" s="14" t="str">
        <f t="shared" si="1"/>
        <v>ia.assorted_string like '%105499-00185-01-2025%' or</v>
      </c>
    </row>
    <row r="77" spans="1:10" x14ac:dyDescent="0.2">
      <c r="A77" s="2" t="s">
        <v>524</v>
      </c>
      <c r="B77" t="s">
        <v>1899</v>
      </c>
      <c r="H77">
        <v>105499</v>
      </c>
      <c r="I77" t="s">
        <v>1975</v>
      </c>
      <c r="J77" s="14" t="str">
        <f t="shared" si="1"/>
        <v>ia.assorted_string like '%105499-00160-01-2025%' or</v>
      </c>
    </row>
    <row r="78" spans="1:10" x14ac:dyDescent="0.2">
      <c r="A78" s="2" t="s">
        <v>486</v>
      </c>
      <c r="B78" t="s">
        <v>1899</v>
      </c>
      <c r="H78">
        <v>105499</v>
      </c>
      <c r="I78" t="s">
        <v>1976</v>
      </c>
      <c r="J78" s="14" t="str">
        <f t="shared" si="1"/>
        <v>ia.assorted_string like '%105499-00152-01-2025%' or</v>
      </c>
    </row>
    <row r="79" spans="1:10" x14ac:dyDescent="0.2">
      <c r="A79" s="2" t="s">
        <v>632</v>
      </c>
      <c r="B79" t="s">
        <v>1899</v>
      </c>
      <c r="H79">
        <v>105499</v>
      </c>
      <c r="I79" t="s">
        <v>1977</v>
      </c>
      <c r="J79" s="14" t="str">
        <f t="shared" si="1"/>
        <v>ia.assorted_string like '%105499-00184-01-2025%' or</v>
      </c>
    </row>
    <row r="80" spans="1:10" x14ac:dyDescent="0.2">
      <c r="A80" s="2" t="s">
        <v>1050</v>
      </c>
      <c r="B80" t="s">
        <v>1899</v>
      </c>
      <c r="H80">
        <v>106429</v>
      </c>
      <c r="I80" t="s">
        <v>1978</v>
      </c>
      <c r="J80" s="14" t="str">
        <f t="shared" si="1"/>
        <v>ia.assorted_string like '%106429-00004-01-2025%' or</v>
      </c>
    </row>
    <row r="81" spans="1:10" x14ac:dyDescent="0.2">
      <c r="A81" s="2" t="s">
        <v>577</v>
      </c>
      <c r="B81" t="s">
        <v>1899</v>
      </c>
      <c r="H81">
        <v>105499</v>
      </c>
      <c r="I81" t="s">
        <v>1979</v>
      </c>
      <c r="J81" s="14" t="str">
        <f t="shared" si="1"/>
        <v>ia.assorted_string like '%105499-00172-01-2025%' or</v>
      </c>
    </row>
    <row r="82" spans="1:10" x14ac:dyDescent="0.2">
      <c r="A82" s="2" t="s">
        <v>556</v>
      </c>
      <c r="B82" t="s">
        <v>1899</v>
      </c>
      <c r="H82">
        <v>105499</v>
      </c>
      <c r="I82" t="s">
        <v>1980</v>
      </c>
      <c r="J82" s="14" t="str">
        <f t="shared" si="1"/>
        <v>ia.assorted_string like '%105499-00168-01-2025%' or</v>
      </c>
    </row>
    <row r="83" spans="1:10" x14ac:dyDescent="0.2">
      <c r="A83" s="2" t="s">
        <v>590</v>
      </c>
      <c r="B83" t="s">
        <v>1899</v>
      </c>
      <c r="H83">
        <v>105499</v>
      </c>
      <c r="I83" t="s">
        <v>1981</v>
      </c>
      <c r="J83" s="14" t="str">
        <f t="shared" si="1"/>
        <v>ia.assorted_string like '%105499-00175-01-2025%' or</v>
      </c>
    </row>
    <row r="84" spans="1:10" x14ac:dyDescent="0.2">
      <c r="A84" s="2" t="s">
        <v>623</v>
      </c>
      <c r="B84" t="s">
        <v>1899</v>
      </c>
      <c r="H84">
        <v>105499</v>
      </c>
      <c r="I84" t="s">
        <v>1982</v>
      </c>
      <c r="J84" s="14" t="str">
        <f t="shared" si="1"/>
        <v>ia.assorted_string like '%105499-00182-01-2025%' or</v>
      </c>
    </row>
    <row r="85" spans="1:10" x14ac:dyDescent="0.2">
      <c r="A85" s="2" t="s">
        <v>607</v>
      </c>
      <c r="B85" t="s">
        <v>1899</v>
      </c>
      <c r="H85">
        <v>105499</v>
      </c>
      <c r="I85" t="s">
        <v>1983</v>
      </c>
      <c r="J85" s="14" t="str">
        <f t="shared" si="1"/>
        <v>ia.assorted_string like '%105499-00179-01-2025%' or</v>
      </c>
    </row>
    <row r="86" spans="1:10" x14ac:dyDescent="0.2">
      <c r="A86" s="2" t="s">
        <v>598</v>
      </c>
      <c r="B86" t="s">
        <v>1899</v>
      </c>
      <c r="H86">
        <v>105499</v>
      </c>
      <c r="I86" t="s">
        <v>1984</v>
      </c>
      <c r="J86" s="14" t="str">
        <f t="shared" si="1"/>
        <v>ia.assorted_string like '%105499-00177-01-2025%' or</v>
      </c>
    </row>
    <row r="87" spans="1:10" x14ac:dyDescent="0.2">
      <c r="A87" s="2" t="s">
        <v>1059</v>
      </c>
      <c r="B87" t="s">
        <v>1899</v>
      </c>
      <c r="H87">
        <v>106429</v>
      </c>
      <c r="I87" t="s">
        <v>1985</v>
      </c>
      <c r="J87" s="14" t="str">
        <f t="shared" si="1"/>
        <v>ia.assorted_string like '%106429-00006-01-2025%' or</v>
      </c>
    </row>
    <row r="88" spans="1:10" x14ac:dyDescent="0.2">
      <c r="A88" s="2" t="s">
        <v>602</v>
      </c>
      <c r="B88" t="s">
        <v>1899</v>
      </c>
      <c r="H88">
        <v>105499</v>
      </c>
      <c r="I88" t="s">
        <v>1986</v>
      </c>
      <c r="J88" s="14" t="str">
        <f t="shared" si="1"/>
        <v>ia.assorted_string like '%105499-00178-01-2025%' or</v>
      </c>
    </row>
    <row r="89" spans="1:10" x14ac:dyDescent="0.2">
      <c r="A89" s="2" t="s">
        <v>569</v>
      </c>
      <c r="B89" t="s">
        <v>1899</v>
      </c>
      <c r="H89">
        <v>105499</v>
      </c>
      <c r="I89" t="s">
        <v>1987</v>
      </c>
      <c r="J89" s="14" t="str">
        <f t="shared" si="1"/>
        <v>ia.assorted_string like '%105499-00170-01-2025%' or</v>
      </c>
    </row>
    <row r="90" spans="1:10" x14ac:dyDescent="0.2">
      <c r="A90" s="2" t="s">
        <v>481</v>
      </c>
      <c r="B90" t="s">
        <v>1899</v>
      </c>
      <c r="H90">
        <v>105499</v>
      </c>
      <c r="I90" t="s">
        <v>1988</v>
      </c>
      <c r="J90" s="14" t="str">
        <f t="shared" si="1"/>
        <v>ia.assorted_string like '%105499-00151-01-2025%' or</v>
      </c>
    </row>
    <row r="91" spans="1:10" x14ac:dyDescent="0.2">
      <c r="A91" s="2" t="s">
        <v>641</v>
      </c>
      <c r="B91" t="s">
        <v>1899</v>
      </c>
      <c r="H91">
        <v>105499</v>
      </c>
      <c r="I91" t="s">
        <v>1989</v>
      </c>
      <c r="J91" s="14" t="str">
        <f t="shared" si="1"/>
        <v>ia.assorted_string like '%105499-00186-01-2025%' or</v>
      </c>
    </row>
    <row r="92" spans="1:10" x14ac:dyDescent="0.2">
      <c r="A92" s="2" t="s">
        <v>619</v>
      </c>
      <c r="B92" t="s">
        <v>1899</v>
      </c>
      <c r="H92">
        <v>105499</v>
      </c>
      <c r="I92" t="s">
        <v>1990</v>
      </c>
      <c r="J92" s="14" t="str">
        <f t="shared" si="1"/>
        <v>ia.assorted_string like '%105499-00181-01-2025%' or</v>
      </c>
    </row>
    <row r="93" spans="1:10" x14ac:dyDescent="0.2">
      <c r="A93" s="2" t="s">
        <v>499</v>
      </c>
      <c r="B93" t="s">
        <v>1899</v>
      </c>
      <c r="H93">
        <v>105499</v>
      </c>
      <c r="I93" t="s">
        <v>1991</v>
      </c>
      <c r="J93" s="14" t="str">
        <f t="shared" si="1"/>
        <v>ia.assorted_string like '%105499-00155-01-2025%' or</v>
      </c>
    </row>
    <row r="94" spans="1:10" x14ac:dyDescent="0.2">
      <c r="A94" s="2" t="s">
        <v>573</v>
      </c>
      <c r="B94" t="s">
        <v>1899</v>
      </c>
      <c r="H94">
        <v>105499</v>
      </c>
      <c r="I94" t="s">
        <v>1992</v>
      </c>
      <c r="J94" s="14" t="str">
        <f t="shared" si="1"/>
        <v>ia.assorted_string like '%105499-00171-01-2025%' or</v>
      </c>
    </row>
    <row r="95" spans="1:10" x14ac:dyDescent="0.2">
      <c r="A95" s="2" t="s">
        <v>582</v>
      </c>
      <c r="B95" t="s">
        <v>1899</v>
      </c>
      <c r="H95">
        <v>105499</v>
      </c>
      <c r="I95" t="s">
        <v>1993</v>
      </c>
      <c r="J95" s="14" t="str">
        <f t="shared" si="1"/>
        <v>ia.assorted_string like '%105499-00173-01-2025%' or</v>
      </c>
    </row>
    <row r="96" spans="1:10" x14ac:dyDescent="0.2">
      <c r="A96" s="2" t="s">
        <v>552</v>
      </c>
      <c r="B96" t="s">
        <v>1899</v>
      </c>
      <c r="H96">
        <v>105499</v>
      </c>
      <c r="I96" t="s">
        <v>1994</v>
      </c>
      <c r="J96" s="14" t="str">
        <f t="shared" si="1"/>
        <v>ia.assorted_string like '%105499-00167-01-2025%' or</v>
      </c>
    </row>
    <row r="97" spans="1:10" x14ac:dyDescent="0.2">
      <c r="A97" s="2" t="s">
        <v>615</v>
      </c>
      <c r="B97" t="s">
        <v>1899</v>
      </c>
      <c r="H97">
        <v>105499</v>
      </c>
      <c r="I97" t="s">
        <v>1995</v>
      </c>
      <c r="J97" s="14" t="str">
        <f t="shared" si="1"/>
        <v>ia.assorted_string like '%105499-00180-01-2025%' or</v>
      </c>
    </row>
    <row r="98" spans="1:10" x14ac:dyDescent="0.2">
      <c r="A98" s="2" t="s">
        <v>586</v>
      </c>
      <c r="B98" t="s">
        <v>1899</v>
      </c>
      <c r="H98">
        <v>105499</v>
      </c>
      <c r="I98" t="s">
        <v>1996</v>
      </c>
      <c r="J98" s="14" t="str">
        <f t="shared" si="1"/>
        <v>ia.assorted_string like '%105499-00174-01-2025%' or</v>
      </c>
    </row>
    <row r="99" spans="1:10" x14ac:dyDescent="0.2">
      <c r="A99" s="2" t="s">
        <v>548</v>
      </c>
      <c r="B99" t="s">
        <v>1899</v>
      </c>
      <c r="H99">
        <v>105499</v>
      </c>
      <c r="I99" t="s">
        <v>1997</v>
      </c>
      <c r="J99" s="14" t="str">
        <f t="shared" si="1"/>
        <v>ia.assorted_string like '%105499-00166-01-2025%' or</v>
      </c>
    </row>
    <row r="100" spans="1:10" x14ac:dyDescent="0.2">
      <c r="A100" s="2" t="s">
        <v>594</v>
      </c>
      <c r="B100" t="s">
        <v>1899</v>
      </c>
      <c r="H100">
        <v>105499</v>
      </c>
      <c r="I100" t="s">
        <v>1998</v>
      </c>
      <c r="J100" s="14" t="str">
        <f t="shared" si="1"/>
        <v>ia.assorted_string like '%105499-00176-01-2025%' or</v>
      </c>
    </row>
    <row r="101" spans="1:10" x14ac:dyDescent="0.2">
      <c r="A101" s="2" t="s">
        <v>560</v>
      </c>
      <c r="B101" t="s">
        <v>1899</v>
      </c>
      <c r="H101">
        <v>105499</v>
      </c>
      <c r="I101" t="s">
        <v>1999</v>
      </c>
      <c r="J101" s="14" t="str">
        <f t="shared" si="1"/>
        <v>ia.assorted_string like '%105499-00169-01-2025%' or</v>
      </c>
    </row>
    <row r="102" spans="1:10" x14ac:dyDescent="0.2">
      <c r="A102" s="2" t="s">
        <v>646</v>
      </c>
      <c r="B102" t="s">
        <v>1899</v>
      </c>
      <c r="H102">
        <v>105499</v>
      </c>
      <c r="I102" t="s">
        <v>2000</v>
      </c>
      <c r="J102" s="14" t="str">
        <f t="shared" si="1"/>
        <v>ia.assorted_string like '%105499-00188-01-2025%' or</v>
      </c>
    </row>
    <row r="103" spans="1:10" x14ac:dyDescent="0.2">
      <c r="A103" s="2" t="s">
        <v>837</v>
      </c>
      <c r="B103" t="s">
        <v>1899</v>
      </c>
      <c r="H103">
        <v>105499</v>
      </c>
      <c r="I103" t="s">
        <v>2001</v>
      </c>
      <c r="J103" s="14" t="str">
        <f t="shared" si="1"/>
        <v>ia.assorted_string like '%105499-00056-01-2025%' or</v>
      </c>
    </row>
    <row r="104" spans="1:10" x14ac:dyDescent="0.2">
      <c r="A104" s="2" t="s">
        <v>987</v>
      </c>
      <c r="B104" t="s">
        <v>1899</v>
      </c>
      <c r="H104">
        <v>105499</v>
      </c>
      <c r="I104" t="s">
        <v>2002</v>
      </c>
      <c r="J104" s="14" t="str">
        <f t="shared" si="1"/>
        <v>ia.assorted_string like '%105499-00089-01-2025%' or</v>
      </c>
    </row>
    <row r="105" spans="1:10" x14ac:dyDescent="0.2">
      <c r="A105" s="2" t="s">
        <v>937</v>
      </c>
      <c r="B105" t="s">
        <v>1899</v>
      </c>
      <c r="H105">
        <v>105499</v>
      </c>
      <c r="I105" t="s">
        <v>2003</v>
      </c>
      <c r="J105" s="14" t="str">
        <f t="shared" si="1"/>
        <v>ia.assorted_string like '%105499-00078-01-2025%' or</v>
      </c>
    </row>
    <row r="106" spans="1:10" x14ac:dyDescent="0.2">
      <c r="A106" s="2" t="s">
        <v>1028</v>
      </c>
      <c r="B106" t="s">
        <v>1899</v>
      </c>
      <c r="H106">
        <v>105721</v>
      </c>
      <c r="I106" t="s">
        <v>1954</v>
      </c>
      <c r="J106" s="14" t="str">
        <f t="shared" si="1"/>
        <v>ia.assorted_string like '%105721-00001-01-2025%' or</v>
      </c>
    </row>
    <row r="107" spans="1:10" x14ac:dyDescent="0.2">
      <c r="A107" s="2" t="s">
        <v>860</v>
      </c>
      <c r="B107" t="s">
        <v>1899</v>
      </c>
      <c r="H107">
        <v>105499</v>
      </c>
      <c r="I107" t="s">
        <v>2004</v>
      </c>
      <c r="J107" s="14" t="str">
        <f t="shared" si="1"/>
        <v>ia.assorted_string like '%105499-00061-01-2025%' or</v>
      </c>
    </row>
    <row r="108" spans="1:10" x14ac:dyDescent="0.2">
      <c r="A108" s="2" t="s">
        <v>979</v>
      </c>
      <c r="B108" t="s">
        <v>1899</v>
      </c>
      <c r="H108">
        <v>105499</v>
      </c>
      <c r="I108" t="s">
        <v>2005</v>
      </c>
      <c r="J108" s="14" t="str">
        <f t="shared" si="1"/>
        <v>ia.assorted_string like '%105499-00087-01-2025%' or</v>
      </c>
    </row>
    <row r="109" spans="1:10" x14ac:dyDescent="0.2">
      <c r="A109" s="2" t="s">
        <v>995</v>
      </c>
      <c r="B109" t="s">
        <v>1899</v>
      </c>
      <c r="H109">
        <v>105499</v>
      </c>
      <c r="I109" t="s">
        <v>2006</v>
      </c>
      <c r="J109" s="14" t="str">
        <f t="shared" si="1"/>
        <v>ia.assorted_string like '%105499-00090-01-2025%' or</v>
      </c>
    </row>
    <row r="110" spans="1:10" x14ac:dyDescent="0.2">
      <c r="A110" s="2" t="s">
        <v>846</v>
      </c>
      <c r="B110" t="s">
        <v>1899</v>
      </c>
      <c r="H110">
        <v>105499</v>
      </c>
      <c r="I110" t="s">
        <v>2007</v>
      </c>
      <c r="J110" s="14" t="str">
        <f t="shared" si="1"/>
        <v>ia.assorted_string like '%105499-00058-01-2025%' or</v>
      </c>
    </row>
    <row r="111" spans="1:10" x14ac:dyDescent="0.2">
      <c r="A111" s="2" t="s">
        <v>983</v>
      </c>
      <c r="B111" t="s">
        <v>1899</v>
      </c>
      <c r="H111">
        <v>105499</v>
      </c>
      <c r="I111" t="s">
        <v>2008</v>
      </c>
      <c r="J111" s="14" t="str">
        <f t="shared" si="1"/>
        <v>ia.assorted_string like '%105499-00088-01-2025%' or</v>
      </c>
    </row>
    <row r="112" spans="1:10" x14ac:dyDescent="0.2">
      <c r="A112" s="2" t="s">
        <v>975</v>
      </c>
      <c r="B112" t="s">
        <v>1899</v>
      </c>
      <c r="H112">
        <v>105499</v>
      </c>
      <c r="I112" t="s">
        <v>2009</v>
      </c>
      <c r="J112" s="14" t="str">
        <f t="shared" si="1"/>
        <v>ia.assorted_string like '%105499-00086-01-2025%' or</v>
      </c>
    </row>
    <row r="113" spans="1:10" x14ac:dyDescent="0.2">
      <c r="A113" s="2" t="s">
        <v>891</v>
      </c>
      <c r="B113" t="s">
        <v>1899</v>
      </c>
      <c r="H113">
        <v>105499</v>
      </c>
      <c r="I113" t="s">
        <v>2010</v>
      </c>
      <c r="J113" s="14" t="str">
        <f t="shared" si="1"/>
        <v>ia.assorted_string like '%105499-00068-01-2025%' or</v>
      </c>
    </row>
    <row r="114" spans="1:10" x14ac:dyDescent="0.2">
      <c r="A114" s="2" t="s">
        <v>240</v>
      </c>
      <c r="B114" t="s">
        <v>1899</v>
      </c>
      <c r="H114">
        <v>105499</v>
      </c>
      <c r="I114" t="s">
        <v>1954</v>
      </c>
      <c r="J114" s="14" t="str">
        <f t="shared" si="1"/>
        <v>ia.assorted_string like '%105499-00001-01-2025%' or</v>
      </c>
    </row>
    <row r="115" spans="1:10" x14ac:dyDescent="0.2">
      <c r="A115" s="2" t="s">
        <v>833</v>
      </c>
      <c r="B115" t="s">
        <v>1899</v>
      </c>
      <c r="H115">
        <v>105499</v>
      </c>
      <c r="I115" t="s">
        <v>2011</v>
      </c>
      <c r="J115" s="14" t="str">
        <f t="shared" si="1"/>
        <v>ia.assorted_string like '%105499-00055-01-2025%' or</v>
      </c>
    </row>
    <row r="116" spans="1:10" x14ac:dyDescent="0.2">
      <c r="A116" s="2" t="s">
        <v>824</v>
      </c>
      <c r="B116" t="s">
        <v>1899</v>
      </c>
      <c r="H116">
        <v>105499</v>
      </c>
      <c r="I116" t="s">
        <v>2012</v>
      </c>
      <c r="J116" s="14" t="str">
        <f t="shared" si="1"/>
        <v>ia.assorted_string like '%105499-00053-01-2025%' or</v>
      </c>
    </row>
    <row r="117" spans="1:10" x14ac:dyDescent="0.2">
      <c r="A117" s="2" t="s">
        <v>828</v>
      </c>
      <c r="B117" t="s">
        <v>1899</v>
      </c>
      <c r="H117">
        <v>105499</v>
      </c>
      <c r="I117" t="s">
        <v>2013</v>
      </c>
      <c r="J117" s="14" t="str">
        <f t="shared" si="1"/>
        <v>ia.assorted_string like '%105499-00054-01-2025%' or</v>
      </c>
    </row>
    <row r="118" spans="1:10" x14ac:dyDescent="0.2">
      <c r="A118" s="2" t="s">
        <v>942</v>
      </c>
      <c r="B118" t="s">
        <v>1899</v>
      </c>
      <c r="H118">
        <v>105499</v>
      </c>
      <c r="I118" t="s">
        <v>2014</v>
      </c>
      <c r="J118" s="14" t="str">
        <f t="shared" si="1"/>
        <v>ia.assorted_string like '%105499-00079-01-2025%' or</v>
      </c>
    </row>
    <row r="119" spans="1:10" x14ac:dyDescent="0.2">
      <c r="A119" s="2" t="s">
        <v>907</v>
      </c>
      <c r="B119" t="s">
        <v>1899</v>
      </c>
      <c r="H119">
        <v>105499</v>
      </c>
      <c r="I119" t="s">
        <v>2015</v>
      </c>
      <c r="J119" s="14" t="str">
        <f t="shared" si="1"/>
        <v>ia.assorted_string like '%105499-00071-01-2025%' or</v>
      </c>
    </row>
    <row r="120" spans="1:10" x14ac:dyDescent="0.2">
      <c r="A120" s="2" t="s">
        <v>841</v>
      </c>
      <c r="B120" t="s">
        <v>1899</v>
      </c>
      <c r="H120">
        <v>105499</v>
      </c>
      <c r="I120" t="s">
        <v>2016</v>
      </c>
      <c r="J120" s="14" t="str">
        <f t="shared" si="1"/>
        <v>ia.assorted_string like '%105499-00057-01-2025%' or</v>
      </c>
    </row>
    <row r="121" spans="1:10" x14ac:dyDescent="0.2">
      <c r="A121" s="2" t="s">
        <v>1063</v>
      </c>
      <c r="B121" t="s">
        <v>1899</v>
      </c>
      <c r="H121">
        <v>106429</v>
      </c>
      <c r="I121" t="s">
        <v>2017</v>
      </c>
      <c r="J121" s="14" t="str">
        <f t="shared" si="1"/>
        <v>ia.assorted_string like '%106429-00007-01-2025%' or</v>
      </c>
    </row>
    <row r="122" spans="1:10" x14ac:dyDescent="0.2">
      <c r="A122" s="2" t="s">
        <v>850</v>
      </c>
      <c r="B122" t="s">
        <v>1899</v>
      </c>
      <c r="H122">
        <v>105499</v>
      </c>
      <c r="I122" t="s">
        <v>2018</v>
      </c>
      <c r="J122" s="14" t="str">
        <f t="shared" si="1"/>
        <v>ia.assorted_string like '%105499-00059-01-2025%' or</v>
      </c>
    </row>
    <row r="123" spans="1:10" x14ac:dyDescent="0.2">
      <c r="A123" s="2" t="s">
        <v>855</v>
      </c>
      <c r="B123" t="s">
        <v>1899</v>
      </c>
      <c r="H123">
        <v>105499</v>
      </c>
      <c r="I123" t="s">
        <v>2019</v>
      </c>
      <c r="J123" s="14" t="str">
        <f t="shared" si="1"/>
        <v>ia.assorted_string like '%105499-00060-01-2025%' or</v>
      </c>
    </row>
    <row r="124" spans="1:10" x14ac:dyDescent="0.2">
      <c r="A124" s="2" t="s">
        <v>864</v>
      </c>
      <c r="B124" t="s">
        <v>1899</v>
      </c>
      <c r="H124">
        <v>105499</v>
      </c>
      <c r="I124" t="s">
        <v>2020</v>
      </c>
      <c r="J124" s="14" t="str">
        <f t="shared" si="1"/>
        <v>ia.assorted_string like '%105499-00062-01-2025%' or</v>
      </c>
    </row>
    <row r="125" spans="1:10" x14ac:dyDescent="0.2">
      <c r="A125" s="2" t="s">
        <v>876</v>
      </c>
      <c r="B125" t="s">
        <v>1899</v>
      </c>
      <c r="H125">
        <v>105499</v>
      </c>
      <c r="I125" t="s">
        <v>2021</v>
      </c>
      <c r="J125" s="14" t="str">
        <f t="shared" si="1"/>
        <v>ia.assorted_string like '%105499-00065-01-2025%' or</v>
      </c>
    </row>
    <row r="126" spans="1:10" x14ac:dyDescent="0.2">
      <c r="A126" s="2" t="s">
        <v>868</v>
      </c>
      <c r="B126" t="s">
        <v>1899</v>
      </c>
      <c r="H126">
        <v>105499</v>
      </c>
      <c r="I126" t="s">
        <v>2022</v>
      </c>
      <c r="J126" s="14" t="str">
        <f t="shared" si="1"/>
        <v>ia.assorted_string like '%105499-00063-01-2025%' or</v>
      </c>
    </row>
    <row r="127" spans="1:10" x14ac:dyDescent="0.2">
      <c r="A127" s="2" t="s">
        <v>932</v>
      </c>
      <c r="B127" t="s">
        <v>1899</v>
      </c>
      <c r="H127">
        <v>105499</v>
      </c>
      <c r="I127" t="s">
        <v>2023</v>
      </c>
      <c r="J127" s="14" t="str">
        <f t="shared" si="1"/>
        <v>ia.assorted_string like '%105499-00077-01-2025%' or</v>
      </c>
    </row>
    <row r="128" spans="1:10" x14ac:dyDescent="0.2">
      <c r="A128" s="2" t="s">
        <v>872</v>
      </c>
      <c r="B128" t="s">
        <v>1899</v>
      </c>
      <c r="H128">
        <v>105499</v>
      </c>
      <c r="I128" t="s">
        <v>2024</v>
      </c>
      <c r="J128" s="14" t="str">
        <f t="shared" si="1"/>
        <v>ia.assorted_string like '%105499-00064-01-2025%' or</v>
      </c>
    </row>
    <row r="129" spans="1:10" x14ac:dyDescent="0.2">
      <c r="A129" s="2" t="s">
        <v>881</v>
      </c>
      <c r="B129" t="s">
        <v>1899</v>
      </c>
      <c r="H129">
        <v>105499</v>
      </c>
      <c r="I129" t="s">
        <v>2025</v>
      </c>
      <c r="J129" s="14" t="str">
        <f t="shared" si="1"/>
        <v>ia.assorted_string like '%105499-00066-01-2025%' or</v>
      </c>
    </row>
    <row r="130" spans="1:10" x14ac:dyDescent="0.2">
      <c r="A130" s="2" t="s">
        <v>886</v>
      </c>
      <c r="B130" t="s">
        <v>1899</v>
      </c>
      <c r="H130">
        <v>105499</v>
      </c>
      <c r="I130" t="s">
        <v>2026</v>
      </c>
      <c r="J130" s="14" t="str">
        <f t="shared" ref="J130:J193" si="2">"ia.assorted_string like '%"&amp;H130&amp;"-"&amp;I130&amp;B130&amp;"%' or"</f>
        <v>ia.assorted_string like '%105499-00067-01-2025%' or</v>
      </c>
    </row>
    <row r="131" spans="1:10" x14ac:dyDescent="0.2">
      <c r="A131" s="2" t="s">
        <v>911</v>
      </c>
      <c r="B131" t="s">
        <v>1899</v>
      </c>
      <c r="H131">
        <v>105499</v>
      </c>
      <c r="I131" t="s">
        <v>2027</v>
      </c>
      <c r="J131" s="14" t="str">
        <f t="shared" si="2"/>
        <v>ia.assorted_string like '%105499-00072-01-2025%' or</v>
      </c>
    </row>
    <row r="132" spans="1:10" x14ac:dyDescent="0.2">
      <c r="A132" s="2" t="s">
        <v>915</v>
      </c>
      <c r="B132" t="s">
        <v>1899</v>
      </c>
      <c r="H132">
        <v>105499</v>
      </c>
      <c r="I132" t="s">
        <v>2028</v>
      </c>
      <c r="J132" s="14" t="str">
        <f t="shared" si="2"/>
        <v>ia.assorted_string like '%105499-00073-01-2025%' or</v>
      </c>
    </row>
    <row r="133" spans="1:10" x14ac:dyDescent="0.2">
      <c r="A133" s="2" t="s">
        <v>895</v>
      </c>
      <c r="B133" t="s">
        <v>1899</v>
      </c>
      <c r="H133">
        <v>105499</v>
      </c>
      <c r="I133" t="s">
        <v>2029</v>
      </c>
      <c r="J133" s="14" t="str">
        <f t="shared" si="2"/>
        <v>ia.assorted_string like '%105499-00069-01-2025%' or</v>
      </c>
    </row>
    <row r="134" spans="1:10" x14ac:dyDescent="0.2">
      <c r="A134" s="2" t="s">
        <v>927</v>
      </c>
      <c r="B134" t="s">
        <v>1899</v>
      </c>
      <c r="H134">
        <v>105499</v>
      </c>
      <c r="I134" t="s">
        <v>2030</v>
      </c>
      <c r="J134" s="14" t="str">
        <f t="shared" si="2"/>
        <v>ia.assorted_string like '%105499-00076-01-2025%' or</v>
      </c>
    </row>
    <row r="135" spans="1:10" x14ac:dyDescent="0.2">
      <c r="A135" s="2" t="s">
        <v>970</v>
      </c>
      <c r="B135" t="s">
        <v>1899</v>
      </c>
      <c r="H135">
        <v>105499</v>
      </c>
      <c r="I135" t="s">
        <v>2031</v>
      </c>
      <c r="J135" s="14" t="str">
        <f t="shared" si="2"/>
        <v>ia.assorted_string like '%105499-00085-01-2025%' or</v>
      </c>
    </row>
    <row r="136" spans="1:10" x14ac:dyDescent="0.2">
      <c r="A136" s="2" t="s">
        <v>919</v>
      </c>
      <c r="B136" t="s">
        <v>1899</v>
      </c>
      <c r="H136">
        <v>105499</v>
      </c>
      <c r="I136" t="s">
        <v>2032</v>
      </c>
      <c r="J136" s="14" t="str">
        <f t="shared" si="2"/>
        <v>ia.assorted_string like '%105499-00074-01-2025%' or</v>
      </c>
    </row>
    <row r="137" spans="1:10" x14ac:dyDescent="0.2">
      <c r="A137" s="2" t="s">
        <v>903</v>
      </c>
      <c r="B137" t="s">
        <v>1899</v>
      </c>
      <c r="H137">
        <v>105499</v>
      </c>
      <c r="I137" t="s">
        <v>2033</v>
      </c>
      <c r="J137" s="14" t="str">
        <f t="shared" si="2"/>
        <v>ia.assorted_string like '%105499-00070-01-2025%' or</v>
      </c>
    </row>
    <row r="138" spans="1:10" x14ac:dyDescent="0.2">
      <c r="A138" s="2" t="s">
        <v>958</v>
      </c>
      <c r="B138" t="s">
        <v>1899</v>
      </c>
      <c r="H138">
        <v>105499</v>
      </c>
      <c r="I138" t="s">
        <v>2034</v>
      </c>
      <c r="J138" s="14" t="str">
        <f t="shared" si="2"/>
        <v>ia.assorted_string like '%105499-00082-01-2025%' or</v>
      </c>
    </row>
    <row r="139" spans="1:10" x14ac:dyDescent="0.2">
      <c r="A139" s="2" t="s">
        <v>954</v>
      </c>
      <c r="B139" t="s">
        <v>1899</v>
      </c>
      <c r="H139">
        <v>105499</v>
      </c>
      <c r="I139" t="s">
        <v>2035</v>
      </c>
      <c r="J139" s="14" t="str">
        <f t="shared" si="2"/>
        <v>ia.assorted_string like '%105499-00081-01-2025%' or</v>
      </c>
    </row>
    <row r="140" spans="1:10" x14ac:dyDescent="0.2">
      <c r="A140" s="2" t="s">
        <v>923</v>
      </c>
      <c r="B140" t="s">
        <v>1899</v>
      </c>
      <c r="H140">
        <v>105499</v>
      </c>
      <c r="I140" t="s">
        <v>2036</v>
      </c>
      <c r="J140" s="14" t="str">
        <f t="shared" si="2"/>
        <v>ia.assorted_string like '%105499-00075-01-2025%' or</v>
      </c>
    </row>
    <row r="141" spans="1:10" x14ac:dyDescent="0.2">
      <c r="A141" s="2" t="s">
        <v>950</v>
      </c>
      <c r="B141" t="s">
        <v>1899</v>
      </c>
      <c r="H141">
        <v>105499</v>
      </c>
      <c r="I141" t="s">
        <v>2037</v>
      </c>
      <c r="J141" s="14" t="str">
        <f t="shared" si="2"/>
        <v>ia.assorted_string like '%105499-00080-01-2025%' or</v>
      </c>
    </row>
    <row r="142" spans="1:10" x14ac:dyDescent="0.2">
      <c r="A142" s="2" t="s">
        <v>966</v>
      </c>
      <c r="B142" t="s">
        <v>1899</v>
      </c>
      <c r="H142">
        <v>105499</v>
      </c>
      <c r="I142" t="s">
        <v>2038</v>
      </c>
      <c r="J142" s="14" t="str">
        <f t="shared" si="2"/>
        <v>ia.assorted_string like '%105499-00084-01-2025%' or</v>
      </c>
    </row>
    <row r="143" spans="1:10" x14ac:dyDescent="0.2">
      <c r="A143" s="2" t="s">
        <v>962</v>
      </c>
      <c r="B143" t="s">
        <v>1899</v>
      </c>
      <c r="H143">
        <v>105499</v>
      </c>
      <c r="I143" t="s">
        <v>2039</v>
      </c>
      <c r="J143" s="14" t="str">
        <f t="shared" si="2"/>
        <v>ia.assorted_string like '%105499-00083-01-2025%' or</v>
      </c>
    </row>
    <row r="144" spans="1:10" x14ac:dyDescent="0.2">
      <c r="A144" s="2" t="s">
        <v>665</v>
      </c>
      <c r="B144" t="s">
        <v>1899</v>
      </c>
      <c r="H144">
        <v>105499</v>
      </c>
      <c r="I144" t="s">
        <v>1957</v>
      </c>
      <c r="J144" s="14" t="str">
        <f t="shared" si="2"/>
        <v>ia.assorted_string like '%105499-00002-01-2025%' or</v>
      </c>
    </row>
    <row r="145" spans="1:10" x14ac:dyDescent="0.2">
      <c r="A145" s="2" t="s">
        <v>778</v>
      </c>
      <c r="B145" t="s">
        <v>1899</v>
      </c>
      <c r="H145">
        <v>105499</v>
      </c>
      <c r="I145" t="s">
        <v>2040</v>
      </c>
      <c r="J145" s="14" t="str">
        <f t="shared" si="2"/>
        <v>ia.assorted_string like '%105499-00043-01-2025%' or</v>
      </c>
    </row>
    <row r="146" spans="1:10" x14ac:dyDescent="0.2">
      <c r="A146" s="2" t="s">
        <v>819</v>
      </c>
      <c r="B146" t="s">
        <v>1899</v>
      </c>
      <c r="H146">
        <v>105499</v>
      </c>
      <c r="I146" t="s">
        <v>2041</v>
      </c>
      <c r="J146" s="14" t="str">
        <f t="shared" si="2"/>
        <v>ia.assorted_string like '%105499-00052-01-2025%' or</v>
      </c>
    </row>
    <row r="147" spans="1:10" x14ac:dyDescent="0.2">
      <c r="A147" s="2" t="s">
        <v>807</v>
      </c>
      <c r="B147" t="s">
        <v>1899</v>
      </c>
      <c r="H147">
        <v>105499</v>
      </c>
      <c r="I147" t="s">
        <v>1964</v>
      </c>
      <c r="J147" s="14" t="str">
        <f t="shared" si="2"/>
        <v>ia.assorted_string like '%105499-00005-01-2025%' or</v>
      </c>
    </row>
    <row r="148" spans="1:10" x14ac:dyDescent="0.2">
      <c r="A148" s="2" t="s">
        <v>729</v>
      </c>
      <c r="B148" t="s">
        <v>1899</v>
      </c>
      <c r="H148">
        <v>105499</v>
      </c>
      <c r="I148" t="s">
        <v>2042</v>
      </c>
      <c r="J148" s="14" t="str">
        <f t="shared" si="2"/>
        <v>ia.assorted_string like '%105499-00032-01-2025%' or</v>
      </c>
    </row>
    <row r="149" spans="1:10" x14ac:dyDescent="0.2">
      <c r="A149" s="2" t="s">
        <v>655</v>
      </c>
      <c r="B149" t="s">
        <v>1899</v>
      </c>
      <c r="H149">
        <v>105499</v>
      </c>
      <c r="I149" t="s">
        <v>2043</v>
      </c>
      <c r="J149" s="14" t="str">
        <f t="shared" si="2"/>
        <v>ia.assorted_string like '%105499-00019-01-2025%' or</v>
      </c>
    </row>
    <row r="150" spans="1:10" x14ac:dyDescent="0.2">
      <c r="A150" s="2" t="s">
        <v>753</v>
      </c>
      <c r="B150" t="s">
        <v>1899</v>
      </c>
      <c r="H150">
        <v>105499</v>
      </c>
      <c r="I150" t="s">
        <v>2044</v>
      </c>
      <c r="J150" s="14" t="str">
        <f t="shared" si="2"/>
        <v>ia.assorted_string like '%105499-00038-01-2025%' or</v>
      </c>
    </row>
    <row r="151" spans="1:10" x14ac:dyDescent="0.2">
      <c r="A151" s="2" t="s">
        <v>716</v>
      </c>
      <c r="B151" t="s">
        <v>1899</v>
      </c>
      <c r="H151">
        <v>105499</v>
      </c>
      <c r="I151" t="s">
        <v>1962</v>
      </c>
      <c r="J151" s="14" t="str">
        <f t="shared" si="2"/>
        <v>ia.assorted_string like '%105499-00003-01-2025%' or</v>
      </c>
    </row>
    <row r="152" spans="1:10" x14ac:dyDescent="0.2">
      <c r="A152" s="2" t="s">
        <v>292</v>
      </c>
      <c r="B152" t="s">
        <v>1899</v>
      </c>
      <c r="H152">
        <v>105499</v>
      </c>
      <c r="I152" t="s">
        <v>2045</v>
      </c>
      <c r="J152" s="14" t="str">
        <f t="shared" si="2"/>
        <v>ia.assorted_string like '%105499-00011-01-2025%' or</v>
      </c>
    </row>
    <row r="153" spans="1:10" x14ac:dyDescent="0.2">
      <c r="A153" s="2" t="s">
        <v>711</v>
      </c>
      <c r="B153" t="s">
        <v>1899</v>
      </c>
      <c r="H153">
        <v>105499</v>
      </c>
      <c r="I153" t="s">
        <v>2046</v>
      </c>
      <c r="J153" s="14" t="str">
        <f t="shared" si="2"/>
        <v>ia.assorted_string like '%105499-00029-01-2025%' or</v>
      </c>
    </row>
    <row r="154" spans="1:10" x14ac:dyDescent="0.2">
      <c r="A154" s="2" t="s">
        <v>432</v>
      </c>
      <c r="B154" t="s">
        <v>1899</v>
      </c>
      <c r="H154">
        <v>105499</v>
      </c>
      <c r="I154" t="s">
        <v>2047</v>
      </c>
      <c r="J154" s="14" t="str">
        <f t="shared" si="2"/>
        <v>ia.assorted_string like '%105499-00014-01-2025%' or</v>
      </c>
    </row>
    <row r="155" spans="1:10" x14ac:dyDescent="0.2">
      <c r="A155" s="2" t="s">
        <v>803</v>
      </c>
      <c r="B155" t="s">
        <v>1899</v>
      </c>
      <c r="H155">
        <v>105499</v>
      </c>
      <c r="I155" t="s">
        <v>2048</v>
      </c>
      <c r="J155" s="14" t="str">
        <f t="shared" si="2"/>
        <v>ia.assorted_string like '%105499-00049-01-2025%' or</v>
      </c>
    </row>
    <row r="156" spans="1:10" x14ac:dyDescent="0.2">
      <c r="A156" s="2" t="s">
        <v>697</v>
      </c>
      <c r="B156" t="s">
        <v>1899</v>
      </c>
      <c r="H156">
        <v>105499</v>
      </c>
      <c r="I156" t="s">
        <v>2049</v>
      </c>
      <c r="J156" s="14" t="str">
        <f t="shared" si="2"/>
        <v>ia.assorted_string like '%105499-00026-01-2025%' or</v>
      </c>
    </row>
    <row r="157" spans="1:10" x14ac:dyDescent="0.2">
      <c r="A157" s="2" t="s">
        <v>991</v>
      </c>
      <c r="B157" t="s">
        <v>1899</v>
      </c>
      <c r="H157">
        <v>105499</v>
      </c>
      <c r="I157" t="s">
        <v>2050</v>
      </c>
      <c r="J157" s="14" t="str">
        <f t="shared" si="2"/>
        <v>ia.assorted_string like '%105499-00009-01-2025%' or</v>
      </c>
    </row>
    <row r="158" spans="1:10" x14ac:dyDescent="0.2">
      <c r="A158" s="2" t="s">
        <v>565</v>
      </c>
      <c r="B158" t="s">
        <v>1899</v>
      </c>
      <c r="H158">
        <v>105499</v>
      </c>
      <c r="I158" t="s">
        <v>2051</v>
      </c>
      <c r="J158" s="14" t="str">
        <f t="shared" si="2"/>
        <v>ia.assorted_string like '%105499-00017-01-2025%' or</v>
      </c>
    </row>
    <row r="159" spans="1:10" x14ac:dyDescent="0.2">
      <c r="A159" s="2" t="s">
        <v>815</v>
      </c>
      <c r="B159" t="s">
        <v>1899</v>
      </c>
      <c r="H159">
        <v>105499</v>
      </c>
      <c r="I159" t="s">
        <v>2052</v>
      </c>
      <c r="J159" s="14" t="str">
        <f t="shared" si="2"/>
        <v>ia.assorted_string like '%105499-00051-01-2025%' or</v>
      </c>
    </row>
    <row r="160" spans="1:10" x14ac:dyDescent="0.2">
      <c r="A160" s="2" t="s">
        <v>811</v>
      </c>
      <c r="B160" t="s">
        <v>1899</v>
      </c>
      <c r="H160">
        <v>105499</v>
      </c>
      <c r="I160" t="s">
        <v>2053</v>
      </c>
      <c r="J160" s="14" t="str">
        <f t="shared" si="2"/>
        <v>ia.assorted_string like '%105499-00050-01-2025%' or</v>
      </c>
    </row>
    <row r="161" spans="1:10" x14ac:dyDescent="0.2">
      <c r="A161" s="2" t="s">
        <v>946</v>
      </c>
      <c r="B161" t="s">
        <v>1899</v>
      </c>
      <c r="H161">
        <v>105499</v>
      </c>
      <c r="I161" t="s">
        <v>1934</v>
      </c>
      <c r="J161" s="14" t="str">
        <f t="shared" si="2"/>
        <v>ia.assorted_string like '%105499-00008-01-2025%' or</v>
      </c>
    </row>
    <row r="162" spans="1:10" x14ac:dyDescent="0.2">
      <c r="A162" s="2" t="s">
        <v>472</v>
      </c>
      <c r="B162" t="s">
        <v>1899</v>
      </c>
      <c r="H162">
        <v>105499</v>
      </c>
      <c r="I162" t="s">
        <v>2054</v>
      </c>
      <c r="J162" s="14" t="str">
        <f t="shared" si="2"/>
        <v>ia.assorted_string like '%105499-00015-01-2025%' or</v>
      </c>
    </row>
    <row r="163" spans="1:10" x14ac:dyDescent="0.2">
      <c r="A163" s="2" t="s">
        <v>770</v>
      </c>
      <c r="B163" t="s">
        <v>1899</v>
      </c>
      <c r="H163">
        <v>105499</v>
      </c>
      <c r="I163" t="s">
        <v>2055</v>
      </c>
      <c r="J163" s="14" t="str">
        <f t="shared" si="2"/>
        <v>ia.assorted_string like '%105499-00041-01-2025%' or</v>
      </c>
    </row>
    <row r="164" spans="1:10" x14ac:dyDescent="0.2">
      <c r="A164" s="2" t="s">
        <v>762</v>
      </c>
      <c r="B164" t="s">
        <v>1899</v>
      </c>
      <c r="H164">
        <v>105499</v>
      </c>
      <c r="I164" t="s">
        <v>1978</v>
      </c>
      <c r="J164" s="14" t="str">
        <f t="shared" si="2"/>
        <v>ia.assorted_string like '%105499-00004-01-2025%' or</v>
      </c>
    </row>
    <row r="165" spans="1:10" x14ac:dyDescent="0.2">
      <c r="A165" s="2" t="s">
        <v>749</v>
      </c>
      <c r="B165" t="s">
        <v>1899</v>
      </c>
      <c r="H165">
        <v>105499</v>
      </c>
      <c r="I165" t="s">
        <v>2056</v>
      </c>
      <c r="J165" s="14" t="str">
        <f t="shared" si="2"/>
        <v>ia.assorted_string like '%105499-00037-01-2025%' or</v>
      </c>
    </row>
    <row r="166" spans="1:10" x14ac:dyDescent="0.2">
      <c r="A166" s="2" t="s">
        <v>678</v>
      </c>
      <c r="B166" t="s">
        <v>1899</v>
      </c>
      <c r="H166">
        <v>105499</v>
      </c>
      <c r="I166" t="s">
        <v>2057</v>
      </c>
      <c r="J166" s="14" t="str">
        <f t="shared" si="2"/>
        <v>ia.assorted_string like '%105499-00022-01-2025%' or</v>
      </c>
    </row>
    <row r="167" spans="1:10" x14ac:dyDescent="0.2">
      <c r="A167" s="2" t="s">
        <v>720</v>
      </c>
      <c r="B167" t="s">
        <v>1899</v>
      </c>
      <c r="H167">
        <v>105499</v>
      </c>
      <c r="I167" t="s">
        <v>2058</v>
      </c>
      <c r="J167" s="14" t="str">
        <f t="shared" si="2"/>
        <v>ia.assorted_string like '%105499-00030-01-2025%' or</v>
      </c>
    </row>
    <row r="168" spans="1:10" x14ac:dyDescent="0.2">
      <c r="A168" s="2" t="s">
        <v>758</v>
      </c>
      <c r="B168" t="s">
        <v>1899</v>
      </c>
      <c r="H168">
        <v>105499</v>
      </c>
      <c r="I168" t="s">
        <v>2059</v>
      </c>
      <c r="J168" s="14" t="str">
        <f t="shared" si="2"/>
        <v>ia.assorted_string like '%105499-00039-01-2025%' or</v>
      </c>
    </row>
    <row r="169" spans="1:10" x14ac:dyDescent="0.2">
      <c r="A169" s="2" t="s">
        <v>388</v>
      </c>
      <c r="B169" t="s">
        <v>1899</v>
      </c>
      <c r="H169">
        <v>105499</v>
      </c>
      <c r="I169" t="s">
        <v>2060</v>
      </c>
      <c r="J169" s="14" t="str">
        <f t="shared" si="2"/>
        <v>ia.assorted_string like '%105499-00013-01-2025%' or</v>
      </c>
    </row>
    <row r="170" spans="1:10" x14ac:dyDescent="0.2">
      <c r="A170" s="2" t="s">
        <v>766</v>
      </c>
      <c r="B170" t="s">
        <v>1899</v>
      </c>
      <c r="H170">
        <v>105499</v>
      </c>
      <c r="I170" t="s">
        <v>2061</v>
      </c>
      <c r="J170" s="14" t="str">
        <f t="shared" si="2"/>
        <v>ia.assorted_string like '%105499-00040-01-2025%' or</v>
      </c>
    </row>
    <row r="171" spans="1:10" x14ac:dyDescent="0.2">
      <c r="A171" s="2" t="s">
        <v>774</v>
      </c>
      <c r="B171" t="s">
        <v>1899</v>
      </c>
      <c r="H171">
        <v>105499</v>
      </c>
      <c r="I171" t="s">
        <v>2062</v>
      </c>
      <c r="J171" s="14" t="str">
        <f t="shared" si="2"/>
        <v>ia.assorted_string like '%105499-00042-01-2025%' or</v>
      </c>
    </row>
    <row r="172" spans="1:10" x14ac:dyDescent="0.2">
      <c r="A172" s="2" t="s">
        <v>611</v>
      </c>
      <c r="B172" t="s">
        <v>1899</v>
      </c>
      <c r="H172">
        <v>105499</v>
      </c>
      <c r="I172" t="s">
        <v>2063</v>
      </c>
      <c r="J172" s="14" t="str">
        <f t="shared" si="2"/>
        <v>ia.assorted_string like '%105499-00018-01-2025%' or</v>
      </c>
    </row>
    <row r="173" spans="1:10" x14ac:dyDescent="0.2">
      <c r="A173" s="2" t="s">
        <v>783</v>
      </c>
      <c r="B173" t="s">
        <v>1899</v>
      </c>
      <c r="H173">
        <v>105499</v>
      </c>
      <c r="I173" t="s">
        <v>2064</v>
      </c>
      <c r="J173" s="14" t="str">
        <f t="shared" si="2"/>
        <v>ia.assorted_string like '%105499-00044-01-2025%' or</v>
      </c>
    </row>
    <row r="174" spans="1:10" x14ac:dyDescent="0.2">
      <c r="A174" s="2" t="s">
        <v>899</v>
      </c>
      <c r="B174" t="s">
        <v>1899</v>
      </c>
      <c r="H174">
        <v>105499</v>
      </c>
      <c r="I174" t="s">
        <v>2017</v>
      </c>
      <c r="J174" s="14" t="str">
        <f t="shared" si="2"/>
        <v>ia.assorted_string like '%105499-00007-01-2025%' or</v>
      </c>
    </row>
    <row r="175" spans="1:10" x14ac:dyDescent="0.2">
      <c r="A175" s="2" t="s">
        <v>787</v>
      </c>
      <c r="B175" t="s">
        <v>1899</v>
      </c>
      <c r="H175">
        <v>105499</v>
      </c>
      <c r="I175" t="s">
        <v>2065</v>
      </c>
      <c r="J175" s="14" t="str">
        <f t="shared" si="2"/>
        <v>ia.assorted_string like '%105499-00045-01-2025%' or</v>
      </c>
    </row>
    <row r="176" spans="1:10" x14ac:dyDescent="0.2">
      <c r="A176" s="2" t="s">
        <v>520</v>
      </c>
      <c r="B176" t="s">
        <v>1899</v>
      </c>
      <c r="H176">
        <v>105499</v>
      </c>
      <c r="I176" t="s">
        <v>2066</v>
      </c>
      <c r="J176" s="14" t="str">
        <f t="shared" si="2"/>
        <v>ia.assorted_string like '%105499-00016-01-2025%' or</v>
      </c>
    </row>
    <row r="177" spans="1:10" x14ac:dyDescent="0.2">
      <c r="A177" s="2" t="s">
        <v>673</v>
      </c>
      <c r="B177" t="s">
        <v>1899</v>
      </c>
      <c r="H177">
        <v>105499</v>
      </c>
      <c r="I177" t="s">
        <v>2067</v>
      </c>
      <c r="J177" s="14" t="str">
        <f t="shared" si="2"/>
        <v>ia.assorted_string like '%105499-00021-01-2025%' or</v>
      </c>
    </row>
    <row r="178" spans="1:10" x14ac:dyDescent="0.2">
      <c r="A178" s="2" t="s">
        <v>688</v>
      </c>
      <c r="B178" t="s">
        <v>1899</v>
      </c>
      <c r="H178">
        <v>105499</v>
      </c>
      <c r="I178" t="s">
        <v>2068</v>
      </c>
      <c r="J178" s="14" t="str">
        <f t="shared" si="2"/>
        <v>ia.assorted_string like '%105499-00024-01-2025%' or</v>
      </c>
    </row>
    <row r="179" spans="1:10" x14ac:dyDescent="0.2">
      <c r="A179" s="2" t="s">
        <v>791</v>
      </c>
      <c r="B179" t="s">
        <v>1899</v>
      </c>
      <c r="H179">
        <v>105499</v>
      </c>
      <c r="I179" t="s">
        <v>2069</v>
      </c>
      <c r="J179" s="14" t="str">
        <f t="shared" si="2"/>
        <v>ia.assorted_string like '%105499-00046-01-2025%' or</v>
      </c>
    </row>
    <row r="180" spans="1:10" x14ac:dyDescent="0.2">
      <c r="A180" s="2" t="s">
        <v>692</v>
      </c>
      <c r="B180" t="s">
        <v>1899</v>
      </c>
      <c r="H180">
        <v>105499</v>
      </c>
      <c r="I180" t="s">
        <v>2070</v>
      </c>
      <c r="J180" s="14" t="str">
        <f t="shared" si="2"/>
        <v>ia.assorted_string like '%105499-00025-01-2025%' or</v>
      </c>
    </row>
    <row r="181" spans="1:10" x14ac:dyDescent="0.2">
      <c r="A181" s="2" t="s">
        <v>669</v>
      </c>
      <c r="B181" t="s">
        <v>1899</v>
      </c>
      <c r="H181">
        <v>105499</v>
      </c>
      <c r="I181" t="s">
        <v>2071</v>
      </c>
      <c r="J181" s="14" t="str">
        <f t="shared" si="2"/>
        <v>ia.assorted_string like '%105499-00020-01-2025%' or</v>
      </c>
    </row>
    <row r="182" spans="1:10" x14ac:dyDescent="0.2">
      <c r="A182" s="2" t="s">
        <v>706</v>
      </c>
      <c r="B182" t="s">
        <v>1899</v>
      </c>
      <c r="H182">
        <v>105499</v>
      </c>
      <c r="I182" t="s">
        <v>2072</v>
      </c>
      <c r="J182" s="14" t="str">
        <f t="shared" si="2"/>
        <v>ia.assorted_string like '%105499-00028-01-2025%' or</v>
      </c>
    </row>
    <row r="183" spans="1:10" x14ac:dyDescent="0.2">
      <c r="A183" s="2" t="s">
        <v>245</v>
      </c>
      <c r="B183" t="s">
        <v>1899</v>
      </c>
      <c r="H183">
        <v>105499</v>
      </c>
      <c r="I183" t="s">
        <v>2073</v>
      </c>
      <c r="J183" s="14" t="str">
        <f t="shared" si="2"/>
        <v>ia.assorted_string like '%105499-00010-01-2025%' or</v>
      </c>
    </row>
    <row r="184" spans="1:10" x14ac:dyDescent="0.2">
      <c r="A184" s="2" t="s">
        <v>724</v>
      </c>
      <c r="B184" t="s">
        <v>1899</v>
      </c>
      <c r="H184">
        <v>105499</v>
      </c>
      <c r="I184" t="s">
        <v>2074</v>
      </c>
      <c r="J184" s="14" t="str">
        <f t="shared" si="2"/>
        <v>ia.assorted_string like '%105499-00031-01-2025%' or</v>
      </c>
    </row>
    <row r="185" spans="1:10" x14ac:dyDescent="0.2">
      <c r="A185" s="2" t="s">
        <v>702</v>
      </c>
      <c r="B185" t="s">
        <v>1899</v>
      </c>
      <c r="H185">
        <v>105499</v>
      </c>
      <c r="I185" t="s">
        <v>2075</v>
      </c>
      <c r="J185" s="14" t="str">
        <f t="shared" si="2"/>
        <v>ia.assorted_string like '%105499-00027-01-2025%' or</v>
      </c>
    </row>
    <row r="186" spans="1:10" x14ac:dyDescent="0.2">
      <c r="A186" s="2" t="s">
        <v>741</v>
      </c>
      <c r="B186" t="s">
        <v>1899</v>
      </c>
      <c r="H186">
        <v>105499</v>
      </c>
      <c r="I186" t="s">
        <v>2076</v>
      </c>
      <c r="J186" s="14" t="str">
        <f t="shared" si="2"/>
        <v>ia.assorted_string like '%105499-00035-01-2025%' or</v>
      </c>
    </row>
    <row r="187" spans="1:10" x14ac:dyDescent="0.2">
      <c r="A187" s="2" t="s">
        <v>341</v>
      </c>
      <c r="B187" t="s">
        <v>1899</v>
      </c>
      <c r="H187">
        <v>105499</v>
      </c>
      <c r="I187" t="s">
        <v>2077</v>
      </c>
      <c r="J187" s="14" t="str">
        <f t="shared" si="2"/>
        <v>ia.assorted_string like '%105499-00012-01-2025%' or</v>
      </c>
    </row>
    <row r="188" spans="1:10" x14ac:dyDescent="0.2">
      <c r="A188" s="2" t="s">
        <v>799</v>
      </c>
      <c r="B188" t="s">
        <v>1899</v>
      </c>
      <c r="H188">
        <v>105499</v>
      </c>
      <c r="I188" t="s">
        <v>2078</v>
      </c>
      <c r="J188" s="14" t="str">
        <f t="shared" si="2"/>
        <v>ia.assorted_string like '%105499-00048-01-2025%' or</v>
      </c>
    </row>
    <row r="189" spans="1:10" x14ac:dyDescent="0.2">
      <c r="A189" s="2" t="s">
        <v>745</v>
      </c>
      <c r="B189" t="s">
        <v>1899</v>
      </c>
      <c r="H189">
        <v>105499</v>
      </c>
      <c r="I189" t="s">
        <v>2079</v>
      </c>
      <c r="J189" s="14" t="str">
        <f t="shared" si="2"/>
        <v>ia.assorted_string like '%105499-00036-01-2025%' or</v>
      </c>
    </row>
    <row r="190" spans="1:10" x14ac:dyDescent="0.2">
      <c r="A190" s="2" t="s">
        <v>733</v>
      </c>
      <c r="B190" t="s">
        <v>1899</v>
      </c>
      <c r="H190">
        <v>105499</v>
      </c>
      <c r="I190" t="s">
        <v>2080</v>
      </c>
      <c r="J190" s="14" t="str">
        <f t="shared" si="2"/>
        <v>ia.assorted_string like '%105499-00033-01-2025%' or</v>
      </c>
    </row>
    <row r="191" spans="1:10" x14ac:dyDescent="0.2">
      <c r="A191" s="2" t="s">
        <v>737</v>
      </c>
      <c r="B191" t="s">
        <v>1899</v>
      </c>
      <c r="H191">
        <v>105499</v>
      </c>
      <c r="I191" t="s">
        <v>2081</v>
      </c>
      <c r="J191" s="14" t="str">
        <f t="shared" si="2"/>
        <v>ia.assorted_string like '%105499-00034-01-2025%' or</v>
      </c>
    </row>
    <row r="192" spans="1:10" x14ac:dyDescent="0.2">
      <c r="A192" s="2" t="s">
        <v>795</v>
      </c>
      <c r="B192" t="s">
        <v>1899</v>
      </c>
      <c r="H192">
        <v>105499</v>
      </c>
      <c r="I192" t="s">
        <v>2082</v>
      </c>
      <c r="J192" s="14" t="str">
        <f t="shared" si="2"/>
        <v>ia.assorted_string like '%105499-00047-01-2025%' or</v>
      </c>
    </row>
    <row r="193" spans="1:10" x14ac:dyDescent="0.2">
      <c r="A193" s="2" t="s">
        <v>683</v>
      </c>
      <c r="B193" t="s">
        <v>1899</v>
      </c>
      <c r="H193">
        <v>105499</v>
      </c>
      <c r="I193" t="s">
        <v>2083</v>
      </c>
      <c r="J193" s="14" t="str">
        <f t="shared" si="2"/>
        <v>ia.assorted_string like '%105499-00023-01-2025%' or</v>
      </c>
    </row>
    <row r="194" spans="1:10" x14ac:dyDescent="0.2">
      <c r="A194" s="2" t="s">
        <v>34</v>
      </c>
      <c r="B194" t="s">
        <v>1899</v>
      </c>
      <c r="H194">
        <v>105285</v>
      </c>
      <c r="I194" t="s">
        <v>2073</v>
      </c>
      <c r="J194" s="14" t="str">
        <f t="shared" ref="J194:J249" si="3">"ia.assorted_string like '%"&amp;H194&amp;"-"&amp;I194&amp;B194&amp;"%' or"</f>
        <v>ia.assorted_string like '%105285-00010-01-2025%' or</v>
      </c>
    </row>
    <row r="195" spans="1:10" x14ac:dyDescent="0.2">
      <c r="A195" s="2" t="s">
        <v>38</v>
      </c>
      <c r="B195" t="s">
        <v>1899</v>
      </c>
      <c r="H195">
        <v>105285</v>
      </c>
      <c r="I195" t="s">
        <v>2045</v>
      </c>
      <c r="J195" s="14" t="str">
        <f t="shared" si="3"/>
        <v>ia.assorted_string like '%105285-00011-01-2025%' or</v>
      </c>
    </row>
    <row r="196" spans="1:10" x14ac:dyDescent="0.2">
      <c r="A196" s="2" t="s">
        <v>106</v>
      </c>
      <c r="B196" t="s">
        <v>1899</v>
      </c>
      <c r="H196">
        <v>105285</v>
      </c>
      <c r="I196" t="s">
        <v>2072</v>
      </c>
      <c r="J196" s="14" t="str">
        <f t="shared" si="3"/>
        <v>ia.assorted_string like '%105285-00028-01-2025%' or</v>
      </c>
    </row>
    <row r="197" spans="1:10" x14ac:dyDescent="0.2">
      <c r="A197" s="2" t="s">
        <v>95</v>
      </c>
      <c r="B197" t="s">
        <v>1899</v>
      </c>
      <c r="H197">
        <v>105285</v>
      </c>
      <c r="I197" t="s">
        <v>2070</v>
      </c>
      <c r="J197" s="14" t="str">
        <f t="shared" si="3"/>
        <v>ia.assorted_string like '%105285-00025-01-2025%' or</v>
      </c>
    </row>
    <row r="198" spans="1:10" x14ac:dyDescent="0.2">
      <c r="A198" s="2" t="s">
        <v>178</v>
      </c>
      <c r="B198" t="s">
        <v>1899</v>
      </c>
      <c r="H198">
        <v>105285</v>
      </c>
      <c r="I198" t="s">
        <v>2069</v>
      </c>
      <c r="J198" s="14" t="str">
        <f t="shared" si="3"/>
        <v>ia.assorted_string like '%105285-00046-01-2025%' or</v>
      </c>
    </row>
    <row r="199" spans="1:10" x14ac:dyDescent="0.2">
      <c r="A199" s="2" t="s">
        <v>70</v>
      </c>
      <c r="B199" t="s">
        <v>1899</v>
      </c>
      <c r="H199">
        <v>105285</v>
      </c>
      <c r="I199" t="s">
        <v>1957</v>
      </c>
      <c r="J199" s="14" t="str">
        <f t="shared" si="3"/>
        <v>ia.assorted_string like '%105285-00002-01-2025%' or</v>
      </c>
    </row>
    <row r="200" spans="1:10" x14ac:dyDescent="0.2">
      <c r="A200" s="2" t="s">
        <v>225</v>
      </c>
      <c r="B200" t="s">
        <v>1899</v>
      </c>
      <c r="H200">
        <v>105285</v>
      </c>
      <c r="I200" t="s">
        <v>1985</v>
      </c>
      <c r="J200" s="14" t="str">
        <f t="shared" si="3"/>
        <v>ia.assorted_string like '%105285-00006-01-2025%' or</v>
      </c>
    </row>
    <row r="201" spans="1:10" x14ac:dyDescent="0.2">
      <c r="A201" s="2" t="s">
        <v>221</v>
      </c>
      <c r="B201" t="s">
        <v>1899</v>
      </c>
      <c r="H201">
        <v>105285</v>
      </c>
      <c r="I201" t="s">
        <v>2016</v>
      </c>
      <c r="J201" s="14" t="str">
        <f t="shared" si="3"/>
        <v>ia.assorted_string like '%105285-00057-01-2025%' or</v>
      </c>
    </row>
    <row r="202" spans="1:10" x14ac:dyDescent="0.2">
      <c r="A202" s="2" t="s">
        <v>75</v>
      </c>
      <c r="B202" t="s">
        <v>1899</v>
      </c>
      <c r="H202">
        <v>105285</v>
      </c>
      <c r="I202" t="s">
        <v>2071</v>
      </c>
      <c r="J202" s="14" t="str">
        <f t="shared" si="3"/>
        <v>ia.assorted_string like '%105285-00020-01-2025%' or</v>
      </c>
    </row>
    <row r="203" spans="1:10" x14ac:dyDescent="0.2">
      <c r="A203" s="2" t="s">
        <v>79</v>
      </c>
      <c r="B203" t="s">
        <v>1899</v>
      </c>
      <c r="H203">
        <v>105285</v>
      </c>
      <c r="I203" t="s">
        <v>2067</v>
      </c>
      <c r="J203" s="14" t="str">
        <f t="shared" si="3"/>
        <v>ia.assorted_string like '%105285-00021-01-2025%' or</v>
      </c>
    </row>
    <row r="204" spans="1:10" x14ac:dyDescent="0.2">
      <c r="A204" s="2" t="s">
        <v>30</v>
      </c>
      <c r="B204" t="s">
        <v>1899</v>
      </c>
      <c r="H204">
        <v>105285</v>
      </c>
      <c r="I204" t="s">
        <v>1954</v>
      </c>
      <c r="J204" s="14" t="str">
        <f t="shared" si="3"/>
        <v>ia.assorted_string like '%105285-00001-01-2025%' or</v>
      </c>
    </row>
    <row r="205" spans="1:10" x14ac:dyDescent="0.2">
      <c r="A205" s="2" t="s">
        <v>56</v>
      </c>
      <c r="B205" t="s">
        <v>1899</v>
      </c>
      <c r="H205">
        <v>105285</v>
      </c>
      <c r="I205" t="s">
        <v>2066</v>
      </c>
      <c r="J205" s="14" t="str">
        <f t="shared" si="3"/>
        <v>ia.assorted_string like '%105285-00016-01-2025%' or</v>
      </c>
    </row>
    <row r="206" spans="1:10" x14ac:dyDescent="0.2">
      <c r="A206" s="2" t="s">
        <v>174</v>
      </c>
      <c r="B206" t="s">
        <v>1899</v>
      </c>
      <c r="H206">
        <v>105285</v>
      </c>
      <c r="I206" t="s">
        <v>2064</v>
      </c>
      <c r="J206" s="14" t="str">
        <f t="shared" si="3"/>
        <v>ia.assorted_string like '%105285-00044-01-2025%' or</v>
      </c>
    </row>
    <row r="207" spans="1:10" x14ac:dyDescent="0.2">
      <c r="A207" s="2" t="s">
        <v>236</v>
      </c>
      <c r="B207" t="s">
        <v>1899</v>
      </c>
      <c r="H207">
        <v>105285</v>
      </c>
      <c r="I207" t="s">
        <v>2050</v>
      </c>
      <c r="J207" s="14" t="str">
        <f t="shared" si="3"/>
        <v>ia.assorted_string like '%105285-00009-01-2025%' or</v>
      </c>
    </row>
    <row r="208" spans="1:10" x14ac:dyDescent="0.2">
      <c r="A208" s="2" t="s">
        <v>229</v>
      </c>
      <c r="B208" t="s">
        <v>1899</v>
      </c>
      <c r="H208">
        <v>105285</v>
      </c>
      <c r="I208" t="s">
        <v>2017</v>
      </c>
      <c r="J208" s="14" t="str">
        <f t="shared" si="3"/>
        <v>ia.assorted_string like '%105285-00007-01-2025%' or</v>
      </c>
    </row>
    <row r="209" spans="1:10" x14ac:dyDescent="0.2">
      <c r="A209" s="2" t="s">
        <v>233</v>
      </c>
      <c r="B209" t="s">
        <v>1899</v>
      </c>
      <c r="H209">
        <v>105285</v>
      </c>
      <c r="I209" t="s">
        <v>1934</v>
      </c>
      <c r="J209" s="14" t="str">
        <f t="shared" si="3"/>
        <v>ia.assorted_string like '%105285-00008-01-2025%' or</v>
      </c>
    </row>
    <row r="210" spans="1:10" x14ac:dyDescent="0.2">
      <c r="A210" s="2" t="s">
        <v>45</v>
      </c>
      <c r="B210" t="s">
        <v>1899</v>
      </c>
      <c r="H210">
        <v>105285</v>
      </c>
      <c r="I210" t="s">
        <v>2060</v>
      </c>
      <c r="J210" s="14" t="str">
        <f t="shared" si="3"/>
        <v>ia.assorted_string like '%105285-00013-01-2025%' or</v>
      </c>
    </row>
    <row r="211" spans="1:10" x14ac:dyDescent="0.2">
      <c r="A211" s="2" t="s">
        <v>118</v>
      </c>
      <c r="B211" t="s">
        <v>1899</v>
      </c>
      <c r="H211">
        <v>105285</v>
      </c>
      <c r="I211" t="s">
        <v>2058</v>
      </c>
      <c r="J211" s="14" t="str">
        <f t="shared" si="3"/>
        <v>ia.assorted_string like '%105285-00030-01-2025%' or</v>
      </c>
    </row>
    <row r="212" spans="1:10" x14ac:dyDescent="0.2">
      <c r="A212" s="2" t="s">
        <v>114</v>
      </c>
      <c r="B212" t="s">
        <v>1899</v>
      </c>
      <c r="H212">
        <v>105285</v>
      </c>
      <c r="I212" t="s">
        <v>1962</v>
      </c>
      <c r="J212" s="14" t="str">
        <f t="shared" si="3"/>
        <v>ia.assorted_string like '%105285-00003-01-2025%' or</v>
      </c>
    </row>
    <row r="213" spans="1:10" x14ac:dyDescent="0.2">
      <c r="A213" s="2" t="s">
        <v>121</v>
      </c>
      <c r="B213" t="s">
        <v>1899</v>
      </c>
      <c r="H213">
        <v>105285</v>
      </c>
      <c r="I213" t="s">
        <v>2074</v>
      </c>
      <c r="J213" s="14" t="str">
        <f t="shared" si="3"/>
        <v>ia.assorted_string like '%105285-00031-01-2025%' or</v>
      </c>
    </row>
    <row r="214" spans="1:10" x14ac:dyDescent="0.2">
      <c r="A214" s="2" t="s">
        <v>1032</v>
      </c>
      <c r="B214" t="s">
        <v>1899</v>
      </c>
      <c r="H214">
        <v>106061</v>
      </c>
      <c r="I214" t="s">
        <v>1954</v>
      </c>
      <c r="J214" s="14" t="str">
        <f t="shared" si="3"/>
        <v>ia.assorted_string like '%106061-00001-01-2025%' or</v>
      </c>
    </row>
    <row r="215" spans="1:10" x14ac:dyDescent="0.2">
      <c r="A215" s="2" t="s">
        <v>1035</v>
      </c>
      <c r="B215" t="s">
        <v>1899</v>
      </c>
      <c r="H215">
        <v>106061</v>
      </c>
      <c r="I215" t="s">
        <v>1957</v>
      </c>
      <c r="J215" s="14" t="str">
        <f t="shared" si="3"/>
        <v>ia.assorted_string like '%106061-00002-01-2025%' or</v>
      </c>
    </row>
    <row r="216" spans="1:10" x14ac:dyDescent="0.2">
      <c r="A216" s="2" t="s">
        <v>66</v>
      </c>
      <c r="B216" t="s">
        <v>1899</v>
      </c>
      <c r="H216">
        <v>105285</v>
      </c>
      <c r="I216" t="s">
        <v>2043</v>
      </c>
      <c r="J216" s="14" t="str">
        <f t="shared" si="3"/>
        <v>ia.assorted_string like '%105285-00019-01-2025%' or</v>
      </c>
    </row>
    <row r="217" spans="1:10" x14ac:dyDescent="0.2">
      <c r="A217" s="2" t="s">
        <v>63</v>
      </c>
      <c r="B217" t="s">
        <v>1899</v>
      </c>
      <c r="H217">
        <v>105285</v>
      </c>
      <c r="I217" t="s">
        <v>2063</v>
      </c>
      <c r="J217" s="14" t="str">
        <f t="shared" si="3"/>
        <v>ia.assorted_string like '%105285-00018-01-2025%' or</v>
      </c>
    </row>
    <row r="218" spans="1:10" x14ac:dyDescent="0.2">
      <c r="A218" s="2" t="s">
        <v>148</v>
      </c>
      <c r="B218" t="s">
        <v>1899</v>
      </c>
      <c r="H218">
        <v>105285</v>
      </c>
      <c r="I218" t="s">
        <v>2044</v>
      </c>
      <c r="J218" s="14" t="str">
        <f t="shared" si="3"/>
        <v>ia.assorted_string like '%105285-00038-01-2025%' or</v>
      </c>
    </row>
    <row r="219" spans="1:10" x14ac:dyDescent="0.2">
      <c r="A219" s="2" t="s">
        <v>83</v>
      </c>
      <c r="B219" t="s">
        <v>1899</v>
      </c>
      <c r="H219">
        <v>105285</v>
      </c>
      <c r="I219" t="s">
        <v>2057</v>
      </c>
      <c r="J219" s="14" t="str">
        <f t="shared" si="3"/>
        <v>ia.assorted_string like '%105285-00022-01-2025%' or</v>
      </c>
    </row>
    <row r="220" spans="1:10" x14ac:dyDescent="0.2">
      <c r="A220" s="2" t="s">
        <v>59</v>
      </c>
      <c r="B220" t="s">
        <v>1899</v>
      </c>
      <c r="H220">
        <v>105285</v>
      </c>
      <c r="I220" t="s">
        <v>2051</v>
      </c>
      <c r="J220" s="14" t="str">
        <f t="shared" si="3"/>
        <v>ia.assorted_string like '%105285-00017-01-2025%' or</v>
      </c>
    </row>
    <row r="221" spans="1:10" x14ac:dyDescent="0.2">
      <c r="A221" s="2" t="s">
        <v>217</v>
      </c>
      <c r="B221" t="s">
        <v>1899</v>
      </c>
      <c r="H221">
        <v>105285</v>
      </c>
      <c r="I221" t="s">
        <v>2001</v>
      </c>
      <c r="J221" s="14" t="str">
        <f t="shared" si="3"/>
        <v>ia.assorted_string like '%105285-00056-01-2025%' or</v>
      </c>
    </row>
    <row r="222" spans="1:10" x14ac:dyDescent="0.2">
      <c r="A222" s="2" t="s">
        <v>49</v>
      </c>
      <c r="B222" t="s">
        <v>1899</v>
      </c>
      <c r="H222">
        <v>105285</v>
      </c>
      <c r="I222" t="s">
        <v>2047</v>
      </c>
      <c r="J222" s="14" t="str">
        <f t="shared" si="3"/>
        <v>ia.assorted_string like '%105285-00014-01-2025%' or</v>
      </c>
    </row>
    <row r="223" spans="1:10" x14ac:dyDescent="0.2">
      <c r="A223" s="2" t="s">
        <v>91</v>
      </c>
      <c r="B223" t="s">
        <v>1899</v>
      </c>
      <c r="H223">
        <v>105285</v>
      </c>
      <c r="I223" t="s">
        <v>2068</v>
      </c>
      <c r="J223" s="14" t="str">
        <f t="shared" si="3"/>
        <v>ia.assorted_string like '%105285-00024-01-2025%' or</v>
      </c>
    </row>
    <row r="224" spans="1:10" x14ac:dyDescent="0.2">
      <c r="A224" s="2" t="s">
        <v>133</v>
      </c>
      <c r="B224" t="s">
        <v>1899</v>
      </c>
      <c r="H224">
        <v>105285</v>
      </c>
      <c r="I224" t="s">
        <v>2081</v>
      </c>
      <c r="J224" s="14" t="str">
        <f t="shared" si="3"/>
        <v>ia.assorted_string like '%105285-00034-01-2025%' or</v>
      </c>
    </row>
    <row r="225" spans="1:10" x14ac:dyDescent="0.2">
      <c r="A225" s="2" t="s">
        <v>41</v>
      </c>
      <c r="B225" t="s">
        <v>1899</v>
      </c>
      <c r="H225">
        <v>105285</v>
      </c>
      <c r="I225" t="s">
        <v>2077</v>
      </c>
      <c r="J225" s="14" t="str">
        <f t="shared" si="3"/>
        <v>ia.assorted_string like '%105285-00012-01-2025%' or</v>
      </c>
    </row>
    <row r="226" spans="1:10" x14ac:dyDescent="0.2">
      <c r="A226" s="2" t="s">
        <v>87</v>
      </c>
      <c r="B226" t="s">
        <v>1899</v>
      </c>
      <c r="H226">
        <v>105285</v>
      </c>
      <c r="I226" t="s">
        <v>2083</v>
      </c>
      <c r="J226" s="14" t="str">
        <f t="shared" si="3"/>
        <v>ia.assorted_string like '%105285-00023-01-2025%' or</v>
      </c>
    </row>
    <row r="227" spans="1:10" x14ac:dyDescent="0.2">
      <c r="A227" s="2" t="s">
        <v>161</v>
      </c>
      <c r="B227" t="s">
        <v>1899</v>
      </c>
      <c r="H227">
        <v>105285</v>
      </c>
      <c r="I227" t="s">
        <v>2061</v>
      </c>
      <c r="J227" s="14" t="str">
        <f t="shared" si="3"/>
        <v>ia.assorted_string like '%105285-00040-01-2025%' or</v>
      </c>
    </row>
    <row r="228" spans="1:10" x14ac:dyDescent="0.2">
      <c r="A228" s="2" t="s">
        <v>152</v>
      </c>
      <c r="B228" t="s">
        <v>1899</v>
      </c>
      <c r="H228">
        <v>105285</v>
      </c>
      <c r="I228" t="s">
        <v>2059</v>
      </c>
      <c r="J228" s="14" t="str">
        <f t="shared" si="3"/>
        <v>ia.assorted_string like '%105285-00039-01-2025%' or</v>
      </c>
    </row>
    <row r="229" spans="1:10" x14ac:dyDescent="0.2">
      <c r="A229" s="2" t="s">
        <v>137</v>
      </c>
      <c r="B229" t="s">
        <v>1899</v>
      </c>
      <c r="H229">
        <v>105285</v>
      </c>
      <c r="I229" t="s">
        <v>2076</v>
      </c>
      <c r="J229" s="14" t="str">
        <f t="shared" si="3"/>
        <v>ia.assorted_string like '%105285-00035-01-2025%' or</v>
      </c>
    </row>
    <row r="230" spans="1:10" x14ac:dyDescent="0.2">
      <c r="A230" s="2" t="s">
        <v>99</v>
      </c>
      <c r="B230" t="s">
        <v>1899</v>
      </c>
      <c r="H230">
        <v>105285</v>
      </c>
      <c r="I230" t="s">
        <v>2049</v>
      </c>
      <c r="J230" s="14" t="str">
        <f t="shared" si="3"/>
        <v>ia.assorted_string like '%105285-00026-01-2025%' or</v>
      </c>
    </row>
    <row r="231" spans="1:10" x14ac:dyDescent="0.2">
      <c r="A231" s="2" t="s">
        <v>52</v>
      </c>
      <c r="B231" t="s">
        <v>1899</v>
      </c>
      <c r="H231">
        <v>105285</v>
      </c>
      <c r="I231" t="s">
        <v>2054</v>
      </c>
      <c r="J231" s="14" t="str">
        <f t="shared" si="3"/>
        <v>ia.assorted_string like '%105285-00015-01-2025%' or</v>
      </c>
    </row>
    <row r="232" spans="1:10" x14ac:dyDescent="0.2">
      <c r="A232" s="2" t="s">
        <v>103</v>
      </c>
      <c r="B232" t="s">
        <v>1899</v>
      </c>
      <c r="H232">
        <v>105285</v>
      </c>
      <c r="I232" t="s">
        <v>2075</v>
      </c>
      <c r="J232" s="14" t="str">
        <f t="shared" si="3"/>
        <v>ia.assorted_string like '%105285-00027-01-2025%' or</v>
      </c>
    </row>
    <row r="233" spans="1:10" x14ac:dyDescent="0.2">
      <c r="A233" s="2" t="s">
        <v>157</v>
      </c>
      <c r="B233" t="s">
        <v>1899</v>
      </c>
      <c r="H233">
        <v>105285</v>
      </c>
      <c r="I233" t="s">
        <v>1978</v>
      </c>
      <c r="J233" s="14" t="str">
        <f t="shared" si="3"/>
        <v>ia.assorted_string like '%105285-00004-01-2025%' or</v>
      </c>
    </row>
    <row r="234" spans="1:10" x14ac:dyDescent="0.2">
      <c r="A234" s="2" t="s">
        <v>191</v>
      </c>
      <c r="B234" t="s">
        <v>1899</v>
      </c>
      <c r="H234">
        <v>105285</v>
      </c>
      <c r="I234" t="s">
        <v>2048</v>
      </c>
      <c r="J234" s="14" t="str">
        <f t="shared" si="3"/>
        <v>ia.assorted_string like '%105285-00049-01-2025%' or</v>
      </c>
    </row>
    <row r="235" spans="1:10" x14ac:dyDescent="0.2">
      <c r="A235" s="2" t="s">
        <v>195</v>
      </c>
      <c r="B235" t="s">
        <v>1899</v>
      </c>
      <c r="H235">
        <v>105285</v>
      </c>
      <c r="I235" t="s">
        <v>2053</v>
      </c>
      <c r="J235" s="14" t="str">
        <f t="shared" si="3"/>
        <v>ia.assorted_string like '%105285-00050-01-2025%' or</v>
      </c>
    </row>
    <row r="236" spans="1:10" x14ac:dyDescent="0.2">
      <c r="A236" s="2" t="s">
        <v>203</v>
      </c>
      <c r="B236" t="s">
        <v>1899</v>
      </c>
      <c r="H236">
        <v>105285</v>
      </c>
      <c r="I236" t="s">
        <v>2041</v>
      </c>
      <c r="J236" s="14" t="str">
        <f t="shared" si="3"/>
        <v>ia.assorted_string like '%105285-00052-01-2025%' or</v>
      </c>
    </row>
    <row r="237" spans="1:10" x14ac:dyDescent="0.2">
      <c r="A237" s="2" t="s">
        <v>144</v>
      </c>
      <c r="B237" t="s">
        <v>1899</v>
      </c>
      <c r="H237">
        <v>105285</v>
      </c>
      <c r="I237" t="s">
        <v>2056</v>
      </c>
      <c r="J237" s="14" t="str">
        <f t="shared" si="3"/>
        <v>ia.assorted_string like '%105285-00037-01-2025%' or</v>
      </c>
    </row>
    <row r="238" spans="1:10" x14ac:dyDescent="0.2">
      <c r="A238" s="2" t="s">
        <v>169</v>
      </c>
      <c r="B238" t="s">
        <v>1899</v>
      </c>
      <c r="H238">
        <v>105285</v>
      </c>
      <c r="I238" t="s">
        <v>2040</v>
      </c>
      <c r="J238" s="14" t="str">
        <f t="shared" si="3"/>
        <v>ia.assorted_string like '%105285-00043-01-2025%' or</v>
      </c>
    </row>
    <row r="239" spans="1:10" x14ac:dyDescent="0.2">
      <c r="A239" s="2" t="s">
        <v>141</v>
      </c>
      <c r="B239" t="s">
        <v>1899</v>
      </c>
      <c r="H239">
        <v>105285</v>
      </c>
      <c r="I239" t="s">
        <v>2079</v>
      </c>
      <c r="J239" s="14" t="str">
        <f t="shared" si="3"/>
        <v>ia.assorted_string like '%105285-00036-01-2025%' or</v>
      </c>
    </row>
    <row r="240" spans="1:10" x14ac:dyDescent="0.2">
      <c r="A240" s="2" t="s">
        <v>182</v>
      </c>
      <c r="B240" t="s">
        <v>1899</v>
      </c>
      <c r="H240">
        <v>105285</v>
      </c>
      <c r="I240" t="s">
        <v>2082</v>
      </c>
      <c r="J240" s="14" t="str">
        <f t="shared" si="3"/>
        <v>ia.assorted_string like '%105285-00047-01-2025%' or</v>
      </c>
    </row>
    <row r="241" spans="1:10" x14ac:dyDescent="0.2">
      <c r="A241" s="2" t="s">
        <v>209</v>
      </c>
      <c r="B241" t="s">
        <v>1899</v>
      </c>
      <c r="H241">
        <v>105285</v>
      </c>
      <c r="I241" t="s">
        <v>2013</v>
      </c>
      <c r="J241" s="14" t="str">
        <f t="shared" si="3"/>
        <v>ia.assorted_string like '%105285-00054-01-2025%' or</v>
      </c>
    </row>
    <row r="242" spans="1:10" x14ac:dyDescent="0.2">
      <c r="A242" s="2" t="s">
        <v>206</v>
      </c>
      <c r="B242" t="s">
        <v>1899</v>
      </c>
      <c r="H242">
        <v>105285</v>
      </c>
      <c r="I242" t="s">
        <v>2012</v>
      </c>
      <c r="J242" s="14" t="str">
        <f t="shared" si="3"/>
        <v>ia.assorted_string like '%105285-00053-01-2025%' or</v>
      </c>
    </row>
    <row r="243" spans="1:10" x14ac:dyDescent="0.2">
      <c r="A243" s="2" t="s">
        <v>125</v>
      </c>
      <c r="B243" t="s">
        <v>1899</v>
      </c>
      <c r="H243">
        <v>105285</v>
      </c>
      <c r="I243" t="s">
        <v>2042</v>
      </c>
      <c r="J243" s="14" t="str">
        <f t="shared" si="3"/>
        <v>ia.assorted_string like '%105285-00032-01-2025%' or</v>
      </c>
    </row>
    <row r="244" spans="1:10" x14ac:dyDescent="0.2">
      <c r="A244" s="2" t="s">
        <v>198</v>
      </c>
      <c r="B244" t="s">
        <v>1899</v>
      </c>
      <c r="H244">
        <v>105285</v>
      </c>
      <c r="I244" t="s">
        <v>2052</v>
      </c>
      <c r="J244" s="14" t="str">
        <f t="shared" si="3"/>
        <v>ia.assorted_string like '%105285-00051-01-2025%' or</v>
      </c>
    </row>
    <row r="245" spans="1:10" x14ac:dyDescent="0.2">
      <c r="A245" s="2" t="s">
        <v>165</v>
      </c>
      <c r="B245" t="s">
        <v>1899</v>
      </c>
      <c r="H245">
        <v>105285</v>
      </c>
      <c r="I245" t="s">
        <v>2062</v>
      </c>
      <c r="J245" s="14" t="str">
        <f t="shared" si="3"/>
        <v>ia.assorted_string like '%105285-00042-01-2025%' or</v>
      </c>
    </row>
    <row r="246" spans="1:10" x14ac:dyDescent="0.2">
      <c r="A246" s="2" t="s">
        <v>128</v>
      </c>
      <c r="B246" t="s">
        <v>1899</v>
      </c>
      <c r="H246">
        <v>105285</v>
      </c>
      <c r="I246" t="s">
        <v>2080</v>
      </c>
      <c r="J246" s="14" t="str">
        <f t="shared" si="3"/>
        <v>ia.assorted_string like '%105285-00033-01-2025%' or</v>
      </c>
    </row>
    <row r="247" spans="1:10" x14ac:dyDescent="0.2">
      <c r="A247" s="2" t="s">
        <v>186</v>
      </c>
      <c r="B247" t="s">
        <v>1899</v>
      </c>
      <c r="H247">
        <v>105285</v>
      </c>
      <c r="I247" t="s">
        <v>2078</v>
      </c>
      <c r="J247" s="14" t="str">
        <f t="shared" si="3"/>
        <v>ia.assorted_string like '%105285-00048-01-2025%' or</v>
      </c>
    </row>
    <row r="248" spans="1:10" x14ac:dyDescent="0.2">
      <c r="A248" s="2" t="s">
        <v>110</v>
      </c>
      <c r="B248" t="s">
        <v>1899</v>
      </c>
      <c r="H248">
        <v>105285</v>
      </c>
      <c r="I248" t="s">
        <v>2046</v>
      </c>
      <c r="J248" s="14" t="str">
        <f t="shared" si="3"/>
        <v>ia.assorted_string like '%105285-00029-01-2025%' or</v>
      </c>
    </row>
    <row r="249" spans="1:10" x14ac:dyDescent="0.2">
      <c r="A249" s="2" t="s">
        <v>213</v>
      </c>
      <c r="B249" t="s">
        <v>1899</v>
      </c>
      <c r="H249">
        <v>105285</v>
      </c>
      <c r="I249" t="s">
        <v>2011</v>
      </c>
      <c r="J249" s="14" t="str">
        <f t="shared" si="3"/>
        <v>ia.assorted_string like '%105285-00055-01-2025%' or</v>
      </c>
    </row>
  </sheetData>
  <conditionalFormatting sqref="A1:A249">
    <cfRule type="duplicateValues" dxfId="10" priority="4"/>
    <cfRule type="duplicateValues" dxfId="9" priority="5"/>
  </conditionalFormatting>
  <conditionalFormatting sqref="H1:H249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AF83-BADC-4A77-9929-DB920B03A1DD}">
  <dimension ref="A1:C250"/>
  <sheetViews>
    <sheetView topLeftCell="A232" workbookViewId="0">
      <selection activeCell="B228" sqref="B228"/>
    </sheetView>
  </sheetViews>
  <sheetFormatPr defaultColWidth="7.85546875" defaultRowHeight="12.75" x14ac:dyDescent="0.2"/>
  <cols>
    <col min="1" max="1" width="3.140625" style="14" customWidth="1"/>
    <col min="2" max="2" width="42.28515625" style="14" bestFit="1" customWidth="1"/>
    <col min="3" max="3" width="14" style="14" customWidth="1"/>
    <col min="4" max="16384" width="7.85546875" style="14"/>
  </cols>
  <sheetData>
    <row r="1" spans="1:3" s="15" customFormat="1" ht="12" x14ac:dyDescent="0.2">
      <c r="A1" s="15" t="s">
        <v>2084</v>
      </c>
      <c r="B1" s="15" t="s">
        <v>2085</v>
      </c>
      <c r="C1" s="15" t="s">
        <v>2086</v>
      </c>
    </row>
    <row r="2" spans="1:3" x14ac:dyDescent="0.2">
      <c r="A2" s="14">
        <v>1</v>
      </c>
      <c r="B2" s="14" t="s">
        <v>217</v>
      </c>
      <c r="C2" s="14" t="s">
        <v>2087</v>
      </c>
    </row>
    <row r="3" spans="1:3" x14ac:dyDescent="0.2">
      <c r="A3" s="14">
        <v>2</v>
      </c>
      <c r="B3" s="14" t="s">
        <v>66</v>
      </c>
      <c r="C3" s="14" t="s">
        <v>2088</v>
      </c>
    </row>
    <row r="4" spans="1:3" x14ac:dyDescent="0.2">
      <c r="A4" s="14">
        <v>3</v>
      </c>
      <c r="B4" s="14" t="s">
        <v>34</v>
      </c>
      <c r="C4" s="14" t="s">
        <v>2089</v>
      </c>
    </row>
    <row r="5" spans="1:3" x14ac:dyDescent="0.2">
      <c r="A5" s="14">
        <v>4</v>
      </c>
      <c r="B5" s="14" t="s">
        <v>106</v>
      </c>
      <c r="C5" s="14" t="s">
        <v>2090</v>
      </c>
    </row>
    <row r="6" spans="1:3" x14ac:dyDescent="0.2">
      <c r="A6" s="14">
        <v>5</v>
      </c>
      <c r="B6" s="14" t="s">
        <v>59</v>
      </c>
      <c r="C6" s="14" t="s">
        <v>2091</v>
      </c>
    </row>
    <row r="7" spans="1:3" x14ac:dyDescent="0.2">
      <c r="A7" s="14">
        <v>6</v>
      </c>
      <c r="B7" s="14" t="s">
        <v>1035</v>
      </c>
      <c r="C7" s="14" t="s">
        <v>2092</v>
      </c>
    </row>
    <row r="8" spans="1:3" x14ac:dyDescent="0.2">
      <c r="A8" s="14">
        <v>7</v>
      </c>
      <c r="B8" s="14" t="s">
        <v>52</v>
      </c>
      <c r="C8" s="14" t="s">
        <v>2093</v>
      </c>
    </row>
    <row r="9" spans="1:3" x14ac:dyDescent="0.2">
      <c r="A9" s="14">
        <v>8</v>
      </c>
      <c r="B9" s="14" t="s">
        <v>178</v>
      </c>
      <c r="C9" s="14" t="s">
        <v>2094</v>
      </c>
    </row>
    <row r="10" spans="1:3" x14ac:dyDescent="0.2">
      <c r="A10" s="14">
        <v>9</v>
      </c>
      <c r="B10" s="14" t="s">
        <v>128</v>
      </c>
      <c r="C10" s="14" t="s">
        <v>2095</v>
      </c>
    </row>
    <row r="11" spans="1:3" x14ac:dyDescent="0.2">
      <c r="A11" s="14">
        <v>10</v>
      </c>
      <c r="B11" s="14" t="s">
        <v>87</v>
      </c>
      <c r="C11" s="14" t="s">
        <v>2096</v>
      </c>
    </row>
    <row r="12" spans="1:3" x14ac:dyDescent="0.2">
      <c r="A12" s="14">
        <v>11</v>
      </c>
      <c r="B12" s="14" t="s">
        <v>121</v>
      </c>
      <c r="C12" s="14" t="s">
        <v>2097</v>
      </c>
    </row>
    <row r="13" spans="1:3" x14ac:dyDescent="0.2">
      <c r="A13" s="14">
        <v>12</v>
      </c>
      <c r="B13" s="14" t="s">
        <v>203</v>
      </c>
      <c r="C13" s="14" t="s">
        <v>2098</v>
      </c>
    </row>
    <row r="14" spans="1:3" x14ac:dyDescent="0.2">
      <c r="A14" s="14">
        <v>13</v>
      </c>
      <c r="B14" s="14" t="s">
        <v>206</v>
      </c>
      <c r="C14" s="14" t="s">
        <v>2099</v>
      </c>
    </row>
    <row r="15" spans="1:3" x14ac:dyDescent="0.2">
      <c r="A15" s="14">
        <v>14</v>
      </c>
      <c r="B15" s="14" t="s">
        <v>1028</v>
      </c>
      <c r="C15" s="14" t="s">
        <v>2100</v>
      </c>
    </row>
    <row r="16" spans="1:3" x14ac:dyDescent="0.2">
      <c r="A16" s="14">
        <v>15</v>
      </c>
      <c r="B16" s="14" t="s">
        <v>209</v>
      </c>
      <c r="C16" s="14" t="s">
        <v>2101</v>
      </c>
    </row>
    <row r="17" spans="1:3" x14ac:dyDescent="0.2">
      <c r="A17" s="14">
        <v>16</v>
      </c>
      <c r="B17" s="14" t="s">
        <v>70</v>
      </c>
      <c r="C17" s="14" t="s">
        <v>2102</v>
      </c>
    </row>
    <row r="18" spans="1:3" x14ac:dyDescent="0.2">
      <c r="A18" s="14">
        <v>17</v>
      </c>
      <c r="B18" s="14" t="s">
        <v>56</v>
      </c>
      <c r="C18" s="14" t="s">
        <v>2103</v>
      </c>
    </row>
    <row r="19" spans="1:3" x14ac:dyDescent="0.2">
      <c r="A19" s="14">
        <v>18</v>
      </c>
      <c r="B19" s="14" t="s">
        <v>1038</v>
      </c>
      <c r="C19" s="14" t="s">
        <v>2104</v>
      </c>
    </row>
    <row r="20" spans="1:3" x14ac:dyDescent="0.2">
      <c r="A20" s="14">
        <v>19</v>
      </c>
      <c r="B20" s="14" t="s">
        <v>1042</v>
      </c>
      <c r="C20" s="14" t="s">
        <v>2105</v>
      </c>
    </row>
    <row r="21" spans="1:3" x14ac:dyDescent="0.2">
      <c r="A21" s="14">
        <v>20</v>
      </c>
      <c r="B21" s="14" t="s">
        <v>1046</v>
      </c>
      <c r="C21" s="14" t="s">
        <v>2106</v>
      </c>
    </row>
    <row r="22" spans="1:3" x14ac:dyDescent="0.2">
      <c r="A22" s="14">
        <v>21</v>
      </c>
      <c r="B22" s="14" t="s">
        <v>1050</v>
      </c>
      <c r="C22" s="14" t="s">
        <v>2107</v>
      </c>
    </row>
    <row r="23" spans="1:3" x14ac:dyDescent="0.2">
      <c r="A23" s="14">
        <v>22</v>
      </c>
      <c r="B23" s="14" t="s">
        <v>1055</v>
      </c>
      <c r="C23" s="14" t="s">
        <v>2108</v>
      </c>
    </row>
    <row r="24" spans="1:3" x14ac:dyDescent="0.2">
      <c r="A24" s="14">
        <v>23</v>
      </c>
      <c r="B24" s="14" t="s">
        <v>1059</v>
      </c>
      <c r="C24" s="14" t="s">
        <v>2109</v>
      </c>
    </row>
    <row r="25" spans="1:3" x14ac:dyDescent="0.2">
      <c r="A25" s="14">
        <v>24</v>
      </c>
      <c r="B25" s="14" t="s">
        <v>1063</v>
      </c>
      <c r="C25" s="14" t="s">
        <v>2110</v>
      </c>
    </row>
    <row r="26" spans="1:3" x14ac:dyDescent="0.2">
      <c r="A26" s="14">
        <v>25</v>
      </c>
      <c r="B26" s="14" t="s">
        <v>1067</v>
      </c>
      <c r="C26" s="14" t="s">
        <v>2111</v>
      </c>
    </row>
    <row r="27" spans="1:3" x14ac:dyDescent="0.2">
      <c r="A27" s="14">
        <v>26</v>
      </c>
      <c r="B27" s="14" t="s">
        <v>79</v>
      </c>
      <c r="C27" s="14" t="s">
        <v>2112</v>
      </c>
    </row>
    <row r="28" spans="1:3" x14ac:dyDescent="0.2">
      <c r="A28" s="14">
        <v>27</v>
      </c>
      <c r="B28" s="14" t="s">
        <v>103</v>
      </c>
      <c r="C28" s="14" t="s">
        <v>2113</v>
      </c>
    </row>
    <row r="29" spans="1:3" x14ac:dyDescent="0.2">
      <c r="A29" s="14">
        <v>28</v>
      </c>
      <c r="B29" s="14" t="s">
        <v>1032</v>
      </c>
      <c r="C29" s="14" t="s">
        <v>2114</v>
      </c>
    </row>
    <row r="30" spans="1:3" x14ac:dyDescent="0.2">
      <c r="A30" s="14">
        <v>29</v>
      </c>
      <c r="B30" s="14" t="s">
        <v>83</v>
      </c>
      <c r="C30" s="14" t="s">
        <v>2115</v>
      </c>
    </row>
    <row r="31" spans="1:3" x14ac:dyDescent="0.2">
      <c r="A31" s="14">
        <v>30</v>
      </c>
      <c r="B31" s="14" t="s">
        <v>225</v>
      </c>
      <c r="C31" s="14" t="s">
        <v>2116</v>
      </c>
    </row>
    <row r="32" spans="1:3" x14ac:dyDescent="0.2">
      <c r="A32" s="14">
        <v>31</v>
      </c>
      <c r="B32" s="14" t="s">
        <v>174</v>
      </c>
      <c r="C32" s="14" t="s">
        <v>2117</v>
      </c>
    </row>
    <row r="33" spans="1:3" x14ac:dyDescent="0.2">
      <c r="A33" s="14">
        <v>32</v>
      </c>
      <c r="B33" s="14" t="s">
        <v>186</v>
      </c>
      <c r="C33" s="14" t="s">
        <v>2118</v>
      </c>
    </row>
    <row r="34" spans="1:3" x14ac:dyDescent="0.2">
      <c r="A34" s="14">
        <v>33</v>
      </c>
      <c r="B34" s="14" t="s">
        <v>213</v>
      </c>
      <c r="C34" s="14" t="s">
        <v>2119</v>
      </c>
    </row>
    <row r="35" spans="1:3" x14ac:dyDescent="0.2">
      <c r="A35" s="14">
        <v>34</v>
      </c>
      <c r="B35" s="14" t="s">
        <v>240</v>
      </c>
      <c r="C35" s="14" t="s">
        <v>2120</v>
      </c>
    </row>
    <row r="36" spans="1:3" x14ac:dyDescent="0.2">
      <c r="A36" s="14">
        <v>35</v>
      </c>
      <c r="B36" s="14" t="s">
        <v>75</v>
      </c>
      <c r="C36" s="14" t="s">
        <v>2121</v>
      </c>
    </row>
    <row r="37" spans="1:3" x14ac:dyDescent="0.2">
      <c r="A37" s="14">
        <v>36</v>
      </c>
      <c r="B37" s="14" t="s">
        <v>125</v>
      </c>
      <c r="C37" s="14" t="s">
        <v>2122</v>
      </c>
    </row>
    <row r="38" spans="1:3" x14ac:dyDescent="0.2">
      <c r="A38" s="14">
        <v>37</v>
      </c>
      <c r="B38" s="14" t="s">
        <v>49</v>
      </c>
      <c r="C38" s="14" t="s">
        <v>2123</v>
      </c>
    </row>
    <row r="39" spans="1:3" x14ac:dyDescent="0.2">
      <c r="A39" s="14">
        <v>38</v>
      </c>
      <c r="B39" s="14" t="s">
        <v>95</v>
      </c>
      <c r="C39" s="14" t="s">
        <v>2124</v>
      </c>
    </row>
    <row r="40" spans="1:3" x14ac:dyDescent="0.2">
      <c r="A40" s="14">
        <v>39</v>
      </c>
      <c r="B40" s="14" t="s">
        <v>118</v>
      </c>
      <c r="C40" s="14" t="s">
        <v>2125</v>
      </c>
    </row>
    <row r="41" spans="1:3" x14ac:dyDescent="0.2">
      <c r="A41" s="14">
        <v>40</v>
      </c>
      <c r="B41" s="14" t="s">
        <v>182</v>
      </c>
      <c r="C41" s="14" t="s">
        <v>2126</v>
      </c>
    </row>
    <row r="42" spans="1:3" x14ac:dyDescent="0.2">
      <c r="A42" s="14">
        <v>41</v>
      </c>
      <c r="B42" s="14" t="s">
        <v>133</v>
      </c>
      <c r="C42" s="14" t="s">
        <v>2127</v>
      </c>
    </row>
    <row r="43" spans="1:3" x14ac:dyDescent="0.2">
      <c r="A43" s="14">
        <v>42</v>
      </c>
      <c r="B43" s="14" t="s">
        <v>45</v>
      </c>
      <c r="C43" s="14" t="s">
        <v>2128</v>
      </c>
    </row>
    <row r="44" spans="1:3" x14ac:dyDescent="0.2">
      <c r="A44" s="14">
        <v>43</v>
      </c>
      <c r="B44" s="14" t="s">
        <v>91</v>
      </c>
      <c r="C44" s="14" t="s">
        <v>2129</v>
      </c>
    </row>
    <row r="45" spans="1:3" x14ac:dyDescent="0.2">
      <c r="A45" s="14">
        <v>44</v>
      </c>
      <c r="B45" s="14" t="s">
        <v>38</v>
      </c>
      <c r="C45" s="14" t="s">
        <v>2130</v>
      </c>
    </row>
    <row r="46" spans="1:3" x14ac:dyDescent="0.2">
      <c r="A46" s="14">
        <v>45</v>
      </c>
      <c r="B46" s="14" t="s">
        <v>236</v>
      </c>
      <c r="C46" s="14" t="s">
        <v>2131</v>
      </c>
    </row>
    <row r="47" spans="1:3" x14ac:dyDescent="0.2">
      <c r="A47" s="14">
        <v>46</v>
      </c>
      <c r="B47" s="14" t="s">
        <v>141</v>
      </c>
      <c r="C47" s="14" t="s">
        <v>2132</v>
      </c>
    </row>
    <row r="48" spans="1:3" x14ac:dyDescent="0.2">
      <c r="A48" s="14">
        <v>47</v>
      </c>
      <c r="B48" s="14" t="s">
        <v>165</v>
      </c>
      <c r="C48" s="14" t="s">
        <v>2133</v>
      </c>
    </row>
    <row r="49" spans="1:3" x14ac:dyDescent="0.2">
      <c r="A49" s="14">
        <v>48</v>
      </c>
      <c r="B49" s="14" t="s">
        <v>99</v>
      </c>
      <c r="C49" s="14" t="s">
        <v>2134</v>
      </c>
    </row>
    <row r="50" spans="1:3" x14ac:dyDescent="0.2">
      <c r="A50" s="14">
        <v>49</v>
      </c>
      <c r="B50" s="14" t="s">
        <v>41</v>
      </c>
      <c r="C50" s="14" t="s">
        <v>2135</v>
      </c>
    </row>
    <row r="51" spans="1:3" x14ac:dyDescent="0.2">
      <c r="A51" s="14">
        <v>50</v>
      </c>
      <c r="B51" s="14" t="s">
        <v>152</v>
      </c>
      <c r="C51" s="14" t="s">
        <v>2136</v>
      </c>
    </row>
    <row r="52" spans="1:3" x14ac:dyDescent="0.2">
      <c r="A52" s="14">
        <v>51</v>
      </c>
      <c r="B52" s="14" t="s">
        <v>161</v>
      </c>
      <c r="C52" s="14" t="s">
        <v>2137</v>
      </c>
    </row>
    <row r="53" spans="1:3" x14ac:dyDescent="0.2">
      <c r="A53" s="14">
        <v>52</v>
      </c>
      <c r="B53" s="14" t="s">
        <v>233</v>
      </c>
      <c r="C53" s="14" t="s">
        <v>2138</v>
      </c>
    </row>
    <row r="54" spans="1:3" x14ac:dyDescent="0.2">
      <c r="A54" s="14">
        <v>53</v>
      </c>
      <c r="B54" s="14" t="s">
        <v>148</v>
      </c>
      <c r="C54" s="14" t="s">
        <v>2139</v>
      </c>
    </row>
    <row r="55" spans="1:3" x14ac:dyDescent="0.2">
      <c r="A55" s="14">
        <v>54</v>
      </c>
      <c r="B55" s="14" t="s">
        <v>191</v>
      </c>
      <c r="C55" s="14" t="s">
        <v>2140</v>
      </c>
    </row>
    <row r="56" spans="1:3" x14ac:dyDescent="0.2">
      <c r="A56" s="14">
        <v>55</v>
      </c>
      <c r="B56" s="14" t="s">
        <v>195</v>
      </c>
      <c r="C56" s="14" t="s">
        <v>2141</v>
      </c>
    </row>
    <row r="57" spans="1:3" x14ac:dyDescent="0.2">
      <c r="A57" s="14">
        <v>56</v>
      </c>
      <c r="B57" s="14" t="s">
        <v>229</v>
      </c>
      <c r="C57" s="14" t="s">
        <v>2142</v>
      </c>
    </row>
    <row r="58" spans="1:3" x14ac:dyDescent="0.2">
      <c r="A58" s="14">
        <v>57</v>
      </c>
      <c r="B58" s="14" t="s">
        <v>221</v>
      </c>
      <c r="C58" s="14" t="s">
        <v>2143</v>
      </c>
    </row>
    <row r="59" spans="1:3" x14ac:dyDescent="0.2">
      <c r="A59" s="14">
        <v>58</v>
      </c>
      <c r="B59" s="14" t="s">
        <v>169</v>
      </c>
      <c r="C59" s="14" t="s">
        <v>2144</v>
      </c>
    </row>
    <row r="60" spans="1:3" x14ac:dyDescent="0.2">
      <c r="A60" s="14">
        <v>59</v>
      </c>
      <c r="B60" s="14" t="s">
        <v>63</v>
      </c>
      <c r="C60" s="14" t="s">
        <v>2145</v>
      </c>
    </row>
    <row r="61" spans="1:3" x14ac:dyDescent="0.2">
      <c r="A61" s="14">
        <v>60</v>
      </c>
      <c r="B61" s="14" t="s">
        <v>688</v>
      </c>
      <c r="C61" s="14" t="s">
        <v>2146</v>
      </c>
    </row>
    <row r="62" spans="1:3" x14ac:dyDescent="0.2">
      <c r="A62" s="14">
        <v>61</v>
      </c>
      <c r="B62" s="14" t="s">
        <v>692</v>
      </c>
      <c r="C62" s="14" t="s">
        <v>2147</v>
      </c>
    </row>
    <row r="63" spans="1:3" x14ac:dyDescent="0.2">
      <c r="A63" s="14">
        <v>62</v>
      </c>
      <c r="B63" s="14" t="s">
        <v>697</v>
      </c>
      <c r="C63" s="14" t="s">
        <v>2148</v>
      </c>
    </row>
    <row r="64" spans="1:3" x14ac:dyDescent="0.2">
      <c r="A64" s="14">
        <v>63</v>
      </c>
      <c r="B64" s="14" t="s">
        <v>702</v>
      </c>
      <c r="C64" s="14" t="s">
        <v>2149</v>
      </c>
    </row>
    <row r="65" spans="1:3" x14ac:dyDescent="0.2">
      <c r="A65" s="14">
        <v>64</v>
      </c>
      <c r="B65" s="14" t="s">
        <v>706</v>
      </c>
      <c r="C65" s="14" t="s">
        <v>2150</v>
      </c>
    </row>
    <row r="66" spans="1:3" x14ac:dyDescent="0.2">
      <c r="A66" s="14">
        <v>65</v>
      </c>
      <c r="B66" s="14" t="s">
        <v>711</v>
      </c>
      <c r="C66" s="14" t="s">
        <v>2151</v>
      </c>
    </row>
    <row r="67" spans="1:3" x14ac:dyDescent="0.2">
      <c r="A67" s="14">
        <v>66</v>
      </c>
      <c r="B67" s="14" t="s">
        <v>720</v>
      </c>
      <c r="C67" s="14" t="s">
        <v>2152</v>
      </c>
    </row>
    <row r="68" spans="1:3" x14ac:dyDescent="0.2">
      <c r="A68" s="14">
        <v>67</v>
      </c>
      <c r="B68" s="14" t="s">
        <v>724</v>
      </c>
      <c r="C68" s="14" t="s">
        <v>2153</v>
      </c>
    </row>
    <row r="69" spans="1:3" x14ac:dyDescent="0.2">
      <c r="A69" s="14">
        <v>68</v>
      </c>
      <c r="B69" s="14" t="s">
        <v>733</v>
      </c>
      <c r="C69" s="14" t="s">
        <v>2154</v>
      </c>
    </row>
    <row r="70" spans="1:3" x14ac:dyDescent="0.2">
      <c r="A70" s="14">
        <v>69</v>
      </c>
      <c r="B70" s="14" t="s">
        <v>737</v>
      </c>
      <c r="C70" s="14" t="s">
        <v>2155</v>
      </c>
    </row>
    <row r="71" spans="1:3" x14ac:dyDescent="0.2">
      <c r="A71" s="14">
        <v>70</v>
      </c>
      <c r="B71" s="14" t="s">
        <v>741</v>
      </c>
      <c r="C71" s="14" t="s">
        <v>2156</v>
      </c>
    </row>
    <row r="72" spans="1:3" x14ac:dyDescent="0.2">
      <c r="A72" s="14">
        <v>71</v>
      </c>
      <c r="B72" s="14" t="s">
        <v>749</v>
      </c>
      <c r="C72" s="14" t="s">
        <v>2157</v>
      </c>
    </row>
    <row r="73" spans="1:3" x14ac:dyDescent="0.2">
      <c r="A73" s="14">
        <v>72</v>
      </c>
      <c r="B73" s="14" t="s">
        <v>753</v>
      </c>
      <c r="C73" s="14" t="s">
        <v>2158</v>
      </c>
    </row>
    <row r="74" spans="1:3" x14ac:dyDescent="0.2">
      <c r="A74" s="14">
        <v>73</v>
      </c>
      <c r="B74" s="14" t="s">
        <v>766</v>
      </c>
      <c r="C74" s="14" t="s">
        <v>2159</v>
      </c>
    </row>
    <row r="75" spans="1:3" x14ac:dyDescent="0.2">
      <c r="A75" s="14">
        <v>74</v>
      </c>
      <c r="B75" s="14" t="s">
        <v>770</v>
      </c>
      <c r="C75" s="14" t="s">
        <v>2160</v>
      </c>
    </row>
    <row r="76" spans="1:3" x14ac:dyDescent="0.2">
      <c r="A76" s="14">
        <v>75</v>
      </c>
      <c r="B76" s="14" t="s">
        <v>778</v>
      </c>
      <c r="C76" s="14" t="s">
        <v>2161</v>
      </c>
    </row>
    <row r="77" spans="1:3" x14ac:dyDescent="0.2">
      <c r="A77" s="14">
        <v>76</v>
      </c>
      <c r="B77" s="14" t="s">
        <v>783</v>
      </c>
      <c r="C77" s="14" t="s">
        <v>2162</v>
      </c>
    </row>
    <row r="78" spans="1:3" x14ac:dyDescent="0.2">
      <c r="A78" s="14">
        <v>77</v>
      </c>
      <c r="B78" s="14" t="s">
        <v>791</v>
      </c>
      <c r="C78" s="14" t="s">
        <v>2163</v>
      </c>
    </row>
    <row r="79" spans="1:3" x14ac:dyDescent="0.2">
      <c r="A79" s="14">
        <v>78</v>
      </c>
      <c r="B79" s="14" t="s">
        <v>795</v>
      </c>
      <c r="C79" s="14" t="s">
        <v>2164</v>
      </c>
    </row>
    <row r="80" spans="1:3" x14ac:dyDescent="0.2">
      <c r="A80" s="14">
        <v>79</v>
      </c>
      <c r="B80" s="14" t="s">
        <v>799</v>
      </c>
      <c r="C80" s="14" t="s">
        <v>2165</v>
      </c>
    </row>
    <row r="81" spans="1:3" x14ac:dyDescent="0.2">
      <c r="A81" s="14">
        <v>80</v>
      </c>
      <c r="B81" s="14" t="s">
        <v>486</v>
      </c>
      <c r="C81" s="14" t="s">
        <v>2166</v>
      </c>
    </row>
    <row r="82" spans="1:3" x14ac:dyDescent="0.2">
      <c r="A82" s="14">
        <v>81</v>
      </c>
      <c r="B82" s="14" t="s">
        <v>490</v>
      </c>
      <c r="C82" s="14" t="s">
        <v>2167</v>
      </c>
    </row>
    <row r="83" spans="1:3" x14ac:dyDescent="0.2">
      <c r="A83" s="14">
        <v>82</v>
      </c>
      <c r="B83" s="14" t="s">
        <v>494</v>
      </c>
      <c r="C83" s="14" t="s">
        <v>2168</v>
      </c>
    </row>
    <row r="84" spans="1:3" x14ac:dyDescent="0.2">
      <c r="A84" s="14">
        <v>83</v>
      </c>
      <c r="B84" s="14" t="s">
        <v>499</v>
      </c>
      <c r="C84" s="14" t="s">
        <v>2169</v>
      </c>
    </row>
    <row r="85" spans="1:3" x14ac:dyDescent="0.2">
      <c r="A85" s="14">
        <v>84</v>
      </c>
      <c r="B85" s="14" t="s">
        <v>503</v>
      </c>
      <c r="C85" s="14" t="s">
        <v>2170</v>
      </c>
    </row>
    <row r="86" spans="1:3" x14ac:dyDescent="0.2">
      <c r="A86" s="14">
        <v>85</v>
      </c>
      <c r="B86" s="14" t="s">
        <v>508</v>
      </c>
      <c r="C86" s="14" t="s">
        <v>2171</v>
      </c>
    </row>
    <row r="87" spans="1:3" x14ac:dyDescent="0.2">
      <c r="A87" s="14">
        <v>86</v>
      </c>
      <c r="B87" s="14" t="s">
        <v>516</v>
      </c>
      <c r="C87" s="14" t="s">
        <v>2172</v>
      </c>
    </row>
    <row r="88" spans="1:3" x14ac:dyDescent="0.2">
      <c r="A88" s="14">
        <v>87</v>
      </c>
      <c r="B88" s="14" t="s">
        <v>524</v>
      </c>
      <c r="C88" s="14" t="s">
        <v>2173</v>
      </c>
    </row>
    <row r="89" spans="1:3" x14ac:dyDescent="0.2">
      <c r="A89" s="14">
        <v>88</v>
      </c>
      <c r="B89" s="14" t="s">
        <v>529</v>
      </c>
      <c r="C89" s="14" t="s">
        <v>2174</v>
      </c>
    </row>
    <row r="90" spans="1:3" x14ac:dyDescent="0.2">
      <c r="A90" s="14">
        <v>89</v>
      </c>
      <c r="B90" s="14" t="s">
        <v>534</v>
      </c>
      <c r="C90" s="14" t="s">
        <v>2175</v>
      </c>
    </row>
    <row r="91" spans="1:3" x14ac:dyDescent="0.2">
      <c r="A91" s="14">
        <v>90</v>
      </c>
      <c r="B91" s="14" t="s">
        <v>539</v>
      </c>
      <c r="C91" s="14" t="s">
        <v>2176</v>
      </c>
    </row>
    <row r="92" spans="1:3" x14ac:dyDescent="0.2">
      <c r="A92" s="14">
        <v>91</v>
      </c>
      <c r="B92" s="14" t="s">
        <v>548</v>
      </c>
      <c r="C92" s="14" t="s">
        <v>2177</v>
      </c>
    </row>
    <row r="93" spans="1:3" x14ac:dyDescent="0.2">
      <c r="A93" s="14">
        <v>92</v>
      </c>
      <c r="B93" s="14" t="s">
        <v>552</v>
      </c>
      <c r="C93" s="14" t="s">
        <v>2178</v>
      </c>
    </row>
    <row r="94" spans="1:3" x14ac:dyDescent="0.2">
      <c r="A94" s="14">
        <v>93</v>
      </c>
      <c r="B94" s="14" t="s">
        <v>560</v>
      </c>
      <c r="C94" s="14" t="s">
        <v>2179</v>
      </c>
    </row>
    <row r="95" spans="1:3" x14ac:dyDescent="0.2">
      <c r="A95" s="14">
        <v>94</v>
      </c>
      <c r="B95" s="14" t="s">
        <v>569</v>
      </c>
      <c r="C95" s="14" t="s">
        <v>2180</v>
      </c>
    </row>
    <row r="96" spans="1:3" x14ac:dyDescent="0.2">
      <c r="A96" s="14">
        <v>95</v>
      </c>
      <c r="B96" s="14" t="s">
        <v>573</v>
      </c>
      <c r="C96" s="14" t="s">
        <v>2181</v>
      </c>
    </row>
    <row r="97" spans="1:3" x14ac:dyDescent="0.2">
      <c r="A97" s="14">
        <v>96</v>
      </c>
      <c r="B97" s="14" t="s">
        <v>582</v>
      </c>
      <c r="C97" s="14" t="s">
        <v>2182</v>
      </c>
    </row>
    <row r="98" spans="1:3" x14ac:dyDescent="0.2">
      <c r="A98" s="14">
        <v>97</v>
      </c>
      <c r="B98" s="14" t="s">
        <v>669</v>
      </c>
      <c r="C98" s="14" t="s">
        <v>2183</v>
      </c>
    </row>
    <row r="99" spans="1:3" x14ac:dyDescent="0.2">
      <c r="A99" s="14">
        <v>98</v>
      </c>
      <c r="B99" s="14" t="s">
        <v>683</v>
      </c>
      <c r="C99" s="14" t="s">
        <v>2184</v>
      </c>
    </row>
    <row r="100" spans="1:3" x14ac:dyDescent="0.2">
      <c r="A100" s="14">
        <v>99</v>
      </c>
      <c r="B100" s="14" t="s">
        <v>745</v>
      </c>
      <c r="C100" s="14" t="s">
        <v>2185</v>
      </c>
    </row>
    <row r="101" spans="1:3" x14ac:dyDescent="0.2">
      <c r="A101" s="14">
        <v>100</v>
      </c>
      <c r="B101" s="14" t="s">
        <v>758</v>
      </c>
      <c r="C101" s="14" t="s">
        <v>2186</v>
      </c>
    </row>
    <row r="102" spans="1:3" x14ac:dyDescent="0.2">
      <c r="A102" s="14">
        <v>101</v>
      </c>
      <c r="B102" s="14" t="s">
        <v>774</v>
      </c>
      <c r="C102" s="14" t="s">
        <v>2187</v>
      </c>
    </row>
    <row r="103" spans="1:3" x14ac:dyDescent="0.2">
      <c r="A103" s="14">
        <v>102</v>
      </c>
      <c r="B103" s="14" t="s">
        <v>787</v>
      </c>
      <c r="C103" s="14" t="s">
        <v>2188</v>
      </c>
    </row>
    <row r="104" spans="1:3" x14ac:dyDescent="0.2">
      <c r="A104" s="14">
        <v>103</v>
      </c>
      <c r="B104" s="14" t="s">
        <v>841</v>
      </c>
      <c r="C104" s="14" t="s">
        <v>2189</v>
      </c>
    </row>
    <row r="105" spans="1:3" x14ac:dyDescent="0.2">
      <c r="A105" s="14">
        <v>104</v>
      </c>
      <c r="B105" s="14" t="s">
        <v>412</v>
      </c>
      <c r="C105" s="14" t="s">
        <v>2190</v>
      </c>
    </row>
    <row r="106" spans="1:3" x14ac:dyDescent="0.2">
      <c r="A106" s="14">
        <v>105</v>
      </c>
      <c r="B106" s="14" t="s">
        <v>424</v>
      </c>
      <c r="C106" s="14" t="s">
        <v>2191</v>
      </c>
    </row>
    <row r="107" spans="1:3" x14ac:dyDescent="0.2">
      <c r="A107" s="14">
        <v>106</v>
      </c>
      <c r="B107" s="14" t="s">
        <v>450</v>
      </c>
      <c r="C107" s="14" t="s">
        <v>2192</v>
      </c>
    </row>
    <row r="108" spans="1:3" x14ac:dyDescent="0.2">
      <c r="A108" s="14">
        <v>107</v>
      </c>
      <c r="B108" s="14" t="s">
        <v>464</v>
      </c>
      <c r="C108" s="14" t="s">
        <v>2193</v>
      </c>
    </row>
    <row r="109" spans="1:3" x14ac:dyDescent="0.2">
      <c r="A109" s="14">
        <v>108</v>
      </c>
      <c r="B109" s="14" t="s">
        <v>481</v>
      </c>
      <c r="C109" s="14" t="s">
        <v>2194</v>
      </c>
    </row>
    <row r="110" spans="1:3" x14ac:dyDescent="0.2">
      <c r="A110" s="14">
        <v>109</v>
      </c>
      <c r="B110" s="14" t="s">
        <v>577</v>
      </c>
      <c r="C110" s="14" t="s">
        <v>2195</v>
      </c>
    </row>
    <row r="111" spans="1:3" x14ac:dyDescent="0.2">
      <c r="A111" s="14">
        <v>110</v>
      </c>
      <c r="B111" s="14" t="s">
        <v>803</v>
      </c>
      <c r="C111" s="14" t="s">
        <v>2196</v>
      </c>
    </row>
    <row r="112" spans="1:3" x14ac:dyDescent="0.2">
      <c r="A112" s="14">
        <v>111</v>
      </c>
      <c r="B112" s="14" t="s">
        <v>811</v>
      </c>
      <c r="C112" s="14" t="s">
        <v>2197</v>
      </c>
    </row>
    <row r="113" spans="1:3" x14ac:dyDescent="0.2">
      <c r="A113" s="14">
        <v>112</v>
      </c>
      <c r="B113" s="14" t="s">
        <v>815</v>
      </c>
      <c r="C113" s="14" t="s">
        <v>2198</v>
      </c>
    </row>
    <row r="114" spans="1:3" x14ac:dyDescent="0.2">
      <c r="A114" s="14">
        <v>113</v>
      </c>
      <c r="B114" s="14" t="s">
        <v>819</v>
      </c>
      <c r="C114" s="14" t="s">
        <v>2199</v>
      </c>
    </row>
    <row r="115" spans="1:3" x14ac:dyDescent="0.2">
      <c r="A115" s="14">
        <v>114</v>
      </c>
      <c r="B115" s="14" t="s">
        <v>824</v>
      </c>
      <c r="C115" s="14" t="s">
        <v>2200</v>
      </c>
    </row>
    <row r="116" spans="1:3" x14ac:dyDescent="0.2">
      <c r="A116" s="14">
        <v>115</v>
      </c>
      <c r="B116" s="14" t="s">
        <v>828</v>
      </c>
      <c r="C116" s="14" t="s">
        <v>2201</v>
      </c>
    </row>
    <row r="117" spans="1:3" x14ac:dyDescent="0.2">
      <c r="A117" s="14">
        <v>116</v>
      </c>
      <c r="B117" s="14" t="s">
        <v>833</v>
      </c>
      <c r="C117" s="14" t="s">
        <v>2202</v>
      </c>
    </row>
    <row r="118" spans="1:3" x14ac:dyDescent="0.2">
      <c r="A118" s="14">
        <v>117</v>
      </c>
      <c r="B118" s="14" t="s">
        <v>837</v>
      </c>
      <c r="C118" s="14" t="s">
        <v>2203</v>
      </c>
    </row>
    <row r="119" spans="1:3" x14ac:dyDescent="0.2">
      <c r="A119" s="14">
        <v>118</v>
      </c>
      <c r="B119" s="14" t="s">
        <v>846</v>
      </c>
      <c r="C119" s="14" t="s">
        <v>2204</v>
      </c>
    </row>
    <row r="120" spans="1:3" x14ac:dyDescent="0.2">
      <c r="A120" s="14">
        <v>119</v>
      </c>
      <c r="B120" s="14" t="s">
        <v>850</v>
      </c>
      <c r="C120" s="14" t="s">
        <v>2205</v>
      </c>
    </row>
    <row r="121" spans="1:3" x14ac:dyDescent="0.2">
      <c r="A121" s="14">
        <v>120</v>
      </c>
      <c r="B121" s="14" t="s">
        <v>860</v>
      </c>
      <c r="C121" s="14" t="s">
        <v>2206</v>
      </c>
    </row>
    <row r="122" spans="1:3" x14ac:dyDescent="0.2">
      <c r="A122" s="14">
        <v>121</v>
      </c>
      <c r="B122" s="14" t="s">
        <v>864</v>
      </c>
      <c r="C122" s="14" t="s">
        <v>2207</v>
      </c>
    </row>
    <row r="123" spans="1:3" x14ac:dyDescent="0.2">
      <c r="A123" s="14">
        <v>122</v>
      </c>
      <c r="B123" s="14" t="s">
        <v>872</v>
      </c>
      <c r="C123" s="14" t="s">
        <v>2208</v>
      </c>
    </row>
    <row r="124" spans="1:3" x14ac:dyDescent="0.2">
      <c r="A124" s="14">
        <v>123</v>
      </c>
      <c r="B124" s="14" t="s">
        <v>876</v>
      </c>
      <c r="C124" s="14" t="s">
        <v>2209</v>
      </c>
    </row>
    <row r="125" spans="1:3" x14ac:dyDescent="0.2">
      <c r="A125" s="14">
        <v>124</v>
      </c>
      <c r="B125" s="14" t="s">
        <v>881</v>
      </c>
      <c r="C125" s="14" t="s">
        <v>2210</v>
      </c>
    </row>
    <row r="126" spans="1:3" x14ac:dyDescent="0.2">
      <c r="A126" s="14">
        <v>125</v>
      </c>
      <c r="B126" s="14" t="s">
        <v>891</v>
      </c>
      <c r="C126" s="14" t="s">
        <v>2211</v>
      </c>
    </row>
    <row r="127" spans="1:3" x14ac:dyDescent="0.2">
      <c r="A127" s="14">
        <v>126</v>
      </c>
      <c r="B127" s="14" t="s">
        <v>895</v>
      </c>
      <c r="C127" s="14" t="s">
        <v>2212</v>
      </c>
    </row>
    <row r="128" spans="1:3" x14ac:dyDescent="0.2">
      <c r="A128" s="14">
        <v>127</v>
      </c>
      <c r="B128" s="14" t="s">
        <v>907</v>
      </c>
      <c r="C128" s="14" t="s">
        <v>2213</v>
      </c>
    </row>
    <row r="129" spans="1:3" x14ac:dyDescent="0.2">
      <c r="A129" s="14">
        <v>128</v>
      </c>
      <c r="B129" s="14" t="s">
        <v>911</v>
      </c>
      <c r="C129" s="14" t="s">
        <v>2214</v>
      </c>
    </row>
    <row r="130" spans="1:3" x14ac:dyDescent="0.2">
      <c r="A130" s="14">
        <v>129</v>
      </c>
      <c r="B130" s="14" t="s">
        <v>919</v>
      </c>
      <c r="C130" s="14" t="s">
        <v>2215</v>
      </c>
    </row>
    <row r="131" spans="1:3" x14ac:dyDescent="0.2">
      <c r="A131" s="14">
        <v>130</v>
      </c>
      <c r="B131" s="14" t="s">
        <v>923</v>
      </c>
      <c r="C131" s="14" t="s">
        <v>2216</v>
      </c>
    </row>
    <row r="132" spans="1:3" x14ac:dyDescent="0.2">
      <c r="A132" s="14">
        <v>131</v>
      </c>
      <c r="B132" s="14" t="s">
        <v>586</v>
      </c>
      <c r="C132" s="14" t="s">
        <v>2217</v>
      </c>
    </row>
    <row r="133" spans="1:3" x14ac:dyDescent="0.2">
      <c r="A133" s="14">
        <v>132</v>
      </c>
      <c r="B133" s="14" t="s">
        <v>590</v>
      </c>
      <c r="C133" s="14" t="s">
        <v>2218</v>
      </c>
    </row>
    <row r="134" spans="1:3" x14ac:dyDescent="0.2">
      <c r="A134" s="14">
        <v>133</v>
      </c>
      <c r="B134" s="14" t="s">
        <v>594</v>
      </c>
      <c r="C134" s="14" t="s">
        <v>2219</v>
      </c>
    </row>
    <row r="135" spans="1:3" x14ac:dyDescent="0.2">
      <c r="A135" s="14">
        <v>134</v>
      </c>
      <c r="B135" s="14" t="s">
        <v>598</v>
      </c>
      <c r="C135" s="14" t="s">
        <v>2220</v>
      </c>
    </row>
    <row r="136" spans="1:3" x14ac:dyDescent="0.2">
      <c r="A136" s="14">
        <v>135</v>
      </c>
      <c r="B136" s="14" t="s">
        <v>602</v>
      </c>
      <c r="C136" s="14" t="s">
        <v>2221</v>
      </c>
    </row>
    <row r="137" spans="1:3" x14ac:dyDescent="0.2">
      <c r="A137" s="14">
        <v>136</v>
      </c>
      <c r="B137" s="14" t="s">
        <v>607</v>
      </c>
      <c r="C137" s="14" t="s">
        <v>2222</v>
      </c>
    </row>
    <row r="138" spans="1:3" x14ac:dyDescent="0.2">
      <c r="A138" s="14">
        <v>137</v>
      </c>
      <c r="B138" s="14" t="s">
        <v>615</v>
      </c>
      <c r="C138" s="14" t="s">
        <v>2223</v>
      </c>
    </row>
    <row r="139" spans="1:3" x14ac:dyDescent="0.2">
      <c r="A139" s="14">
        <v>138</v>
      </c>
      <c r="B139" s="14" t="s">
        <v>619</v>
      </c>
      <c r="C139" s="14" t="s">
        <v>2224</v>
      </c>
    </row>
    <row r="140" spans="1:3" x14ac:dyDescent="0.2">
      <c r="A140" s="14">
        <v>139</v>
      </c>
      <c r="B140" s="14" t="s">
        <v>623</v>
      </c>
      <c r="C140" s="14" t="s">
        <v>2225</v>
      </c>
    </row>
    <row r="141" spans="1:3" x14ac:dyDescent="0.2">
      <c r="A141" s="14">
        <v>140</v>
      </c>
      <c r="B141" s="14" t="s">
        <v>628</v>
      </c>
      <c r="C141" s="14" t="s">
        <v>2226</v>
      </c>
    </row>
    <row r="142" spans="1:3" x14ac:dyDescent="0.2">
      <c r="A142" s="14">
        <v>141</v>
      </c>
      <c r="B142" s="14" t="s">
        <v>632</v>
      </c>
      <c r="C142" s="14" t="s">
        <v>2227</v>
      </c>
    </row>
    <row r="143" spans="1:3" x14ac:dyDescent="0.2">
      <c r="A143" s="14">
        <v>142</v>
      </c>
      <c r="B143" s="14" t="s">
        <v>636</v>
      </c>
      <c r="C143" s="14" t="s">
        <v>2228</v>
      </c>
    </row>
    <row r="144" spans="1:3" x14ac:dyDescent="0.2">
      <c r="A144" s="14">
        <v>143</v>
      </c>
      <c r="B144" s="14" t="s">
        <v>641</v>
      </c>
      <c r="C144" s="14" t="s">
        <v>2229</v>
      </c>
    </row>
    <row r="145" spans="1:3" x14ac:dyDescent="0.2">
      <c r="A145" s="14">
        <v>144</v>
      </c>
      <c r="B145" s="14" t="s">
        <v>646</v>
      </c>
      <c r="C145" s="14" t="s">
        <v>2230</v>
      </c>
    </row>
    <row r="146" spans="1:3" x14ac:dyDescent="0.2">
      <c r="A146" s="14">
        <v>145</v>
      </c>
      <c r="B146" s="14" t="s">
        <v>650</v>
      </c>
      <c r="C146" s="14" t="s">
        <v>2231</v>
      </c>
    </row>
    <row r="147" spans="1:3" x14ac:dyDescent="0.2">
      <c r="A147" s="14">
        <v>146</v>
      </c>
      <c r="B147" s="14" t="s">
        <v>660</v>
      </c>
      <c r="C147" s="14" t="s">
        <v>2232</v>
      </c>
    </row>
    <row r="148" spans="1:3" x14ac:dyDescent="0.2">
      <c r="A148" s="14">
        <v>147</v>
      </c>
      <c r="B148" s="14" t="s">
        <v>932</v>
      </c>
      <c r="C148" s="14" t="s">
        <v>2233</v>
      </c>
    </row>
    <row r="149" spans="1:3" x14ac:dyDescent="0.2">
      <c r="A149" s="14">
        <v>148</v>
      </c>
      <c r="B149" s="14" t="s">
        <v>937</v>
      </c>
      <c r="C149" s="14" t="s">
        <v>2234</v>
      </c>
    </row>
    <row r="150" spans="1:3" x14ac:dyDescent="0.2">
      <c r="A150" s="14">
        <v>149</v>
      </c>
      <c r="B150" s="14" t="s">
        <v>942</v>
      </c>
      <c r="C150" s="14" t="s">
        <v>2235</v>
      </c>
    </row>
    <row r="151" spans="1:3" x14ac:dyDescent="0.2">
      <c r="A151" s="14">
        <v>150</v>
      </c>
      <c r="B151" s="14" t="s">
        <v>950</v>
      </c>
      <c r="C151" s="14" t="s">
        <v>2236</v>
      </c>
    </row>
    <row r="152" spans="1:3" x14ac:dyDescent="0.2">
      <c r="A152" s="14">
        <v>151</v>
      </c>
      <c r="B152" s="14" t="s">
        <v>954</v>
      </c>
      <c r="C152" s="14" t="s">
        <v>2237</v>
      </c>
    </row>
    <row r="153" spans="1:3" x14ac:dyDescent="0.2">
      <c r="A153" s="14">
        <v>152</v>
      </c>
      <c r="B153" s="14" t="s">
        <v>958</v>
      </c>
      <c r="C153" s="14" t="s">
        <v>2238</v>
      </c>
    </row>
    <row r="154" spans="1:3" x14ac:dyDescent="0.2">
      <c r="A154" s="14">
        <v>153</v>
      </c>
      <c r="B154" s="14" t="s">
        <v>962</v>
      </c>
      <c r="C154" s="14" t="s">
        <v>2239</v>
      </c>
    </row>
    <row r="155" spans="1:3" x14ac:dyDescent="0.2">
      <c r="A155" s="14">
        <v>154</v>
      </c>
      <c r="B155" s="14" t="s">
        <v>966</v>
      </c>
      <c r="C155" s="14" t="s">
        <v>2240</v>
      </c>
    </row>
    <row r="156" spans="1:3" x14ac:dyDescent="0.2">
      <c r="A156" s="14">
        <v>155</v>
      </c>
      <c r="B156" s="14" t="s">
        <v>975</v>
      </c>
      <c r="C156" s="14" t="s">
        <v>2241</v>
      </c>
    </row>
    <row r="157" spans="1:3" x14ac:dyDescent="0.2">
      <c r="A157" s="14">
        <v>156</v>
      </c>
      <c r="B157" s="14" t="s">
        <v>979</v>
      </c>
      <c r="C157" s="14" t="s">
        <v>2242</v>
      </c>
    </row>
    <row r="158" spans="1:3" x14ac:dyDescent="0.2">
      <c r="A158" s="14">
        <v>157</v>
      </c>
      <c r="B158" s="14" t="s">
        <v>987</v>
      </c>
      <c r="C158" s="14" t="s">
        <v>2243</v>
      </c>
    </row>
    <row r="159" spans="1:3" x14ac:dyDescent="0.2">
      <c r="A159" s="14">
        <v>158</v>
      </c>
      <c r="B159" s="14" t="s">
        <v>995</v>
      </c>
      <c r="C159" s="14" t="s">
        <v>2244</v>
      </c>
    </row>
    <row r="160" spans="1:3" x14ac:dyDescent="0.2">
      <c r="A160" s="14">
        <v>159</v>
      </c>
      <c r="B160" s="14" t="s">
        <v>999</v>
      </c>
      <c r="C160" s="14" t="s">
        <v>2245</v>
      </c>
    </row>
    <row r="161" spans="1:3" x14ac:dyDescent="0.2">
      <c r="A161" s="14">
        <v>160</v>
      </c>
      <c r="B161" s="14" t="s">
        <v>1012</v>
      </c>
      <c r="C161" s="14" t="s">
        <v>2246</v>
      </c>
    </row>
    <row r="162" spans="1:3" x14ac:dyDescent="0.2">
      <c r="A162" s="14">
        <v>161</v>
      </c>
      <c r="B162" s="14" t="s">
        <v>1016</v>
      </c>
      <c r="C162" s="14" t="s">
        <v>2247</v>
      </c>
    </row>
    <row r="163" spans="1:3" x14ac:dyDescent="0.2">
      <c r="A163" s="14">
        <v>162</v>
      </c>
      <c r="B163" s="14" t="s">
        <v>1024</v>
      </c>
      <c r="C163" s="14" t="s">
        <v>2248</v>
      </c>
    </row>
    <row r="164" spans="1:3" x14ac:dyDescent="0.2">
      <c r="A164" s="14">
        <v>163</v>
      </c>
      <c r="B164" s="14" t="s">
        <v>249</v>
      </c>
      <c r="C164" s="14" t="s">
        <v>2249</v>
      </c>
    </row>
    <row r="165" spans="1:3" x14ac:dyDescent="0.2">
      <c r="A165" s="14">
        <v>164</v>
      </c>
      <c r="B165" s="14" t="s">
        <v>254</v>
      </c>
      <c r="C165" s="14" t="s">
        <v>2250</v>
      </c>
    </row>
    <row r="166" spans="1:3" x14ac:dyDescent="0.2">
      <c r="A166" s="14">
        <v>165</v>
      </c>
      <c r="B166" s="14" t="s">
        <v>264</v>
      </c>
      <c r="C166" s="14" t="s">
        <v>2251</v>
      </c>
    </row>
    <row r="167" spans="1:3" x14ac:dyDescent="0.2">
      <c r="A167" s="14">
        <v>166</v>
      </c>
      <c r="B167" s="14" t="s">
        <v>268</v>
      </c>
      <c r="C167" s="14" t="s">
        <v>2252</v>
      </c>
    </row>
    <row r="168" spans="1:3" x14ac:dyDescent="0.2">
      <c r="A168" s="14">
        <v>167</v>
      </c>
      <c r="B168" s="14" t="s">
        <v>272</v>
      </c>
      <c r="C168" s="14" t="s">
        <v>2253</v>
      </c>
    </row>
    <row r="169" spans="1:3" x14ac:dyDescent="0.2">
      <c r="A169" s="14">
        <v>168</v>
      </c>
      <c r="B169" s="14" t="s">
        <v>276</v>
      </c>
      <c r="C169" s="14" t="s">
        <v>2254</v>
      </c>
    </row>
    <row r="170" spans="1:3" x14ac:dyDescent="0.2">
      <c r="A170" s="14">
        <v>169</v>
      </c>
      <c r="B170" s="14" t="s">
        <v>280</v>
      </c>
      <c r="C170" s="14" t="s">
        <v>2255</v>
      </c>
    </row>
    <row r="171" spans="1:3" x14ac:dyDescent="0.2">
      <c r="A171" s="14">
        <v>170</v>
      </c>
      <c r="B171" s="14" t="s">
        <v>284</v>
      </c>
      <c r="C171" s="14" t="s">
        <v>2256</v>
      </c>
    </row>
    <row r="172" spans="1:3" x14ac:dyDescent="0.2">
      <c r="A172" s="14">
        <v>171</v>
      </c>
      <c r="B172" s="14" t="s">
        <v>288</v>
      </c>
      <c r="C172" s="14" t="s">
        <v>2257</v>
      </c>
    </row>
    <row r="173" spans="1:3" x14ac:dyDescent="0.2">
      <c r="A173" s="14">
        <v>172</v>
      </c>
      <c r="B173" s="14" t="s">
        <v>296</v>
      </c>
      <c r="C173" s="14" t="s">
        <v>2258</v>
      </c>
    </row>
    <row r="174" spans="1:3" x14ac:dyDescent="0.2">
      <c r="A174" s="14">
        <v>173</v>
      </c>
      <c r="B174" s="14" t="s">
        <v>301</v>
      </c>
      <c r="C174" s="14" t="s">
        <v>2259</v>
      </c>
    </row>
    <row r="175" spans="1:3" x14ac:dyDescent="0.2">
      <c r="A175" s="14">
        <v>174</v>
      </c>
      <c r="B175" s="14" t="s">
        <v>310</v>
      </c>
      <c r="C175" s="14" t="s">
        <v>2260</v>
      </c>
    </row>
    <row r="176" spans="1:3" x14ac:dyDescent="0.2">
      <c r="A176" s="14">
        <v>175</v>
      </c>
      <c r="B176" s="14" t="s">
        <v>314</v>
      </c>
      <c r="C176" s="14" t="s">
        <v>2261</v>
      </c>
    </row>
    <row r="177" spans="1:3" x14ac:dyDescent="0.2">
      <c r="A177" s="14">
        <v>176</v>
      </c>
      <c r="B177" s="14" t="s">
        <v>322</v>
      </c>
      <c r="C177" s="14" t="s">
        <v>2262</v>
      </c>
    </row>
    <row r="178" spans="1:3" x14ac:dyDescent="0.2">
      <c r="A178" s="14">
        <v>177</v>
      </c>
      <c r="B178" s="14" t="s">
        <v>327</v>
      </c>
      <c r="C178" s="14" t="s">
        <v>2263</v>
      </c>
    </row>
    <row r="179" spans="1:3" x14ac:dyDescent="0.2">
      <c r="A179" s="14">
        <v>178</v>
      </c>
      <c r="B179" s="14" t="s">
        <v>332</v>
      </c>
      <c r="C179" s="14" t="s">
        <v>2264</v>
      </c>
    </row>
    <row r="180" spans="1:3" x14ac:dyDescent="0.2">
      <c r="A180" s="14">
        <v>179</v>
      </c>
      <c r="B180" s="14" t="s">
        <v>346</v>
      </c>
      <c r="C180" s="14" t="s">
        <v>2265</v>
      </c>
    </row>
    <row r="181" spans="1:3" x14ac:dyDescent="0.2">
      <c r="A181" s="14">
        <v>180</v>
      </c>
      <c r="B181" s="14" t="s">
        <v>351</v>
      </c>
      <c r="C181" s="14" t="s">
        <v>2266</v>
      </c>
    </row>
    <row r="182" spans="1:3" x14ac:dyDescent="0.2">
      <c r="A182" s="14">
        <v>181</v>
      </c>
      <c r="B182" s="14" t="s">
        <v>360</v>
      </c>
      <c r="C182" s="14" t="s">
        <v>2267</v>
      </c>
    </row>
    <row r="183" spans="1:3" x14ac:dyDescent="0.2">
      <c r="A183" s="14">
        <v>182</v>
      </c>
      <c r="B183" s="14" t="s">
        <v>245</v>
      </c>
      <c r="C183" s="14" t="s">
        <v>2268</v>
      </c>
    </row>
    <row r="184" spans="1:3" x14ac:dyDescent="0.2">
      <c r="A184" s="14">
        <v>183</v>
      </c>
      <c r="B184" s="14" t="s">
        <v>388</v>
      </c>
      <c r="C184" s="14" t="s">
        <v>2269</v>
      </c>
    </row>
    <row r="185" spans="1:3" x14ac:dyDescent="0.2">
      <c r="A185" s="14">
        <v>184</v>
      </c>
      <c r="B185" s="14" t="s">
        <v>520</v>
      </c>
      <c r="C185" s="14" t="s">
        <v>2270</v>
      </c>
    </row>
    <row r="186" spans="1:3" x14ac:dyDescent="0.2">
      <c r="A186" s="14">
        <v>185</v>
      </c>
      <c r="B186" s="14" t="s">
        <v>198</v>
      </c>
      <c r="C186" s="14" t="s">
        <v>2271</v>
      </c>
    </row>
    <row r="187" spans="1:3" x14ac:dyDescent="0.2">
      <c r="A187" s="14">
        <v>186</v>
      </c>
      <c r="B187" s="14" t="s">
        <v>364</v>
      </c>
      <c r="C187" s="14" t="s">
        <v>2272</v>
      </c>
    </row>
    <row r="188" spans="1:3" x14ac:dyDescent="0.2">
      <c r="A188" s="14">
        <v>187</v>
      </c>
      <c r="B188" s="14" t="s">
        <v>368</v>
      </c>
      <c r="C188" s="14" t="s">
        <v>2273</v>
      </c>
    </row>
    <row r="189" spans="1:3" x14ac:dyDescent="0.2">
      <c r="A189" s="14">
        <v>188</v>
      </c>
      <c r="B189" s="14" t="s">
        <v>372</v>
      </c>
      <c r="C189" s="14" t="s">
        <v>2274</v>
      </c>
    </row>
    <row r="190" spans="1:3" x14ac:dyDescent="0.2">
      <c r="A190" s="14">
        <v>189</v>
      </c>
      <c r="B190" s="14" t="s">
        <v>376</v>
      </c>
      <c r="C190" s="14" t="s">
        <v>2275</v>
      </c>
    </row>
    <row r="191" spans="1:3" x14ac:dyDescent="0.2">
      <c r="A191" s="14">
        <v>190</v>
      </c>
      <c r="B191" s="14" t="s">
        <v>380</v>
      </c>
      <c r="C191" s="14" t="s">
        <v>2276</v>
      </c>
    </row>
    <row r="192" spans="1:3" x14ac:dyDescent="0.2">
      <c r="A192" s="14">
        <v>191</v>
      </c>
      <c r="B192" s="14" t="s">
        <v>384</v>
      </c>
      <c r="C192" s="14" t="s">
        <v>2277</v>
      </c>
    </row>
    <row r="193" spans="1:3" x14ac:dyDescent="0.2">
      <c r="A193" s="14">
        <v>192</v>
      </c>
      <c r="B193" s="14" t="s">
        <v>393</v>
      </c>
      <c r="C193" s="14" t="s">
        <v>2278</v>
      </c>
    </row>
    <row r="194" spans="1:3" x14ac:dyDescent="0.2">
      <c r="A194" s="14">
        <v>193</v>
      </c>
      <c r="B194" s="14" t="s">
        <v>398</v>
      </c>
      <c r="C194" s="14" t="s">
        <v>2279</v>
      </c>
    </row>
    <row r="195" spans="1:3" x14ac:dyDescent="0.2">
      <c r="A195" s="14">
        <v>194</v>
      </c>
      <c r="B195" s="14" t="s">
        <v>402</v>
      </c>
      <c r="C195" s="14" t="s">
        <v>2280</v>
      </c>
    </row>
    <row r="196" spans="1:3" x14ac:dyDescent="0.2">
      <c r="A196" s="14">
        <v>195</v>
      </c>
      <c r="B196" s="14" t="s">
        <v>407</v>
      </c>
      <c r="C196" s="14" t="s">
        <v>2281</v>
      </c>
    </row>
    <row r="197" spans="1:3" x14ac:dyDescent="0.2">
      <c r="A197" s="14">
        <v>196</v>
      </c>
      <c r="B197" s="14" t="s">
        <v>416</v>
      </c>
      <c r="C197" s="14" t="s">
        <v>2282</v>
      </c>
    </row>
    <row r="198" spans="1:3" x14ac:dyDescent="0.2">
      <c r="A198" s="14">
        <v>197</v>
      </c>
      <c r="B198" s="14" t="s">
        <v>420</v>
      </c>
      <c r="C198" s="14" t="s">
        <v>2283</v>
      </c>
    </row>
    <row r="199" spans="1:3" x14ac:dyDescent="0.2">
      <c r="A199" s="14">
        <v>198</v>
      </c>
      <c r="B199" s="14" t="s">
        <v>428</v>
      </c>
      <c r="C199" s="14" t="s">
        <v>2284</v>
      </c>
    </row>
    <row r="200" spans="1:3" x14ac:dyDescent="0.2">
      <c r="A200" s="14">
        <v>199</v>
      </c>
      <c r="B200" s="14" t="s">
        <v>437</v>
      </c>
      <c r="C200" s="14" t="s">
        <v>2285</v>
      </c>
    </row>
    <row r="201" spans="1:3" x14ac:dyDescent="0.2">
      <c r="A201" s="14">
        <v>200</v>
      </c>
      <c r="B201" s="14" t="s">
        <v>442</v>
      </c>
      <c r="C201" s="14" t="s">
        <v>2286</v>
      </c>
    </row>
    <row r="202" spans="1:3" x14ac:dyDescent="0.2">
      <c r="A202" s="14">
        <v>201</v>
      </c>
      <c r="B202" s="14" t="s">
        <v>446</v>
      </c>
      <c r="C202" s="14" t="s">
        <v>2287</v>
      </c>
    </row>
    <row r="203" spans="1:3" x14ac:dyDescent="0.2">
      <c r="A203" s="14">
        <v>202</v>
      </c>
      <c r="B203" s="14" t="s">
        <v>454</v>
      </c>
      <c r="C203" s="14" t="s">
        <v>2288</v>
      </c>
    </row>
    <row r="204" spans="1:3" x14ac:dyDescent="0.2">
      <c r="A204" s="14">
        <v>203</v>
      </c>
      <c r="B204" s="14" t="s">
        <v>459</v>
      </c>
      <c r="C204" s="14" t="s">
        <v>2289</v>
      </c>
    </row>
    <row r="205" spans="1:3" x14ac:dyDescent="0.2">
      <c r="A205" s="14">
        <v>204</v>
      </c>
      <c r="B205" s="14" t="s">
        <v>468</v>
      </c>
      <c r="C205" s="14" t="s">
        <v>2290</v>
      </c>
    </row>
    <row r="206" spans="1:3" x14ac:dyDescent="0.2">
      <c r="A206" s="14">
        <v>205</v>
      </c>
      <c r="B206" s="14" t="s">
        <v>477</v>
      </c>
      <c r="C206" s="14" t="s">
        <v>2291</v>
      </c>
    </row>
    <row r="207" spans="1:3" x14ac:dyDescent="0.2">
      <c r="A207" s="14">
        <v>206</v>
      </c>
      <c r="B207" s="14" t="s">
        <v>19</v>
      </c>
      <c r="C207" s="14" t="s">
        <v>2338</v>
      </c>
    </row>
    <row r="208" spans="1:3" x14ac:dyDescent="0.2">
      <c r="A208" s="14">
        <v>207</v>
      </c>
      <c r="B208" s="14" t="s">
        <v>318</v>
      </c>
      <c r="C208" s="14" t="s">
        <v>2292</v>
      </c>
    </row>
    <row r="209" spans="1:3" x14ac:dyDescent="0.2">
      <c r="A209" s="14">
        <v>208</v>
      </c>
      <c r="B209" s="14" t="s">
        <v>337</v>
      </c>
      <c r="C209" s="14" t="s">
        <v>2293</v>
      </c>
    </row>
    <row r="210" spans="1:3" x14ac:dyDescent="0.2">
      <c r="A210" s="14">
        <v>209</v>
      </c>
      <c r="B210" s="14" t="s">
        <v>355</v>
      </c>
      <c r="C210" s="14" t="s">
        <v>2294</v>
      </c>
    </row>
    <row r="211" spans="1:3" x14ac:dyDescent="0.2">
      <c r="A211" s="14">
        <v>210</v>
      </c>
      <c r="B211" s="14" t="s">
        <v>729</v>
      </c>
      <c r="C211" s="14" t="s">
        <v>2295</v>
      </c>
    </row>
    <row r="212" spans="1:3" x14ac:dyDescent="0.2">
      <c r="A212" s="14">
        <v>211</v>
      </c>
      <c r="B212" s="14" t="s">
        <v>855</v>
      </c>
      <c r="C212" s="14" t="s">
        <v>2296</v>
      </c>
    </row>
    <row r="213" spans="1:3" x14ac:dyDescent="0.2">
      <c r="A213" s="14">
        <v>212</v>
      </c>
      <c r="B213" s="14" t="s">
        <v>868</v>
      </c>
      <c r="C213" s="14" t="s">
        <v>2297</v>
      </c>
    </row>
    <row r="214" spans="1:3" x14ac:dyDescent="0.2">
      <c r="A214" s="14">
        <v>213</v>
      </c>
      <c r="B214" s="14" t="s">
        <v>886</v>
      </c>
      <c r="C214" s="14" t="s">
        <v>2298</v>
      </c>
    </row>
    <row r="215" spans="1:3" x14ac:dyDescent="0.2">
      <c r="A215" s="14">
        <v>214</v>
      </c>
      <c r="B215" s="14" t="s">
        <v>903</v>
      </c>
      <c r="C215" s="14" t="s">
        <v>2299</v>
      </c>
    </row>
    <row r="216" spans="1:3" x14ac:dyDescent="0.2">
      <c r="A216" s="14">
        <v>215</v>
      </c>
      <c r="B216" s="14" t="s">
        <v>915</v>
      </c>
      <c r="C216" s="14" t="s">
        <v>2300</v>
      </c>
    </row>
    <row r="217" spans="1:3" x14ac:dyDescent="0.2">
      <c r="A217" s="14">
        <v>216</v>
      </c>
      <c r="B217" s="14" t="s">
        <v>927</v>
      </c>
      <c r="C217" s="14" t="s">
        <v>2301</v>
      </c>
    </row>
    <row r="218" spans="1:3" x14ac:dyDescent="0.2">
      <c r="A218" s="14">
        <v>217</v>
      </c>
      <c r="B218" s="14" t="s">
        <v>970</v>
      </c>
      <c r="C218" s="14" t="s">
        <v>2302</v>
      </c>
    </row>
    <row r="219" spans="1:3" x14ac:dyDescent="0.2">
      <c r="A219" s="14">
        <v>218</v>
      </c>
      <c r="B219" s="14" t="s">
        <v>983</v>
      </c>
      <c r="C219" s="14" t="s">
        <v>2303</v>
      </c>
    </row>
    <row r="220" spans="1:3" x14ac:dyDescent="0.2">
      <c r="A220" s="14">
        <v>219</v>
      </c>
      <c r="B220" s="14" t="s">
        <v>1003</v>
      </c>
      <c r="C220" s="14" t="s">
        <v>2304</v>
      </c>
    </row>
    <row r="221" spans="1:3" x14ac:dyDescent="0.2">
      <c r="A221" s="14">
        <v>220</v>
      </c>
      <c r="B221" s="14" t="s">
        <v>1008</v>
      </c>
      <c r="C221" s="14" t="s">
        <v>2305</v>
      </c>
    </row>
    <row r="222" spans="1:3" x14ac:dyDescent="0.2">
      <c r="A222" s="14">
        <v>221</v>
      </c>
      <c r="B222" s="14" t="s">
        <v>1020</v>
      </c>
      <c r="C222" s="14" t="s">
        <v>2306</v>
      </c>
    </row>
    <row r="223" spans="1:3" x14ac:dyDescent="0.2">
      <c r="A223" s="14">
        <v>222</v>
      </c>
      <c r="B223" s="14" t="s">
        <v>259</v>
      </c>
      <c r="C223" s="14" t="s">
        <v>2307</v>
      </c>
    </row>
    <row r="224" spans="1:3" x14ac:dyDescent="0.2">
      <c r="A224" s="14">
        <v>223</v>
      </c>
      <c r="B224" s="14" t="s">
        <v>305</v>
      </c>
      <c r="C224" s="14" t="s">
        <v>2308</v>
      </c>
    </row>
    <row r="225" spans="1:3" x14ac:dyDescent="0.2">
      <c r="A225" s="14">
        <v>224</v>
      </c>
      <c r="B225" s="14" t="s">
        <v>512</v>
      </c>
      <c r="C225" s="14" t="s">
        <v>2309</v>
      </c>
    </row>
    <row r="226" spans="1:3" x14ac:dyDescent="0.2">
      <c r="A226" s="14">
        <v>225</v>
      </c>
      <c r="B226" s="14" t="s">
        <v>543</v>
      </c>
      <c r="C226" s="14" t="s">
        <v>2310</v>
      </c>
    </row>
    <row r="227" spans="1:3" x14ac:dyDescent="0.2">
      <c r="A227" s="14">
        <v>226</v>
      </c>
      <c r="B227" s="14" t="s">
        <v>556</v>
      </c>
      <c r="C227" s="14" t="s">
        <v>2311</v>
      </c>
    </row>
    <row r="228" spans="1:3" x14ac:dyDescent="0.2">
      <c r="A228" s="14">
        <v>227</v>
      </c>
      <c r="B228" s="14" t="s">
        <v>114</v>
      </c>
      <c r="C228" s="14" t="s">
        <v>2312</v>
      </c>
    </row>
    <row r="229" spans="1:3" x14ac:dyDescent="0.2">
      <c r="A229" s="14">
        <v>228</v>
      </c>
      <c r="B229" s="14" t="s">
        <v>665</v>
      </c>
      <c r="C229" s="14" t="s">
        <v>2313</v>
      </c>
    </row>
    <row r="230" spans="1:3" x14ac:dyDescent="0.2">
      <c r="A230" s="14">
        <v>229</v>
      </c>
      <c r="B230" s="14" t="s">
        <v>716</v>
      </c>
      <c r="C230" s="14" t="s">
        <v>2314</v>
      </c>
    </row>
    <row r="231" spans="1:3" x14ac:dyDescent="0.2">
      <c r="A231" s="14">
        <v>230</v>
      </c>
      <c r="B231" s="14" t="s">
        <v>762</v>
      </c>
      <c r="C231" s="14" t="s">
        <v>2315</v>
      </c>
    </row>
    <row r="232" spans="1:3" x14ac:dyDescent="0.2">
      <c r="A232" s="14">
        <v>231</v>
      </c>
      <c r="B232" s="14" t="s">
        <v>807</v>
      </c>
      <c r="C232" s="14" t="s">
        <v>2316</v>
      </c>
    </row>
    <row r="233" spans="1:3" x14ac:dyDescent="0.2">
      <c r="A233" s="14">
        <v>232</v>
      </c>
      <c r="B233" s="14" t="s">
        <v>899</v>
      </c>
      <c r="C233" s="14" t="s">
        <v>2317</v>
      </c>
    </row>
    <row r="234" spans="1:3" x14ac:dyDescent="0.2">
      <c r="A234" s="14">
        <v>233</v>
      </c>
      <c r="B234" s="14" t="s">
        <v>946</v>
      </c>
      <c r="C234" s="14" t="s">
        <v>2318</v>
      </c>
    </row>
    <row r="235" spans="1:3" x14ac:dyDescent="0.2">
      <c r="A235" s="14">
        <v>234</v>
      </c>
      <c r="B235" s="14" t="s">
        <v>991</v>
      </c>
      <c r="C235" s="14" t="s">
        <v>2319</v>
      </c>
    </row>
    <row r="236" spans="1:3" x14ac:dyDescent="0.2">
      <c r="A236" s="14">
        <v>235</v>
      </c>
      <c r="B236" s="14" t="s">
        <v>292</v>
      </c>
      <c r="C236" s="14" t="s">
        <v>2320</v>
      </c>
    </row>
    <row r="237" spans="1:3" x14ac:dyDescent="0.2">
      <c r="A237" s="14">
        <v>236</v>
      </c>
      <c r="B237" s="14" t="s">
        <v>341</v>
      </c>
      <c r="C237" s="14" t="s">
        <v>2321</v>
      </c>
    </row>
    <row r="238" spans="1:3" x14ac:dyDescent="0.2">
      <c r="A238" s="14">
        <v>237</v>
      </c>
      <c r="B238" s="14" t="s">
        <v>432</v>
      </c>
      <c r="C238" s="14" t="s">
        <v>2322</v>
      </c>
    </row>
    <row r="239" spans="1:3" x14ac:dyDescent="0.2">
      <c r="A239" s="14">
        <v>238</v>
      </c>
      <c r="B239" s="14" t="s">
        <v>472</v>
      </c>
      <c r="C239" s="14" t="s">
        <v>2323</v>
      </c>
    </row>
    <row r="240" spans="1:3" x14ac:dyDescent="0.2">
      <c r="A240" s="14">
        <v>239</v>
      </c>
      <c r="B240" s="14" t="s">
        <v>565</v>
      </c>
      <c r="C240" s="14" t="s">
        <v>2324</v>
      </c>
    </row>
    <row r="241" spans="1:3" x14ac:dyDescent="0.2">
      <c r="A241" s="14">
        <v>240</v>
      </c>
      <c r="B241" s="14" t="s">
        <v>611</v>
      </c>
      <c r="C241" s="14" t="s">
        <v>2325</v>
      </c>
    </row>
    <row r="242" spans="1:3" x14ac:dyDescent="0.2">
      <c r="A242" s="14">
        <v>241</v>
      </c>
      <c r="B242" s="14" t="s">
        <v>655</v>
      </c>
      <c r="C242" s="14" t="s">
        <v>2326</v>
      </c>
    </row>
    <row r="243" spans="1:3" x14ac:dyDescent="0.2">
      <c r="A243" s="14">
        <v>242</v>
      </c>
      <c r="B243" s="14" t="s">
        <v>673</v>
      </c>
      <c r="C243" s="14" t="s">
        <v>2327</v>
      </c>
    </row>
    <row r="244" spans="1:3" x14ac:dyDescent="0.2">
      <c r="A244" s="14">
        <v>243</v>
      </c>
      <c r="B244" s="14" t="s">
        <v>678</v>
      </c>
      <c r="C244" s="14" t="s">
        <v>2328</v>
      </c>
    </row>
    <row r="245" spans="1:3" x14ac:dyDescent="0.2">
      <c r="A245" s="14">
        <v>244</v>
      </c>
      <c r="B245" s="14" t="s">
        <v>110</v>
      </c>
      <c r="C245" s="14" t="s">
        <v>2329</v>
      </c>
    </row>
    <row r="246" spans="1:3" x14ac:dyDescent="0.2">
      <c r="A246" s="14">
        <v>245</v>
      </c>
      <c r="B246" s="14" t="s">
        <v>30</v>
      </c>
      <c r="C246" s="14" t="s">
        <v>2330</v>
      </c>
    </row>
    <row r="247" spans="1:3" x14ac:dyDescent="0.2">
      <c r="A247" s="14">
        <v>246</v>
      </c>
      <c r="B247" s="14" t="s">
        <v>157</v>
      </c>
      <c r="C247" s="14" t="s">
        <v>2331</v>
      </c>
    </row>
    <row r="248" spans="1:3" x14ac:dyDescent="0.2">
      <c r="A248" s="14">
        <v>247</v>
      </c>
      <c r="B248" s="14" t="s">
        <v>24</v>
      </c>
      <c r="C248" s="14" t="s">
        <v>2339</v>
      </c>
    </row>
    <row r="249" spans="1:3" x14ac:dyDescent="0.2">
      <c r="A249" s="14">
        <v>248</v>
      </c>
      <c r="B249" s="14" t="s">
        <v>144</v>
      </c>
      <c r="C249" s="14" t="s">
        <v>2332</v>
      </c>
    </row>
    <row r="250" spans="1:3" x14ac:dyDescent="0.2">
      <c r="A250" s="14">
        <v>249</v>
      </c>
      <c r="B250" s="14" t="s">
        <v>137</v>
      </c>
      <c r="C250" s="14" t="s">
        <v>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Fresh</vt:lpstr>
      <vt:lpstr>Renewal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2025-03-06T07:22:26Z</dcterms:created>
  <dcterms:modified xsi:type="dcterms:W3CDTF">2025-03-06T09:28:13Z</dcterms:modified>
</cp:coreProperties>
</file>