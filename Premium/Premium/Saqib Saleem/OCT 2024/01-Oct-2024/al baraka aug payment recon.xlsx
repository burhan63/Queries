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emium\Saqib Saleem\01-Oct-2024\"/>
    </mc:Choice>
  </mc:AlternateContent>
  <xr:revisionPtr revIDLastSave="0" documentId="13_ncr:1_{AFBB7369-344F-4BB5-8122-CA04FEE79A3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ug-Renewal" sheetId="1" r:id="rId1"/>
    <sheet name="Working" sheetId="3" r:id="rId2"/>
    <sheet name="Sheet2" sheetId="4" r:id="rId3"/>
    <sheet name="Aug-Fresh" sheetId="2" state="hidden" r:id="rId4"/>
  </sheets>
  <definedNames>
    <definedName name="_xlnm._FilterDatabase" localSheetId="0" hidden="1">'Aug-Renewal'!$B$1:$AI$169</definedName>
    <definedName name="_xlnm._FilterDatabase" localSheetId="2" hidden="1">Sheet2!$H$1:$H$167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8" i="3" l="1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F2" i="3"/>
  <c r="D2" i="3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" i="4"/>
  <c r="H2" i="3" l="1"/>
  <c r="AI169" i="1"/>
  <c r="AH169" i="1"/>
  <c r="AI158" i="1"/>
  <c r="AI63" i="1"/>
  <c r="Z43" i="2"/>
  <c r="AH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Rida Tariq</author>
  </authors>
  <commentList>
    <comment ref="F4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Rida Tariq:</t>
        </r>
        <r>
          <rPr>
            <sz val="9"/>
            <color indexed="81"/>
            <rFont val="Tahoma"/>
            <family val="2"/>
          </rPr>
          <t xml:space="preserve">
Endorsement no.
KHI/HO/D/MO/PC COMP/E/45573/00008/09/2024</t>
        </r>
      </text>
    </comment>
  </commentList>
</comments>
</file>

<file path=xl/sharedStrings.xml><?xml version="1.0" encoding="utf-8"?>
<sst xmlns="http://schemas.openxmlformats.org/spreadsheetml/2006/main" count="4412" uniqueCount="1865">
  <si>
    <t>Fresh / Renewal</t>
  </si>
  <si>
    <t>Proposal No.</t>
  </si>
  <si>
    <t>Billing Month</t>
  </si>
  <si>
    <t>Takaful Company</t>
  </si>
  <si>
    <t>PMD / Cert</t>
  </si>
  <si>
    <t>Takaful Start Date</t>
  </si>
  <si>
    <t>Takaful End Date</t>
  </si>
  <si>
    <t>Customer Name</t>
  </si>
  <si>
    <t>CNIC</t>
  </si>
  <si>
    <t>Vehicle Make</t>
  </si>
  <si>
    <t>Reg. No</t>
  </si>
  <si>
    <t>Engine No</t>
  </si>
  <si>
    <t>Chassis No</t>
  </si>
  <si>
    <t>Region</t>
  </si>
  <si>
    <t>Unit ID</t>
  </si>
  <si>
    <t>BR #</t>
  </si>
  <si>
    <t>Financing Date</t>
  </si>
  <si>
    <t>Maturity Date</t>
  </si>
  <si>
    <t>Asset Value</t>
  </si>
  <si>
    <t>Dep. %</t>
  </si>
  <si>
    <t>Dep. Amount</t>
  </si>
  <si>
    <t>Sum Cover Amount</t>
  </si>
  <si>
    <t>Takaful Rate</t>
  </si>
  <si>
    <t>Premium Amount</t>
  </si>
  <si>
    <t>For Takaful Company Rectifications</t>
  </si>
  <si>
    <t>For COD Status</t>
  </si>
  <si>
    <t>PO No.</t>
  </si>
  <si>
    <t>PO Dates</t>
  </si>
  <si>
    <t>Proposal Status</t>
  </si>
  <si>
    <t>Default Case (Overdue Days)</t>
  </si>
  <si>
    <t>Policy #</t>
  </si>
  <si>
    <t>Tms Prem</t>
  </si>
  <si>
    <t>Difference</t>
  </si>
  <si>
    <t>Renewal</t>
  </si>
  <si>
    <t>48386/1</t>
  </si>
  <si>
    <t>SALAAM TAKAFUL LTD</t>
  </si>
  <si>
    <t>KHI/HO/D/MO/CV/C/95146/1/08/2024</t>
  </si>
  <si>
    <t>MUHAMMAD  RAZZAQ</t>
  </si>
  <si>
    <t>RAVI STD</t>
  </si>
  <si>
    <t>TC-075</t>
  </si>
  <si>
    <t>373208</t>
  </si>
  <si>
    <t>477897</t>
  </si>
  <si>
    <t>North</t>
  </si>
  <si>
    <t>0813</t>
  </si>
  <si>
    <t>526967</t>
  </si>
  <si>
    <t>paid</t>
  </si>
  <si>
    <t>DISBURSED</t>
  </si>
  <si>
    <t>50092/1</t>
  </si>
  <si>
    <t>KHI/HO/D/MO/CV/C/95146/2/08/2024</t>
  </si>
  <si>
    <t>MUHAMMAD  MUBEEN</t>
  </si>
  <si>
    <t>TC-219</t>
  </si>
  <si>
    <t>373654</t>
  </si>
  <si>
    <t>478327</t>
  </si>
  <si>
    <t>0809</t>
  </si>
  <si>
    <t>397711</t>
  </si>
  <si>
    <t>50464/1</t>
  </si>
  <si>
    <t>KHI/HO/D/MO/CV/C/95146/3/08/2024</t>
  </si>
  <si>
    <t>MUBASHAR  AHMAD</t>
  </si>
  <si>
    <t>CAG-495</t>
  </si>
  <si>
    <t>373433</t>
  </si>
  <si>
    <t>478112</t>
  </si>
  <si>
    <t>Central</t>
  </si>
  <si>
    <t>0422</t>
  </si>
  <si>
    <t>538907</t>
  </si>
  <si>
    <t>59330/1</t>
  </si>
  <si>
    <t>KHI/HO/D/MO/CV/C/95148/1/08/2024</t>
  </si>
  <si>
    <t>NOOR  UL WAHAB</t>
  </si>
  <si>
    <t>1620134003501</t>
  </si>
  <si>
    <t>TAB-277</t>
  </si>
  <si>
    <t>386487</t>
  </si>
  <si>
    <t>491124</t>
  </si>
  <si>
    <t>0804</t>
  </si>
  <si>
    <t>581941</t>
  </si>
  <si>
    <t>59598/1</t>
  </si>
  <si>
    <t>KHI/HO/D/MO/CV/C/95148/2/08/2024</t>
  </si>
  <si>
    <t>ZUBAIR  HANIF</t>
  </si>
  <si>
    <t>CAK-9735</t>
  </si>
  <si>
    <t>386660</t>
  </si>
  <si>
    <t>491320</t>
  </si>
  <si>
    <t>0329</t>
  </si>
  <si>
    <t>580789</t>
  </si>
  <si>
    <t>66250/1</t>
  </si>
  <si>
    <t>KHI/HO/D/MO/CV/C/95148/3/08/2024</t>
  </si>
  <si>
    <t>INAM  UL  HAQ</t>
  </si>
  <si>
    <t>RAVI</t>
  </si>
  <si>
    <t>CAQ-9514</t>
  </si>
  <si>
    <t>389811</t>
  </si>
  <si>
    <t>K494479</t>
  </si>
  <si>
    <t>575667</t>
  </si>
  <si>
    <t>64630/1</t>
  </si>
  <si>
    <t>KHI/HO/D/MO/PC COMP/C/95193/1/08/2024</t>
  </si>
  <si>
    <t>NOUMAN  MANZOOR</t>
  </si>
  <si>
    <t>YARIS</t>
  </si>
  <si>
    <t>APZ-171</t>
  </si>
  <si>
    <t>2A61832</t>
  </si>
  <si>
    <t>7039724</t>
  </si>
  <si>
    <t>0431</t>
  </si>
  <si>
    <t>602166</t>
  </si>
  <si>
    <t>66000/1</t>
  </si>
  <si>
    <t>KHI/HO/D/MO/PC COMP/C/95193/10/08/2024</t>
  </si>
  <si>
    <t>FAHAD   AMJAD</t>
  </si>
  <si>
    <t>ALTO VXL AGS</t>
  </si>
  <si>
    <t>APX-216</t>
  </si>
  <si>
    <t>279573</t>
  </si>
  <si>
    <t>1179574</t>
  </si>
  <si>
    <t>0333</t>
  </si>
  <si>
    <t>502578</t>
  </si>
  <si>
    <t>66032/1</t>
  </si>
  <si>
    <t>KHI/HO/D/MO/PC COMP/C/95193/11/08/2024</t>
  </si>
  <si>
    <t>ZEESHAN  QASIM</t>
  </si>
  <si>
    <t>ARC-777</t>
  </si>
  <si>
    <t>2A62396</t>
  </si>
  <si>
    <t>7040218</t>
  </si>
  <si>
    <t>620389</t>
  </si>
  <si>
    <t>66282/1</t>
  </si>
  <si>
    <t>KHI/HO/D/MO/PC COMP/C/95193/12/08/2024</t>
  </si>
  <si>
    <t>ABID RAZA SHEIKH</t>
  </si>
  <si>
    <t>APW-139</t>
  </si>
  <si>
    <t>279471</t>
  </si>
  <si>
    <t>1179458</t>
  </si>
  <si>
    <t>547385</t>
  </si>
  <si>
    <t>66124/1</t>
  </si>
  <si>
    <t>KHI/HO/D/MO/PC COMP/C/95193/13/08/2024</t>
  </si>
  <si>
    <t>RIZWAN  AHMAD</t>
  </si>
  <si>
    <t>KIA PICANTO</t>
  </si>
  <si>
    <t>AED-730</t>
  </si>
  <si>
    <t>MP080777</t>
  </si>
  <si>
    <t>501708</t>
  </si>
  <si>
    <t>558804</t>
  </si>
  <si>
    <t>65777/1</t>
  </si>
  <si>
    <t>KHI/HO/D/MO/PC COMP/C/95193/14/08/2024</t>
  </si>
  <si>
    <t>SHOAIB  SHAFAIT</t>
  </si>
  <si>
    <t>ALTO VX (NON-METALLIC)</t>
  </si>
  <si>
    <t>AZV-149</t>
  </si>
  <si>
    <t>237448</t>
  </si>
  <si>
    <t>1137476</t>
  </si>
  <si>
    <t>620400</t>
  </si>
  <si>
    <t>66682/1</t>
  </si>
  <si>
    <t>KHI/HO/D/MO/PC COMP/C/95193/15/08/2024</t>
  </si>
  <si>
    <t>FAISAL  MEHMOOD</t>
  </si>
  <si>
    <t>ALTO VXR  (METALLIC)</t>
  </si>
  <si>
    <t>LEA-20-6526</t>
  </si>
  <si>
    <t>6R134216</t>
  </si>
  <si>
    <t>NF1AET306H1034236</t>
  </si>
  <si>
    <t>0423</t>
  </si>
  <si>
    <t>542279</t>
  </si>
  <si>
    <t>66181/1</t>
  </si>
  <si>
    <t>KHI/HO/D/MO/PC COMP/C/95193/16/08/2024</t>
  </si>
  <si>
    <t>HASSAN  IFTIKHAR</t>
  </si>
  <si>
    <t>AAG-832</t>
  </si>
  <si>
    <t>6R137421</t>
  </si>
  <si>
    <t>NF1AET306H1037410</t>
  </si>
  <si>
    <t>622130</t>
  </si>
  <si>
    <t>66288/1</t>
  </si>
  <si>
    <t>KHI/HO/D/MO/PC COMP/C/95193/17/08/2024</t>
  </si>
  <si>
    <t>MUHAMMAD   UMAR</t>
  </si>
  <si>
    <t>BTT-293</t>
  </si>
  <si>
    <t>164928</t>
  </si>
  <si>
    <t>1064884</t>
  </si>
  <si>
    <t>0341</t>
  </si>
  <si>
    <t>558711</t>
  </si>
  <si>
    <t>66111/1</t>
  </si>
  <si>
    <t>KHI/HO/D/MO/PC COMP/C/95193/18/08/2024</t>
  </si>
  <si>
    <t>WASEY  KHAN</t>
  </si>
  <si>
    <t>BRS-758</t>
  </si>
  <si>
    <t>197491</t>
  </si>
  <si>
    <t>701242</t>
  </si>
  <si>
    <t>South</t>
  </si>
  <si>
    <t>0144</t>
  </si>
  <si>
    <t>621945</t>
  </si>
  <si>
    <t>66095/1</t>
  </si>
  <si>
    <t>KHI/HO/D/MO/PC COMP/C/95193/19/08/2024</t>
  </si>
  <si>
    <t>MUHAMMAD SHOUKAT KHAN</t>
  </si>
  <si>
    <t>CULTUS VXL (METALIC)</t>
  </si>
  <si>
    <t>BCE-589</t>
  </si>
  <si>
    <t>206363</t>
  </si>
  <si>
    <t>10106373</t>
  </si>
  <si>
    <t>0482</t>
  </si>
  <si>
    <t>624048</t>
  </si>
  <si>
    <t>65276/1</t>
  </si>
  <si>
    <t>KHI/HO/D/MO/PC COMP/C/95193/2/08/2024</t>
  </si>
  <si>
    <t>ABDUL  RAHMAN</t>
  </si>
  <si>
    <t>TOYOTA COROLLA GLI</t>
  </si>
  <si>
    <t>LE-19-8025</t>
  </si>
  <si>
    <t>Z544017</t>
  </si>
  <si>
    <t>4169820</t>
  </si>
  <si>
    <t>618353</t>
  </si>
  <si>
    <t>65013/1</t>
  </si>
  <si>
    <t>KHI/HO/D/MO/PC COMP/C/95193/21/08/2024</t>
  </si>
  <si>
    <t>JUNAID AHMAD BUTT</t>
  </si>
  <si>
    <t>CITY (AUTOMATIC)</t>
  </si>
  <si>
    <t>LEA-18-7179</t>
  </si>
  <si>
    <t>505242</t>
  </si>
  <si>
    <t>216733</t>
  </si>
  <si>
    <t>616736</t>
  </si>
  <si>
    <t>66354/1</t>
  </si>
  <si>
    <t>KHI/HO/D/MO/PC COMP/C/95193/22/08/2024</t>
  </si>
  <si>
    <t>MUHAMMAD AQEEL KHAN</t>
  </si>
  <si>
    <t>CHANGAN KARVAAN</t>
  </si>
  <si>
    <t>CZ-3906</t>
  </si>
  <si>
    <t>504115</t>
  </si>
  <si>
    <t>1008074</t>
  </si>
  <si>
    <t>622979</t>
  </si>
  <si>
    <t>66251/1</t>
  </si>
  <si>
    <t>KHI/HO/D/MO/PC COMP/C/95193/23/08/2024</t>
  </si>
  <si>
    <t>SAFDAR  ALI</t>
  </si>
  <si>
    <t>MEHRAN VXR (METALLIC)</t>
  </si>
  <si>
    <t>LEH-18A-7259</t>
  </si>
  <si>
    <t>734852</t>
  </si>
  <si>
    <t>1273448</t>
  </si>
  <si>
    <t>622787</t>
  </si>
  <si>
    <t>66390/1</t>
  </si>
  <si>
    <t>KHI/HO/D/MO/PC COMP/C/95193/24/08/2024</t>
  </si>
  <si>
    <t>SHAHID  SUBHANI</t>
  </si>
  <si>
    <t>CULTUS VXR (METALIC)</t>
  </si>
  <si>
    <t>LEA-17A-2102</t>
  </si>
  <si>
    <t>K106838</t>
  </si>
  <si>
    <t>H10006863</t>
  </si>
  <si>
    <t>623712</t>
  </si>
  <si>
    <t>64829/1</t>
  </si>
  <si>
    <t>KHI/HO/D/MO/PC COMP/C/95193/25/08/2024</t>
  </si>
  <si>
    <t>IMRAN  MAHMOOD</t>
  </si>
  <si>
    <t>CULTUS VXL (NON-METALIC)</t>
  </si>
  <si>
    <t>ADG-955</t>
  </si>
  <si>
    <t>173512</t>
  </si>
  <si>
    <t>H10073522</t>
  </si>
  <si>
    <t>614825</t>
  </si>
  <si>
    <t>66328/1</t>
  </si>
  <si>
    <t>KHI/HO/D/MO/PC COMP/C/95193/26/08/2024</t>
  </si>
  <si>
    <t>ZEESHAN  .</t>
  </si>
  <si>
    <t>ACB-930</t>
  </si>
  <si>
    <t>745965</t>
  </si>
  <si>
    <t>01284409</t>
  </si>
  <si>
    <t>577876</t>
  </si>
  <si>
    <t>66339/1</t>
  </si>
  <si>
    <t>KHI/HO/D/MO/PC COMP/C/95193/27/08/2024</t>
  </si>
  <si>
    <t>MUHAMMAD ABDUL GHAFFAR</t>
  </si>
  <si>
    <t>CIVIC (AUTOMATIC)</t>
  </si>
  <si>
    <t>AJH-050</t>
  </si>
  <si>
    <t>12944359</t>
  </si>
  <si>
    <t>047782</t>
  </si>
  <si>
    <t>623315</t>
  </si>
  <si>
    <t>66388/1</t>
  </si>
  <si>
    <t>KHI/HO/D/MO/PC COMP/C/95193/28/08/2024</t>
  </si>
  <si>
    <t>TANVEER  SABIR</t>
  </si>
  <si>
    <t>KARVAN PLUS</t>
  </si>
  <si>
    <t>APV-858</t>
  </si>
  <si>
    <t>501888</t>
  </si>
  <si>
    <t>1018026</t>
  </si>
  <si>
    <t>623707</t>
  </si>
  <si>
    <t>66774/1</t>
  </si>
  <si>
    <t>KHI/HO/D/MO/PC COMP/C/95193/29/08/2024</t>
  </si>
  <si>
    <t>FARHAN AHMAD CHAUDHRY</t>
  </si>
  <si>
    <t>LED-19-477</t>
  </si>
  <si>
    <t>Z544800</t>
  </si>
  <si>
    <t>4170372</t>
  </si>
  <si>
    <t>491360</t>
  </si>
  <si>
    <t>64801/1</t>
  </si>
  <si>
    <t>KHI/HO/D/MO/PC COMP/C/95193/3/08/2024</t>
  </si>
  <si>
    <t>SUNIL   ASHFAQ</t>
  </si>
  <si>
    <t>TOYOTA COROLLA XLI</t>
  </si>
  <si>
    <t>LEF-16-7351</t>
  </si>
  <si>
    <t>Z456036</t>
  </si>
  <si>
    <t>R4084548</t>
  </si>
  <si>
    <t>614736</t>
  </si>
  <si>
    <t>66582/1</t>
  </si>
  <si>
    <t>KHI/HO/D/MO/PC COMP/C/95193/30/08/2024</t>
  </si>
  <si>
    <t>ABDUR  REHMAN</t>
  </si>
  <si>
    <t>KIA SPORTAGE AWD</t>
  </si>
  <si>
    <t>BH-4015</t>
  </si>
  <si>
    <t>020322</t>
  </si>
  <si>
    <t>500185</t>
  </si>
  <si>
    <t>0252</t>
  </si>
  <si>
    <t>624050</t>
  </si>
  <si>
    <t>66565/1</t>
  </si>
  <si>
    <t>KHI/HO/D/MO/PC COMP/C/95193/31/08/2024</t>
  </si>
  <si>
    <t>MAKEEL  AHMAD</t>
  </si>
  <si>
    <t>CITY (MANUAL) UPGRADED</t>
  </si>
  <si>
    <t>LEE-17-2362</t>
  </si>
  <si>
    <t>Z17460947</t>
  </si>
  <si>
    <t>HR203837</t>
  </si>
  <si>
    <t>616161</t>
  </si>
  <si>
    <t>66190/1</t>
  </si>
  <si>
    <t>KHI/HO/D/MO/PC COMP/C/95193/32/08/2024</t>
  </si>
  <si>
    <t>DAWOOD  KHAN</t>
  </si>
  <si>
    <t>BMY-206</t>
  </si>
  <si>
    <t>529457</t>
  </si>
  <si>
    <t>4155521</t>
  </si>
  <si>
    <t>482846</t>
  </si>
  <si>
    <t>66430/1</t>
  </si>
  <si>
    <t>KHI/HO/D/MO/PC COMP/C/95193/33/08/2024</t>
  </si>
  <si>
    <t>SYED JAWAD HASSAN</t>
  </si>
  <si>
    <t>WAGON R</t>
  </si>
  <si>
    <t>BCS-615</t>
  </si>
  <si>
    <t>245135</t>
  </si>
  <si>
    <t>10145134</t>
  </si>
  <si>
    <t>363451</t>
  </si>
  <si>
    <t>66767/1</t>
  </si>
  <si>
    <t>KHI/HO/D/MO/PC COMP/C/95193/34/08/2024</t>
  </si>
  <si>
    <t>AFFAN  AHMED</t>
  </si>
  <si>
    <t>ABJ-601</t>
  </si>
  <si>
    <t>79755178</t>
  </si>
  <si>
    <t>191458</t>
  </si>
  <si>
    <t>623575</t>
  </si>
  <si>
    <t>66722/1</t>
  </si>
  <si>
    <t>KHI/HO/D/MO/PC COMP/C/95193/35/08/2024</t>
  </si>
  <si>
    <t>ADIL  ALI</t>
  </si>
  <si>
    <t>WAGON R VXL</t>
  </si>
  <si>
    <t>LED-18-3140</t>
  </si>
  <si>
    <t>10B155151</t>
  </si>
  <si>
    <t>10055141</t>
  </si>
  <si>
    <t>624381</t>
  </si>
  <si>
    <t>65587/1</t>
  </si>
  <si>
    <t>KHI/HO/D/MO/PC COMP/C/95193/4/08/2024</t>
  </si>
  <si>
    <t>SYED NAJAF HUSSAIN  RIZVI</t>
  </si>
  <si>
    <t>PRINCE GLORY 580</t>
  </si>
  <si>
    <t>BJ -7353</t>
  </si>
  <si>
    <t>21029118</t>
  </si>
  <si>
    <t>2111985</t>
  </si>
  <si>
    <t>279191</t>
  </si>
  <si>
    <t>65752/1</t>
  </si>
  <si>
    <t>KHI/HO/D/MO/PC COMP/C/95193/5/08/2024</t>
  </si>
  <si>
    <t>MAQBOOL  FAZAL</t>
  </si>
  <si>
    <t>YARIS 1.3 GLI CVT</t>
  </si>
  <si>
    <t>ADR-670</t>
  </si>
  <si>
    <t>2A15770</t>
  </si>
  <si>
    <t>7009369</t>
  </si>
  <si>
    <t>620387</t>
  </si>
  <si>
    <t>65613/1</t>
  </si>
  <si>
    <t>KHI/HO/D/MO/PC COMP/C/95193/7/08/2024</t>
  </si>
  <si>
    <t>ZAIN UL ABADEEN</t>
  </si>
  <si>
    <t>ALTO VXR  (NON-METALLIC)</t>
  </si>
  <si>
    <t>AJV-097</t>
  </si>
  <si>
    <t>6R179373</t>
  </si>
  <si>
    <t>NF1AET306H1079229</t>
  </si>
  <si>
    <t>619522</t>
  </si>
  <si>
    <t>66189/1</t>
  </si>
  <si>
    <t>KHI/HO/D/MO/PC COMP/C/95193/8/08/2024</t>
  </si>
  <si>
    <t>MUHAMMAD   ZAID</t>
  </si>
  <si>
    <t>SWIFT</t>
  </si>
  <si>
    <t>APJ - 632</t>
  </si>
  <si>
    <t>1013789</t>
  </si>
  <si>
    <t>113779</t>
  </si>
  <si>
    <t>608986</t>
  </si>
  <si>
    <t>65088/1</t>
  </si>
  <si>
    <t>KHI/HO/D/MO/PC COMP/C/95193/9/08/2024</t>
  </si>
  <si>
    <t>SAKHAWAT  ALI</t>
  </si>
  <si>
    <t>SUZUKI CULTUS AGS</t>
  </si>
  <si>
    <t>LEB-20-8480</t>
  </si>
  <si>
    <t>157975</t>
  </si>
  <si>
    <t>10057877</t>
  </si>
  <si>
    <t>617578</t>
  </si>
  <si>
    <t>59044/1</t>
  </si>
  <si>
    <t>KHI/HO/D/MO/PC COMP/C/95230/1/08/2024</t>
  </si>
  <si>
    <t>ABDULLAH   SHAHID</t>
  </si>
  <si>
    <t>3520086104697</t>
  </si>
  <si>
    <t>LEC-17-8285</t>
  </si>
  <si>
    <t>678147</t>
  </si>
  <si>
    <t>1216654</t>
  </si>
  <si>
    <t>581521</t>
  </si>
  <si>
    <t>59133/1</t>
  </si>
  <si>
    <t>KHI/HO/D/MO/PC COMP/C/95230/10/08/2024</t>
  </si>
  <si>
    <t>MUHAMMAD  WASEEM</t>
  </si>
  <si>
    <t>AEB-820</t>
  </si>
  <si>
    <t>2A29703</t>
  </si>
  <si>
    <t>7018623</t>
  </si>
  <si>
    <t>582713</t>
  </si>
  <si>
    <t>54309/1</t>
  </si>
  <si>
    <t>KHI/HO/D/MO/PC COMP/C/95230/11/08/2024</t>
  </si>
  <si>
    <t>MAZHAR ALI JATOI</t>
  </si>
  <si>
    <t>TOYOTA COROLLA ALTIS (AUTOMATIC)</t>
  </si>
  <si>
    <t>BXM-325</t>
  </si>
  <si>
    <t>Q-098052</t>
  </si>
  <si>
    <t>6075567</t>
  </si>
  <si>
    <t>0135</t>
  </si>
  <si>
    <t>385103</t>
  </si>
  <si>
    <t>59175/1</t>
  </si>
  <si>
    <t>KHI/HO/D/MO/PC COMP/C/95230/12/08/2024</t>
  </si>
  <si>
    <t>SAMI   ULLAH</t>
  </si>
  <si>
    <t>3840393444955</t>
  </si>
  <si>
    <t>CITY ASPIRE 1.5</t>
  </si>
  <si>
    <t>AXF-968</t>
  </si>
  <si>
    <t>81001061</t>
  </si>
  <si>
    <t>MR004907</t>
  </si>
  <si>
    <t>0451</t>
  </si>
  <si>
    <t>579186</t>
  </si>
  <si>
    <t>59145/1</t>
  </si>
  <si>
    <t>KHI/HO/D/MO/PC COMP/C/95230/13/08/2024</t>
  </si>
  <si>
    <t>MUHAMMAD  SHERAZ</t>
  </si>
  <si>
    <t>LE-17-8396</t>
  </si>
  <si>
    <t>Z428966</t>
  </si>
  <si>
    <t>R4071953</t>
  </si>
  <si>
    <t>0339</t>
  </si>
  <si>
    <t>582410</t>
  </si>
  <si>
    <t>59263/1</t>
  </si>
  <si>
    <t>KHI/HO/D/MO/PC COMP/C/95230/14/08/2024</t>
  </si>
  <si>
    <t>RAJA  USMAN AHMED</t>
  </si>
  <si>
    <t>AED-399</t>
  </si>
  <si>
    <t>72495</t>
  </si>
  <si>
    <t>706577</t>
  </si>
  <si>
    <t>576632</t>
  </si>
  <si>
    <t>55116/1</t>
  </si>
  <si>
    <t>KHI/HO/D/MO/PC COMP/C/95230/16/08/2024</t>
  </si>
  <si>
    <t>ASIF   NASIR</t>
  </si>
  <si>
    <t>ALV-105</t>
  </si>
  <si>
    <t>246434</t>
  </si>
  <si>
    <t>1146480</t>
  </si>
  <si>
    <t>566157</t>
  </si>
  <si>
    <t>59200/1</t>
  </si>
  <si>
    <t>KHI/HO/D/MO/PC COMP/C/95230/17/08/2024</t>
  </si>
  <si>
    <t>MAHBOOB ALI SHEIKH</t>
  </si>
  <si>
    <t>LEE-19-5929</t>
  </si>
  <si>
    <t>187627</t>
  </si>
  <si>
    <t>10087630</t>
  </si>
  <si>
    <t>409778</t>
  </si>
  <si>
    <t>59141/1</t>
  </si>
  <si>
    <t>KHI/HO/D/MO/PC COMP/C/95230/18/08/2024</t>
  </si>
  <si>
    <t>SYED ALI MASOOD ZAIDI</t>
  </si>
  <si>
    <t>BRR-570</t>
  </si>
  <si>
    <t>6R128573</t>
  </si>
  <si>
    <t>H1028582</t>
  </si>
  <si>
    <t>580304</t>
  </si>
  <si>
    <t>59239/1</t>
  </si>
  <si>
    <t>KHI/HO/D/MO/PC COMP/C/95230/19/08/2024</t>
  </si>
  <si>
    <t>NADEEM   AHMAD</t>
  </si>
  <si>
    <t>BOLAN STD</t>
  </si>
  <si>
    <t>LED-17-5902</t>
  </si>
  <si>
    <t>PKT955957</t>
  </si>
  <si>
    <t>1072454</t>
  </si>
  <si>
    <t>581319</t>
  </si>
  <si>
    <t>53298/1</t>
  </si>
  <si>
    <t>KHI/HO/D/MO/PC COMP/C/95230/2/08/2024</t>
  </si>
  <si>
    <t>NIAMAT   ALI</t>
  </si>
  <si>
    <t>ALN-192</t>
  </si>
  <si>
    <t>502905</t>
  </si>
  <si>
    <t>1016020</t>
  </si>
  <si>
    <t>554374</t>
  </si>
  <si>
    <t>52990/1</t>
  </si>
  <si>
    <t>KHI/HO/D/MO/PC COMP/C/95230/20/08/2024</t>
  </si>
  <si>
    <t>ASAD  JAVED</t>
  </si>
  <si>
    <t>TOYOTA COROLLA ALTIS (MANUAL)</t>
  </si>
  <si>
    <t>AMH-074</t>
  </si>
  <si>
    <t>Q098753</t>
  </si>
  <si>
    <t>6076323</t>
  </si>
  <si>
    <t>558559</t>
  </si>
  <si>
    <t>59241/1</t>
  </si>
  <si>
    <t>KHI/HO/D/MO/PC COMP/C/95230/21/08/2024</t>
  </si>
  <si>
    <t>MUHAMMAD  HUZAIFA</t>
  </si>
  <si>
    <t>LEC-18-3300</t>
  </si>
  <si>
    <t>2927603</t>
  </si>
  <si>
    <t>JR030973</t>
  </si>
  <si>
    <t>571322</t>
  </si>
  <si>
    <t>59254/1</t>
  </si>
  <si>
    <t>KHI/HO/D/MO/PC COMP/C/95230/22/08/2024</t>
  </si>
  <si>
    <t>HASEEB   AHSAN</t>
  </si>
  <si>
    <t>AZU-692</t>
  </si>
  <si>
    <t>037964</t>
  </si>
  <si>
    <t>710250</t>
  </si>
  <si>
    <t>577122</t>
  </si>
  <si>
    <t>56123/1</t>
  </si>
  <si>
    <t>KHI/HO/D/MO/PC COMP/C/95230/23/08/2024</t>
  </si>
  <si>
    <t>UMAIR  AHSAN</t>
  </si>
  <si>
    <t>AZZ-655</t>
  </si>
  <si>
    <t>245001</t>
  </si>
  <si>
    <t>1145005</t>
  </si>
  <si>
    <t>573171</t>
  </si>
  <si>
    <t>55656/1</t>
  </si>
  <si>
    <t>KHI/HO/D/MO/PC COMP/C/95230/24/08/2024</t>
  </si>
  <si>
    <t>MUHAMMAD  UMER</t>
  </si>
  <si>
    <t>ALM-794</t>
  </si>
  <si>
    <t>6R246998</t>
  </si>
  <si>
    <t>146907</t>
  </si>
  <si>
    <t>560668</t>
  </si>
  <si>
    <t>53682/1</t>
  </si>
  <si>
    <t>KHI/HO/D/MO/PC COMP/C/95230/25/08/2024</t>
  </si>
  <si>
    <t>SAJID  MAQBOOL</t>
  </si>
  <si>
    <t>ALS-710</t>
  </si>
  <si>
    <t>6R243211</t>
  </si>
  <si>
    <t>6H1143274</t>
  </si>
  <si>
    <t>0563</t>
  </si>
  <si>
    <t>177672</t>
  </si>
  <si>
    <t>59376/1</t>
  </si>
  <si>
    <t>KHI/HO/D/MO/PC COMP/C/95230/26/08/2024</t>
  </si>
  <si>
    <t>MUHAMMAD  RASHID</t>
  </si>
  <si>
    <t>AHC-128</t>
  </si>
  <si>
    <t>MP 131261</t>
  </si>
  <si>
    <t>KP708037</t>
  </si>
  <si>
    <t>570727</t>
  </si>
  <si>
    <t>59359/1</t>
  </si>
  <si>
    <t>KHI/HO/D/MO/PC COMP/C/95230/27/08/2024</t>
  </si>
  <si>
    <t>MUHAMMAD  AMIN  TAHIRY</t>
  </si>
  <si>
    <t>ALSVIN 1.5 L LUMIERE</t>
  </si>
  <si>
    <t>AES-265</t>
  </si>
  <si>
    <t>501544</t>
  </si>
  <si>
    <t>1000435</t>
  </si>
  <si>
    <t>577787</t>
  </si>
  <si>
    <t>55936/1</t>
  </si>
  <si>
    <t>KHI/HO/D/MO/PC COMP/C/95230/28/08/2024</t>
  </si>
  <si>
    <t>MUHAMMAD ISMAIL  GHOURI</t>
  </si>
  <si>
    <t>BXK-872</t>
  </si>
  <si>
    <t>243452</t>
  </si>
  <si>
    <t>1143445</t>
  </si>
  <si>
    <t>569938</t>
  </si>
  <si>
    <t>54306/1</t>
  </si>
  <si>
    <t>KHI/HO/D/MO/PC COMP/C/95230/3/08/2024</t>
  </si>
  <si>
    <t>MUHAMMAD MOHSIN KHAN</t>
  </si>
  <si>
    <t>AHL-665</t>
  </si>
  <si>
    <t>6R 242663</t>
  </si>
  <si>
    <t>H 1142653</t>
  </si>
  <si>
    <t>563243</t>
  </si>
  <si>
    <t>59422/1</t>
  </si>
  <si>
    <t>KHI/HO/D/MO/PC COMP/C/95230/31/08/2024</t>
  </si>
  <si>
    <t>USMAN   JAMIL</t>
  </si>
  <si>
    <t>3630270560799</t>
  </si>
  <si>
    <t>AMG-159</t>
  </si>
  <si>
    <t>200307</t>
  </si>
  <si>
    <t>10100307</t>
  </si>
  <si>
    <t>578775</t>
  </si>
  <si>
    <t>59423/1</t>
  </si>
  <si>
    <t>KHI/HO/D/MO/PC COMP/C/95230/32/08/2024</t>
  </si>
  <si>
    <t>SAEED  AHMAD</t>
  </si>
  <si>
    <t>LEB-17A-8673</t>
  </si>
  <si>
    <t>145103</t>
  </si>
  <si>
    <t>10045129</t>
  </si>
  <si>
    <t>581934</t>
  </si>
  <si>
    <t>55146/1</t>
  </si>
  <si>
    <t>KHI/HO/D/MO/PC COMP/C/95230/34/08/2024</t>
  </si>
  <si>
    <t>MUHAMMAD RIZWAN  FAROOQ</t>
  </si>
  <si>
    <t>ALTO VX (METALLIC)</t>
  </si>
  <si>
    <t>BXL-103</t>
  </si>
  <si>
    <t>247483</t>
  </si>
  <si>
    <t>1147467</t>
  </si>
  <si>
    <t>566053</t>
  </si>
  <si>
    <t>59455/1</t>
  </si>
  <si>
    <t>KHI/HO/D/MO/PC COMP/C/95230/35/08/2024</t>
  </si>
  <si>
    <t>IFTIKHAR   AHMED</t>
  </si>
  <si>
    <t>LEH-17-3603</t>
  </si>
  <si>
    <t>PK10B135955</t>
  </si>
  <si>
    <t>AIJ310PK10035993</t>
  </si>
  <si>
    <t>307367</t>
  </si>
  <si>
    <t>55371/1</t>
  </si>
  <si>
    <t>KHI/HO/D/MO/PC COMP/C/95230/36/08/2024</t>
  </si>
  <si>
    <t>TAHSEEN  JAVEED</t>
  </si>
  <si>
    <t>ALS-833</t>
  </si>
  <si>
    <t>244331</t>
  </si>
  <si>
    <t>1144325</t>
  </si>
  <si>
    <t>568111</t>
  </si>
  <si>
    <t>59489/1</t>
  </si>
  <si>
    <t>KHI/HO/D/MO/PC COMP/C/95230/37/08/2024</t>
  </si>
  <si>
    <t>TAHIR   MEHMOOD</t>
  </si>
  <si>
    <t>ALV-452</t>
  </si>
  <si>
    <t>239641</t>
  </si>
  <si>
    <t>10139652</t>
  </si>
  <si>
    <t>566601</t>
  </si>
  <si>
    <t>59504/1</t>
  </si>
  <si>
    <t>KHI/HO/D/MO/PC COMP/C/95230/39/08/2024</t>
  </si>
  <si>
    <t>SAJID   ABBAS</t>
  </si>
  <si>
    <t>AMC-895</t>
  </si>
  <si>
    <t>1024239</t>
  </si>
  <si>
    <t>1140748</t>
  </si>
  <si>
    <t>0471</t>
  </si>
  <si>
    <t>582176</t>
  </si>
  <si>
    <t>58983/2</t>
  </si>
  <si>
    <t>KHI/HO/D/MO/PC COMP/C/95230/4/08/2024</t>
  </si>
  <si>
    <t>MUHAMMAD  IMRAN</t>
  </si>
  <si>
    <t>BSU-543</t>
  </si>
  <si>
    <t>135444</t>
  </si>
  <si>
    <t>1035431</t>
  </si>
  <si>
    <t>0150</t>
  </si>
  <si>
    <t>581304</t>
  </si>
  <si>
    <t>59445/2</t>
  </si>
  <si>
    <t>KHI/HO/D/MO/PC COMP/C/95230/40/08/2024</t>
  </si>
  <si>
    <t>REHAN  ALAM</t>
  </si>
  <si>
    <t>ZS EV</t>
  </si>
  <si>
    <t>EAB-090</t>
  </si>
  <si>
    <t>041532</t>
  </si>
  <si>
    <t>088715</t>
  </si>
  <si>
    <t>334965</t>
  </si>
  <si>
    <t>59493/1</t>
  </si>
  <si>
    <t>KHI/HO/D/MO/PC COMP/C/95230/41/08/2024</t>
  </si>
  <si>
    <t>REHAN   BASHIR</t>
  </si>
  <si>
    <t>ALT-454</t>
  </si>
  <si>
    <t>239429</t>
  </si>
  <si>
    <t>10139419</t>
  </si>
  <si>
    <t>584427</t>
  </si>
  <si>
    <t>59505/2</t>
  </si>
  <si>
    <t>KHI/HO/D/MO/PC COMP/C/95230/42/08/2024</t>
  </si>
  <si>
    <t>MUHAMMAD  AHAD</t>
  </si>
  <si>
    <t>3610391666549</t>
  </si>
  <si>
    <t>BAE-415</t>
  </si>
  <si>
    <t>G3LANP006392</t>
  </si>
  <si>
    <t>NNATAS2AXK503520</t>
  </si>
  <si>
    <t>576946</t>
  </si>
  <si>
    <t>59466/1</t>
  </si>
  <si>
    <t>KHI/HO/D/MO/PC COMP/C/95230/43/08/2024</t>
  </si>
  <si>
    <t>NASIR JAMAL KHATTAK</t>
  </si>
  <si>
    <t>AKV-135</t>
  </si>
  <si>
    <t>B167828</t>
  </si>
  <si>
    <t>10067826</t>
  </si>
  <si>
    <t>0610</t>
  </si>
  <si>
    <t>265719</t>
  </si>
  <si>
    <t>59506/1</t>
  </si>
  <si>
    <t>KHI/HO/D/MO/PC COMP/C/95230/44/08/2024</t>
  </si>
  <si>
    <t>MUBASHAR  ALI  HAIDER</t>
  </si>
  <si>
    <t>ALF-988</t>
  </si>
  <si>
    <t>239049</t>
  </si>
  <si>
    <t>10139060</t>
  </si>
  <si>
    <t>581443</t>
  </si>
  <si>
    <t>55840/1</t>
  </si>
  <si>
    <t>KHI/HO/D/MO/PC COMP/C/95230/45/08/2024</t>
  </si>
  <si>
    <t>MUHAMMAD SHAHBAZ NAWAZ</t>
  </si>
  <si>
    <t>HYUNDAI ELANTRA</t>
  </si>
  <si>
    <t>BAJ-913</t>
  </si>
  <si>
    <t>660660</t>
  </si>
  <si>
    <t>304796</t>
  </si>
  <si>
    <t>570011</t>
  </si>
  <si>
    <t>59404/1</t>
  </si>
  <si>
    <t>KHI/HO/D/MO/PC COMP/C/95230/46/08/2024</t>
  </si>
  <si>
    <t>MUHAMMAD  USMAN</t>
  </si>
  <si>
    <t>BWD-887</t>
  </si>
  <si>
    <t>6R221185</t>
  </si>
  <si>
    <t>1121203</t>
  </si>
  <si>
    <t>0136</t>
  </si>
  <si>
    <t>452961</t>
  </si>
  <si>
    <t>59517/1</t>
  </si>
  <si>
    <t>KHI/HO/D/MO/PC COMP/C/95230/47/08/2024</t>
  </si>
  <si>
    <t>NASREEN  AKHTAR</t>
  </si>
  <si>
    <t>LED-17-3378</t>
  </si>
  <si>
    <t>130099</t>
  </si>
  <si>
    <t>10030093</t>
  </si>
  <si>
    <t>0557</t>
  </si>
  <si>
    <t>581024</t>
  </si>
  <si>
    <t>59630/1</t>
  </si>
  <si>
    <t>KHI/HO/D/MO/PC COMP/C/95230/48/08/2024</t>
  </si>
  <si>
    <t>BABAR   HUSSAIN</t>
  </si>
  <si>
    <t>AGM-769</t>
  </si>
  <si>
    <t>225299</t>
  </si>
  <si>
    <t>10125299</t>
  </si>
  <si>
    <t>581340</t>
  </si>
  <si>
    <t>59569/1</t>
  </si>
  <si>
    <t>KHI/HO/D/MO/PC COMP/C/95230/49/08/2024</t>
  </si>
  <si>
    <t>SHAHBAZ  AHMAD</t>
  </si>
  <si>
    <t>UNITED ALPHA</t>
  </si>
  <si>
    <t>ABV-857</t>
  </si>
  <si>
    <t>GLH10049</t>
  </si>
  <si>
    <t>MT00044</t>
  </si>
  <si>
    <t>583178</t>
  </si>
  <si>
    <t>55524/1</t>
  </si>
  <si>
    <t>KHI/HO/D/MO/PC COMP/C/95230/5/08/2024</t>
  </si>
  <si>
    <t>MUHAMMAD  ADEEL ASHRAF</t>
  </si>
  <si>
    <t>ALK-571</t>
  </si>
  <si>
    <t>245982</t>
  </si>
  <si>
    <t>1145989</t>
  </si>
  <si>
    <t>562491</t>
  </si>
  <si>
    <t>55749/1</t>
  </si>
  <si>
    <t>KHI/HO/D/MO/PC COMP/C/95230/50/08/2024</t>
  </si>
  <si>
    <t>HUSSNAIN  JUNAID</t>
  </si>
  <si>
    <t>ANT-466</t>
  </si>
  <si>
    <t>677027</t>
  </si>
  <si>
    <t>305322</t>
  </si>
  <si>
    <t>567726</t>
  </si>
  <si>
    <t>58574/1</t>
  </si>
  <si>
    <t>KHI/HO/D/MO/PC COMP/C/95230/51/08/2024</t>
  </si>
  <si>
    <t>FAROOQ  .</t>
  </si>
  <si>
    <t>BRV</t>
  </si>
  <si>
    <t>BK-7953</t>
  </si>
  <si>
    <t>14810407</t>
  </si>
  <si>
    <t>NR027079</t>
  </si>
  <si>
    <t>580044</t>
  </si>
  <si>
    <t>59572/1</t>
  </si>
  <si>
    <t>KHI/HO/D/MO/PC COMP/C/95230/52/08/2024</t>
  </si>
  <si>
    <t>SHABANA MUHAMMAD  ADEEL</t>
  </si>
  <si>
    <t>KIA STONIC</t>
  </si>
  <si>
    <t>AUW-936</t>
  </si>
  <si>
    <t>5860704</t>
  </si>
  <si>
    <t>701132</t>
  </si>
  <si>
    <t>497250</t>
  </si>
  <si>
    <t>59604/1</t>
  </si>
  <si>
    <t>KHI/HO/D/MO/PC COMP/C/95230/54/08/2024</t>
  </si>
  <si>
    <t>NAVAID  ISHTIAQ</t>
  </si>
  <si>
    <t>BWF-940</t>
  </si>
  <si>
    <t>193431</t>
  </si>
  <si>
    <t>10093419</t>
  </si>
  <si>
    <t>583261</t>
  </si>
  <si>
    <t>54964/1</t>
  </si>
  <si>
    <t>KHI/HO/D/MO/PC COMP/C/95230/55/08/2024</t>
  </si>
  <si>
    <t>FAKHAR  NAZEER</t>
  </si>
  <si>
    <t>ALTO VXL</t>
  </si>
  <si>
    <t>APL-875</t>
  </si>
  <si>
    <t>6R247016</t>
  </si>
  <si>
    <t>6H1146923</t>
  </si>
  <si>
    <t>0565</t>
  </si>
  <si>
    <t>562737</t>
  </si>
  <si>
    <t>59579/1</t>
  </si>
  <si>
    <t>KHI/HO/D/MO/PC COMP/C/95230/56/08/2024</t>
  </si>
  <si>
    <t>MUHAMMAD  WAQAS BUTT</t>
  </si>
  <si>
    <t>PEUGEOT ALLURE</t>
  </si>
  <si>
    <t>AMG-119</t>
  </si>
  <si>
    <t>1868479</t>
  </si>
  <si>
    <t>300297</t>
  </si>
  <si>
    <t>584241</t>
  </si>
  <si>
    <t>59647/1</t>
  </si>
  <si>
    <t>KHI/HO/D/MO/PC COMP/C/95230/57/08/2024</t>
  </si>
  <si>
    <t>HAFIZ MUZZAMIL AMIR</t>
  </si>
  <si>
    <t>CITY (MANUAL)</t>
  </si>
  <si>
    <t>LE-16-3915</t>
  </si>
  <si>
    <t>177090</t>
  </si>
  <si>
    <t>17437455</t>
  </si>
  <si>
    <t>583532</t>
  </si>
  <si>
    <t>59582/1</t>
  </si>
  <si>
    <t>KHI/HO/D/MO/PC COMP/C/95230/58/08/2024</t>
  </si>
  <si>
    <t>WASEEM   ZAFAR</t>
  </si>
  <si>
    <t>ANG-933</t>
  </si>
  <si>
    <t>12950101</t>
  </si>
  <si>
    <t>53580</t>
  </si>
  <si>
    <t>580211</t>
  </si>
  <si>
    <t>59578/1</t>
  </si>
  <si>
    <t>KHI/HO/D/MO/PC COMP/C/95230/59/08/2024</t>
  </si>
  <si>
    <t>MUHAMMAD  IRSHAD</t>
  </si>
  <si>
    <t>KIA SPORTAGE</t>
  </si>
  <si>
    <t>ALT-346</t>
  </si>
  <si>
    <t>NH300259</t>
  </si>
  <si>
    <t>P103686</t>
  </si>
  <si>
    <t>585147</t>
  </si>
  <si>
    <t>55375/1</t>
  </si>
  <si>
    <t>KHI/HO/D/MO/PC COMP/C/95230/6/08/2024</t>
  </si>
  <si>
    <t>AGHA ABDUL WAHEED KHAN</t>
  </si>
  <si>
    <t>ALJ-587</t>
  </si>
  <si>
    <t>6R245210</t>
  </si>
  <si>
    <t>H1145318</t>
  </si>
  <si>
    <t>563913</t>
  </si>
  <si>
    <t>59617/1</t>
  </si>
  <si>
    <t>KHI/HO/D/MO/PC COMP/C/95230/60/08/2024</t>
  </si>
  <si>
    <t>HASSAN   ALI</t>
  </si>
  <si>
    <t>CITY MANUAL</t>
  </si>
  <si>
    <t>LED-18-9341</t>
  </si>
  <si>
    <t>17511126</t>
  </si>
  <si>
    <t>R224168</t>
  </si>
  <si>
    <t>585083</t>
  </si>
  <si>
    <t>59618/2</t>
  </si>
  <si>
    <t>KHI/HO/D/MO/PC COMP/C/95230/61/08/2024</t>
  </si>
  <si>
    <t>AWAIS  IMTIAZ</t>
  </si>
  <si>
    <t>ABF-863</t>
  </si>
  <si>
    <t>6R147081</t>
  </si>
  <si>
    <t>1047050</t>
  </si>
  <si>
    <t>537499</t>
  </si>
  <si>
    <t>59641/2</t>
  </si>
  <si>
    <t>KHI/HO/D/MO/PC COMP/C/95230/62/08/2024</t>
  </si>
  <si>
    <t>MUHAMMAD ISMAIL KHAN</t>
  </si>
  <si>
    <t>CIVIC 1.8 ORIEL</t>
  </si>
  <si>
    <t>ANC-505</t>
  </si>
  <si>
    <t>2947358</t>
  </si>
  <si>
    <t>050788</t>
  </si>
  <si>
    <t>0603</t>
  </si>
  <si>
    <t>461958</t>
  </si>
  <si>
    <t>55867/1</t>
  </si>
  <si>
    <t>KHI/HO/D/MO/PC COMP/C/95230/63/08/2024</t>
  </si>
  <si>
    <t>SYED HASAN AHMED</t>
  </si>
  <si>
    <t>BXH-669</t>
  </si>
  <si>
    <t>244386</t>
  </si>
  <si>
    <t>1144372</t>
  </si>
  <si>
    <t>471303</t>
  </si>
  <si>
    <t>58053/1</t>
  </si>
  <si>
    <t>KHI/HO/D/MO/PC COMP/C/95230/7/08/2024</t>
  </si>
  <si>
    <t>IMRAN   BASHIR</t>
  </si>
  <si>
    <t>ALM-170</t>
  </si>
  <si>
    <t>239301</t>
  </si>
  <si>
    <t>10139303</t>
  </si>
  <si>
    <t>578506</t>
  </si>
  <si>
    <t>53848/1</t>
  </si>
  <si>
    <t>KHI/HO/D/MO/PC COMP/C/95230/8/08/2024</t>
  </si>
  <si>
    <t>RIZWAN  ALI</t>
  </si>
  <si>
    <t>AZY-672</t>
  </si>
  <si>
    <t>098603</t>
  </si>
  <si>
    <t>6076120</t>
  </si>
  <si>
    <t>550605</t>
  </si>
  <si>
    <t>55743/1</t>
  </si>
  <si>
    <t>KHI/HO/D/MO/PC COMP/C/95230/9/08/2024</t>
  </si>
  <si>
    <t>MUHAMMAD UMAIR ABDULLAH</t>
  </si>
  <si>
    <t>ALN-649</t>
  </si>
  <si>
    <t>245799</t>
  </si>
  <si>
    <t>1145804</t>
  </si>
  <si>
    <t>571086</t>
  </si>
  <si>
    <t>47715/1</t>
  </si>
  <si>
    <t>KHI/HO/D/MO/PC COMP/C/95231/1/08/2024</t>
  </si>
  <si>
    <t>ZUBAIR ALI SAHI</t>
  </si>
  <si>
    <t>ALTO VXR   (METALLIC)</t>
  </si>
  <si>
    <t>AEZ-350</t>
  </si>
  <si>
    <t>6172519</t>
  </si>
  <si>
    <t>6H1072532</t>
  </si>
  <si>
    <t>0409</t>
  </si>
  <si>
    <t>236881</t>
  </si>
  <si>
    <t>49148/1</t>
  </si>
  <si>
    <t>KHI/HO/D/MO/PC COMP/C/95231/10/08/2024</t>
  </si>
  <si>
    <t>WASIM  ARIF  BUTT</t>
  </si>
  <si>
    <t>AEE-959</t>
  </si>
  <si>
    <t>2A32852</t>
  </si>
  <si>
    <t>7020300</t>
  </si>
  <si>
    <t>389398</t>
  </si>
  <si>
    <t>49977/1</t>
  </si>
  <si>
    <t>KHI/HO/D/MO/PC COMP/C/95231/11/08/2024</t>
  </si>
  <si>
    <t>IQRA  KHALID</t>
  </si>
  <si>
    <t>FORTUNER</t>
  </si>
  <si>
    <t>AFA-890</t>
  </si>
  <si>
    <t>5026900</t>
  </si>
  <si>
    <t>1095701</t>
  </si>
  <si>
    <t>494956</t>
  </si>
  <si>
    <t>49936/1</t>
  </si>
  <si>
    <t>KHI/HO/D/MO/PC COMP/C/95231/12/08/2024</t>
  </si>
  <si>
    <t>SARFRAZ AHMED BHATTI</t>
  </si>
  <si>
    <t>LED-18-8828</t>
  </si>
  <si>
    <t>Z519406</t>
  </si>
  <si>
    <t>R4145426</t>
  </si>
  <si>
    <t>541048</t>
  </si>
  <si>
    <t>49974/1</t>
  </si>
  <si>
    <t>KHI/HO/D/MO/PC COMP/C/95231/13/08/2024</t>
  </si>
  <si>
    <t>MUHAMMAD   YASIN</t>
  </si>
  <si>
    <t>AEU-203</t>
  </si>
  <si>
    <t>501556</t>
  </si>
  <si>
    <t>1007374</t>
  </si>
  <si>
    <t>535924</t>
  </si>
  <si>
    <t>44661/1</t>
  </si>
  <si>
    <t>KHI/HO/D/MO/PC COMP/C/95231/14/08/2024</t>
  </si>
  <si>
    <t>SHAKEEL  AHMAD</t>
  </si>
  <si>
    <t>TOYOTA FORTUNER 4*4 A/T</t>
  </si>
  <si>
    <t>AEF-090</t>
  </si>
  <si>
    <t>5026187</t>
  </si>
  <si>
    <t>R-1095755</t>
  </si>
  <si>
    <t>510190</t>
  </si>
  <si>
    <t>49970/1</t>
  </si>
  <si>
    <t>KHI/HO/D/MO/PC COMP/C/95231/15/08/2024</t>
  </si>
  <si>
    <t>LIAQAT   ALI</t>
  </si>
  <si>
    <t>LED-16-4047</t>
  </si>
  <si>
    <t>17442469</t>
  </si>
  <si>
    <t>R-182767</t>
  </si>
  <si>
    <t>542799</t>
  </si>
  <si>
    <t>50050/1</t>
  </si>
  <si>
    <t>KHI/HO/D/MO/PC COMP/C/95231/16/08/2024</t>
  </si>
  <si>
    <t>SEHLA  NAZ</t>
  </si>
  <si>
    <t>CULTUS VXR (NON-METALIC)</t>
  </si>
  <si>
    <t>AEM-734</t>
  </si>
  <si>
    <t>181576</t>
  </si>
  <si>
    <t>10081568</t>
  </si>
  <si>
    <t>543395</t>
  </si>
  <si>
    <t>50045/1</t>
  </si>
  <si>
    <t>KHI/HO/D/MO/PC COMP/C/95231/17/08/2024</t>
  </si>
  <si>
    <t>MUHAMMAD  NADEEM</t>
  </si>
  <si>
    <t>AES-705</t>
  </si>
  <si>
    <t>503106</t>
  </si>
  <si>
    <t>1007318</t>
  </si>
  <si>
    <t>541559</t>
  </si>
  <si>
    <t>49703/1</t>
  </si>
  <si>
    <t>KHI/HO/D/MO/PC COMP/C/95231/18/08/2024</t>
  </si>
  <si>
    <t>MUHAMMAD AWAIS  KHALIL</t>
  </si>
  <si>
    <t>AEF-294</t>
  </si>
  <si>
    <t>16924840</t>
  </si>
  <si>
    <t>077303</t>
  </si>
  <si>
    <t>518776</t>
  </si>
  <si>
    <t>50008/1</t>
  </si>
  <si>
    <t>KHI/HO/D/MO/PC COMP/C/95231/19/08/2024</t>
  </si>
  <si>
    <t>ZAFAR   SULTAN</t>
  </si>
  <si>
    <t>AAE-886</t>
  </si>
  <si>
    <t>203296</t>
  </si>
  <si>
    <t>10103314</t>
  </si>
  <si>
    <t>542755</t>
  </si>
  <si>
    <t>48119/1</t>
  </si>
  <si>
    <t>KHI/HO/D/MO/PC COMP/C/95231/2/08/2024</t>
  </si>
  <si>
    <t>ZAINAB MURATIB ALI</t>
  </si>
  <si>
    <t>ADZ-774</t>
  </si>
  <si>
    <t>174783</t>
  </si>
  <si>
    <t>1074780</t>
  </si>
  <si>
    <t>533152</t>
  </si>
  <si>
    <t>50553/1</t>
  </si>
  <si>
    <t>KHI/HO/D/MO/PC COMP/C/95231/20/08/2024</t>
  </si>
  <si>
    <t>AQEEL   AHMAD</t>
  </si>
  <si>
    <t>ZS</t>
  </si>
  <si>
    <t>AEY-720</t>
  </si>
  <si>
    <t>4020553</t>
  </si>
  <si>
    <t>127738</t>
  </si>
  <si>
    <t>542567</t>
  </si>
  <si>
    <t>50066/1</t>
  </si>
  <si>
    <t>KHI/HO/D/MO/PC COMP/C/95231/21/08/2024</t>
  </si>
  <si>
    <t>SYED RAQEEB HUSSAIN SHAH</t>
  </si>
  <si>
    <t>AUW-985</t>
  </si>
  <si>
    <t>178973</t>
  </si>
  <si>
    <t>1078955</t>
  </si>
  <si>
    <t>543934</t>
  </si>
  <si>
    <t>50156/1</t>
  </si>
  <si>
    <t>KHI/HO/D/MO/PC COMP/C/95231/22/08/2024</t>
  </si>
  <si>
    <t>ASIF  NAEEM</t>
  </si>
  <si>
    <t>AFL-266</t>
  </si>
  <si>
    <t>181948</t>
  </si>
  <si>
    <t>10081949</t>
  </si>
  <si>
    <t>508557</t>
  </si>
  <si>
    <t>48221/1</t>
  </si>
  <si>
    <t>KHI/HO/D/MO/PC COMP/C/95231/23/08/2024</t>
  </si>
  <si>
    <t>MUHAMMAD  SALEEM</t>
  </si>
  <si>
    <t>AEJ-271</t>
  </si>
  <si>
    <t>6R177087</t>
  </si>
  <si>
    <t>3061077070</t>
  </si>
  <si>
    <t>534391</t>
  </si>
  <si>
    <t>50177/1</t>
  </si>
  <si>
    <t>KHI/HO/D/MO/PC COMP/C/95231/25/08/2024</t>
  </si>
  <si>
    <t>SYED  AZHAR ALI</t>
  </si>
  <si>
    <t>AEN-948</t>
  </si>
  <si>
    <t>1013704</t>
  </si>
  <si>
    <t>1130229</t>
  </si>
  <si>
    <t>529298</t>
  </si>
  <si>
    <t>50450/1</t>
  </si>
  <si>
    <t>KHI/HO/D/MO/PC COMP/C/95231/26/08/2024</t>
  </si>
  <si>
    <t>ABDUL  BASIT</t>
  </si>
  <si>
    <t>CULTUS VXL (CNG METALIC)</t>
  </si>
  <si>
    <t>AVC-005</t>
  </si>
  <si>
    <t>PK10K179923</t>
  </si>
  <si>
    <t>NF1AVK31H10079921</t>
  </si>
  <si>
    <t>521446</t>
  </si>
  <si>
    <t>50399/1</t>
  </si>
  <si>
    <t>KHI/HO/D/MO/PC COMP/C/95231/27/08/2024</t>
  </si>
  <si>
    <t>WAQAS  ASHRAF</t>
  </si>
  <si>
    <t>3520225166671</t>
  </si>
  <si>
    <t>MG-HS</t>
  </si>
  <si>
    <t>AFD-443</t>
  </si>
  <si>
    <t>GM 5190122</t>
  </si>
  <si>
    <t>MN094069</t>
  </si>
  <si>
    <t>543802</t>
  </si>
  <si>
    <t>49724/1</t>
  </si>
  <si>
    <t>KHI/HO/D/MO/PC COMP/C/95231/28/08/2024</t>
  </si>
  <si>
    <t>MEHBOOB  ALAM</t>
  </si>
  <si>
    <t>AEH-493</t>
  </si>
  <si>
    <t>P090843</t>
  </si>
  <si>
    <t>P502177</t>
  </si>
  <si>
    <t>541520</t>
  </si>
  <si>
    <t>50462/1</t>
  </si>
  <si>
    <t>KHI/HO/D/MO/PC COMP/C/95231/29/08/2024</t>
  </si>
  <si>
    <t>QADIR  BUKHSH</t>
  </si>
  <si>
    <t>CIVIC (MANUAL)</t>
  </si>
  <si>
    <t>LED-18-4443</t>
  </si>
  <si>
    <t>12930751</t>
  </si>
  <si>
    <t>R034176</t>
  </si>
  <si>
    <t>0567</t>
  </si>
  <si>
    <t>223199</t>
  </si>
  <si>
    <t>47417/1</t>
  </si>
  <si>
    <t>KHI/HO/D/MO/PC COMP/C/95231/3/08/2024</t>
  </si>
  <si>
    <t>HUNAIN  ALI</t>
  </si>
  <si>
    <t>AED-669</t>
  </si>
  <si>
    <t>180466</t>
  </si>
  <si>
    <t>10080465</t>
  </si>
  <si>
    <t>394003</t>
  </si>
  <si>
    <t>50458/1</t>
  </si>
  <si>
    <t>KHI/HO/D/MO/PC COMP/C/95231/30/08/2024</t>
  </si>
  <si>
    <t>RASHID  MINHAS</t>
  </si>
  <si>
    <t>AES-546</t>
  </si>
  <si>
    <t>4806781</t>
  </si>
  <si>
    <t>MR023465</t>
  </si>
  <si>
    <t>544009</t>
  </si>
  <si>
    <t>50383/1</t>
  </si>
  <si>
    <t>KHI/HO/D/MO/PC COMP/C/95231/31/08/2024</t>
  </si>
  <si>
    <t>MUHAMMAD AMIN KHAN</t>
  </si>
  <si>
    <t>ADD-373</t>
  </si>
  <si>
    <t>2TRA235099</t>
  </si>
  <si>
    <t>TGN156R-0440502</t>
  </si>
  <si>
    <t>229092</t>
  </si>
  <si>
    <t>50333/1</t>
  </si>
  <si>
    <t>KHI/HO/D/MO/PC COMP/C/95231/32/08/2024</t>
  </si>
  <si>
    <t>AFZAAL  IQBAL</t>
  </si>
  <si>
    <t>3520255435871</t>
  </si>
  <si>
    <t>TOYOTA AQUA</t>
  </si>
  <si>
    <t>ACH 755</t>
  </si>
  <si>
    <t>647162</t>
  </si>
  <si>
    <t>6739349</t>
  </si>
  <si>
    <t>489080</t>
  </si>
  <si>
    <t>50206/1</t>
  </si>
  <si>
    <t>KHI/HO/D/MO/PC COMP/C/95231/33/08/2024</t>
  </si>
  <si>
    <t>WAQAS  JAVEED</t>
  </si>
  <si>
    <t>AEM-580</t>
  </si>
  <si>
    <t>6925577</t>
  </si>
  <si>
    <t>078018</t>
  </si>
  <si>
    <t>544248</t>
  </si>
  <si>
    <t>50534/2</t>
  </si>
  <si>
    <t>KHI/HO/D/MO/PC COMP/C/95231/34/08/2024</t>
  </si>
  <si>
    <t>ZIA  ALAM</t>
  </si>
  <si>
    <t>HYUNDAI TUCSON</t>
  </si>
  <si>
    <t>AES-364</t>
  </si>
  <si>
    <t>14947</t>
  </si>
  <si>
    <t>201041</t>
  </si>
  <si>
    <t>391575</t>
  </si>
  <si>
    <t>50554/1</t>
  </si>
  <si>
    <t>KHI/HO/D/MO/PC COMP/C/95231/35/08/2024</t>
  </si>
  <si>
    <t>ADNAN   REHMAT</t>
  </si>
  <si>
    <t>AER-184</t>
  </si>
  <si>
    <t>CAD502157</t>
  </si>
  <si>
    <t>1001373</t>
  </si>
  <si>
    <t>537183</t>
  </si>
  <si>
    <t>50528/1</t>
  </si>
  <si>
    <t>KHI/HO/D/MO/PC COMP/C/95231/36/08/2024</t>
  </si>
  <si>
    <t>ALI   AZIZ</t>
  </si>
  <si>
    <t>ALTO VX CNG (NON-METALLIC)</t>
  </si>
  <si>
    <t>AEU-199</t>
  </si>
  <si>
    <t>179152</t>
  </si>
  <si>
    <t>1079136</t>
  </si>
  <si>
    <t>540059</t>
  </si>
  <si>
    <t>46110/1</t>
  </si>
  <si>
    <t>KHI/HO/D/MO/PC COMP/C/95231/4/08/2024</t>
  </si>
  <si>
    <t>MERAJ   DIN</t>
  </si>
  <si>
    <t>PRINCE GLORY</t>
  </si>
  <si>
    <t>AEJ-262</t>
  </si>
  <si>
    <t>21012117</t>
  </si>
  <si>
    <t>R21G1250</t>
  </si>
  <si>
    <t>519870</t>
  </si>
  <si>
    <t>50075/1</t>
  </si>
  <si>
    <t>KHI/HO/D/MO/PC COMP/C/95231/5/08/2024</t>
  </si>
  <si>
    <t>KHURRAM  SHAHZAD</t>
  </si>
  <si>
    <t>AEH-175</t>
  </si>
  <si>
    <t>217380</t>
  </si>
  <si>
    <t>10117378</t>
  </si>
  <si>
    <t>542408</t>
  </si>
  <si>
    <t>48170/1</t>
  </si>
  <si>
    <t>KHI/HO/D/MO/PC COMP/C/95231/6/08/2024</t>
  </si>
  <si>
    <t>SHOUKAT  ALI</t>
  </si>
  <si>
    <t>AUJ-840</t>
  </si>
  <si>
    <t>174750</t>
  </si>
  <si>
    <t>1074747</t>
  </si>
  <si>
    <t>534543</t>
  </si>
  <si>
    <t>49599/1</t>
  </si>
  <si>
    <t>KHI/HO/D/MO/PC COMP/C/95231/7/08/2024</t>
  </si>
  <si>
    <t>FARHAN  ALI</t>
  </si>
  <si>
    <t>AED-078</t>
  </si>
  <si>
    <t>4806481</t>
  </si>
  <si>
    <t>023169</t>
  </si>
  <si>
    <t>541638</t>
  </si>
  <si>
    <t>49981/1</t>
  </si>
  <si>
    <t>KHI/HO/D/MO/PC COMP/C/95231/8/08/2024</t>
  </si>
  <si>
    <t>SYEDA  IMRANA</t>
  </si>
  <si>
    <t>AEK-905</t>
  </si>
  <si>
    <t>6R177764</t>
  </si>
  <si>
    <t>6H1077974</t>
  </si>
  <si>
    <t>0455</t>
  </si>
  <si>
    <t>535749</t>
  </si>
  <si>
    <t>49907/1</t>
  </si>
  <si>
    <t>KHI/HO/D/MO/PC COMP/C/95231/9/08/2024</t>
  </si>
  <si>
    <t>MUHAMMAD  SADEEQ</t>
  </si>
  <si>
    <t>AEK-544</t>
  </si>
  <si>
    <t>6R177170</t>
  </si>
  <si>
    <t>1077120</t>
  </si>
  <si>
    <t>537662</t>
  </si>
  <si>
    <t>42623/1</t>
  </si>
  <si>
    <t>KHI/HO/D/MO/PC COMP/C/95233/1/08/2024</t>
  </si>
  <si>
    <t>USAMA  BIN  KHALID</t>
  </si>
  <si>
    <t>ARC-455</t>
  </si>
  <si>
    <t>134144</t>
  </si>
  <si>
    <t>1034164</t>
  </si>
  <si>
    <t>497357</t>
  </si>
  <si>
    <t>43061/1</t>
  </si>
  <si>
    <t>KHI/HO/D/MO/PC COMP/C/95233/10/08/2024</t>
  </si>
  <si>
    <t>IMRAN  SHAHZAD</t>
  </si>
  <si>
    <t>AAG-916</t>
  </si>
  <si>
    <t>7540037</t>
  </si>
  <si>
    <t>LR262544</t>
  </si>
  <si>
    <t>498228</t>
  </si>
  <si>
    <t>43134/1</t>
  </si>
  <si>
    <t>KHI/HO/D/MO/PC COMP/C/95233/11/08/2024</t>
  </si>
  <si>
    <t>IJAZ  AHMAD</t>
  </si>
  <si>
    <t>AAK-758</t>
  </si>
  <si>
    <t>205196</t>
  </si>
  <si>
    <t>10105207</t>
  </si>
  <si>
    <t>499891</t>
  </si>
  <si>
    <t>43124/1</t>
  </si>
  <si>
    <t>KHI/HO/D/MO/PC COMP/C/95233/12/08/2024</t>
  </si>
  <si>
    <t>SHAHZOR  AHMAD</t>
  </si>
  <si>
    <t>AAP-917</t>
  </si>
  <si>
    <t>131715</t>
  </si>
  <si>
    <t>1031280</t>
  </si>
  <si>
    <t>498431</t>
  </si>
  <si>
    <t>43141/1</t>
  </si>
  <si>
    <t>KHI/HO/D/MO/PC COMP/C/95233/13/08/2024</t>
  </si>
  <si>
    <t>RANA WAQAR AHMAD</t>
  </si>
  <si>
    <t>LE-18A-750</t>
  </si>
  <si>
    <t>473284</t>
  </si>
  <si>
    <t>1091071</t>
  </si>
  <si>
    <t>229418</t>
  </si>
  <si>
    <t>43089/1</t>
  </si>
  <si>
    <t>KHI/HO/D/MO/PC COMP/C/95233/14/08/2024</t>
  </si>
  <si>
    <t>HALEEMA  SADIA</t>
  </si>
  <si>
    <t>AAG-216</t>
  </si>
  <si>
    <t>2A02326</t>
  </si>
  <si>
    <t>7000842</t>
  </si>
  <si>
    <t>497244</t>
  </si>
  <si>
    <t>43155/1</t>
  </si>
  <si>
    <t>KHI/HO/D/MO/PC COMP/C/95233/15/08/2024</t>
  </si>
  <si>
    <t>MUHAMMAD  SOHAIL</t>
  </si>
  <si>
    <t>LEC-18A-5282</t>
  </si>
  <si>
    <t>17519777</t>
  </si>
  <si>
    <t>235397</t>
  </si>
  <si>
    <t>500089</t>
  </si>
  <si>
    <t>43143/1</t>
  </si>
  <si>
    <t>KHI/HO/D/MO/PC COMP/C/95233/16/08/2024</t>
  </si>
  <si>
    <t>MOHAMMAD YAQOOB VIRK</t>
  </si>
  <si>
    <t>LEF-15-2493</t>
  </si>
  <si>
    <t>17431200</t>
  </si>
  <si>
    <t>169572</t>
  </si>
  <si>
    <t>498669</t>
  </si>
  <si>
    <t>43146/1</t>
  </si>
  <si>
    <t>KHI/HO/D/MO/PC COMP/C/95233/17/08/2024</t>
  </si>
  <si>
    <t>SHAN  ALI</t>
  </si>
  <si>
    <t>AAH-509</t>
  </si>
  <si>
    <t>LH-315198</t>
  </si>
  <si>
    <t>KP-302685</t>
  </si>
  <si>
    <t>391404</t>
  </si>
  <si>
    <t>43086/2</t>
  </si>
  <si>
    <t>KHI/HO/D/MO/PC COMP/C/95233/18/08/2024</t>
  </si>
  <si>
    <t>HAJI MUHAMMAD ZULFIQAR</t>
  </si>
  <si>
    <t>VEZEEL  GRADE SZ</t>
  </si>
  <si>
    <t>IG-373</t>
  </si>
  <si>
    <t>5057936</t>
  </si>
  <si>
    <t>1107928</t>
  </si>
  <si>
    <t>501020</t>
  </si>
  <si>
    <t>41429/1</t>
  </si>
  <si>
    <t>KHI/HO/D/MO/PC COMP/C/95233/2/08/2024</t>
  </si>
  <si>
    <t>ASIA  BANO</t>
  </si>
  <si>
    <t>BRZ-862</t>
  </si>
  <si>
    <t>PK10K160634</t>
  </si>
  <si>
    <t>10060639</t>
  </si>
  <si>
    <t>489918</t>
  </si>
  <si>
    <t>42889/1</t>
  </si>
  <si>
    <t>KHI/HO/D/MO/PC COMP/C/95233/3/08/2024</t>
  </si>
  <si>
    <t>MUHAMMAD  AFZAL</t>
  </si>
  <si>
    <t>LEF-14-4506</t>
  </si>
  <si>
    <t>Z104025</t>
  </si>
  <si>
    <t>4003461</t>
  </si>
  <si>
    <t>0418</t>
  </si>
  <si>
    <t>485574</t>
  </si>
  <si>
    <t>42887/1</t>
  </si>
  <si>
    <t>KHI/HO/D/MO/PC COMP/C/95233/4/08/2024</t>
  </si>
  <si>
    <t>MOHSIN  IQBAL</t>
  </si>
  <si>
    <t>LEH-19-2636</t>
  </si>
  <si>
    <t>PK10K114627</t>
  </si>
  <si>
    <t>NF1AVK31H10014630</t>
  </si>
  <si>
    <t>0401</t>
  </si>
  <si>
    <t>487413</t>
  </si>
  <si>
    <t>42865/1</t>
  </si>
  <si>
    <t>KHI/HO/D/MO/PC COMP/C/95233/5/08/2024</t>
  </si>
  <si>
    <t>IRFAN  KHAN</t>
  </si>
  <si>
    <t>AAC-787</t>
  </si>
  <si>
    <t>Z-577908</t>
  </si>
  <si>
    <t>4204981</t>
  </si>
  <si>
    <t>411639</t>
  </si>
  <si>
    <t>42920/1</t>
  </si>
  <si>
    <t>KHI/HO/D/MO/PC COMP/C/95233/6/08/2024</t>
  </si>
  <si>
    <t>MALIK HAMMAD  HUSSAIN</t>
  </si>
  <si>
    <t>ARE-856</t>
  </si>
  <si>
    <t>2A04800</t>
  </si>
  <si>
    <t>9502212</t>
  </si>
  <si>
    <t>496948</t>
  </si>
  <si>
    <t>42828/1</t>
  </si>
  <si>
    <t>KHI/HO/D/MO/PC COMP/C/95233/7/08/2024</t>
  </si>
  <si>
    <t>UMAID AHMED KHAN</t>
  </si>
  <si>
    <t>BSC-192</t>
  </si>
  <si>
    <t>138488</t>
  </si>
  <si>
    <t>1038481</t>
  </si>
  <si>
    <t>495169</t>
  </si>
  <si>
    <t>42553/1</t>
  </si>
  <si>
    <t>KHI/HO/D/MO/PC COMP/C/95233/8/08/2024</t>
  </si>
  <si>
    <t>MUHAMMAD  ARIF</t>
  </si>
  <si>
    <t>AQH-058</t>
  </si>
  <si>
    <t>6912367</t>
  </si>
  <si>
    <t>063966</t>
  </si>
  <si>
    <t>496972</t>
  </si>
  <si>
    <t>42983/1</t>
  </si>
  <si>
    <t>KHI/HO/D/MO/PC COMP/C/95233/9/08/2024</t>
  </si>
  <si>
    <t>SYED ZAHID HUSSAIN SHAH</t>
  </si>
  <si>
    <t>LE-17A-8095</t>
  </si>
  <si>
    <t>PK10B137394</t>
  </si>
  <si>
    <t>PK10037409</t>
  </si>
  <si>
    <t>494566</t>
  </si>
  <si>
    <t>32775/1</t>
  </si>
  <si>
    <t>KHI/HO/D/MO/PC COMP/C/95234/1/08/2024</t>
  </si>
  <si>
    <t>MUHAMMAD  AQEEL</t>
  </si>
  <si>
    <t>LEA-18A-6130</t>
  </si>
  <si>
    <t>169228</t>
  </si>
  <si>
    <t>10069019</t>
  </si>
  <si>
    <t>0432</t>
  </si>
  <si>
    <t>418896</t>
  </si>
  <si>
    <t>37625/1</t>
  </si>
  <si>
    <t>KHI/HO/D/MO/PC COMP/C/95236/1/08/2024</t>
  </si>
  <si>
    <t>RIZWAN  DAWOOD</t>
  </si>
  <si>
    <t>REVO</t>
  </si>
  <si>
    <t>APB-847</t>
  </si>
  <si>
    <t>D0689896</t>
  </si>
  <si>
    <t>5537067</t>
  </si>
  <si>
    <t>452142</t>
  </si>
  <si>
    <t>38437/1</t>
  </si>
  <si>
    <t>KHI/HO/D/MO/PC COMP/C/95236/2/08/2024</t>
  </si>
  <si>
    <t>MUHAMMAD  QASIM</t>
  </si>
  <si>
    <t>APD-654</t>
  </si>
  <si>
    <t>6R109139</t>
  </si>
  <si>
    <t>1009061</t>
  </si>
  <si>
    <t>0810</t>
  </si>
  <si>
    <t>457971</t>
  </si>
  <si>
    <t>38452/1</t>
  </si>
  <si>
    <t>KHI/HO/D/MO/PC COMP/C/95236/3/08/2024</t>
  </si>
  <si>
    <t>NAWAZ  ARIF</t>
  </si>
  <si>
    <t>LE-19A-8522</t>
  </si>
  <si>
    <t>194424</t>
  </si>
  <si>
    <t>10094394</t>
  </si>
  <si>
    <t>456208</t>
  </si>
  <si>
    <t>37732/1</t>
  </si>
  <si>
    <t>KHI/HO/D/MO/PC COMP/C/95236/4/08/2024</t>
  </si>
  <si>
    <t>SYED ILYAS  ALI  SHAH</t>
  </si>
  <si>
    <t>LE-19A-36</t>
  </si>
  <si>
    <t>Q062253</t>
  </si>
  <si>
    <t>ZRE171R-6039775</t>
  </si>
  <si>
    <t>0307</t>
  </si>
  <si>
    <t>445461</t>
  </si>
  <si>
    <t>38531/1</t>
  </si>
  <si>
    <t>KHI/HO/D/MO/PC COMP/C/95236/6/08/2024</t>
  </si>
  <si>
    <t>MUHAMMAD HASSAAN MUNAWER</t>
  </si>
  <si>
    <t>LEA-16A-8308</t>
  </si>
  <si>
    <t>71401677</t>
  </si>
  <si>
    <t>GR005701</t>
  </si>
  <si>
    <t>441389</t>
  </si>
  <si>
    <t>42570/1</t>
  </si>
  <si>
    <t>KHI/HO/D/MO/PC COMP/C/95236/7/08/2024</t>
  </si>
  <si>
    <t>MUHAMMAD SHARIF IMRAN</t>
  </si>
  <si>
    <t>3830309747451</t>
  </si>
  <si>
    <t>FAW XPV</t>
  </si>
  <si>
    <t>ARD-259</t>
  </si>
  <si>
    <t>8701644</t>
  </si>
  <si>
    <t>PD000614</t>
  </si>
  <si>
    <t>496370</t>
  </si>
  <si>
    <t>42659/1</t>
  </si>
  <si>
    <t>KHI/HO/D/MO/PC COMP/C/95236/8/08/2024</t>
  </si>
  <si>
    <t>MUHAMMAD  SAEED</t>
  </si>
  <si>
    <t>AAP-518</t>
  </si>
  <si>
    <t>538930</t>
  </si>
  <si>
    <t>260819</t>
  </si>
  <si>
    <t>483396</t>
  </si>
  <si>
    <t>66581/1</t>
  </si>
  <si>
    <t>KHI/HO/D/MO/PC COMP/C/95236/9/08/2024</t>
  </si>
  <si>
    <t>SHAHRUKH  AYUB</t>
  </si>
  <si>
    <t>ABY-593</t>
  </si>
  <si>
    <t>6R273269</t>
  </si>
  <si>
    <t>H1173301</t>
  </si>
  <si>
    <t>624300</t>
  </si>
  <si>
    <t>50201/1</t>
  </si>
  <si>
    <t>KHI/HO/D/MO/PC COMP/P/95296/08/2024</t>
  </si>
  <si>
    <t>ABDUL HAMEED SHEIKH</t>
  </si>
  <si>
    <t>MERCEDES A180</t>
  </si>
  <si>
    <t>BEB-400</t>
  </si>
  <si>
    <t>27696030831313</t>
  </si>
  <si>
    <t>A198531</t>
  </si>
  <si>
    <t>348190</t>
  </si>
  <si>
    <t>57562/1</t>
  </si>
  <si>
    <t>KHI/HO/D/MO/PC COMP/C/93457/18/07/2024</t>
  </si>
  <si>
    <t>RASHID IQBAL  SIDDIQUI</t>
  </si>
  <si>
    <t>ALL-167</t>
  </si>
  <si>
    <t>506719</t>
  </si>
  <si>
    <t>1015773</t>
  </si>
  <si>
    <t>577530</t>
  </si>
  <si>
    <t>55956/1</t>
  </si>
  <si>
    <t>KHI/HO/D/MO/PC COMP/C/93457/28/07/2024</t>
  </si>
  <si>
    <t>ZUBAIR  SAEED</t>
  </si>
  <si>
    <t>AZJ-799</t>
  </si>
  <si>
    <t>243931</t>
  </si>
  <si>
    <t>1143905</t>
  </si>
  <si>
    <t>0421</t>
  </si>
  <si>
    <t>563942</t>
  </si>
  <si>
    <t>58275/1</t>
  </si>
  <si>
    <t>KHI/HO/D/MO/PC COMP/C/93457/42/07/2024</t>
  </si>
  <si>
    <t>SADAQAT  -</t>
  </si>
  <si>
    <t>ALN-061</t>
  </si>
  <si>
    <t>239025</t>
  </si>
  <si>
    <t>10139045</t>
  </si>
  <si>
    <t>492561</t>
  </si>
  <si>
    <t>52590/1</t>
  </si>
  <si>
    <t>KHI/HO/D/MO/PC COMP/C/90920/13/06/2024</t>
  </si>
  <si>
    <t>SHAHZAD  .</t>
  </si>
  <si>
    <t>3310289769553</t>
  </si>
  <si>
    <t>ALTO VX CNG (METALLIC)</t>
  </si>
  <si>
    <t>AKR-976</t>
  </si>
  <si>
    <t>6R232852</t>
  </si>
  <si>
    <t>NF1AET306H1132864</t>
  </si>
  <si>
    <t>556161</t>
  </si>
  <si>
    <t>41792/1</t>
  </si>
  <si>
    <t>KHI/HO/D/MO/PC COMP/C/90920/156/06/2024</t>
  </si>
  <si>
    <t>MUHAMMAD  FAYYAZ</t>
  </si>
  <si>
    <t>3630293138185</t>
  </si>
  <si>
    <t>MN-5506</t>
  </si>
  <si>
    <t>PK10K159196</t>
  </si>
  <si>
    <t>10059196</t>
  </si>
  <si>
    <t>92775</t>
  </si>
  <si>
    <t>52367/1</t>
  </si>
  <si>
    <t>KHI/HO/D/MO/PC COMP/C/90920/20/06/2024</t>
  </si>
  <si>
    <t>SUMAIR  ASHRAF</t>
  </si>
  <si>
    <t>3310206128603</t>
  </si>
  <si>
    <t>AKV-178</t>
  </si>
  <si>
    <t>6R233182</t>
  </si>
  <si>
    <t>NF1AET306H1133181</t>
  </si>
  <si>
    <t>550935</t>
  </si>
  <si>
    <t>52770/1</t>
  </si>
  <si>
    <t>KHI/HO/D/MO/PC COMP/C/86646/5/04/2024</t>
  </si>
  <si>
    <t>ABDUL  GHAFAR</t>
  </si>
  <si>
    <t>3310097983085</t>
  </si>
  <si>
    <t>AXS-208</t>
  </si>
  <si>
    <t>232694</t>
  </si>
  <si>
    <t>10132704</t>
  </si>
  <si>
    <t>558400</t>
  </si>
  <si>
    <t>52039/1</t>
  </si>
  <si>
    <t>KHI/HO/D/MO/PC COMP/C/86646/58/04/2024</t>
  </si>
  <si>
    <t>MUHAMMAD HAMZA AFZAL</t>
  </si>
  <si>
    <t>3310058594399</t>
  </si>
  <si>
    <t>AJT-353</t>
  </si>
  <si>
    <t>226492</t>
  </si>
  <si>
    <t>1126464</t>
  </si>
  <si>
    <t>544370</t>
  </si>
  <si>
    <t xml:space="preserve">Policy # </t>
  </si>
  <si>
    <t>Fresh</t>
  </si>
  <si>
    <t>73895/1</t>
  </si>
  <si>
    <t>KHI/HO/D/MO/PC COMP/C/94819/1/08/2024</t>
  </si>
  <si>
    <t xml:space="preserve"> Zaheer Ahmad
</t>
  </si>
  <si>
    <t>SUZUKI ALTO VXL</t>
  </si>
  <si>
    <t>LEH-19-6448</t>
  </si>
  <si>
    <t>6R109915</t>
  </si>
  <si>
    <t>H1009897</t>
  </si>
  <si>
    <t>653032</t>
  </si>
  <si>
    <t>73403/1</t>
  </si>
  <si>
    <t>KHI/HO/D/MO/PC COMP/C/94819/10/08/2024</t>
  </si>
  <si>
    <t xml:space="preserve"> Mujahid Khan
</t>
  </si>
  <si>
    <t>HONDA CITY 1.2  LS CVT</t>
  </si>
  <si>
    <t>1025916</t>
  </si>
  <si>
    <t>R042250</t>
  </si>
  <si>
    <t>651383</t>
  </si>
  <si>
    <t>73691/1</t>
  </si>
  <si>
    <t>KHI/HO/D/MO/PC COMP/C/94819/11/08/2024</t>
  </si>
  <si>
    <t xml:space="preserve"> Muhammad Atif Bashir 
</t>
  </si>
  <si>
    <t>SUZUKI ALTO</t>
  </si>
  <si>
    <t>ALQ-502</t>
  </si>
  <si>
    <t>6R247524</t>
  </si>
  <si>
    <t>H1147975</t>
  </si>
  <si>
    <t>652203</t>
  </si>
  <si>
    <t>73751/1</t>
  </si>
  <si>
    <t>KHI/HO/D/MO/PC COMP/C/94819/12/08/2024</t>
  </si>
  <si>
    <t xml:space="preserve"> Muhammad Usman Khan  
</t>
  </si>
  <si>
    <t>HONDA CIVIC</t>
  </si>
  <si>
    <t>APJ-041</t>
  </si>
  <si>
    <t>12954727</t>
  </si>
  <si>
    <t>R058443</t>
  </si>
  <si>
    <t>0555</t>
  </si>
  <si>
    <t>652580</t>
  </si>
  <si>
    <t>74196/1</t>
  </si>
  <si>
    <t>KHI/HO/D/MO/PC COMP/C/94819/13/08/2024</t>
  </si>
  <si>
    <t xml:space="preserve"> Noman Zulfiqar
</t>
  </si>
  <si>
    <t>HONDA CITY ASPIRE A/T</t>
  </si>
  <si>
    <t>ACR-379</t>
  </si>
  <si>
    <t>79801311</t>
  </si>
  <si>
    <t>MR270512</t>
  </si>
  <si>
    <t>0551</t>
  </si>
  <si>
    <t>654044</t>
  </si>
  <si>
    <t>74044/1</t>
  </si>
  <si>
    <t>KHI/HO/D/MO/PC COMP/C/94819/14/08/2024</t>
  </si>
  <si>
    <t xml:space="preserve"> Sharoon Saleem
</t>
  </si>
  <si>
    <t>HONDA CITY</t>
  </si>
  <si>
    <t>LE-18A-9231</t>
  </si>
  <si>
    <t>Z17517746</t>
  </si>
  <si>
    <t>JR232961</t>
  </si>
  <si>
    <t>653434</t>
  </si>
  <si>
    <t>74286/1</t>
  </si>
  <si>
    <t>KHI/HO/D/MO/PC COMP/C/94819/15/08/2024</t>
  </si>
  <si>
    <t xml:space="preserve"> Abdul Manan
</t>
  </si>
  <si>
    <t>LEB-17-3442</t>
  </si>
  <si>
    <t>R18Z12908419</t>
  </si>
  <si>
    <t>NFBFC6662HR011406</t>
  </si>
  <si>
    <t>618348</t>
  </si>
  <si>
    <t>74152/1</t>
  </si>
  <si>
    <t>KHI/HO/D/MO/PC COMP/C/94819/16/08/2024</t>
  </si>
  <si>
    <t xml:space="preserve"> Sheikh Arif Javed Alias Lala
</t>
  </si>
  <si>
    <t>SUZUKI WAGON R VXL</t>
  </si>
  <si>
    <t>LEB-19-7198</t>
  </si>
  <si>
    <t>182836</t>
  </si>
  <si>
    <t>10082835</t>
  </si>
  <si>
    <t>653923</t>
  </si>
  <si>
    <t>74220/1</t>
  </si>
  <si>
    <t>KHI/HO/D/MO/PC COMP/C/94819/17/08/2024</t>
  </si>
  <si>
    <t xml:space="preserve"> Adil
</t>
  </si>
  <si>
    <t>CHANGAN ALSVIN</t>
  </si>
  <si>
    <t>AD523019</t>
  </si>
  <si>
    <t>R1000056</t>
  </si>
  <si>
    <t>654201</t>
  </si>
  <si>
    <t>74559/1</t>
  </si>
  <si>
    <t>KHI/HO/D/MO/PC COMP/C/94819/18/08/2024</t>
  </si>
  <si>
    <t xml:space="preserve"> Muhammad Azeem
</t>
  </si>
  <si>
    <t>SUZUKI CULTUS VXL</t>
  </si>
  <si>
    <t>AFS-068</t>
  </si>
  <si>
    <t>188023</t>
  </si>
  <si>
    <t>10088038</t>
  </si>
  <si>
    <t>541071</t>
  </si>
  <si>
    <t>73841/1</t>
  </si>
  <si>
    <t>KHI/HO/D/MO/PC COMP/C/94819/19/08/2024</t>
  </si>
  <si>
    <t xml:space="preserve"> Mian Muhammad Rasheed 
</t>
  </si>
  <si>
    <t>APK-805</t>
  </si>
  <si>
    <t>Z567347</t>
  </si>
  <si>
    <t>4192766</t>
  </si>
  <si>
    <t>391516</t>
  </si>
  <si>
    <t>73464/1</t>
  </si>
  <si>
    <t>KHI/HO/D/MO/PC COMP/C/94819/2/08/2024</t>
  </si>
  <si>
    <t xml:space="preserve"> Muhammad Uzair
</t>
  </si>
  <si>
    <t>BTC-756</t>
  </si>
  <si>
    <t>154237</t>
  </si>
  <si>
    <t>1054225</t>
  </si>
  <si>
    <t>651500</t>
  </si>
  <si>
    <t>74262/1</t>
  </si>
  <si>
    <t>KHI/HO/D/MO/PC COMP/C/94819/20/08/2024</t>
  </si>
  <si>
    <t xml:space="preserve"> Muhammad Umar 
</t>
  </si>
  <si>
    <t>KIA PICANTO 1.0L A/T</t>
  </si>
  <si>
    <t>AGW-153</t>
  </si>
  <si>
    <t>133122</t>
  </si>
  <si>
    <t>708237</t>
  </si>
  <si>
    <t>642796</t>
  </si>
  <si>
    <t>74609/1</t>
  </si>
  <si>
    <t>KHI/HO/D/MO/PC COMP/C/94819/21/08/2024</t>
  </si>
  <si>
    <t xml:space="preserve"> Abdul Waheed Khan
</t>
  </si>
  <si>
    <t>LE-17-3865</t>
  </si>
  <si>
    <t>632993</t>
  </si>
  <si>
    <t>539858</t>
  </si>
  <si>
    <t>0556</t>
  </si>
  <si>
    <t>148423</t>
  </si>
  <si>
    <t>74113/1</t>
  </si>
  <si>
    <t>KHI/HO/D/MO/PC COMP/C/94819/22/08/2024</t>
  </si>
  <si>
    <t xml:space="preserve"> Majid Mumtaz
</t>
  </si>
  <si>
    <t>LE-18-6183</t>
  </si>
  <si>
    <t>46361</t>
  </si>
  <si>
    <t>10046300</t>
  </si>
  <si>
    <t>654443</t>
  </si>
  <si>
    <t>73745/1</t>
  </si>
  <si>
    <t>KHI/HO/D/MO/PC COMP/C/94819/23/08/2024</t>
  </si>
  <si>
    <t xml:space="preserve"> Mujeebuddin Paracha
</t>
  </si>
  <si>
    <t>HONDA BRV - S</t>
  </si>
  <si>
    <t>BK-3154</t>
  </si>
  <si>
    <t>14808875</t>
  </si>
  <si>
    <t>025520</t>
  </si>
  <si>
    <t>38791</t>
  </si>
  <si>
    <t>74187/1</t>
  </si>
  <si>
    <t>KHI/HO/D/MO/PC COMP/C/94819/24/08/2024</t>
  </si>
  <si>
    <t xml:space="preserve"> Sh. Muhammad Usman Ahmed Qadri
</t>
  </si>
  <si>
    <t>TOYOTA YARIS ATIV X CVT</t>
  </si>
  <si>
    <t>LEB-20-3020</t>
  </si>
  <si>
    <t>2A 01485</t>
  </si>
  <si>
    <t>NSP150R7000321</t>
  </si>
  <si>
    <t>654092</t>
  </si>
  <si>
    <t>74103/1</t>
  </si>
  <si>
    <t>KHI/HO/D/MO/PC COMP/C/94819/25/08/2024</t>
  </si>
  <si>
    <t xml:space="preserve"> Fawad Latif 
</t>
  </si>
  <si>
    <t>SUZUKI ALTO VXL AGS E-2</t>
  </si>
  <si>
    <t>BTA-641</t>
  </si>
  <si>
    <t>6R152835</t>
  </si>
  <si>
    <t>1052873</t>
  </si>
  <si>
    <t>276289</t>
  </si>
  <si>
    <t>74533/1</t>
  </si>
  <si>
    <t>KHI/HO/D/MO/PC COMP/C/94819/26/08/2024</t>
  </si>
  <si>
    <t xml:space="preserve"> Waqas Khlaid
</t>
  </si>
  <si>
    <t>ASG-608</t>
  </si>
  <si>
    <t>G3LALP078058</t>
  </si>
  <si>
    <t>NNATA52AZKP703938</t>
  </si>
  <si>
    <t>655517</t>
  </si>
  <si>
    <t>74526/1</t>
  </si>
  <si>
    <t>KHI/HO/D/MO/PC COMP/C/94819/27/08/2024</t>
  </si>
  <si>
    <t xml:space="preserve"> Muhammad Waseem
</t>
  </si>
  <si>
    <t>SUZUKI WAGON R VXL AGS</t>
  </si>
  <si>
    <t>AMM-389</t>
  </si>
  <si>
    <t>PK 10B241501</t>
  </si>
  <si>
    <t>A1J310PK10141504</t>
  </si>
  <si>
    <t>655295</t>
  </si>
  <si>
    <t>74131/1</t>
  </si>
  <si>
    <t>KHI/HO/D/MO/PC COMP/C/94819/28/08/2024</t>
  </si>
  <si>
    <t xml:space="preserve"> Yasir Sultan
</t>
  </si>
  <si>
    <t>TOYOTA COROLLA ALTIS  1.6</t>
  </si>
  <si>
    <t>ARU-198</t>
  </si>
  <si>
    <t>Q100155</t>
  </si>
  <si>
    <t>6077641</t>
  </si>
  <si>
    <t>420093</t>
  </si>
  <si>
    <t>74477/1</t>
  </si>
  <si>
    <t>KHI/HO/D/MO/PC COMP/C/94819/29/08/2024</t>
  </si>
  <si>
    <t xml:space="preserve"> Muhammad Faheem Akbar
</t>
  </si>
  <si>
    <t>LEH-17-3360</t>
  </si>
  <si>
    <t>135991</t>
  </si>
  <si>
    <t>10036028</t>
  </si>
  <si>
    <t>655341</t>
  </si>
  <si>
    <t>73674/1</t>
  </si>
  <si>
    <t>KHI/HO/D/MO/PC COMP/C/94819/3/08/2024</t>
  </si>
  <si>
    <t xml:space="preserve"> Tasawar Anjum
</t>
  </si>
  <si>
    <t>BQX-656</t>
  </si>
  <si>
    <t>R115983</t>
  </si>
  <si>
    <t>1015952</t>
  </si>
  <si>
    <t>652183</t>
  </si>
  <si>
    <t>73495/1</t>
  </si>
  <si>
    <t>KHI/HO/D/MO/PC COMP/C/94819/30/08/2024</t>
  </si>
  <si>
    <t xml:space="preserve"> Farrukh Jamil
b</t>
  </si>
  <si>
    <t>SUZUKI CULTUS VXL AGS</t>
  </si>
  <si>
    <t>AAF-839</t>
  </si>
  <si>
    <t>161939</t>
  </si>
  <si>
    <t>10061943</t>
  </si>
  <si>
    <t>67607</t>
  </si>
  <si>
    <t>74190/1</t>
  </si>
  <si>
    <t>KHI/HO/D/MO/PC COMP/C/94819/31/08/2024</t>
  </si>
  <si>
    <t xml:space="preserve"> Muhammad Ali Nasir
</t>
  </si>
  <si>
    <t>ARG-523</t>
  </si>
  <si>
    <t>PK10B246097</t>
  </si>
  <si>
    <t>AIJ310PK10146113</t>
  </si>
  <si>
    <t>74623/1</t>
  </si>
  <si>
    <t>KHI/HO/D/MO/PC COMP/C/94819/32/08/2024</t>
  </si>
  <si>
    <t xml:space="preserve"> Waleed Abdullah
</t>
  </si>
  <si>
    <t>SUZUKI VITARA GL</t>
  </si>
  <si>
    <t>BG-7618</t>
  </si>
  <si>
    <t>2101816</t>
  </si>
  <si>
    <t>305959</t>
  </si>
  <si>
    <t>654900</t>
  </si>
  <si>
    <t>74201/1</t>
  </si>
  <si>
    <t>KHI/HO/D/MO/PC COMP/C/94819/33/08/2024</t>
  </si>
  <si>
    <t xml:space="preserve"> Asim Manshad 
</t>
  </si>
  <si>
    <t>SUZUKI ALTO VXR E-2</t>
  </si>
  <si>
    <t>AEG 757</t>
  </si>
  <si>
    <t>6R176940</t>
  </si>
  <si>
    <t>H1076910</t>
  </si>
  <si>
    <t>654040</t>
  </si>
  <si>
    <t>74527/1</t>
  </si>
  <si>
    <t>KHI/HO/D/MO/PC COMP/C/94819/34/08/2024</t>
  </si>
  <si>
    <t xml:space="preserve"> Umar Akram
</t>
  </si>
  <si>
    <t>AEC-747</t>
  </si>
  <si>
    <t>2A31962</t>
  </si>
  <si>
    <t>R9512252</t>
  </si>
  <si>
    <t>654686</t>
  </si>
  <si>
    <t>74443/1</t>
  </si>
  <si>
    <t>KHI/HO/D/MO/PC COMP/C/94819/35/08/2024</t>
  </si>
  <si>
    <t xml:space="preserve"> Amjad Ali </t>
  </si>
  <si>
    <t>HONDA CITY I-VTEC (M/T)</t>
  </si>
  <si>
    <t>LEB-18A-452</t>
  </si>
  <si>
    <t>517394</t>
  </si>
  <si>
    <t>232650</t>
  </si>
  <si>
    <t>655302</t>
  </si>
  <si>
    <t>74725/1</t>
  </si>
  <si>
    <t>KHI/HO/D/MO/PC COMP/C/94819/36/08/2024</t>
  </si>
  <si>
    <t xml:space="preserve"> Rashid Inayat</t>
  </si>
  <si>
    <t>TOYOTA COROLLA GLI A/T 1.</t>
  </si>
  <si>
    <t>AJK-822</t>
  </si>
  <si>
    <t>524980</t>
  </si>
  <si>
    <t>4151171</t>
  </si>
  <si>
    <t>559870</t>
  </si>
  <si>
    <t>74718/2</t>
  </si>
  <si>
    <t>KHI/HO/D/MO/PC COMP/C/94819/37/08/2024</t>
  </si>
  <si>
    <t xml:space="preserve"> Hamza Khalid
</t>
  </si>
  <si>
    <t>LEA-16A-8073</t>
  </si>
  <si>
    <t>R18Z12904744</t>
  </si>
  <si>
    <t>R006505</t>
  </si>
  <si>
    <t>655703</t>
  </si>
  <si>
    <t>74551/1</t>
  </si>
  <si>
    <t>KHI/HO/D/MO/PC COMP/C/94819/38/08/2024</t>
  </si>
  <si>
    <t xml:space="preserve"> Faheel Masood
</t>
  </si>
  <si>
    <t>TOYOTA YARIS ATIV X 1.5 A</t>
  </si>
  <si>
    <t>ACQ-525</t>
  </si>
  <si>
    <t>2A17211</t>
  </si>
  <si>
    <t>9507007</t>
  </si>
  <si>
    <t>543439</t>
  </si>
  <si>
    <t>74648/1</t>
  </si>
  <si>
    <t>KHI/HO/D/MO/PC COMP/C/94819/39/08/2024</t>
  </si>
  <si>
    <t xml:space="preserve"> Kashif Saleem
</t>
  </si>
  <si>
    <t>TOYOTA COROLLA GLI A/T LE</t>
  </si>
  <si>
    <t>LEB-18A-8370</t>
  </si>
  <si>
    <t>Z536700</t>
  </si>
  <si>
    <t>NZE170R4162049</t>
  </si>
  <si>
    <t>596059</t>
  </si>
  <si>
    <t>72992/1</t>
  </si>
  <si>
    <t>KHI/HO/D/MO/PC COMP/C/94819/4/08/2024</t>
  </si>
  <si>
    <t xml:space="preserve"> Muhammad Sarwar
</t>
  </si>
  <si>
    <t>SUZUKI ALTO VXR</t>
  </si>
  <si>
    <t>LE-20-7294</t>
  </si>
  <si>
    <t>6R124318</t>
  </si>
  <si>
    <t>1024299</t>
  </si>
  <si>
    <t>577835</t>
  </si>
  <si>
    <t>74306/1</t>
  </si>
  <si>
    <t>KHI/HO/D/MO/PC COMP/C/94819/40/08/2024</t>
  </si>
  <si>
    <t xml:space="preserve"> Chaudhaey Sajid Hussain
</t>
  </si>
  <si>
    <t>BQU767</t>
  </si>
  <si>
    <t>112559</t>
  </si>
  <si>
    <t>1012611</t>
  </si>
  <si>
    <t>426552</t>
  </si>
  <si>
    <t>73796/1</t>
  </si>
  <si>
    <t>KHI/HO/D/MO/PC COMP/C/94819/41/08/2024</t>
  </si>
  <si>
    <t xml:space="preserve"> Muhammad Majid 
</t>
  </si>
  <si>
    <t>SUZUKI CULTUS VXR EURO-II</t>
  </si>
  <si>
    <t>BJQ-446</t>
  </si>
  <si>
    <t>102685</t>
  </si>
  <si>
    <t>10002670</t>
  </si>
  <si>
    <t>357891</t>
  </si>
  <si>
    <t>74545/1</t>
  </si>
  <si>
    <t>KHI/HO/D/MO/PC COMP/C/94819/42/08/2024</t>
  </si>
  <si>
    <t xml:space="preserve"> Hamza Yaseen</t>
  </si>
  <si>
    <t>LEA-16A-750</t>
  </si>
  <si>
    <t>2904445</t>
  </si>
  <si>
    <t>R006375</t>
  </si>
  <si>
    <t>569033</t>
  </si>
  <si>
    <t>72931/1</t>
  </si>
  <si>
    <t>KHI/HO/D/MO/PC COMP/C/94819/5/08/2024</t>
  </si>
  <si>
    <t xml:space="preserve"> Hassan Khalid</t>
  </si>
  <si>
    <t>L12B51025868</t>
  </si>
  <si>
    <t>NFBGN8625RR042190</t>
  </si>
  <si>
    <t>494564</t>
  </si>
  <si>
    <t>73060/1</t>
  </si>
  <si>
    <t>KHI/HO/D/MO/PC COMP/C/94819/6/08/2024</t>
  </si>
  <si>
    <t xml:space="preserve"> Asad Malik</t>
  </si>
  <si>
    <t>BWR-354</t>
  </si>
  <si>
    <t>R219352</t>
  </si>
  <si>
    <t>H1119343</t>
  </si>
  <si>
    <t>489753</t>
  </si>
  <si>
    <t>73481/1</t>
  </si>
  <si>
    <t>KHI/HO/D/MO/PC COMP/C/94819/7/08/2024</t>
  </si>
  <si>
    <t xml:space="preserve"> Imran Shahid </t>
  </si>
  <si>
    <t>6R317307</t>
  </si>
  <si>
    <t>NF1AET306H1217313</t>
  </si>
  <si>
    <t>651614</t>
  </si>
  <si>
    <t>KHI/HO/D/MO/PC COMP/P/94819/08/2024</t>
  </si>
  <si>
    <t>74445/1</t>
  </si>
  <si>
    <t>KHI/HO/D/MO/PC COMP/C/94819/9/08/2024</t>
  </si>
  <si>
    <t xml:space="preserve"> Nusrat Jahan</t>
  </si>
  <si>
    <t>ATJ-891</t>
  </si>
  <si>
    <t>269666</t>
  </si>
  <si>
    <t>79801056</t>
  </si>
  <si>
    <t>0825</t>
  </si>
  <si>
    <t>653199</t>
  </si>
  <si>
    <t>S.No</t>
  </si>
  <si>
    <t>-08-2024</t>
  </si>
  <si>
    <t>-07-2024</t>
  </si>
  <si>
    <t>-06-2024</t>
  </si>
  <si>
    <t>-04-2024</t>
  </si>
  <si>
    <t>00001</t>
  </si>
  <si>
    <t>00002</t>
  </si>
  <si>
    <t>00003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</si>
  <si>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</si>
  <si>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</si>
  <si>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</si>
  <si>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</si>
  <si>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</si>
  <si>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</si>
  <si>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</si>
  <si>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</si>
  <si>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</si>
  <si>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</si>
  <si>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</si>
  <si>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</si>
  <si>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</si>
  <si>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</si>
  <si>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</si>
  <si>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</si>
  <si>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</si>
  <si>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</si>
  <si>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</si>
  <si>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</si>
  <si>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</si>
  <si>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</si>
  <si>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</si>
  <si>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</si>
  <si>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</si>
  <si>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00004</t>
  </si>
  <si>
    <t>00005</t>
  </si>
  <si>
    <t>00007</t>
  </si>
  <si>
    <t>00008</t>
  </si>
  <si>
    <t>00009</t>
  </si>
  <si>
    <t>00020</t>
  </si>
  <si>
    <t>00036</t>
  </si>
  <si>
    <t>00037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</si>
  <si>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</si>
  <si>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</si>
  <si>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</si>
  <si>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</si>
  <si>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</si>
  <si>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</si>
  <si>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</si>
  <si>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</si>
  <si>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</si>
  <si>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</si>
  <si>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</si>
  <si>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</si>
  <si>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</si>
  <si>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</si>
  <si>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00054</t>
  </si>
  <si>
    <t>00055</t>
  </si>
  <si>
    <t>00056</t>
  </si>
  <si>
    <t>00057</t>
  </si>
  <si>
    <t>00058</t>
  </si>
  <si>
    <t>00059</t>
  </si>
  <si>
    <t>00006</t>
  </si>
  <si>
    <t>00060</t>
  </si>
  <si>
    <t>00061</t>
  </si>
  <si>
    <t>00062</t>
  </si>
  <si>
    <t>00063</t>
  </si>
  <si>
    <t>00156</t>
  </si>
  <si>
    <t>POLICY NO.</t>
  </si>
  <si>
    <t>Assorted_code</t>
  </si>
  <si>
    <t>Premium</t>
  </si>
  <si>
    <t>01Oct240101</t>
  </si>
  <si>
    <t>070000163779</t>
  </si>
  <si>
    <t>070000163781</t>
  </si>
  <si>
    <t>070000163783</t>
  </si>
  <si>
    <t>070000163784</t>
  </si>
  <si>
    <t>070000163785</t>
  </si>
  <si>
    <t>070000163787</t>
  </si>
  <si>
    <t>070000163791</t>
  </si>
  <si>
    <t>070000163800</t>
  </si>
  <si>
    <t>070000163801</t>
  </si>
  <si>
    <t>070000163802</t>
  </si>
  <si>
    <t>070000163803</t>
  </si>
  <si>
    <t>070000163804</t>
  </si>
  <si>
    <t>070000163805</t>
  </si>
  <si>
    <t>070000163806</t>
  </si>
  <si>
    <t>070000163807</t>
  </si>
  <si>
    <t>070000163808</t>
  </si>
  <si>
    <t>070000163809</t>
  </si>
  <si>
    <t>070000163792</t>
  </si>
  <si>
    <t>070000163811</t>
  </si>
  <si>
    <t>070000163813</t>
  </si>
  <si>
    <t>070000163814</t>
  </si>
  <si>
    <t>070000163815</t>
  </si>
  <si>
    <t>070000163816</t>
  </si>
  <si>
    <t>070000163817</t>
  </si>
  <si>
    <t>070000163818</t>
  </si>
  <si>
    <t>070000163820</t>
  </si>
  <si>
    <t>070000163821</t>
  </si>
  <si>
    <t>070000163793</t>
  </si>
  <si>
    <t>070000163823</t>
  </si>
  <si>
    <t>070000163824</t>
  </si>
  <si>
    <t>070000163825</t>
  </si>
  <si>
    <t>070000163826</t>
  </si>
  <si>
    <t>070000163827</t>
  </si>
  <si>
    <t>070000163828</t>
  </si>
  <si>
    <t>070000163794</t>
  </si>
  <si>
    <t>070000163795</t>
  </si>
  <si>
    <t>070000163797</t>
  </si>
  <si>
    <t>070000163798</t>
  </si>
  <si>
    <t>070000163799</t>
  </si>
  <si>
    <t>070000163844</t>
  </si>
  <si>
    <t>070000163857</t>
  </si>
  <si>
    <t>070000163858</t>
  </si>
  <si>
    <t>070000163859</t>
  </si>
  <si>
    <t>070000163861</t>
  </si>
  <si>
    <t>070000163863</t>
  </si>
  <si>
    <t>070000163865</t>
  </si>
  <si>
    <t>070000163866</t>
  </si>
  <si>
    <t>070000163867</t>
  </si>
  <si>
    <t>070000163868</t>
  </si>
  <si>
    <t>070000163845</t>
  </si>
  <si>
    <t>070000163869</t>
  </si>
  <si>
    <t>070000163871</t>
  </si>
  <si>
    <t>070000163872</t>
  </si>
  <si>
    <t>070000163873</t>
  </si>
  <si>
    <t>070000163874</t>
  </si>
  <si>
    <t>070000163875</t>
  </si>
  <si>
    <t>070000163876</t>
  </si>
  <si>
    <t>070000163878</t>
  </si>
  <si>
    <t>070000163879</t>
  </si>
  <si>
    <t>070000163847</t>
  </si>
  <si>
    <t>070000163884</t>
  </si>
  <si>
    <t>070000163885</t>
  </si>
  <si>
    <t>070000163887</t>
  </si>
  <si>
    <t>070000163888</t>
  </si>
  <si>
    <t>070000163889</t>
  </si>
  <si>
    <t>070000163890</t>
  </si>
  <si>
    <t>070000163892</t>
  </si>
  <si>
    <t>070000163848</t>
  </si>
  <si>
    <t>070000163893</t>
  </si>
  <si>
    <t>070000163894</t>
  </si>
  <si>
    <t>070000163895</t>
  </si>
  <si>
    <t>070000163896</t>
  </si>
  <si>
    <t>070000163897</t>
  </si>
  <si>
    <t>070000163898</t>
  </si>
  <si>
    <t>070000163899</t>
  </si>
  <si>
    <t>070000163900</t>
  </si>
  <si>
    <t>070000163901</t>
  </si>
  <si>
    <t>070000163902</t>
  </si>
  <si>
    <t>070000163849</t>
  </si>
  <si>
    <t>070000163903</t>
  </si>
  <si>
    <t>070000163904</t>
  </si>
  <si>
    <t>070000163905</t>
  </si>
  <si>
    <t>070000163907</t>
  </si>
  <si>
    <t>070000163908</t>
  </si>
  <si>
    <t>070000163909</t>
  </si>
  <si>
    <t>070000163910</t>
  </si>
  <si>
    <t>070000163912</t>
  </si>
  <si>
    <t>070000163913</t>
  </si>
  <si>
    <t>070000163850</t>
  </si>
  <si>
    <t>070000163914</t>
  </si>
  <si>
    <t>070000163916</t>
  </si>
  <si>
    <t>070000163919</t>
  </si>
  <si>
    <t>070000163920</t>
  </si>
  <si>
    <t>070000163852</t>
  </si>
  <si>
    <t>070000163853</t>
  </si>
  <si>
    <t>070000163856</t>
  </si>
  <si>
    <t>070000163921</t>
  </si>
  <si>
    <t>070000163931</t>
  </si>
  <si>
    <t>070000163935</t>
  </si>
  <si>
    <t>070000163936</t>
  </si>
  <si>
    <t>070000163940</t>
  </si>
  <si>
    <t>070000163941</t>
  </si>
  <si>
    <t>070000163942</t>
  </si>
  <si>
    <t>070000163946</t>
  </si>
  <si>
    <t>070000163947</t>
  </si>
  <si>
    <t>070000163948</t>
  </si>
  <si>
    <t>070000163949</t>
  </si>
  <si>
    <t>070000163922</t>
  </si>
  <si>
    <t>070000163950</t>
  </si>
  <si>
    <t>070000163951</t>
  </si>
  <si>
    <t>070000163952</t>
  </si>
  <si>
    <t>070000163957</t>
  </si>
  <si>
    <t>070000163961</t>
  </si>
  <si>
    <t>070000163965</t>
  </si>
  <si>
    <t>070000163966</t>
  </si>
  <si>
    <t>070000163967</t>
  </si>
  <si>
    <t>070000163969</t>
  </si>
  <si>
    <t>070000163923</t>
  </si>
  <si>
    <t>070000163970</t>
  </si>
  <si>
    <t>070000163971</t>
  </si>
  <si>
    <t>070000163973</t>
  </si>
  <si>
    <t>070000163975</t>
  </si>
  <si>
    <t>070000163977</t>
  </si>
  <si>
    <t>070000163978</t>
  </si>
  <si>
    <t>070000163980</t>
  </si>
  <si>
    <t>070000163924</t>
  </si>
  <si>
    <t>070000163925</t>
  </si>
  <si>
    <t>070000163926</t>
  </si>
  <si>
    <t>070000163927</t>
  </si>
  <si>
    <t>070000163929</t>
  </si>
  <si>
    <t>070000163930</t>
  </si>
  <si>
    <t>070000163982</t>
  </si>
  <si>
    <t>070000163993</t>
  </si>
  <si>
    <t>070000163995</t>
  </si>
  <si>
    <t>070000163996</t>
  </si>
  <si>
    <t>070000163998</t>
  </si>
  <si>
    <t>070000163999</t>
  </si>
  <si>
    <t>070000164000</t>
  </si>
  <si>
    <t>070000164003</t>
  </si>
  <si>
    <t>070000164004</t>
  </si>
  <si>
    <t>070000164006</t>
  </si>
  <si>
    <t>070000163984</t>
  </si>
  <si>
    <t>070000163985</t>
  </si>
  <si>
    <t>070000163986</t>
  </si>
  <si>
    <t>070000163987</t>
  </si>
  <si>
    <t>070000163988</t>
  </si>
  <si>
    <t>070000163989</t>
  </si>
  <si>
    <t>070000163990</t>
  </si>
  <si>
    <t>070000163991</t>
  </si>
  <si>
    <t>070000164010</t>
  </si>
  <si>
    <t>070000164013</t>
  </si>
  <si>
    <t>070000164017</t>
  </si>
  <si>
    <t>070000164018</t>
  </si>
  <si>
    <t>070000164019</t>
  </si>
  <si>
    <t>070000164026</t>
  </si>
  <si>
    <t>070000164030</t>
  </si>
  <si>
    <t>070000164038</t>
  </si>
  <si>
    <t>070000164864</t>
  </si>
  <si>
    <t>070000162462</t>
  </si>
  <si>
    <t>070000162476</t>
  </si>
  <si>
    <t>070000162490</t>
  </si>
  <si>
    <t>070000161307</t>
  </si>
  <si>
    <t>070000161450</t>
  </si>
  <si>
    <t>070000161314</t>
  </si>
  <si>
    <t>070000156731</t>
  </si>
  <si>
    <t>070000156797</t>
  </si>
  <si>
    <t>040000181577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</si>
</sst>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[$-409]d\-mmm\-yyyy;@"/>
    <numFmt numFmtId="166" formatCode="[$-409]d\-mmm\-yy;@"/>
    <numFmt numFmtId="167" formatCode="_(* #,##0_);_(* \(#,##0\);_(* &quot;-&quot;??_);_(@_)"/>
    <numFmt numFmtId="168" formatCode="_-* #,##0_-;\-* #,##0_-;_-* &quot;-&quot;??_-;_-@_-"/>
    <numFmt numFmtId="169" formatCode="#,##0_);\(#,##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name val="Calibri"/>
      <family val="2"/>
    </font>
    <font>
      <sz val="10"/>
      <color rgb="FF000000"/>
      <name val="Arial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1"/>
      <color indexed="8"/>
      <name val="Aptos Narrow"/>
      <family val="2"/>
      <scheme val="minor"/>
    </font>
    <font>
      <sz val="8"/>
      <color indexed="8"/>
      <name val="Calibri"/>
      <family val="2"/>
    </font>
    <font>
      <sz val="8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0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165" fontId="4" fillId="3" borderId="1" xfId="3" applyNumberFormat="1" applyFont="1" applyFill="1" applyBorder="1" applyAlignment="1">
      <alignment horizontal="center" vertical="center" wrapText="1"/>
    </xf>
    <xf numFmtId="166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165" fontId="4" fillId="2" borderId="1" xfId="3" applyNumberFormat="1" applyFont="1" applyFill="1" applyBorder="1" applyAlignment="1">
      <alignment horizontal="center" vertical="center" wrapText="1"/>
    </xf>
    <xf numFmtId="166" fontId="4" fillId="2" borderId="1" xfId="3" applyNumberFormat="1" applyFont="1" applyFill="1" applyBorder="1" applyAlignment="1">
      <alignment horizontal="center" vertical="center" wrapText="1"/>
    </xf>
    <xf numFmtId="167" fontId="4" fillId="2" borderId="1" xfId="1" applyNumberFormat="1" applyFont="1" applyFill="1" applyBorder="1" applyAlignment="1">
      <alignment horizontal="center" vertical="center" wrapText="1"/>
    </xf>
    <xf numFmtId="9" fontId="4" fillId="2" borderId="1" xfId="4" applyFont="1" applyFill="1" applyBorder="1" applyAlignment="1">
      <alignment horizontal="center" vertical="center" wrapText="1"/>
    </xf>
    <xf numFmtId="167" fontId="4" fillId="2" borderId="1" xfId="3" applyNumberFormat="1" applyFont="1" applyFill="1" applyBorder="1" applyAlignment="1">
      <alignment horizontal="center" vertical="center" wrapText="1"/>
    </xf>
    <xf numFmtId="167" fontId="4" fillId="4" borderId="1" xfId="1" applyNumberFormat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167" fontId="4" fillId="5" borderId="1" xfId="1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 applyAlignment="1">
      <alignment horizontal="center" vertical="center" wrapText="1"/>
    </xf>
    <xf numFmtId="167" fontId="7" fillId="2" borderId="1" xfId="3" applyNumberFormat="1" applyFont="1" applyFill="1" applyBorder="1" applyAlignment="1">
      <alignment horizontal="center" vertical="center" wrapText="1"/>
    </xf>
    <xf numFmtId="166" fontId="7" fillId="2" borderId="1" xfId="2" applyNumberFormat="1" applyFont="1" applyFill="1" applyBorder="1" applyAlignment="1">
      <alignment horizontal="center" vertical="center" wrapText="1"/>
    </xf>
    <xf numFmtId="167" fontId="4" fillId="4" borderId="1" xfId="3" applyNumberFormat="1" applyFont="1" applyFill="1" applyBorder="1" applyAlignment="1">
      <alignment horizontal="center" vertical="center" wrapText="1"/>
    </xf>
    <xf numFmtId="167" fontId="4" fillId="3" borderId="1" xfId="3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7" fontId="9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8" fontId="9" fillId="0" borderId="2" xfId="1" applyNumberFormat="1" applyFont="1" applyBorder="1" applyAlignment="1">
      <alignment horizontal="center" vertical="center"/>
    </xf>
    <xf numFmtId="168" fontId="9" fillId="0" borderId="2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top"/>
    </xf>
    <xf numFmtId="168" fontId="13" fillId="0" borderId="2" xfId="1" applyNumberFormat="1" applyFont="1" applyBorder="1" applyAlignment="1">
      <alignment vertical="top"/>
    </xf>
    <xf numFmtId="168" fontId="13" fillId="0" borderId="2" xfId="0" applyNumberFormat="1" applyFont="1" applyBorder="1" applyAlignment="1">
      <alignment vertical="top"/>
    </xf>
    <xf numFmtId="0" fontId="0" fillId="0" borderId="0" xfId="0" applyAlignment="1">
      <alignment vertical="top"/>
    </xf>
    <xf numFmtId="168" fontId="14" fillId="0" borderId="2" xfId="1" applyNumberFormat="1" applyFont="1" applyBorder="1" applyAlignment="1">
      <alignment vertical="top"/>
    </xf>
    <xf numFmtId="0" fontId="9" fillId="0" borderId="2" xfId="0" applyFont="1" applyBorder="1" applyAlignment="1">
      <alignment horizontal="left" vertical="center"/>
    </xf>
    <xf numFmtId="167" fontId="10" fillId="0" borderId="2" xfId="0" applyNumberFormat="1" applyFont="1" applyBorder="1" applyAlignment="1">
      <alignment horizontal="center" vertical="center"/>
    </xf>
    <xf numFmtId="167" fontId="13" fillId="0" borderId="2" xfId="0" applyNumberFormat="1" applyFont="1" applyBorder="1" applyAlignment="1">
      <alignment vertical="top"/>
    </xf>
    <xf numFmtId="169" fontId="13" fillId="0" borderId="2" xfId="0" applyNumberFormat="1" applyFont="1" applyBorder="1" applyAlignment="1">
      <alignment vertical="top"/>
    </xf>
    <xf numFmtId="168" fontId="2" fillId="4" borderId="2" xfId="1" applyNumberFormat="1" applyFont="1" applyFill="1" applyBorder="1"/>
    <xf numFmtId="168" fontId="8" fillId="4" borderId="2" xfId="1" applyNumberFormat="1" applyFont="1" applyFill="1" applyBorder="1" applyAlignment="1">
      <alignment vertical="top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7" fontId="17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18" fillId="0" borderId="0" xfId="0" applyFont="1"/>
    <xf numFmtId="0" fontId="0" fillId="0" borderId="0" xfId="0" applyBorder="1" applyAlignment="1">
      <alignment vertical="top"/>
    </xf>
    <xf numFmtId="0" fontId="0" fillId="0" borderId="0" xfId="0" applyNumberFormat="1" applyAlignment="1">
      <alignment vertical="top"/>
    </xf>
  </cellXfs>
  <cellStyles count="5">
    <cellStyle name="Comma" xfId="1" builtinId="3"/>
    <cellStyle name="Comma 2" xfId="3" xr:uid="{00000000-0005-0000-0000-000001000000}"/>
    <cellStyle name="Normal" xfId="0" builtinId="0"/>
    <cellStyle name="Normal 2 2 2" xfId="2" xr:uid="{00000000-0005-0000-0000-000003000000}"/>
    <cellStyle name="Percent 2" xfId="4" xr:uid="{00000000-0005-0000-0000-000004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9"/>
  <sheetViews>
    <sheetView topLeftCell="U1" workbookViewId="0">
      <selection activeCell="AG5" sqref="AG1:AG1048576"/>
    </sheetView>
  </sheetViews>
  <sheetFormatPr defaultRowHeight="15" x14ac:dyDescent="0.25"/>
  <cols>
    <col min="1" max="1" width="4" bestFit="1" customWidth="1"/>
    <col min="2" max="2" width="6.85546875" bestFit="1" customWidth="1"/>
    <col min="3" max="3" width="6.7109375" bestFit="1" customWidth="1"/>
    <col min="4" max="4" width="5.5703125" bestFit="1" customWidth="1"/>
    <col min="5" max="5" width="15.140625" bestFit="1" customWidth="1"/>
    <col min="6" max="6" width="33.28515625" bestFit="1" customWidth="1"/>
    <col min="7" max="7" width="9" bestFit="1" customWidth="1"/>
    <col min="8" max="8" width="8.28515625" bestFit="1" customWidth="1"/>
    <col min="9" max="9" width="23.42578125" bestFit="1" customWidth="1"/>
    <col min="10" max="10" width="12.140625" bestFit="1" customWidth="1"/>
    <col min="11" max="11" width="25.7109375" bestFit="1" customWidth="1"/>
    <col min="12" max="12" width="10.28515625" bestFit="1" customWidth="1"/>
    <col min="13" max="13" width="13.140625" bestFit="1" customWidth="1"/>
    <col min="14" max="14" width="15.85546875" bestFit="1" customWidth="1"/>
    <col min="15" max="15" width="6.7109375" bestFit="1" customWidth="1"/>
    <col min="16" max="17" width="5.5703125" bestFit="1" customWidth="1"/>
    <col min="18" max="18" width="6.140625" bestFit="1" customWidth="1"/>
    <col min="19" max="19" width="7.7109375" bestFit="1" customWidth="1"/>
    <col min="20" max="20" width="6.85546875" bestFit="1" customWidth="1"/>
    <col min="21" max="21" width="9.5703125" bestFit="1" customWidth="1"/>
    <col min="22" max="22" width="5.5703125" bestFit="1" customWidth="1"/>
    <col min="23" max="23" width="8.7109375" bestFit="1" customWidth="1"/>
    <col min="24" max="24" width="9.5703125" bestFit="1" customWidth="1"/>
    <col min="26" max="26" width="13.28515625" bestFit="1" customWidth="1"/>
    <col min="27" max="27" width="8.5703125" bestFit="1" customWidth="1"/>
    <col min="28" max="28" width="7.85546875" bestFit="1" customWidth="1"/>
    <col min="29" max="29" width="9.5703125" bestFit="1" customWidth="1"/>
    <col min="30" max="30" width="8.7109375" bestFit="1" customWidth="1"/>
    <col min="31" max="31" width="8.28515625" bestFit="1" customWidth="1"/>
    <col min="32" max="32" width="7.140625" bestFit="1" customWidth="1"/>
    <col min="33" max="33" width="41.5703125" bestFit="1" customWidth="1"/>
    <col min="34" max="34" width="10.5703125" bestFit="1" customWidth="1"/>
    <col min="35" max="35" width="10.7109375" bestFit="1" customWidth="1"/>
  </cols>
  <sheetData>
    <row r="1" spans="1:35" ht="45" x14ac:dyDescent="0.25">
      <c r="A1" s="1" t="s">
        <v>1627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1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</v>
      </c>
      <c r="P1" s="5" t="s">
        <v>13</v>
      </c>
      <c r="Q1" s="5" t="s">
        <v>14</v>
      </c>
      <c r="R1" s="5" t="s">
        <v>15</v>
      </c>
      <c r="S1" s="6" t="s">
        <v>16</v>
      </c>
      <c r="T1" s="6" t="s">
        <v>17</v>
      </c>
      <c r="U1" s="7" t="s">
        <v>18</v>
      </c>
      <c r="V1" s="8" t="s">
        <v>19</v>
      </c>
      <c r="W1" s="9" t="s">
        <v>20</v>
      </c>
      <c r="X1" s="10" t="s">
        <v>21</v>
      </c>
      <c r="Y1" s="11" t="s">
        <v>22</v>
      </c>
      <c r="Z1" s="10" t="s">
        <v>23</v>
      </c>
      <c r="AA1" s="12" t="s">
        <v>24</v>
      </c>
      <c r="AB1" s="13" t="s">
        <v>25</v>
      </c>
      <c r="AC1" s="14" t="s">
        <v>26</v>
      </c>
      <c r="AD1" s="15" t="s">
        <v>27</v>
      </c>
      <c r="AE1" s="16" t="s">
        <v>28</v>
      </c>
      <c r="AF1" s="17" t="s">
        <v>29</v>
      </c>
      <c r="AG1" s="18" t="s">
        <v>30</v>
      </c>
      <c r="AH1" s="18" t="s">
        <v>31</v>
      </c>
      <c r="AI1" s="18" t="s">
        <v>32</v>
      </c>
    </row>
    <row r="2" spans="1:35" x14ac:dyDescent="0.25">
      <c r="A2" s="19">
        <v>1</v>
      </c>
      <c r="B2" s="19" t="s">
        <v>33</v>
      </c>
      <c r="C2" s="19" t="s">
        <v>34</v>
      </c>
      <c r="D2" s="20">
        <v>45505</v>
      </c>
      <c r="E2" s="21" t="s">
        <v>35</v>
      </c>
      <c r="F2" s="19" t="s">
        <v>36</v>
      </c>
      <c r="G2" s="22">
        <v>45509</v>
      </c>
      <c r="H2" s="22">
        <v>45873</v>
      </c>
      <c r="I2" s="23" t="s">
        <v>37</v>
      </c>
      <c r="J2" s="24">
        <v>6110106790143</v>
      </c>
      <c r="K2" s="23" t="s">
        <v>38</v>
      </c>
      <c r="L2" s="19" t="s">
        <v>39</v>
      </c>
      <c r="M2" s="19" t="s">
        <v>40</v>
      </c>
      <c r="N2" s="19" t="s">
        <v>41</v>
      </c>
      <c r="O2" s="19" t="s">
        <v>34</v>
      </c>
      <c r="P2" s="25" t="s">
        <v>42</v>
      </c>
      <c r="Q2" s="19" t="s">
        <v>43</v>
      </c>
      <c r="R2" s="19" t="s">
        <v>44</v>
      </c>
      <c r="S2" s="22">
        <v>44417</v>
      </c>
      <c r="T2" s="22">
        <v>46239</v>
      </c>
      <c r="U2" s="26">
        <v>1034000</v>
      </c>
      <c r="V2" s="19">
        <v>20</v>
      </c>
      <c r="W2" s="27">
        <v>206800</v>
      </c>
      <c r="X2" s="27">
        <v>827200</v>
      </c>
      <c r="Y2" s="28">
        <v>2.5</v>
      </c>
      <c r="Z2" s="27">
        <v>20680</v>
      </c>
      <c r="AA2" s="19"/>
      <c r="AB2" s="25" t="s">
        <v>45</v>
      </c>
      <c r="AC2" s="24">
        <v>1141070718</v>
      </c>
      <c r="AD2" s="29">
        <v>45565</v>
      </c>
      <c r="AE2" s="19" t="s">
        <v>46</v>
      </c>
      <c r="AF2" s="19">
        <v>5</v>
      </c>
      <c r="AG2" s="30" t="s">
        <v>36</v>
      </c>
      <c r="AH2" s="31">
        <v>20680</v>
      </c>
      <c r="AI2" s="32">
        <v>0</v>
      </c>
    </row>
    <row r="3" spans="1:35" x14ac:dyDescent="0.25">
      <c r="A3" s="19">
        <v>2</v>
      </c>
      <c r="B3" s="19" t="s">
        <v>33</v>
      </c>
      <c r="C3" s="19" t="s">
        <v>47</v>
      </c>
      <c r="D3" s="20">
        <v>45505</v>
      </c>
      <c r="E3" s="21" t="s">
        <v>35</v>
      </c>
      <c r="F3" s="19" t="s">
        <v>48</v>
      </c>
      <c r="G3" s="22">
        <v>45521</v>
      </c>
      <c r="H3" s="22">
        <v>45885</v>
      </c>
      <c r="I3" s="23" t="s">
        <v>49</v>
      </c>
      <c r="J3" s="24">
        <v>3450162352385</v>
      </c>
      <c r="K3" s="23" t="s">
        <v>38</v>
      </c>
      <c r="L3" s="19" t="s">
        <v>50</v>
      </c>
      <c r="M3" s="19" t="s">
        <v>51</v>
      </c>
      <c r="N3" s="19" t="s">
        <v>52</v>
      </c>
      <c r="O3" s="19" t="s">
        <v>47</v>
      </c>
      <c r="P3" s="25" t="s">
        <v>42</v>
      </c>
      <c r="Q3" s="19" t="s">
        <v>53</v>
      </c>
      <c r="R3" s="19" t="s">
        <v>54</v>
      </c>
      <c r="S3" s="22">
        <v>44431</v>
      </c>
      <c r="T3" s="22">
        <v>46270</v>
      </c>
      <c r="U3" s="26">
        <v>1020000</v>
      </c>
      <c r="V3" s="19">
        <v>20</v>
      </c>
      <c r="W3" s="27">
        <v>204000</v>
      </c>
      <c r="X3" s="27">
        <v>816000</v>
      </c>
      <c r="Y3" s="28">
        <v>2.5</v>
      </c>
      <c r="Z3" s="27">
        <v>20400</v>
      </c>
      <c r="AA3" s="19"/>
      <c r="AB3" s="25" t="s">
        <v>45</v>
      </c>
      <c r="AC3" s="24">
        <v>1141070718</v>
      </c>
      <c r="AD3" s="29">
        <v>45565</v>
      </c>
      <c r="AE3" s="19" t="s">
        <v>46</v>
      </c>
      <c r="AF3" s="19">
        <v>0</v>
      </c>
      <c r="AG3" s="30" t="s">
        <v>48</v>
      </c>
      <c r="AH3" s="31">
        <v>20400</v>
      </c>
      <c r="AI3" s="32">
        <v>0</v>
      </c>
    </row>
    <row r="4" spans="1:35" x14ac:dyDescent="0.25">
      <c r="A4" s="19">
        <v>3</v>
      </c>
      <c r="B4" s="19" t="s">
        <v>33</v>
      </c>
      <c r="C4" s="19" t="s">
        <v>55</v>
      </c>
      <c r="D4" s="20">
        <v>45505</v>
      </c>
      <c r="E4" s="21" t="s">
        <v>35</v>
      </c>
      <c r="F4" s="19" t="s">
        <v>56</v>
      </c>
      <c r="G4" s="22">
        <v>45535</v>
      </c>
      <c r="H4" s="22">
        <v>45899</v>
      </c>
      <c r="I4" s="23" t="s">
        <v>57</v>
      </c>
      <c r="J4" s="24">
        <v>3330186954145</v>
      </c>
      <c r="K4" s="23" t="s">
        <v>38</v>
      </c>
      <c r="L4" s="19" t="s">
        <v>58</v>
      </c>
      <c r="M4" s="19" t="s">
        <v>59</v>
      </c>
      <c r="N4" s="19" t="s">
        <v>60</v>
      </c>
      <c r="O4" s="19" t="s">
        <v>55</v>
      </c>
      <c r="P4" s="25" t="s">
        <v>61</v>
      </c>
      <c r="Q4" s="19" t="s">
        <v>62</v>
      </c>
      <c r="R4" s="19" t="s">
        <v>63</v>
      </c>
      <c r="S4" s="22">
        <v>44440</v>
      </c>
      <c r="T4" s="22">
        <v>46270</v>
      </c>
      <c r="U4" s="26">
        <v>1020000</v>
      </c>
      <c r="V4" s="19">
        <v>20</v>
      </c>
      <c r="W4" s="27">
        <v>204000</v>
      </c>
      <c r="X4" s="27">
        <v>816000</v>
      </c>
      <c r="Y4" s="28">
        <v>2.5</v>
      </c>
      <c r="Z4" s="27">
        <v>20400</v>
      </c>
      <c r="AA4" s="19"/>
      <c r="AB4" s="25" t="s">
        <v>45</v>
      </c>
      <c r="AC4" s="24">
        <v>1141070718</v>
      </c>
      <c r="AD4" s="29">
        <v>45565</v>
      </c>
      <c r="AE4" s="19" t="s">
        <v>46</v>
      </c>
      <c r="AF4" s="19">
        <v>5</v>
      </c>
      <c r="AG4" s="30" t="s">
        <v>56</v>
      </c>
      <c r="AH4" s="31">
        <v>20400</v>
      </c>
      <c r="AI4" s="32">
        <v>0</v>
      </c>
    </row>
    <row r="5" spans="1:35" x14ac:dyDescent="0.25">
      <c r="A5" s="19">
        <v>4</v>
      </c>
      <c r="B5" s="19" t="s">
        <v>33</v>
      </c>
      <c r="C5" s="19" t="s">
        <v>64</v>
      </c>
      <c r="D5" s="20">
        <v>45505</v>
      </c>
      <c r="E5" s="21" t="s">
        <v>35</v>
      </c>
      <c r="F5" s="19" t="s">
        <v>65</v>
      </c>
      <c r="G5" s="22">
        <v>45515</v>
      </c>
      <c r="H5" s="22">
        <v>45879</v>
      </c>
      <c r="I5" s="23" t="s">
        <v>66</v>
      </c>
      <c r="J5" s="24" t="s">
        <v>67</v>
      </c>
      <c r="K5" s="23" t="s">
        <v>38</v>
      </c>
      <c r="L5" s="19" t="s">
        <v>68</v>
      </c>
      <c r="M5" s="19" t="s">
        <v>69</v>
      </c>
      <c r="N5" s="19" t="s">
        <v>70</v>
      </c>
      <c r="O5" s="19" t="s">
        <v>64</v>
      </c>
      <c r="P5" s="25" t="s">
        <v>42</v>
      </c>
      <c r="Q5" s="19" t="s">
        <v>71</v>
      </c>
      <c r="R5" s="19" t="s">
        <v>72</v>
      </c>
      <c r="S5" s="22">
        <v>44796</v>
      </c>
      <c r="T5" s="22">
        <v>45905</v>
      </c>
      <c r="U5" s="26">
        <v>1424000</v>
      </c>
      <c r="V5" s="19">
        <v>15</v>
      </c>
      <c r="W5" s="27">
        <v>213600</v>
      </c>
      <c r="X5" s="27">
        <v>1210400</v>
      </c>
      <c r="Y5" s="28">
        <v>1.5</v>
      </c>
      <c r="Z5" s="27">
        <v>18156</v>
      </c>
      <c r="AA5" s="19"/>
      <c r="AB5" s="25" t="s">
        <v>45</v>
      </c>
      <c r="AC5" s="24">
        <v>1141070718</v>
      </c>
      <c r="AD5" s="29">
        <v>45565</v>
      </c>
      <c r="AE5" s="19" t="s">
        <v>46</v>
      </c>
      <c r="AF5" s="19">
        <v>0</v>
      </c>
      <c r="AG5" s="30" t="s">
        <v>65</v>
      </c>
      <c r="AH5" s="31">
        <v>18156</v>
      </c>
      <c r="AI5" s="32">
        <v>0</v>
      </c>
    </row>
    <row r="6" spans="1:35" x14ac:dyDescent="0.25">
      <c r="A6" s="19">
        <v>5</v>
      </c>
      <c r="B6" s="19" t="s">
        <v>33</v>
      </c>
      <c r="C6" s="19" t="s">
        <v>73</v>
      </c>
      <c r="D6" s="20">
        <v>45505</v>
      </c>
      <c r="E6" s="21" t="s">
        <v>35</v>
      </c>
      <c r="F6" s="19" t="s">
        <v>74</v>
      </c>
      <c r="G6" s="22">
        <v>45535</v>
      </c>
      <c r="H6" s="22">
        <v>45899</v>
      </c>
      <c r="I6" s="23" t="s">
        <v>75</v>
      </c>
      <c r="J6" s="24">
        <v>3520213335251</v>
      </c>
      <c r="K6" s="23" t="s">
        <v>38</v>
      </c>
      <c r="L6" s="19" t="s">
        <v>76</v>
      </c>
      <c r="M6" s="19" t="s">
        <v>77</v>
      </c>
      <c r="N6" s="19" t="s">
        <v>78</v>
      </c>
      <c r="O6" s="19" t="s">
        <v>73</v>
      </c>
      <c r="P6" s="25" t="s">
        <v>61</v>
      </c>
      <c r="Q6" s="19" t="s">
        <v>79</v>
      </c>
      <c r="R6" s="19" t="s">
        <v>80</v>
      </c>
      <c r="S6" s="22">
        <v>44805</v>
      </c>
      <c r="T6" s="22">
        <v>46636</v>
      </c>
      <c r="U6" s="26">
        <v>1424000</v>
      </c>
      <c r="V6" s="19">
        <v>15</v>
      </c>
      <c r="W6" s="27">
        <v>213600</v>
      </c>
      <c r="X6" s="27">
        <v>1210400</v>
      </c>
      <c r="Y6" s="28">
        <v>2</v>
      </c>
      <c r="Z6" s="27">
        <v>24208</v>
      </c>
      <c r="AA6" s="19"/>
      <c r="AB6" s="25" t="s">
        <v>45</v>
      </c>
      <c r="AC6" s="24">
        <v>1141070718</v>
      </c>
      <c r="AD6" s="29">
        <v>45565</v>
      </c>
      <c r="AE6" s="19" t="s">
        <v>46</v>
      </c>
      <c r="AF6" s="19">
        <v>5</v>
      </c>
      <c r="AG6" s="30" t="s">
        <v>74</v>
      </c>
      <c r="AH6" s="31">
        <v>24208</v>
      </c>
      <c r="AI6" s="32">
        <v>0</v>
      </c>
    </row>
    <row r="7" spans="1:35" x14ac:dyDescent="0.25">
      <c r="A7" s="19">
        <v>6</v>
      </c>
      <c r="B7" s="19" t="s">
        <v>33</v>
      </c>
      <c r="C7" s="19" t="s">
        <v>81</v>
      </c>
      <c r="D7" s="20">
        <v>45505</v>
      </c>
      <c r="E7" s="21" t="s">
        <v>35</v>
      </c>
      <c r="F7" s="19" t="s">
        <v>82</v>
      </c>
      <c r="G7" s="22">
        <v>45517</v>
      </c>
      <c r="H7" s="22">
        <v>45881</v>
      </c>
      <c r="I7" s="23" t="s">
        <v>83</v>
      </c>
      <c r="J7" s="24">
        <v>3460261534917</v>
      </c>
      <c r="K7" s="23" t="s">
        <v>84</v>
      </c>
      <c r="L7" s="19" t="s">
        <v>85</v>
      </c>
      <c r="M7" s="19" t="s">
        <v>86</v>
      </c>
      <c r="N7" s="19" t="s">
        <v>87</v>
      </c>
      <c r="O7" s="19" t="s">
        <v>81</v>
      </c>
      <c r="P7" s="25" t="s">
        <v>61</v>
      </c>
      <c r="Q7" s="19" t="s">
        <v>79</v>
      </c>
      <c r="R7" s="19" t="s">
        <v>88</v>
      </c>
      <c r="S7" s="22">
        <v>45170</v>
      </c>
      <c r="T7" s="22">
        <v>46270</v>
      </c>
      <c r="U7" s="26">
        <v>1856000</v>
      </c>
      <c r="V7" s="19">
        <v>10</v>
      </c>
      <c r="W7" s="27">
        <v>185600</v>
      </c>
      <c r="X7" s="27">
        <v>1670400</v>
      </c>
      <c r="Y7" s="28">
        <v>2</v>
      </c>
      <c r="Z7" s="27">
        <v>33408</v>
      </c>
      <c r="AA7" s="19"/>
      <c r="AB7" s="25" t="s">
        <v>45</v>
      </c>
      <c r="AC7" s="24">
        <v>1141070718</v>
      </c>
      <c r="AD7" s="29">
        <v>45565</v>
      </c>
      <c r="AE7" s="19" t="s">
        <v>46</v>
      </c>
      <c r="AF7" s="19">
        <v>5</v>
      </c>
      <c r="AG7" s="30" t="s">
        <v>82</v>
      </c>
      <c r="AH7" s="31">
        <v>33408</v>
      </c>
      <c r="AI7" s="32">
        <v>0</v>
      </c>
    </row>
    <row r="8" spans="1:35" x14ac:dyDescent="0.25">
      <c r="A8" s="19">
        <v>7</v>
      </c>
      <c r="B8" s="19" t="s">
        <v>33</v>
      </c>
      <c r="C8" s="19" t="s">
        <v>89</v>
      </c>
      <c r="D8" s="20">
        <v>45505</v>
      </c>
      <c r="E8" s="21" t="s">
        <v>35</v>
      </c>
      <c r="F8" s="19" t="s">
        <v>90</v>
      </c>
      <c r="G8" s="22">
        <v>45506</v>
      </c>
      <c r="H8" s="22">
        <v>45870</v>
      </c>
      <c r="I8" s="23" t="s">
        <v>91</v>
      </c>
      <c r="J8" s="24">
        <v>3660186686887</v>
      </c>
      <c r="K8" s="23" t="s">
        <v>92</v>
      </c>
      <c r="L8" s="19" t="s">
        <v>93</v>
      </c>
      <c r="M8" s="19" t="s">
        <v>94</v>
      </c>
      <c r="N8" s="19" t="s">
        <v>95</v>
      </c>
      <c r="O8" s="19" t="s">
        <v>89</v>
      </c>
      <c r="P8" s="25" t="s">
        <v>61</v>
      </c>
      <c r="Q8" s="19" t="s">
        <v>96</v>
      </c>
      <c r="R8" s="19" t="s">
        <v>97</v>
      </c>
      <c r="S8" s="22">
        <v>45148</v>
      </c>
      <c r="T8" s="22">
        <v>46239</v>
      </c>
      <c r="U8" s="26">
        <v>5065500</v>
      </c>
      <c r="V8" s="19">
        <v>10</v>
      </c>
      <c r="W8" s="27">
        <v>506550</v>
      </c>
      <c r="X8" s="27">
        <v>4558950</v>
      </c>
      <c r="Y8" s="28">
        <v>1.5</v>
      </c>
      <c r="Z8" s="27">
        <v>68384.25</v>
      </c>
      <c r="AA8" s="19"/>
      <c r="AB8" s="25" t="s">
        <v>45</v>
      </c>
      <c r="AC8" s="24">
        <v>1141070718</v>
      </c>
      <c r="AD8" s="29">
        <v>45565</v>
      </c>
      <c r="AE8" s="19" t="s">
        <v>46</v>
      </c>
      <c r="AF8" s="19">
        <v>0</v>
      </c>
      <c r="AG8" s="30" t="s">
        <v>90</v>
      </c>
      <c r="AH8" s="31">
        <v>68384</v>
      </c>
      <c r="AI8" s="32">
        <v>0.25</v>
      </c>
    </row>
    <row r="9" spans="1:35" x14ac:dyDescent="0.25">
      <c r="A9" s="19">
        <v>8</v>
      </c>
      <c r="B9" s="19" t="s">
        <v>33</v>
      </c>
      <c r="C9" s="19" t="s">
        <v>98</v>
      </c>
      <c r="D9" s="20">
        <v>45505</v>
      </c>
      <c r="E9" s="21" t="s">
        <v>35</v>
      </c>
      <c r="F9" s="19" t="s">
        <v>99</v>
      </c>
      <c r="G9" s="22">
        <v>45522</v>
      </c>
      <c r="H9" s="22">
        <v>45886</v>
      </c>
      <c r="I9" s="23" t="s">
        <v>100</v>
      </c>
      <c r="J9" s="24">
        <v>3520222791867</v>
      </c>
      <c r="K9" s="23" t="s">
        <v>101</v>
      </c>
      <c r="L9" s="19" t="s">
        <v>102</v>
      </c>
      <c r="M9" s="19" t="s">
        <v>103</v>
      </c>
      <c r="N9" s="19" t="s">
        <v>104</v>
      </c>
      <c r="O9" s="19" t="s">
        <v>98</v>
      </c>
      <c r="P9" s="25" t="s">
        <v>61</v>
      </c>
      <c r="Q9" s="19" t="s">
        <v>105</v>
      </c>
      <c r="R9" s="19" t="s">
        <v>106</v>
      </c>
      <c r="S9" s="22">
        <v>45166</v>
      </c>
      <c r="T9" s="22">
        <v>46270</v>
      </c>
      <c r="U9" s="26">
        <v>2935000</v>
      </c>
      <c r="V9" s="19">
        <v>10</v>
      </c>
      <c r="W9" s="27">
        <v>293500</v>
      </c>
      <c r="X9" s="27">
        <v>2641500</v>
      </c>
      <c r="Y9" s="28">
        <v>2</v>
      </c>
      <c r="Z9" s="27">
        <v>52830</v>
      </c>
      <c r="AA9" s="19"/>
      <c r="AB9" s="25" t="s">
        <v>45</v>
      </c>
      <c r="AC9" s="24">
        <v>1141070718</v>
      </c>
      <c r="AD9" s="29">
        <v>45565</v>
      </c>
      <c r="AE9" s="19" t="s">
        <v>46</v>
      </c>
      <c r="AF9" s="19">
        <v>0</v>
      </c>
      <c r="AG9" s="30" t="s">
        <v>99</v>
      </c>
      <c r="AH9" s="31">
        <v>52830</v>
      </c>
      <c r="AI9" s="32">
        <v>0</v>
      </c>
    </row>
    <row r="10" spans="1:35" x14ac:dyDescent="0.25">
      <c r="A10" s="19">
        <v>9</v>
      </c>
      <c r="B10" s="19" t="s">
        <v>33</v>
      </c>
      <c r="C10" s="19" t="s">
        <v>107</v>
      </c>
      <c r="D10" s="20">
        <v>45505</v>
      </c>
      <c r="E10" s="21" t="s">
        <v>35</v>
      </c>
      <c r="F10" s="19" t="s">
        <v>108</v>
      </c>
      <c r="G10" s="22">
        <v>45522</v>
      </c>
      <c r="H10" s="22">
        <v>45886</v>
      </c>
      <c r="I10" s="23" t="s">
        <v>109</v>
      </c>
      <c r="J10" s="24">
        <v>3520227909251</v>
      </c>
      <c r="K10" s="23" t="s">
        <v>92</v>
      </c>
      <c r="L10" s="19" t="s">
        <v>110</v>
      </c>
      <c r="M10" s="19" t="s">
        <v>111</v>
      </c>
      <c r="N10" s="19" t="s">
        <v>112</v>
      </c>
      <c r="O10" s="19" t="s">
        <v>107</v>
      </c>
      <c r="P10" s="25" t="s">
        <v>61</v>
      </c>
      <c r="Q10" s="19" t="s">
        <v>79</v>
      </c>
      <c r="R10" s="19" t="s">
        <v>113</v>
      </c>
      <c r="S10" s="22">
        <v>45184</v>
      </c>
      <c r="T10" s="22">
        <v>46270</v>
      </c>
      <c r="U10" s="26">
        <v>5076000</v>
      </c>
      <c r="V10" s="19">
        <v>10</v>
      </c>
      <c r="W10" s="27">
        <v>507600</v>
      </c>
      <c r="X10" s="27">
        <v>4568400</v>
      </c>
      <c r="Y10" s="28">
        <v>1.5</v>
      </c>
      <c r="Z10" s="27">
        <v>68526</v>
      </c>
      <c r="AA10" s="19"/>
      <c r="AB10" s="25" t="s">
        <v>45</v>
      </c>
      <c r="AC10" s="24">
        <v>1141070718</v>
      </c>
      <c r="AD10" s="29">
        <v>45565</v>
      </c>
      <c r="AE10" s="19" t="s">
        <v>46</v>
      </c>
      <c r="AF10" s="19">
        <v>67</v>
      </c>
      <c r="AG10" s="30" t="s">
        <v>108</v>
      </c>
      <c r="AH10" s="31">
        <v>68526</v>
      </c>
      <c r="AI10" s="32">
        <v>0</v>
      </c>
    </row>
    <row r="11" spans="1:35" x14ac:dyDescent="0.25">
      <c r="A11" s="19">
        <v>10</v>
      </c>
      <c r="B11" s="19" t="s">
        <v>33</v>
      </c>
      <c r="C11" s="19" t="s">
        <v>114</v>
      </c>
      <c r="D11" s="20">
        <v>45505</v>
      </c>
      <c r="E11" s="21" t="s">
        <v>35</v>
      </c>
      <c r="F11" s="19" t="s">
        <v>115</v>
      </c>
      <c r="G11" s="22">
        <v>45522</v>
      </c>
      <c r="H11" s="22">
        <v>45886</v>
      </c>
      <c r="I11" s="23" t="s">
        <v>116</v>
      </c>
      <c r="J11" s="24">
        <v>3520285069347</v>
      </c>
      <c r="K11" s="23" t="s">
        <v>101</v>
      </c>
      <c r="L11" s="19" t="s">
        <v>117</v>
      </c>
      <c r="M11" s="19" t="s">
        <v>118</v>
      </c>
      <c r="N11" s="19" t="s">
        <v>119</v>
      </c>
      <c r="O11" s="19" t="s">
        <v>114</v>
      </c>
      <c r="P11" s="25" t="s">
        <v>61</v>
      </c>
      <c r="Q11" s="19" t="s">
        <v>79</v>
      </c>
      <c r="R11" s="19" t="s">
        <v>120</v>
      </c>
      <c r="S11" s="22">
        <v>45166</v>
      </c>
      <c r="T11" s="22">
        <v>47001</v>
      </c>
      <c r="U11" s="26">
        <v>2935000</v>
      </c>
      <c r="V11" s="19">
        <v>10</v>
      </c>
      <c r="W11" s="27">
        <v>293500</v>
      </c>
      <c r="X11" s="27">
        <v>2641500</v>
      </c>
      <c r="Y11" s="28">
        <v>2</v>
      </c>
      <c r="Z11" s="27">
        <v>52830</v>
      </c>
      <c r="AA11" s="19"/>
      <c r="AB11" s="25" t="s">
        <v>45</v>
      </c>
      <c r="AC11" s="24">
        <v>1141070718</v>
      </c>
      <c r="AD11" s="29">
        <v>45565</v>
      </c>
      <c r="AE11" s="19" t="s">
        <v>46</v>
      </c>
      <c r="AF11" s="19">
        <v>5</v>
      </c>
      <c r="AG11" s="30" t="s">
        <v>115</v>
      </c>
      <c r="AH11" s="31">
        <v>52830</v>
      </c>
      <c r="AI11" s="32">
        <v>0</v>
      </c>
    </row>
    <row r="12" spans="1:35" x14ac:dyDescent="0.25">
      <c r="A12" s="19">
        <v>11</v>
      </c>
      <c r="B12" s="19" t="s">
        <v>33</v>
      </c>
      <c r="C12" s="19" t="s">
        <v>121</v>
      </c>
      <c r="D12" s="20">
        <v>45505</v>
      </c>
      <c r="E12" s="21" t="s">
        <v>35</v>
      </c>
      <c r="F12" s="19" t="s">
        <v>122</v>
      </c>
      <c r="G12" s="22">
        <v>45527</v>
      </c>
      <c r="H12" s="22">
        <v>45891</v>
      </c>
      <c r="I12" s="23" t="s">
        <v>123</v>
      </c>
      <c r="J12" s="24">
        <v>3110152448787</v>
      </c>
      <c r="K12" s="23" t="s">
        <v>124</v>
      </c>
      <c r="L12" s="19" t="s">
        <v>125</v>
      </c>
      <c r="M12" s="19" t="s">
        <v>126</v>
      </c>
      <c r="N12" s="19" t="s">
        <v>127</v>
      </c>
      <c r="O12" s="19" t="s">
        <v>121</v>
      </c>
      <c r="P12" s="25" t="s">
        <v>61</v>
      </c>
      <c r="Q12" s="19" t="s">
        <v>79</v>
      </c>
      <c r="R12" s="19" t="s">
        <v>128</v>
      </c>
      <c r="S12" s="22">
        <v>45162</v>
      </c>
      <c r="T12" s="22">
        <v>47001</v>
      </c>
      <c r="U12" s="26">
        <v>3000000</v>
      </c>
      <c r="V12" s="19">
        <v>10</v>
      </c>
      <c r="W12" s="27">
        <v>300000</v>
      </c>
      <c r="X12" s="27">
        <v>2700000</v>
      </c>
      <c r="Y12" s="28">
        <v>2</v>
      </c>
      <c r="Z12" s="27">
        <v>54000</v>
      </c>
      <c r="AA12" s="19"/>
      <c r="AB12" s="25" t="s">
        <v>45</v>
      </c>
      <c r="AC12" s="24">
        <v>1141070718</v>
      </c>
      <c r="AD12" s="29">
        <v>45565</v>
      </c>
      <c r="AE12" s="19" t="s">
        <v>46</v>
      </c>
      <c r="AF12" s="19">
        <v>5</v>
      </c>
      <c r="AG12" s="30" t="s">
        <v>122</v>
      </c>
      <c r="AH12" s="31">
        <v>54000</v>
      </c>
      <c r="AI12" s="32">
        <v>0</v>
      </c>
    </row>
    <row r="13" spans="1:35" x14ac:dyDescent="0.25">
      <c r="A13" s="19">
        <v>12</v>
      </c>
      <c r="B13" s="19" t="s">
        <v>33</v>
      </c>
      <c r="C13" s="19" t="s">
        <v>129</v>
      </c>
      <c r="D13" s="20">
        <v>45505</v>
      </c>
      <c r="E13" s="21" t="s">
        <v>35</v>
      </c>
      <c r="F13" s="19" t="s">
        <v>130</v>
      </c>
      <c r="G13" s="22">
        <v>45527</v>
      </c>
      <c r="H13" s="22">
        <v>45891</v>
      </c>
      <c r="I13" s="23" t="s">
        <v>131</v>
      </c>
      <c r="J13" s="24">
        <v>8240173397499</v>
      </c>
      <c r="K13" s="23" t="s">
        <v>132</v>
      </c>
      <c r="L13" s="19" t="s">
        <v>133</v>
      </c>
      <c r="M13" s="19" t="s">
        <v>134</v>
      </c>
      <c r="N13" s="19" t="s">
        <v>135</v>
      </c>
      <c r="O13" s="19" t="s">
        <v>129</v>
      </c>
      <c r="P13" s="25" t="s">
        <v>42</v>
      </c>
      <c r="Q13" s="19" t="s">
        <v>71</v>
      </c>
      <c r="R13" s="19" t="s">
        <v>136</v>
      </c>
      <c r="S13" s="22">
        <v>45163</v>
      </c>
      <c r="T13" s="22">
        <v>47001</v>
      </c>
      <c r="U13" s="26">
        <v>2250000</v>
      </c>
      <c r="V13" s="19">
        <v>10</v>
      </c>
      <c r="W13" s="27">
        <v>225000</v>
      </c>
      <c r="X13" s="27">
        <v>2025000</v>
      </c>
      <c r="Y13" s="28">
        <v>2</v>
      </c>
      <c r="Z13" s="27">
        <v>40500</v>
      </c>
      <c r="AA13" s="19"/>
      <c r="AB13" s="25" t="s">
        <v>45</v>
      </c>
      <c r="AC13" s="24">
        <v>1141070718</v>
      </c>
      <c r="AD13" s="29">
        <v>45565</v>
      </c>
      <c r="AE13" s="19" t="s">
        <v>46</v>
      </c>
      <c r="AF13" s="19">
        <v>5</v>
      </c>
      <c r="AG13" s="30" t="s">
        <v>130</v>
      </c>
      <c r="AH13" s="31">
        <v>40500</v>
      </c>
      <c r="AI13" s="32">
        <v>0</v>
      </c>
    </row>
    <row r="14" spans="1:35" x14ac:dyDescent="0.25">
      <c r="A14" s="19">
        <v>13</v>
      </c>
      <c r="B14" s="19" t="s">
        <v>33</v>
      </c>
      <c r="C14" s="19" t="s">
        <v>137</v>
      </c>
      <c r="D14" s="20">
        <v>45505</v>
      </c>
      <c r="E14" s="21" t="s">
        <v>35</v>
      </c>
      <c r="F14" s="19" t="s">
        <v>138</v>
      </c>
      <c r="G14" s="22">
        <v>45528</v>
      </c>
      <c r="H14" s="22">
        <v>45892</v>
      </c>
      <c r="I14" s="23" t="s">
        <v>139</v>
      </c>
      <c r="J14" s="24">
        <v>3310029176747</v>
      </c>
      <c r="K14" s="23" t="s">
        <v>140</v>
      </c>
      <c r="L14" s="19" t="s">
        <v>141</v>
      </c>
      <c r="M14" s="19" t="s">
        <v>142</v>
      </c>
      <c r="N14" s="19" t="s">
        <v>143</v>
      </c>
      <c r="O14" s="19" t="s">
        <v>137</v>
      </c>
      <c r="P14" s="25" t="s">
        <v>61</v>
      </c>
      <c r="Q14" s="19" t="s">
        <v>144</v>
      </c>
      <c r="R14" s="19" t="s">
        <v>145</v>
      </c>
      <c r="S14" s="22">
        <v>45166</v>
      </c>
      <c r="T14" s="22">
        <v>47001</v>
      </c>
      <c r="U14" s="26">
        <v>2000000</v>
      </c>
      <c r="V14" s="19">
        <v>10</v>
      </c>
      <c r="W14" s="27">
        <v>200000</v>
      </c>
      <c r="X14" s="27">
        <v>1800000</v>
      </c>
      <c r="Y14" s="28">
        <v>2</v>
      </c>
      <c r="Z14" s="27">
        <v>36000</v>
      </c>
      <c r="AA14" s="19"/>
      <c r="AB14" s="25" t="s">
        <v>45</v>
      </c>
      <c r="AC14" s="24">
        <v>1141070718</v>
      </c>
      <c r="AD14" s="29">
        <v>45565</v>
      </c>
      <c r="AE14" s="19" t="s">
        <v>46</v>
      </c>
      <c r="AF14" s="19">
        <v>5</v>
      </c>
      <c r="AG14" s="30" t="s">
        <v>138</v>
      </c>
      <c r="AH14" s="31">
        <v>36000</v>
      </c>
      <c r="AI14" s="32">
        <v>0</v>
      </c>
    </row>
    <row r="15" spans="1:35" x14ac:dyDescent="0.25">
      <c r="A15" s="19">
        <v>14</v>
      </c>
      <c r="B15" s="19" t="s">
        <v>33</v>
      </c>
      <c r="C15" s="19" t="s">
        <v>146</v>
      </c>
      <c r="D15" s="20">
        <v>45505</v>
      </c>
      <c r="E15" s="21" t="s">
        <v>35</v>
      </c>
      <c r="F15" s="19" t="s">
        <v>147</v>
      </c>
      <c r="G15" s="22">
        <v>45529</v>
      </c>
      <c r="H15" s="22">
        <v>45893</v>
      </c>
      <c r="I15" s="23" t="s">
        <v>148</v>
      </c>
      <c r="J15" s="24">
        <v>3310018489503</v>
      </c>
      <c r="K15" s="23" t="s">
        <v>101</v>
      </c>
      <c r="L15" s="19" t="s">
        <v>149</v>
      </c>
      <c r="M15" s="19" t="s">
        <v>150</v>
      </c>
      <c r="N15" s="19" t="s">
        <v>151</v>
      </c>
      <c r="O15" s="19" t="s">
        <v>146</v>
      </c>
      <c r="P15" s="25" t="s">
        <v>61</v>
      </c>
      <c r="Q15" s="19" t="s">
        <v>144</v>
      </c>
      <c r="R15" s="19" t="s">
        <v>152</v>
      </c>
      <c r="S15" s="22">
        <v>45166</v>
      </c>
      <c r="T15" s="22">
        <v>47001</v>
      </c>
      <c r="U15" s="26">
        <v>2450000</v>
      </c>
      <c r="V15" s="19">
        <v>10</v>
      </c>
      <c r="W15" s="27">
        <v>245000</v>
      </c>
      <c r="X15" s="27">
        <v>2205000</v>
      </c>
      <c r="Y15" s="28">
        <v>2</v>
      </c>
      <c r="Z15" s="27">
        <v>44100</v>
      </c>
      <c r="AA15" s="19"/>
      <c r="AB15" s="25" t="s">
        <v>45</v>
      </c>
      <c r="AC15" s="24">
        <v>1141070718</v>
      </c>
      <c r="AD15" s="29">
        <v>45565</v>
      </c>
      <c r="AE15" s="19" t="s">
        <v>46</v>
      </c>
      <c r="AF15" s="19">
        <v>5</v>
      </c>
      <c r="AG15" s="30" t="s">
        <v>147</v>
      </c>
      <c r="AH15" s="31">
        <v>44100</v>
      </c>
      <c r="AI15" s="32">
        <v>0</v>
      </c>
    </row>
    <row r="16" spans="1:35" x14ac:dyDescent="0.25">
      <c r="A16" s="19">
        <v>15</v>
      </c>
      <c r="B16" s="19" t="s">
        <v>33</v>
      </c>
      <c r="C16" s="19" t="s">
        <v>153</v>
      </c>
      <c r="D16" s="20">
        <v>45505</v>
      </c>
      <c r="E16" s="21" t="s">
        <v>35</v>
      </c>
      <c r="F16" s="19" t="s">
        <v>154</v>
      </c>
      <c r="G16" s="22">
        <v>45532</v>
      </c>
      <c r="H16" s="22">
        <v>45896</v>
      </c>
      <c r="I16" s="23" t="s">
        <v>155</v>
      </c>
      <c r="J16" s="24">
        <v>3520154435097</v>
      </c>
      <c r="K16" s="23" t="s">
        <v>140</v>
      </c>
      <c r="L16" s="19" t="s">
        <v>156</v>
      </c>
      <c r="M16" s="19" t="s">
        <v>157</v>
      </c>
      <c r="N16" s="19" t="s">
        <v>158</v>
      </c>
      <c r="O16" s="19" t="s">
        <v>153</v>
      </c>
      <c r="P16" s="25" t="s">
        <v>61</v>
      </c>
      <c r="Q16" s="19" t="s">
        <v>159</v>
      </c>
      <c r="R16" s="19" t="s">
        <v>160</v>
      </c>
      <c r="S16" s="22">
        <v>45168</v>
      </c>
      <c r="T16" s="22">
        <v>47001</v>
      </c>
      <c r="U16" s="26">
        <v>2000000</v>
      </c>
      <c r="V16" s="19">
        <v>10</v>
      </c>
      <c r="W16" s="27">
        <v>200000</v>
      </c>
      <c r="X16" s="27">
        <v>1800000</v>
      </c>
      <c r="Y16" s="28">
        <v>2</v>
      </c>
      <c r="Z16" s="27">
        <v>36000</v>
      </c>
      <c r="AA16" s="19"/>
      <c r="AB16" s="25" t="s">
        <v>45</v>
      </c>
      <c r="AC16" s="24">
        <v>1141070718</v>
      </c>
      <c r="AD16" s="29">
        <v>45565</v>
      </c>
      <c r="AE16" s="19" t="s">
        <v>46</v>
      </c>
      <c r="AF16" s="19">
        <v>0</v>
      </c>
      <c r="AG16" s="30" t="s">
        <v>154</v>
      </c>
      <c r="AH16" s="31">
        <v>36000</v>
      </c>
      <c r="AI16" s="32">
        <v>0</v>
      </c>
    </row>
    <row r="17" spans="1:35" x14ac:dyDescent="0.25">
      <c r="A17" s="19">
        <v>16</v>
      </c>
      <c r="B17" s="19" t="s">
        <v>33</v>
      </c>
      <c r="C17" s="19" t="s">
        <v>161</v>
      </c>
      <c r="D17" s="20">
        <v>45505</v>
      </c>
      <c r="E17" s="21" t="s">
        <v>35</v>
      </c>
      <c r="F17" s="19" t="s">
        <v>162</v>
      </c>
      <c r="G17" s="22">
        <v>45532</v>
      </c>
      <c r="H17" s="22">
        <v>45896</v>
      </c>
      <c r="I17" s="23" t="s">
        <v>163</v>
      </c>
      <c r="J17" s="24">
        <v>4210174968961</v>
      </c>
      <c r="K17" s="23" t="s">
        <v>124</v>
      </c>
      <c r="L17" s="19" t="s">
        <v>164</v>
      </c>
      <c r="M17" s="19" t="s">
        <v>165</v>
      </c>
      <c r="N17" s="19" t="s">
        <v>166</v>
      </c>
      <c r="O17" s="19" t="s">
        <v>161</v>
      </c>
      <c r="P17" s="25" t="s">
        <v>167</v>
      </c>
      <c r="Q17" s="19" t="s">
        <v>168</v>
      </c>
      <c r="R17" s="19" t="s">
        <v>169</v>
      </c>
      <c r="S17" s="22">
        <v>45168</v>
      </c>
      <c r="T17" s="22">
        <v>47001</v>
      </c>
      <c r="U17" s="26">
        <v>2625000</v>
      </c>
      <c r="V17" s="19">
        <v>10</v>
      </c>
      <c r="W17" s="27">
        <v>262500</v>
      </c>
      <c r="X17" s="27">
        <v>2362500</v>
      </c>
      <c r="Y17" s="28">
        <v>2</v>
      </c>
      <c r="Z17" s="27">
        <v>47250</v>
      </c>
      <c r="AA17" s="19"/>
      <c r="AB17" s="25" t="s">
        <v>45</v>
      </c>
      <c r="AC17" s="24">
        <v>1141070718</v>
      </c>
      <c r="AD17" s="29">
        <v>45565</v>
      </c>
      <c r="AE17" s="19" t="s">
        <v>46</v>
      </c>
      <c r="AF17" s="19">
        <v>0</v>
      </c>
      <c r="AG17" s="30" t="s">
        <v>162</v>
      </c>
      <c r="AH17" s="31">
        <v>47250</v>
      </c>
      <c r="AI17" s="32">
        <v>0</v>
      </c>
    </row>
    <row r="18" spans="1:35" x14ac:dyDescent="0.25">
      <c r="A18" s="19">
        <v>17</v>
      </c>
      <c r="B18" s="19" t="s">
        <v>33</v>
      </c>
      <c r="C18" s="19" t="s">
        <v>170</v>
      </c>
      <c r="D18" s="20">
        <v>45505</v>
      </c>
      <c r="E18" s="21" t="s">
        <v>35</v>
      </c>
      <c r="F18" s="19" t="s">
        <v>171</v>
      </c>
      <c r="G18" s="22">
        <v>45532</v>
      </c>
      <c r="H18" s="22">
        <v>45896</v>
      </c>
      <c r="I18" s="23" t="s">
        <v>172</v>
      </c>
      <c r="J18" s="24">
        <v>8220309856079</v>
      </c>
      <c r="K18" s="23" t="s">
        <v>173</v>
      </c>
      <c r="L18" s="19" t="s">
        <v>174</v>
      </c>
      <c r="M18" s="19" t="s">
        <v>175</v>
      </c>
      <c r="N18" s="19" t="s">
        <v>176</v>
      </c>
      <c r="O18" s="19" t="s">
        <v>170</v>
      </c>
      <c r="P18" s="25" t="s">
        <v>42</v>
      </c>
      <c r="Q18" s="19" t="s">
        <v>177</v>
      </c>
      <c r="R18" s="19" t="s">
        <v>178</v>
      </c>
      <c r="S18" s="22">
        <v>45168</v>
      </c>
      <c r="T18" s="22">
        <v>47001</v>
      </c>
      <c r="U18" s="26">
        <v>4084000</v>
      </c>
      <c r="V18" s="19">
        <v>10</v>
      </c>
      <c r="W18" s="27">
        <v>408400</v>
      </c>
      <c r="X18" s="27">
        <v>3675600</v>
      </c>
      <c r="Y18" s="28">
        <v>1.5</v>
      </c>
      <c r="Z18" s="27">
        <v>55134</v>
      </c>
      <c r="AA18" s="19"/>
      <c r="AB18" s="25" t="s">
        <v>45</v>
      </c>
      <c r="AC18" s="24">
        <v>1141070718</v>
      </c>
      <c r="AD18" s="29">
        <v>45565</v>
      </c>
      <c r="AE18" s="19" t="s">
        <v>46</v>
      </c>
      <c r="AF18" s="19">
        <v>36</v>
      </c>
      <c r="AG18" s="30" t="s">
        <v>171</v>
      </c>
      <c r="AH18" s="31">
        <v>55134</v>
      </c>
      <c r="AI18" s="32">
        <v>0</v>
      </c>
    </row>
    <row r="19" spans="1:35" x14ac:dyDescent="0.25">
      <c r="A19" s="19">
        <v>18</v>
      </c>
      <c r="B19" s="19" t="s">
        <v>33</v>
      </c>
      <c r="C19" s="19" t="s">
        <v>179</v>
      </c>
      <c r="D19" s="20">
        <v>45505</v>
      </c>
      <c r="E19" s="21" t="s">
        <v>35</v>
      </c>
      <c r="F19" s="19" t="s">
        <v>180</v>
      </c>
      <c r="G19" s="22">
        <v>45506</v>
      </c>
      <c r="H19" s="22">
        <v>45870</v>
      </c>
      <c r="I19" s="23" t="s">
        <v>181</v>
      </c>
      <c r="J19" s="24">
        <v>3520231745087</v>
      </c>
      <c r="K19" s="23" t="s">
        <v>182</v>
      </c>
      <c r="L19" s="19" t="s">
        <v>183</v>
      </c>
      <c r="M19" s="19" t="s">
        <v>184</v>
      </c>
      <c r="N19" s="19" t="s">
        <v>185</v>
      </c>
      <c r="O19" s="19" t="s">
        <v>179</v>
      </c>
      <c r="P19" s="25" t="s">
        <v>61</v>
      </c>
      <c r="Q19" s="19" t="s">
        <v>79</v>
      </c>
      <c r="R19" s="19" t="s">
        <v>186</v>
      </c>
      <c r="S19" s="22">
        <v>45141</v>
      </c>
      <c r="T19" s="22">
        <v>46239</v>
      </c>
      <c r="U19" s="26">
        <v>4300000</v>
      </c>
      <c r="V19" s="19">
        <v>10</v>
      </c>
      <c r="W19" s="27">
        <v>430000</v>
      </c>
      <c r="X19" s="27">
        <v>3870000</v>
      </c>
      <c r="Y19" s="28">
        <v>1.5</v>
      </c>
      <c r="Z19" s="27">
        <v>58050</v>
      </c>
      <c r="AA19" s="19"/>
      <c r="AB19" s="25" t="s">
        <v>45</v>
      </c>
      <c r="AC19" s="24">
        <v>1141070718</v>
      </c>
      <c r="AD19" s="29">
        <v>45565</v>
      </c>
      <c r="AE19" s="19" t="s">
        <v>46</v>
      </c>
      <c r="AF19" s="19">
        <v>0</v>
      </c>
      <c r="AG19" s="30" t="s">
        <v>180</v>
      </c>
      <c r="AH19" s="31">
        <v>58050</v>
      </c>
      <c r="AI19" s="32">
        <v>0</v>
      </c>
    </row>
    <row r="20" spans="1:35" x14ac:dyDescent="0.25">
      <c r="A20" s="19">
        <v>19</v>
      </c>
      <c r="B20" s="19" t="s">
        <v>33</v>
      </c>
      <c r="C20" s="19" t="s">
        <v>187</v>
      </c>
      <c r="D20" s="20">
        <v>45505</v>
      </c>
      <c r="E20" s="21" t="s">
        <v>35</v>
      </c>
      <c r="F20" s="19" t="s">
        <v>188</v>
      </c>
      <c r="G20" s="22">
        <v>45533</v>
      </c>
      <c r="H20" s="22">
        <v>45897</v>
      </c>
      <c r="I20" s="23" t="s">
        <v>189</v>
      </c>
      <c r="J20" s="24">
        <v>3520251498797</v>
      </c>
      <c r="K20" s="23" t="s">
        <v>190</v>
      </c>
      <c r="L20" s="19" t="s">
        <v>191</v>
      </c>
      <c r="M20" s="19" t="s">
        <v>192</v>
      </c>
      <c r="N20" s="19" t="s">
        <v>193</v>
      </c>
      <c r="O20" s="19" t="s">
        <v>187</v>
      </c>
      <c r="P20" s="25" t="s">
        <v>61</v>
      </c>
      <c r="Q20" s="19" t="s">
        <v>79</v>
      </c>
      <c r="R20" s="19" t="s">
        <v>194</v>
      </c>
      <c r="S20" s="22">
        <v>45169</v>
      </c>
      <c r="T20" s="22">
        <v>46270</v>
      </c>
      <c r="U20" s="26">
        <v>3000000</v>
      </c>
      <c r="V20" s="19">
        <v>10</v>
      </c>
      <c r="W20" s="27">
        <v>300000</v>
      </c>
      <c r="X20" s="27">
        <v>2700000</v>
      </c>
      <c r="Y20" s="28">
        <v>2</v>
      </c>
      <c r="Z20" s="27">
        <v>54000</v>
      </c>
      <c r="AA20" s="19"/>
      <c r="AB20" s="25" t="s">
        <v>45</v>
      </c>
      <c r="AC20" s="24">
        <v>1141070718</v>
      </c>
      <c r="AD20" s="29">
        <v>45565</v>
      </c>
      <c r="AE20" s="19" t="s">
        <v>46</v>
      </c>
      <c r="AF20" s="19">
        <v>5</v>
      </c>
      <c r="AG20" s="30" t="s">
        <v>188</v>
      </c>
      <c r="AH20" s="31">
        <v>54000</v>
      </c>
      <c r="AI20" s="32">
        <v>0</v>
      </c>
    </row>
    <row r="21" spans="1:35" x14ac:dyDescent="0.25">
      <c r="A21" s="19">
        <v>20</v>
      </c>
      <c r="B21" s="19" t="s">
        <v>33</v>
      </c>
      <c r="C21" s="19" t="s">
        <v>195</v>
      </c>
      <c r="D21" s="20">
        <v>45505</v>
      </c>
      <c r="E21" s="21" t="s">
        <v>35</v>
      </c>
      <c r="F21" s="19" t="s">
        <v>196</v>
      </c>
      <c r="G21" s="22">
        <v>45534</v>
      </c>
      <c r="H21" s="22">
        <v>45898</v>
      </c>
      <c r="I21" s="23" t="s">
        <v>197</v>
      </c>
      <c r="J21" s="24">
        <v>4210123281503</v>
      </c>
      <c r="K21" s="23" t="s">
        <v>198</v>
      </c>
      <c r="L21" s="19" t="s">
        <v>199</v>
      </c>
      <c r="M21" s="19" t="s">
        <v>200</v>
      </c>
      <c r="N21" s="19" t="s">
        <v>201</v>
      </c>
      <c r="O21" s="19" t="s">
        <v>195</v>
      </c>
      <c r="P21" s="25" t="s">
        <v>167</v>
      </c>
      <c r="Q21" s="19" t="s">
        <v>168</v>
      </c>
      <c r="R21" s="19" t="s">
        <v>202</v>
      </c>
      <c r="S21" s="22">
        <v>45169</v>
      </c>
      <c r="T21" s="22">
        <v>47001</v>
      </c>
      <c r="U21" s="26">
        <v>2200000</v>
      </c>
      <c r="V21" s="19">
        <v>10</v>
      </c>
      <c r="W21" s="27">
        <v>220000</v>
      </c>
      <c r="X21" s="27">
        <v>1980000</v>
      </c>
      <c r="Y21" s="28">
        <v>2</v>
      </c>
      <c r="Z21" s="27">
        <v>39600</v>
      </c>
      <c r="AA21" s="19"/>
      <c r="AB21" s="25" t="s">
        <v>45</v>
      </c>
      <c r="AC21" s="24">
        <v>1141070718</v>
      </c>
      <c r="AD21" s="29">
        <v>45565</v>
      </c>
      <c r="AE21" s="19" t="s">
        <v>46</v>
      </c>
      <c r="AF21" s="19">
        <v>5</v>
      </c>
      <c r="AG21" s="30" t="s">
        <v>196</v>
      </c>
      <c r="AH21" s="31">
        <v>39600</v>
      </c>
      <c r="AI21" s="32">
        <v>0</v>
      </c>
    </row>
    <row r="22" spans="1:35" x14ac:dyDescent="0.25">
      <c r="A22" s="19">
        <v>21</v>
      </c>
      <c r="B22" s="19" t="s">
        <v>33</v>
      </c>
      <c r="C22" s="19" t="s">
        <v>203</v>
      </c>
      <c r="D22" s="20">
        <v>45505</v>
      </c>
      <c r="E22" s="21" t="s">
        <v>35</v>
      </c>
      <c r="F22" s="19" t="s">
        <v>204</v>
      </c>
      <c r="G22" s="22">
        <v>45534</v>
      </c>
      <c r="H22" s="22">
        <v>45898</v>
      </c>
      <c r="I22" s="23" t="s">
        <v>205</v>
      </c>
      <c r="J22" s="24">
        <v>3520104102069</v>
      </c>
      <c r="K22" s="23" t="s">
        <v>206</v>
      </c>
      <c r="L22" s="19" t="s">
        <v>207</v>
      </c>
      <c r="M22" s="19" t="s">
        <v>208</v>
      </c>
      <c r="N22" s="19" t="s">
        <v>209</v>
      </c>
      <c r="O22" s="19" t="s">
        <v>203</v>
      </c>
      <c r="P22" s="25" t="s">
        <v>61</v>
      </c>
      <c r="Q22" s="19" t="s">
        <v>79</v>
      </c>
      <c r="R22" s="19" t="s">
        <v>210</v>
      </c>
      <c r="S22" s="22">
        <v>45169</v>
      </c>
      <c r="T22" s="22">
        <v>47001</v>
      </c>
      <c r="U22" s="26">
        <v>1095000</v>
      </c>
      <c r="V22" s="19">
        <v>10</v>
      </c>
      <c r="W22" s="27">
        <v>109500</v>
      </c>
      <c r="X22" s="27">
        <v>985500</v>
      </c>
      <c r="Y22" s="28">
        <v>2</v>
      </c>
      <c r="Z22" s="27">
        <v>19710</v>
      </c>
      <c r="AA22" s="19"/>
      <c r="AB22" s="25" t="s">
        <v>45</v>
      </c>
      <c r="AC22" s="24">
        <v>1141070718</v>
      </c>
      <c r="AD22" s="29">
        <v>45565</v>
      </c>
      <c r="AE22" s="19" t="s">
        <v>46</v>
      </c>
      <c r="AF22" s="19">
        <v>0</v>
      </c>
      <c r="AG22" s="30" t="s">
        <v>204</v>
      </c>
      <c r="AH22" s="31">
        <v>19710</v>
      </c>
      <c r="AI22" s="32">
        <v>0</v>
      </c>
    </row>
    <row r="23" spans="1:35" x14ac:dyDescent="0.25">
      <c r="A23" s="19">
        <v>22</v>
      </c>
      <c r="B23" s="19" t="s">
        <v>33</v>
      </c>
      <c r="C23" s="19" t="s">
        <v>211</v>
      </c>
      <c r="D23" s="20">
        <v>45505</v>
      </c>
      <c r="E23" s="21" t="s">
        <v>35</v>
      </c>
      <c r="F23" s="19" t="s">
        <v>212</v>
      </c>
      <c r="G23" s="22">
        <v>45534</v>
      </c>
      <c r="H23" s="22">
        <v>45898</v>
      </c>
      <c r="I23" s="23" t="s">
        <v>213</v>
      </c>
      <c r="J23" s="24">
        <v>3520271184033</v>
      </c>
      <c r="K23" s="23" t="s">
        <v>214</v>
      </c>
      <c r="L23" s="19" t="s">
        <v>215</v>
      </c>
      <c r="M23" s="19" t="s">
        <v>216</v>
      </c>
      <c r="N23" s="19" t="s">
        <v>217</v>
      </c>
      <c r="O23" s="19" t="s">
        <v>211</v>
      </c>
      <c r="P23" s="25" t="s">
        <v>61</v>
      </c>
      <c r="Q23" s="19" t="s">
        <v>79</v>
      </c>
      <c r="R23" s="19" t="s">
        <v>218</v>
      </c>
      <c r="S23" s="22">
        <v>45175</v>
      </c>
      <c r="T23" s="22">
        <v>47001</v>
      </c>
      <c r="U23" s="26">
        <v>2285000</v>
      </c>
      <c r="V23" s="19">
        <v>10</v>
      </c>
      <c r="W23" s="27">
        <v>228500</v>
      </c>
      <c r="X23" s="27">
        <v>2056500</v>
      </c>
      <c r="Y23" s="28">
        <v>2</v>
      </c>
      <c r="Z23" s="27">
        <v>41130</v>
      </c>
      <c r="AA23" s="19"/>
      <c r="AB23" s="25" t="s">
        <v>45</v>
      </c>
      <c r="AC23" s="24">
        <v>1141070718</v>
      </c>
      <c r="AD23" s="29">
        <v>45565</v>
      </c>
      <c r="AE23" s="19" t="s">
        <v>46</v>
      </c>
      <c r="AF23" s="19">
        <v>5</v>
      </c>
      <c r="AG23" s="30" t="s">
        <v>212</v>
      </c>
      <c r="AH23" s="31">
        <v>41130</v>
      </c>
      <c r="AI23" s="32">
        <v>0</v>
      </c>
    </row>
    <row r="24" spans="1:35" x14ac:dyDescent="0.25">
      <c r="A24" s="19">
        <v>23</v>
      </c>
      <c r="B24" s="19" t="s">
        <v>33</v>
      </c>
      <c r="C24" s="19" t="s">
        <v>219</v>
      </c>
      <c r="D24" s="20">
        <v>45505</v>
      </c>
      <c r="E24" s="21" t="s">
        <v>35</v>
      </c>
      <c r="F24" s="19" t="s">
        <v>220</v>
      </c>
      <c r="G24" s="22">
        <v>45535</v>
      </c>
      <c r="H24" s="22">
        <v>45899</v>
      </c>
      <c r="I24" s="23" t="s">
        <v>221</v>
      </c>
      <c r="J24" s="24">
        <v>3520106935043</v>
      </c>
      <c r="K24" s="23" t="s">
        <v>222</v>
      </c>
      <c r="L24" s="19" t="s">
        <v>223</v>
      </c>
      <c r="M24" s="19" t="s">
        <v>224</v>
      </c>
      <c r="N24" s="19" t="s">
        <v>225</v>
      </c>
      <c r="O24" s="19" t="s">
        <v>219</v>
      </c>
      <c r="P24" s="25" t="s">
        <v>61</v>
      </c>
      <c r="Q24" s="19" t="s">
        <v>79</v>
      </c>
      <c r="R24" s="19" t="s">
        <v>226</v>
      </c>
      <c r="S24" s="22">
        <v>45170</v>
      </c>
      <c r="T24" s="22">
        <v>46270</v>
      </c>
      <c r="U24" s="26">
        <v>3100000</v>
      </c>
      <c r="V24" s="19">
        <v>10</v>
      </c>
      <c r="W24" s="27">
        <v>310000</v>
      </c>
      <c r="X24" s="27">
        <v>2790000</v>
      </c>
      <c r="Y24" s="28">
        <v>2</v>
      </c>
      <c r="Z24" s="27">
        <v>55800</v>
      </c>
      <c r="AA24" s="19"/>
      <c r="AB24" s="25" t="s">
        <v>45</v>
      </c>
      <c r="AC24" s="24">
        <v>1141070718</v>
      </c>
      <c r="AD24" s="29">
        <v>45565</v>
      </c>
      <c r="AE24" s="19" t="s">
        <v>46</v>
      </c>
      <c r="AF24" s="19">
        <v>5</v>
      </c>
      <c r="AG24" s="30" t="s">
        <v>220</v>
      </c>
      <c r="AH24" s="31">
        <v>55800</v>
      </c>
      <c r="AI24" s="32">
        <v>0</v>
      </c>
    </row>
    <row r="25" spans="1:35" x14ac:dyDescent="0.25">
      <c r="A25" s="19">
        <v>24</v>
      </c>
      <c r="B25" s="19" t="s">
        <v>33</v>
      </c>
      <c r="C25" s="19" t="s">
        <v>227</v>
      </c>
      <c r="D25" s="20">
        <v>45505</v>
      </c>
      <c r="E25" s="21" t="s">
        <v>35</v>
      </c>
      <c r="F25" s="19" t="s">
        <v>228</v>
      </c>
      <c r="G25" s="22">
        <v>45535</v>
      </c>
      <c r="H25" s="22">
        <v>45899</v>
      </c>
      <c r="I25" s="23" t="s">
        <v>229</v>
      </c>
      <c r="J25" s="24">
        <v>3740581327095</v>
      </c>
      <c r="K25" s="23" t="s">
        <v>206</v>
      </c>
      <c r="L25" s="19" t="s">
        <v>230</v>
      </c>
      <c r="M25" s="19" t="s">
        <v>231</v>
      </c>
      <c r="N25" s="19" t="s">
        <v>232</v>
      </c>
      <c r="O25" s="19" t="s">
        <v>227</v>
      </c>
      <c r="P25" s="25" t="s">
        <v>42</v>
      </c>
      <c r="Q25" s="19" t="s">
        <v>71</v>
      </c>
      <c r="R25" s="19" t="s">
        <v>233</v>
      </c>
      <c r="S25" s="22">
        <v>45169</v>
      </c>
      <c r="T25" s="22">
        <v>47001</v>
      </c>
      <c r="U25" s="26">
        <v>1300000</v>
      </c>
      <c r="V25" s="19">
        <v>10</v>
      </c>
      <c r="W25" s="27">
        <v>130000</v>
      </c>
      <c r="X25" s="27">
        <v>1170000</v>
      </c>
      <c r="Y25" s="28">
        <v>2</v>
      </c>
      <c r="Z25" s="27">
        <v>23400</v>
      </c>
      <c r="AA25" s="19"/>
      <c r="AB25" s="25" t="s">
        <v>45</v>
      </c>
      <c r="AC25" s="24">
        <v>1141070718</v>
      </c>
      <c r="AD25" s="29">
        <v>45565</v>
      </c>
      <c r="AE25" s="19" t="s">
        <v>46</v>
      </c>
      <c r="AF25" s="19">
        <v>36</v>
      </c>
      <c r="AG25" s="30" t="s">
        <v>228</v>
      </c>
      <c r="AH25" s="31">
        <v>23400</v>
      </c>
      <c r="AI25" s="32">
        <v>0</v>
      </c>
    </row>
    <row r="26" spans="1:35" x14ac:dyDescent="0.25">
      <c r="A26" s="19">
        <v>25</v>
      </c>
      <c r="B26" s="19" t="s">
        <v>33</v>
      </c>
      <c r="C26" s="19" t="s">
        <v>234</v>
      </c>
      <c r="D26" s="20">
        <v>45505</v>
      </c>
      <c r="E26" s="21" t="s">
        <v>35</v>
      </c>
      <c r="F26" s="19" t="s">
        <v>235</v>
      </c>
      <c r="G26" s="22">
        <v>45535</v>
      </c>
      <c r="H26" s="22">
        <v>45899</v>
      </c>
      <c r="I26" s="23" t="s">
        <v>236</v>
      </c>
      <c r="J26" s="24">
        <v>3630329438165</v>
      </c>
      <c r="K26" s="23" t="s">
        <v>237</v>
      </c>
      <c r="L26" s="19" t="s">
        <v>238</v>
      </c>
      <c r="M26" s="19" t="s">
        <v>239</v>
      </c>
      <c r="N26" s="19" t="s">
        <v>240</v>
      </c>
      <c r="O26" s="19" t="s">
        <v>234</v>
      </c>
      <c r="P26" s="25" t="s">
        <v>61</v>
      </c>
      <c r="Q26" s="19" t="s">
        <v>96</v>
      </c>
      <c r="R26" s="19" t="s">
        <v>241</v>
      </c>
      <c r="S26" s="22">
        <v>45169</v>
      </c>
      <c r="T26" s="22">
        <v>46270</v>
      </c>
      <c r="U26" s="26">
        <v>5150000</v>
      </c>
      <c r="V26" s="19">
        <v>10</v>
      </c>
      <c r="W26" s="27">
        <v>515000</v>
      </c>
      <c r="X26" s="27">
        <v>4635000</v>
      </c>
      <c r="Y26" s="28">
        <v>1.5</v>
      </c>
      <c r="Z26" s="27">
        <v>69525</v>
      </c>
      <c r="AA26" s="19"/>
      <c r="AB26" s="25" t="s">
        <v>45</v>
      </c>
      <c r="AC26" s="24">
        <v>1141070718</v>
      </c>
      <c r="AD26" s="29">
        <v>45565</v>
      </c>
      <c r="AE26" s="19" t="s">
        <v>46</v>
      </c>
      <c r="AF26" s="19">
        <v>5</v>
      </c>
      <c r="AG26" s="30" t="s">
        <v>235</v>
      </c>
      <c r="AH26" s="31">
        <v>69525</v>
      </c>
      <c r="AI26" s="32">
        <v>0</v>
      </c>
    </row>
    <row r="27" spans="1:35" x14ac:dyDescent="0.25">
      <c r="A27" s="19">
        <v>26</v>
      </c>
      <c r="B27" s="19" t="s">
        <v>33</v>
      </c>
      <c r="C27" s="19" t="s">
        <v>242</v>
      </c>
      <c r="D27" s="20">
        <v>45505</v>
      </c>
      <c r="E27" s="21" t="s">
        <v>35</v>
      </c>
      <c r="F27" s="19" t="s">
        <v>243</v>
      </c>
      <c r="G27" s="22">
        <v>45535</v>
      </c>
      <c r="H27" s="22">
        <v>45899</v>
      </c>
      <c r="I27" s="23" t="s">
        <v>244</v>
      </c>
      <c r="J27" s="24">
        <v>3520077262137</v>
      </c>
      <c r="K27" s="23" t="s">
        <v>245</v>
      </c>
      <c r="L27" s="19" t="s">
        <v>246</v>
      </c>
      <c r="M27" s="19" t="s">
        <v>247</v>
      </c>
      <c r="N27" s="19" t="s">
        <v>248</v>
      </c>
      <c r="O27" s="19" t="s">
        <v>242</v>
      </c>
      <c r="P27" s="25" t="s">
        <v>61</v>
      </c>
      <c r="Q27" s="19" t="s">
        <v>79</v>
      </c>
      <c r="R27" s="19" t="s">
        <v>249</v>
      </c>
      <c r="S27" s="22">
        <v>45173</v>
      </c>
      <c r="T27" s="22">
        <v>47001</v>
      </c>
      <c r="U27" s="26">
        <v>2999000</v>
      </c>
      <c r="V27" s="19">
        <v>10</v>
      </c>
      <c r="W27" s="27">
        <v>299900</v>
      </c>
      <c r="X27" s="27">
        <v>2699100</v>
      </c>
      <c r="Y27" s="28">
        <v>2</v>
      </c>
      <c r="Z27" s="27">
        <v>53982</v>
      </c>
      <c r="AA27" s="19"/>
      <c r="AB27" s="25" t="s">
        <v>45</v>
      </c>
      <c r="AC27" s="24">
        <v>1141070718</v>
      </c>
      <c r="AD27" s="29">
        <v>45565</v>
      </c>
      <c r="AE27" s="19" t="s">
        <v>46</v>
      </c>
      <c r="AF27" s="19">
        <v>5</v>
      </c>
      <c r="AG27" s="30" t="s">
        <v>243</v>
      </c>
      <c r="AH27" s="31">
        <v>53982</v>
      </c>
      <c r="AI27" s="32">
        <v>0</v>
      </c>
    </row>
    <row r="28" spans="1:35" x14ac:dyDescent="0.25">
      <c r="A28" s="19">
        <v>27</v>
      </c>
      <c r="B28" s="19" t="s">
        <v>33</v>
      </c>
      <c r="C28" s="19" t="s">
        <v>250</v>
      </c>
      <c r="D28" s="20">
        <v>45505</v>
      </c>
      <c r="E28" s="21" t="s">
        <v>35</v>
      </c>
      <c r="F28" s="19" t="s">
        <v>251</v>
      </c>
      <c r="G28" s="22">
        <v>45535</v>
      </c>
      <c r="H28" s="22">
        <v>45899</v>
      </c>
      <c r="I28" s="23" t="s">
        <v>252</v>
      </c>
      <c r="J28" s="24">
        <v>3520225260523</v>
      </c>
      <c r="K28" s="23" t="s">
        <v>182</v>
      </c>
      <c r="L28" s="19" t="s">
        <v>253</v>
      </c>
      <c r="M28" s="19" t="s">
        <v>254</v>
      </c>
      <c r="N28" s="19" t="s">
        <v>255</v>
      </c>
      <c r="O28" s="19" t="s">
        <v>250</v>
      </c>
      <c r="P28" s="25" t="s">
        <v>61</v>
      </c>
      <c r="Q28" s="19" t="s">
        <v>79</v>
      </c>
      <c r="R28" s="19" t="s">
        <v>256</v>
      </c>
      <c r="S28" s="22">
        <v>45170</v>
      </c>
      <c r="T28" s="22">
        <v>46270</v>
      </c>
      <c r="U28" s="26">
        <v>3600000</v>
      </c>
      <c r="V28" s="19">
        <v>10</v>
      </c>
      <c r="W28" s="27">
        <v>360000</v>
      </c>
      <c r="X28" s="27">
        <v>3240000</v>
      </c>
      <c r="Y28" s="28">
        <v>1.5</v>
      </c>
      <c r="Z28" s="27">
        <v>48600</v>
      </c>
      <c r="AA28" s="19"/>
      <c r="AB28" s="25" t="s">
        <v>45</v>
      </c>
      <c r="AC28" s="24">
        <v>1141070718</v>
      </c>
      <c r="AD28" s="29">
        <v>45565</v>
      </c>
      <c r="AE28" s="19" t="s">
        <v>46</v>
      </c>
      <c r="AF28" s="19">
        <v>5</v>
      </c>
      <c r="AG28" s="30" t="s">
        <v>251</v>
      </c>
      <c r="AH28" s="31">
        <v>48600</v>
      </c>
      <c r="AI28" s="32">
        <v>0</v>
      </c>
    </row>
    <row r="29" spans="1:35" x14ac:dyDescent="0.25">
      <c r="A29" s="19">
        <v>28</v>
      </c>
      <c r="B29" s="19" t="s">
        <v>33</v>
      </c>
      <c r="C29" s="19" t="s">
        <v>257</v>
      </c>
      <c r="D29" s="20">
        <v>45505</v>
      </c>
      <c r="E29" s="21" t="s">
        <v>35</v>
      </c>
      <c r="F29" s="19" t="s">
        <v>258</v>
      </c>
      <c r="G29" s="22">
        <v>45506</v>
      </c>
      <c r="H29" s="22">
        <v>45870</v>
      </c>
      <c r="I29" s="23" t="s">
        <v>259</v>
      </c>
      <c r="J29" s="24">
        <v>3520282732315</v>
      </c>
      <c r="K29" s="23" t="s">
        <v>260</v>
      </c>
      <c r="L29" s="19" t="s">
        <v>261</v>
      </c>
      <c r="M29" s="19" t="s">
        <v>262</v>
      </c>
      <c r="N29" s="19" t="s">
        <v>263</v>
      </c>
      <c r="O29" s="19" t="s">
        <v>257</v>
      </c>
      <c r="P29" s="25" t="s">
        <v>61</v>
      </c>
      <c r="Q29" s="19" t="s">
        <v>79</v>
      </c>
      <c r="R29" s="19" t="s">
        <v>264</v>
      </c>
      <c r="S29" s="22">
        <v>45154</v>
      </c>
      <c r="T29" s="22">
        <v>46270</v>
      </c>
      <c r="U29" s="26">
        <v>2350000</v>
      </c>
      <c r="V29" s="19">
        <v>10</v>
      </c>
      <c r="W29" s="27">
        <v>235000</v>
      </c>
      <c r="X29" s="27">
        <v>2115000</v>
      </c>
      <c r="Y29" s="28">
        <v>2</v>
      </c>
      <c r="Z29" s="27">
        <v>42300</v>
      </c>
      <c r="AA29" s="19"/>
      <c r="AB29" s="25" t="s">
        <v>45</v>
      </c>
      <c r="AC29" s="24">
        <v>1141070718</v>
      </c>
      <c r="AD29" s="29">
        <v>45565</v>
      </c>
      <c r="AE29" s="19" t="s">
        <v>46</v>
      </c>
      <c r="AF29" s="19">
        <v>5</v>
      </c>
      <c r="AG29" s="30" t="s">
        <v>258</v>
      </c>
      <c r="AH29" s="31">
        <v>42300</v>
      </c>
      <c r="AI29" s="32">
        <v>0</v>
      </c>
    </row>
    <row r="30" spans="1:35" x14ac:dyDescent="0.25">
      <c r="A30" s="19">
        <v>29</v>
      </c>
      <c r="B30" s="19" t="s">
        <v>33</v>
      </c>
      <c r="C30" s="19" t="s">
        <v>265</v>
      </c>
      <c r="D30" s="20">
        <v>45505</v>
      </c>
      <c r="E30" s="21" t="s">
        <v>35</v>
      </c>
      <c r="F30" s="19" t="s">
        <v>266</v>
      </c>
      <c r="G30" s="22">
        <v>45535</v>
      </c>
      <c r="H30" s="22">
        <v>45899</v>
      </c>
      <c r="I30" s="23" t="s">
        <v>267</v>
      </c>
      <c r="J30" s="24">
        <v>4220104813607</v>
      </c>
      <c r="K30" s="23" t="s">
        <v>268</v>
      </c>
      <c r="L30" s="19" t="s">
        <v>269</v>
      </c>
      <c r="M30" s="19" t="s">
        <v>270</v>
      </c>
      <c r="N30" s="19" t="s">
        <v>271</v>
      </c>
      <c r="O30" s="19" t="s">
        <v>265</v>
      </c>
      <c r="P30" s="25" t="s">
        <v>167</v>
      </c>
      <c r="Q30" s="19" t="s">
        <v>272</v>
      </c>
      <c r="R30" s="19" t="s">
        <v>273</v>
      </c>
      <c r="S30" s="22">
        <v>45173</v>
      </c>
      <c r="T30" s="22">
        <v>46270</v>
      </c>
      <c r="U30" s="26">
        <v>6300000</v>
      </c>
      <c r="V30" s="19">
        <v>10</v>
      </c>
      <c r="W30" s="27">
        <v>630000</v>
      </c>
      <c r="X30" s="27">
        <v>5670000</v>
      </c>
      <c r="Y30" s="28">
        <v>1.5</v>
      </c>
      <c r="Z30" s="27">
        <v>85050</v>
      </c>
      <c r="AA30" s="19"/>
      <c r="AB30" s="25" t="s">
        <v>45</v>
      </c>
      <c r="AC30" s="24">
        <v>1141070718</v>
      </c>
      <c r="AD30" s="29">
        <v>45565</v>
      </c>
      <c r="AE30" s="19" t="s">
        <v>46</v>
      </c>
      <c r="AF30" s="19">
        <v>0</v>
      </c>
      <c r="AG30" s="30" t="s">
        <v>266</v>
      </c>
      <c r="AH30" s="31">
        <v>85050</v>
      </c>
      <c r="AI30" s="32">
        <v>0</v>
      </c>
    </row>
    <row r="31" spans="1:35" x14ac:dyDescent="0.25">
      <c r="A31" s="19">
        <v>30</v>
      </c>
      <c r="B31" s="19" t="s">
        <v>33</v>
      </c>
      <c r="C31" s="19" t="s">
        <v>274</v>
      </c>
      <c r="D31" s="20">
        <v>45505</v>
      </c>
      <c r="E31" s="21" t="s">
        <v>35</v>
      </c>
      <c r="F31" s="19" t="s">
        <v>275</v>
      </c>
      <c r="G31" s="22">
        <v>45535</v>
      </c>
      <c r="H31" s="22">
        <v>45899</v>
      </c>
      <c r="I31" s="23" t="s">
        <v>276</v>
      </c>
      <c r="J31" s="24">
        <v>3520221081517</v>
      </c>
      <c r="K31" s="23" t="s">
        <v>277</v>
      </c>
      <c r="L31" s="19" t="s">
        <v>278</v>
      </c>
      <c r="M31" s="19" t="s">
        <v>279</v>
      </c>
      <c r="N31" s="19" t="s">
        <v>280</v>
      </c>
      <c r="O31" s="19" t="s">
        <v>274</v>
      </c>
      <c r="P31" s="25" t="s">
        <v>61</v>
      </c>
      <c r="Q31" s="19" t="s">
        <v>79</v>
      </c>
      <c r="R31" s="19" t="s">
        <v>281</v>
      </c>
      <c r="S31" s="22">
        <v>45170</v>
      </c>
      <c r="T31" s="22">
        <v>46270</v>
      </c>
      <c r="U31" s="26">
        <v>2950000</v>
      </c>
      <c r="V31" s="19">
        <v>10</v>
      </c>
      <c r="W31" s="27">
        <v>295000</v>
      </c>
      <c r="X31" s="27">
        <v>2655000</v>
      </c>
      <c r="Y31" s="28">
        <v>2</v>
      </c>
      <c r="Z31" s="27">
        <v>53100</v>
      </c>
      <c r="AA31" s="19"/>
      <c r="AB31" s="25" t="s">
        <v>45</v>
      </c>
      <c r="AC31" s="24">
        <v>1141070718</v>
      </c>
      <c r="AD31" s="29">
        <v>45565</v>
      </c>
      <c r="AE31" s="19" t="s">
        <v>46</v>
      </c>
      <c r="AF31" s="19">
        <v>5</v>
      </c>
      <c r="AG31" s="30" t="s">
        <v>275</v>
      </c>
      <c r="AH31" s="31">
        <v>53100</v>
      </c>
      <c r="AI31" s="32">
        <v>0</v>
      </c>
    </row>
    <row r="32" spans="1:35" x14ac:dyDescent="0.25">
      <c r="A32" s="19">
        <v>31</v>
      </c>
      <c r="B32" s="19" t="s">
        <v>33</v>
      </c>
      <c r="C32" s="19" t="s">
        <v>282</v>
      </c>
      <c r="D32" s="20">
        <v>45505</v>
      </c>
      <c r="E32" s="21" t="s">
        <v>35</v>
      </c>
      <c r="F32" s="19" t="s">
        <v>283</v>
      </c>
      <c r="G32" s="22">
        <v>45535</v>
      </c>
      <c r="H32" s="22">
        <v>45899</v>
      </c>
      <c r="I32" s="23" t="s">
        <v>284</v>
      </c>
      <c r="J32" s="24">
        <v>4210152199587</v>
      </c>
      <c r="K32" s="23" t="s">
        <v>182</v>
      </c>
      <c r="L32" s="19" t="s">
        <v>285</v>
      </c>
      <c r="M32" s="19" t="s">
        <v>286</v>
      </c>
      <c r="N32" s="19" t="s">
        <v>287</v>
      </c>
      <c r="O32" s="19" t="s">
        <v>282</v>
      </c>
      <c r="P32" s="25" t="s">
        <v>167</v>
      </c>
      <c r="Q32" s="19" t="s">
        <v>168</v>
      </c>
      <c r="R32" s="19" t="s">
        <v>288</v>
      </c>
      <c r="S32" s="22">
        <v>45173</v>
      </c>
      <c r="T32" s="22">
        <v>45905</v>
      </c>
      <c r="U32" s="26">
        <v>4000000</v>
      </c>
      <c r="V32" s="19">
        <v>10</v>
      </c>
      <c r="W32" s="27">
        <v>400000</v>
      </c>
      <c r="X32" s="27">
        <v>3600000</v>
      </c>
      <c r="Y32" s="28">
        <v>1.5</v>
      </c>
      <c r="Z32" s="27">
        <v>54000</v>
      </c>
      <c r="AA32" s="19"/>
      <c r="AB32" s="25" t="s">
        <v>45</v>
      </c>
      <c r="AC32" s="24">
        <v>1141070718</v>
      </c>
      <c r="AD32" s="29">
        <v>45565</v>
      </c>
      <c r="AE32" s="19" t="s">
        <v>46</v>
      </c>
      <c r="AF32" s="19">
        <v>5</v>
      </c>
      <c r="AG32" s="30" t="s">
        <v>283</v>
      </c>
      <c r="AH32" s="31">
        <v>54000</v>
      </c>
      <c r="AI32" s="32">
        <v>0</v>
      </c>
    </row>
    <row r="33" spans="1:35" x14ac:dyDescent="0.25">
      <c r="A33" s="19">
        <v>32</v>
      </c>
      <c r="B33" s="19" t="s">
        <v>33</v>
      </c>
      <c r="C33" s="19" t="s">
        <v>289</v>
      </c>
      <c r="D33" s="20">
        <v>45505</v>
      </c>
      <c r="E33" s="21" t="s">
        <v>35</v>
      </c>
      <c r="F33" s="19" t="s">
        <v>290</v>
      </c>
      <c r="G33" s="22">
        <v>45535</v>
      </c>
      <c r="H33" s="22">
        <v>45899</v>
      </c>
      <c r="I33" s="23" t="s">
        <v>291</v>
      </c>
      <c r="J33" s="24">
        <v>6110128047123</v>
      </c>
      <c r="K33" s="23" t="s">
        <v>292</v>
      </c>
      <c r="L33" s="19" t="s">
        <v>293</v>
      </c>
      <c r="M33" s="19" t="s">
        <v>294</v>
      </c>
      <c r="N33" s="19" t="s">
        <v>295</v>
      </c>
      <c r="O33" s="19" t="s">
        <v>289</v>
      </c>
      <c r="P33" s="25" t="s">
        <v>42</v>
      </c>
      <c r="Q33" s="19" t="s">
        <v>53</v>
      </c>
      <c r="R33" s="19" t="s">
        <v>296</v>
      </c>
      <c r="S33" s="22">
        <v>45170</v>
      </c>
      <c r="T33" s="22">
        <v>47001</v>
      </c>
      <c r="U33" s="26">
        <v>3741000</v>
      </c>
      <c r="V33" s="19">
        <v>10</v>
      </c>
      <c r="W33" s="27">
        <v>374100</v>
      </c>
      <c r="X33" s="27">
        <v>3366900</v>
      </c>
      <c r="Y33" s="28">
        <v>1.5</v>
      </c>
      <c r="Z33" s="27">
        <v>50503.5</v>
      </c>
      <c r="AA33" s="19"/>
      <c r="AB33" s="25" t="s">
        <v>45</v>
      </c>
      <c r="AC33" s="24">
        <v>1141070718</v>
      </c>
      <c r="AD33" s="29">
        <v>45565</v>
      </c>
      <c r="AE33" s="19" t="s">
        <v>46</v>
      </c>
      <c r="AF33" s="19">
        <v>0</v>
      </c>
      <c r="AG33" s="30" t="s">
        <v>290</v>
      </c>
      <c r="AH33" s="31">
        <v>50504</v>
      </c>
      <c r="AI33" s="32">
        <v>-0.5</v>
      </c>
    </row>
    <row r="34" spans="1:35" x14ac:dyDescent="0.25">
      <c r="A34" s="19">
        <v>33</v>
      </c>
      <c r="B34" s="19" t="s">
        <v>33</v>
      </c>
      <c r="C34" s="19" t="s">
        <v>297</v>
      </c>
      <c r="D34" s="20">
        <v>45505</v>
      </c>
      <c r="E34" s="21" t="s">
        <v>35</v>
      </c>
      <c r="F34" s="19" t="s">
        <v>298</v>
      </c>
      <c r="G34" s="22">
        <v>45535</v>
      </c>
      <c r="H34" s="22">
        <v>45899</v>
      </c>
      <c r="I34" s="23" t="s">
        <v>299</v>
      </c>
      <c r="J34" s="24">
        <v>6110141700495</v>
      </c>
      <c r="K34" s="23" t="s">
        <v>190</v>
      </c>
      <c r="L34" s="19" t="s">
        <v>300</v>
      </c>
      <c r="M34" s="19" t="s">
        <v>301</v>
      </c>
      <c r="N34" s="19" t="s">
        <v>302</v>
      </c>
      <c r="O34" s="19" t="s">
        <v>297</v>
      </c>
      <c r="P34" s="25" t="s">
        <v>42</v>
      </c>
      <c r="Q34" s="19" t="s">
        <v>71</v>
      </c>
      <c r="R34" s="19" t="s">
        <v>303</v>
      </c>
      <c r="S34" s="22">
        <v>45170</v>
      </c>
      <c r="T34" s="22">
        <v>46636</v>
      </c>
      <c r="U34" s="26">
        <v>3500000</v>
      </c>
      <c r="V34" s="19">
        <v>10</v>
      </c>
      <c r="W34" s="27">
        <v>350000</v>
      </c>
      <c r="X34" s="27">
        <v>3150000</v>
      </c>
      <c r="Y34" s="28">
        <v>1.5</v>
      </c>
      <c r="Z34" s="27">
        <v>47250</v>
      </c>
      <c r="AA34" s="19"/>
      <c r="AB34" s="25" t="s">
        <v>45</v>
      </c>
      <c r="AC34" s="24">
        <v>1141070718</v>
      </c>
      <c r="AD34" s="29">
        <v>45565</v>
      </c>
      <c r="AE34" s="19" t="s">
        <v>46</v>
      </c>
      <c r="AF34" s="19">
        <v>5</v>
      </c>
      <c r="AG34" s="30" t="s">
        <v>298</v>
      </c>
      <c r="AH34" s="31">
        <v>47250</v>
      </c>
      <c r="AI34" s="32">
        <v>0</v>
      </c>
    </row>
    <row r="35" spans="1:35" x14ac:dyDescent="0.25">
      <c r="A35" s="19">
        <v>34</v>
      </c>
      <c r="B35" s="19" t="s">
        <v>33</v>
      </c>
      <c r="C35" s="19" t="s">
        <v>304</v>
      </c>
      <c r="D35" s="20">
        <v>45505</v>
      </c>
      <c r="E35" s="21" t="s">
        <v>35</v>
      </c>
      <c r="F35" s="19" t="s">
        <v>305</v>
      </c>
      <c r="G35" s="22">
        <v>45535</v>
      </c>
      <c r="H35" s="22">
        <v>45899</v>
      </c>
      <c r="I35" s="23" t="s">
        <v>306</v>
      </c>
      <c r="J35" s="24">
        <v>3520102663445</v>
      </c>
      <c r="K35" s="23" t="s">
        <v>307</v>
      </c>
      <c r="L35" s="19" t="s">
        <v>308</v>
      </c>
      <c r="M35" s="19" t="s">
        <v>309</v>
      </c>
      <c r="N35" s="19" t="s">
        <v>310</v>
      </c>
      <c r="O35" s="19" t="s">
        <v>304</v>
      </c>
      <c r="P35" s="25" t="s">
        <v>61</v>
      </c>
      <c r="Q35" s="19" t="s">
        <v>79</v>
      </c>
      <c r="R35" s="19" t="s">
        <v>311</v>
      </c>
      <c r="S35" s="22">
        <v>45170</v>
      </c>
      <c r="T35" s="22">
        <v>47001</v>
      </c>
      <c r="U35" s="26">
        <v>2000000</v>
      </c>
      <c r="V35" s="19">
        <v>10</v>
      </c>
      <c r="W35" s="27">
        <v>200000</v>
      </c>
      <c r="X35" s="27">
        <v>1800000</v>
      </c>
      <c r="Y35" s="28">
        <v>2</v>
      </c>
      <c r="Z35" s="27">
        <v>36000</v>
      </c>
      <c r="AA35" s="19"/>
      <c r="AB35" s="25" t="s">
        <v>45</v>
      </c>
      <c r="AC35" s="24">
        <v>1141070718</v>
      </c>
      <c r="AD35" s="29">
        <v>45565</v>
      </c>
      <c r="AE35" s="19" t="s">
        <v>46</v>
      </c>
      <c r="AF35" s="19">
        <v>5</v>
      </c>
      <c r="AG35" s="30" t="s">
        <v>305</v>
      </c>
      <c r="AH35" s="31">
        <v>36000</v>
      </c>
      <c r="AI35" s="32">
        <v>0</v>
      </c>
    </row>
    <row r="36" spans="1:35" x14ac:dyDescent="0.25">
      <c r="A36" s="19">
        <v>35</v>
      </c>
      <c r="B36" s="19" t="s">
        <v>33</v>
      </c>
      <c r="C36" s="19" t="s">
        <v>312</v>
      </c>
      <c r="D36" s="20">
        <v>45505</v>
      </c>
      <c r="E36" s="21" t="s">
        <v>35</v>
      </c>
      <c r="F36" s="19" t="s">
        <v>313</v>
      </c>
      <c r="G36" s="22">
        <v>45506</v>
      </c>
      <c r="H36" s="22">
        <v>45870</v>
      </c>
      <c r="I36" s="23" t="s">
        <v>314</v>
      </c>
      <c r="J36" s="24">
        <v>4250158657785</v>
      </c>
      <c r="K36" s="23" t="s">
        <v>315</v>
      </c>
      <c r="L36" s="19" t="s">
        <v>316</v>
      </c>
      <c r="M36" s="19" t="s">
        <v>317</v>
      </c>
      <c r="N36" s="19" t="s">
        <v>318</v>
      </c>
      <c r="O36" s="19" t="s">
        <v>312</v>
      </c>
      <c r="P36" s="25" t="s">
        <v>167</v>
      </c>
      <c r="Q36" s="19" t="s">
        <v>168</v>
      </c>
      <c r="R36" s="19" t="s">
        <v>319</v>
      </c>
      <c r="S36" s="22">
        <v>45145</v>
      </c>
      <c r="T36" s="22">
        <v>46239</v>
      </c>
      <c r="U36" s="26">
        <v>4500000</v>
      </c>
      <c r="V36" s="19">
        <v>10</v>
      </c>
      <c r="W36" s="27">
        <v>450000</v>
      </c>
      <c r="X36" s="27">
        <v>4050000</v>
      </c>
      <c r="Y36" s="28">
        <v>1.5</v>
      </c>
      <c r="Z36" s="27">
        <v>60750</v>
      </c>
      <c r="AA36" s="19"/>
      <c r="AB36" s="25" t="s">
        <v>45</v>
      </c>
      <c r="AC36" s="24">
        <v>1141070718</v>
      </c>
      <c r="AD36" s="29">
        <v>45565</v>
      </c>
      <c r="AE36" s="19" t="s">
        <v>46</v>
      </c>
      <c r="AF36" s="19">
        <v>0</v>
      </c>
      <c r="AG36" s="30" t="s">
        <v>313</v>
      </c>
      <c r="AH36" s="31">
        <v>60750</v>
      </c>
      <c r="AI36" s="32">
        <v>0</v>
      </c>
    </row>
    <row r="37" spans="1:35" x14ac:dyDescent="0.25">
      <c r="A37" s="19">
        <v>36</v>
      </c>
      <c r="B37" s="19" t="s">
        <v>33</v>
      </c>
      <c r="C37" s="19" t="s">
        <v>320</v>
      </c>
      <c r="D37" s="20">
        <v>45505</v>
      </c>
      <c r="E37" s="21" t="s">
        <v>35</v>
      </c>
      <c r="F37" s="19" t="s">
        <v>321</v>
      </c>
      <c r="G37" s="22">
        <v>45511</v>
      </c>
      <c r="H37" s="22">
        <v>45875</v>
      </c>
      <c r="I37" s="23" t="s">
        <v>322</v>
      </c>
      <c r="J37" s="24">
        <v>3520166782787</v>
      </c>
      <c r="K37" s="23" t="s">
        <v>323</v>
      </c>
      <c r="L37" s="19" t="s">
        <v>324</v>
      </c>
      <c r="M37" s="19" t="s">
        <v>325</v>
      </c>
      <c r="N37" s="19" t="s">
        <v>326</v>
      </c>
      <c r="O37" s="19" t="s">
        <v>320</v>
      </c>
      <c r="P37" s="25" t="s">
        <v>61</v>
      </c>
      <c r="Q37" s="19" t="s">
        <v>79</v>
      </c>
      <c r="R37" s="19" t="s">
        <v>327</v>
      </c>
      <c r="S37" s="22">
        <v>45148</v>
      </c>
      <c r="T37" s="22">
        <v>46239</v>
      </c>
      <c r="U37" s="26">
        <v>3650000</v>
      </c>
      <c r="V37" s="19">
        <v>10</v>
      </c>
      <c r="W37" s="27">
        <v>365000</v>
      </c>
      <c r="X37" s="27">
        <v>3285000</v>
      </c>
      <c r="Y37" s="28">
        <v>1.5</v>
      </c>
      <c r="Z37" s="27">
        <v>49275</v>
      </c>
      <c r="AA37" s="19"/>
      <c r="AB37" s="25" t="s">
        <v>45</v>
      </c>
      <c r="AC37" s="24">
        <v>1141070718</v>
      </c>
      <c r="AD37" s="29">
        <v>45565</v>
      </c>
      <c r="AE37" s="19" t="s">
        <v>46</v>
      </c>
      <c r="AF37" s="19">
        <v>5</v>
      </c>
      <c r="AG37" s="30" t="s">
        <v>321</v>
      </c>
      <c r="AH37" s="31">
        <v>49275</v>
      </c>
      <c r="AI37" s="32">
        <v>0</v>
      </c>
    </row>
    <row r="38" spans="1:35" x14ac:dyDescent="0.25">
      <c r="A38" s="19">
        <v>37</v>
      </c>
      <c r="B38" s="19" t="s">
        <v>33</v>
      </c>
      <c r="C38" s="19" t="s">
        <v>328</v>
      </c>
      <c r="D38" s="20">
        <v>45505</v>
      </c>
      <c r="E38" s="21" t="s">
        <v>35</v>
      </c>
      <c r="F38" s="19" t="s">
        <v>329</v>
      </c>
      <c r="G38" s="22">
        <v>45520</v>
      </c>
      <c r="H38" s="22">
        <v>45884</v>
      </c>
      <c r="I38" s="23" t="s">
        <v>330</v>
      </c>
      <c r="J38" s="24">
        <v>3310006333451</v>
      </c>
      <c r="K38" s="23" t="s">
        <v>331</v>
      </c>
      <c r="L38" s="19" t="s">
        <v>332</v>
      </c>
      <c r="M38" s="19" t="s">
        <v>333</v>
      </c>
      <c r="N38" s="19" t="s">
        <v>334</v>
      </c>
      <c r="O38" s="19" t="s">
        <v>328</v>
      </c>
      <c r="P38" s="25" t="s">
        <v>61</v>
      </c>
      <c r="Q38" s="19" t="s">
        <v>144</v>
      </c>
      <c r="R38" s="19" t="s">
        <v>335</v>
      </c>
      <c r="S38" s="22">
        <v>45156</v>
      </c>
      <c r="T38" s="22">
        <v>47001</v>
      </c>
      <c r="U38" s="26">
        <v>2250000</v>
      </c>
      <c r="V38" s="19">
        <v>10</v>
      </c>
      <c r="W38" s="27">
        <v>225000</v>
      </c>
      <c r="X38" s="27">
        <v>2025000</v>
      </c>
      <c r="Y38" s="28">
        <v>2</v>
      </c>
      <c r="Z38" s="27">
        <v>40500</v>
      </c>
      <c r="AA38" s="19"/>
      <c r="AB38" s="25" t="s">
        <v>45</v>
      </c>
      <c r="AC38" s="24">
        <v>1141070718</v>
      </c>
      <c r="AD38" s="29">
        <v>45565</v>
      </c>
      <c r="AE38" s="19" t="s">
        <v>46</v>
      </c>
      <c r="AF38" s="19">
        <v>0</v>
      </c>
      <c r="AG38" s="30" t="s">
        <v>329</v>
      </c>
      <c r="AH38" s="31">
        <v>40500</v>
      </c>
      <c r="AI38" s="32">
        <v>0</v>
      </c>
    </row>
    <row r="39" spans="1:35" x14ac:dyDescent="0.25">
      <c r="A39" s="19">
        <v>38</v>
      </c>
      <c r="B39" s="19" t="s">
        <v>33</v>
      </c>
      <c r="C39" s="19" t="s">
        <v>336</v>
      </c>
      <c r="D39" s="20">
        <v>45505</v>
      </c>
      <c r="E39" s="21" t="s">
        <v>35</v>
      </c>
      <c r="F39" s="19" t="s">
        <v>337</v>
      </c>
      <c r="G39" s="22">
        <v>45520</v>
      </c>
      <c r="H39" s="22">
        <v>45884</v>
      </c>
      <c r="I39" s="23" t="s">
        <v>338</v>
      </c>
      <c r="J39" s="24">
        <v>3520104287731</v>
      </c>
      <c r="K39" s="23" t="s">
        <v>339</v>
      </c>
      <c r="L39" s="19" t="s">
        <v>340</v>
      </c>
      <c r="M39" s="19" t="s">
        <v>341</v>
      </c>
      <c r="N39" s="19" t="s">
        <v>342</v>
      </c>
      <c r="O39" s="19" t="s">
        <v>336</v>
      </c>
      <c r="P39" s="25" t="s">
        <v>61</v>
      </c>
      <c r="Q39" s="19" t="s">
        <v>79</v>
      </c>
      <c r="R39" s="19" t="s">
        <v>343</v>
      </c>
      <c r="S39" s="22">
        <v>45155</v>
      </c>
      <c r="T39" s="22">
        <v>46270</v>
      </c>
      <c r="U39" s="26">
        <v>4800000</v>
      </c>
      <c r="V39" s="19">
        <v>10</v>
      </c>
      <c r="W39" s="27">
        <v>480000</v>
      </c>
      <c r="X39" s="27">
        <v>4320000</v>
      </c>
      <c r="Y39" s="28">
        <v>1.5</v>
      </c>
      <c r="Z39" s="27">
        <v>64800</v>
      </c>
      <c r="AA39" s="19"/>
      <c r="AB39" s="25" t="s">
        <v>45</v>
      </c>
      <c r="AC39" s="24">
        <v>1141070718</v>
      </c>
      <c r="AD39" s="29">
        <v>45565</v>
      </c>
      <c r="AE39" s="19" t="s">
        <v>46</v>
      </c>
      <c r="AF39" s="19">
        <v>5</v>
      </c>
      <c r="AG39" s="30" t="s">
        <v>337</v>
      </c>
      <c r="AH39" s="31">
        <v>64800</v>
      </c>
      <c r="AI39" s="32">
        <v>0</v>
      </c>
    </row>
    <row r="40" spans="1:35" x14ac:dyDescent="0.25">
      <c r="A40" s="19">
        <v>39</v>
      </c>
      <c r="B40" s="19" t="s">
        <v>33</v>
      </c>
      <c r="C40" s="19" t="s">
        <v>344</v>
      </c>
      <c r="D40" s="20">
        <v>45505</v>
      </c>
      <c r="E40" s="21" t="s">
        <v>35</v>
      </c>
      <c r="F40" s="19" t="s">
        <v>345</v>
      </c>
      <c r="G40" s="22">
        <v>45522</v>
      </c>
      <c r="H40" s="22">
        <v>45886</v>
      </c>
      <c r="I40" s="23" t="s">
        <v>346</v>
      </c>
      <c r="J40" s="24">
        <v>3540169933733</v>
      </c>
      <c r="K40" s="23" t="s">
        <v>347</v>
      </c>
      <c r="L40" s="19" t="s">
        <v>348</v>
      </c>
      <c r="M40" s="19" t="s">
        <v>349</v>
      </c>
      <c r="N40" s="19" t="s">
        <v>350</v>
      </c>
      <c r="O40" s="19" t="s">
        <v>344</v>
      </c>
      <c r="P40" s="25" t="s">
        <v>61</v>
      </c>
      <c r="Q40" s="19" t="s">
        <v>79</v>
      </c>
      <c r="R40" s="19" t="s">
        <v>351</v>
      </c>
      <c r="S40" s="22">
        <v>45162</v>
      </c>
      <c r="T40" s="22">
        <v>45905</v>
      </c>
      <c r="U40" s="26">
        <v>2900000</v>
      </c>
      <c r="V40" s="19">
        <v>10</v>
      </c>
      <c r="W40" s="27">
        <v>290000</v>
      </c>
      <c r="X40" s="27">
        <v>2610000</v>
      </c>
      <c r="Y40" s="28">
        <v>2</v>
      </c>
      <c r="Z40" s="27">
        <v>52200</v>
      </c>
      <c r="AA40" s="19"/>
      <c r="AB40" s="25" t="s">
        <v>45</v>
      </c>
      <c r="AC40" s="24">
        <v>1141070718</v>
      </c>
      <c r="AD40" s="29">
        <v>45565</v>
      </c>
      <c r="AE40" s="19" t="s">
        <v>46</v>
      </c>
      <c r="AF40" s="19">
        <v>36</v>
      </c>
      <c r="AG40" s="30" t="s">
        <v>345</v>
      </c>
      <c r="AH40" s="31">
        <v>52200</v>
      </c>
      <c r="AI40" s="32">
        <v>0</v>
      </c>
    </row>
    <row r="41" spans="1:35" x14ac:dyDescent="0.25">
      <c r="A41" s="19">
        <v>40</v>
      </c>
      <c r="B41" s="19" t="s">
        <v>33</v>
      </c>
      <c r="C41" s="19" t="s">
        <v>352</v>
      </c>
      <c r="D41" s="20">
        <v>45505</v>
      </c>
      <c r="E41" s="21" t="s">
        <v>35</v>
      </c>
      <c r="F41" s="19" t="s">
        <v>353</v>
      </c>
      <c r="G41" s="22">
        <v>45506</v>
      </c>
      <c r="H41" s="22">
        <v>45870</v>
      </c>
      <c r="I41" s="23" t="s">
        <v>354</v>
      </c>
      <c r="J41" s="24" t="s">
        <v>355</v>
      </c>
      <c r="K41" s="23" t="s">
        <v>206</v>
      </c>
      <c r="L41" s="19" t="s">
        <v>356</v>
      </c>
      <c r="M41" s="19" t="s">
        <v>357</v>
      </c>
      <c r="N41" s="19" t="s">
        <v>358</v>
      </c>
      <c r="O41" s="19" t="s">
        <v>352</v>
      </c>
      <c r="P41" s="25" t="s">
        <v>61</v>
      </c>
      <c r="Q41" s="19" t="s">
        <v>79</v>
      </c>
      <c r="R41" s="19" t="s">
        <v>359</v>
      </c>
      <c r="S41" s="22">
        <v>44777</v>
      </c>
      <c r="T41" s="22">
        <v>46239</v>
      </c>
      <c r="U41" s="26">
        <v>915000</v>
      </c>
      <c r="V41" s="19">
        <v>15</v>
      </c>
      <c r="W41" s="27">
        <v>137250</v>
      </c>
      <c r="X41" s="27">
        <v>777750</v>
      </c>
      <c r="Y41" s="28">
        <v>2</v>
      </c>
      <c r="Z41" s="27">
        <v>15555</v>
      </c>
      <c r="AA41" s="19"/>
      <c r="AB41" s="25" t="s">
        <v>45</v>
      </c>
      <c r="AC41" s="24">
        <v>1141070718</v>
      </c>
      <c r="AD41" s="29">
        <v>45565</v>
      </c>
      <c r="AE41" s="19" t="s">
        <v>46</v>
      </c>
      <c r="AF41" s="19">
        <v>0</v>
      </c>
      <c r="AG41" s="30" t="s">
        <v>353</v>
      </c>
      <c r="AH41" s="31">
        <v>15555</v>
      </c>
      <c r="AI41" s="32">
        <v>0</v>
      </c>
    </row>
    <row r="42" spans="1:35" x14ac:dyDescent="0.25">
      <c r="A42" s="19">
        <v>41</v>
      </c>
      <c r="B42" s="19" t="s">
        <v>33</v>
      </c>
      <c r="C42" s="19" t="s">
        <v>360</v>
      </c>
      <c r="D42" s="20">
        <v>45505</v>
      </c>
      <c r="E42" s="21" t="s">
        <v>35</v>
      </c>
      <c r="F42" s="19" t="s">
        <v>361</v>
      </c>
      <c r="G42" s="22">
        <v>45509</v>
      </c>
      <c r="H42" s="22">
        <v>45873</v>
      </c>
      <c r="I42" s="23" t="s">
        <v>362</v>
      </c>
      <c r="J42" s="24">
        <v>3520196315525</v>
      </c>
      <c r="K42" s="23" t="s">
        <v>92</v>
      </c>
      <c r="L42" s="19" t="s">
        <v>363</v>
      </c>
      <c r="M42" s="19" t="s">
        <v>364</v>
      </c>
      <c r="N42" s="19" t="s">
        <v>365</v>
      </c>
      <c r="O42" s="19" t="s">
        <v>360</v>
      </c>
      <c r="P42" s="25" t="s">
        <v>61</v>
      </c>
      <c r="Q42" s="19" t="s">
        <v>79</v>
      </c>
      <c r="R42" s="19" t="s">
        <v>366</v>
      </c>
      <c r="S42" s="22">
        <v>44785</v>
      </c>
      <c r="T42" s="22">
        <v>45874</v>
      </c>
      <c r="U42" s="26">
        <v>3600000</v>
      </c>
      <c r="V42" s="19">
        <v>15</v>
      </c>
      <c r="W42" s="27">
        <v>540000</v>
      </c>
      <c r="X42" s="27">
        <v>3060000</v>
      </c>
      <c r="Y42" s="28">
        <v>1.5</v>
      </c>
      <c r="Z42" s="27">
        <v>45900</v>
      </c>
      <c r="AA42" s="19"/>
      <c r="AB42" s="25" t="s">
        <v>45</v>
      </c>
      <c r="AC42" s="24">
        <v>1141070718</v>
      </c>
      <c r="AD42" s="29">
        <v>45565</v>
      </c>
      <c r="AE42" s="19" t="s">
        <v>46</v>
      </c>
      <c r="AF42" s="19">
        <v>5</v>
      </c>
      <c r="AG42" s="30" t="s">
        <v>361</v>
      </c>
      <c r="AH42" s="31">
        <v>45900</v>
      </c>
      <c r="AI42" s="32">
        <v>0</v>
      </c>
    </row>
    <row r="43" spans="1:35" x14ac:dyDescent="0.25">
      <c r="A43" s="19">
        <v>42</v>
      </c>
      <c r="B43" s="19" t="s">
        <v>33</v>
      </c>
      <c r="C43" s="19" t="s">
        <v>367</v>
      </c>
      <c r="D43" s="20">
        <v>45505</v>
      </c>
      <c r="E43" s="21" t="s">
        <v>35</v>
      </c>
      <c r="F43" s="19" t="s">
        <v>368</v>
      </c>
      <c r="G43" s="22">
        <v>45509</v>
      </c>
      <c r="H43" s="22">
        <v>45873</v>
      </c>
      <c r="I43" s="23" t="s">
        <v>369</v>
      </c>
      <c r="J43" s="24">
        <v>4230167852225</v>
      </c>
      <c r="K43" s="23" t="s">
        <v>370</v>
      </c>
      <c r="L43" s="19" t="s">
        <v>371</v>
      </c>
      <c r="M43" s="19" t="s">
        <v>372</v>
      </c>
      <c r="N43" s="19" t="s">
        <v>373</v>
      </c>
      <c r="O43" s="19" t="s">
        <v>367</v>
      </c>
      <c r="P43" s="25" t="s">
        <v>167</v>
      </c>
      <c r="Q43" s="19" t="s">
        <v>374</v>
      </c>
      <c r="R43" s="19" t="s">
        <v>375</v>
      </c>
      <c r="S43" s="22">
        <v>44802</v>
      </c>
      <c r="T43" s="22">
        <v>46636</v>
      </c>
      <c r="U43" s="26">
        <v>3580840</v>
      </c>
      <c r="V43" s="19">
        <v>15</v>
      </c>
      <c r="W43" s="27">
        <v>537126</v>
      </c>
      <c r="X43" s="27">
        <v>3043714</v>
      </c>
      <c r="Y43" s="28">
        <v>1.5</v>
      </c>
      <c r="Z43" s="27">
        <v>45655.71</v>
      </c>
      <c r="AA43" s="19"/>
      <c r="AB43" s="25" t="s">
        <v>45</v>
      </c>
      <c r="AC43" s="24">
        <v>1141070718</v>
      </c>
      <c r="AD43" s="29">
        <v>45565</v>
      </c>
      <c r="AE43" s="19" t="s">
        <v>46</v>
      </c>
      <c r="AF43" s="19">
        <v>5</v>
      </c>
      <c r="AG43" s="30" t="s">
        <v>368</v>
      </c>
      <c r="AH43" s="31">
        <v>45656</v>
      </c>
      <c r="AI43" s="32">
        <v>-0.29000000000087311</v>
      </c>
    </row>
    <row r="44" spans="1:35" x14ac:dyDescent="0.25">
      <c r="A44" s="19">
        <v>43</v>
      </c>
      <c r="B44" s="19" t="s">
        <v>33</v>
      </c>
      <c r="C44" s="19" t="s">
        <v>376</v>
      </c>
      <c r="D44" s="20">
        <v>45505</v>
      </c>
      <c r="E44" s="21" t="s">
        <v>35</v>
      </c>
      <c r="F44" s="19" t="s">
        <v>377</v>
      </c>
      <c r="G44" s="22">
        <v>45514</v>
      </c>
      <c r="H44" s="22">
        <v>45878</v>
      </c>
      <c r="I44" s="23" t="s">
        <v>378</v>
      </c>
      <c r="J44" s="24" t="s">
        <v>379</v>
      </c>
      <c r="K44" s="23" t="s">
        <v>380</v>
      </c>
      <c r="L44" s="19" t="s">
        <v>381</v>
      </c>
      <c r="M44" s="19" t="s">
        <v>382</v>
      </c>
      <c r="N44" s="19" t="s">
        <v>383</v>
      </c>
      <c r="O44" s="19" t="s">
        <v>376</v>
      </c>
      <c r="P44" s="25" t="s">
        <v>61</v>
      </c>
      <c r="Q44" s="19" t="s">
        <v>384</v>
      </c>
      <c r="R44" s="19" t="s">
        <v>385</v>
      </c>
      <c r="S44" s="22">
        <v>44789</v>
      </c>
      <c r="T44" s="22">
        <v>45905</v>
      </c>
      <c r="U44" s="26">
        <v>3900000</v>
      </c>
      <c r="V44" s="19">
        <v>15</v>
      </c>
      <c r="W44" s="27">
        <v>585000</v>
      </c>
      <c r="X44" s="27">
        <v>3315000</v>
      </c>
      <c r="Y44" s="28">
        <v>1.5</v>
      </c>
      <c r="Z44" s="27">
        <v>49725</v>
      </c>
      <c r="AA44" s="19"/>
      <c r="AB44" s="25" t="s">
        <v>45</v>
      </c>
      <c r="AC44" s="24">
        <v>1141070718</v>
      </c>
      <c r="AD44" s="29">
        <v>45565</v>
      </c>
      <c r="AE44" s="19" t="s">
        <v>46</v>
      </c>
      <c r="AF44" s="19">
        <v>5</v>
      </c>
      <c r="AG44" s="30" t="s">
        <v>377</v>
      </c>
      <c r="AH44" s="31">
        <v>49725</v>
      </c>
      <c r="AI44" s="32">
        <v>0</v>
      </c>
    </row>
    <row r="45" spans="1:35" x14ac:dyDescent="0.25">
      <c r="A45" s="19">
        <v>44</v>
      </c>
      <c r="B45" s="19" t="s">
        <v>33</v>
      </c>
      <c r="C45" s="19" t="s">
        <v>386</v>
      </c>
      <c r="D45" s="20">
        <v>45505</v>
      </c>
      <c r="E45" s="21" t="s">
        <v>35</v>
      </c>
      <c r="F45" s="19" t="s">
        <v>387</v>
      </c>
      <c r="G45" s="22">
        <v>45515</v>
      </c>
      <c r="H45" s="22">
        <v>45879</v>
      </c>
      <c r="I45" s="23" t="s">
        <v>388</v>
      </c>
      <c r="J45" s="24">
        <v>3520187546703</v>
      </c>
      <c r="K45" s="23" t="s">
        <v>182</v>
      </c>
      <c r="L45" s="19" t="s">
        <v>389</v>
      </c>
      <c r="M45" s="19" t="s">
        <v>390</v>
      </c>
      <c r="N45" s="19" t="s">
        <v>391</v>
      </c>
      <c r="O45" s="19" t="s">
        <v>386</v>
      </c>
      <c r="P45" s="25" t="s">
        <v>61</v>
      </c>
      <c r="Q45" s="19" t="s">
        <v>392</v>
      </c>
      <c r="R45" s="19" t="s">
        <v>393</v>
      </c>
      <c r="S45" s="22">
        <v>44788</v>
      </c>
      <c r="T45" s="22">
        <v>45874</v>
      </c>
      <c r="U45" s="26">
        <v>2700000</v>
      </c>
      <c r="V45" s="19">
        <v>15</v>
      </c>
      <c r="W45" s="27">
        <v>405000</v>
      </c>
      <c r="X45" s="27">
        <v>2295000</v>
      </c>
      <c r="Y45" s="28">
        <v>2</v>
      </c>
      <c r="Z45" s="27">
        <v>45900</v>
      </c>
      <c r="AA45" s="19"/>
      <c r="AB45" s="25" t="s">
        <v>45</v>
      </c>
      <c r="AC45" s="24">
        <v>1141070718</v>
      </c>
      <c r="AD45" s="29">
        <v>45565</v>
      </c>
      <c r="AE45" s="19" t="s">
        <v>46</v>
      </c>
      <c r="AF45" s="19">
        <v>0</v>
      </c>
      <c r="AG45" s="30" t="s">
        <v>387</v>
      </c>
      <c r="AH45" s="31">
        <v>45900</v>
      </c>
      <c r="AI45" s="32">
        <v>0</v>
      </c>
    </row>
    <row r="46" spans="1:35" x14ac:dyDescent="0.25">
      <c r="A46" s="19">
        <v>45</v>
      </c>
      <c r="B46" s="19" t="s">
        <v>33</v>
      </c>
      <c r="C46" s="19" t="s">
        <v>394</v>
      </c>
      <c r="D46" s="20">
        <v>45505</v>
      </c>
      <c r="E46" s="21" t="s">
        <v>35</v>
      </c>
      <c r="F46" s="19" t="s">
        <v>395</v>
      </c>
      <c r="G46" s="22">
        <v>45515</v>
      </c>
      <c r="H46" s="22">
        <v>45879</v>
      </c>
      <c r="I46" s="23" t="s">
        <v>396</v>
      </c>
      <c r="J46" s="24">
        <v>3740541089201</v>
      </c>
      <c r="K46" s="23" t="s">
        <v>124</v>
      </c>
      <c r="L46" s="19" t="s">
        <v>397</v>
      </c>
      <c r="M46" s="19" t="s">
        <v>398</v>
      </c>
      <c r="N46" s="19" t="s">
        <v>399</v>
      </c>
      <c r="O46" s="19" t="s">
        <v>394</v>
      </c>
      <c r="P46" s="25" t="s">
        <v>61</v>
      </c>
      <c r="Q46" s="19" t="s">
        <v>79</v>
      </c>
      <c r="R46" s="19" t="s">
        <v>400</v>
      </c>
      <c r="S46" s="22">
        <v>44792</v>
      </c>
      <c r="T46" s="22">
        <v>46636</v>
      </c>
      <c r="U46" s="26">
        <v>2800000</v>
      </c>
      <c r="V46" s="19">
        <v>15</v>
      </c>
      <c r="W46" s="27">
        <v>420000</v>
      </c>
      <c r="X46" s="27">
        <v>2380000</v>
      </c>
      <c r="Y46" s="28">
        <v>2</v>
      </c>
      <c r="Z46" s="27">
        <v>47600</v>
      </c>
      <c r="AA46" s="19"/>
      <c r="AB46" s="25" t="s">
        <v>45</v>
      </c>
      <c r="AC46" s="24">
        <v>1141070718</v>
      </c>
      <c r="AD46" s="29">
        <v>45565</v>
      </c>
      <c r="AE46" s="19" t="s">
        <v>46</v>
      </c>
      <c r="AF46" s="19">
        <v>0</v>
      </c>
      <c r="AG46" s="30" t="s">
        <v>395</v>
      </c>
      <c r="AH46" s="31">
        <v>47600</v>
      </c>
      <c r="AI46" s="32">
        <v>0</v>
      </c>
    </row>
    <row r="47" spans="1:35" x14ac:dyDescent="0.25">
      <c r="A47" s="19">
        <v>46</v>
      </c>
      <c r="B47" s="19" t="s">
        <v>33</v>
      </c>
      <c r="C47" s="19" t="s">
        <v>401</v>
      </c>
      <c r="D47" s="20">
        <v>45505</v>
      </c>
      <c r="E47" s="21" t="s">
        <v>35</v>
      </c>
      <c r="F47" s="19" t="s">
        <v>402</v>
      </c>
      <c r="G47" s="22">
        <v>45515</v>
      </c>
      <c r="H47" s="22">
        <v>45879</v>
      </c>
      <c r="I47" s="23" t="s">
        <v>403</v>
      </c>
      <c r="J47" s="24">
        <v>3120222441655</v>
      </c>
      <c r="K47" s="23" t="s">
        <v>132</v>
      </c>
      <c r="L47" s="19" t="s">
        <v>404</v>
      </c>
      <c r="M47" s="19" t="s">
        <v>405</v>
      </c>
      <c r="N47" s="19" t="s">
        <v>406</v>
      </c>
      <c r="O47" s="19" t="s">
        <v>401</v>
      </c>
      <c r="P47" s="25" t="s">
        <v>61</v>
      </c>
      <c r="Q47" s="19" t="s">
        <v>79</v>
      </c>
      <c r="R47" s="19" t="s">
        <v>407</v>
      </c>
      <c r="S47" s="22">
        <v>44792</v>
      </c>
      <c r="T47" s="22">
        <v>45905</v>
      </c>
      <c r="U47" s="26">
        <v>1546000</v>
      </c>
      <c r="V47" s="19">
        <v>15</v>
      </c>
      <c r="W47" s="27">
        <v>231900</v>
      </c>
      <c r="X47" s="27">
        <v>1314100</v>
      </c>
      <c r="Y47" s="28">
        <v>2.5</v>
      </c>
      <c r="Z47" s="27">
        <v>32852.5</v>
      </c>
      <c r="AA47" s="19"/>
      <c r="AB47" s="25" t="s">
        <v>45</v>
      </c>
      <c r="AC47" s="24">
        <v>1141070718</v>
      </c>
      <c r="AD47" s="29">
        <v>45565</v>
      </c>
      <c r="AE47" s="19" t="s">
        <v>46</v>
      </c>
      <c r="AF47" s="19">
        <v>5</v>
      </c>
      <c r="AG47" s="30" t="s">
        <v>402</v>
      </c>
      <c r="AH47" s="31">
        <v>32853</v>
      </c>
      <c r="AI47" s="32">
        <v>-0.5</v>
      </c>
    </row>
    <row r="48" spans="1:35" x14ac:dyDescent="0.25">
      <c r="A48" s="19">
        <v>47</v>
      </c>
      <c r="B48" s="19" t="s">
        <v>33</v>
      </c>
      <c r="C48" s="19" t="s">
        <v>408</v>
      </c>
      <c r="D48" s="20">
        <v>45505</v>
      </c>
      <c r="E48" s="21" t="s">
        <v>35</v>
      </c>
      <c r="F48" s="19" t="s">
        <v>409</v>
      </c>
      <c r="G48" s="22">
        <v>45515</v>
      </c>
      <c r="H48" s="22">
        <v>45879</v>
      </c>
      <c r="I48" s="23" t="s">
        <v>410</v>
      </c>
      <c r="J48" s="24">
        <v>3520210531319</v>
      </c>
      <c r="K48" s="23" t="s">
        <v>292</v>
      </c>
      <c r="L48" s="19" t="s">
        <v>411</v>
      </c>
      <c r="M48" s="19" t="s">
        <v>412</v>
      </c>
      <c r="N48" s="19" t="s">
        <v>413</v>
      </c>
      <c r="O48" s="19" t="s">
        <v>408</v>
      </c>
      <c r="P48" s="25" t="s">
        <v>61</v>
      </c>
      <c r="Q48" s="19" t="s">
        <v>79</v>
      </c>
      <c r="R48" s="19" t="s">
        <v>414</v>
      </c>
      <c r="S48" s="22">
        <v>44790</v>
      </c>
      <c r="T48" s="22">
        <v>45905</v>
      </c>
      <c r="U48" s="26">
        <v>1870000</v>
      </c>
      <c r="V48" s="19">
        <v>15</v>
      </c>
      <c r="W48" s="27">
        <v>280500</v>
      </c>
      <c r="X48" s="27">
        <v>1589500</v>
      </c>
      <c r="Y48" s="28">
        <v>1.5</v>
      </c>
      <c r="Z48" s="27">
        <v>23842.5</v>
      </c>
      <c r="AA48" s="19"/>
      <c r="AB48" s="25" t="s">
        <v>45</v>
      </c>
      <c r="AC48" s="24">
        <v>1141070718</v>
      </c>
      <c r="AD48" s="29">
        <v>45565</v>
      </c>
      <c r="AE48" s="19" t="s">
        <v>46</v>
      </c>
      <c r="AF48" s="19">
        <v>5</v>
      </c>
      <c r="AG48" s="30" t="s">
        <v>409</v>
      </c>
      <c r="AH48" s="31">
        <v>23843</v>
      </c>
      <c r="AI48" s="32">
        <v>-0.5</v>
      </c>
    </row>
    <row r="49" spans="1:35" x14ac:dyDescent="0.25">
      <c r="A49" s="19">
        <v>48</v>
      </c>
      <c r="B49" s="19" t="s">
        <v>33</v>
      </c>
      <c r="C49" s="19" t="s">
        <v>415</v>
      </c>
      <c r="D49" s="20">
        <v>45505</v>
      </c>
      <c r="E49" s="21" t="s">
        <v>35</v>
      </c>
      <c r="F49" s="19" t="s">
        <v>416</v>
      </c>
      <c r="G49" s="22">
        <v>45516</v>
      </c>
      <c r="H49" s="22">
        <v>45880</v>
      </c>
      <c r="I49" s="23" t="s">
        <v>417</v>
      </c>
      <c r="J49" s="24">
        <v>4210175316047</v>
      </c>
      <c r="K49" s="23" t="s">
        <v>140</v>
      </c>
      <c r="L49" s="19" t="s">
        <v>418</v>
      </c>
      <c r="M49" s="19" t="s">
        <v>419</v>
      </c>
      <c r="N49" s="19" t="s">
        <v>420</v>
      </c>
      <c r="O49" s="19" t="s">
        <v>415</v>
      </c>
      <c r="P49" s="25" t="s">
        <v>167</v>
      </c>
      <c r="Q49" s="19" t="s">
        <v>168</v>
      </c>
      <c r="R49" s="19" t="s">
        <v>421</v>
      </c>
      <c r="S49" s="22">
        <v>44791</v>
      </c>
      <c r="T49" s="22">
        <v>46636</v>
      </c>
      <c r="U49" s="26">
        <v>1650000</v>
      </c>
      <c r="V49" s="19">
        <v>15</v>
      </c>
      <c r="W49" s="27">
        <v>247500</v>
      </c>
      <c r="X49" s="27">
        <v>1402500</v>
      </c>
      <c r="Y49" s="28">
        <v>2</v>
      </c>
      <c r="Z49" s="27">
        <v>28050</v>
      </c>
      <c r="AA49" s="19"/>
      <c r="AB49" s="25" t="s">
        <v>45</v>
      </c>
      <c r="AC49" s="24">
        <v>1141070718</v>
      </c>
      <c r="AD49" s="29">
        <v>45565</v>
      </c>
      <c r="AE49" s="19" t="s">
        <v>46</v>
      </c>
      <c r="AF49" s="19">
        <v>0</v>
      </c>
      <c r="AG49" s="30" t="s">
        <v>416</v>
      </c>
      <c r="AH49" s="31">
        <v>28050</v>
      </c>
      <c r="AI49" s="32">
        <v>0</v>
      </c>
    </row>
    <row r="50" spans="1:35" x14ac:dyDescent="0.25">
      <c r="A50" s="19">
        <v>49</v>
      </c>
      <c r="B50" s="19" t="s">
        <v>33</v>
      </c>
      <c r="C50" s="19" t="s">
        <v>422</v>
      </c>
      <c r="D50" s="20">
        <v>45505</v>
      </c>
      <c r="E50" s="21" t="s">
        <v>35</v>
      </c>
      <c r="F50" s="19" t="s">
        <v>423</v>
      </c>
      <c r="G50" s="22">
        <v>45519</v>
      </c>
      <c r="H50" s="22">
        <v>45883</v>
      </c>
      <c r="I50" s="23" t="s">
        <v>424</v>
      </c>
      <c r="J50" s="24">
        <v>3520205570131</v>
      </c>
      <c r="K50" s="23" t="s">
        <v>425</v>
      </c>
      <c r="L50" s="19" t="s">
        <v>426</v>
      </c>
      <c r="M50" s="19" t="s">
        <v>427</v>
      </c>
      <c r="N50" s="19" t="s">
        <v>428</v>
      </c>
      <c r="O50" s="19" t="s">
        <v>422</v>
      </c>
      <c r="P50" s="25" t="s">
        <v>61</v>
      </c>
      <c r="Q50" s="19" t="s">
        <v>79</v>
      </c>
      <c r="R50" s="19" t="s">
        <v>429</v>
      </c>
      <c r="S50" s="22">
        <v>44792</v>
      </c>
      <c r="T50" s="22">
        <v>46636</v>
      </c>
      <c r="U50" s="26">
        <v>1000000</v>
      </c>
      <c r="V50" s="19">
        <v>15</v>
      </c>
      <c r="W50" s="27">
        <v>150000</v>
      </c>
      <c r="X50" s="27">
        <v>850000</v>
      </c>
      <c r="Y50" s="28">
        <v>2</v>
      </c>
      <c r="Z50" s="27">
        <v>17000</v>
      </c>
      <c r="AA50" s="19"/>
      <c r="AB50" s="25" t="s">
        <v>45</v>
      </c>
      <c r="AC50" s="24">
        <v>1141070718</v>
      </c>
      <c r="AD50" s="29">
        <v>45565</v>
      </c>
      <c r="AE50" s="19" t="s">
        <v>46</v>
      </c>
      <c r="AF50" s="19">
        <v>0</v>
      </c>
      <c r="AG50" s="30" t="s">
        <v>423</v>
      </c>
      <c r="AH50" s="31">
        <v>17000</v>
      </c>
      <c r="AI50" s="32">
        <v>0</v>
      </c>
    </row>
    <row r="51" spans="1:35" x14ac:dyDescent="0.25">
      <c r="A51" s="19">
        <v>50</v>
      </c>
      <c r="B51" s="19" t="s">
        <v>33</v>
      </c>
      <c r="C51" s="19" t="s">
        <v>430</v>
      </c>
      <c r="D51" s="20">
        <v>45505</v>
      </c>
      <c r="E51" s="21" t="s">
        <v>35</v>
      </c>
      <c r="F51" s="19" t="s">
        <v>431</v>
      </c>
      <c r="G51" s="22">
        <v>45506</v>
      </c>
      <c r="H51" s="22">
        <v>45870</v>
      </c>
      <c r="I51" s="23" t="s">
        <v>432</v>
      </c>
      <c r="J51" s="24">
        <v>3520203084035</v>
      </c>
      <c r="K51" s="23" t="s">
        <v>198</v>
      </c>
      <c r="L51" s="19" t="s">
        <v>433</v>
      </c>
      <c r="M51" s="19" t="s">
        <v>434</v>
      </c>
      <c r="N51" s="19" t="s">
        <v>435</v>
      </c>
      <c r="O51" s="19" t="s">
        <v>430</v>
      </c>
      <c r="P51" s="25" t="s">
        <v>61</v>
      </c>
      <c r="Q51" s="19" t="s">
        <v>79</v>
      </c>
      <c r="R51" s="19" t="s">
        <v>436</v>
      </c>
      <c r="S51" s="22">
        <v>44788</v>
      </c>
      <c r="T51" s="22">
        <v>46604</v>
      </c>
      <c r="U51" s="26">
        <v>2219000</v>
      </c>
      <c r="V51" s="19">
        <v>15</v>
      </c>
      <c r="W51" s="27">
        <v>332850</v>
      </c>
      <c r="X51" s="27">
        <v>1886150</v>
      </c>
      <c r="Y51" s="28">
        <v>1.75</v>
      </c>
      <c r="Z51" s="27">
        <v>33007.625</v>
      </c>
      <c r="AA51" s="19"/>
      <c r="AB51" s="25" t="s">
        <v>45</v>
      </c>
      <c r="AC51" s="24">
        <v>1141070718</v>
      </c>
      <c r="AD51" s="29">
        <v>45565</v>
      </c>
      <c r="AE51" s="19" t="s">
        <v>46</v>
      </c>
      <c r="AF51" s="19">
        <v>5</v>
      </c>
      <c r="AG51" s="30" t="s">
        <v>431</v>
      </c>
      <c r="AH51" s="31">
        <v>33008</v>
      </c>
      <c r="AI51" s="32">
        <v>-0.375</v>
      </c>
    </row>
    <row r="52" spans="1:35" x14ac:dyDescent="0.25">
      <c r="A52" s="19">
        <v>51</v>
      </c>
      <c r="B52" s="19" t="s">
        <v>33</v>
      </c>
      <c r="C52" s="19" t="s">
        <v>437</v>
      </c>
      <c r="D52" s="20">
        <v>45505</v>
      </c>
      <c r="E52" s="21" t="s">
        <v>35</v>
      </c>
      <c r="F52" s="19" t="s">
        <v>438</v>
      </c>
      <c r="G52" s="22">
        <v>45519</v>
      </c>
      <c r="H52" s="22">
        <v>45883</v>
      </c>
      <c r="I52" s="23" t="s">
        <v>439</v>
      </c>
      <c r="J52" s="24">
        <v>3550102201903</v>
      </c>
      <c r="K52" s="23" t="s">
        <v>440</v>
      </c>
      <c r="L52" s="19" t="s">
        <v>441</v>
      </c>
      <c r="M52" s="19" t="s">
        <v>442</v>
      </c>
      <c r="N52" s="19" t="s">
        <v>443</v>
      </c>
      <c r="O52" s="19" t="s">
        <v>437</v>
      </c>
      <c r="P52" s="25" t="s">
        <v>61</v>
      </c>
      <c r="Q52" s="19" t="s">
        <v>79</v>
      </c>
      <c r="R52" s="19" t="s">
        <v>444</v>
      </c>
      <c r="S52" s="22">
        <v>44804</v>
      </c>
      <c r="T52" s="22">
        <v>46636</v>
      </c>
      <c r="U52" s="26">
        <v>4000920</v>
      </c>
      <c r="V52" s="19">
        <v>15</v>
      </c>
      <c r="W52" s="27">
        <v>600138</v>
      </c>
      <c r="X52" s="27">
        <v>3400782</v>
      </c>
      <c r="Y52" s="28">
        <v>1.5</v>
      </c>
      <c r="Z52" s="27">
        <v>51011.729999999996</v>
      </c>
      <c r="AA52" s="19"/>
      <c r="AB52" s="25" t="s">
        <v>45</v>
      </c>
      <c r="AC52" s="24">
        <v>1141070718</v>
      </c>
      <c r="AD52" s="29">
        <v>45565</v>
      </c>
      <c r="AE52" s="19" t="s">
        <v>46</v>
      </c>
      <c r="AF52" s="19">
        <v>5</v>
      </c>
      <c r="AG52" s="30" t="s">
        <v>438</v>
      </c>
      <c r="AH52" s="31">
        <v>51012</v>
      </c>
      <c r="AI52" s="32">
        <v>-0.27000000000407454</v>
      </c>
    </row>
    <row r="53" spans="1:35" x14ac:dyDescent="0.25">
      <c r="A53" s="19">
        <v>52</v>
      </c>
      <c r="B53" s="19" t="s">
        <v>33</v>
      </c>
      <c r="C53" s="19" t="s">
        <v>445</v>
      </c>
      <c r="D53" s="20">
        <v>45505</v>
      </c>
      <c r="E53" s="21" t="s">
        <v>35</v>
      </c>
      <c r="F53" s="19" t="s">
        <v>446</v>
      </c>
      <c r="G53" s="22">
        <v>45520</v>
      </c>
      <c r="H53" s="22">
        <v>45884</v>
      </c>
      <c r="I53" s="23" t="s">
        <v>447</v>
      </c>
      <c r="J53" s="24">
        <v>3520283971549</v>
      </c>
      <c r="K53" s="23" t="s">
        <v>237</v>
      </c>
      <c r="L53" s="19" t="s">
        <v>448</v>
      </c>
      <c r="M53" s="19" t="s">
        <v>449</v>
      </c>
      <c r="N53" s="19" t="s">
        <v>450</v>
      </c>
      <c r="O53" s="19" t="s">
        <v>445</v>
      </c>
      <c r="P53" s="25" t="s">
        <v>61</v>
      </c>
      <c r="Q53" s="19" t="s">
        <v>79</v>
      </c>
      <c r="R53" s="19" t="s">
        <v>451</v>
      </c>
      <c r="S53" s="22">
        <v>44792</v>
      </c>
      <c r="T53" s="22">
        <v>45905</v>
      </c>
      <c r="U53" s="26">
        <v>3700000</v>
      </c>
      <c r="V53" s="19">
        <v>15</v>
      </c>
      <c r="W53" s="27">
        <v>555000</v>
      </c>
      <c r="X53" s="27">
        <v>3145000</v>
      </c>
      <c r="Y53" s="28">
        <v>1.5</v>
      </c>
      <c r="Z53" s="27">
        <v>47175</v>
      </c>
      <c r="AA53" s="19"/>
      <c r="AB53" s="25" t="s">
        <v>45</v>
      </c>
      <c r="AC53" s="24">
        <v>1141070718</v>
      </c>
      <c r="AD53" s="29">
        <v>45565</v>
      </c>
      <c r="AE53" s="19" t="s">
        <v>46</v>
      </c>
      <c r="AF53" s="19">
        <v>5</v>
      </c>
      <c r="AG53" s="30" t="s">
        <v>446</v>
      </c>
      <c r="AH53" s="31">
        <v>47175</v>
      </c>
      <c r="AI53" s="32">
        <v>0</v>
      </c>
    </row>
    <row r="54" spans="1:35" x14ac:dyDescent="0.25">
      <c r="A54" s="19">
        <v>53</v>
      </c>
      <c r="B54" s="19" t="s">
        <v>33</v>
      </c>
      <c r="C54" s="19" t="s">
        <v>452</v>
      </c>
      <c r="D54" s="20">
        <v>45505</v>
      </c>
      <c r="E54" s="21" t="s">
        <v>35</v>
      </c>
      <c r="F54" s="19" t="s">
        <v>453</v>
      </c>
      <c r="G54" s="22">
        <v>45520</v>
      </c>
      <c r="H54" s="22">
        <v>45884</v>
      </c>
      <c r="I54" s="23" t="s">
        <v>454</v>
      </c>
      <c r="J54" s="24">
        <v>3310006596373</v>
      </c>
      <c r="K54" s="23" t="s">
        <v>124</v>
      </c>
      <c r="L54" s="19" t="s">
        <v>455</v>
      </c>
      <c r="M54" s="19" t="s">
        <v>456</v>
      </c>
      <c r="N54" s="19" t="s">
        <v>457</v>
      </c>
      <c r="O54" s="19" t="s">
        <v>452</v>
      </c>
      <c r="P54" s="25" t="s">
        <v>61</v>
      </c>
      <c r="Q54" s="19" t="s">
        <v>144</v>
      </c>
      <c r="R54" s="19" t="s">
        <v>458</v>
      </c>
      <c r="S54" s="22">
        <v>44792</v>
      </c>
      <c r="T54" s="22">
        <v>45905</v>
      </c>
      <c r="U54" s="26">
        <v>2329000</v>
      </c>
      <c r="V54" s="19">
        <v>15</v>
      </c>
      <c r="W54" s="27">
        <v>349350</v>
      </c>
      <c r="X54" s="27">
        <v>1979650</v>
      </c>
      <c r="Y54" s="28">
        <v>1.5</v>
      </c>
      <c r="Z54" s="27">
        <v>29694.75</v>
      </c>
      <c r="AA54" s="19"/>
      <c r="AB54" s="25" t="s">
        <v>45</v>
      </c>
      <c r="AC54" s="24">
        <v>1141070718</v>
      </c>
      <c r="AD54" s="29">
        <v>45565</v>
      </c>
      <c r="AE54" s="19" t="s">
        <v>46</v>
      </c>
      <c r="AF54" s="19">
        <v>0</v>
      </c>
      <c r="AG54" s="30" t="s">
        <v>453</v>
      </c>
      <c r="AH54" s="31">
        <v>29695</v>
      </c>
      <c r="AI54" s="32">
        <v>-0.25</v>
      </c>
    </row>
    <row r="55" spans="1:35" x14ac:dyDescent="0.25">
      <c r="A55" s="19">
        <v>54</v>
      </c>
      <c r="B55" s="19" t="s">
        <v>33</v>
      </c>
      <c r="C55" s="19" t="s">
        <v>459</v>
      </c>
      <c r="D55" s="20">
        <v>45505</v>
      </c>
      <c r="E55" s="21" t="s">
        <v>35</v>
      </c>
      <c r="F55" s="19" t="s">
        <v>460</v>
      </c>
      <c r="G55" s="22">
        <v>45521</v>
      </c>
      <c r="H55" s="22">
        <v>45885</v>
      </c>
      <c r="I55" s="23" t="s">
        <v>461</v>
      </c>
      <c r="J55" s="24">
        <v>6110109032591</v>
      </c>
      <c r="K55" s="23" t="s">
        <v>101</v>
      </c>
      <c r="L55" s="19" t="s">
        <v>462</v>
      </c>
      <c r="M55" s="19" t="s">
        <v>463</v>
      </c>
      <c r="N55" s="19" t="s">
        <v>464</v>
      </c>
      <c r="O55" s="19" t="s">
        <v>459</v>
      </c>
      <c r="P55" s="25" t="s">
        <v>42</v>
      </c>
      <c r="Q55" s="19" t="s">
        <v>43</v>
      </c>
      <c r="R55" s="19" t="s">
        <v>465</v>
      </c>
      <c r="S55" s="22">
        <v>44791</v>
      </c>
      <c r="T55" s="22">
        <v>46636</v>
      </c>
      <c r="U55" s="26">
        <v>1886000</v>
      </c>
      <c r="V55" s="19">
        <v>15</v>
      </c>
      <c r="W55" s="27">
        <v>282900</v>
      </c>
      <c r="X55" s="27">
        <v>1603100</v>
      </c>
      <c r="Y55" s="28">
        <v>1.75</v>
      </c>
      <c r="Z55" s="27">
        <v>28054.250000000004</v>
      </c>
      <c r="AA55" s="19"/>
      <c r="AB55" s="25" t="s">
        <v>45</v>
      </c>
      <c r="AC55" s="24">
        <v>1141070718</v>
      </c>
      <c r="AD55" s="29">
        <v>45565</v>
      </c>
      <c r="AE55" s="19" t="s">
        <v>46</v>
      </c>
      <c r="AF55" s="19">
        <v>0</v>
      </c>
      <c r="AG55" s="30" t="s">
        <v>460</v>
      </c>
      <c r="AH55" s="31">
        <v>28054</v>
      </c>
      <c r="AI55" s="32">
        <v>0.25000000000363798</v>
      </c>
    </row>
    <row r="56" spans="1:35" x14ac:dyDescent="0.25">
      <c r="A56" s="19">
        <v>55</v>
      </c>
      <c r="B56" s="19" t="s">
        <v>33</v>
      </c>
      <c r="C56" s="19" t="s">
        <v>466</v>
      </c>
      <c r="D56" s="20">
        <v>45505</v>
      </c>
      <c r="E56" s="21" t="s">
        <v>35</v>
      </c>
      <c r="F56" s="19" t="s">
        <v>467</v>
      </c>
      <c r="G56" s="22">
        <v>45521</v>
      </c>
      <c r="H56" s="22">
        <v>45885</v>
      </c>
      <c r="I56" s="23" t="s">
        <v>468</v>
      </c>
      <c r="J56" s="24">
        <v>3520152943087</v>
      </c>
      <c r="K56" s="23" t="s">
        <v>132</v>
      </c>
      <c r="L56" s="19" t="s">
        <v>469</v>
      </c>
      <c r="M56" s="19" t="s">
        <v>470</v>
      </c>
      <c r="N56" s="19" t="s">
        <v>471</v>
      </c>
      <c r="O56" s="19" t="s">
        <v>466</v>
      </c>
      <c r="P56" s="25" t="s">
        <v>61</v>
      </c>
      <c r="Q56" s="19" t="s">
        <v>79</v>
      </c>
      <c r="R56" s="19" t="s">
        <v>472</v>
      </c>
      <c r="S56" s="22">
        <v>44792</v>
      </c>
      <c r="T56" s="22">
        <v>46636</v>
      </c>
      <c r="U56" s="26">
        <v>1546000</v>
      </c>
      <c r="V56" s="19">
        <v>15</v>
      </c>
      <c r="W56" s="27">
        <v>231900</v>
      </c>
      <c r="X56" s="27">
        <v>1314100</v>
      </c>
      <c r="Y56" s="28">
        <v>2.5</v>
      </c>
      <c r="Z56" s="27">
        <v>32852.5</v>
      </c>
      <c r="AA56" s="19"/>
      <c r="AB56" s="25" t="s">
        <v>45</v>
      </c>
      <c r="AC56" s="24">
        <v>1141070718</v>
      </c>
      <c r="AD56" s="29">
        <v>45565</v>
      </c>
      <c r="AE56" s="19" t="s">
        <v>46</v>
      </c>
      <c r="AF56" s="19">
        <v>5</v>
      </c>
      <c r="AG56" s="30" t="s">
        <v>467</v>
      </c>
      <c r="AH56" s="31">
        <v>32853</v>
      </c>
      <c r="AI56" s="32">
        <v>-0.5</v>
      </c>
    </row>
    <row r="57" spans="1:35" x14ac:dyDescent="0.25">
      <c r="A57" s="19">
        <v>56</v>
      </c>
      <c r="B57" s="19" t="s">
        <v>33</v>
      </c>
      <c r="C57" s="19" t="s">
        <v>473</v>
      </c>
      <c r="D57" s="20">
        <v>45505</v>
      </c>
      <c r="E57" s="21" t="s">
        <v>35</v>
      </c>
      <c r="F57" s="19" t="s">
        <v>474</v>
      </c>
      <c r="G57" s="22">
        <v>45526</v>
      </c>
      <c r="H57" s="22">
        <v>45890</v>
      </c>
      <c r="I57" s="23" t="s">
        <v>475</v>
      </c>
      <c r="J57" s="24">
        <v>3110181835145</v>
      </c>
      <c r="K57" s="23" t="s">
        <v>132</v>
      </c>
      <c r="L57" s="19" t="s">
        <v>476</v>
      </c>
      <c r="M57" s="19" t="s">
        <v>477</v>
      </c>
      <c r="N57" s="19" t="s">
        <v>478</v>
      </c>
      <c r="O57" s="19" t="s">
        <v>473</v>
      </c>
      <c r="P57" s="25" t="s">
        <v>61</v>
      </c>
      <c r="Q57" s="19" t="s">
        <v>479</v>
      </c>
      <c r="R57" s="19" t="s">
        <v>480</v>
      </c>
      <c r="S57" s="22">
        <v>44799</v>
      </c>
      <c r="T57" s="22">
        <v>46636</v>
      </c>
      <c r="U57" s="26">
        <v>1306000</v>
      </c>
      <c r="V57" s="19">
        <v>15</v>
      </c>
      <c r="W57" s="27">
        <v>195900</v>
      </c>
      <c r="X57" s="27">
        <v>1110100</v>
      </c>
      <c r="Y57" s="28">
        <v>1.75</v>
      </c>
      <c r="Z57" s="27">
        <v>19426.750000000004</v>
      </c>
      <c r="AA57" s="19"/>
      <c r="AB57" s="25" t="s">
        <v>45</v>
      </c>
      <c r="AC57" s="24">
        <v>1141070718</v>
      </c>
      <c r="AD57" s="29">
        <v>45565</v>
      </c>
      <c r="AE57" s="19" t="s">
        <v>46</v>
      </c>
      <c r="AF57" s="19">
        <v>5</v>
      </c>
      <c r="AG57" s="30" t="s">
        <v>474</v>
      </c>
      <c r="AH57" s="31">
        <v>19427</v>
      </c>
      <c r="AI57" s="32">
        <v>-0.24999999999636202</v>
      </c>
    </row>
    <row r="58" spans="1:35" x14ac:dyDescent="0.25">
      <c r="A58" s="19">
        <v>57</v>
      </c>
      <c r="B58" s="19" t="s">
        <v>33</v>
      </c>
      <c r="C58" s="19" t="s">
        <v>481</v>
      </c>
      <c r="D58" s="20">
        <v>45505</v>
      </c>
      <c r="E58" s="21" t="s">
        <v>35</v>
      </c>
      <c r="F58" s="19" t="s">
        <v>482</v>
      </c>
      <c r="G58" s="22">
        <v>45526</v>
      </c>
      <c r="H58" s="22">
        <v>45890</v>
      </c>
      <c r="I58" s="23" t="s">
        <v>483</v>
      </c>
      <c r="J58" s="24">
        <v>3520116523491</v>
      </c>
      <c r="K58" s="23" t="s">
        <v>124</v>
      </c>
      <c r="L58" s="19" t="s">
        <v>484</v>
      </c>
      <c r="M58" s="19" t="s">
        <v>485</v>
      </c>
      <c r="N58" s="19" t="s">
        <v>486</v>
      </c>
      <c r="O58" s="19" t="s">
        <v>481</v>
      </c>
      <c r="P58" s="25" t="s">
        <v>61</v>
      </c>
      <c r="Q58" s="19" t="s">
        <v>79</v>
      </c>
      <c r="R58" s="19" t="s">
        <v>487</v>
      </c>
      <c r="S58" s="22">
        <v>44799</v>
      </c>
      <c r="T58" s="22">
        <v>46636</v>
      </c>
      <c r="U58" s="26">
        <v>2875000</v>
      </c>
      <c r="V58" s="19">
        <v>15</v>
      </c>
      <c r="W58" s="27">
        <v>431250</v>
      </c>
      <c r="X58" s="27">
        <v>2443750</v>
      </c>
      <c r="Y58" s="28">
        <v>2.5</v>
      </c>
      <c r="Z58" s="27">
        <v>61093.75</v>
      </c>
      <c r="AA58" s="19"/>
      <c r="AB58" s="25" t="s">
        <v>45</v>
      </c>
      <c r="AC58" s="24">
        <v>1141070718</v>
      </c>
      <c r="AD58" s="29">
        <v>45565</v>
      </c>
      <c r="AE58" s="19" t="s">
        <v>46</v>
      </c>
      <c r="AF58" s="19">
        <v>5</v>
      </c>
      <c r="AG58" s="30" t="s">
        <v>482</v>
      </c>
      <c r="AH58" s="31">
        <v>61094</v>
      </c>
      <c r="AI58" s="32">
        <v>-0.25</v>
      </c>
    </row>
    <row r="59" spans="1:35" x14ac:dyDescent="0.25">
      <c r="A59" s="19">
        <v>58</v>
      </c>
      <c r="B59" s="19" t="s">
        <v>33</v>
      </c>
      <c r="C59" s="19" t="s">
        <v>488</v>
      </c>
      <c r="D59" s="20">
        <v>45505</v>
      </c>
      <c r="E59" s="21" t="s">
        <v>35</v>
      </c>
      <c r="F59" s="19" t="s">
        <v>489</v>
      </c>
      <c r="G59" s="22">
        <v>45526</v>
      </c>
      <c r="H59" s="22">
        <v>45890</v>
      </c>
      <c r="I59" s="23" t="s">
        <v>490</v>
      </c>
      <c r="J59" s="24">
        <v>3520014847555</v>
      </c>
      <c r="K59" s="23" t="s">
        <v>491</v>
      </c>
      <c r="L59" s="19" t="s">
        <v>492</v>
      </c>
      <c r="M59" s="19" t="s">
        <v>493</v>
      </c>
      <c r="N59" s="19" t="s">
        <v>494</v>
      </c>
      <c r="O59" s="19" t="s">
        <v>488</v>
      </c>
      <c r="P59" s="25" t="s">
        <v>61</v>
      </c>
      <c r="Q59" s="19" t="s">
        <v>79</v>
      </c>
      <c r="R59" s="19" t="s">
        <v>495</v>
      </c>
      <c r="S59" s="22">
        <v>44797</v>
      </c>
      <c r="T59" s="22">
        <v>45905</v>
      </c>
      <c r="U59" s="26">
        <v>3100000</v>
      </c>
      <c r="V59" s="19">
        <v>15</v>
      </c>
      <c r="W59" s="27">
        <v>465000</v>
      </c>
      <c r="X59" s="27">
        <v>2635000</v>
      </c>
      <c r="Y59" s="28">
        <v>1.5</v>
      </c>
      <c r="Z59" s="27">
        <v>39525</v>
      </c>
      <c r="AA59" s="19"/>
      <c r="AB59" s="25" t="s">
        <v>45</v>
      </c>
      <c r="AC59" s="24">
        <v>1141070718</v>
      </c>
      <c r="AD59" s="29">
        <v>45565</v>
      </c>
      <c r="AE59" s="19" t="s">
        <v>46</v>
      </c>
      <c r="AF59" s="19">
        <v>5</v>
      </c>
      <c r="AG59" s="30" t="s">
        <v>489</v>
      </c>
      <c r="AH59" s="31">
        <v>39525</v>
      </c>
      <c r="AI59" s="32">
        <v>0</v>
      </c>
    </row>
    <row r="60" spans="1:35" x14ac:dyDescent="0.25">
      <c r="A60" s="19">
        <v>59</v>
      </c>
      <c r="B60" s="19" t="s">
        <v>33</v>
      </c>
      <c r="C60" s="19" t="s">
        <v>496</v>
      </c>
      <c r="D60" s="20">
        <v>45505</v>
      </c>
      <c r="E60" s="21" t="s">
        <v>35</v>
      </c>
      <c r="F60" s="19" t="s">
        <v>497</v>
      </c>
      <c r="G60" s="22">
        <v>45526</v>
      </c>
      <c r="H60" s="22">
        <v>45890</v>
      </c>
      <c r="I60" s="23" t="s">
        <v>498</v>
      </c>
      <c r="J60" s="24">
        <v>4210186798251</v>
      </c>
      <c r="K60" s="23" t="s">
        <v>101</v>
      </c>
      <c r="L60" s="19" t="s">
        <v>499</v>
      </c>
      <c r="M60" s="19" t="s">
        <v>500</v>
      </c>
      <c r="N60" s="19" t="s">
        <v>501</v>
      </c>
      <c r="O60" s="19" t="s">
        <v>496</v>
      </c>
      <c r="P60" s="25" t="s">
        <v>167</v>
      </c>
      <c r="Q60" s="19" t="s">
        <v>168</v>
      </c>
      <c r="R60" s="19" t="s">
        <v>502</v>
      </c>
      <c r="S60" s="22">
        <v>44796</v>
      </c>
      <c r="T60" s="22">
        <v>45905</v>
      </c>
      <c r="U60" s="26">
        <v>1886000</v>
      </c>
      <c r="V60" s="19">
        <v>15</v>
      </c>
      <c r="W60" s="27">
        <v>282900</v>
      </c>
      <c r="X60" s="27">
        <v>1603100</v>
      </c>
      <c r="Y60" s="28">
        <v>2.5</v>
      </c>
      <c r="Z60" s="27">
        <v>40077.5</v>
      </c>
      <c r="AA60" s="19"/>
      <c r="AB60" s="25" t="s">
        <v>45</v>
      </c>
      <c r="AC60" s="24">
        <v>1141070718</v>
      </c>
      <c r="AD60" s="29">
        <v>45565</v>
      </c>
      <c r="AE60" s="19" t="s">
        <v>46</v>
      </c>
      <c r="AF60" s="19">
        <v>5</v>
      </c>
      <c r="AG60" s="30" t="s">
        <v>497</v>
      </c>
      <c r="AH60" s="31">
        <v>40078</v>
      </c>
      <c r="AI60" s="32">
        <v>-0.5</v>
      </c>
    </row>
    <row r="61" spans="1:35" x14ac:dyDescent="0.25">
      <c r="A61" s="19">
        <v>60</v>
      </c>
      <c r="B61" s="19" t="s">
        <v>33</v>
      </c>
      <c r="C61" s="19" t="s">
        <v>503</v>
      </c>
      <c r="D61" s="20">
        <v>45505</v>
      </c>
      <c r="E61" s="21" t="s">
        <v>35</v>
      </c>
      <c r="F61" s="19" t="s">
        <v>504</v>
      </c>
      <c r="G61" s="22">
        <v>45506</v>
      </c>
      <c r="H61" s="22">
        <v>45870</v>
      </c>
      <c r="I61" s="23" t="s">
        <v>505</v>
      </c>
      <c r="J61" s="24">
        <v>3310008605451</v>
      </c>
      <c r="K61" s="23" t="s">
        <v>132</v>
      </c>
      <c r="L61" s="19" t="s">
        <v>506</v>
      </c>
      <c r="M61" s="19" t="s">
        <v>507</v>
      </c>
      <c r="N61" s="19" t="s">
        <v>508</v>
      </c>
      <c r="O61" s="19" t="s">
        <v>503</v>
      </c>
      <c r="P61" s="25" t="s">
        <v>61</v>
      </c>
      <c r="Q61" s="19" t="s">
        <v>144</v>
      </c>
      <c r="R61" s="19" t="s">
        <v>509</v>
      </c>
      <c r="S61" s="22">
        <v>44788</v>
      </c>
      <c r="T61" s="22">
        <v>46604</v>
      </c>
      <c r="U61" s="26">
        <v>1306000</v>
      </c>
      <c r="V61" s="19">
        <v>15</v>
      </c>
      <c r="W61" s="27">
        <v>195900</v>
      </c>
      <c r="X61" s="27">
        <v>1110100</v>
      </c>
      <c r="Y61" s="28">
        <v>1.75</v>
      </c>
      <c r="Z61" s="27">
        <v>19426.750000000004</v>
      </c>
      <c r="AA61" s="19"/>
      <c r="AB61" s="25" t="s">
        <v>45</v>
      </c>
      <c r="AC61" s="24">
        <v>1141070718</v>
      </c>
      <c r="AD61" s="29">
        <v>45565</v>
      </c>
      <c r="AE61" s="19" t="s">
        <v>46</v>
      </c>
      <c r="AF61" s="19">
        <v>0</v>
      </c>
      <c r="AG61" s="30" t="s">
        <v>504</v>
      </c>
      <c r="AH61" s="31">
        <v>19427</v>
      </c>
      <c r="AI61" s="32">
        <v>-0.24999999999636202</v>
      </c>
    </row>
    <row r="62" spans="1:35" x14ac:dyDescent="0.25">
      <c r="A62" s="19">
        <v>61</v>
      </c>
      <c r="B62" s="19" t="s">
        <v>33</v>
      </c>
      <c r="C62" s="19" t="s">
        <v>510</v>
      </c>
      <c r="D62" s="20">
        <v>45505</v>
      </c>
      <c r="E62" s="21" t="s">
        <v>35</v>
      </c>
      <c r="F62" s="19" t="s">
        <v>511</v>
      </c>
      <c r="G62" s="22">
        <v>45527</v>
      </c>
      <c r="H62" s="22">
        <v>45891</v>
      </c>
      <c r="I62" s="23" t="s">
        <v>512</v>
      </c>
      <c r="J62" s="24" t="s">
        <v>513</v>
      </c>
      <c r="K62" s="23" t="s">
        <v>214</v>
      </c>
      <c r="L62" s="19" t="s">
        <v>514</v>
      </c>
      <c r="M62" s="19" t="s">
        <v>515</v>
      </c>
      <c r="N62" s="19" t="s">
        <v>516</v>
      </c>
      <c r="O62" s="19" t="s">
        <v>510</v>
      </c>
      <c r="P62" s="25" t="s">
        <v>61</v>
      </c>
      <c r="Q62" s="19" t="s">
        <v>79</v>
      </c>
      <c r="R62" s="19" t="s">
        <v>517</v>
      </c>
      <c r="S62" s="22">
        <v>44799</v>
      </c>
      <c r="T62" s="22">
        <v>46636</v>
      </c>
      <c r="U62" s="26">
        <v>2754000</v>
      </c>
      <c r="V62" s="19">
        <v>15</v>
      </c>
      <c r="W62" s="27">
        <v>413100</v>
      </c>
      <c r="X62" s="27">
        <v>2340900</v>
      </c>
      <c r="Y62" s="28">
        <v>2</v>
      </c>
      <c r="Z62" s="27">
        <v>46818</v>
      </c>
      <c r="AA62" s="19"/>
      <c r="AB62" s="25" t="s">
        <v>45</v>
      </c>
      <c r="AC62" s="24">
        <v>1141070718</v>
      </c>
      <c r="AD62" s="29">
        <v>45565</v>
      </c>
      <c r="AE62" s="19" t="s">
        <v>46</v>
      </c>
      <c r="AF62" s="19">
        <v>0</v>
      </c>
      <c r="AG62" s="30" t="s">
        <v>511</v>
      </c>
      <c r="AH62" s="31">
        <v>46818</v>
      </c>
      <c r="AI62" s="32">
        <v>0</v>
      </c>
    </row>
    <row r="63" spans="1:35" x14ac:dyDescent="0.25">
      <c r="A63" s="19">
        <v>62</v>
      </c>
      <c r="B63" s="19" t="s">
        <v>33</v>
      </c>
      <c r="C63" s="19" t="s">
        <v>518</v>
      </c>
      <c r="D63" s="20">
        <v>45505</v>
      </c>
      <c r="E63" s="21" t="s">
        <v>35</v>
      </c>
      <c r="F63" s="19" t="s">
        <v>519</v>
      </c>
      <c r="G63" s="22">
        <v>45527</v>
      </c>
      <c r="H63" s="22">
        <v>45891</v>
      </c>
      <c r="I63" s="23" t="s">
        <v>520</v>
      </c>
      <c r="J63" s="24">
        <v>3530179742325</v>
      </c>
      <c r="K63" s="23" t="s">
        <v>292</v>
      </c>
      <c r="L63" s="19" t="s">
        <v>521</v>
      </c>
      <c r="M63" s="19" t="s">
        <v>522</v>
      </c>
      <c r="N63" s="19" t="s">
        <v>523</v>
      </c>
      <c r="O63" s="19" t="s">
        <v>518</v>
      </c>
      <c r="P63" s="25" t="s">
        <v>61</v>
      </c>
      <c r="Q63" s="19" t="s">
        <v>79</v>
      </c>
      <c r="R63" s="19" t="s">
        <v>524</v>
      </c>
      <c r="S63" s="22">
        <v>44799</v>
      </c>
      <c r="T63" s="22">
        <v>46636</v>
      </c>
      <c r="U63" s="26">
        <v>1700000</v>
      </c>
      <c r="V63" s="19">
        <v>15</v>
      </c>
      <c r="W63" s="27">
        <v>255000</v>
      </c>
      <c r="X63" s="27">
        <v>1445000</v>
      </c>
      <c r="Y63" s="28">
        <v>2</v>
      </c>
      <c r="Z63" s="27">
        <v>28900</v>
      </c>
      <c r="AA63" s="19"/>
      <c r="AB63" s="25" t="s">
        <v>45</v>
      </c>
      <c r="AC63" s="24">
        <v>1141070718</v>
      </c>
      <c r="AD63" s="29">
        <v>45565</v>
      </c>
      <c r="AE63" s="19" t="s">
        <v>46</v>
      </c>
      <c r="AF63" s="19">
        <v>5</v>
      </c>
      <c r="AG63" s="33" t="s">
        <v>519</v>
      </c>
      <c r="AH63" s="31">
        <v>28900</v>
      </c>
      <c r="AI63" s="32">
        <f>Z63-AH63</f>
        <v>0</v>
      </c>
    </row>
    <row r="64" spans="1:35" x14ac:dyDescent="0.25">
      <c r="A64" s="19">
        <v>63</v>
      </c>
      <c r="B64" s="19" t="s">
        <v>33</v>
      </c>
      <c r="C64" s="19" t="s">
        <v>525</v>
      </c>
      <c r="D64" s="20">
        <v>45505</v>
      </c>
      <c r="E64" s="21" t="s">
        <v>35</v>
      </c>
      <c r="F64" s="19" t="s">
        <v>526</v>
      </c>
      <c r="G64" s="22">
        <v>45528</v>
      </c>
      <c r="H64" s="22">
        <v>45892</v>
      </c>
      <c r="I64" s="23" t="s">
        <v>527</v>
      </c>
      <c r="J64" s="24">
        <v>4210198495595</v>
      </c>
      <c r="K64" s="23" t="s">
        <v>528</v>
      </c>
      <c r="L64" s="19" t="s">
        <v>529</v>
      </c>
      <c r="M64" s="19" t="s">
        <v>530</v>
      </c>
      <c r="N64" s="19" t="s">
        <v>531</v>
      </c>
      <c r="O64" s="19" t="s">
        <v>525</v>
      </c>
      <c r="P64" s="25" t="s">
        <v>167</v>
      </c>
      <c r="Q64" s="19" t="s">
        <v>168</v>
      </c>
      <c r="R64" s="19" t="s">
        <v>532</v>
      </c>
      <c r="S64" s="22">
        <v>44802</v>
      </c>
      <c r="T64" s="22">
        <v>46270</v>
      </c>
      <c r="U64" s="26">
        <v>1546000</v>
      </c>
      <c r="V64" s="19">
        <v>15</v>
      </c>
      <c r="W64" s="27">
        <v>231900</v>
      </c>
      <c r="X64" s="27">
        <v>1314100</v>
      </c>
      <c r="Y64" s="28">
        <v>2.5</v>
      </c>
      <c r="Z64" s="27">
        <v>32852.5</v>
      </c>
      <c r="AA64" s="19"/>
      <c r="AB64" s="25" t="s">
        <v>45</v>
      </c>
      <c r="AC64" s="24">
        <v>1141070718</v>
      </c>
      <c r="AD64" s="29">
        <v>45565</v>
      </c>
      <c r="AE64" s="19" t="s">
        <v>46</v>
      </c>
      <c r="AF64" s="19">
        <v>0</v>
      </c>
      <c r="AG64" s="30" t="s">
        <v>526</v>
      </c>
      <c r="AH64" s="31">
        <v>32853</v>
      </c>
      <c r="AI64" s="32">
        <v>-0.5</v>
      </c>
    </row>
    <row r="65" spans="1:35" x14ac:dyDescent="0.25">
      <c r="A65" s="19">
        <v>64</v>
      </c>
      <c r="B65" s="19" t="s">
        <v>33</v>
      </c>
      <c r="C65" s="19" t="s">
        <v>533</v>
      </c>
      <c r="D65" s="20">
        <v>45505</v>
      </c>
      <c r="E65" s="21" t="s">
        <v>35</v>
      </c>
      <c r="F65" s="19" t="s">
        <v>534</v>
      </c>
      <c r="G65" s="22">
        <v>45528</v>
      </c>
      <c r="H65" s="22">
        <v>45892</v>
      </c>
      <c r="I65" s="23" t="s">
        <v>535</v>
      </c>
      <c r="J65" s="24">
        <v>3310067483373</v>
      </c>
      <c r="K65" s="23" t="s">
        <v>292</v>
      </c>
      <c r="L65" s="19" t="s">
        <v>536</v>
      </c>
      <c r="M65" s="19" t="s">
        <v>537</v>
      </c>
      <c r="N65" s="19" t="s">
        <v>538</v>
      </c>
      <c r="O65" s="19" t="s">
        <v>533</v>
      </c>
      <c r="P65" s="25" t="s">
        <v>61</v>
      </c>
      <c r="Q65" s="19" t="s">
        <v>144</v>
      </c>
      <c r="R65" s="19" t="s">
        <v>539</v>
      </c>
      <c r="S65" s="22">
        <v>44802</v>
      </c>
      <c r="T65" s="22">
        <v>46636</v>
      </c>
      <c r="U65" s="26">
        <v>1750000</v>
      </c>
      <c r="V65" s="19">
        <v>15</v>
      </c>
      <c r="W65" s="27">
        <v>262500</v>
      </c>
      <c r="X65" s="27">
        <v>1487500</v>
      </c>
      <c r="Y65" s="28">
        <v>2</v>
      </c>
      <c r="Z65" s="27">
        <v>29750</v>
      </c>
      <c r="AA65" s="19"/>
      <c r="AB65" s="25" t="s">
        <v>45</v>
      </c>
      <c r="AC65" s="24">
        <v>1141070718</v>
      </c>
      <c r="AD65" s="29">
        <v>45565</v>
      </c>
      <c r="AE65" s="19" t="s">
        <v>46</v>
      </c>
      <c r="AF65" s="19">
        <v>5</v>
      </c>
      <c r="AG65" s="30" t="s">
        <v>534</v>
      </c>
      <c r="AH65" s="31">
        <v>29750</v>
      </c>
      <c r="AI65" s="32">
        <v>0</v>
      </c>
    </row>
    <row r="66" spans="1:35" x14ac:dyDescent="0.25">
      <c r="A66" s="19">
        <v>65</v>
      </c>
      <c r="B66" s="19" t="s">
        <v>33</v>
      </c>
      <c r="C66" s="19" t="s">
        <v>540</v>
      </c>
      <c r="D66" s="20">
        <v>45505</v>
      </c>
      <c r="E66" s="21" t="s">
        <v>35</v>
      </c>
      <c r="F66" s="19" t="s">
        <v>541</v>
      </c>
      <c r="G66" s="22">
        <v>45529</v>
      </c>
      <c r="H66" s="22">
        <v>45893</v>
      </c>
      <c r="I66" s="23" t="s">
        <v>542</v>
      </c>
      <c r="J66" s="24">
        <v>3520259439115</v>
      </c>
      <c r="K66" s="23" t="s">
        <v>132</v>
      </c>
      <c r="L66" s="19" t="s">
        <v>543</v>
      </c>
      <c r="M66" s="19" t="s">
        <v>544</v>
      </c>
      <c r="N66" s="19" t="s">
        <v>545</v>
      </c>
      <c r="O66" s="19" t="s">
        <v>540</v>
      </c>
      <c r="P66" s="25" t="s">
        <v>61</v>
      </c>
      <c r="Q66" s="19" t="s">
        <v>79</v>
      </c>
      <c r="R66" s="19" t="s">
        <v>546</v>
      </c>
      <c r="S66" s="22">
        <v>44799</v>
      </c>
      <c r="T66" s="22">
        <v>46636</v>
      </c>
      <c r="U66" s="26">
        <v>1306000</v>
      </c>
      <c r="V66" s="19">
        <v>15</v>
      </c>
      <c r="W66" s="27">
        <v>195900</v>
      </c>
      <c r="X66" s="27">
        <v>1110100</v>
      </c>
      <c r="Y66" s="28">
        <v>2.5</v>
      </c>
      <c r="Z66" s="27">
        <v>27752.5</v>
      </c>
      <c r="AA66" s="19"/>
      <c r="AB66" s="25" t="s">
        <v>45</v>
      </c>
      <c r="AC66" s="24">
        <v>1141070718</v>
      </c>
      <c r="AD66" s="29">
        <v>45565</v>
      </c>
      <c r="AE66" s="19" t="s">
        <v>46</v>
      </c>
      <c r="AF66" s="19">
        <v>5</v>
      </c>
      <c r="AG66" s="30" t="s">
        <v>541</v>
      </c>
      <c r="AH66" s="31">
        <v>27753</v>
      </c>
      <c r="AI66" s="32">
        <v>-0.5</v>
      </c>
    </row>
    <row r="67" spans="1:35" x14ac:dyDescent="0.25">
      <c r="A67" s="19">
        <v>66</v>
      </c>
      <c r="B67" s="19" t="s">
        <v>33</v>
      </c>
      <c r="C67" s="19" t="s">
        <v>547</v>
      </c>
      <c r="D67" s="20">
        <v>45505</v>
      </c>
      <c r="E67" s="21" t="s">
        <v>35</v>
      </c>
      <c r="F67" s="19" t="s">
        <v>548</v>
      </c>
      <c r="G67" s="22">
        <v>45529</v>
      </c>
      <c r="H67" s="22">
        <v>45893</v>
      </c>
      <c r="I67" s="23" t="s">
        <v>549</v>
      </c>
      <c r="J67" s="24">
        <v>3520234993201</v>
      </c>
      <c r="K67" s="23" t="s">
        <v>307</v>
      </c>
      <c r="L67" s="19" t="s">
        <v>550</v>
      </c>
      <c r="M67" s="19" t="s">
        <v>551</v>
      </c>
      <c r="N67" s="19" t="s">
        <v>552</v>
      </c>
      <c r="O67" s="19" t="s">
        <v>547</v>
      </c>
      <c r="P67" s="25" t="s">
        <v>61</v>
      </c>
      <c r="Q67" s="19" t="s">
        <v>79</v>
      </c>
      <c r="R67" s="19" t="s">
        <v>553</v>
      </c>
      <c r="S67" s="22">
        <v>44803</v>
      </c>
      <c r="T67" s="22">
        <v>46636</v>
      </c>
      <c r="U67" s="26">
        <v>2564000</v>
      </c>
      <c r="V67" s="19">
        <v>15</v>
      </c>
      <c r="W67" s="27">
        <v>384600</v>
      </c>
      <c r="X67" s="27">
        <v>2179400</v>
      </c>
      <c r="Y67" s="28">
        <v>2</v>
      </c>
      <c r="Z67" s="27">
        <v>43588</v>
      </c>
      <c r="AA67" s="19"/>
      <c r="AB67" s="25" t="s">
        <v>45</v>
      </c>
      <c r="AC67" s="24">
        <v>1141070718</v>
      </c>
      <c r="AD67" s="29">
        <v>45565</v>
      </c>
      <c r="AE67" s="19" t="s">
        <v>46</v>
      </c>
      <c r="AF67" s="19">
        <v>5</v>
      </c>
      <c r="AG67" s="30" t="s">
        <v>548</v>
      </c>
      <c r="AH67" s="31">
        <v>43588</v>
      </c>
      <c r="AI67" s="32">
        <v>0</v>
      </c>
    </row>
    <row r="68" spans="1:35" x14ac:dyDescent="0.25">
      <c r="A68" s="19">
        <v>67</v>
      </c>
      <c r="B68" s="19" t="s">
        <v>33</v>
      </c>
      <c r="C68" s="19" t="s">
        <v>554</v>
      </c>
      <c r="D68" s="20">
        <v>45505</v>
      </c>
      <c r="E68" s="21" t="s">
        <v>35</v>
      </c>
      <c r="F68" s="19" t="s">
        <v>555</v>
      </c>
      <c r="G68" s="22">
        <v>45529</v>
      </c>
      <c r="H68" s="22">
        <v>45893</v>
      </c>
      <c r="I68" s="23" t="s">
        <v>556</v>
      </c>
      <c r="J68" s="24">
        <v>3620383443413</v>
      </c>
      <c r="K68" s="23" t="s">
        <v>425</v>
      </c>
      <c r="L68" s="19" t="s">
        <v>557</v>
      </c>
      <c r="M68" s="19" t="s">
        <v>558</v>
      </c>
      <c r="N68" s="19" t="s">
        <v>559</v>
      </c>
      <c r="O68" s="19" t="s">
        <v>554</v>
      </c>
      <c r="P68" s="25" t="s">
        <v>61</v>
      </c>
      <c r="Q68" s="19" t="s">
        <v>560</v>
      </c>
      <c r="R68" s="19" t="s">
        <v>561</v>
      </c>
      <c r="S68" s="22">
        <v>44804</v>
      </c>
      <c r="T68" s="22">
        <v>46636</v>
      </c>
      <c r="U68" s="26">
        <v>1328000</v>
      </c>
      <c r="V68" s="19">
        <v>15</v>
      </c>
      <c r="W68" s="27">
        <v>199200</v>
      </c>
      <c r="X68" s="27">
        <v>1128800</v>
      </c>
      <c r="Y68" s="28">
        <v>2</v>
      </c>
      <c r="Z68" s="27">
        <v>22576</v>
      </c>
      <c r="AA68" s="19"/>
      <c r="AB68" s="25" t="s">
        <v>45</v>
      </c>
      <c r="AC68" s="24">
        <v>1141070718</v>
      </c>
      <c r="AD68" s="29">
        <v>45565</v>
      </c>
      <c r="AE68" s="19" t="s">
        <v>46</v>
      </c>
      <c r="AF68" s="19">
        <v>0</v>
      </c>
      <c r="AG68" s="30" t="s">
        <v>555</v>
      </c>
      <c r="AH68" s="31">
        <v>22576</v>
      </c>
      <c r="AI68" s="32">
        <v>0</v>
      </c>
    </row>
    <row r="69" spans="1:35" x14ac:dyDescent="0.25">
      <c r="A69" s="19">
        <v>68</v>
      </c>
      <c r="B69" s="19" t="s">
        <v>33</v>
      </c>
      <c r="C69" s="19" t="s">
        <v>562</v>
      </c>
      <c r="D69" s="20">
        <v>45505</v>
      </c>
      <c r="E69" s="21" t="s">
        <v>35</v>
      </c>
      <c r="F69" s="19" t="s">
        <v>563</v>
      </c>
      <c r="G69" s="22">
        <v>45506</v>
      </c>
      <c r="H69" s="22">
        <v>45870</v>
      </c>
      <c r="I69" s="23" t="s">
        <v>564</v>
      </c>
      <c r="J69" s="24">
        <v>3120118485041</v>
      </c>
      <c r="K69" s="23" t="s">
        <v>140</v>
      </c>
      <c r="L69" s="19" t="s">
        <v>565</v>
      </c>
      <c r="M69" s="19" t="s">
        <v>566</v>
      </c>
      <c r="N69" s="19" t="s">
        <v>567</v>
      </c>
      <c r="O69" s="19" t="s">
        <v>562</v>
      </c>
      <c r="P69" s="25" t="s">
        <v>167</v>
      </c>
      <c r="Q69" s="19" t="s">
        <v>568</v>
      </c>
      <c r="R69" s="19" t="s">
        <v>569</v>
      </c>
      <c r="S69" s="22">
        <v>44777</v>
      </c>
      <c r="T69" s="22">
        <v>46604</v>
      </c>
      <c r="U69" s="26">
        <v>1720000</v>
      </c>
      <c r="V69" s="19">
        <v>15</v>
      </c>
      <c r="W69" s="27">
        <v>258000</v>
      </c>
      <c r="X69" s="27">
        <v>1462000</v>
      </c>
      <c r="Y69" s="28">
        <v>2</v>
      </c>
      <c r="Z69" s="27">
        <v>29240</v>
      </c>
      <c r="AA69" s="19"/>
      <c r="AB69" s="25" t="s">
        <v>45</v>
      </c>
      <c r="AC69" s="24">
        <v>1141070718</v>
      </c>
      <c r="AD69" s="29">
        <v>45565</v>
      </c>
      <c r="AE69" s="19" t="s">
        <v>46</v>
      </c>
      <c r="AF69" s="19">
        <v>5</v>
      </c>
      <c r="AG69" s="30" t="s">
        <v>563</v>
      </c>
      <c r="AH69" s="31">
        <v>29240</v>
      </c>
      <c r="AI69" s="32">
        <v>0</v>
      </c>
    </row>
    <row r="70" spans="1:35" x14ac:dyDescent="0.25">
      <c r="A70" s="19">
        <v>69</v>
      </c>
      <c r="B70" s="19" t="s">
        <v>33</v>
      </c>
      <c r="C70" s="19" t="s">
        <v>570</v>
      </c>
      <c r="D70" s="20">
        <v>45505</v>
      </c>
      <c r="E70" s="21" t="s">
        <v>35</v>
      </c>
      <c r="F70" s="19" t="s">
        <v>571</v>
      </c>
      <c r="G70" s="22">
        <v>45529</v>
      </c>
      <c r="H70" s="22">
        <v>45893</v>
      </c>
      <c r="I70" s="23" t="s">
        <v>572</v>
      </c>
      <c r="J70" s="24">
        <v>4210120573437</v>
      </c>
      <c r="K70" s="23" t="s">
        <v>573</v>
      </c>
      <c r="L70" s="19" t="s">
        <v>574</v>
      </c>
      <c r="M70" s="19" t="s">
        <v>575</v>
      </c>
      <c r="N70" s="19" t="s">
        <v>576</v>
      </c>
      <c r="O70" s="19" t="s">
        <v>570</v>
      </c>
      <c r="P70" s="25" t="s">
        <v>167</v>
      </c>
      <c r="Q70" s="19" t="s">
        <v>168</v>
      </c>
      <c r="R70" s="19" t="s">
        <v>577</v>
      </c>
      <c r="S70" s="22">
        <v>44802</v>
      </c>
      <c r="T70" s="22">
        <v>46270</v>
      </c>
      <c r="U70" s="26">
        <v>6700000</v>
      </c>
      <c r="V70" s="19">
        <v>15</v>
      </c>
      <c r="W70" s="27">
        <v>1005000</v>
      </c>
      <c r="X70" s="27">
        <v>5695000</v>
      </c>
      <c r="Y70" s="28">
        <v>1.5</v>
      </c>
      <c r="Z70" s="27">
        <v>85425</v>
      </c>
      <c r="AA70" s="19"/>
      <c r="AB70" s="25" t="s">
        <v>45</v>
      </c>
      <c r="AC70" s="24">
        <v>1141070718</v>
      </c>
      <c r="AD70" s="29">
        <v>45565</v>
      </c>
      <c r="AE70" s="19" t="s">
        <v>46</v>
      </c>
      <c r="AF70" s="19">
        <v>0</v>
      </c>
      <c r="AG70" s="30" t="s">
        <v>571</v>
      </c>
      <c r="AH70" s="31">
        <v>85425</v>
      </c>
      <c r="AI70" s="32">
        <v>0</v>
      </c>
    </row>
    <row r="71" spans="1:35" x14ac:dyDescent="0.25">
      <c r="A71" s="19">
        <v>70</v>
      </c>
      <c r="B71" s="19" t="s">
        <v>33</v>
      </c>
      <c r="C71" s="19" t="s">
        <v>578</v>
      </c>
      <c r="D71" s="20">
        <v>45505</v>
      </c>
      <c r="E71" s="21" t="s">
        <v>35</v>
      </c>
      <c r="F71" s="19" t="s">
        <v>579</v>
      </c>
      <c r="G71" s="22">
        <v>45530</v>
      </c>
      <c r="H71" s="22">
        <v>45894</v>
      </c>
      <c r="I71" s="23" t="s">
        <v>580</v>
      </c>
      <c r="J71" s="24">
        <v>3520228679099</v>
      </c>
      <c r="K71" s="23" t="s">
        <v>307</v>
      </c>
      <c r="L71" s="19" t="s">
        <v>581</v>
      </c>
      <c r="M71" s="19" t="s">
        <v>582</v>
      </c>
      <c r="N71" s="19" t="s">
        <v>583</v>
      </c>
      <c r="O71" s="19" t="s">
        <v>578</v>
      </c>
      <c r="P71" s="25" t="s">
        <v>61</v>
      </c>
      <c r="Q71" s="19" t="s">
        <v>79</v>
      </c>
      <c r="R71" s="19" t="s">
        <v>584</v>
      </c>
      <c r="S71" s="22">
        <v>44803</v>
      </c>
      <c r="T71" s="22">
        <v>46636</v>
      </c>
      <c r="U71" s="26">
        <v>2564000</v>
      </c>
      <c r="V71" s="19">
        <v>15</v>
      </c>
      <c r="W71" s="27">
        <v>384600</v>
      </c>
      <c r="X71" s="27">
        <v>2179400</v>
      </c>
      <c r="Y71" s="28">
        <v>2</v>
      </c>
      <c r="Z71" s="27">
        <v>43588</v>
      </c>
      <c r="AA71" s="19"/>
      <c r="AB71" s="25" t="s">
        <v>45</v>
      </c>
      <c r="AC71" s="24">
        <v>1141070718</v>
      </c>
      <c r="AD71" s="29">
        <v>45565</v>
      </c>
      <c r="AE71" s="19" t="s">
        <v>46</v>
      </c>
      <c r="AF71" s="19">
        <v>5</v>
      </c>
      <c r="AG71" s="30" t="s">
        <v>579</v>
      </c>
      <c r="AH71" s="31">
        <v>43588</v>
      </c>
      <c r="AI71" s="32">
        <v>0</v>
      </c>
    </row>
    <row r="72" spans="1:35" x14ac:dyDescent="0.25">
      <c r="A72" s="19">
        <v>71</v>
      </c>
      <c r="B72" s="19" t="s">
        <v>33</v>
      </c>
      <c r="C72" s="19" t="s">
        <v>585</v>
      </c>
      <c r="D72" s="20">
        <v>45505</v>
      </c>
      <c r="E72" s="21" t="s">
        <v>35</v>
      </c>
      <c r="F72" s="19" t="s">
        <v>586</v>
      </c>
      <c r="G72" s="22">
        <v>45530</v>
      </c>
      <c r="H72" s="22">
        <v>45894</v>
      </c>
      <c r="I72" s="23" t="s">
        <v>587</v>
      </c>
      <c r="J72" s="24" t="s">
        <v>588</v>
      </c>
      <c r="K72" s="23" t="s">
        <v>124</v>
      </c>
      <c r="L72" s="19" t="s">
        <v>589</v>
      </c>
      <c r="M72" s="19" t="s">
        <v>590</v>
      </c>
      <c r="N72" s="19" t="s">
        <v>591</v>
      </c>
      <c r="O72" s="19" t="s">
        <v>585</v>
      </c>
      <c r="P72" s="25" t="s">
        <v>61</v>
      </c>
      <c r="Q72" s="19" t="s">
        <v>144</v>
      </c>
      <c r="R72" s="19" t="s">
        <v>592</v>
      </c>
      <c r="S72" s="22">
        <v>44804</v>
      </c>
      <c r="T72" s="22">
        <v>46636</v>
      </c>
      <c r="U72" s="26">
        <v>2430000</v>
      </c>
      <c r="V72" s="19">
        <v>15</v>
      </c>
      <c r="W72" s="27">
        <v>364500</v>
      </c>
      <c r="X72" s="27">
        <v>2065500</v>
      </c>
      <c r="Y72" s="28">
        <v>2</v>
      </c>
      <c r="Z72" s="27">
        <v>41310</v>
      </c>
      <c r="AA72" s="19"/>
      <c r="AB72" s="25" t="s">
        <v>45</v>
      </c>
      <c r="AC72" s="24">
        <v>1141070718</v>
      </c>
      <c r="AD72" s="29">
        <v>45565</v>
      </c>
      <c r="AE72" s="19" t="s">
        <v>46</v>
      </c>
      <c r="AF72" s="19">
        <v>5</v>
      </c>
      <c r="AG72" s="30" t="s">
        <v>586</v>
      </c>
      <c r="AH72" s="31">
        <v>41310</v>
      </c>
      <c r="AI72" s="32">
        <v>0</v>
      </c>
    </row>
    <row r="73" spans="1:35" x14ac:dyDescent="0.25">
      <c r="A73" s="19">
        <v>72</v>
      </c>
      <c r="B73" s="19" t="s">
        <v>33</v>
      </c>
      <c r="C73" s="19" t="s">
        <v>593</v>
      </c>
      <c r="D73" s="20">
        <v>45505</v>
      </c>
      <c r="E73" s="21" t="s">
        <v>35</v>
      </c>
      <c r="F73" s="19" t="s">
        <v>594</v>
      </c>
      <c r="G73" s="22">
        <v>45530</v>
      </c>
      <c r="H73" s="22">
        <v>45894</v>
      </c>
      <c r="I73" s="23" t="s">
        <v>595</v>
      </c>
      <c r="J73" s="24">
        <v>1720107220831</v>
      </c>
      <c r="K73" s="23" t="s">
        <v>307</v>
      </c>
      <c r="L73" s="19" t="s">
        <v>596</v>
      </c>
      <c r="M73" s="19" t="s">
        <v>597</v>
      </c>
      <c r="N73" s="19" t="s">
        <v>598</v>
      </c>
      <c r="O73" s="19" t="s">
        <v>593</v>
      </c>
      <c r="P73" s="25" t="s">
        <v>42</v>
      </c>
      <c r="Q73" s="19" t="s">
        <v>599</v>
      </c>
      <c r="R73" s="19" t="s">
        <v>600</v>
      </c>
      <c r="S73" s="22">
        <v>44803</v>
      </c>
      <c r="T73" s="22">
        <v>46270</v>
      </c>
      <c r="U73" s="26">
        <v>2000000</v>
      </c>
      <c r="V73" s="19">
        <v>15</v>
      </c>
      <c r="W73" s="27">
        <v>300000</v>
      </c>
      <c r="X73" s="27">
        <v>1700000</v>
      </c>
      <c r="Y73" s="28">
        <v>2</v>
      </c>
      <c r="Z73" s="27">
        <v>34000</v>
      </c>
      <c r="AA73" s="19"/>
      <c r="AB73" s="25" t="s">
        <v>45</v>
      </c>
      <c r="AC73" s="24">
        <v>1141070718</v>
      </c>
      <c r="AD73" s="29">
        <v>45565</v>
      </c>
      <c r="AE73" s="19" t="s">
        <v>46</v>
      </c>
      <c r="AF73" s="19">
        <v>0</v>
      </c>
      <c r="AG73" s="30" t="s">
        <v>594</v>
      </c>
      <c r="AH73" s="31">
        <v>34000</v>
      </c>
      <c r="AI73" s="32">
        <v>0</v>
      </c>
    </row>
    <row r="74" spans="1:35" x14ac:dyDescent="0.25">
      <c r="A74" s="19">
        <v>73</v>
      </c>
      <c r="B74" s="19" t="s">
        <v>33</v>
      </c>
      <c r="C74" s="19" t="s">
        <v>601</v>
      </c>
      <c r="D74" s="20">
        <v>45505</v>
      </c>
      <c r="E74" s="21" t="s">
        <v>35</v>
      </c>
      <c r="F74" s="19" t="s">
        <v>602</v>
      </c>
      <c r="G74" s="22">
        <v>45530</v>
      </c>
      <c r="H74" s="22">
        <v>45894</v>
      </c>
      <c r="I74" s="23" t="s">
        <v>603</v>
      </c>
      <c r="J74" s="24">
        <v>3310071262975</v>
      </c>
      <c r="K74" s="23" t="s">
        <v>307</v>
      </c>
      <c r="L74" s="19" t="s">
        <v>604</v>
      </c>
      <c r="M74" s="19" t="s">
        <v>605</v>
      </c>
      <c r="N74" s="19" t="s">
        <v>606</v>
      </c>
      <c r="O74" s="19" t="s">
        <v>601</v>
      </c>
      <c r="P74" s="25" t="s">
        <v>61</v>
      </c>
      <c r="Q74" s="19" t="s">
        <v>144</v>
      </c>
      <c r="R74" s="19" t="s">
        <v>607</v>
      </c>
      <c r="S74" s="22">
        <v>44804</v>
      </c>
      <c r="T74" s="22">
        <v>45905</v>
      </c>
      <c r="U74" s="26">
        <v>2421000</v>
      </c>
      <c r="V74" s="19">
        <v>15</v>
      </c>
      <c r="W74" s="27">
        <v>363150</v>
      </c>
      <c r="X74" s="27">
        <v>2057850</v>
      </c>
      <c r="Y74" s="28">
        <v>2</v>
      </c>
      <c r="Z74" s="27">
        <v>41157</v>
      </c>
      <c r="AA74" s="19"/>
      <c r="AB74" s="25" t="s">
        <v>45</v>
      </c>
      <c r="AC74" s="24">
        <v>1141070718</v>
      </c>
      <c r="AD74" s="29">
        <v>45565</v>
      </c>
      <c r="AE74" s="19" t="s">
        <v>46</v>
      </c>
      <c r="AF74" s="19">
        <v>0</v>
      </c>
      <c r="AG74" s="30" t="s">
        <v>602</v>
      </c>
      <c r="AH74" s="31">
        <v>41157</v>
      </c>
      <c r="AI74" s="32">
        <v>0</v>
      </c>
    </row>
    <row r="75" spans="1:35" x14ac:dyDescent="0.25">
      <c r="A75" s="19">
        <v>74</v>
      </c>
      <c r="B75" s="19" t="s">
        <v>33</v>
      </c>
      <c r="C75" s="19" t="s">
        <v>608</v>
      </c>
      <c r="D75" s="20">
        <v>45505</v>
      </c>
      <c r="E75" s="21" t="s">
        <v>35</v>
      </c>
      <c r="F75" s="19" t="s">
        <v>609</v>
      </c>
      <c r="G75" s="22">
        <v>45530</v>
      </c>
      <c r="H75" s="22">
        <v>45894</v>
      </c>
      <c r="I75" s="23" t="s">
        <v>610</v>
      </c>
      <c r="J75" s="24">
        <v>3120272809029</v>
      </c>
      <c r="K75" s="23" t="s">
        <v>611</v>
      </c>
      <c r="L75" s="19" t="s">
        <v>612</v>
      </c>
      <c r="M75" s="19" t="s">
        <v>613</v>
      </c>
      <c r="N75" s="19" t="s">
        <v>614</v>
      </c>
      <c r="O75" s="19" t="s">
        <v>608</v>
      </c>
      <c r="P75" s="25" t="s">
        <v>61</v>
      </c>
      <c r="Q75" s="19" t="s">
        <v>560</v>
      </c>
      <c r="R75" s="19" t="s">
        <v>615</v>
      </c>
      <c r="S75" s="22">
        <v>44804</v>
      </c>
      <c r="T75" s="22">
        <v>46636</v>
      </c>
      <c r="U75" s="26">
        <v>5518000</v>
      </c>
      <c r="V75" s="19">
        <v>15</v>
      </c>
      <c r="W75" s="27">
        <v>827700</v>
      </c>
      <c r="X75" s="27">
        <v>4690300</v>
      </c>
      <c r="Y75" s="28">
        <v>1.5</v>
      </c>
      <c r="Z75" s="27">
        <v>70354.5</v>
      </c>
      <c r="AA75" s="19"/>
      <c r="AB75" s="25" t="s">
        <v>45</v>
      </c>
      <c r="AC75" s="24">
        <v>1141070718</v>
      </c>
      <c r="AD75" s="29">
        <v>45565</v>
      </c>
      <c r="AE75" s="19" t="s">
        <v>46</v>
      </c>
      <c r="AF75" s="19">
        <v>5</v>
      </c>
      <c r="AG75" s="30" t="s">
        <v>609</v>
      </c>
      <c r="AH75" s="31">
        <v>70355</v>
      </c>
      <c r="AI75" s="32">
        <v>-0.5</v>
      </c>
    </row>
    <row r="76" spans="1:35" x14ac:dyDescent="0.25">
      <c r="A76" s="19">
        <v>75</v>
      </c>
      <c r="B76" s="19" t="s">
        <v>33</v>
      </c>
      <c r="C76" s="19" t="s">
        <v>616</v>
      </c>
      <c r="D76" s="20">
        <v>45505</v>
      </c>
      <c r="E76" s="21" t="s">
        <v>35</v>
      </c>
      <c r="F76" s="19" t="s">
        <v>617</v>
      </c>
      <c r="G76" s="22">
        <v>45530</v>
      </c>
      <c r="H76" s="22">
        <v>45894</v>
      </c>
      <c r="I76" s="23" t="s">
        <v>618</v>
      </c>
      <c r="J76" s="24">
        <v>4240106536875</v>
      </c>
      <c r="K76" s="23" t="s">
        <v>140</v>
      </c>
      <c r="L76" s="19" t="s">
        <v>619</v>
      </c>
      <c r="M76" s="19" t="s">
        <v>620</v>
      </c>
      <c r="N76" s="19" t="s">
        <v>621</v>
      </c>
      <c r="O76" s="19" t="s">
        <v>616</v>
      </c>
      <c r="P76" s="25" t="s">
        <v>167</v>
      </c>
      <c r="Q76" s="19" t="s">
        <v>622</v>
      </c>
      <c r="R76" s="19" t="s">
        <v>623</v>
      </c>
      <c r="S76" s="22">
        <v>44805</v>
      </c>
      <c r="T76" s="22">
        <v>46636</v>
      </c>
      <c r="U76" s="26">
        <v>1975000</v>
      </c>
      <c r="V76" s="19">
        <v>15</v>
      </c>
      <c r="W76" s="27">
        <v>296250</v>
      </c>
      <c r="X76" s="27">
        <v>1678750</v>
      </c>
      <c r="Y76" s="28">
        <v>1.5</v>
      </c>
      <c r="Z76" s="27">
        <v>25181.25</v>
      </c>
      <c r="AA76" s="19"/>
      <c r="AB76" s="25" t="s">
        <v>45</v>
      </c>
      <c r="AC76" s="24">
        <v>1141070718</v>
      </c>
      <c r="AD76" s="29">
        <v>45565</v>
      </c>
      <c r="AE76" s="19" t="s">
        <v>46</v>
      </c>
      <c r="AF76" s="19">
        <v>5</v>
      </c>
      <c r="AG76" s="30" t="s">
        <v>617</v>
      </c>
      <c r="AH76" s="31">
        <v>25181</v>
      </c>
      <c r="AI76" s="32">
        <v>0.25</v>
      </c>
    </row>
    <row r="77" spans="1:35" x14ac:dyDescent="0.25">
      <c r="A77" s="19">
        <v>76</v>
      </c>
      <c r="B77" s="19" t="s">
        <v>33</v>
      </c>
      <c r="C77" s="19" t="s">
        <v>624</v>
      </c>
      <c r="D77" s="20">
        <v>45505</v>
      </c>
      <c r="E77" s="21" t="s">
        <v>35</v>
      </c>
      <c r="F77" s="19" t="s">
        <v>625</v>
      </c>
      <c r="G77" s="22">
        <v>45533</v>
      </c>
      <c r="H77" s="22">
        <v>45897</v>
      </c>
      <c r="I77" s="23" t="s">
        <v>626</v>
      </c>
      <c r="J77" s="24">
        <v>3430252451182</v>
      </c>
      <c r="K77" s="23" t="s">
        <v>307</v>
      </c>
      <c r="L77" s="19" t="s">
        <v>627</v>
      </c>
      <c r="M77" s="19" t="s">
        <v>628</v>
      </c>
      <c r="N77" s="19" t="s">
        <v>629</v>
      </c>
      <c r="O77" s="19" t="s">
        <v>624</v>
      </c>
      <c r="P77" s="25" t="s">
        <v>61</v>
      </c>
      <c r="Q77" s="19" t="s">
        <v>630</v>
      </c>
      <c r="R77" s="19" t="s">
        <v>631</v>
      </c>
      <c r="S77" s="22">
        <v>44804</v>
      </c>
      <c r="T77" s="22">
        <v>46636</v>
      </c>
      <c r="U77" s="26">
        <v>1550000</v>
      </c>
      <c r="V77" s="19">
        <v>15</v>
      </c>
      <c r="W77" s="27">
        <v>232500</v>
      </c>
      <c r="X77" s="27">
        <v>1317500</v>
      </c>
      <c r="Y77" s="28">
        <v>1.5</v>
      </c>
      <c r="Z77" s="27">
        <v>19762.5</v>
      </c>
      <c r="AA77" s="19"/>
      <c r="AB77" s="25" t="s">
        <v>45</v>
      </c>
      <c r="AC77" s="24">
        <v>1141070718</v>
      </c>
      <c r="AD77" s="29">
        <v>45565</v>
      </c>
      <c r="AE77" s="19" t="s">
        <v>46</v>
      </c>
      <c r="AF77" s="19">
        <v>5</v>
      </c>
      <c r="AG77" s="30" t="s">
        <v>625</v>
      </c>
      <c r="AH77" s="31">
        <v>19763</v>
      </c>
      <c r="AI77" s="32">
        <v>-0.5</v>
      </c>
    </row>
    <row r="78" spans="1:35" x14ac:dyDescent="0.25">
      <c r="A78" s="19">
        <v>77</v>
      </c>
      <c r="B78" s="19" t="s">
        <v>33</v>
      </c>
      <c r="C78" s="19" t="s">
        <v>632</v>
      </c>
      <c r="D78" s="20">
        <v>45505</v>
      </c>
      <c r="E78" s="21" t="s">
        <v>35</v>
      </c>
      <c r="F78" s="19" t="s">
        <v>633</v>
      </c>
      <c r="G78" s="22">
        <v>45534</v>
      </c>
      <c r="H78" s="22">
        <v>45898</v>
      </c>
      <c r="I78" s="23" t="s">
        <v>634</v>
      </c>
      <c r="J78" s="24">
        <v>3230247701651</v>
      </c>
      <c r="K78" s="23" t="s">
        <v>292</v>
      </c>
      <c r="L78" s="19" t="s">
        <v>635</v>
      </c>
      <c r="M78" s="19" t="s">
        <v>636</v>
      </c>
      <c r="N78" s="19" t="s">
        <v>637</v>
      </c>
      <c r="O78" s="19" t="s">
        <v>632</v>
      </c>
      <c r="P78" s="25" t="s">
        <v>61</v>
      </c>
      <c r="Q78" s="19" t="s">
        <v>96</v>
      </c>
      <c r="R78" s="19" t="s">
        <v>638</v>
      </c>
      <c r="S78" s="22">
        <v>44805</v>
      </c>
      <c r="T78" s="22">
        <v>46636</v>
      </c>
      <c r="U78" s="26">
        <v>2340000</v>
      </c>
      <c r="V78" s="19">
        <v>15</v>
      </c>
      <c r="W78" s="27">
        <v>351000</v>
      </c>
      <c r="X78" s="27">
        <v>1989000</v>
      </c>
      <c r="Y78" s="28">
        <v>1.5</v>
      </c>
      <c r="Z78" s="27">
        <v>29835</v>
      </c>
      <c r="AA78" s="19"/>
      <c r="AB78" s="25" t="s">
        <v>45</v>
      </c>
      <c r="AC78" s="24">
        <v>1141070718</v>
      </c>
      <c r="AD78" s="29">
        <v>45565</v>
      </c>
      <c r="AE78" s="19" t="s">
        <v>46</v>
      </c>
      <c r="AF78" s="19">
        <v>5</v>
      </c>
      <c r="AG78" s="30" t="s">
        <v>633</v>
      </c>
      <c r="AH78" s="31">
        <v>29835</v>
      </c>
      <c r="AI78" s="32">
        <v>0</v>
      </c>
    </row>
    <row r="79" spans="1:35" x14ac:dyDescent="0.25">
      <c r="A79" s="19">
        <v>78</v>
      </c>
      <c r="B79" s="19" t="s">
        <v>33</v>
      </c>
      <c r="C79" s="19" t="s">
        <v>639</v>
      </c>
      <c r="D79" s="20">
        <v>45505</v>
      </c>
      <c r="E79" s="21" t="s">
        <v>35</v>
      </c>
      <c r="F79" s="19" t="s">
        <v>640</v>
      </c>
      <c r="G79" s="22">
        <v>45534</v>
      </c>
      <c r="H79" s="22">
        <v>45898</v>
      </c>
      <c r="I79" s="23" t="s">
        <v>641</v>
      </c>
      <c r="J79" s="24">
        <v>3520213915395</v>
      </c>
      <c r="K79" s="23" t="s">
        <v>642</v>
      </c>
      <c r="L79" s="19" t="s">
        <v>643</v>
      </c>
      <c r="M79" s="19" t="s">
        <v>644</v>
      </c>
      <c r="N79" s="19" t="s">
        <v>645</v>
      </c>
      <c r="O79" s="19" t="s">
        <v>639</v>
      </c>
      <c r="P79" s="25" t="s">
        <v>61</v>
      </c>
      <c r="Q79" s="19" t="s">
        <v>79</v>
      </c>
      <c r="R79" s="19" t="s">
        <v>646</v>
      </c>
      <c r="S79" s="22">
        <v>44805</v>
      </c>
      <c r="T79" s="22">
        <v>46636</v>
      </c>
      <c r="U79" s="26">
        <v>1275000</v>
      </c>
      <c r="V79" s="19">
        <v>15</v>
      </c>
      <c r="W79" s="27">
        <v>191250</v>
      </c>
      <c r="X79" s="27">
        <v>1083750</v>
      </c>
      <c r="Y79" s="28">
        <v>2</v>
      </c>
      <c r="Z79" s="27">
        <v>21675</v>
      </c>
      <c r="AA79" s="19"/>
      <c r="AB79" s="25" t="s">
        <v>45</v>
      </c>
      <c r="AC79" s="24">
        <v>1141070718</v>
      </c>
      <c r="AD79" s="29">
        <v>45565</v>
      </c>
      <c r="AE79" s="19" t="s">
        <v>46</v>
      </c>
      <c r="AF79" s="19">
        <v>5</v>
      </c>
      <c r="AG79" s="30" t="s">
        <v>640</v>
      </c>
      <c r="AH79" s="31">
        <v>21675</v>
      </c>
      <c r="AI79" s="32">
        <v>0</v>
      </c>
    </row>
    <row r="80" spans="1:35" x14ac:dyDescent="0.25">
      <c r="A80" s="19">
        <v>79</v>
      </c>
      <c r="B80" s="19" t="s">
        <v>33</v>
      </c>
      <c r="C80" s="19" t="s">
        <v>647</v>
      </c>
      <c r="D80" s="20">
        <v>45505</v>
      </c>
      <c r="E80" s="21" t="s">
        <v>35</v>
      </c>
      <c r="F80" s="19" t="s">
        <v>648</v>
      </c>
      <c r="G80" s="22">
        <v>45507</v>
      </c>
      <c r="H80" s="22">
        <v>45871</v>
      </c>
      <c r="I80" s="23" t="s">
        <v>649</v>
      </c>
      <c r="J80" s="24">
        <v>3520281512673</v>
      </c>
      <c r="K80" s="23" t="s">
        <v>132</v>
      </c>
      <c r="L80" s="19" t="s">
        <v>650</v>
      </c>
      <c r="M80" s="19" t="s">
        <v>651</v>
      </c>
      <c r="N80" s="19" t="s">
        <v>652</v>
      </c>
      <c r="O80" s="19" t="s">
        <v>647</v>
      </c>
      <c r="P80" s="25" t="s">
        <v>61</v>
      </c>
      <c r="Q80" s="19" t="s">
        <v>79</v>
      </c>
      <c r="R80" s="19" t="s">
        <v>653</v>
      </c>
      <c r="S80" s="22">
        <v>44777</v>
      </c>
      <c r="T80" s="22">
        <v>45874</v>
      </c>
      <c r="U80" s="26">
        <v>1546000</v>
      </c>
      <c r="V80" s="19">
        <v>15</v>
      </c>
      <c r="W80" s="27">
        <v>231900</v>
      </c>
      <c r="X80" s="27">
        <v>1314100</v>
      </c>
      <c r="Y80" s="28">
        <v>1.75</v>
      </c>
      <c r="Z80" s="27">
        <v>22996.750000000004</v>
      </c>
      <c r="AA80" s="19"/>
      <c r="AB80" s="25" t="s">
        <v>45</v>
      </c>
      <c r="AC80" s="24">
        <v>1141070718</v>
      </c>
      <c r="AD80" s="29">
        <v>45565</v>
      </c>
      <c r="AE80" s="19" t="s">
        <v>46</v>
      </c>
      <c r="AF80" s="19">
        <v>5</v>
      </c>
      <c r="AG80" s="30" t="s">
        <v>648</v>
      </c>
      <c r="AH80" s="31">
        <v>22997</v>
      </c>
      <c r="AI80" s="32">
        <v>-0.24999999999636202</v>
      </c>
    </row>
    <row r="81" spans="1:35" x14ac:dyDescent="0.25">
      <c r="A81" s="19">
        <v>80</v>
      </c>
      <c r="B81" s="19" t="s">
        <v>33</v>
      </c>
      <c r="C81" s="19" t="s">
        <v>654</v>
      </c>
      <c r="D81" s="20">
        <v>45505</v>
      </c>
      <c r="E81" s="21" t="s">
        <v>35</v>
      </c>
      <c r="F81" s="19" t="s">
        <v>655</v>
      </c>
      <c r="G81" s="22">
        <v>45534</v>
      </c>
      <c r="H81" s="22">
        <v>45898</v>
      </c>
      <c r="I81" s="23" t="s">
        <v>656</v>
      </c>
      <c r="J81" s="24">
        <v>3520232302527</v>
      </c>
      <c r="K81" s="23" t="s">
        <v>611</v>
      </c>
      <c r="L81" s="19" t="s">
        <v>657</v>
      </c>
      <c r="M81" s="19" t="s">
        <v>658</v>
      </c>
      <c r="N81" s="19" t="s">
        <v>659</v>
      </c>
      <c r="O81" s="19" t="s">
        <v>654</v>
      </c>
      <c r="P81" s="25" t="s">
        <v>61</v>
      </c>
      <c r="Q81" s="19" t="s">
        <v>79</v>
      </c>
      <c r="R81" s="19" t="s">
        <v>660</v>
      </c>
      <c r="S81" s="22">
        <v>44804</v>
      </c>
      <c r="T81" s="22">
        <v>46636</v>
      </c>
      <c r="U81" s="26">
        <v>5517000</v>
      </c>
      <c r="V81" s="19">
        <v>15</v>
      </c>
      <c r="W81" s="27">
        <v>827550</v>
      </c>
      <c r="X81" s="27">
        <v>4689450</v>
      </c>
      <c r="Y81" s="28">
        <v>1.5</v>
      </c>
      <c r="Z81" s="27">
        <v>70341.75</v>
      </c>
      <c r="AA81" s="19"/>
      <c r="AB81" s="25" t="s">
        <v>45</v>
      </c>
      <c r="AC81" s="24">
        <v>1141070718</v>
      </c>
      <c r="AD81" s="29">
        <v>45565</v>
      </c>
      <c r="AE81" s="19" t="s">
        <v>46</v>
      </c>
      <c r="AF81" s="19">
        <v>0</v>
      </c>
      <c r="AG81" s="30" t="s">
        <v>655</v>
      </c>
      <c r="AH81" s="31">
        <v>70342</v>
      </c>
      <c r="AI81" s="32">
        <v>-0.25</v>
      </c>
    </row>
    <row r="82" spans="1:35" x14ac:dyDescent="0.25">
      <c r="A82" s="19">
        <v>81</v>
      </c>
      <c r="B82" s="19" t="s">
        <v>33</v>
      </c>
      <c r="C82" s="19" t="s">
        <v>661</v>
      </c>
      <c r="D82" s="20">
        <v>45505</v>
      </c>
      <c r="E82" s="21" t="s">
        <v>35</v>
      </c>
      <c r="F82" s="19" t="s">
        <v>662</v>
      </c>
      <c r="G82" s="22">
        <v>45534</v>
      </c>
      <c r="H82" s="22">
        <v>45898</v>
      </c>
      <c r="I82" s="23" t="s">
        <v>663</v>
      </c>
      <c r="J82" s="24">
        <v>4210125252689</v>
      </c>
      <c r="K82" s="23" t="s">
        <v>664</v>
      </c>
      <c r="L82" s="19" t="s">
        <v>665</v>
      </c>
      <c r="M82" s="19" t="s">
        <v>666</v>
      </c>
      <c r="N82" s="19" t="s">
        <v>667</v>
      </c>
      <c r="O82" s="19" t="s">
        <v>661</v>
      </c>
      <c r="P82" s="25" t="s">
        <v>167</v>
      </c>
      <c r="Q82" s="19" t="s">
        <v>168</v>
      </c>
      <c r="R82" s="19" t="s">
        <v>668</v>
      </c>
      <c r="S82" s="22">
        <v>44809</v>
      </c>
      <c r="T82" s="22">
        <v>45905</v>
      </c>
      <c r="U82" s="26">
        <v>4314490</v>
      </c>
      <c r="V82" s="19">
        <v>15</v>
      </c>
      <c r="W82" s="27">
        <v>647173.5</v>
      </c>
      <c r="X82" s="27">
        <v>3667316.5</v>
      </c>
      <c r="Y82" s="28">
        <v>1.5</v>
      </c>
      <c r="Z82" s="27">
        <v>55009.747499999998</v>
      </c>
      <c r="AA82" s="19"/>
      <c r="AB82" s="25" t="s">
        <v>45</v>
      </c>
      <c r="AC82" s="24">
        <v>1141070718</v>
      </c>
      <c r="AD82" s="29">
        <v>45565</v>
      </c>
      <c r="AE82" s="19" t="s">
        <v>46</v>
      </c>
      <c r="AF82" s="19">
        <v>5</v>
      </c>
      <c r="AG82" s="30" t="s">
        <v>662</v>
      </c>
      <c r="AH82" s="31">
        <v>55010</v>
      </c>
      <c r="AI82" s="32">
        <v>-0.25250000000232831</v>
      </c>
    </row>
    <row r="83" spans="1:35" x14ac:dyDescent="0.25">
      <c r="A83" s="19">
        <v>82</v>
      </c>
      <c r="B83" s="19" t="s">
        <v>33</v>
      </c>
      <c r="C83" s="19" t="s">
        <v>669</v>
      </c>
      <c r="D83" s="20">
        <v>45505</v>
      </c>
      <c r="E83" s="21" t="s">
        <v>35</v>
      </c>
      <c r="F83" s="19" t="s">
        <v>670</v>
      </c>
      <c r="G83" s="22">
        <v>45534</v>
      </c>
      <c r="H83" s="22">
        <v>45898</v>
      </c>
      <c r="I83" s="23" t="s">
        <v>671</v>
      </c>
      <c r="J83" s="24">
        <v>3520262822386</v>
      </c>
      <c r="K83" s="23" t="s">
        <v>672</v>
      </c>
      <c r="L83" s="19" t="s">
        <v>673</v>
      </c>
      <c r="M83" s="19" t="s">
        <v>674</v>
      </c>
      <c r="N83" s="19" t="s">
        <v>675</v>
      </c>
      <c r="O83" s="19" t="s">
        <v>669</v>
      </c>
      <c r="P83" s="25" t="s">
        <v>61</v>
      </c>
      <c r="Q83" s="19" t="s">
        <v>79</v>
      </c>
      <c r="R83" s="19" t="s">
        <v>676</v>
      </c>
      <c r="S83" s="22">
        <v>44804</v>
      </c>
      <c r="T83" s="22">
        <v>45905</v>
      </c>
      <c r="U83" s="26">
        <v>3909000</v>
      </c>
      <c r="V83" s="19">
        <v>15</v>
      </c>
      <c r="W83" s="27">
        <v>586350</v>
      </c>
      <c r="X83" s="27">
        <v>3322650</v>
      </c>
      <c r="Y83" s="28">
        <v>1.5</v>
      </c>
      <c r="Z83" s="27">
        <v>49839.75</v>
      </c>
      <c r="AA83" s="19"/>
      <c r="AB83" s="25" t="s">
        <v>45</v>
      </c>
      <c r="AC83" s="24">
        <v>1141070718</v>
      </c>
      <c r="AD83" s="29">
        <v>45565</v>
      </c>
      <c r="AE83" s="19" t="s">
        <v>46</v>
      </c>
      <c r="AF83" s="19">
        <v>0</v>
      </c>
      <c r="AG83" s="30" t="s">
        <v>670</v>
      </c>
      <c r="AH83" s="31">
        <v>49840</v>
      </c>
      <c r="AI83" s="32">
        <v>-0.25</v>
      </c>
    </row>
    <row r="84" spans="1:35" x14ac:dyDescent="0.25">
      <c r="A84" s="19">
        <v>83</v>
      </c>
      <c r="B84" s="19" t="s">
        <v>33</v>
      </c>
      <c r="C84" s="19" t="s">
        <v>677</v>
      </c>
      <c r="D84" s="20">
        <v>45505</v>
      </c>
      <c r="E84" s="21" t="s">
        <v>35</v>
      </c>
      <c r="F84" s="19" t="s">
        <v>678</v>
      </c>
      <c r="G84" s="22">
        <v>45535</v>
      </c>
      <c r="H84" s="22">
        <v>45899</v>
      </c>
      <c r="I84" s="23" t="s">
        <v>679</v>
      </c>
      <c r="J84" s="24">
        <v>4220177219439</v>
      </c>
      <c r="K84" s="23" t="s">
        <v>214</v>
      </c>
      <c r="L84" s="19" t="s">
        <v>680</v>
      </c>
      <c r="M84" s="19" t="s">
        <v>681</v>
      </c>
      <c r="N84" s="19" t="s">
        <v>682</v>
      </c>
      <c r="O84" s="19" t="s">
        <v>677</v>
      </c>
      <c r="P84" s="25" t="s">
        <v>167</v>
      </c>
      <c r="Q84" s="19" t="s">
        <v>168</v>
      </c>
      <c r="R84" s="19" t="s">
        <v>683</v>
      </c>
      <c r="S84" s="22">
        <v>44805</v>
      </c>
      <c r="T84" s="22">
        <v>46636</v>
      </c>
      <c r="U84" s="26">
        <v>2650000</v>
      </c>
      <c r="V84" s="19">
        <v>15</v>
      </c>
      <c r="W84" s="27">
        <v>397500</v>
      </c>
      <c r="X84" s="27">
        <v>2252500</v>
      </c>
      <c r="Y84" s="28">
        <v>2</v>
      </c>
      <c r="Z84" s="27">
        <v>45050</v>
      </c>
      <c r="AA84" s="19"/>
      <c r="AB84" s="25" t="s">
        <v>45</v>
      </c>
      <c r="AC84" s="24">
        <v>1141070718</v>
      </c>
      <c r="AD84" s="29">
        <v>45565</v>
      </c>
      <c r="AE84" s="19" t="s">
        <v>46</v>
      </c>
      <c r="AF84" s="19">
        <v>5</v>
      </c>
      <c r="AG84" s="30" t="s">
        <v>678</v>
      </c>
      <c r="AH84" s="31">
        <v>45050</v>
      </c>
      <c r="AI84" s="32">
        <v>0</v>
      </c>
    </row>
    <row r="85" spans="1:35" x14ac:dyDescent="0.25">
      <c r="A85" s="19">
        <v>84</v>
      </c>
      <c r="B85" s="19" t="s">
        <v>33</v>
      </c>
      <c r="C85" s="19" t="s">
        <v>684</v>
      </c>
      <c r="D85" s="20">
        <v>45505</v>
      </c>
      <c r="E85" s="21" t="s">
        <v>35</v>
      </c>
      <c r="F85" s="19" t="s">
        <v>685</v>
      </c>
      <c r="G85" s="22">
        <v>45535</v>
      </c>
      <c r="H85" s="22">
        <v>45899</v>
      </c>
      <c r="I85" s="23" t="s">
        <v>686</v>
      </c>
      <c r="J85" s="24">
        <v>3530119674365</v>
      </c>
      <c r="K85" s="23" t="s">
        <v>687</v>
      </c>
      <c r="L85" s="19" t="s">
        <v>688</v>
      </c>
      <c r="M85" s="19" t="s">
        <v>689</v>
      </c>
      <c r="N85" s="19" t="s">
        <v>690</v>
      </c>
      <c r="O85" s="19" t="s">
        <v>684</v>
      </c>
      <c r="P85" s="25" t="s">
        <v>61</v>
      </c>
      <c r="Q85" s="19" t="s">
        <v>691</v>
      </c>
      <c r="R85" s="19" t="s">
        <v>692</v>
      </c>
      <c r="S85" s="22">
        <v>44819</v>
      </c>
      <c r="T85" s="22">
        <v>46636</v>
      </c>
      <c r="U85" s="26">
        <v>1546000</v>
      </c>
      <c r="V85" s="19">
        <v>15</v>
      </c>
      <c r="W85" s="27">
        <v>231900</v>
      </c>
      <c r="X85" s="27">
        <v>1314100</v>
      </c>
      <c r="Y85" s="28">
        <v>1.75</v>
      </c>
      <c r="Z85" s="27">
        <v>22996.750000000004</v>
      </c>
      <c r="AA85" s="19"/>
      <c r="AB85" s="25" t="s">
        <v>45</v>
      </c>
      <c r="AC85" s="24">
        <v>1141070718</v>
      </c>
      <c r="AD85" s="29">
        <v>45565</v>
      </c>
      <c r="AE85" s="19" t="s">
        <v>46</v>
      </c>
      <c r="AF85" s="19">
        <v>5</v>
      </c>
      <c r="AG85" s="30" t="s">
        <v>685</v>
      </c>
      <c r="AH85" s="31">
        <v>22997</v>
      </c>
      <c r="AI85" s="32">
        <v>-0.24999999999636202</v>
      </c>
    </row>
    <row r="86" spans="1:35" x14ac:dyDescent="0.25">
      <c r="A86" s="19">
        <v>85</v>
      </c>
      <c r="B86" s="19" t="s">
        <v>33</v>
      </c>
      <c r="C86" s="19" t="s">
        <v>693</v>
      </c>
      <c r="D86" s="20">
        <v>45505</v>
      </c>
      <c r="E86" s="21" t="s">
        <v>35</v>
      </c>
      <c r="F86" s="19" t="s">
        <v>694</v>
      </c>
      <c r="G86" s="22">
        <v>45535</v>
      </c>
      <c r="H86" s="22">
        <v>45899</v>
      </c>
      <c r="I86" s="23" t="s">
        <v>695</v>
      </c>
      <c r="J86" s="24">
        <v>3520151064553</v>
      </c>
      <c r="K86" s="23" t="s">
        <v>696</v>
      </c>
      <c r="L86" s="19" t="s">
        <v>697</v>
      </c>
      <c r="M86" s="19" t="s">
        <v>698</v>
      </c>
      <c r="N86" s="19" t="s">
        <v>699</v>
      </c>
      <c r="O86" s="19" t="s">
        <v>693</v>
      </c>
      <c r="P86" s="25" t="s">
        <v>61</v>
      </c>
      <c r="Q86" s="19" t="s">
        <v>79</v>
      </c>
      <c r="R86" s="19" t="s">
        <v>700</v>
      </c>
      <c r="S86" s="22">
        <v>44805</v>
      </c>
      <c r="T86" s="22">
        <v>45905</v>
      </c>
      <c r="U86" s="26">
        <v>5048000</v>
      </c>
      <c r="V86" s="19">
        <v>15</v>
      </c>
      <c r="W86" s="27">
        <v>757200</v>
      </c>
      <c r="X86" s="27">
        <v>4290800</v>
      </c>
      <c r="Y86" s="28">
        <v>1.5</v>
      </c>
      <c r="Z86" s="27">
        <v>64362</v>
      </c>
      <c r="AA86" s="19"/>
      <c r="AB86" s="25" t="s">
        <v>45</v>
      </c>
      <c r="AC86" s="24">
        <v>1141070718</v>
      </c>
      <c r="AD86" s="29">
        <v>45565</v>
      </c>
      <c r="AE86" s="19" t="s">
        <v>46</v>
      </c>
      <c r="AF86" s="19">
        <v>36</v>
      </c>
      <c r="AG86" s="30" t="s">
        <v>694</v>
      </c>
      <c r="AH86" s="31">
        <v>64362</v>
      </c>
      <c r="AI86" s="32">
        <v>0</v>
      </c>
    </row>
    <row r="87" spans="1:35" x14ac:dyDescent="0.25">
      <c r="A87" s="19">
        <v>86</v>
      </c>
      <c r="B87" s="19" t="s">
        <v>33</v>
      </c>
      <c r="C87" s="19" t="s">
        <v>701</v>
      </c>
      <c r="D87" s="20">
        <v>45505</v>
      </c>
      <c r="E87" s="21" t="s">
        <v>35</v>
      </c>
      <c r="F87" s="19" t="s">
        <v>702</v>
      </c>
      <c r="G87" s="22">
        <v>45535</v>
      </c>
      <c r="H87" s="22">
        <v>45899</v>
      </c>
      <c r="I87" s="23" t="s">
        <v>703</v>
      </c>
      <c r="J87" s="24">
        <v>3520259497007</v>
      </c>
      <c r="K87" s="23" t="s">
        <v>704</v>
      </c>
      <c r="L87" s="19" t="s">
        <v>705</v>
      </c>
      <c r="M87" s="19" t="s">
        <v>706</v>
      </c>
      <c r="N87" s="19" t="s">
        <v>707</v>
      </c>
      <c r="O87" s="19" t="s">
        <v>701</v>
      </c>
      <c r="P87" s="25" t="s">
        <v>61</v>
      </c>
      <c r="Q87" s="19" t="s">
        <v>79</v>
      </c>
      <c r="R87" s="19" t="s">
        <v>708</v>
      </c>
      <c r="S87" s="22">
        <v>44805</v>
      </c>
      <c r="T87" s="22">
        <v>45905</v>
      </c>
      <c r="U87" s="26">
        <v>2200000</v>
      </c>
      <c r="V87" s="19">
        <v>15</v>
      </c>
      <c r="W87" s="27">
        <v>330000</v>
      </c>
      <c r="X87" s="27">
        <v>1870000</v>
      </c>
      <c r="Y87" s="28">
        <v>2</v>
      </c>
      <c r="Z87" s="27">
        <v>37400</v>
      </c>
      <c r="AA87" s="19"/>
      <c r="AB87" s="25" t="s">
        <v>45</v>
      </c>
      <c r="AC87" s="24">
        <v>1141070718</v>
      </c>
      <c r="AD87" s="29">
        <v>45565</v>
      </c>
      <c r="AE87" s="19" t="s">
        <v>46</v>
      </c>
      <c r="AF87" s="19">
        <v>5</v>
      </c>
      <c r="AG87" s="30" t="s">
        <v>702</v>
      </c>
      <c r="AH87" s="31">
        <v>37400</v>
      </c>
      <c r="AI87" s="32">
        <v>0</v>
      </c>
    </row>
    <row r="88" spans="1:35" x14ac:dyDescent="0.25">
      <c r="A88" s="19">
        <v>87</v>
      </c>
      <c r="B88" s="19" t="s">
        <v>33</v>
      </c>
      <c r="C88" s="19" t="s">
        <v>709</v>
      </c>
      <c r="D88" s="20">
        <v>45505</v>
      </c>
      <c r="E88" s="21" t="s">
        <v>35</v>
      </c>
      <c r="F88" s="19" t="s">
        <v>710</v>
      </c>
      <c r="G88" s="22">
        <v>45535</v>
      </c>
      <c r="H88" s="22">
        <v>45899</v>
      </c>
      <c r="I88" s="23" t="s">
        <v>711</v>
      </c>
      <c r="J88" s="24">
        <v>3640112698217</v>
      </c>
      <c r="K88" s="23" t="s">
        <v>237</v>
      </c>
      <c r="L88" s="19" t="s">
        <v>712</v>
      </c>
      <c r="M88" s="19" t="s">
        <v>713</v>
      </c>
      <c r="N88" s="19" t="s">
        <v>714</v>
      </c>
      <c r="O88" s="19" t="s">
        <v>709</v>
      </c>
      <c r="P88" s="25" t="s">
        <v>61</v>
      </c>
      <c r="Q88" s="19" t="s">
        <v>79</v>
      </c>
      <c r="R88" s="19" t="s">
        <v>715</v>
      </c>
      <c r="S88" s="22">
        <v>44805</v>
      </c>
      <c r="T88" s="22">
        <v>45905</v>
      </c>
      <c r="U88" s="26">
        <v>4400000</v>
      </c>
      <c r="V88" s="19">
        <v>15</v>
      </c>
      <c r="W88" s="27">
        <v>660000</v>
      </c>
      <c r="X88" s="27">
        <v>3740000</v>
      </c>
      <c r="Y88" s="28">
        <v>1.5</v>
      </c>
      <c r="Z88" s="27">
        <v>56100</v>
      </c>
      <c r="AA88" s="19"/>
      <c r="AB88" s="25" t="s">
        <v>45</v>
      </c>
      <c r="AC88" s="24">
        <v>1141070718</v>
      </c>
      <c r="AD88" s="29">
        <v>45565</v>
      </c>
      <c r="AE88" s="19" t="s">
        <v>46</v>
      </c>
      <c r="AF88" s="19">
        <v>5</v>
      </c>
      <c r="AG88" s="30" t="s">
        <v>710</v>
      </c>
      <c r="AH88" s="31">
        <v>56100</v>
      </c>
      <c r="AI88" s="32">
        <v>0</v>
      </c>
    </row>
    <row r="89" spans="1:35" x14ac:dyDescent="0.25">
      <c r="A89" s="19">
        <v>88</v>
      </c>
      <c r="B89" s="19" t="s">
        <v>33</v>
      </c>
      <c r="C89" s="19" t="s">
        <v>716</v>
      </c>
      <c r="D89" s="20">
        <v>45505</v>
      </c>
      <c r="E89" s="21" t="s">
        <v>35</v>
      </c>
      <c r="F89" s="19" t="s">
        <v>717</v>
      </c>
      <c r="G89" s="22">
        <v>45535</v>
      </c>
      <c r="H89" s="22">
        <v>45899</v>
      </c>
      <c r="I89" s="23" t="s">
        <v>718</v>
      </c>
      <c r="J89" s="24">
        <v>3520158738819</v>
      </c>
      <c r="K89" s="23" t="s">
        <v>719</v>
      </c>
      <c r="L89" s="19" t="s">
        <v>720</v>
      </c>
      <c r="M89" s="19" t="s">
        <v>721</v>
      </c>
      <c r="N89" s="19" t="s">
        <v>722</v>
      </c>
      <c r="O89" s="19" t="s">
        <v>716</v>
      </c>
      <c r="P89" s="25" t="s">
        <v>61</v>
      </c>
      <c r="Q89" s="19" t="s">
        <v>79</v>
      </c>
      <c r="R89" s="19" t="s">
        <v>723</v>
      </c>
      <c r="S89" s="22">
        <v>44805</v>
      </c>
      <c r="T89" s="22">
        <v>45905</v>
      </c>
      <c r="U89" s="26">
        <v>6299000</v>
      </c>
      <c r="V89" s="19">
        <v>15</v>
      </c>
      <c r="W89" s="27">
        <v>944850</v>
      </c>
      <c r="X89" s="27">
        <v>5354150</v>
      </c>
      <c r="Y89" s="28">
        <v>1.5</v>
      </c>
      <c r="Z89" s="27">
        <v>80312.25</v>
      </c>
      <c r="AA89" s="19"/>
      <c r="AB89" s="25" t="s">
        <v>45</v>
      </c>
      <c r="AC89" s="24">
        <v>1141070718</v>
      </c>
      <c r="AD89" s="29">
        <v>45565</v>
      </c>
      <c r="AE89" s="19" t="s">
        <v>46</v>
      </c>
      <c r="AF89" s="19">
        <v>5</v>
      </c>
      <c r="AG89" s="30" t="s">
        <v>717</v>
      </c>
      <c r="AH89" s="31">
        <v>80312</v>
      </c>
      <c r="AI89" s="32">
        <v>0.25</v>
      </c>
    </row>
    <row r="90" spans="1:35" x14ac:dyDescent="0.25">
      <c r="A90" s="19">
        <v>89</v>
      </c>
      <c r="B90" s="19" t="s">
        <v>33</v>
      </c>
      <c r="C90" s="19" t="s">
        <v>724</v>
      </c>
      <c r="D90" s="20">
        <v>45505</v>
      </c>
      <c r="E90" s="21" t="s">
        <v>35</v>
      </c>
      <c r="F90" s="19" t="s">
        <v>725</v>
      </c>
      <c r="G90" s="22">
        <v>45507</v>
      </c>
      <c r="H90" s="22">
        <v>45871</v>
      </c>
      <c r="I90" s="23" t="s">
        <v>726</v>
      </c>
      <c r="J90" s="24">
        <v>3520230314885</v>
      </c>
      <c r="K90" s="23" t="s">
        <v>132</v>
      </c>
      <c r="L90" s="19" t="s">
        <v>727</v>
      </c>
      <c r="M90" s="19" t="s">
        <v>728</v>
      </c>
      <c r="N90" s="19" t="s">
        <v>729</v>
      </c>
      <c r="O90" s="19" t="s">
        <v>724</v>
      </c>
      <c r="P90" s="25" t="s">
        <v>61</v>
      </c>
      <c r="Q90" s="19" t="s">
        <v>79</v>
      </c>
      <c r="R90" s="19" t="s">
        <v>730</v>
      </c>
      <c r="S90" s="22">
        <v>44784</v>
      </c>
      <c r="T90" s="22">
        <v>46604</v>
      </c>
      <c r="U90" s="26">
        <v>1306000</v>
      </c>
      <c r="V90" s="19">
        <v>15</v>
      </c>
      <c r="W90" s="27">
        <v>195900</v>
      </c>
      <c r="X90" s="27">
        <v>1110100</v>
      </c>
      <c r="Y90" s="28">
        <v>1.75</v>
      </c>
      <c r="Z90" s="27">
        <v>19426.750000000004</v>
      </c>
      <c r="AA90" s="19"/>
      <c r="AB90" s="25" t="s">
        <v>45</v>
      </c>
      <c r="AC90" s="24">
        <v>1141070718</v>
      </c>
      <c r="AD90" s="29">
        <v>45565</v>
      </c>
      <c r="AE90" s="19" t="s">
        <v>46</v>
      </c>
      <c r="AF90" s="19">
        <v>5</v>
      </c>
      <c r="AG90" s="30" t="s">
        <v>725</v>
      </c>
      <c r="AH90" s="31">
        <v>19427</v>
      </c>
      <c r="AI90" s="32">
        <v>-0.24999999999636202</v>
      </c>
    </row>
    <row r="91" spans="1:35" x14ac:dyDescent="0.25">
      <c r="A91" s="19">
        <v>90</v>
      </c>
      <c r="B91" s="19" t="s">
        <v>33</v>
      </c>
      <c r="C91" s="19" t="s">
        <v>731</v>
      </c>
      <c r="D91" s="20">
        <v>45505</v>
      </c>
      <c r="E91" s="21" t="s">
        <v>35</v>
      </c>
      <c r="F91" s="19" t="s">
        <v>732</v>
      </c>
      <c r="G91" s="22">
        <v>45535</v>
      </c>
      <c r="H91" s="22">
        <v>45899</v>
      </c>
      <c r="I91" s="23" t="s">
        <v>733</v>
      </c>
      <c r="J91" s="24">
        <v>3630268723463</v>
      </c>
      <c r="K91" s="23" t="s">
        <v>734</v>
      </c>
      <c r="L91" s="19" t="s">
        <v>735</v>
      </c>
      <c r="M91" s="19" t="s">
        <v>736</v>
      </c>
      <c r="N91" s="19" t="s">
        <v>737</v>
      </c>
      <c r="O91" s="19" t="s">
        <v>731</v>
      </c>
      <c r="P91" s="25" t="s">
        <v>61</v>
      </c>
      <c r="Q91" s="19" t="s">
        <v>96</v>
      </c>
      <c r="R91" s="19" t="s">
        <v>738</v>
      </c>
      <c r="S91" s="22">
        <v>44805</v>
      </c>
      <c r="T91" s="22">
        <v>45905</v>
      </c>
      <c r="U91" s="26">
        <v>2600000</v>
      </c>
      <c r="V91" s="19">
        <v>15</v>
      </c>
      <c r="W91" s="27">
        <v>390000</v>
      </c>
      <c r="X91" s="27">
        <v>2210000</v>
      </c>
      <c r="Y91" s="28">
        <v>2</v>
      </c>
      <c r="Z91" s="27">
        <v>44200</v>
      </c>
      <c r="AA91" s="19"/>
      <c r="AB91" s="25" t="s">
        <v>45</v>
      </c>
      <c r="AC91" s="24">
        <v>1141070718</v>
      </c>
      <c r="AD91" s="29">
        <v>45565</v>
      </c>
      <c r="AE91" s="19" t="s">
        <v>46</v>
      </c>
      <c r="AF91" s="19">
        <v>0</v>
      </c>
      <c r="AG91" s="30" t="s">
        <v>732</v>
      </c>
      <c r="AH91" s="31">
        <v>44200</v>
      </c>
      <c r="AI91" s="32">
        <v>0</v>
      </c>
    </row>
    <row r="92" spans="1:35" x14ac:dyDescent="0.25">
      <c r="A92" s="19">
        <v>91</v>
      </c>
      <c r="B92" s="19" t="s">
        <v>33</v>
      </c>
      <c r="C92" s="19" t="s">
        <v>739</v>
      </c>
      <c r="D92" s="20">
        <v>45505</v>
      </c>
      <c r="E92" s="21" t="s">
        <v>35</v>
      </c>
      <c r="F92" s="19" t="s">
        <v>740</v>
      </c>
      <c r="G92" s="22">
        <v>45535</v>
      </c>
      <c r="H92" s="22">
        <v>45899</v>
      </c>
      <c r="I92" s="23" t="s">
        <v>741</v>
      </c>
      <c r="J92" s="24">
        <v>3520239003535</v>
      </c>
      <c r="K92" s="23" t="s">
        <v>132</v>
      </c>
      <c r="L92" s="19" t="s">
        <v>742</v>
      </c>
      <c r="M92" s="19" t="s">
        <v>743</v>
      </c>
      <c r="N92" s="19" t="s">
        <v>744</v>
      </c>
      <c r="O92" s="19" t="s">
        <v>739</v>
      </c>
      <c r="P92" s="25" t="s">
        <v>61</v>
      </c>
      <c r="Q92" s="19" t="s">
        <v>79</v>
      </c>
      <c r="R92" s="19" t="s">
        <v>745</v>
      </c>
      <c r="S92" s="22">
        <v>44806</v>
      </c>
      <c r="T92" s="22">
        <v>46636</v>
      </c>
      <c r="U92" s="26">
        <v>1930000</v>
      </c>
      <c r="V92" s="19">
        <v>15</v>
      </c>
      <c r="W92" s="27">
        <v>289500</v>
      </c>
      <c r="X92" s="27">
        <v>1640500</v>
      </c>
      <c r="Y92" s="28">
        <v>1.5</v>
      </c>
      <c r="Z92" s="27">
        <v>24607.5</v>
      </c>
      <c r="AA92" s="19"/>
      <c r="AB92" s="25" t="s">
        <v>45</v>
      </c>
      <c r="AC92" s="24">
        <v>1141070718</v>
      </c>
      <c r="AD92" s="29">
        <v>45565</v>
      </c>
      <c r="AE92" s="19" t="s">
        <v>46</v>
      </c>
      <c r="AF92" s="19">
        <v>5</v>
      </c>
      <c r="AG92" s="30" t="s">
        <v>740</v>
      </c>
      <c r="AH92" s="31">
        <v>24608</v>
      </c>
      <c r="AI92" s="32">
        <v>-0.5</v>
      </c>
    </row>
    <row r="93" spans="1:35" x14ac:dyDescent="0.25">
      <c r="A93" s="19">
        <v>92</v>
      </c>
      <c r="B93" s="19" t="s">
        <v>33</v>
      </c>
      <c r="C93" s="19" t="s">
        <v>746</v>
      </c>
      <c r="D93" s="20">
        <v>45505</v>
      </c>
      <c r="E93" s="21" t="s">
        <v>35</v>
      </c>
      <c r="F93" s="19" t="s">
        <v>747</v>
      </c>
      <c r="G93" s="22">
        <v>45535</v>
      </c>
      <c r="H93" s="22">
        <v>45899</v>
      </c>
      <c r="I93" s="23" t="s">
        <v>748</v>
      </c>
      <c r="J93" s="24">
        <v>2120323549143</v>
      </c>
      <c r="K93" s="23" t="s">
        <v>749</v>
      </c>
      <c r="L93" s="19" t="s">
        <v>750</v>
      </c>
      <c r="M93" s="19" t="s">
        <v>751</v>
      </c>
      <c r="N93" s="19" t="s">
        <v>752</v>
      </c>
      <c r="O93" s="19" t="s">
        <v>746</v>
      </c>
      <c r="P93" s="25" t="s">
        <v>42</v>
      </c>
      <c r="Q93" s="19" t="s">
        <v>753</v>
      </c>
      <c r="R93" s="19" t="s">
        <v>754</v>
      </c>
      <c r="S93" s="22">
        <v>44806</v>
      </c>
      <c r="T93" s="22">
        <v>46270</v>
      </c>
      <c r="U93" s="26">
        <v>4000000</v>
      </c>
      <c r="V93" s="19">
        <v>15</v>
      </c>
      <c r="W93" s="27">
        <v>600000</v>
      </c>
      <c r="X93" s="27">
        <v>3400000</v>
      </c>
      <c r="Y93" s="28">
        <v>1.5</v>
      </c>
      <c r="Z93" s="27">
        <v>51000</v>
      </c>
      <c r="AA93" s="19"/>
      <c r="AB93" s="25" t="s">
        <v>45</v>
      </c>
      <c r="AC93" s="24">
        <v>1141070718</v>
      </c>
      <c r="AD93" s="29">
        <v>45565</v>
      </c>
      <c r="AE93" s="19" t="s">
        <v>46</v>
      </c>
      <c r="AF93" s="19">
        <v>5</v>
      </c>
      <c r="AG93" s="30" t="s">
        <v>747</v>
      </c>
      <c r="AH93" s="31">
        <v>51000</v>
      </c>
      <c r="AI93" s="32">
        <v>0</v>
      </c>
    </row>
    <row r="94" spans="1:35" x14ac:dyDescent="0.25">
      <c r="A94" s="19">
        <v>93</v>
      </c>
      <c r="B94" s="19" t="s">
        <v>33</v>
      </c>
      <c r="C94" s="19" t="s">
        <v>755</v>
      </c>
      <c r="D94" s="20">
        <v>45505</v>
      </c>
      <c r="E94" s="21" t="s">
        <v>35</v>
      </c>
      <c r="F94" s="19" t="s">
        <v>756</v>
      </c>
      <c r="G94" s="22">
        <v>45508</v>
      </c>
      <c r="H94" s="22">
        <v>45872</v>
      </c>
      <c r="I94" s="23" t="s">
        <v>757</v>
      </c>
      <c r="J94" s="24">
        <v>4210186781871</v>
      </c>
      <c r="K94" s="23" t="s">
        <v>687</v>
      </c>
      <c r="L94" s="19" t="s">
        <v>758</v>
      </c>
      <c r="M94" s="19" t="s">
        <v>759</v>
      </c>
      <c r="N94" s="19" t="s">
        <v>760</v>
      </c>
      <c r="O94" s="19" t="s">
        <v>755</v>
      </c>
      <c r="P94" s="25" t="s">
        <v>167</v>
      </c>
      <c r="Q94" s="19" t="s">
        <v>168</v>
      </c>
      <c r="R94" s="19" t="s">
        <v>761</v>
      </c>
      <c r="S94" s="22">
        <v>44778</v>
      </c>
      <c r="T94" s="22">
        <v>47336</v>
      </c>
      <c r="U94" s="26">
        <v>1747000</v>
      </c>
      <c r="V94" s="19">
        <v>15</v>
      </c>
      <c r="W94" s="27">
        <v>262050</v>
      </c>
      <c r="X94" s="27">
        <v>1484950</v>
      </c>
      <c r="Y94" s="28">
        <v>1.75</v>
      </c>
      <c r="Z94" s="27">
        <v>25986.625000000004</v>
      </c>
      <c r="AA94" s="19"/>
      <c r="AB94" s="25" t="s">
        <v>45</v>
      </c>
      <c r="AC94" s="24">
        <v>1141070718</v>
      </c>
      <c r="AD94" s="29">
        <v>45565</v>
      </c>
      <c r="AE94" s="19" t="s">
        <v>46</v>
      </c>
      <c r="AF94" s="19">
        <v>0</v>
      </c>
      <c r="AG94" s="30" t="s">
        <v>756</v>
      </c>
      <c r="AH94" s="31">
        <v>25987</v>
      </c>
      <c r="AI94" s="32">
        <v>-0.37499999999636202</v>
      </c>
    </row>
    <row r="95" spans="1:35" x14ac:dyDescent="0.25">
      <c r="A95" s="19">
        <v>94</v>
      </c>
      <c r="B95" s="19" t="s">
        <v>33</v>
      </c>
      <c r="C95" s="19" t="s">
        <v>762</v>
      </c>
      <c r="D95" s="20">
        <v>45505</v>
      </c>
      <c r="E95" s="21" t="s">
        <v>35</v>
      </c>
      <c r="F95" s="19" t="s">
        <v>763</v>
      </c>
      <c r="G95" s="22">
        <v>45507</v>
      </c>
      <c r="H95" s="22">
        <v>45871</v>
      </c>
      <c r="I95" s="23" t="s">
        <v>764</v>
      </c>
      <c r="J95" s="24">
        <v>3630385720615</v>
      </c>
      <c r="K95" s="23" t="s">
        <v>292</v>
      </c>
      <c r="L95" s="19" t="s">
        <v>765</v>
      </c>
      <c r="M95" s="19" t="s">
        <v>766</v>
      </c>
      <c r="N95" s="19" t="s">
        <v>767</v>
      </c>
      <c r="O95" s="19" t="s">
        <v>762</v>
      </c>
      <c r="P95" s="25" t="s">
        <v>61</v>
      </c>
      <c r="Q95" s="19" t="s">
        <v>96</v>
      </c>
      <c r="R95" s="19" t="s">
        <v>768</v>
      </c>
      <c r="S95" s="22">
        <v>44784</v>
      </c>
      <c r="T95" s="22">
        <v>46604</v>
      </c>
      <c r="U95" s="26">
        <v>2199000</v>
      </c>
      <c r="V95" s="19">
        <v>15</v>
      </c>
      <c r="W95" s="27">
        <v>329850</v>
      </c>
      <c r="X95" s="27">
        <v>1869150</v>
      </c>
      <c r="Y95" s="28">
        <v>2</v>
      </c>
      <c r="Z95" s="27">
        <v>37383</v>
      </c>
      <c r="AA95" s="19"/>
      <c r="AB95" s="25" t="s">
        <v>45</v>
      </c>
      <c r="AC95" s="24">
        <v>1141070718</v>
      </c>
      <c r="AD95" s="29">
        <v>45565</v>
      </c>
      <c r="AE95" s="19" t="s">
        <v>46</v>
      </c>
      <c r="AF95" s="19">
        <v>5</v>
      </c>
      <c r="AG95" s="30" t="s">
        <v>763</v>
      </c>
      <c r="AH95" s="31">
        <v>37383</v>
      </c>
      <c r="AI95" s="32">
        <v>0</v>
      </c>
    </row>
    <row r="96" spans="1:35" x14ac:dyDescent="0.25">
      <c r="A96" s="19">
        <v>95</v>
      </c>
      <c r="B96" s="19" t="s">
        <v>33</v>
      </c>
      <c r="C96" s="19" t="s">
        <v>769</v>
      </c>
      <c r="D96" s="20">
        <v>45505</v>
      </c>
      <c r="E96" s="21" t="s">
        <v>35</v>
      </c>
      <c r="F96" s="19" t="s">
        <v>770</v>
      </c>
      <c r="G96" s="22">
        <v>45507</v>
      </c>
      <c r="H96" s="22">
        <v>45871</v>
      </c>
      <c r="I96" s="23" t="s">
        <v>771</v>
      </c>
      <c r="J96" s="24">
        <v>3740555042689</v>
      </c>
      <c r="K96" s="23" t="s">
        <v>370</v>
      </c>
      <c r="L96" s="19" t="s">
        <v>772</v>
      </c>
      <c r="M96" s="19" t="s">
        <v>773</v>
      </c>
      <c r="N96" s="19" t="s">
        <v>774</v>
      </c>
      <c r="O96" s="19" t="s">
        <v>769</v>
      </c>
      <c r="P96" s="25" t="s">
        <v>42</v>
      </c>
      <c r="Q96" s="19" t="s">
        <v>71</v>
      </c>
      <c r="R96" s="19" t="s">
        <v>775</v>
      </c>
      <c r="S96" s="22">
        <v>44789</v>
      </c>
      <c r="T96" s="22">
        <v>46636</v>
      </c>
      <c r="U96" s="26">
        <v>3642840</v>
      </c>
      <c r="V96" s="19">
        <v>15</v>
      </c>
      <c r="W96" s="27">
        <v>546426</v>
      </c>
      <c r="X96" s="27">
        <v>3096414</v>
      </c>
      <c r="Y96" s="28">
        <v>1.75</v>
      </c>
      <c r="Z96" s="27">
        <v>54187.245000000003</v>
      </c>
      <c r="AA96" s="19"/>
      <c r="AB96" s="25" t="s">
        <v>45</v>
      </c>
      <c r="AC96" s="24">
        <v>1141070718</v>
      </c>
      <c r="AD96" s="29">
        <v>45565</v>
      </c>
      <c r="AE96" s="19" t="s">
        <v>46</v>
      </c>
      <c r="AF96" s="19">
        <v>5</v>
      </c>
      <c r="AG96" s="30" t="s">
        <v>770</v>
      </c>
      <c r="AH96" s="31">
        <v>54187</v>
      </c>
      <c r="AI96" s="32">
        <v>0.24500000000261934</v>
      </c>
    </row>
    <row r="97" spans="1:35" x14ac:dyDescent="0.25">
      <c r="A97" s="19">
        <v>96</v>
      </c>
      <c r="B97" s="19" t="s">
        <v>33</v>
      </c>
      <c r="C97" s="19" t="s">
        <v>776</v>
      </c>
      <c r="D97" s="20">
        <v>45505</v>
      </c>
      <c r="E97" s="21" t="s">
        <v>35</v>
      </c>
      <c r="F97" s="19" t="s">
        <v>777</v>
      </c>
      <c r="G97" s="22">
        <v>45509</v>
      </c>
      <c r="H97" s="22">
        <v>45873</v>
      </c>
      <c r="I97" s="23" t="s">
        <v>778</v>
      </c>
      <c r="J97" s="24">
        <v>3520254989351</v>
      </c>
      <c r="K97" s="23" t="s">
        <v>132</v>
      </c>
      <c r="L97" s="19" t="s">
        <v>779</v>
      </c>
      <c r="M97" s="19" t="s">
        <v>780</v>
      </c>
      <c r="N97" s="19" t="s">
        <v>781</v>
      </c>
      <c r="O97" s="19" t="s">
        <v>776</v>
      </c>
      <c r="P97" s="25" t="s">
        <v>61</v>
      </c>
      <c r="Q97" s="19" t="s">
        <v>79</v>
      </c>
      <c r="R97" s="19" t="s">
        <v>782</v>
      </c>
      <c r="S97" s="22">
        <v>44783</v>
      </c>
      <c r="T97" s="22">
        <v>46604</v>
      </c>
      <c r="U97" s="26">
        <v>1546000</v>
      </c>
      <c r="V97" s="19">
        <v>15</v>
      </c>
      <c r="W97" s="27">
        <v>231900</v>
      </c>
      <c r="X97" s="27">
        <v>1314100</v>
      </c>
      <c r="Y97" s="28">
        <v>2.5</v>
      </c>
      <c r="Z97" s="27">
        <v>32852.5</v>
      </c>
      <c r="AA97" s="19"/>
      <c r="AB97" s="25" t="s">
        <v>45</v>
      </c>
      <c r="AC97" s="24">
        <v>1141070718</v>
      </c>
      <c r="AD97" s="29">
        <v>45565</v>
      </c>
      <c r="AE97" s="19" t="s">
        <v>46</v>
      </c>
      <c r="AF97" s="19">
        <v>5</v>
      </c>
      <c r="AG97" s="30" t="s">
        <v>777</v>
      </c>
      <c r="AH97" s="31">
        <v>32853</v>
      </c>
      <c r="AI97" s="32">
        <v>-0.5</v>
      </c>
    </row>
    <row r="98" spans="1:35" x14ac:dyDescent="0.25">
      <c r="A98" s="19">
        <v>97</v>
      </c>
      <c r="B98" s="19" t="s">
        <v>33</v>
      </c>
      <c r="C98" s="19" t="s">
        <v>783</v>
      </c>
      <c r="D98" s="20">
        <v>45505</v>
      </c>
      <c r="E98" s="21" t="s">
        <v>35</v>
      </c>
      <c r="F98" s="19" t="s">
        <v>784</v>
      </c>
      <c r="G98" s="22">
        <v>45506</v>
      </c>
      <c r="H98" s="22">
        <v>45870</v>
      </c>
      <c r="I98" s="23" t="s">
        <v>785</v>
      </c>
      <c r="J98" s="24">
        <v>3120356086725</v>
      </c>
      <c r="K98" s="23" t="s">
        <v>786</v>
      </c>
      <c r="L98" s="19" t="s">
        <v>787</v>
      </c>
      <c r="M98" s="19" t="s">
        <v>788</v>
      </c>
      <c r="N98" s="19" t="s">
        <v>789</v>
      </c>
      <c r="O98" s="19" t="s">
        <v>783</v>
      </c>
      <c r="P98" s="25" t="s">
        <v>61</v>
      </c>
      <c r="Q98" s="19" t="s">
        <v>790</v>
      </c>
      <c r="R98" s="19" t="s">
        <v>791</v>
      </c>
      <c r="S98" s="22">
        <v>44420</v>
      </c>
      <c r="T98" s="22">
        <v>46970</v>
      </c>
      <c r="U98" s="26">
        <v>1388400</v>
      </c>
      <c r="V98" s="19">
        <v>20</v>
      </c>
      <c r="W98" s="27">
        <v>277680</v>
      </c>
      <c r="X98" s="27">
        <v>1110720</v>
      </c>
      <c r="Y98" s="28">
        <v>2.5</v>
      </c>
      <c r="Z98" s="27">
        <v>27768</v>
      </c>
      <c r="AA98" s="19"/>
      <c r="AB98" s="25" t="s">
        <v>45</v>
      </c>
      <c r="AC98" s="24">
        <v>1141070718</v>
      </c>
      <c r="AD98" s="29">
        <v>45565</v>
      </c>
      <c r="AE98" s="19" t="s">
        <v>46</v>
      </c>
      <c r="AF98" s="19">
        <v>0</v>
      </c>
      <c r="AG98" s="30" t="s">
        <v>784</v>
      </c>
      <c r="AH98" s="31">
        <v>27768</v>
      </c>
      <c r="AI98" s="32">
        <v>0</v>
      </c>
    </row>
    <row r="99" spans="1:35" x14ac:dyDescent="0.25">
      <c r="A99" s="19">
        <v>98</v>
      </c>
      <c r="B99" s="19" t="s">
        <v>33</v>
      </c>
      <c r="C99" s="19" t="s">
        <v>792</v>
      </c>
      <c r="D99" s="20">
        <v>45505</v>
      </c>
      <c r="E99" s="21" t="s">
        <v>35</v>
      </c>
      <c r="F99" s="19" t="s">
        <v>793</v>
      </c>
      <c r="G99" s="22">
        <v>45508</v>
      </c>
      <c r="H99" s="22">
        <v>45872</v>
      </c>
      <c r="I99" s="23" t="s">
        <v>794</v>
      </c>
      <c r="J99" s="24">
        <v>3520228198499</v>
      </c>
      <c r="K99" s="23" t="s">
        <v>92</v>
      </c>
      <c r="L99" s="19" t="s">
        <v>795</v>
      </c>
      <c r="M99" s="19" t="s">
        <v>796</v>
      </c>
      <c r="N99" s="19" t="s">
        <v>797</v>
      </c>
      <c r="O99" s="19" t="s">
        <v>792</v>
      </c>
      <c r="P99" s="25" t="s">
        <v>61</v>
      </c>
      <c r="Q99" s="19" t="s">
        <v>79</v>
      </c>
      <c r="R99" s="19" t="s">
        <v>798</v>
      </c>
      <c r="S99" s="22">
        <v>44424</v>
      </c>
      <c r="T99" s="22">
        <v>46270</v>
      </c>
      <c r="U99" s="26">
        <v>2623000</v>
      </c>
      <c r="V99" s="19">
        <v>20</v>
      </c>
      <c r="W99" s="27">
        <v>524600</v>
      </c>
      <c r="X99" s="27">
        <v>2098400</v>
      </c>
      <c r="Y99" s="28">
        <v>2.5</v>
      </c>
      <c r="Z99" s="27">
        <v>52460</v>
      </c>
      <c r="AA99" s="19"/>
      <c r="AB99" s="25" t="s">
        <v>45</v>
      </c>
      <c r="AC99" s="24">
        <v>1141070718</v>
      </c>
      <c r="AD99" s="29">
        <v>45565</v>
      </c>
      <c r="AE99" s="19" t="s">
        <v>46</v>
      </c>
      <c r="AF99" s="19">
        <v>0</v>
      </c>
      <c r="AG99" s="30" t="s">
        <v>793</v>
      </c>
      <c r="AH99" s="31">
        <v>52460</v>
      </c>
      <c r="AI99" s="32">
        <v>0</v>
      </c>
    </row>
    <row r="100" spans="1:35" x14ac:dyDescent="0.25">
      <c r="A100" s="19">
        <v>99</v>
      </c>
      <c r="B100" s="19" t="s">
        <v>33</v>
      </c>
      <c r="C100" s="19" t="s">
        <v>799</v>
      </c>
      <c r="D100" s="20">
        <v>45505</v>
      </c>
      <c r="E100" s="21" t="s">
        <v>35</v>
      </c>
      <c r="F100" s="19" t="s">
        <v>800</v>
      </c>
      <c r="G100" s="22">
        <v>45510</v>
      </c>
      <c r="H100" s="22">
        <v>45874</v>
      </c>
      <c r="I100" s="23" t="s">
        <v>801</v>
      </c>
      <c r="J100" s="24">
        <v>3520255659512</v>
      </c>
      <c r="K100" s="23" t="s">
        <v>802</v>
      </c>
      <c r="L100" s="19" t="s">
        <v>803</v>
      </c>
      <c r="M100" s="19" t="s">
        <v>804</v>
      </c>
      <c r="N100" s="19" t="s">
        <v>805</v>
      </c>
      <c r="O100" s="19" t="s">
        <v>799</v>
      </c>
      <c r="P100" s="25" t="s">
        <v>61</v>
      </c>
      <c r="Q100" s="19" t="s">
        <v>79</v>
      </c>
      <c r="R100" s="19" t="s">
        <v>806</v>
      </c>
      <c r="S100" s="22">
        <v>44421</v>
      </c>
      <c r="T100" s="22">
        <v>46970</v>
      </c>
      <c r="U100" s="26">
        <v>9309000</v>
      </c>
      <c r="V100" s="19">
        <v>20</v>
      </c>
      <c r="W100" s="27">
        <v>1861800</v>
      </c>
      <c r="X100" s="27">
        <v>7447200</v>
      </c>
      <c r="Y100" s="28">
        <v>1.5</v>
      </c>
      <c r="Z100" s="27">
        <v>111708</v>
      </c>
      <c r="AA100" s="19"/>
      <c r="AB100" s="25" t="s">
        <v>45</v>
      </c>
      <c r="AC100" s="24">
        <v>1141070718</v>
      </c>
      <c r="AD100" s="29">
        <v>45565</v>
      </c>
      <c r="AE100" s="19" t="s">
        <v>46</v>
      </c>
      <c r="AF100" s="19">
        <v>5</v>
      </c>
      <c r="AG100" s="30" t="s">
        <v>800</v>
      </c>
      <c r="AH100" s="31">
        <v>111708</v>
      </c>
      <c r="AI100" s="32">
        <v>0</v>
      </c>
    </row>
    <row r="101" spans="1:35" x14ac:dyDescent="0.25">
      <c r="A101" s="19">
        <v>100</v>
      </c>
      <c r="B101" s="19" t="s">
        <v>33</v>
      </c>
      <c r="C101" s="19" t="s">
        <v>807</v>
      </c>
      <c r="D101" s="20">
        <v>45505</v>
      </c>
      <c r="E101" s="21" t="s">
        <v>35</v>
      </c>
      <c r="F101" s="19" t="s">
        <v>808</v>
      </c>
      <c r="G101" s="22">
        <v>45513</v>
      </c>
      <c r="H101" s="22">
        <v>45877</v>
      </c>
      <c r="I101" s="23" t="s">
        <v>809</v>
      </c>
      <c r="J101" s="24">
        <v>4230102198735</v>
      </c>
      <c r="K101" s="23" t="s">
        <v>182</v>
      </c>
      <c r="L101" s="19" t="s">
        <v>810</v>
      </c>
      <c r="M101" s="19" t="s">
        <v>811</v>
      </c>
      <c r="N101" s="19" t="s">
        <v>812</v>
      </c>
      <c r="O101" s="19" t="s">
        <v>807</v>
      </c>
      <c r="P101" s="25" t="s">
        <v>61</v>
      </c>
      <c r="Q101" s="19" t="s">
        <v>79</v>
      </c>
      <c r="R101" s="19" t="s">
        <v>813</v>
      </c>
      <c r="S101" s="22">
        <v>44419</v>
      </c>
      <c r="T101" s="22">
        <v>46239</v>
      </c>
      <c r="U101" s="26">
        <v>2850000</v>
      </c>
      <c r="V101" s="19">
        <v>20</v>
      </c>
      <c r="W101" s="27">
        <v>570000</v>
      </c>
      <c r="X101" s="27">
        <v>2280000</v>
      </c>
      <c r="Y101" s="28">
        <v>2.5</v>
      </c>
      <c r="Z101" s="27">
        <v>57000</v>
      </c>
      <c r="AA101" s="19"/>
      <c r="AB101" s="25" t="s">
        <v>45</v>
      </c>
      <c r="AC101" s="24">
        <v>1141070718</v>
      </c>
      <c r="AD101" s="29">
        <v>45565</v>
      </c>
      <c r="AE101" s="19" t="s">
        <v>46</v>
      </c>
      <c r="AF101" s="19">
        <v>5</v>
      </c>
      <c r="AG101" s="30" t="s">
        <v>808</v>
      </c>
      <c r="AH101" s="31">
        <v>57000</v>
      </c>
      <c r="AI101" s="32">
        <v>0</v>
      </c>
    </row>
    <row r="102" spans="1:35" x14ac:dyDescent="0.25">
      <c r="A102" s="19">
        <v>101</v>
      </c>
      <c r="B102" s="19" t="s">
        <v>33</v>
      </c>
      <c r="C102" s="19" t="s">
        <v>814</v>
      </c>
      <c r="D102" s="20">
        <v>45505</v>
      </c>
      <c r="E102" s="21" t="s">
        <v>35</v>
      </c>
      <c r="F102" s="19" t="s">
        <v>815</v>
      </c>
      <c r="G102" s="22">
        <v>45514</v>
      </c>
      <c r="H102" s="22">
        <v>45878</v>
      </c>
      <c r="I102" s="23" t="s">
        <v>816</v>
      </c>
      <c r="J102" s="24">
        <v>3520227726851</v>
      </c>
      <c r="K102" s="23" t="s">
        <v>198</v>
      </c>
      <c r="L102" s="19" t="s">
        <v>817</v>
      </c>
      <c r="M102" s="19" t="s">
        <v>818</v>
      </c>
      <c r="N102" s="19" t="s">
        <v>819</v>
      </c>
      <c r="O102" s="19" t="s">
        <v>814</v>
      </c>
      <c r="P102" s="25" t="s">
        <v>61</v>
      </c>
      <c r="Q102" s="19" t="s">
        <v>79</v>
      </c>
      <c r="R102" s="19" t="s">
        <v>820</v>
      </c>
      <c r="S102" s="22">
        <v>44432</v>
      </c>
      <c r="T102" s="22">
        <v>46270</v>
      </c>
      <c r="U102" s="26">
        <v>1489000</v>
      </c>
      <c r="V102" s="19">
        <v>20</v>
      </c>
      <c r="W102" s="27">
        <v>297800</v>
      </c>
      <c r="X102" s="27">
        <v>1191200</v>
      </c>
      <c r="Y102" s="28">
        <v>2.5</v>
      </c>
      <c r="Z102" s="27">
        <v>29780</v>
      </c>
      <c r="AA102" s="19"/>
      <c r="AB102" s="25" t="s">
        <v>45</v>
      </c>
      <c r="AC102" s="24">
        <v>1141070718</v>
      </c>
      <c r="AD102" s="29">
        <v>45565</v>
      </c>
      <c r="AE102" s="19" t="s">
        <v>46</v>
      </c>
      <c r="AF102" s="19">
        <v>5</v>
      </c>
      <c r="AG102" s="30" t="s">
        <v>815</v>
      </c>
      <c r="AH102" s="31">
        <v>29780</v>
      </c>
      <c r="AI102" s="32">
        <v>0</v>
      </c>
    </row>
    <row r="103" spans="1:35" x14ac:dyDescent="0.25">
      <c r="A103" s="19">
        <v>102</v>
      </c>
      <c r="B103" s="19" t="s">
        <v>33</v>
      </c>
      <c r="C103" s="19" t="s">
        <v>821</v>
      </c>
      <c r="D103" s="20">
        <v>45505</v>
      </c>
      <c r="E103" s="21" t="s">
        <v>35</v>
      </c>
      <c r="F103" s="19" t="s">
        <v>822</v>
      </c>
      <c r="G103" s="22">
        <v>45514</v>
      </c>
      <c r="H103" s="22">
        <v>45878</v>
      </c>
      <c r="I103" s="23" t="s">
        <v>823</v>
      </c>
      <c r="J103" s="24">
        <v>3520221990225</v>
      </c>
      <c r="K103" s="23" t="s">
        <v>824</v>
      </c>
      <c r="L103" s="19" t="s">
        <v>825</v>
      </c>
      <c r="M103" s="19" t="s">
        <v>826</v>
      </c>
      <c r="N103" s="19" t="s">
        <v>827</v>
      </c>
      <c r="O103" s="19" t="s">
        <v>821</v>
      </c>
      <c r="P103" s="25" t="s">
        <v>61</v>
      </c>
      <c r="Q103" s="19" t="s">
        <v>79</v>
      </c>
      <c r="R103" s="19" t="s">
        <v>828</v>
      </c>
      <c r="S103" s="22">
        <v>44445</v>
      </c>
      <c r="T103" s="22">
        <v>46270</v>
      </c>
      <c r="U103" s="26">
        <v>9309000</v>
      </c>
      <c r="V103" s="19">
        <v>20</v>
      </c>
      <c r="W103" s="27">
        <v>1861800</v>
      </c>
      <c r="X103" s="27">
        <v>7447200</v>
      </c>
      <c r="Y103" s="28">
        <v>1.5</v>
      </c>
      <c r="Z103" s="27">
        <v>111708</v>
      </c>
      <c r="AA103" s="19"/>
      <c r="AB103" s="25" t="s">
        <v>45</v>
      </c>
      <c r="AC103" s="24">
        <v>1141070718</v>
      </c>
      <c r="AD103" s="29">
        <v>45565</v>
      </c>
      <c r="AE103" s="19" t="s">
        <v>46</v>
      </c>
      <c r="AF103" s="19">
        <v>5</v>
      </c>
      <c r="AG103" s="30" t="s">
        <v>822</v>
      </c>
      <c r="AH103" s="31">
        <v>111708</v>
      </c>
      <c r="AI103" s="32">
        <v>0</v>
      </c>
    </row>
    <row r="104" spans="1:35" x14ac:dyDescent="0.25">
      <c r="A104" s="19">
        <v>103</v>
      </c>
      <c r="B104" s="19" t="s">
        <v>33</v>
      </c>
      <c r="C104" s="19" t="s">
        <v>829</v>
      </c>
      <c r="D104" s="20">
        <v>45505</v>
      </c>
      <c r="E104" s="21" t="s">
        <v>35</v>
      </c>
      <c r="F104" s="19" t="s">
        <v>830</v>
      </c>
      <c r="G104" s="22">
        <v>45514</v>
      </c>
      <c r="H104" s="22">
        <v>45878</v>
      </c>
      <c r="I104" s="23" t="s">
        <v>831</v>
      </c>
      <c r="J104" s="24">
        <v>3520202261135</v>
      </c>
      <c r="K104" s="23" t="s">
        <v>704</v>
      </c>
      <c r="L104" s="19" t="s">
        <v>832</v>
      </c>
      <c r="M104" s="19" t="s">
        <v>833</v>
      </c>
      <c r="N104" s="19" t="s">
        <v>834</v>
      </c>
      <c r="O104" s="19" t="s">
        <v>829</v>
      </c>
      <c r="P104" s="25" t="s">
        <v>61</v>
      </c>
      <c r="Q104" s="19" t="s">
        <v>79</v>
      </c>
      <c r="R104" s="19" t="s">
        <v>835</v>
      </c>
      <c r="S104" s="22">
        <v>44420</v>
      </c>
      <c r="T104" s="22">
        <v>46239</v>
      </c>
      <c r="U104" s="26">
        <v>2050000</v>
      </c>
      <c r="V104" s="19">
        <v>20</v>
      </c>
      <c r="W104" s="27">
        <v>410000</v>
      </c>
      <c r="X104" s="27">
        <v>1640000</v>
      </c>
      <c r="Y104" s="28">
        <v>2.5</v>
      </c>
      <c r="Z104" s="27">
        <v>41000</v>
      </c>
      <c r="AA104" s="19"/>
      <c r="AB104" s="25" t="s">
        <v>45</v>
      </c>
      <c r="AC104" s="24">
        <v>1141070718</v>
      </c>
      <c r="AD104" s="29">
        <v>45565</v>
      </c>
      <c r="AE104" s="19" t="s">
        <v>46</v>
      </c>
      <c r="AF104" s="19">
        <v>0</v>
      </c>
      <c r="AG104" s="30" t="s">
        <v>830</v>
      </c>
      <c r="AH104" s="31">
        <v>41000</v>
      </c>
      <c r="AI104" s="32">
        <v>0</v>
      </c>
    </row>
    <row r="105" spans="1:35" x14ac:dyDescent="0.25">
      <c r="A105" s="19">
        <v>104</v>
      </c>
      <c r="B105" s="19" t="s">
        <v>33</v>
      </c>
      <c r="C105" s="19" t="s">
        <v>836</v>
      </c>
      <c r="D105" s="20">
        <v>45505</v>
      </c>
      <c r="E105" s="21" t="s">
        <v>35</v>
      </c>
      <c r="F105" s="19" t="s">
        <v>837</v>
      </c>
      <c r="G105" s="22">
        <v>45516</v>
      </c>
      <c r="H105" s="22">
        <v>45880</v>
      </c>
      <c r="I105" s="23" t="s">
        <v>838</v>
      </c>
      <c r="J105" s="24">
        <v>3520143155300</v>
      </c>
      <c r="K105" s="23" t="s">
        <v>839</v>
      </c>
      <c r="L105" s="19" t="s">
        <v>840</v>
      </c>
      <c r="M105" s="19" t="s">
        <v>841</v>
      </c>
      <c r="N105" s="19" t="s">
        <v>842</v>
      </c>
      <c r="O105" s="19" t="s">
        <v>836</v>
      </c>
      <c r="P105" s="25" t="s">
        <v>61</v>
      </c>
      <c r="Q105" s="19" t="s">
        <v>79</v>
      </c>
      <c r="R105" s="19" t="s">
        <v>843</v>
      </c>
      <c r="S105" s="22">
        <v>44428</v>
      </c>
      <c r="T105" s="22">
        <v>47001</v>
      </c>
      <c r="U105" s="26">
        <v>1830000</v>
      </c>
      <c r="V105" s="19">
        <v>20</v>
      </c>
      <c r="W105" s="27">
        <v>366000</v>
      </c>
      <c r="X105" s="27">
        <v>1464000</v>
      </c>
      <c r="Y105" s="28">
        <v>2.5</v>
      </c>
      <c r="Z105" s="27">
        <v>36600</v>
      </c>
      <c r="AA105" s="19"/>
      <c r="AB105" s="25" t="s">
        <v>45</v>
      </c>
      <c r="AC105" s="24">
        <v>1141070718</v>
      </c>
      <c r="AD105" s="29">
        <v>45565</v>
      </c>
      <c r="AE105" s="19" t="s">
        <v>46</v>
      </c>
      <c r="AF105" s="19">
        <v>5</v>
      </c>
      <c r="AG105" s="30" t="s">
        <v>837</v>
      </c>
      <c r="AH105" s="31">
        <v>36600</v>
      </c>
      <c r="AI105" s="32">
        <v>0</v>
      </c>
    </row>
    <row r="106" spans="1:35" x14ac:dyDescent="0.25">
      <c r="A106" s="19">
        <v>105</v>
      </c>
      <c r="B106" s="19" t="s">
        <v>33</v>
      </c>
      <c r="C106" s="19" t="s">
        <v>844</v>
      </c>
      <c r="D106" s="20">
        <v>45505</v>
      </c>
      <c r="E106" s="21" t="s">
        <v>35</v>
      </c>
      <c r="F106" s="19" t="s">
        <v>845</v>
      </c>
      <c r="G106" s="22">
        <v>45516</v>
      </c>
      <c r="H106" s="22">
        <v>45880</v>
      </c>
      <c r="I106" s="23" t="s">
        <v>846</v>
      </c>
      <c r="J106" s="24">
        <v>3520250129049</v>
      </c>
      <c r="K106" s="23" t="s">
        <v>198</v>
      </c>
      <c r="L106" s="19" t="s">
        <v>847</v>
      </c>
      <c r="M106" s="19" t="s">
        <v>848</v>
      </c>
      <c r="N106" s="19" t="s">
        <v>849</v>
      </c>
      <c r="O106" s="19" t="s">
        <v>844</v>
      </c>
      <c r="P106" s="25" t="s">
        <v>61</v>
      </c>
      <c r="Q106" s="19" t="s">
        <v>79</v>
      </c>
      <c r="R106" s="19" t="s">
        <v>850</v>
      </c>
      <c r="S106" s="22">
        <v>44433</v>
      </c>
      <c r="T106" s="22">
        <v>46270</v>
      </c>
      <c r="U106" s="26">
        <v>1539000</v>
      </c>
      <c r="V106" s="19">
        <v>20</v>
      </c>
      <c r="W106" s="27">
        <v>307800</v>
      </c>
      <c r="X106" s="27">
        <v>1231200</v>
      </c>
      <c r="Y106" s="28">
        <v>2.5</v>
      </c>
      <c r="Z106" s="27">
        <v>30780</v>
      </c>
      <c r="AA106" s="19"/>
      <c r="AB106" s="25" t="s">
        <v>45</v>
      </c>
      <c r="AC106" s="24">
        <v>1141070718</v>
      </c>
      <c r="AD106" s="29">
        <v>45565</v>
      </c>
      <c r="AE106" s="19" t="s">
        <v>46</v>
      </c>
      <c r="AF106" s="19">
        <v>0</v>
      </c>
      <c r="AG106" s="30" t="s">
        <v>845</v>
      </c>
      <c r="AH106" s="31">
        <v>30780</v>
      </c>
      <c r="AI106" s="32">
        <v>0</v>
      </c>
    </row>
    <row r="107" spans="1:35" x14ac:dyDescent="0.25">
      <c r="A107" s="19">
        <v>106</v>
      </c>
      <c r="B107" s="19" t="s">
        <v>33</v>
      </c>
      <c r="C107" s="19" t="s">
        <v>851</v>
      </c>
      <c r="D107" s="20">
        <v>45505</v>
      </c>
      <c r="E107" s="21" t="s">
        <v>35</v>
      </c>
      <c r="F107" s="19" t="s">
        <v>852</v>
      </c>
      <c r="G107" s="22">
        <v>45516</v>
      </c>
      <c r="H107" s="22">
        <v>45880</v>
      </c>
      <c r="I107" s="23" t="s">
        <v>853</v>
      </c>
      <c r="J107" s="24">
        <v>3520230286579</v>
      </c>
      <c r="K107" s="23" t="s">
        <v>749</v>
      </c>
      <c r="L107" s="19" t="s">
        <v>854</v>
      </c>
      <c r="M107" s="19" t="s">
        <v>855</v>
      </c>
      <c r="N107" s="19" t="s">
        <v>856</v>
      </c>
      <c r="O107" s="19" t="s">
        <v>851</v>
      </c>
      <c r="P107" s="25" t="s">
        <v>61</v>
      </c>
      <c r="Q107" s="19" t="s">
        <v>79</v>
      </c>
      <c r="R107" s="19" t="s">
        <v>857</v>
      </c>
      <c r="S107" s="22">
        <v>44421</v>
      </c>
      <c r="T107" s="22">
        <v>46239</v>
      </c>
      <c r="U107" s="26">
        <v>4012000</v>
      </c>
      <c r="V107" s="19">
        <v>20</v>
      </c>
      <c r="W107" s="27">
        <v>802400</v>
      </c>
      <c r="X107" s="27">
        <v>3209600</v>
      </c>
      <c r="Y107" s="28">
        <v>1.5</v>
      </c>
      <c r="Z107" s="27">
        <v>48144</v>
      </c>
      <c r="AA107" s="19"/>
      <c r="AB107" s="25" t="s">
        <v>45</v>
      </c>
      <c r="AC107" s="24">
        <v>1141070718</v>
      </c>
      <c r="AD107" s="29">
        <v>45565</v>
      </c>
      <c r="AE107" s="19" t="s">
        <v>46</v>
      </c>
      <c r="AF107" s="19">
        <v>5</v>
      </c>
      <c r="AG107" s="30" t="s">
        <v>852</v>
      </c>
      <c r="AH107" s="31">
        <v>48144</v>
      </c>
      <c r="AI107" s="32">
        <v>0</v>
      </c>
    </row>
    <row r="108" spans="1:35" x14ac:dyDescent="0.25">
      <c r="A108" s="19">
        <v>107</v>
      </c>
      <c r="B108" s="19" t="s">
        <v>33</v>
      </c>
      <c r="C108" s="19" t="s">
        <v>858</v>
      </c>
      <c r="D108" s="20">
        <v>45505</v>
      </c>
      <c r="E108" s="21" t="s">
        <v>35</v>
      </c>
      <c r="F108" s="19" t="s">
        <v>859</v>
      </c>
      <c r="G108" s="22">
        <v>45517</v>
      </c>
      <c r="H108" s="22">
        <v>45881</v>
      </c>
      <c r="I108" s="23" t="s">
        <v>860</v>
      </c>
      <c r="J108" s="24">
        <v>3630285370123</v>
      </c>
      <c r="K108" s="23" t="s">
        <v>292</v>
      </c>
      <c r="L108" s="19" t="s">
        <v>861</v>
      </c>
      <c r="M108" s="19" t="s">
        <v>862</v>
      </c>
      <c r="N108" s="19" t="s">
        <v>863</v>
      </c>
      <c r="O108" s="19" t="s">
        <v>858</v>
      </c>
      <c r="P108" s="25" t="s">
        <v>61</v>
      </c>
      <c r="Q108" s="19" t="s">
        <v>96</v>
      </c>
      <c r="R108" s="19" t="s">
        <v>864</v>
      </c>
      <c r="S108" s="22">
        <v>44424</v>
      </c>
      <c r="T108" s="22">
        <v>45905</v>
      </c>
      <c r="U108" s="26">
        <v>1800000</v>
      </c>
      <c r="V108" s="19">
        <v>20</v>
      </c>
      <c r="W108" s="27">
        <v>360000</v>
      </c>
      <c r="X108" s="27">
        <v>1440000</v>
      </c>
      <c r="Y108" s="28">
        <v>2.5</v>
      </c>
      <c r="Z108" s="27">
        <v>36000</v>
      </c>
      <c r="AA108" s="19"/>
      <c r="AB108" s="25" t="s">
        <v>45</v>
      </c>
      <c r="AC108" s="24">
        <v>1141070718</v>
      </c>
      <c r="AD108" s="29">
        <v>45565</v>
      </c>
      <c r="AE108" s="19" t="s">
        <v>46</v>
      </c>
      <c r="AF108" s="19">
        <v>5</v>
      </c>
      <c r="AG108" s="30" t="s">
        <v>859</v>
      </c>
      <c r="AH108" s="31">
        <v>36000</v>
      </c>
      <c r="AI108" s="32">
        <v>0</v>
      </c>
    </row>
    <row r="109" spans="1:35" x14ac:dyDescent="0.25">
      <c r="A109" s="19">
        <v>108</v>
      </c>
      <c r="B109" s="19" t="s">
        <v>33</v>
      </c>
      <c r="C109" s="19" t="s">
        <v>865</v>
      </c>
      <c r="D109" s="20">
        <v>45505</v>
      </c>
      <c r="E109" s="21" t="s">
        <v>35</v>
      </c>
      <c r="F109" s="19" t="s">
        <v>866</v>
      </c>
      <c r="G109" s="22">
        <v>45506</v>
      </c>
      <c r="H109" s="22">
        <v>45870</v>
      </c>
      <c r="I109" s="23" t="s">
        <v>867</v>
      </c>
      <c r="J109" s="24">
        <v>3540486327372</v>
      </c>
      <c r="K109" s="23" t="s">
        <v>687</v>
      </c>
      <c r="L109" s="19" t="s">
        <v>868</v>
      </c>
      <c r="M109" s="19" t="s">
        <v>869</v>
      </c>
      <c r="N109" s="19" t="s">
        <v>870</v>
      </c>
      <c r="O109" s="19" t="s">
        <v>865</v>
      </c>
      <c r="P109" s="25" t="s">
        <v>61</v>
      </c>
      <c r="Q109" s="19" t="s">
        <v>79</v>
      </c>
      <c r="R109" s="19" t="s">
        <v>871</v>
      </c>
      <c r="S109" s="22">
        <v>44417</v>
      </c>
      <c r="T109" s="22">
        <v>45874</v>
      </c>
      <c r="U109" s="26">
        <v>1633000</v>
      </c>
      <c r="V109" s="19">
        <v>20</v>
      </c>
      <c r="W109" s="27">
        <v>326600</v>
      </c>
      <c r="X109" s="27">
        <v>1306400</v>
      </c>
      <c r="Y109" s="28">
        <v>2.5</v>
      </c>
      <c r="Z109" s="27">
        <v>32660</v>
      </c>
      <c r="AA109" s="19"/>
      <c r="AB109" s="25" t="s">
        <v>45</v>
      </c>
      <c r="AC109" s="24">
        <v>1141070718</v>
      </c>
      <c r="AD109" s="29">
        <v>45565</v>
      </c>
      <c r="AE109" s="19" t="s">
        <v>46</v>
      </c>
      <c r="AF109" s="19">
        <v>5</v>
      </c>
      <c r="AG109" s="30" t="s">
        <v>866</v>
      </c>
      <c r="AH109" s="31">
        <v>32660</v>
      </c>
      <c r="AI109" s="32">
        <v>0</v>
      </c>
    </row>
    <row r="110" spans="1:35" x14ac:dyDescent="0.25">
      <c r="A110" s="19">
        <v>109</v>
      </c>
      <c r="B110" s="19" t="s">
        <v>33</v>
      </c>
      <c r="C110" s="19" t="s">
        <v>872</v>
      </c>
      <c r="D110" s="20">
        <v>45505</v>
      </c>
      <c r="E110" s="21" t="s">
        <v>35</v>
      </c>
      <c r="F110" s="19" t="s">
        <v>873</v>
      </c>
      <c r="G110" s="22">
        <v>45517</v>
      </c>
      <c r="H110" s="22">
        <v>45881</v>
      </c>
      <c r="I110" s="23" t="s">
        <v>874</v>
      </c>
      <c r="J110" s="24">
        <v>3630250679821</v>
      </c>
      <c r="K110" s="23" t="s">
        <v>875</v>
      </c>
      <c r="L110" s="19" t="s">
        <v>876</v>
      </c>
      <c r="M110" s="19" t="s">
        <v>877</v>
      </c>
      <c r="N110" s="19" t="s">
        <v>878</v>
      </c>
      <c r="O110" s="19" t="s">
        <v>872</v>
      </c>
      <c r="P110" s="25" t="s">
        <v>61</v>
      </c>
      <c r="Q110" s="19" t="s">
        <v>96</v>
      </c>
      <c r="R110" s="19" t="s">
        <v>879</v>
      </c>
      <c r="S110" s="22">
        <v>44441</v>
      </c>
      <c r="T110" s="22">
        <v>46270</v>
      </c>
      <c r="U110" s="26">
        <v>4135000</v>
      </c>
      <c r="V110" s="19">
        <v>20</v>
      </c>
      <c r="W110" s="27">
        <v>827000</v>
      </c>
      <c r="X110" s="27">
        <v>3308000</v>
      </c>
      <c r="Y110" s="28">
        <v>1.5</v>
      </c>
      <c r="Z110" s="27">
        <v>49620</v>
      </c>
      <c r="AA110" s="19"/>
      <c r="AB110" s="25" t="s">
        <v>45</v>
      </c>
      <c r="AC110" s="24">
        <v>1141070718</v>
      </c>
      <c r="AD110" s="29">
        <v>45565</v>
      </c>
      <c r="AE110" s="19" t="s">
        <v>46</v>
      </c>
      <c r="AF110" s="19">
        <v>5</v>
      </c>
      <c r="AG110" s="30" t="s">
        <v>873</v>
      </c>
      <c r="AH110" s="31">
        <v>49620</v>
      </c>
      <c r="AI110" s="32">
        <v>0</v>
      </c>
    </row>
    <row r="111" spans="1:35" x14ac:dyDescent="0.25">
      <c r="A111" s="19">
        <v>110</v>
      </c>
      <c r="B111" s="19" t="s">
        <v>33</v>
      </c>
      <c r="C111" s="19" t="s">
        <v>880</v>
      </c>
      <c r="D111" s="20">
        <v>45505</v>
      </c>
      <c r="E111" s="21" t="s">
        <v>35</v>
      </c>
      <c r="F111" s="19" t="s">
        <v>881</v>
      </c>
      <c r="G111" s="22">
        <v>45517</v>
      </c>
      <c r="H111" s="22">
        <v>45881</v>
      </c>
      <c r="I111" s="23" t="s">
        <v>882</v>
      </c>
      <c r="J111" s="24">
        <v>3520014018409</v>
      </c>
      <c r="K111" s="23" t="s">
        <v>132</v>
      </c>
      <c r="L111" s="19" t="s">
        <v>883</v>
      </c>
      <c r="M111" s="19" t="s">
        <v>884</v>
      </c>
      <c r="N111" s="19" t="s">
        <v>885</v>
      </c>
      <c r="O111" s="19" t="s">
        <v>880</v>
      </c>
      <c r="P111" s="25" t="s">
        <v>61</v>
      </c>
      <c r="Q111" s="19" t="s">
        <v>79</v>
      </c>
      <c r="R111" s="19" t="s">
        <v>886</v>
      </c>
      <c r="S111" s="22">
        <v>44428</v>
      </c>
      <c r="T111" s="22">
        <v>46636</v>
      </c>
      <c r="U111" s="26">
        <v>1335000</v>
      </c>
      <c r="V111" s="19">
        <v>20</v>
      </c>
      <c r="W111" s="27">
        <v>267000</v>
      </c>
      <c r="X111" s="27">
        <v>1068000</v>
      </c>
      <c r="Y111" s="28">
        <v>2.5</v>
      </c>
      <c r="Z111" s="27">
        <v>26700</v>
      </c>
      <c r="AA111" s="19"/>
      <c r="AB111" s="25" t="s">
        <v>45</v>
      </c>
      <c r="AC111" s="24">
        <v>1141070718</v>
      </c>
      <c r="AD111" s="29">
        <v>45565</v>
      </c>
      <c r="AE111" s="19" t="s">
        <v>46</v>
      </c>
      <c r="AF111" s="19">
        <v>0</v>
      </c>
      <c r="AG111" s="30" t="s">
        <v>881</v>
      </c>
      <c r="AH111" s="31">
        <v>26700</v>
      </c>
      <c r="AI111" s="32">
        <v>0</v>
      </c>
    </row>
    <row r="112" spans="1:35" x14ac:dyDescent="0.25">
      <c r="A112" s="19">
        <v>111</v>
      </c>
      <c r="B112" s="19" t="s">
        <v>33</v>
      </c>
      <c r="C112" s="19" t="s">
        <v>887</v>
      </c>
      <c r="D112" s="20">
        <v>45505</v>
      </c>
      <c r="E112" s="21" t="s">
        <v>35</v>
      </c>
      <c r="F112" s="19" t="s">
        <v>888</v>
      </c>
      <c r="G112" s="22">
        <v>45517</v>
      </c>
      <c r="H112" s="22">
        <v>45881</v>
      </c>
      <c r="I112" s="23" t="s">
        <v>889</v>
      </c>
      <c r="J112" s="24">
        <v>3620370568307</v>
      </c>
      <c r="K112" s="23" t="s">
        <v>839</v>
      </c>
      <c r="L112" s="19" t="s">
        <v>890</v>
      </c>
      <c r="M112" s="19" t="s">
        <v>891</v>
      </c>
      <c r="N112" s="19" t="s">
        <v>892</v>
      </c>
      <c r="O112" s="19" t="s">
        <v>887</v>
      </c>
      <c r="P112" s="25" t="s">
        <v>61</v>
      </c>
      <c r="Q112" s="19" t="s">
        <v>560</v>
      </c>
      <c r="R112" s="19" t="s">
        <v>893</v>
      </c>
      <c r="S112" s="22">
        <v>44434</v>
      </c>
      <c r="T112" s="22">
        <v>46270</v>
      </c>
      <c r="U112" s="26">
        <v>1830000</v>
      </c>
      <c r="V112" s="19">
        <v>20</v>
      </c>
      <c r="W112" s="27">
        <v>366000</v>
      </c>
      <c r="X112" s="27">
        <v>1464000</v>
      </c>
      <c r="Y112" s="28">
        <v>2.5</v>
      </c>
      <c r="Z112" s="27">
        <v>36600</v>
      </c>
      <c r="AA112" s="19"/>
      <c r="AB112" s="25" t="s">
        <v>45</v>
      </c>
      <c r="AC112" s="24">
        <v>1141070718</v>
      </c>
      <c r="AD112" s="29">
        <v>45565</v>
      </c>
      <c r="AE112" s="19" t="s">
        <v>46</v>
      </c>
      <c r="AF112" s="19">
        <v>5</v>
      </c>
      <c r="AG112" s="30" t="s">
        <v>888</v>
      </c>
      <c r="AH112" s="31">
        <v>36600</v>
      </c>
      <c r="AI112" s="32">
        <v>0</v>
      </c>
    </row>
    <row r="113" spans="1:35" x14ac:dyDescent="0.25">
      <c r="A113" s="19">
        <v>112</v>
      </c>
      <c r="B113" s="19" t="s">
        <v>33</v>
      </c>
      <c r="C113" s="19" t="s">
        <v>894</v>
      </c>
      <c r="D113" s="20">
        <v>45505</v>
      </c>
      <c r="E113" s="21" t="s">
        <v>35</v>
      </c>
      <c r="F113" s="19" t="s">
        <v>895</v>
      </c>
      <c r="G113" s="22">
        <v>45520</v>
      </c>
      <c r="H113" s="22">
        <v>45884</v>
      </c>
      <c r="I113" s="23" t="s">
        <v>896</v>
      </c>
      <c r="J113" s="24">
        <v>3520108920205</v>
      </c>
      <c r="K113" s="23" t="s">
        <v>687</v>
      </c>
      <c r="L113" s="19" t="s">
        <v>897</v>
      </c>
      <c r="M113" s="19" t="s">
        <v>898</v>
      </c>
      <c r="N113" s="19" t="s">
        <v>899</v>
      </c>
      <c r="O113" s="19" t="s">
        <v>894</v>
      </c>
      <c r="P113" s="25" t="s">
        <v>61</v>
      </c>
      <c r="Q113" s="19" t="s">
        <v>392</v>
      </c>
      <c r="R113" s="19" t="s">
        <v>900</v>
      </c>
      <c r="S113" s="22">
        <v>44433</v>
      </c>
      <c r="T113" s="22">
        <v>46270</v>
      </c>
      <c r="U113" s="26">
        <v>1581840</v>
      </c>
      <c r="V113" s="19">
        <v>20</v>
      </c>
      <c r="W113" s="27">
        <v>316368</v>
      </c>
      <c r="X113" s="27">
        <v>1265472</v>
      </c>
      <c r="Y113" s="28">
        <v>2.5</v>
      </c>
      <c r="Z113" s="27">
        <v>31636.800000000003</v>
      </c>
      <c r="AA113" s="19"/>
      <c r="AB113" s="25" t="s">
        <v>45</v>
      </c>
      <c r="AC113" s="24">
        <v>1141070718</v>
      </c>
      <c r="AD113" s="29">
        <v>45565</v>
      </c>
      <c r="AE113" s="19" t="s">
        <v>46</v>
      </c>
      <c r="AF113" s="19">
        <v>0</v>
      </c>
      <c r="AG113" s="30" t="s">
        <v>895</v>
      </c>
      <c r="AH113" s="31">
        <v>31637</v>
      </c>
      <c r="AI113" s="32">
        <v>-0.19999999999708962</v>
      </c>
    </row>
    <row r="114" spans="1:35" x14ac:dyDescent="0.25">
      <c r="A114" s="19">
        <v>113</v>
      </c>
      <c r="B114" s="19" t="s">
        <v>33</v>
      </c>
      <c r="C114" s="19" t="s">
        <v>901</v>
      </c>
      <c r="D114" s="20">
        <v>45505</v>
      </c>
      <c r="E114" s="21" t="s">
        <v>35</v>
      </c>
      <c r="F114" s="19" t="s">
        <v>902</v>
      </c>
      <c r="G114" s="22">
        <v>45520</v>
      </c>
      <c r="H114" s="22">
        <v>45884</v>
      </c>
      <c r="I114" s="23" t="s">
        <v>903</v>
      </c>
      <c r="J114" s="24">
        <v>3520014222455</v>
      </c>
      <c r="K114" s="23" t="s">
        <v>425</v>
      </c>
      <c r="L114" s="19" t="s">
        <v>904</v>
      </c>
      <c r="M114" s="19" t="s">
        <v>905</v>
      </c>
      <c r="N114" s="19" t="s">
        <v>906</v>
      </c>
      <c r="O114" s="19" t="s">
        <v>901</v>
      </c>
      <c r="P114" s="25" t="s">
        <v>61</v>
      </c>
      <c r="Q114" s="19" t="s">
        <v>79</v>
      </c>
      <c r="R114" s="19" t="s">
        <v>907</v>
      </c>
      <c r="S114" s="22">
        <v>44433</v>
      </c>
      <c r="T114" s="22">
        <v>46270</v>
      </c>
      <c r="U114" s="26">
        <v>1049000</v>
      </c>
      <c r="V114" s="19">
        <v>20</v>
      </c>
      <c r="W114" s="27">
        <v>209800</v>
      </c>
      <c r="X114" s="27">
        <v>839200</v>
      </c>
      <c r="Y114" s="28">
        <v>2.5</v>
      </c>
      <c r="Z114" s="27">
        <v>20980</v>
      </c>
      <c r="AA114" s="19"/>
      <c r="AB114" s="25" t="s">
        <v>45</v>
      </c>
      <c r="AC114" s="24">
        <v>1141070718</v>
      </c>
      <c r="AD114" s="29">
        <v>45565</v>
      </c>
      <c r="AE114" s="19" t="s">
        <v>46</v>
      </c>
      <c r="AF114" s="19">
        <v>5</v>
      </c>
      <c r="AG114" s="30" t="s">
        <v>902</v>
      </c>
      <c r="AH114" s="31">
        <v>20980</v>
      </c>
      <c r="AI114" s="32">
        <v>0</v>
      </c>
    </row>
    <row r="115" spans="1:35" x14ac:dyDescent="0.25">
      <c r="A115" s="19">
        <v>114</v>
      </c>
      <c r="B115" s="19" t="s">
        <v>33</v>
      </c>
      <c r="C115" s="19" t="s">
        <v>908</v>
      </c>
      <c r="D115" s="20">
        <v>45505</v>
      </c>
      <c r="E115" s="21" t="s">
        <v>35</v>
      </c>
      <c r="F115" s="19" t="s">
        <v>909</v>
      </c>
      <c r="G115" s="22">
        <v>45529</v>
      </c>
      <c r="H115" s="22">
        <v>45893</v>
      </c>
      <c r="I115" s="23" t="s">
        <v>910</v>
      </c>
      <c r="J115" s="24">
        <v>3310293081329</v>
      </c>
      <c r="K115" s="23" t="s">
        <v>911</v>
      </c>
      <c r="L115" s="19" t="s">
        <v>912</v>
      </c>
      <c r="M115" s="19" t="s">
        <v>913</v>
      </c>
      <c r="N115" s="19" t="s">
        <v>914</v>
      </c>
      <c r="O115" s="19" t="s">
        <v>908</v>
      </c>
      <c r="P115" s="25" t="s">
        <v>61</v>
      </c>
      <c r="Q115" s="19" t="s">
        <v>144</v>
      </c>
      <c r="R115" s="19" t="s">
        <v>915</v>
      </c>
      <c r="S115" s="22">
        <v>44440</v>
      </c>
      <c r="T115" s="22">
        <v>46270</v>
      </c>
      <c r="U115" s="26">
        <v>1830000</v>
      </c>
      <c r="V115" s="19">
        <v>20</v>
      </c>
      <c r="W115" s="27">
        <v>366000</v>
      </c>
      <c r="X115" s="27">
        <v>1464000</v>
      </c>
      <c r="Y115" s="28">
        <v>2.5</v>
      </c>
      <c r="Z115" s="27">
        <v>36600</v>
      </c>
      <c r="AA115" s="19"/>
      <c r="AB115" s="25" t="s">
        <v>45</v>
      </c>
      <c r="AC115" s="24">
        <v>1141070718</v>
      </c>
      <c r="AD115" s="29">
        <v>45565</v>
      </c>
      <c r="AE115" s="19" t="s">
        <v>46</v>
      </c>
      <c r="AF115" s="19">
        <v>5</v>
      </c>
      <c r="AG115" s="30" t="s">
        <v>909</v>
      </c>
      <c r="AH115" s="31">
        <v>36600</v>
      </c>
      <c r="AI115" s="32">
        <v>0</v>
      </c>
    </row>
    <row r="116" spans="1:35" x14ac:dyDescent="0.25">
      <c r="A116" s="19">
        <v>115</v>
      </c>
      <c r="B116" s="19" t="s">
        <v>33</v>
      </c>
      <c r="C116" s="19" t="s">
        <v>916</v>
      </c>
      <c r="D116" s="20">
        <v>45505</v>
      </c>
      <c r="E116" s="21" t="s">
        <v>35</v>
      </c>
      <c r="F116" s="19" t="s">
        <v>917</v>
      </c>
      <c r="G116" s="22">
        <v>45529</v>
      </c>
      <c r="H116" s="22">
        <v>45893</v>
      </c>
      <c r="I116" s="23" t="s">
        <v>918</v>
      </c>
      <c r="J116" s="24" t="s">
        <v>919</v>
      </c>
      <c r="K116" s="23" t="s">
        <v>920</v>
      </c>
      <c r="L116" s="19" t="s">
        <v>921</v>
      </c>
      <c r="M116" s="19" t="s">
        <v>922</v>
      </c>
      <c r="N116" s="19" t="s">
        <v>923</v>
      </c>
      <c r="O116" s="19" t="s">
        <v>916</v>
      </c>
      <c r="P116" s="25" t="s">
        <v>61</v>
      </c>
      <c r="Q116" s="19" t="s">
        <v>79</v>
      </c>
      <c r="R116" s="19" t="s">
        <v>924</v>
      </c>
      <c r="S116" s="22">
        <v>44439</v>
      </c>
      <c r="T116" s="22">
        <v>46270</v>
      </c>
      <c r="U116" s="26">
        <v>5485000</v>
      </c>
      <c r="V116" s="19">
        <v>20</v>
      </c>
      <c r="W116" s="27">
        <v>1097000</v>
      </c>
      <c r="X116" s="27">
        <v>4388000</v>
      </c>
      <c r="Y116" s="28">
        <v>1.5</v>
      </c>
      <c r="Z116" s="27">
        <v>65820</v>
      </c>
      <c r="AA116" s="19"/>
      <c r="AB116" s="25" t="s">
        <v>45</v>
      </c>
      <c r="AC116" s="24">
        <v>1141070718</v>
      </c>
      <c r="AD116" s="29">
        <v>45565</v>
      </c>
      <c r="AE116" s="19" t="s">
        <v>46</v>
      </c>
      <c r="AF116" s="19">
        <v>5</v>
      </c>
      <c r="AG116" s="30" t="s">
        <v>917</v>
      </c>
      <c r="AH116" s="31">
        <v>65820</v>
      </c>
      <c r="AI116" s="32">
        <v>0</v>
      </c>
    </row>
    <row r="117" spans="1:35" x14ac:dyDescent="0.25">
      <c r="A117" s="19">
        <v>116</v>
      </c>
      <c r="B117" s="19" t="s">
        <v>33</v>
      </c>
      <c r="C117" s="19" t="s">
        <v>925</v>
      </c>
      <c r="D117" s="20">
        <v>45505</v>
      </c>
      <c r="E117" s="21" t="s">
        <v>35</v>
      </c>
      <c r="F117" s="19" t="s">
        <v>926</v>
      </c>
      <c r="G117" s="22">
        <v>45529</v>
      </c>
      <c r="H117" s="22">
        <v>45893</v>
      </c>
      <c r="I117" s="23" t="s">
        <v>927</v>
      </c>
      <c r="J117" s="24">
        <v>3520285922689</v>
      </c>
      <c r="K117" s="23" t="s">
        <v>124</v>
      </c>
      <c r="L117" s="19" t="s">
        <v>928</v>
      </c>
      <c r="M117" s="19" t="s">
        <v>929</v>
      </c>
      <c r="N117" s="19" t="s">
        <v>930</v>
      </c>
      <c r="O117" s="19" t="s">
        <v>925</v>
      </c>
      <c r="P117" s="25" t="s">
        <v>61</v>
      </c>
      <c r="Q117" s="19" t="s">
        <v>392</v>
      </c>
      <c r="R117" s="19" t="s">
        <v>931</v>
      </c>
      <c r="S117" s="22">
        <v>44439</v>
      </c>
      <c r="T117" s="22">
        <v>46270</v>
      </c>
      <c r="U117" s="26">
        <v>1806000</v>
      </c>
      <c r="V117" s="19">
        <v>20</v>
      </c>
      <c r="W117" s="27">
        <v>361200</v>
      </c>
      <c r="X117" s="27">
        <v>1444800</v>
      </c>
      <c r="Y117" s="28">
        <v>2.5</v>
      </c>
      <c r="Z117" s="27">
        <v>36120</v>
      </c>
      <c r="AA117" s="19"/>
      <c r="AB117" s="25" t="s">
        <v>45</v>
      </c>
      <c r="AC117" s="24">
        <v>1141070718</v>
      </c>
      <c r="AD117" s="29">
        <v>45565</v>
      </c>
      <c r="AE117" s="19" t="s">
        <v>46</v>
      </c>
      <c r="AF117" s="19">
        <v>5</v>
      </c>
      <c r="AG117" s="30" t="s">
        <v>926</v>
      </c>
      <c r="AH117" s="31">
        <v>36120</v>
      </c>
      <c r="AI117" s="32">
        <v>0</v>
      </c>
    </row>
    <row r="118" spans="1:35" x14ac:dyDescent="0.25">
      <c r="A118" s="19">
        <v>117</v>
      </c>
      <c r="B118" s="19" t="s">
        <v>33</v>
      </c>
      <c r="C118" s="19" t="s">
        <v>932</v>
      </c>
      <c r="D118" s="20">
        <v>45505</v>
      </c>
      <c r="E118" s="21" t="s">
        <v>35</v>
      </c>
      <c r="F118" s="19" t="s">
        <v>933</v>
      </c>
      <c r="G118" s="22">
        <v>45530</v>
      </c>
      <c r="H118" s="22">
        <v>45894</v>
      </c>
      <c r="I118" s="23" t="s">
        <v>934</v>
      </c>
      <c r="J118" s="24">
        <v>3210205028435</v>
      </c>
      <c r="K118" s="23" t="s">
        <v>935</v>
      </c>
      <c r="L118" s="19" t="s">
        <v>936</v>
      </c>
      <c r="M118" s="19" t="s">
        <v>937</v>
      </c>
      <c r="N118" s="19" t="s">
        <v>938</v>
      </c>
      <c r="O118" s="19" t="s">
        <v>932</v>
      </c>
      <c r="P118" s="25" t="s">
        <v>61</v>
      </c>
      <c r="Q118" s="19" t="s">
        <v>939</v>
      </c>
      <c r="R118" s="19" t="s">
        <v>940</v>
      </c>
      <c r="S118" s="22">
        <v>44440</v>
      </c>
      <c r="T118" s="22">
        <v>46270</v>
      </c>
      <c r="U118" s="26">
        <v>3250000</v>
      </c>
      <c r="V118" s="19">
        <v>20</v>
      </c>
      <c r="W118" s="27">
        <v>650000</v>
      </c>
      <c r="X118" s="27">
        <v>2600000</v>
      </c>
      <c r="Y118" s="28">
        <v>2.5</v>
      </c>
      <c r="Z118" s="27">
        <v>65000</v>
      </c>
      <c r="AA118" s="19"/>
      <c r="AB118" s="25" t="s">
        <v>45</v>
      </c>
      <c r="AC118" s="24">
        <v>1141070718</v>
      </c>
      <c r="AD118" s="29">
        <v>45565</v>
      </c>
      <c r="AE118" s="19" t="s">
        <v>46</v>
      </c>
      <c r="AF118" s="19">
        <v>5</v>
      </c>
      <c r="AG118" s="30" t="s">
        <v>933</v>
      </c>
      <c r="AH118" s="31">
        <v>65000</v>
      </c>
      <c r="AI118" s="32">
        <v>0</v>
      </c>
    </row>
    <row r="119" spans="1:35" x14ac:dyDescent="0.25">
      <c r="A119" s="19">
        <v>118</v>
      </c>
      <c r="B119" s="19" t="s">
        <v>33</v>
      </c>
      <c r="C119" s="19" t="s">
        <v>941</v>
      </c>
      <c r="D119" s="20">
        <v>45505</v>
      </c>
      <c r="E119" s="21" t="s">
        <v>35</v>
      </c>
      <c r="F119" s="19" t="s">
        <v>942</v>
      </c>
      <c r="G119" s="22">
        <v>45506</v>
      </c>
      <c r="H119" s="22">
        <v>45870</v>
      </c>
      <c r="I119" s="23" t="s">
        <v>943</v>
      </c>
      <c r="J119" s="24">
        <v>3520246703995</v>
      </c>
      <c r="K119" s="23" t="s">
        <v>173</v>
      </c>
      <c r="L119" s="19" t="s">
        <v>944</v>
      </c>
      <c r="M119" s="19" t="s">
        <v>945</v>
      </c>
      <c r="N119" s="19" t="s">
        <v>946</v>
      </c>
      <c r="O119" s="19" t="s">
        <v>941</v>
      </c>
      <c r="P119" s="25" t="s">
        <v>61</v>
      </c>
      <c r="Q119" s="19" t="s">
        <v>79</v>
      </c>
      <c r="R119" s="19" t="s">
        <v>947</v>
      </c>
      <c r="S119" s="22">
        <v>44417</v>
      </c>
      <c r="T119" s="22">
        <v>46239</v>
      </c>
      <c r="U119" s="26">
        <v>2130000</v>
      </c>
      <c r="V119" s="19">
        <v>20</v>
      </c>
      <c r="W119" s="27">
        <v>426000</v>
      </c>
      <c r="X119" s="27">
        <v>1704000</v>
      </c>
      <c r="Y119" s="28">
        <v>2.5</v>
      </c>
      <c r="Z119" s="27">
        <v>42600</v>
      </c>
      <c r="AA119" s="19"/>
      <c r="AB119" s="25" t="s">
        <v>45</v>
      </c>
      <c r="AC119" s="24">
        <v>1141070718</v>
      </c>
      <c r="AD119" s="29">
        <v>45565</v>
      </c>
      <c r="AE119" s="19" t="s">
        <v>46</v>
      </c>
      <c r="AF119" s="19">
        <v>0</v>
      </c>
      <c r="AG119" s="30" t="s">
        <v>942</v>
      </c>
      <c r="AH119" s="31">
        <v>42600</v>
      </c>
      <c r="AI119" s="32">
        <v>0</v>
      </c>
    </row>
    <row r="120" spans="1:35" x14ac:dyDescent="0.25">
      <c r="A120" s="19">
        <v>119</v>
      </c>
      <c r="B120" s="19" t="s">
        <v>33</v>
      </c>
      <c r="C120" s="19" t="s">
        <v>948</v>
      </c>
      <c r="D120" s="20">
        <v>45505</v>
      </c>
      <c r="E120" s="21" t="s">
        <v>35</v>
      </c>
      <c r="F120" s="19" t="s">
        <v>949</v>
      </c>
      <c r="G120" s="22">
        <v>45530</v>
      </c>
      <c r="H120" s="22">
        <v>45894</v>
      </c>
      <c r="I120" s="23" t="s">
        <v>950</v>
      </c>
      <c r="J120" s="24">
        <v>3520274010593</v>
      </c>
      <c r="K120" s="23" t="s">
        <v>664</v>
      </c>
      <c r="L120" s="19" t="s">
        <v>951</v>
      </c>
      <c r="M120" s="19" t="s">
        <v>952</v>
      </c>
      <c r="N120" s="19" t="s">
        <v>953</v>
      </c>
      <c r="O120" s="19" t="s">
        <v>948</v>
      </c>
      <c r="P120" s="25" t="s">
        <v>61</v>
      </c>
      <c r="Q120" s="19" t="s">
        <v>79</v>
      </c>
      <c r="R120" s="19" t="s">
        <v>954</v>
      </c>
      <c r="S120" s="22">
        <v>44440</v>
      </c>
      <c r="T120" s="22">
        <v>46270</v>
      </c>
      <c r="U120" s="26">
        <v>3380000</v>
      </c>
      <c r="V120" s="19">
        <v>20</v>
      </c>
      <c r="W120" s="27">
        <v>676000</v>
      </c>
      <c r="X120" s="27">
        <v>2704000</v>
      </c>
      <c r="Y120" s="28">
        <v>2.5</v>
      </c>
      <c r="Z120" s="27">
        <v>67600</v>
      </c>
      <c r="AA120" s="19"/>
      <c r="AB120" s="25" t="s">
        <v>45</v>
      </c>
      <c r="AC120" s="24">
        <v>1141070718</v>
      </c>
      <c r="AD120" s="29">
        <v>45565</v>
      </c>
      <c r="AE120" s="19" t="s">
        <v>46</v>
      </c>
      <c r="AF120" s="19">
        <v>5</v>
      </c>
      <c r="AG120" s="30" t="s">
        <v>949</v>
      </c>
      <c r="AH120" s="31">
        <v>67600</v>
      </c>
      <c r="AI120" s="32">
        <v>0</v>
      </c>
    </row>
    <row r="121" spans="1:35" x14ac:dyDescent="0.25">
      <c r="A121" s="19">
        <v>120</v>
      </c>
      <c r="B121" s="19" t="s">
        <v>33</v>
      </c>
      <c r="C121" s="19" t="s">
        <v>955</v>
      </c>
      <c r="D121" s="20">
        <v>45505</v>
      </c>
      <c r="E121" s="21" t="s">
        <v>35</v>
      </c>
      <c r="F121" s="19" t="s">
        <v>956</v>
      </c>
      <c r="G121" s="22">
        <v>45530</v>
      </c>
      <c r="H121" s="22">
        <v>45894</v>
      </c>
      <c r="I121" s="23" t="s">
        <v>957</v>
      </c>
      <c r="J121" s="24">
        <v>3120271077403</v>
      </c>
      <c r="K121" s="23" t="s">
        <v>802</v>
      </c>
      <c r="L121" s="19" t="s">
        <v>958</v>
      </c>
      <c r="M121" s="19" t="s">
        <v>959</v>
      </c>
      <c r="N121" s="19" t="s">
        <v>960</v>
      </c>
      <c r="O121" s="19" t="s">
        <v>955</v>
      </c>
      <c r="P121" s="25" t="s">
        <v>61</v>
      </c>
      <c r="Q121" s="19" t="s">
        <v>560</v>
      </c>
      <c r="R121" s="19" t="s">
        <v>961</v>
      </c>
      <c r="S121" s="22">
        <v>44440</v>
      </c>
      <c r="T121" s="22">
        <v>46270</v>
      </c>
      <c r="U121" s="26">
        <v>7650000</v>
      </c>
      <c r="V121" s="19">
        <v>20</v>
      </c>
      <c r="W121" s="27">
        <v>1530000</v>
      </c>
      <c r="X121" s="27">
        <v>6120000</v>
      </c>
      <c r="Y121" s="28">
        <v>1.5</v>
      </c>
      <c r="Z121" s="27">
        <v>91800</v>
      </c>
      <c r="AA121" s="19"/>
      <c r="AB121" s="25" t="s">
        <v>45</v>
      </c>
      <c r="AC121" s="24">
        <v>1141070718</v>
      </c>
      <c r="AD121" s="29">
        <v>45565</v>
      </c>
      <c r="AE121" s="19" t="s">
        <v>46</v>
      </c>
      <c r="AF121" s="19">
        <v>5</v>
      </c>
      <c r="AG121" s="30" t="s">
        <v>956</v>
      </c>
      <c r="AH121" s="31">
        <v>91800</v>
      </c>
      <c r="AI121" s="32">
        <v>0</v>
      </c>
    </row>
    <row r="122" spans="1:35" x14ac:dyDescent="0.25">
      <c r="A122" s="19">
        <v>121</v>
      </c>
      <c r="B122" s="19" t="s">
        <v>33</v>
      </c>
      <c r="C122" s="19" t="s">
        <v>962</v>
      </c>
      <c r="D122" s="20">
        <v>45505</v>
      </c>
      <c r="E122" s="21" t="s">
        <v>35</v>
      </c>
      <c r="F122" s="19" t="s">
        <v>963</v>
      </c>
      <c r="G122" s="22">
        <v>45530</v>
      </c>
      <c r="H122" s="22">
        <v>45894</v>
      </c>
      <c r="I122" s="23" t="s">
        <v>964</v>
      </c>
      <c r="J122" s="24" t="s">
        <v>965</v>
      </c>
      <c r="K122" s="23" t="s">
        <v>966</v>
      </c>
      <c r="L122" s="19" t="s">
        <v>967</v>
      </c>
      <c r="M122" s="19" t="s">
        <v>968</v>
      </c>
      <c r="N122" s="19" t="s">
        <v>969</v>
      </c>
      <c r="O122" s="19" t="s">
        <v>962</v>
      </c>
      <c r="P122" s="25" t="s">
        <v>61</v>
      </c>
      <c r="Q122" s="19" t="s">
        <v>79</v>
      </c>
      <c r="R122" s="19" t="s">
        <v>970</v>
      </c>
      <c r="S122" s="22">
        <v>44439</v>
      </c>
      <c r="T122" s="22">
        <v>46270</v>
      </c>
      <c r="U122" s="26">
        <v>3200000</v>
      </c>
      <c r="V122" s="19">
        <v>20</v>
      </c>
      <c r="W122" s="27">
        <v>640000</v>
      </c>
      <c r="X122" s="27">
        <v>2560000</v>
      </c>
      <c r="Y122" s="28">
        <v>2.5</v>
      </c>
      <c r="Z122" s="27">
        <v>64000</v>
      </c>
      <c r="AA122" s="19"/>
      <c r="AB122" s="25" t="s">
        <v>45</v>
      </c>
      <c r="AC122" s="24">
        <v>1141070718</v>
      </c>
      <c r="AD122" s="29">
        <v>45565</v>
      </c>
      <c r="AE122" s="19" t="s">
        <v>46</v>
      </c>
      <c r="AF122" s="19">
        <v>5</v>
      </c>
      <c r="AG122" s="30" t="s">
        <v>963</v>
      </c>
      <c r="AH122" s="31">
        <v>64000</v>
      </c>
      <c r="AI122" s="32">
        <v>0</v>
      </c>
    </row>
    <row r="123" spans="1:35" x14ac:dyDescent="0.25">
      <c r="A123" s="19">
        <v>122</v>
      </c>
      <c r="B123" s="19" t="s">
        <v>33</v>
      </c>
      <c r="C123" s="19" t="s">
        <v>971</v>
      </c>
      <c r="D123" s="20">
        <v>45505</v>
      </c>
      <c r="E123" s="21" t="s">
        <v>35</v>
      </c>
      <c r="F123" s="19" t="s">
        <v>972</v>
      </c>
      <c r="G123" s="22">
        <v>45531</v>
      </c>
      <c r="H123" s="22">
        <v>45895</v>
      </c>
      <c r="I123" s="23" t="s">
        <v>973</v>
      </c>
      <c r="J123" s="24">
        <v>3520139058573</v>
      </c>
      <c r="K123" s="23" t="s">
        <v>237</v>
      </c>
      <c r="L123" s="19" t="s">
        <v>974</v>
      </c>
      <c r="M123" s="19" t="s">
        <v>975</v>
      </c>
      <c r="N123" s="19" t="s">
        <v>976</v>
      </c>
      <c r="O123" s="19" t="s">
        <v>971</v>
      </c>
      <c r="P123" s="25" t="s">
        <v>61</v>
      </c>
      <c r="Q123" s="19" t="s">
        <v>79</v>
      </c>
      <c r="R123" s="19" t="s">
        <v>977</v>
      </c>
      <c r="S123" s="22">
        <v>44435</v>
      </c>
      <c r="T123" s="22">
        <v>46270</v>
      </c>
      <c r="U123" s="26">
        <v>4012000</v>
      </c>
      <c r="V123" s="19">
        <v>20</v>
      </c>
      <c r="W123" s="27">
        <v>802400</v>
      </c>
      <c r="X123" s="27">
        <v>3209600</v>
      </c>
      <c r="Y123" s="28">
        <v>1.5</v>
      </c>
      <c r="Z123" s="27">
        <v>48144</v>
      </c>
      <c r="AA123" s="19"/>
      <c r="AB123" s="25" t="s">
        <v>45</v>
      </c>
      <c r="AC123" s="24">
        <v>1141070718</v>
      </c>
      <c r="AD123" s="29">
        <v>45565</v>
      </c>
      <c r="AE123" s="19" t="s">
        <v>46</v>
      </c>
      <c r="AF123" s="19">
        <v>5</v>
      </c>
      <c r="AG123" s="30" t="s">
        <v>972</v>
      </c>
      <c r="AH123" s="31">
        <v>48144</v>
      </c>
      <c r="AI123" s="32">
        <v>0</v>
      </c>
    </row>
    <row r="124" spans="1:35" x14ac:dyDescent="0.25">
      <c r="A124" s="19">
        <v>123</v>
      </c>
      <c r="B124" s="19" t="s">
        <v>33</v>
      </c>
      <c r="C124" s="19" t="s">
        <v>978</v>
      </c>
      <c r="D124" s="20">
        <v>45505</v>
      </c>
      <c r="E124" s="21" t="s">
        <v>35</v>
      </c>
      <c r="F124" s="19" t="s">
        <v>979</v>
      </c>
      <c r="G124" s="22">
        <v>45531</v>
      </c>
      <c r="H124" s="22">
        <v>45895</v>
      </c>
      <c r="I124" s="23" t="s">
        <v>980</v>
      </c>
      <c r="J124" s="24">
        <v>3540118230307</v>
      </c>
      <c r="K124" s="23" t="s">
        <v>981</v>
      </c>
      <c r="L124" s="19" t="s">
        <v>982</v>
      </c>
      <c r="M124" s="19" t="s">
        <v>983</v>
      </c>
      <c r="N124" s="19" t="s">
        <v>984</v>
      </c>
      <c r="O124" s="19" t="s">
        <v>978</v>
      </c>
      <c r="P124" s="25" t="s">
        <v>61</v>
      </c>
      <c r="Q124" s="19" t="s">
        <v>79</v>
      </c>
      <c r="R124" s="19" t="s">
        <v>985</v>
      </c>
      <c r="S124" s="22">
        <v>44446</v>
      </c>
      <c r="T124" s="22">
        <v>46270</v>
      </c>
      <c r="U124" s="26">
        <v>4990500</v>
      </c>
      <c r="V124" s="19">
        <v>20</v>
      </c>
      <c r="W124" s="27">
        <v>998100</v>
      </c>
      <c r="X124" s="27">
        <v>3992400</v>
      </c>
      <c r="Y124" s="28">
        <v>1.5</v>
      </c>
      <c r="Z124" s="27">
        <v>59886</v>
      </c>
      <c r="AA124" s="19"/>
      <c r="AB124" s="25" t="s">
        <v>45</v>
      </c>
      <c r="AC124" s="24">
        <v>1141070718</v>
      </c>
      <c r="AD124" s="29">
        <v>45565</v>
      </c>
      <c r="AE124" s="19" t="s">
        <v>46</v>
      </c>
      <c r="AF124" s="19">
        <v>0</v>
      </c>
      <c r="AG124" s="30" t="s">
        <v>979</v>
      </c>
      <c r="AH124" s="31">
        <v>59886</v>
      </c>
      <c r="AI124" s="32">
        <v>0</v>
      </c>
    </row>
    <row r="125" spans="1:35" x14ac:dyDescent="0.25">
      <c r="A125" s="19">
        <v>124</v>
      </c>
      <c r="B125" s="19" t="s">
        <v>33</v>
      </c>
      <c r="C125" s="19" t="s">
        <v>986</v>
      </c>
      <c r="D125" s="20">
        <v>45505</v>
      </c>
      <c r="E125" s="21" t="s">
        <v>35</v>
      </c>
      <c r="F125" s="19" t="s">
        <v>987</v>
      </c>
      <c r="G125" s="22">
        <v>45534</v>
      </c>
      <c r="H125" s="22">
        <v>45898</v>
      </c>
      <c r="I125" s="23" t="s">
        <v>988</v>
      </c>
      <c r="J125" s="24">
        <v>3520138521195</v>
      </c>
      <c r="K125" s="23" t="s">
        <v>491</v>
      </c>
      <c r="L125" s="19" t="s">
        <v>989</v>
      </c>
      <c r="M125" s="19" t="s">
        <v>990</v>
      </c>
      <c r="N125" s="19" t="s">
        <v>991</v>
      </c>
      <c r="O125" s="19" t="s">
        <v>986</v>
      </c>
      <c r="P125" s="25" t="s">
        <v>61</v>
      </c>
      <c r="Q125" s="19" t="s">
        <v>79</v>
      </c>
      <c r="R125" s="19" t="s">
        <v>992</v>
      </c>
      <c r="S125" s="22">
        <v>44441</v>
      </c>
      <c r="T125" s="22">
        <v>46270</v>
      </c>
      <c r="U125" s="26">
        <v>2489000</v>
      </c>
      <c r="V125" s="19">
        <v>20</v>
      </c>
      <c r="W125" s="27">
        <v>497800</v>
      </c>
      <c r="X125" s="27">
        <v>1991200</v>
      </c>
      <c r="Y125" s="28">
        <v>2.5</v>
      </c>
      <c r="Z125" s="27">
        <v>49780</v>
      </c>
      <c r="AA125" s="19"/>
      <c r="AB125" s="25" t="s">
        <v>45</v>
      </c>
      <c r="AC125" s="24">
        <v>1141070718</v>
      </c>
      <c r="AD125" s="29">
        <v>45565</v>
      </c>
      <c r="AE125" s="19" t="s">
        <v>46</v>
      </c>
      <c r="AF125" s="19">
        <v>0</v>
      </c>
      <c r="AG125" s="30" t="s">
        <v>987</v>
      </c>
      <c r="AH125" s="31">
        <v>49780</v>
      </c>
      <c r="AI125" s="32">
        <v>0</v>
      </c>
    </row>
    <row r="126" spans="1:35" x14ac:dyDescent="0.25">
      <c r="A126" s="19">
        <v>125</v>
      </c>
      <c r="B126" s="19" t="s">
        <v>33</v>
      </c>
      <c r="C126" s="19" t="s">
        <v>993</v>
      </c>
      <c r="D126" s="20">
        <v>45505</v>
      </c>
      <c r="E126" s="21" t="s">
        <v>35</v>
      </c>
      <c r="F126" s="19" t="s">
        <v>994</v>
      </c>
      <c r="G126" s="22">
        <v>45535</v>
      </c>
      <c r="H126" s="22">
        <v>45899</v>
      </c>
      <c r="I126" s="23" t="s">
        <v>995</v>
      </c>
      <c r="J126" s="24">
        <v>3630234133939</v>
      </c>
      <c r="K126" s="23" t="s">
        <v>996</v>
      </c>
      <c r="L126" s="19" t="s">
        <v>997</v>
      </c>
      <c r="M126" s="19" t="s">
        <v>998</v>
      </c>
      <c r="N126" s="19" t="s">
        <v>999</v>
      </c>
      <c r="O126" s="19" t="s">
        <v>993</v>
      </c>
      <c r="P126" s="25" t="s">
        <v>61</v>
      </c>
      <c r="Q126" s="19" t="s">
        <v>96</v>
      </c>
      <c r="R126" s="19" t="s">
        <v>1000</v>
      </c>
      <c r="S126" s="22">
        <v>44441</v>
      </c>
      <c r="T126" s="22">
        <v>46270</v>
      </c>
      <c r="U126" s="26">
        <v>1113000</v>
      </c>
      <c r="V126" s="19">
        <v>20</v>
      </c>
      <c r="W126" s="27">
        <v>222600</v>
      </c>
      <c r="X126" s="27">
        <v>890400</v>
      </c>
      <c r="Y126" s="28">
        <v>2.5</v>
      </c>
      <c r="Z126" s="27">
        <v>22260</v>
      </c>
      <c r="AA126" s="19"/>
      <c r="AB126" s="25" t="s">
        <v>45</v>
      </c>
      <c r="AC126" s="24">
        <v>1141070718</v>
      </c>
      <c r="AD126" s="29">
        <v>45565</v>
      </c>
      <c r="AE126" s="19" t="s">
        <v>46</v>
      </c>
      <c r="AF126" s="19">
        <v>5</v>
      </c>
      <c r="AG126" s="30" t="s">
        <v>994</v>
      </c>
      <c r="AH126" s="31">
        <v>22260</v>
      </c>
      <c r="AI126" s="32">
        <v>0</v>
      </c>
    </row>
    <row r="127" spans="1:35" x14ac:dyDescent="0.25">
      <c r="A127" s="19">
        <v>126</v>
      </c>
      <c r="B127" s="19" t="s">
        <v>33</v>
      </c>
      <c r="C127" s="19" t="s">
        <v>1001</v>
      </c>
      <c r="D127" s="20">
        <v>45505</v>
      </c>
      <c r="E127" s="21" t="s">
        <v>35</v>
      </c>
      <c r="F127" s="19" t="s">
        <v>1002</v>
      </c>
      <c r="G127" s="22">
        <v>45520</v>
      </c>
      <c r="H127" s="22">
        <v>45884</v>
      </c>
      <c r="I127" s="23" t="s">
        <v>1003</v>
      </c>
      <c r="J127" s="24">
        <v>3450216037371</v>
      </c>
      <c r="K127" s="23" t="s">
        <v>1004</v>
      </c>
      <c r="L127" s="19" t="s">
        <v>1005</v>
      </c>
      <c r="M127" s="19" t="s">
        <v>1006</v>
      </c>
      <c r="N127" s="19" t="s">
        <v>1007</v>
      </c>
      <c r="O127" s="19" t="s">
        <v>1001</v>
      </c>
      <c r="P127" s="25" t="s">
        <v>61</v>
      </c>
      <c r="Q127" s="19" t="s">
        <v>79</v>
      </c>
      <c r="R127" s="19" t="s">
        <v>1008</v>
      </c>
      <c r="S127" s="22">
        <v>44433</v>
      </c>
      <c r="T127" s="22">
        <v>46270</v>
      </c>
      <c r="U127" s="26">
        <v>4480000</v>
      </c>
      <c r="V127" s="19">
        <v>20</v>
      </c>
      <c r="W127" s="27">
        <v>896000</v>
      </c>
      <c r="X127" s="27">
        <v>3584000</v>
      </c>
      <c r="Y127" s="28">
        <v>1.5</v>
      </c>
      <c r="Z127" s="27">
        <v>53760</v>
      </c>
      <c r="AA127" s="19"/>
      <c r="AB127" s="25" t="s">
        <v>45</v>
      </c>
      <c r="AC127" s="24">
        <v>1141070718</v>
      </c>
      <c r="AD127" s="29">
        <v>45565</v>
      </c>
      <c r="AE127" s="19" t="s">
        <v>46</v>
      </c>
      <c r="AF127" s="19">
        <v>0</v>
      </c>
      <c r="AG127" s="30" t="s">
        <v>1002</v>
      </c>
      <c r="AH127" s="31">
        <v>53760</v>
      </c>
      <c r="AI127" s="32">
        <v>0</v>
      </c>
    </row>
    <row r="128" spans="1:35" x14ac:dyDescent="0.25">
      <c r="A128" s="19">
        <v>127</v>
      </c>
      <c r="B128" s="19" t="s">
        <v>33</v>
      </c>
      <c r="C128" s="19" t="s">
        <v>1009</v>
      </c>
      <c r="D128" s="20">
        <v>45505</v>
      </c>
      <c r="E128" s="21" t="s">
        <v>35</v>
      </c>
      <c r="F128" s="19" t="s">
        <v>1010</v>
      </c>
      <c r="G128" s="22">
        <v>45507</v>
      </c>
      <c r="H128" s="22">
        <v>45871</v>
      </c>
      <c r="I128" s="23" t="s">
        <v>1011</v>
      </c>
      <c r="J128" s="24">
        <v>3520172373255</v>
      </c>
      <c r="K128" s="23" t="s">
        <v>292</v>
      </c>
      <c r="L128" s="19" t="s">
        <v>1012</v>
      </c>
      <c r="M128" s="19" t="s">
        <v>1013</v>
      </c>
      <c r="N128" s="19" t="s">
        <v>1014</v>
      </c>
      <c r="O128" s="19" t="s">
        <v>1009</v>
      </c>
      <c r="P128" s="25" t="s">
        <v>61</v>
      </c>
      <c r="Q128" s="19" t="s">
        <v>79</v>
      </c>
      <c r="R128" s="19" t="s">
        <v>1015</v>
      </c>
      <c r="S128" s="22">
        <v>44428</v>
      </c>
      <c r="T128" s="22">
        <v>46270</v>
      </c>
      <c r="U128" s="26">
        <v>1610000</v>
      </c>
      <c r="V128" s="19">
        <v>20</v>
      </c>
      <c r="W128" s="27">
        <v>322000</v>
      </c>
      <c r="X128" s="27">
        <v>1288000</v>
      </c>
      <c r="Y128" s="28">
        <v>2.5</v>
      </c>
      <c r="Z128" s="27">
        <v>32200</v>
      </c>
      <c r="AA128" s="19"/>
      <c r="AB128" s="25" t="s">
        <v>45</v>
      </c>
      <c r="AC128" s="24">
        <v>1141070718</v>
      </c>
      <c r="AD128" s="29">
        <v>45565</v>
      </c>
      <c r="AE128" s="19" t="s">
        <v>46</v>
      </c>
      <c r="AF128" s="19">
        <v>36</v>
      </c>
      <c r="AG128" s="30" t="s">
        <v>1010</v>
      </c>
      <c r="AH128" s="31">
        <v>32200</v>
      </c>
      <c r="AI128" s="32">
        <v>0</v>
      </c>
    </row>
    <row r="129" spans="1:35" x14ac:dyDescent="0.25">
      <c r="A129" s="19">
        <v>128</v>
      </c>
      <c r="B129" s="19" t="s">
        <v>33</v>
      </c>
      <c r="C129" s="19" t="s">
        <v>1016</v>
      </c>
      <c r="D129" s="20">
        <v>45505</v>
      </c>
      <c r="E129" s="21" t="s">
        <v>35</v>
      </c>
      <c r="F129" s="19" t="s">
        <v>1017</v>
      </c>
      <c r="G129" s="22">
        <v>45507</v>
      </c>
      <c r="H129" s="22">
        <v>45871</v>
      </c>
      <c r="I129" s="23" t="s">
        <v>1018</v>
      </c>
      <c r="J129" s="24">
        <v>4550475415481</v>
      </c>
      <c r="K129" s="23" t="s">
        <v>687</v>
      </c>
      <c r="L129" s="19" t="s">
        <v>1019</v>
      </c>
      <c r="M129" s="19" t="s">
        <v>1020</v>
      </c>
      <c r="N129" s="19" t="s">
        <v>1021</v>
      </c>
      <c r="O129" s="19" t="s">
        <v>1016</v>
      </c>
      <c r="P129" s="25" t="s">
        <v>42</v>
      </c>
      <c r="Q129" s="19" t="s">
        <v>71</v>
      </c>
      <c r="R129" s="19" t="s">
        <v>1022</v>
      </c>
      <c r="S129" s="22">
        <v>44413</v>
      </c>
      <c r="T129" s="22">
        <v>46239</v>
      </c>
      <c r="U129" s="26">
        <v>1581840</v>
      </c>
      <c r="V129" s="19">
        <v>20</v>
      </c>
      <c r="W129" s="27">
        <v>316368</v>
      </c>
      <c r="X129" s="27">
        <v>1265472</v>
      </c>
      <c r="Y129" s="28">
        <v>2.5</v>
      </c>
      <c r="Z129" s="27">
        <v>31636.800000000003</v>
      </c>
      <c r="AA129" s="19"/>
      <c r="AB129" s="25" t="s">
        <v>45</v>
      </c>
      <c r="AC129" s="24">
        <v>1141070718</v>
      </c>
      <c r="AD129" s="29">
        <v>45565</v>
      </c>
      <c r="AE129" s="19" t="s">
        <v>46</v>
      </c>
      <c r="AF129" s="19">
        <v>0</v>
      </c>
      <c r="AG129" s="30" t="s">
        <v>1017</v>
      </c>
      <c r="AH129" s="31">
        <v>31637</v>
      </c>
      <c r="AI129" s="32">
        <v>-0.19999999999708962</v>
      </c>
    </row>
    <row r="130" spans="1:35" x14ac:dyDescent="0.25">
      <c r="A130" s="19">
        <v>129</v>
      </c>
      <c r="B130" s="19" t="s">
        <v>33</v>
      </c>
      <c r="C130" s="19" t="s">
        <v>1023</v>
      </c>
      <c r="D130" s="20">
        <v>45505</v>
      </c>
      <c r="E130" s="21" t="s">
        <v>35</v>
      </c>
      <c r="F130" s="19" t="s">
        <v>1024</v>
      </c>
      <c r="G130" s="22">
        <v>45508</v>
      </c>
      <c r="H130" s="22">
        <v>45872</v>
      </c>
      <c r="I130" s="23" t="s">
        <v>1025</v>
      </c>
      <c r="J130" s="24">
        <v>3520140329479</v>
      </c>
      <c r="K130" s="23" t="s">
        <v>664</v>
      </c>
      <c r="L130" s="19" t="s">
        <v>1026</v>
      </c>
      <c r="M130" s="19" t="s">
        <v>1027</v>
      </c>
      <c r="N130" s="19" t="s">
        <v>1028</v>
      </c>
      <c r="O130" s="19" t="s">
        <v>1023</v>
      </c>
      <c r="P130" s="25" t="s">
        <v>61</v>
      </c>
      <c r="Q130" s="19" t="s">
        <v>79</v>
      </c>
      <c r="R130" s="19" t="s">
        <v>1029</v>
      </c>
      <c r="S130" s="22">
        <v>44417</v>
      </c>
      <c r="T130" s="22">
        <v>45874</v>
      </c>
      <c r="U130" s="26">
        <v>3380000</v>
      </c>
      <c r="V130" s="19">
        <v>20</v>
      </c>
      <c r="W130" s="27">
        <v>676000</v>
      </c>
      <c r="X130" s="27">
        <v>2704000</v>
      </c>
      <c r="Y130" s="28">
        <v>1.5</v>
      </c>
      <c r="Z130" s="27">
        <v>40560</v>
      </c>
      <c r="AA130" s="19"/>
      <c r="AB130" s="25" t="s">
        <v>45</v>
      </c>
      <c r="AC130" s="24">
        <v>1141070718</v>
      </c>
      <c r="AD130" s="29">
        <v>45565</v>
      </c>
      <c r="AE130" s="19" t="s">
        <v>46</v>
      </c>
      <c r="AF130" s="19">
        <v>36</v>
      </c>
      <c r="AG130" s="30" t="s">
        <v>1024</v>
      </c>
      <c r="AH130" s="31">
        <v>40560</v>
      </c>
      <c r="AI130" s="32">
        <v>0</v>
      </c>
    </row>
    <row r="131" spans="1:35" x14ac:dyDescent="0.25">
      <c r="A131" s="19">
        <v>130</v>
      </c>
      <c r="B131" s="19" t="s">
        <v>33</v>
      </c>
      <c r="C131" s="19" t="s">
        <v>1030</v>
      </c>
      <c r="D131" s="20">
        <v>45505</v>
      </c>
      <c r="E131" s="21" t="s">
        <v>35</v>
      </c>
      <c r="F131" s="19" t="s">
        <v>1031</v>
      </c>
      <c r="G131" s="22">
        <v>45508</v>
      </c>
      <c r="H131" s="22">
        <v>45872</v>
      </c>
      <c r="I131" s="23" t="s">
        <v>1032</v>
      </c>
      <c r="J131" s="24">
        <v>3720313882582</v>
      </c>
      <c r="K131" s="23" t="s">
        <v>331</v>
      </c>
      <c r="L131" s="19" t="s">
        <v>1033</v>
      </c>
      <c r="M131" s="19" t="s">
        <v>1034</v>
      </c>
      <c r="N131" s="19" t="s">
        <v>1035</v>
      </c>
      <c r="O131" s="19" t="s">
        <v>1030</v>
      </c>
      <c r="P131" s="25" t="s">
        <v>61</v>
      </c>
      <c r="Q131" s="19" t="s">
        <v>1036</v>
      </c>
      <c r="R131" s="19" t="s">
        <v>1037</v>
      </c>
      <c r="S131" s="22">
        <v>44421</v>
      </c>
      <c r="T131" s="22">
        <v>46970</v>
      </c>
      <c r="U131" s="26">
        <v>1335000</v>
      </c>
      <c r="V131" s="19">
        <v>20</v>
      </c>
      <c r="W131" s="27">
        <v>267000</v>
      </c>
      <c r="X131" s="27">
        <v>1068000</v>
      </c>
      <c r="Y131" s="28">
        <v>2.5</v>
      </c>
      <c r="Z131" s="27">
        <v>26700</v>
      </c>
      <c r="AA131" s="19"/>
      <c r="AB131" s="25" t="s">
        <v>45</v>
      </c>
      <c r="AC131" s="24">
        <v>1141070718</v>
      </c>
      <c r="AD131" s="29">
        <v>45565</v>
      </c>
      <c r="AE131" s="19" t="s">
        <v>46</v>
      </c>
      <c r="AF131" s="19">
        <v>5</v>
      </c>
      <c r="AG131" s="30" t="s">
        <v>1031</v>
      </c>
      <c r="AH131" s="31">
        <v>26700</v>
      </c>
      <c r="AI131" s="32">
        <v>0</v>
      </c>
    </row>
    <row r="132" spans="1:35" x14ac:dyDescent="0.25">
      <c r="A132" s="19">
        <v>131</v>
      </c>
      <c r="B132" s="19" t="s">
        <v>33</v>
      </c>
      <c r="C132" s="19" t="s">
        <v>1038</v>
      </c>
      <c r="D132" s="20">
        <v>45505</v>
      </c>
      <c r="E132" s="21" t="s">
        <v>35</v>
      </c>
      <c r="F132" s="19" t="s">
        <v>1039</v>
      </c>
      <c r="G132" s="22">
        <v>45508</v>
      </c>
      <c r="H132" s="22">
        <v>45872</v>
      </c>
      <c r="I132" s="23" t="s">
        <v>1040</v>
      </c>
      <c r="J132" s="24">
        <v>3620301981291</v>
      </c>
      <c r="K132" s="23" t="s">
        <v>132</v>
      </c>
      <c r="L132" s="19" t="s">
        <v>1041</v>
      </c>
      <c r="M132" s="19" t="s">
        <v>1042</v>
      </c>
      <c r="N132" s="19" t="s">
        <v>1043</v>
      </c>
      <c r="O132" s="19" t="s">
        <v>1038</v>
      </c>
      <c r="P132" s="25" t="s">
        <v>61</v>
      </c>
      <c r="Q132" s="19" t="s">
        <v>560</v>
      </c>
      <c r="R132" s="19" t="s">
        <v>1044</v>
      </c>
      <c r="S132" s="22">
        <v>44424</v>
      </c>
      <c r="T132" s="22">
        <v>46270</v>
      </c>
      <c r="U132" s="26">
        <v>1335000</v>
      </c>
      <c r="V132" s="19">
        <v>20</v>
      </c>
      <c r="W132" s="27">
        <v>267000</v>
      </c>
      <c r="X132" s="27">
        <v>1068000</v>
      </c>
      <c r="Y132" s="28">
        <v>2.5</v>
      </c>
      <c r="Z132" s="27">
        <v>26700</v>
      </c>
      <c r="AA132" s="19"/>
      <c r="AB132" s="25" t="s">
        <v>45</v>
      </c>
      <c r="AC132" s="24">
        <v>1141070718</v>
      </c>
      <c r="AD132" s="29">
        <v>45565</v>
      </c>
      <c r="AE132" s="19" t="s">
        <v>46</v>
      </c>
      <c r="AF132" s="19">
        <v>5</v>
      </c>
      <c r="AG132" s="30" t="s">
        <v>1039</v>
      </c>
      <c r="AH132" s="31">
        <v>26700</v>
      </c>
      <c r="AI132" s="32">
        <v>0</v>
      </c>
    </row>
    <row r="133" spans="1:35" x14ac:dyDescent="0.25">
      <c r="A133" s="19">
        <v>132</v>
      </c>
      <c r="B133" s="19" t="s">
        <v>33</v>
      </c>
      <c r="C133" s="19" t="s">
        <v>1045</v>
      </c>
      <c r="D133" s="20">
        <v>45505</v>
      </c>
      <c r="E133" s="21" t="s">
        <v>35</v>
      </c>
      <c r="F133" s="19" t="s">
        <v>1046</v>
      </c>
      <c r="G133" s="22">
        <v>45508</v>
      </c>
      <c r="H133" s="22">
        <v>45872</v>
      </c>
      <c r="I133" s="23" t="s">
        <v>1047</v>
      </c>
      <c r="J133" s="24">
        <v>6110115017565</v>
      </c>
      <c r="K133" s="23" t="s">
        <v>687</v>
      </c>
      <c r="L133" s="19" t="s">
        <v>1048</v>
      </c>
      <c r="M133" s="19" t="s">
        <v>1049</v>
      </c>
      <c r="N133" s="19" t="s">
        <v>1050</v>
      </c>
      <c r="O133" s="19" t="s">
        <v>1045</v>
      </c>
      <c r="P133" s="25" t="s">
        <v>42</v>
      </c>
      <c r="Q133" s="19" t="s">
        <v>71</v>
      </c>
      <c r="R133" s="19" t="s">
        <v>1051</v>
      </c>
      <c r="S133" s="22">
        <v>44049</v>
      </c>
      <c r="T133" s="22">
        <v>45874</v>
      </c>
      <c r="U133" s="26">
        <v>1598000</v>
      </c>
      <c r="V133" s="19">
        <v>25</v>
      </c>
      <c r="W133" s="27">
        <v>399500</v>
      </c>
      <c r="X133" s="27">
        <v>1198500</v>
      </c>
      <c r="Y133" s="28">
        <v>3.75</v>
      </c>
      <c r="Z133" s="27">
        <v>44943.75</v>
      </c>
      <c r="AA133" s="19"/>
      <c r="AB133" s="25" t="s">
        <v>45</v>
      </c>
      <c r="AC133" s="24">
        <v>1141070718</v>
      </c>
      <c r="AD133" s="29">
        <v>45565</v>
      </c>
      <c r="AE133" s="19" t="s">
        <v>46</v>
      </c>
      <c r="AF133" s="19">
        <v>5</v>
      </c>
      <c r="AG133" s="30" t="s">
        <v>1046</v>
      </c>
      <c r="AH133" s="31">
        <v>44944</v>
      </c>
      <c r="AI133" s="32">
        <v>-0.25</v>
      </c>
    </row>
    <row r="134" spans="1:35" x14ac:dyDescent="0.25">
      <c r="A134" s="19">
        <v>133</v>
      </c>
      <c r="B134" s="19" t="s">
        <v>33</v>
      </c>
      <c r="C134" s="19" t="s">
        <v>1052</v>
      </c>
      <c r="D134" s="20">
        <v>45505</v>
      </c>
      <c r="E134" s="21" t="s">
        <v>35</v>
      </c>
      <c r="F134" s="19" t="s">
        <v>1053</v>
      </c>
      <c r="G134" s="22">
        <v>45531</v>
      </c>
      <c r="H134" s="22">
        <v>45895</v>
      </c>
      <c r="I134" s="23" t="s">
        <v>1054</v>
      </c>
      <c r="J134" s="24">
        <v>3620318075013</v>
      </c>
      <c r="K134" s="23" t="s">
        <v>190</v>
      </c>
      <c r="L134" s="19" t="s">
        <v>1055</v>
      </c>
      <c r="M134" s="19" t="s">
        <v>1056</v>
      </c>
      <c r="N134" s="19" t="s">
        <v>1057</v>
      </c>
      <c r="O134" s="19" t="s">
        <v>1052</v>
      </c>
      <c r="P134" s="25" t="s">
        <v>61</v>
      </c>
      <c r="Q134" s="19" t="s">
        <v>560</v>
      </c>
      <c r="R134" s="19" t="s">
        <v>1058</v>
      </c>
      <c r="S134" s="22">
        <v>44075</v>
      </c>
      <c r="T134" s="22">
        <v>45905</v>
      </c>
      <c r="U134" s="26">
        <v>2652500</v>
      </c>
      <c r="V134" s="19">
        <v>25</v>
      </c>
      <c r="W134" s="27">
        <v>663125</v>
      </c>
      <c r="X134" s="27">
        <v>1989375</v>
      </c>
      <c r="Y134" s="28">
        <v>3.3</v>
      </c>
      <c r="Z134" s="27">
        <v>65649.375</v>
      </c>
      <c r="AA134" s="19"/>
      <c r="AB134" s="25" t="s">
        <v>45</v>
      </c>
      <c r="AC134" s="24">
        <v>1141070718</v>
      </c>
      <c r="AD134" s="29">
        <v>45565</v>
      </c>
      <c r="AE134" s="19" t="s">
        <v>46</v>
      </c>
      <c r="AF134" s="19">
        <v>36</v>
      </c>
      <c r="AG134" s="30" t="s">
        <v>1053</v>
      </c>
      <c r="AH134" s="31">
        <v>65649</v>
      </c>
      <c r="AI134" s="32">
        <v>0.375</v>
      </c>
    </row>
    <row r="135" spans="1:35" x14ac:dyDescent="0.25">
      <c r="A135" s="19">
        <v>134</v>
      </c>
      <c r="B135" s="19" t="s">
        <v>33</v>
      </c>
      <c r="C135" s="19" t="s">
        <v>1059</v>
      </c>
      <c r="D135" s="20">
        <v>45505</v>
      </c>
      <c r="E135" s="21" t="s">
        <v>35</v>
      </c>
      <c r="F135" s="19" t="s">
        <v>1060</v>
      </c>
      <c r="G135" s="22">
        <v>45532</v>
      </c>
      <c r="H135" s="22">
        <v>45896</v>
      </c>
      <c r="I135" s="23" t="s">
        <v>1061</v>
      </c>
      <c r="J135" s="24">
        <v>3520110922625</v>
      </c>
      <c r="K135" s="23" t="s">
        <v>292</v>
      </c>
      <c r="L135" s="19" t="s">
        <v>1062</v>
      </c>
      <c r="M135" s="19" t="s">
        <v>1063</v>
      </c>
      <c r="N135" s="19" t="s">
        <v>1064</v>
      </c>
      <c r="O135" s="19" t="s">
        <v>1059</v>
      </c>
      <c r="P135" s="25" t="s">
        <v>61</v>
      </c>
      <c r="Q135" s="19" t="s">
        <v>79</v>
      </c>
      <c r="R135" s="19" t="s">
        <v>1065</v>
      </c>
      <c r="S135" s="22">
        <v>44075</v>
      </c>
      <c r="T135" s="22">
        <v>45905</v>
      </c>
      <c r="U135" s="26">
        <v>1695000</v>
      </c>
      <c r="V135" s="19">
        <v>25</v>
      </c>
      <c r="W135" s="27">
        <v>423750</v>
      </c>
      <c r="X135" s="27">
        <v>1271250</v>
      </c>
      <c r="Y135" s="28">
        <v>3.75</v>
      </c>
      <c r="Z135" s="27">
        <v>47671.875</v>
      </c>
      <c r="AA135" s="19"/>
      <c r="AB135" s="25" t="s">
        <v>45</v>
      </c>
      <c r="AC135" s="24">
        <v>1141070718</v>
      </c>
      <c r="AD135" s="29">
        <v>45565</v>
      </c>
      <c r="AE135" s="19" t="s">
        <v>46</v>
      </c>
      <c r="AF135" s="19">
        <v>0</v>
      </c>
      <c r="AG135" s="30" t="s">
        <v>1060</v>
      </c>
      <c r="AH135" s="31">
        <v>47672</v>
      </c>
      <c r="AI135" s="32">
        <v>-0.125</v>
      </c>
    </row>
    <row r="136" spans="1:35" x14ac:dyDescent="0.25">
      <c r="A136" s="19">
        <v>135</v>
      </c>
      <c r="B136" s="19" t="s">
        <v>33</v>
      </c>
      <c r="C136" s="19" t="s">
        <v>1066</v>
      </c>
      <c r="D136" s="20">
        <v>45505</v>
      </c>
      <c r="E136" s="21" t="s">
        <v>35</v>
      </c>
      <c r="F136" s="19" t="s">
        <v>1067</v>
      </c>
      <c r="G136" s="22">
        <v>45532</v>
      </c>
      <c r="H136" s="22">
        <v>45896</v>
      </c>
      <c r="I136" s="23" t="s">
        <v>1068</v>
      </c>
      <c r="J136" s="24">
        <v>3630205404095</v>
      </c>
      <c r="K136" s="23" t="s">
        <v>140</v>
      </c>
      <c r="L136" s="19" t="s">
        <v>1069</v>
      </c>
      <c r="M136" s="19" t="s">
        <v>1070</v>
      </c>
      <c r="N136" s="19" t="s">
        <v>1071</v>
      </c>
      <c r="O136" s="19" t="s">
        <v>1066</v>
      </c>
      <c r="P136" s="25" t="s">
        <v>61</v>
      </c>
      <c r="Q136" s="19" t="s">
        <v>96</v>
      </c>
      <c r="R136" s="19" t="s">
        <v>1072</v>
      </c>
      <c r="S136" s="22">
        <v>44075</v>
      </c>
      <c r="T136" s="22">
        <v>45905</v>
      </c>
      <c r="U136" s="26">
        <v>1398000</v>
      </c>
      <c r="V136" s="19">
        <v>25</v>
      </c>
      <c r="W136" s="27">
        <v>349500</v>
      </c>
      <c r="X136" s="27">
        <v>1048500</v>
      </c>
      <c r="Y136" s="28">
        <v>3.75</v>
      </c>
      <c r="Z136" s="27">
        <v>39318.75</v>
      </c>
      <c r="AA136" s="19"/>
      <c r="AB136" s="25" t="s">
        <v>45</v>
      </c>
      <c r="AC136" s="24">
        <v>1141070718</v>
      </c>
      <c r="AD136" s="29">
        <v>45565</v>
      </c>
      <c r="AE136" s="19" t="s">
        <v>46</v>
      </c>
      <c r="AF136" s="19">
        <v>5</v>
      </c>
      <c r="AG136" s="30" t="s">
        <v>1067</v>
      </c>
      <c r="AH136" s="31">
        <v>39319</v>
      </c>
      <c r="AI136" s="32">
        <v>-0.25</v>
      </c>
    </row>
    <row r="137" spans="1:35" x14ac:dyDescent="0.25">
      <c r="A137" s="19">
        <v>136</v>
      </c>
      <c r="B137" s="19" t="s">
        <v>33</v>
      </c>
      <c r="C137" s="19" t="s">
        <v>1073</v>
      </c>
      <c r="D137" s="20">
        <v>45505</v>
      </c>
      <c r="E137" s="21" t="s">
        <v>35</v>
      </c>
      <c r="F137" s="19" t="s">
        <v>1074</v>
      </c>
      <c r="G137" s="22">
        <v>45532</v>
      </c>
      <c r="H137" s="22">
        <v>45896</v>
      </c>
      <c r="I137" s="23" t="s">
        <v>1075</v>
      </c>
      <c r="J137" s="24">
        <v>3520205038513</v>
      </c>
      <c r="K137" s="23" t="s">
        <v>802</v>
      </c>
      <c r="L137" s="19" t="s">
        <v>1076</v>
      </c>
      <c r="M137" s="19" t="s">
        <v>1077</v>
      </c>
      <c r="N137" s="19" t="s">
        <v>1078</v>
      </c>
      <c r="O137" s="19" t="s">
        <v>1073</v>
      </c>
      <c r="P137" s="25" t="s">
        <v>61</v>
      </c>
      <c r="Q137" s="19" t="s">
        <v>79</v>
      </c>
      <c r="R137" s="19" t="s">
        <v>1079</v>
      </c>
      <c r="S137" s="22">
        <v>44075</v>
      </c>
      <c r="T137" s="22">
        <v>45905</v>
      </c>
      <c r="U137" s="26">
        <v>8750000</v>
      </c>
      <c r="V137" s="19">
        <v>25</v>
      </c>
      <c r="W137" s="27">
        <v>2187500</v>
      </c>
      <c r="X137" s="27">
        <v>6562500</v>
      </c>
      <c r="Y137" s="28">
        <v>1.5</v>
      </c>
      <c r="Z137" s="27">
        <v>98437.5</v>
      </c>
      <c r="AA137" s="19"/>
      <c r="AB137" s="25" t="s">
        <v>45</v>
      </c>
      <c r="AC137" s="24">
        <v>1141070718</v>
      </c>
      <c r="AD137" s="29">
        <v>45565</v>
      </c>
      <c r="AE137" s="19" t="s">
        <v>46</v>
      </c>
      <c r="AF137" s="19">
        <v>5</v>
      </c>
      <c r="AG137" s="30" t="s">
        <v>1074</v>
      </c>
      <c r="AH137" s="31">
        <v>98438</v>
      </c>
      <c r="AI137" s="32">
        <v>-0.5</v>
      </c>
    </row>
    <row r="138" spans="1:35" x14ac:dyDescent="0.25">
      <c r="A138" s="19">
        <v>137</v>
      </c>
      <c r="B138" s="19" t="s">
        <v>33</v>
      </c>
      <c r="C138" s="19" t="s">
        <v>1080</v>
      </c>
      <c r="D138" s="20">
        <v>45505</v>
      </c>
      <c r="E138" s="21" t="s">
        <v>35</v>
      </c>
      <c r="F138" s="19" t="s">
        <v>1081</v>
      </c>
      <c r="G138" s="22">
        <v>45532</v>
      </c>
      <c r="H138" s="22">
        <v>45896</v>
      </c>
      <c r="I138" s="23" t="s">
        <v>1082</v>
      </c>
      <c r="J138" s="24">
        <v>3520242533594</v>
      </c>
      <c r="K138" s="23" t="s">
        <v>92</v>
      </c>
      <c r="L138" s="19" t="s">
        <v>1083</v>
      </c>
      <c r="M138" s="19" t="s">
        <v>1084</v>
      </c>
      <c r="N138" s="19" t="s">
        <v>1085</v>
      </c>
      <c r="O138" s="19" t="s">
        <v>1080</v>
      </c>
      <c r="P138" s="25" t="s">
        <v>61</v>
      </c>
      <c r="Q138" s="19" t="s">
        <v>79</v>
      </c>
      <c r="R138" s="19" t="s">
        <v>1086</v>
      </c>
      <c r="S138" s="22">
        <v>44075</v>
      </c>
      <c r="T138" s="22">
        <v>45905</v>
      </c>
      <c r="U138" s="26">
        <v>2758000</v>
      </c>
      <c r="V138" s="19">
        <v>25</v>
      </c>
      <c r="W138" s="27">
        <v>689500</v>
      </c>
      <c r="X138" s="27">
        <v>2068500</v>
      </c>
      <c r="Y138" s="28">
        <v>3.75</v>
      </c>
      <c r="Z138" s="27">
        <v>77568.75</v>
      </c>
      <c r="AA138" s="19"/>
      <c r="AB138" s="25" t="s">
        <v>45</v>
      </c>
      <c r="AC138" s="24">
        <v>1141070718</v>
      </c>
      <c r="AD138" s="29">
        <v>45565</v>
      </c>
      <c r="AE138" s="19" t="s">
        <v>46</v>
      </c>
      <c r="AF138" s="19">
        <v>5</v>
      </c>
      <c r="AG138" s="30" t="s">
        <v>1081</v>
      </c>
      <c r="AH138" s="31">
        <v>77569</v>
      </c>
      <c r="AI138" s="32">
        <v>-0.25</v>
      </c>
    </row>
    <row r="139" spans="1:35" x14ac:dyDescent="0.25">
      <c r="A139" s="19">
        <v>138</v>
      </c>
      <c r="B139" s="19" t="s">
        <v>33</v>
      </c>
      <c r="C139" s="19" t="s">
        <v>1087</v>
      </c>
      <c r="D139" s="20">
        <v>45505</v>
      </c>
      <c r="E139" s="21" t="s">
        <v>35</v>
      </c>
      <c r="F139" s="19" t="s">
        <v>1088</v>
      </c>
      <c r="G139" s="22">
        <v>45532</v>
      </c>
      <c r="H139" s="22">
        <v>45896</v>
      </c>
      <c r="I139" s="23" t="s">
        <v>1089</v>
      </c>
      <c r="J139" s="24">
        <v>3520221335635</v>
      </c>
      <c r="K139" s="23" t="s">
        <v>704</v>
      </c>
      <c r="L139" s="19" t="s">
        <v>1090</v>
      </c>
      <c r="M139" s="19" t="s">
        <v>1091</v>
      </c>
      <c r="N139" s="19" t="s">
        <v>1092</v>
      </c>
      <c r="O139" s="19" t="s">
        <v>1087</v>
      </c>
      <c r="P139" s="25" t="s">
        <v>61</v>
      </c>
      <c r="Q139" s="19" t="s">
        <v>79</v>
      </c>
      <c r="R139" s="19" t="s">
        <v>1093</v>
      </c>
      <c r="S139" s="22">
        <v>44075</v>
      </c>
      <c r="T139" s="22">
        <v>45905</v>
      </c>
      <c r="U139" s="26">
        <v>2300000</v>
      </c>
      <c r="V139" s="19">
        <v>25</v>
      </c>
      <c r="W139" s="27">
        <v>575000</v>
      </c>
      <c r="X139" s="27">
        <v>1725000</v>
      </c>
      <c r="Y139" s="28">
        <v>3.3</v>
      </c>
      <c r="Z139" s="27">
        <v>56925</v>
      </c>
      <c r="AA139" s="19"/>
      <c r="AB139" s="25" t="s">
        <v>45</v>
      </c>
      <c r="AC139" s="24">
        <v>1141070718</v>
      </c>
      <c r="AD139" s="29">
        <v>45565</v>
      </c>
      <c r="AE139" s="19" t="s">
        <v>46</v>
      </c>
      <c r="AF139" s="19">
        <v>5</v>
      </c>
      <c r="AG139" s="30" t="s">
        <v>1088</v>
      </c>
      <c r="AH139" s="31">
        <v>56925</v>
      </c>
      <c r="AI139" s="32">
        <v>0</v>
      </c>
    </row>
    <row r="140" spans="1:35" x14ac:dyDescent="0.25">
      <c r="A140" s="19">
        <v>139</v>
      </c>
      <c r="B140" s="19" t="s">
        <v>33</v>
      </c>
      <c r="C140" s="19" t="s">
        <v>1094</v>
      </c>
      <c r="D140" s="20">
        <v>45505</v>
      </c>
      <c r="E140" s="21" t="s">
        <v>35</v>
      </c>
      <c r="F140" s="19" t="s">
        <v>1095</v>
      </c>
      <c r="G140" s="22">
        <v>45532</v>
      </c>
      <c r="H140" s="22">
        <v>45896</v>
      </c>
      <c r="I140" s="23" t="s">
        <v>1096</v>
      </c>
      <c r="J140" s="24">
        <v>3450120181109</v>
      </c>
      <c r="K140" s="23" t="s">
        <v>704</v>
      </c>
      <c r="L140" s="19" t="s">
        <v>1097</v>
      </c>
      <c r="M140" s="19" t="s">
        <v>1098</v>
      </c>
      <c r="N140" s="19" t="s">
        <v>1099</v>
      </c>
      <c r="O140" s="19" t="s">
        <v>1094</v>
      </c>
      <c r="P140" s="25" t="s">
        <v>61</v>
      </c>
      <c r="Q140" s="19" t="s">
        <v>79</v>
      </c>
      <c r="R140" s="19" t="s">
        <v>1100</v>
      </c>
      <c r="S140" s="22">
        <v>44075</v>
      </c>
      <c r="T140" s="22">
        <v>45905</v>
      </c>
      <c r="U140" s="26">
        <v>1600000</v>
      </c>
      <c r="V140" s="19">
        <v>25</v>
      </c>
      <c r="W140" s="27">
        <v>400000</v>
      </c>
      <c r="X140" s="27">
        <v>1200000</v>
      </c>
      <c r="Y140" s="28">
        <v>3.3</v>
      </c>
      <c r="Z140" s="27">
        <v>39600</v>
      </c>
      <c r="AA140" s="19"/>
      <c r="AB140" s="25" t="s">
        <v>45</v>
      </c>
      <c r="AC140" s="24">
        <v>1141070718</v>
      </c>
      <c r="AD140" s="29">
        <v>45565</v>
      </c>
      <c r="AE140" s="19" t="s">
        <v>46</v>
      </c>
      <c r="AF140" s="19">
        <v>5</v>
      </c>
      <c r="AG140" s="30" t="s">
        <v>1095</v>
      </c>
      <c r="AH140" s="31">
        <v>39600</v>
      </c>
      <c r="AI140" s="32">
        <v>0</v>
      </c>
    </row>
    <row r="141" spans="1:35" x14ac:dyDescent="0.25">
      <c r="A141" s="19">
        <v>140</v>
      </c>
      <c r="B141" s="19" t="s">
        <v>33</v>
      </c>
      <c r="C141" s="19" t="s">
        <v>1101</v>
      </c>
      <c r="D141" s="20">
        <v>45505</v>
      </c>
      <c r="E141" s="21" t="s">
        <v>35</v>
      </c>
      <c r="F141" s="19" t="s">
        <v>1102</v>
      </c>
      <c r="G141" s="22">
        <v>45532</v>
      </c>
      <c r="H141" s="22">
        <v>45896</v>
      </c>
      <c r="I141" s="23" t="s">
        <v>1103</v>
      </c>
      <c r="J141" s="24">
        <v>3520229477157</v>
      </c>
      <c r="K141" s="23" t="s">
        <v>719</v>
      </c>
      <c r="L141" s="19" t="s">
        <v>1104</v>
      </c>
      <c r="M141" s="19" t="s">
        <v>1105</v>
      </c>
      <c r="N141" s="19" t="s">
        <v>1106</v>
      </c>
      <c r="O141" s="19" t="s">
        <v>1101</v>
      </c>
      <c r="P141" s="25" t="s">
        <v>61</v>
      </c>
      <c r="Q141" s="19" t="s">
        <v>79</v>
      </c>
      <c r="R141" s="19" t="s">
        <v>1107</v>
      </c>
      <c r="S141" s="22">
        <v>44075</v>
      </c>
      <c r="T141" s="22">
        <v>45905</v>
      </c>
      <c r="U141" s="26">
        <v>4930000</v>
      </c>
      <c r="V141" s="19">
        <v>25</v>
      </c>
      <c r="W141" s="27">
        <v>1232500</v>
      </c>
      <c r="X141" s="27">
        <v>3697500</v>
      </c>
      <c r="Y141" s="28">
        <v>1.5</v>
      </c>
      <c r="Z141" s="27">
        <v>55462.5</v>
      </c>
      <c r="AA141" s="19"/>
      <c r="AB141" s="25" t="s">
        <v>45</v>
      </c>
      <c r="AC141" s="24">
        <v>1141070718</v>
      </c>
      <c r="AD141" s="29">
        <v>45565</v>
      </c>
      <c r="AE141" s="19" t="s">
        <v>46</v>
      </c>
      <c r="AF141" s="19">
        <v>5</v>
      </c>
      <c r="AG141" s="30" t="s">
        <v>1102</v>
      </c>
      <c r="AH141" s="31">
        <v>55463</v>
      </c>
      <c r="AI141" s="32">
        <v>-0.5</v>
      </c>
    </row>
    <row r="142" spans="1:35" x14ac:dyDescent="0.25">
      <c r="A142" s="19">
        <v>141</v>
      </c>
      <c r="B142" s="19" t="s">
        <v>33</v>
      </c>
      <c r="C142" s="19" t="s">
        <v>1108</v>
      </c>
      <c r="D142" s="20">
        <v>45505</v>
      </c>
      <c r="E142" s="21" t="s">
        <v>35</v>
      </c>
      <c r="F142" s="19" t="s">
        <v>1109</v>
      </c>
      <c r="G142" s="22">
        <v>45535</v>
      </c>
      <c r="H142" s="22">
        <v>45899</v>
      </c>
      <c r="I142" s="23" t="s">
        <v>1110</v>
      </c>
      <c r="J142" s="24">
        <v>1730113099655</v>
      </c>
      <c r="K142" s="23" t="s">
        <v>1111</v>
      </c>
      <c r="L142" s="19" t="s">
        <v>1112</v>
      </c>
      <c r="M142" s="19" t="s">
        <v>1113</v>
      </c>
      <c r="N142" s="19" t="s">
        <v>1114</v>
      </c>
      <c r="O142" s="19" t="s">
        <v>1108</v>
      </c>
      <c r="P142" s="25" t="s">
        <v>42</v>
      </c>
      <c r="Q142" s="19" t="s">
        <v>753</v>
      </c>
      <c r="R142" s="19" t="s">
        <v>1115</v>
      </c>
      <c r="S142" s="22">
        <v>44076</v>
      </c>
      <c r="T142" s="22">
        <v>45905</v>
      </c>
      <c r="U142" s="26">
        <v>4200000</v>
      </c>
      <c r="V142" s="19">
        <v>25</v>
      </c>
      <c r="W142" s="27">
        <v>1050000</v>
      </c>
      <c r="X142" s="27">
        <v>3150000</v>
      </c>
      <c r="Y142" s="28">
        <v>1.5</v>
      </c>
      <c r="Z142" s="27">
        <v>47250</v>
      </c>
      <c r="AA142" s="19"/>
      <c r="AB142" s="25" t="s">
        <v>45</v>
      </c>
      <c r="AC142" s="24">
        <v>1141070718</v>
      </c>
      <c r="AD142" s="29">
        <v>45565</v>
      </c>
      <c r="AE142" s="19" t="s">
        <v>46</v>
      </c>
      <c r="AF142" s="19">
        <v>5</v>
      </c>
      <c r="AG142" s="30" t="s">
        <v>1109</v>
      </c>
      <c r="AH142" s="31">
        <v>47250</v>
      </c>
      <c r="AI142" s="32">
        <v>0</v>
      </c>
    </row>
    <row r="143" spans="1:35" x14ac:dyDescent="0.25">
      <c r="A143" s="19">
        <v>142</v>
      </c>
      <c r="B143" s="19" t="s">
        <v>33</v>
      </c>
      <c r="C143" s="19" t="s">
        <v>1116</v>
      </c>
      <c r="D143" s="20">
        <v>45505</v>
      </c>
      <c r="E143" s="21" t="s">
        <v>35</v>
      </c>
      <c r="F143" s="19" t="s">
        <v>1117</v>
      </c>
      <c r="G143" s="22">
        <v>45515</v>
      </c>
      <c r="H143" s="22">
        <v>45879</v>
      </c>
      <c r="I143" s="23" t="s">
        <v>1118</v>
      </c>
      <c r="J143" s="24">
        <v>4310272494688</v>
      </c>
      <c r="K143" s="23" t="s">
        <v>173</v>
      </c>
      <c r="L143" s="19" t="s">
        <v>1119</v>
      </c>
      <c r="M143" s="19" t="s">
        <v>1120</v>
      </c>
      <c r="N143" s="19" t="s">
        <v>1121</v>
      </c>
      <c r="O143" s="19" t="s">
        <v>1116</v>
      </c>
      <c r="P143" s="25" t="s">
        <v>167</v>
      </c>
      <c r="Q143" s="19" t="s">
        <v>168</v>
      </c>
      <c r="R143" s="19" t="s">
        <v>1122</v>
      </c>
      <c r="S143" s="22">
        <v>44056</v>
      </c>
      <c r="T143" s="22">
        <v>46604</v>
      </c>
      <c r="U143" s="26">
        <v>1985000</v>
      </c>
      <c r="V143" s="19">
        <v>25</v>
      </c>
      <c r="W143" s="27">
        <v>496250</v>
      </c>
      <c r="X143" s="27">
        <v>1488750</v>
      </c>
      <c r="Y143" s="28">
        <v>3.75</v>
      </c>
      <c r="Z143" s="27">
        <v>55828.125</v>
      </c>
      <c r="AA143" s="19"/>
      <c r="AB143" s="25" t="s">
        <v>45</v>
      </c>
      <c r="AC143" s="24">
        <v>1141070718</v>
      </c>
      <c r="AD143" s="29">
        <v>45565</v>
      </c>
      <c r="AE143" s="19" t="s">
        <v>46</v>
      </c>
      <c r="AF143" s="19">
        <v>0</v>
      </c>
      <c r="AG143" s="30" t="s">
        <v>1117</v>
      </c>
      <c r="AH143" s="31">
        <v>55828</v>
      </c>
      <c r="AI143" s="32">
        <v>0.125</v>
      </c>
    </row>
    <row r="144" spans="1:35" x14ac:dyDescent="0.25">
      <c r="A144" s="19">
        <v>143</v>
      </c>
      <c r="B144" s="19" t="s">
        <v>33</v>
      </c>
      <c r="C144" s="19" t="s">
        <v>1123</v>
      </c>
      <c r="D144" s="20">
        <v>45505</v>
      </c>
      <c r="E144" s="21" t="s">
        <v>35</v>
      </c>
      <c r="F144" s="19" t="s">
        <v>1124</v>
      </c>
      <c r="G144" s="22">
        <v>45523</v>
      </c>
      <c r="H144" s="22">
        <v>45887</v>
      </c>
      <c r="I144" s="23" t="s">
        <v>1125</v>
      </c>
      <c r="J144" s="24">
        <v>3640270388007</v>
      </c>
      <c r="K144" s="23" t="s">
        <v>182</v>
      </c>
      <c r="L144" s="19" t="s">
        <v>1126</v>
      </c>
      <c r="M144" s="19" t="s">
        <v>1127</v>
      </c>
      <c r="N144" s="19" t="s">
        <v>1128</v>
      </c>
      <c r="O144" s="19" t="s">
        <v>1123</v>
      </c>
      <c r="P144" s="25" t="s">
        <v>61</v>
      </c>
      <c r="Q144" s="19" t="s">
        <v>1129</v>
      </c>
      <c r="R144" s="19" t="s">
        <v>1130</v>
      </c>
      <c r="S144" s="22">
        <v>44068</v>
      </c>
      <c r="T144" s="22">
        <v>45905</v>
      </c>
      <c r="U144" s="26">
        <v>1950000</v>
      </c>
      <c r="V144" s="19">
        <v>25</v>
      </c>
      <c r="W144" s="27">
        <v>487500</v>
      </c>
      <c r="X144" s="27">
        <v>1462500</v>
      </c>
      <c r="Y144" s="28">
        <v>3.75</v>
      </c>
      <c r="Z144" s="27">
        <v>54843.75</v>
      </c>
      <c r="AA144" s="19"/>
      <c r="AB144" s="25" t="s">
        <v>45</v>
      </c>
      <c r="AC144" s="24">
        <v>1141070718</v>
      </c>
      <c r="AD144" s="29">
        <v>45565</v>
      </c>
      <c r="AE144" s="19" t="s">
        <v>46</v>
      </c>
      <c r="AF144" s="19">
        <v>5</v>
      </c>
      <c r="AG144" s="30" t="s">
        <v>1124</v>
      </c>
      <c r="AH144" s="31">
        <v>54844</v>
      </c>
      <c r="AI144" s="32">
        <v>-0.25</v>
      </c>
    </row>
    <row r="145" spans="1:35" x14ac:dyDescent="0.25">
      <c r="A145" s="19">
        <v>144</v>
      </c>
      <c r="B145" s="19" t="s">
        <v>33</v>
      </c>
      <c r="C145" s="19" t="s">
        <v>1131</v>
      </c>
      <c r="D145" s="20">
        <v>45505</v>
      </c>
      <c r="E145" s="21" t="s">
        <v>35</v>
      </c>
      <c r="F145" s="19" t="s">
        <v>1132</v>
      </c>
      <c r="G145" s="22">
        <v>45523</v>
      </c>
      <c r="H145" s="22">
        <v>45887</v>
      </c>
      <c r="I145" s="23" t="s">
        <v>1133</v>
      </c>
      <c r="J145" s="24">
        <v>3410368145171</v>
      </c>
      <c r="K145" s="23" t="s">
        <v>173</v>
      </c>
      <c r="L145" s="19" t="s">
        <v>1134</v>
      </c>
      <c r="M145" s="19" t="s">
        <v>1135</v>
      </c>
      <c r="N145" s="19" t="s">
        <v>1136</v>
      </c>
      <c r="O145" s="19" t="s">
        <v>1131</v>
      </c>
      <c r="P145" s="25" t="s">
        <v>61</v>
      </c>
      <c r="Q145" s="19" t="s">
        <v>1137</v>
      </c>
      <c r="R145" s="19" t="s">
        <v>1138</v>
      </c>
      <c r="S145" s="22">
        <v>44068</v>
      </c>
      <c r="T145" s="22">
        <v>45905</v>
      </c>
      <c r="U145" s="26">
        <v>1700000</v>
      </c>
      <c r="V145" s="19">
        <v>25</v>
      </c>
      <c r="W145" s="27">
        <v>425000</v>
      </c>
      <c r="X145" s="27">
        <v>1275000</v>
      </c>
      <c r="Y145" s="28">
        <v>3.75</v>
      </c>
      <c r="Z145" s="27">
        <v>47812.5</v>
      </c>
      <c r="AA145" s="19"/>
      <c r="AB145" s="25" t="s">
        <v>45</v>
      </c>
      <c r="AC145" s="24">
        <v>1141070718</v>
      </c>
      <c r="AD145" s="29">
        <v>45565</v>
      </c>
      <c r="AE145" s="19" t="s">
        <v>46</v>
      </c>
      <c r="AF145" s="19">
        <v>0</v>
      </c>
      <c r="AG145" s="30" t="s">
        <v>1132</v>
      </c>
      <c r="AH145" s="31">
        <v>47813</v>
      </c>
      <c r="AI145" s="32">
        <v>-0.5</v>
      </c>
    </row>
    <row r="146" spans="1:35" x14ac:dyDescent="0.25">
      <c r="A146" s="19">
        <v>145</v>
      </c>
      <c r="B146" s="19" t="s">
        <v>33</v>
      </c>
      <c r="C146" s="19" t="s">
        <v>1139</v>
      </c>
      <c r="D146" s="20">
        <v>45505</v>
      </c>
      <c r="E146" s="21" t="s">
        <v>35</v>
      </c>
      <c r="F146" s="19" t="s">
        <v>1140</v>
      </c>
      <c r="G146" s="22">
        <v>45525</v>
      </c>
      <c r="H146" s="22">
        <v>45889</v>
      </c>
      <c r="I146" s="23" t="s">
        <v>1141</v>
      </c>
      <c r="J146" s="24">
        <v>3520112051577</v>
      </c>
      <c r="K146" s="23" t="s">
        <v>182</v>
      </c>
      <c r="L146" s="19" t="s">
        <v>1142</v>
      </c>
      <c r="M146" s="19" t="s">
        <v>1143</v>
      </c>
      <c r="N146" s="19" t="s">
        <v>1144</v>
      </c>
      <c r="O146" s="19" t="s">
        <v>1139</v>
      </c>
      <c r="P146" s="25" t="s">
        <v>61</v>
      </c>
      <c r="Q146" s="19" t="s">
        <v>79</v>
      </c>
      <c r="R146" s="19" t="s">
        <v>1145</v>
      </c>
      <c r="S146" s="22">
        <v>44068</v>
      </c>
      <c r="T146" s="22">
        <v>45905</v>
      </c>
      <c r="U146" s="26">
        <v>2903000</v>
      </c>
      <c r="V146" s="19">
        <v>25</v>
      </c>
      <c r="W146" s="27">
        <v>725750</v>
      </c>
      <c r="X146" s="27">
        <v>2177250</v>
      </c>
      <c r="Y146" s="28">
        <v>2.5</v>
      </c>
      <c r="Z146" s="27">
        <v>54431.25</v>
      </c>
      <c r="AA146" s="19"/>
      <c r="AB146" s="25" t="s">
        <v>45</v>
      </c>
      <c r="AC146" s="24">
        <v>1141070718</v>
      </c>
      <c r="AD146" s="29">
        <v>45565</v>
      </c>
      <c r="AE146" s="19" t="s">
        <v>46</v>
      </c>
      <c r="AF146" s="19">
        <v>0</v>
      </c>
      <c r="AG146" s="30" t="s">
        <v>1140</v>
      </c>
      <c r="AH146" s="31">
        <v>54431</v>
      </c>
      <c r="AI146" s="32">
        <v>0.25</v>
      </c>
    </row>
    <row r="147" spans="1:35" x14ac:dyDescent="0.25">
      <c r="A147" s="19">
        <v>146</v>
      </c>
      <c r="B147" s="19" t="s">
        <v>33</v>
      </c>
      <c r="C147" s="19" t="s">
        <v>1146</v>
      </c>
      <c r="D147" s="20">
        <v>45505</v>
      </c>
      <c r="E147" s="21" t="s">
        <v>35</v>
      </c>
      <c r="F147" s="19" t="s">
        <v>1147</v>
      </c>
      <c r="G147" s="22">
        <v>45525</v>
      </c>
      <c r="H147" s="22">
        <v>45889</v>
      </c>
      <c r="I147" s="23" t="s">
        <v>1148</v>
      </c>
      <c r="J147" s="24">
        <v>3740523893887</v>
      </c>
      <c r="K147" s="23" t="s">
        <v>92</v>
      </c>
      <c r="L147" s="19" t="s">
        <v>1149</v>
      </c>
      <c r="M147" s="19" t="s">
        <v>1150</v>
      </c>
      <c r="N147" s="19" t="s">
        <v>1151</v>
      </c>
      <c r="O147" s="19" t="s">
        <v>1146</v>
      </c>
      <c r="P147" s="25" t="s">
        <v>42</v>
      </c>
      <c r="Q147" s="19" t="s">
        <v>71</v>
      </c>
      <c r="R147" s="19" t="s">
        <v>1152</v>
      </c>
      <c r="S147" s="22">
        <v>44070</v>
      </c>
      <c r="T147" s="22">
        <v>45905</v>
      </c>
      <c r="U147" s="26">
        <v>2993000</v>
      </c>
      <c r="V147" s="19">
        <v>25</v>
      </c>
      <c r="W147" s="27">
        <v>748250</v>
      </c>
      <c r="X147" s="27">
        <v>2244750</v>
      </c>
      <c r="Y147" s="28">
        <v>3.75</v>
      </c>
      <c r="Z147" s="27">
        <v>84178.125</v>
      </c>
      <c r="AA147" s="19"/>
      <c r="AB147" s="25" t="s">
        <v>45</v>
      </c>
      <c r="AC147" s="24">
        <v>1141070718</v>
      </c>
      <c r="AD147" s="29">
        <v>45565</v>
      </c>
      <c r="AE147" s="19" t="s">
        <v>46</v>
      </c>
      <c r="AF147" s="19">
        <v>5</v>
      </c>
      <c r="AG147" s="30" t="s">
        <v>1147</v>
      </c>
      <c r="AH147" s="31">
        <v>84178</v>
      </c>
      <c r="AI147" s="32">
        <v>0.125</v>
      </c>
    </row>
    <row r="148" spans="1:35" x14ac:dyDescent="0.25">
      <c r="A148" s="19">
        <v>147</v>
      </c>
      <c r="B148" s="19" t="s">
        <v>33</v>
      </c>
      <c r="C148" s="19" t="s">
        <v>1153</v>
      </c>
      <c r="D148" s="20">
        <v>45505</v>
      </c>
      <c r="E148" s="21" t="s">
        <v>35</v>
      </c>
      <c r="F148" s="19" t="s">
        <v>1154</v>
      </c>
      <c r="G148" s="22">
        <v>45528</v>
      </c>
      <c r="H148" s="22">
        <v>45892</v>
      </c>
      <c r="I148" s="23" t="s">
        <v>1155</v>
      </c>
      <c r="J148" s="24">
        <v>4220188603739</v>
      </c>
      <c r="K148" s="23" t="s">
        <v>331</v>
      </c>
      <c r="L148" s="19" t="s">
        <v>1156</v>
      </c>
      <c r="M148" s="19" t="s">
        <v>1157</v>
      </c>
      <c r="N148" s="19" t="s">
        <v>1158</v>
      </c>
      <c r="O148" s="19" t="s">
        <v>1153</v>
      </c>
      <c r="P148" s="25" t="s">
        <v>167</v>
      </c>
      <c r="Q148" s="19" t="s">
        <v>168</v>
      </c>
      <c r="R148" s="19" t="s">
        <v>1159</v>
      </c>
      <c r="S148" s="22">
        <v>44076</v>
      </c>
      <c r="T148" s="22">
        <v>46636</v>
      </c>
      <c r="U148" s="26">
        <v>1398000</v>
      </c>
      <c r="V148" s="19">
        <v>25</v>
      </c>
      <c r="W148" s="27">
        <v>349500</v>
      </c>
      <c r="X148" s="27">
        <v>1048500</v>
      </c>
      <c r="Y148" s="28">
        <v>3.75</v>
      </c>
      <c r="Z148" s="27">
        <v>39318.75</v>
      </c>
      <c r="AA148" s="19"/>
      <c r="AB148" s="25" t="s">
        <v>45</v>
      </c>
      <c r="AC148" s="24">
        <v>1141070718</v>
      </c>
      <c r="AD148" s="29">
        <v>45565</v>
      </c>
      <c r="AE148" s="19" t="s">
        <v>46</v>
      </c>
      <c r="AF148" s="19">
        <v>0</v>
      </c>
      <c r="AG148" s="30" t="s">
        <v>1154</v>
      </c>
      <c r="AH148" s="31">
        <v>39319</v>
      </c>
      <c r="AI148" s="32">
        <v>-0.25</v>
      </c>
    </row>
    <row r="149" spans="1:35" x14ac:dyDescent="0.25">
      <c r="A149" s="19">
        <v>148</v>
      </c>
      <c r="B149" s="19" t="s">
        <v>33</v>
      </c>
      <c r="C149" s="19" t="s">
        <v>1160</v>
      </c>
      <c r="D149" s="20">
        <v>45505</v>
      </c>
      <c r="E149" s="21" t="s">
        <v>35</v>
      </c>
      <c r="F149" s="19" t="s">
        <v>1161</v>
      </c>
      <c r="G149" s="22">
        <v>45529</v>
      </c>
      <c r="H149" s="22">
        <v>45893</v>
      </c>
      <c r="I149" s="23" t="s">
        <v>1162</v>
      </c>
      <c r="J149" s="24">
        <v>3740154758547</v>
      </c>
      <c r="K149" s="23" t="s">
        <v>237</v>
      </c>
      <c r="L149" s="19" t="s">
        <v>1163</v>
      </c>
      <c r="M149" s="19" t="s">
        <v>1164</v>
      </c>
      <c r="N149" s="19" t="s">
        <v>1165</v>
      </c>
      <c r="O149" s="19" t="s">
        <v>1160</v>
      </c>
      <c r="P149" s="25" t="s">
        <v>42</v>
      </c>
      <c r="Q149" s="19" t="s">
        <v>71</v>
      </c>
      <c r="R149" s="19" t="s">
        <v>1166</v>
      </c>
      <c r="S149" s="22">
        <v>44070</v>
      </c>
      <c r="T149" s="22">
        <v>45905</v>
      </c>
      <c r="U149" s="26">
        <v>4057000</v>
      </c>
      <c r="V149" s="19">
        <v>25</v>
      </c>
      <c r="W149" s="27">
        <v>1014250</v>
      </c>
      <c r="X149" s="27">
        <v>3042750</v>
      </c>
      <c r="Y149" s="28">
        <v>1.5</v>
      </c>
      <c r="Z149" s="27">
        <v>45641.25</v>
      </c>
      <c r="AA149" s="19"/>
      <c r="AB149" s="25" t="s">
        <v>45</v>
      </c>
      <c r="AC149" s="24">
        <v>1141070718</v>
      </c>
      <c r="AD149" s="29">
        <v>45565</v>
      </c>
      <c r="AE149" s="19" t="s">
        <v>46</v>
      </c>
      <c r="AF149" s="19">
        <v>0</v>
      </c>
      <c r="AG149" s="30" t="s">
        <v>1161</v>
      </c>
      <c r="AH149" s="31">
        <v>45641</v>
      </c>
      <c r="AI149" s="32">
        <v>0.25</v>
      </c>
    </row>
    <row r="150" spans="1:35" x14ac:dyDescent="0.25">
      <c r="A150" s="19">
        <v>149</v>
      </c>
      <c r="B150" s="19" t="s">
        <v>33</v>
      </c>
      <c r="C150" s="19" t="s">
        <v>1167</v>
      </c>
      <c r="D150" s="20">
        <v>45505</v>
      </c>
      <c r="E150" s="21" t="s">
        <v>35</v>
      </c>
      <c r="F150" s="19" t="s">
        <v>1168</v>
      </c>
      <c r="G150" s="22">
        <v>45529</v>
      </c>
      <c r="H150" s="22">
        <v>45893</v>
      </c>
      <c r="I150" s="23" t="s">
        <v>1169</v>
      </c>
      <c r="J150" s="24">
        <v>3720363258269</v>
      </c>
      <c r="K150" s="23" t="s">
        <v>292</v>
      </c>
      <c r="L150" s="19" t="s">
        <v>1170</v>
      </c>
      <c r="M150" s="19" t="s">
        <v>1171</v>
      </c>
      <c r="N150" s="19" t="s">
        <v>1172</v>
      </c>
      <c r="O150" s="19" t="s">
        <v>1167</v>
      </c>
      <c r="P150" s="25" t="s">
        <v>61</v>
      </c>
      <c r="Q150" s="19" t="s">
        <v>144</v>
      </c>
      <c r="R150" s="19" t="s">
        <v>1173</v>
      </c>
      <c r="S150" s="22">
        <v>44071</v>
      </c>
      <c r="T150" s="22">
        <v>45905</v>
      </c>
      <c r="U150" s="26">
        <v>1365000</v>
      </c>
      <c r="V150" s="19">
        <v>25</v>
      </c>
      <c r="W150" s="27">
        <v>341250</v>
      </c>
      <c r="X150" s="27">
        <v>1023750</v>
      </c>
      <c r="Y150" s="28">
        <v>3.75</v>
      </c>
      <c r="Z150" s="27">
        <v>38390.625</v>
      </c>
      <c r="AA150" s="19"/>
      <c r="AB150" s="25" t="s">
        <v>45</v>
      </c>
      <c r="AC150" s="24">
        <v>1141070718</v>
      </c>
      <c r="AD150" s="29">
        <v>45565</v>
      </c>
      <c r="AE150" s="19" t="s">
        <v>46</v>
      </c>
      <c r="AF150" s="19">
        <v>5</v>
      </c>
      <c r="AG150" s="30" t="s">
        <v>1168</v>
      </c>
      <c r="AH150" s="31">
        <v>38391</v>
      </c>
      <c r="AI150" s="32">
        <v>-0.375</v>
      </c>
    </row>
    <row r="151" spans="1:35" x14ac:dyDescent="0.25">
      <c r="A151" s="19">
        <v>150</v>
      </c>
      <c r="B151" s="19" t="s">
        <v>33</v>
      </c>
      <c r="C151" s="19" t="s">
        <v>1174</v>
      </c>
      <c r="D151" s="20">
        <v>45505</v>
      </c>
      <c r="E151" s="21" t="s">
        <v>35</v>
      </c>
      <c r="F151" s="19" t="s">
        <v>1175</v>
      </c>
      <c r="G151" s="22">
        <v>45535</v>
      </c>
      <c r="H151" s="22">
        <v>45899</v>
      </c>
      <c r="I151" s="23" t="s">
        <v>1176</v>
      </c>
      <c r="J151" s="24">
        <v>3630218846677</v>
      </c>
      <c r="K151" s="23" t="s">
        <v>292</v>
      </c>
      <c r="L151" s="19" t="s">
        <v>1177</v>
      </c>
      <c r="M151" s="19" t="s">
        <v>1178</v>
      </c>
      <c r="N151" s="19" t="s">
        <v>1179</v>
      </c>
      <c r="O151" s="19" t="s">
        <v>1174</v>
      </c>
      <c r="P151" s="25" t="s">
        <v>61</v>
      </c>
      <c r="Q151" s="19" t="s">
        <v>1180</v>
      </c>
      <c r="R151" s="19" t="s">
        <v>1181</v>
      </c>
      <c r="S151" s="22">
        <v>43347</v>
      </c>
      <c r="T151" s="22">
        <v>45905</v>
      </c>
      <c r="U151" s="26">
        <v>1234000</v>
      </c>
      <c r="V151" s="19">
        <v>35</v>
      </c>
      <c r="W151" s="27">
        <v>431900</v>
      </c>
      <c r="X151" s="27">
        <v>802100</v>
      </c>
      <c r="Y151" s="28">
        <v>3.75</v>
      </c>
      <c r="Z151" s="27">
        <v>30078.75</v>
      </c>
      <c r="AA151" s="19"/>
      <c r="AB151" s="25" t="s">
        <v>45</v>
      </c>
      <c r="AC151" s="24">
        <v>1141070718</v>
      </c>
      <c r="AD151" s="29">
        <v>45565</v>
      </c>
      <c r="AE151" s="19" t="s">
        <v>46</v>
      </c>
      <c r="AF151" s="19">
        <v>67</v>
      </c>
      <c r="AG151" s="30" t="s">
        <v>1175</v>
      </c>
      <c r="AH151" s="31">
        <v>30079</v>
      </c>
      <c r="AI151" s="32">
        <v>-0.25</v>
      </c>
    </row>
    <row r="152" spans="1:35" x14ac:dyDescent="0.25">
      <c r="A152" s="19">
        <v>151</v>
      </c>
      <c r="B152" s="19" t="s">
        <v>33</v>
      </c>
      <c r="C152" s="19" t="s">
        <v>1182</v>
      </c>
      <c r="D152" s="20">
        <v>45505</v>
      </c>
      <c r="E152" s="21" t="s">
        <v>35</v>
      </c>
      <c r="F152" s="19" t="s">
        <v>1183</v>
      </c>
      <c r="G152" s="22">
        <v>45509</v>
      </c>
      <c r="H152" s="22">
        <v>45873</v>
      </c>
      <c r="I152" s="23" t="s">
        <v>1184</v>
      </c>
      <c r="J152" s="24">
        <v>3310038715535</v>
      </c>
      <c r="K152" s="23" t="s">
        <v>1185</v>
      </c>
      <c r="L152" s="19" t="s">
        <v>1186</v>
      </c>
      <c r="M152" s="19" t="s">
        <v>1187</v>
      </c>
      <c r="N152" s="19" t="s">
        <v>1188</v>
      </c>
      <c r="O152" s="19" t="s">
        <v>1182</v>
      </c>
      <c r="P152" s="25" t="s">
        <v>61</v>
      </c>
      <c r="Q152" s="19" t="s">
        <v>144</v>
      </c>
      <c r="R152" s="19" t="s">
        <v>1189</v>
      </c>
      <c r="S152" s="22">
        <v>43683</v>
      </c>
      <c r="T152" s="22">
        <v>46239</v>
      </c>
      <c r="U152" s="26">
        <v>6284000</v>
      </c>
      <c r="V152" s="19">
        <v>30</v>
      </c>
      <c r="W152" s="27">
        <v>1885200</v>
      </c>
      <c r="X152" s="27">
        <v>4398800</v>
      </c>
      <c r="Y152" s="28">
        <v>1.5</v>
      </c>
      <c r="Z152" s="27">
        <v>65982</v>
      </c>
      <c r="AA152" s="19"/>
      <c r="AB152" s="25" t="s">
        <v>45</v>
      </c>
      <c r="AC152" s="24">
        <v>1141070718</v>
      </c>
      <c r="AD152" s="29">
        <v>45565</v>
      </c>
      <c r="AE152" s="19" t="s">
        <v>46</v>
      </c>
      <c r="AF152" s="19">
        <v>5</v>
      </c>
      <c r="AG152" s="30" t="s">
        <v>1183</v>
      </c>
      <c r="AH152" s="31">
        <v>65982</v>
      </c>
      <c r="AI152" s="32">
        <v>0</v>
      </c>
    </row>
    <row r="153" spans="1:35" x14ac:dyDescent="0.25">
      <c r="A153" s="19">
        <v>152</v>
      </c>
      <c r="B153" s="19" t="s">
        <v>33</v>
      </c>
      <c r="C153" s="19" t="s">
        <v>1190</v>
      </c>
      <c r="D153" s="20">
        <v>45505</v>
      </c>
      <c r="E153" s="21" t="s">
        <v>35</v>
      </c>
      <c r="F153" s="19" t="s">
        <v>1191</v>
      </c>
      <c r="G153" s="22">
        <v>45531</v>
      </c>
      <c r="H153" s="22">
        <v>45895</v>
      </c>
      <c r="I153" s="23" t="s">
        <v>1192</v>
      </c>
      <c r="J153" s="24">
        <v>3740595020141</v>
      </c>
      <c r="K153" s="23" t="s">
        <v>687</v>
      </c>
      <c r="L153" s="19" t="s">
        <v>1193</v>
      </c>
      <c r="M153" s="19" t="s">
        <v>1194</v>
      </c>
      <c r="N153" s="19" t="s">
        <v>1195</v>
      </c>
      <c r="O153" s="19" t="s">
        <v>1190</v>
      </c>
      <c r="P153" s="25" t="s">
        <v>42</v>
      </c>
      <c r="Q153" s="19" t="s">
        <v>1196</v>
      </c>
      <c r="R153" s="19" t="s">
        <v>1197</v>
      </c>
      <c r="S153" s="22">
        <v>43707</v>
      </c>
      <c r="T153" s="22">
        <v>45905</v>
      </c>
      <c r="U153" s="26">
        <v>1238000</v>
      </c>
      <c r="V153" s="19">
        <v>30</v>
      </c>
      <c r="W153" s="27">
        <v>371400</v>
      </c>
      <c r="X153" s="27">
        <v>866600</v>
      </c>
      <c r="Y153" s="28">
        <v>3.75</v>
      </c>
      <c r="Z153" s="27">
        <v>32497.5</v>
      </c>
      <c r="AA153" s="19"/>
      <c r="AB153" s="25" t="s">
        <v>45</v>
      </c>
      <c r="AC153" s="24">
        <v>1141070718</v>
      </c>
      <c r="AD153" s="29">
        <v>45565</v>
      </c>
      <c r="AE153" s="19" t="s">
        <v>46</v>
      </c>
      <c r="AF153" s="19">
        <v>36</v>
      </c>
      <c r="AG153" s="30" t="s">
        <v>1191</v>
      </c>
      <c r="AH153" s="31">
        <v>32498</v>
      </c>
      <c r="AI153" s="32">
        <v>-0.5</v>
      </c>
    </row>
    <row r="154" spans="1:35" x14ac:dyDescent="0.25">
      <c r="A154" s="19">
        <v>153</v>
      </c>
      <c r="B154" s="19" t="s">
        <v>33</v>
      </c>
      <c r="C154" s="19" t="s">
        <v>1198</v>
      </c>
      <c r="D154" s="20">
        <v>45505</v>
      </c>
      <c r="E154" s="21" t="s">
        <v>35</v>
      </c>
      <c r="F154" s="19" t="s">
        <v>1199</v>
      </c>
      <c r="G154" s="22">
        <v>45532</v>
      </c>
      <c r="H154" s="22">
        <v>45896</v>
      </c>
      <c r="I154" s="23" t="s">
        <v>1200</v>
      </c>
      <c r="J154" s="24">
        <v>3520122882763</v>
      </c>
      <c r="K154" s="23" t="s">
        <v>292</v>
      </c>
      <c r="L154" s="19" t="s">
        <v>1201</v>
      </c>
      <c r="M154" s="19" t="s">
        <v>1202</v>
      </c>
      <c r="N154" s="19" t="s">
        <v>1203</v>
      </c>
      <c r="O154" s="19" t="s">
        <v>1198</v>
      </c>
      <c r="P154" s="25" t="s">
        <v>61</v>
      </c>
      <c r="Q154" s="19" t="s">
        <v>79</v>
      </c>
      <c r="R154" s="19" t="s">
        <v>1204</v>
      </c>
      <c r="S154" s="22">
        <v>43707</v>
      </c>
      <c r="T154" s="22">
        <v>45905</v>
      </c>
      <c r="U154" s="26">
        <v>1540000</v>
      </c>
      <c r="V154" s="19">
        <v>30</v>
      </c>
      <c r="W154" s="27">
        <v>462000</v>
      </c>
      <c r="X154" s="27">
        <v>1078000</v>
      </c>
      <c r="Y154" s="28">
        <v>3.75</v>
      </c>
      <c r="Z154" s="27">
        <v>40425</v>
      </c>
      <c r="AA154" s="19"/>
      <c r="AB154" s="25" t="s">
        <v>45</v>
      </c>
      <c r="AC154" s="24">
        <v>1141070718</v>
      </c>
      <c r="AD154" s="29">
        <v>45565</v>
      </c>
      <c r="AE154" s="19" t="s">
        <v>46</v>
      </c>
      <c r="AF154" s="19">
        <v>5</v>
      </c>
      <c r="AG154" s="30" t="s">
        <v>1199</v>
      </c>
      <c r="AH154" s="31">
        <v>40425</v>
      </c>
      <c r="AI154" s="32">
        <v>0</v>
      </c>
    </row>
    <row r="155" spans="1:35" x14ac:dyDescent="0.25">
      <c r="A155" s="19">
        <v>154</v>
      </c>
      <c r="B155" s="19" t="s">
        <v>33</v>
      </c>
      <c r="C155" s="19" t="s">
        <v>1205</v>
      </c>
      <c r="D155" s="20">
        <v>45505</v>
      </c>
      <c r="E155" s="21" t="s">
        <v>35</v>
      </c>
      <c r="F155" s="19" t="s">
        <v>1206</v>
      </c>
      <c r="G155" s="22">
        <v>45532</v>
      </c>
      <c r="H155" s="22">
        <v>45896</v>
      </c>
      <c r="I155" s="23" t="s">
        <v>1207</v>
      </c>
      <c r="J155" s="24">
        <v>3520202288825</v>
      </c>
      <c r="K155" s="23" t="s">
        <v>440</v>
      </c>
      <c r="L155" s="19" t="s">
        <v>1208</v>
      </c>
      <c r="M155" s="19" t="s">
        <v>1209</v>
      </c>
      <c r="N155" s="19" t="s">
        <v>1210</v>
      </c>
      <c r="O155" s="19" t="s">
        <v>1205</v>
      </c>
      <c r="P155" s="25" t="s">
        <v>61</v>
      </c>
      <c r="Q155" s="19" t="s">
        <v>1211</v>
      </c>
      <c r="R155" s="19" t="s">
        <v>1212</v>
      </c>
      <c r="S155" s="22">
        <v>43706</v>
      </c>
      <c r="T155" s="22">
        <v>46270</v>
      </c>
      <c r="U155" s="26">
        <v>3183000</v>
      </c>
      <c r="V155" s="19">
        <v>30</v>
      </c>
      <c r="W155" s="27">
        <v>954900</v>
      </c>
      <c r="X155" s="27">
        <v>2228100</v>
      </c>
      <c r="Y155" s="28">
        <v>3.75</v>
      </c>
      <c r="Z155" s="27">
        <v>83553.75</v>
      </c>
      <c r="AA155" s="19"/>
      <c r="AB155" s="25" t="s">
        <v>45</v>
      </c>
      <c r="AC155" s="24">
        <v>1141070718</v>
      </c>
      <c r="AD155" s="29">
        <v>45565</v>
      </c>
      <c r="AE155" s="19" t="s">
        <v>46</v>
      </c>
      <c r="AF155" s="19">
        <v>5</v>
      </c>
      <c r="AG155" s="30" t="s">
        <v>1206</v>
      </c>
      <c r="AH155" s="31">
        <v>83554</v>
      </c>
      <c r="AI155" s="32">
        <v>-0.25</v>
      </c>
    </row>
    <row r="156" spans="1:35" x14ac:dyDescent="0.25">
      <c r="A156" s="19">
        <v>155</v>
      </c>
      <c r="B156" s="19" t="s">
        <v>33</v>
      </c>
      <c r="C156" s="19" t="s">
        <v>1213</v>
      </c>
      <c r="D156" s="20">
        <v>45505</v>
      </c>
      <c r="E156" s="21" t="s">
        <v>35</v>
      </c>
      <c r="F156" s="19" t="s">
        <v>1214</v>
      </c>
      <c r="G156" s="22">
        <v>45534</v>
      </c>
      <c r="H156" s="22">
        <v>45898</v>
      </c>
      <c r="I156" s="23" t="s">
        <v>1215</v>
      </c>
      <c r="J156" s="24">
        <v>3520269285727</v>
      </c>
      <c r="K156" s="23" t="s">
        <v>749</v>
      </c>
      <c r="L156" s="19" t="s">
        <v>1216</v>
      </c>
      <c r="M156" s="19" t="s">
        <v>1217</v>
      </c>
      <c r="N156" s="19" t="s">
        <v>1218</v>
      </c>
      <c r="O156" s="19" t="s">
        <v>1213</v>
      </c>
      <c r="P156" s="25" t="s">
        <v>61</v>
      </c>
      <c r="Q156" s="19" t="s">
        <v>79</v>
      </c>
      <c r="R156" s="19" t="s">
        <v>1219</v>
      </c>
      <c r="S156" s="22">
        <v>43710</v>
      </c>
      <c r="T156" s="22">
        <v>46636</v>
      </c>
      <c r="U156" s="26">
        <v>2700000</v>
      </c>
      <c r="V156" s="19">
        <v>30</v>
      </c>
      <c r="W156" s="27">
        <v>810000</v>
      </c>
      <c r="X156" s="27">
        <v>1890000</v>
      </c>
      <c r="Y156" s="28">
        <v>3.3</v>
      </c>
      <c r="Z156" s="27">
        <v>62370</v>
      </c>
      <c r="AA156" s="19"/>
      <c r="AB156" s="25" t="s">
        <v>45</v>
      </c>
      <c r="AC156" s="24">
        <v>1141070718</v>
      </c>
      <c r="AD156" s="29">
        <v>45565</v>
      </c>
      <c r="AE156" s="19" t="s">
        <v>46</v>
      </c>
      <c r="AF156" s="19">
        <v>0</v>
      </c>
      <c r="AG156" s="30" t="s">
        <v>1214</v>
      </c>
      <c r="AH156" s="31">
        <v>62370</v>
      </c>
      <c r="AI156" s="32">
        <v>0</v>
      </c>
    </row>
    <row r="157" spans="1:35" x14ac:dyDescent="0.25">
      <c r="A157" s="19">
        <v>156</v>
      </c>
      <c r="B157" s="19" t="s">
        <v>33</v>
      </c>
      <c r="C157" s="19" t="s">
        <v>1220</v>
      </c>
      <c r="D157" s="20">
        <v>45505</v>
      </c>
      <c r="E157" s="21" t="s">
        <v>35</v>
      </c>
      <c r="F157" s="19" t="s">
        <v>1221</v>
      </c>
      <c r="G157" s="22">
        <v>45529</v>
      </c>
      <c r="H157" s="22">
        <v>45893</v>
      </c>
      <c r="I157" s="23" t="s">
        <v>1222</v>
      </c>
      <c r="J157" s="24" t="s">
        <v>1223</v>
      </c>
      <c r="K157" s="23" t="s">
        <v>1224</v>
      </c>
      <c r="L157" s="19" t="s">
        <v>1225</v>
      </c>
      <c r="M157" s="19" t="s">
        <v>1226</v>
      </c>
      <c r="N157" s="19" t="s">
        <v>1227</v>
      </c>
      <c r="O157" s="19" t="s">
        <v>1220</v>
      </c>
      <c r="P157" s="25" t="s">
        <v>42</v>
      </c>
      <c r="Q157" s="19" t="s">
        <v>71</v>
      </c>
      <c r="R157" s="19" t="s">
        <v>1228</v>
      </c>
      <c r="S157" s="22">
        <v>44046</v>
      </c>
      <c r="T157" s="22">
        <v>45874</v>
      </c>
      <c r="U157" s="26">
        <v>1309000</v>
      </c>
      <c r="V157" s="19">
        <v>25</v>
      </c>
      <c r="W157" s="27">
        <v>327250</v>
      </c>
      <c r="X157" s="27">
        <v>981750</v>
      </c>
      <c r="Y157" s="28">
        <v>3.5</v>
      </c>
      <c r="Z157" s="27">
        <v>34361.25</v>
      </c>
      <c r="AA157" s="19"/>
      <c r="AB157" s="25" t="s">
        <v>45</v>
      </c>
      <c r="AC157" s="24">
        <v>1141070718</v>
      </c>
      <c r="AD157" s="29">
        <v>45565</v>
      </c>
      <c r="AE157" s="19" t="s">
        <v>46</v>
      </c>
      <c r="AF157" s="19">
        <v>5</v>
      </c>
      <c r="AG157" s="30" t="s">
        <v>1221</v>
      </c>
      <c r="AH157" s="31">
        <v>34361</v>
      </c>
      <c r="AI157" s="32">
        <v>0.25</v>
      </c>
    </row>
    <row r="158" spans="1:35" x14ac:dyDescent="0.25">
      <c r="A158" s="19">
        <v>157</v>
      </c>
      <c r="B158" s="19" t="s">
        <v>33</v>
      </c>
      <c r="C158" s="19" t="s">
        <v>1229</v>
      </c>
      <c r="D158" s="20">
        <v>45505</v>
      </c>
      <c r="E158" s="21" t="s">
        <v>35</v>
      </c>
      <c r="F158" s="19" t="s">
        <v>1230</v>
      </c>
      <c r="G158" s="22">
        <v>45508</v>
      </c>
      <c r="H158" s="22">
        <v>45872</v>
      </c>
      <c r="I158" s="23" t="s">
        <v>1231</v>
      </c>
      <c r="J158" s="24">
        <v>3630224373387</v>
      </c>
      <c r="K158" s="23" t="s">
        <v>704</v>
      </c>
      <c r="L158" s="19" t="s">
        <v>1232</v>
      </c>
      <c r="M158" s="19" t="s">
        <v>1233</v>
      </c>
      <c r="N158" s="19" t="s">
        <v>1234</v>
      </c>
      <c r="O158" s="19" t="s">
        <v>1229</v>
      </c>
      <c r="P158" s="25" t="s">
        <v>61</v>
      </c>
      <c r="Q158" s="19" t="s">
        <v>96</v>
      </c>
      <c r="R158" s="19" t="s">
        <v>1235</v>
      </c>
      <c r="S158" s="22">
        <v>44050</v>
      </c>
      <c r="T158" s="22">
        <v>45874</v>
      </c>
      <c r="U158" s="26">
        <v>2587500</v>
      </c>
      <c r="V158" s="19">
        <v>25</v>
      </c>
      <c r="W158" s="27">
        <v>646875</v>
      </c>
      <c r="X158" s="27">
        <v>1940625</v>
      </c>
      <c r="Y158" s="28">
        <v>3.3</v>
      </c>
      <c r="Z158" s="27">
        <v>64040.625</v>
      </c>
      <c r="AA158" s="19"/>
      <c r="AB158" s="25" t="s">
        <v>45</v>
      </c>
      <c r="AC158" s="24">
        <v>1141070718</v>
      </c>
      <c r="AD158" s="29">
        <v>45565</v>
      </c>
      <c r="AE158" s="19" t="s">
        <v>46</v>
      </c>
      <c r="AF158" s="19">
        <v>97</v>
      </c>
      <c r="AG158" s="33" t="s">
        <v>1230</v>
      </c>
      <c r="AH158" s="31">
        <v>64040.625</v>
      </c>
      <c r="AI158" s="32">
        <f>Z158-AH158</f>
        <v>0</v>
      </c>
    </row>
    <row r="159" spans="1:35" x14ac:dyDescent="0.25">
      <c r="A159" s="19">
        <v>158</v>
      </c>
      <c r="B159" s="19" t="s">
        <v>33</v>
      </c>
      <c r="C159" s="19" t="s">
        <v>1236</v>
      </c>
      <c r="D159" s="20">
        <v>45505</v>
      </c>
      <c r="E159" s="21" t="s">
        <v>35</v>
      </c>
      <c r="F159" s="19" t="s">
        <v>1237</v>
      </c>
      <c r="G159" s="22">
        <v>45536</v>
      </c>
      <c r="H159" s="22">
        <v>45900</v>
      </c>
      <c r="I159" s="23" t="s">
        <v>1238</v>
      </c>
      <c r="J159" s="24">
        <v>3520231472681</v>
      </c>
      <c r="K159" s="23" t="s">
        <v>101</v>
      </c>
      <c r="L159" s="19" t="s">
        <v>1239</v>
      </c>
      <c r="M159" s="19" t="s">
        <v>1240</v>
      </c>
      <c r="N159" s="19" t="s">
        <v>1241</v>
      </c>
      <c r="O159" s="19" t="s">
        <v>1236</v>
      </c>
      <c r="P159" s="25" t="s">
        <v>61</v>
      </c>
      <c r="Q159" s="19" t="s">
        <v>79</v>
      </c>
      <c r="R159" s="19" t="s">
        <v>1242</v>
      </c>
      <c r="S159" s="22">
        <v>45173</v>
      </c>
      <c r="T159" s="22">
        <v>45905</v>
      </c>
      <c r="U159" s="26">
        <v>2935000</v>
      </c>
      <c r="V159" s="19">
        <v>10</v>
      </c>
      <c r="W159" s="27">
        <v>293500</v>
      </c>
      <c r="X159" s="27">
        <v>2641500</v>
      </c>
      <c r="Y159" s="28">
        <v>2</v>
      </c>
      <c r="Z159" s="27">
        <v>52830</v>
      </c>
      <c r="AA159" s="19"/>
      <c r="AB159" s="25" t="s">
        <v>45</v>
      </c>
      <c r="AC159" s="24">
        <v>1141070718</v>
      </c>
      <c r="AD159" s="29">
        <v>45565</v>
      </c>
      <c r="AE159" s="19" t="s">
        <v>46</v>
      </c>
      <c r="AF159" s="19">
        <v>0</v>
      </c>
      <c r="AG159" s="30" t="s">
        <v>1237</v>
      </c>
      <c r="AH159" s="31">
        <v>52830</v>
      </c>
      <c r="AI159" s="32">
        <v>0</v>
      </c>
    </row>
    <row r="160" spans="1:35" x14ac:dyDescent="0.25">
      <c r="A160" s="19">
        <v>159</v>
      </c>
      <c r="B160" s="19" t="s">
        <v>33</v>
      </c>
      <c r="C160" s="19" t="s">
        <v>1243</v>
      </c>
      <c r="D160" s="20">
        <v>45505</v>
      </c>
      <c r="E160" s="21" t="s">
        <v>35</v>
      </c>
      <c r="F160" s="19" t="s">
        <v>1244</v>
      </c>
      <c r="G160" s="22">
        <v>45528</v>
      </c>
      <c r="H160" s="22">
        <v>45892</v>
      </c>
      <c r="I160" s="23" t="s">
        <v>1245</v>
      </c>
      <c r="J160" s="24">
        <v>3630248679859</v>
      </c>
      <c r="K160" s="23" t="s">
        <v>1246</v>
      </c>
      <c r="L160" s="19" t="s">
        <v>1247</v>
      </c>
      <c r="M160" s="19" t="s">
        <v>1248</v>
      </c>
      <c r="N160" s="19" t="s">
        <v>1249</v>
      </c>
      <c r="O160" s="19" t="s">
        <v>1243</v>
      </c>
      <c r="P160" s="25" t="s">
        <v>61</v>
      </c>
      <c r="Q160" s="19" t="s">
        <v>96</v>
      </c>
      <c r="R160" s="19" t="s">
        <v>1250</v>
      </c>
      <c r="S160" s="22">
        <v>44434</v>
      </c>
      <c r="T160" s="22">
        <v>45905</v>
      </c>
      <c r="U160" s="26">
        <v>35000000</v>
      </c>
      <c r="V160" s="19">
        <v>20</v>
      </c>
      <c r="W160" s="27">
        <v>7000000</v>
      </c>
      <c r="X160" s="27">
        <v>28000000</v>
      </c>
      <c r="Y160" s="28">
        <v>1.5</v>
      </c>
      <c r="Z160" s="27">
        <v>420000</v>
      </c>
      <c r="AA160" s="19"/>
      <c r="AB160" s="25" t="s">
        <v>45</v>
      </c>
      <c r="AC160" s="24">
        <v>1141070718</v>
      </c>
      <c r="AD160" s="29">
        <v>45565</v>
      </c>
      <c r="AE160" s="19" t="s">
        <v>46</v>
      </c>
      <c r="AF160" s="19">
        <v>5</v>
      </c>
      <c r="AG160" s="30" t="s">
        <v>1244</v>
      </c>
      <c r="AH160" s="31">
        <v>420000</v>
      </c>
      <c r="AI160" s="32">
        <v>0</v>
      </c>
    </row>
    <row r="161" spans="1:35" x14ac:dyDescent="0.25">
      <c r="A161" s="19">
        <v>160</v>
      </c>
      <c r="B161" s="19" t="s">
        <v>33</v>
      </c>
      <c r="C161" s="19" t="s">
        <v>1251</v>
      </c>
      <c r="D161" s="20">
        <v>45474</v>
      </c>
      <c r="E161" s="21" t="s">
        <v>35</v>
      </c>
      <c r="F161" s="19" t="s">
        <v>1252</v>
      </c>
      <c r="G161" s="22">
        <v>45480</v>
      </c>
      <c r="H161" s="22">
        <v>45844</v>
      </c>
      <c r="I161" s="23" t="s">
        <v>1253</v>
      </c>
      <c r="J161" s="24">
        <v>3130169207067</v>
      </c>
      <c r="K161" s="23" t="s">
        <v>198</v>
      </c>
      <c r="L161" s="19" t="s">
        <v>1254</v>
      </c>
      <c r="M161" s="19" t="s">
        <v>1255</v>
      </c>
      <c r="N161" s="19" t="s">
        <v>1256</v>
      </c>
      <c r="O161" s="19" t="s">
        <v>1251</v>
      </c>
      <c r="P161" s="25" t="s">
        <v>61</v>
      </c>
      <c r="Q161" s="19" t="s">
        <v>144</v>
      </c>
      <c r="R161" s="19" t="s">
        <v>1257</v>
      </c>
      <c r="S161" s="22">
        <v>44790</v>
      </c>
      <c r="T161" s="22">
        <v>46636</v>
      </c>
      <c r="U161" s="26">
        <v>2219000</v>
      </c>
      <c r="V161" s="19">
        <v>15</v>
      </c>
      <c r="W161" s="27">
        <v>332850</v>
      </c>
      <c r="X161" s="27">
        <v>1886150</v>
      </c>
      <c r="Y161" s="28">
        <v>2.5</v>
      </c>
      <c r="Z161" s="27">
        <v>47153.75</v>
      </c>
      <c r="AA161" s="19"/>
      <c r="AB161" s="25" t="s">
        <v>45</v>
      </c>
      <c r="AC161" s="24">
        <v>1141070718</v>
      </c>
      <c r="AD161" s="29">
        <v>45565</v>
      </c>
      <c r="AE161" s="19" t="s">
        <v>46</v>
      </c>
      <c r="AF161" s="19">
        <v>5</v>
      </c>
      <c r="AG161" s="30" t="s">
        <v>1252</v>
      </c>
      <c r="AH161" s="31">
        <v>47154</v>
      </c>
      <c r="AI161" s="32">
        <v>-0.25</v>
      </c>
    </row>
    <row r="162" spans="1:35" x14ac:dyDescent="0.25">
      <c r="A162" s="19">
        <v>161</v>
      </c>
      <c r="B162" s="19" t="s">
        <v>33</v>
      </c>
      <c r="C162" s="19" t="s">
        <v>1258</v>
      </c>
      <c r="D162" s="20">
        <v>45474</v>
      </c>
      <c r="E162" s="21" t="s">
        <v>35</v>
      </c>
      <c r="F162" s="19" t="s">
        <v>1259</v>
      </c>
      <c r="G162" s="22">
        <v>45500</v>
      </c>
      <c r="H162" s="22">
        <v>45864</v>
      </c>
      <c r="I162" s="23" t="s">
        <v>1260</v>
      </c>
      <c r="J162" s="24">
        <v>3310204297869</v>
      </c>
      <c r="K162" s="23" t="s">
        <v>132</v>
      </c>
      <c r="L162" s="19" t="s">
        <v>1261</v>
      </c>
      <c r="M162" s="19" t="s">
        <v>1262</v>
      </c>
      <c r="N162" s="19" t="s">
        <v>1263</v>
      </c>
      <c r="O162" s="19" t="s">
        <v>1258</v>
      </c>
      <c r="P162" s="25" t="s">
        <v>61</v>
      </c>
      <c r="Q162" s="19" t="s">
        <v>1264</v>
      </c>
      <c r="R162" s="19" t="s">
        <v>1265</v>
      </c>
      <c r="S162" s="22">
        <v>44790</v>
      </c>
      <c r="T162" s="22">
        <v>45905</v>
      </c>
      <c r="U162" s="26">
        <v>1747000</v>
      </c>
      <c r="V162" s="19">
        <v>15</v>
      </c>
      <c r="W162" s="27">
        <v>262050</v>
      </c>
      <c r="X162" s="27">
        <v>1484950</v>
      </c>
      <c r="Y162" s="28">
        <v>2</v>
      </c>
      <c r="Z162" s="27">
        <v>29699</v>
      </c>
      <c r="AA162" s="19"/>
      <c r="AB162" s="25" t="s">
        <v>45</v>
      </c>
      <c r="AC162" s="24">
        <v>1141070718</v>
      </c>
      <c r="AD162" s="29">
        <v>45565</v>
      </c>
      <c r="AE162" s="19" t="s">
        <v>46</v>
      </c>
      <c r="AF162" s="19">
        <v>5</v>
      </c>
      <c r="AG162" s="30" t="s">
        <v>1259</v>
      </c>
      <c r="AH162" s="31">
        <v>29699</v>
      </c>
      <c r="AI162" s="32">
        <v>0</v>
      </c>
    </row>
    <row r="163" spans="1:35" x14ac:dyDescent="0.25">
      <c r="A163" s="19">
        <v>162</v>
      </c>
      <c r="B163" s="19" t="s">
        <v>33</v>
      </c>
      <c r="C163" s="19" t="s">
        <v>1266</v>
      </c>
      <c r="D163" s="20">
        <v>45474</v>
      </c>
      <c r="E163" s="21" t="s">
        <v>35</v>
      </c>
      <c r="F163" s="19" t="s">
        <v>1267</v>
      </c>
      <c r="G163" s="22">
        <v>45501</v>
      </c>
      <c r="H163" s="22">
        <v>45865</v>
      </c>
      <c r="I163" s="23" t="s">
        <v>1268</v>
      </c>
      <c r="J163" s="24">
        <v>3520217147315</v>
      </c>
      <c r="K163" s="23" t="s">
        <v>292</v>
      </c>
      <c r="L163" s="19" t="s">
        <v>1269</v>
      </c>
      <c r="M163" s="19" t="s">
        <v>1270</v>
      </c>
      <c r="N163" s="19" t="s">
        <v>1271</v>
      </c>
      <c r="O163" s="19" t="s">
        <v>1266</v>
      </c>
      <c r="P163" s="25" t="s">
        <v>61</v>
      </c>
      <c r="Q163" s="19" t="s">
        <v>79</v>
      </c>
      <c r="R163" s="19" t="s">
        <v>1272</v>
      </c>
      <c r="S163" s="22">
        <v>44798</v>
      </c>
      <c r="T163" s="22">
        <v>45905</v>
      </c>
      <c r="U163" s="26">
        <v>2199000</v>
      </c>
      <c r="V163" s="19">
        <v>15</v>
      </c>
      <c r="W163" s="27">
        <v>329850</v>
      </c>
      <c r="X163" s="27">
        <v>1869150</v>
      </c>
      <c r="Y163" s="28">
        <v>2</v>
      </c>
      <c r="Z163" s="27">
        <v>37383</v>
      </c>
      <c r="AA163" s="19"/>
      <c r="AB163" s="25" t="s">
        <v>45</v>
      </c>
      <c r="AC163" s="24">
        <v>1141070718</v>
      </c>
      <c r="AD163" s="29">
        <v>45565</v>
      </c>
      <c r="AE163" s="19" t="s">
        <v>46</v>
      </c>
      <c r="AF163" s="19">
        <v>5</v>
      </c>
      <c r="AG163" s="30" t="s">
        <v>1267</v>
      </c>
      <c r="AH163" s="31">
        <v>37383</v>
      </c>
      <c r="AI163" s="32">
        <v>0</v>
      </c>
    </row>
    <row r="164" spans="1:35" x14ac:dyDescent="0.25">
      <c r="A164" s="19">
        <v>163</v>
      </c>
      <c r="B164" s="19" t="s">
        <v>33</v>
      </c>
      <c r="C164" s="19" t="s">
        <v>1273</v>
      </c>
      <c r="D164" s="20">
        <v>45444</v>
      </c>
      <c r="E164" s="21" t="s">
        <v>35</v>
      </c>
      <c r="F164" s="19" t="s">
        <v>1274</v>
      </c>
      <c r="G164" s="22">
        <v>45450</v>
      </c>
      <c r="H164" s="22">
        <v>45814</v>
      </c>
      <c r="I164" s="23" t="s">
        <v>1275</v>
      </c>
      <c r="J164" s="24" t="s">
        <v>1276</v>
      </c>
      <c r="K164" s="23" t="s">
        <v>1277</v>
      </c>
      <c r="L164" s="19" t="s">
        <v>1278</v>
      </c>
      <c r="M164" s="19" t="s">
        <v>1279</v>
      </c>
      <c r="N164" s="19" t="s">
        <v>1280</v>
      </c>
      <c r="O164" s="19" t="s">
        <v>1273</v>
      </c>
      <c r="P164" s="25" t="s">
        <v>61</v>
      </c>
      <c r="Q164" s="19" t="s">
        <v>144</v>
      </c>
      <c r="R164" s="19" t="s">
        <v>1281</v>
      </c>
      <c r="S164" s="22">
        <v>44789</v>
      </c>
      <c r="T164" s="22">
        <v>45905</v>
      </c>
      <c r="U164" s="26">
        <v>1306000</v>
      </c>
      <c r="V164" s="19">
        <v>15</v>
      </c>
      <c r="W164" s="27">
        <v>195900</v>
      </c>
      <c r="X164" s="27">
        <v>1110100</v>
      </c>
      <c r="Y164" s="28">
        <v>1.75</v>
      </c>
      <c r="Z164" s="27">
        <v>19426.750000000004</v>
      </c>
      <c r="AA164" s="19"/>
      <c r="AB164" s="25" t="s">
        <v>45</v>
      </c>
      <c r="AC164" s="24">
        <v>1141070718</v>
      </c>
      <c r="AD164" s="29">
        <v>45565</v>
      </c>
      <c r="AE164" s="19" t="s">
        <v>46</v>
      </c>
      <c r="AF164" s="19">
        <v>5</v>
      </c>
      <c r="AG164" s="30" t="s">
        <v>1274</v>
      </c>
      <c r="AH164" s="31">
        <v>19427</v>
      </c>
      <c r="AI164" s="32">
        <v>-0.24999999999636202</v>
      </c>
    </row>
    <row r="165" spans="1:35" x14ac:dyDescent="0.25">
      <c r="A165" s="19">
        <v>164</v>
      </c>
      <c r="B165" s="19" t="s">
        <v>33</v>
      </c>
      <c r="C165" s="19" t="s">
        <v>1282</v>
      </c>
      <c r="D165" s="20">
        <v>45444</v>
      </c>
      <c r="E165" s="21" t="s">
        <v>35</v>
      </c>
      <c r="F165" s="19" t="s">
        <v>1283</v>
      </c>
      <c r="G165" s="22">
        <v>45473</v>
      </c>
      <c r="H165" s="22">
        <v>45837</v>
      </c>
      <c r="I165" s="23" t="s">
        <v>1284</v>
      </c>
      <c r="J165" s="24" t="s">
        <v>1285</v>
      </c>
      <c r="K165" s="23" t="s">
        <v>214</v>
      </c>
      <c r="L165" s="19" t="s">
        <v>1286</v>
      </c>
      <c r="M165" s="19" t="s">
        <v>1287</v>
      </c>
      <c r="N165" s="19" t="s">
        <v>1288</v>
      </c>
      <c r="O165" s="19" t="s">
        <v>1282</v>
      </c>
      <c r="P165" s="25" t="s">
        <v>61</v>
      </c>
      <c r="Q165" s="19" t="s">
        <v>96</v>
      </c>
      <c r="R165" s="19" t="s">
        <v>1289</v>
      </c>
      <c r="S165" s="22">
        <v>44028</v>
      </c>
      <c r="T165" s="22">
        <v>45874</v>
      </c>
      <c r="U165" s="26">
        <v>1865000</v>
      </c>
      <c r="V165" s="19">
        <v>25</v>
      </c>
      <c r="W165" s="27">
        <v>466250</v>
      </c>
      <c r="X165" s="27">
        <v>1398750</v>
      </c>
      <c r="Y165" s="28">
        <v>3.75</v>
      </c>
      <c r="Z165" s="27">
        <v>52453.125</v>
      </c>
      <c r="AA165" s="19"/>
      <c r="AB165" s="25" t="s">
        <v>45</v>
      </c>
      <c r="AC165" s="24">
        <v>1141070718</v>
      </c>
      <c r="AD165" s="29">
        <v>45565</v>
      </c>
      <c r="AE165" s="19" t="s">
        <v>46</v>
      </c>
      <c r="AF165" s="19">
        <v>5</v>
      </c>
      <c r="AG165" s="30" t="s">
        <v>1283</v>
      </c>
      <c r="AH165" s="31">
        <v>52453</v>
      </c>
      <c r="AI165" s="32">
        <v>0.125</v>
      </c>
    </row>
    <row r="166" spans="1:35" x14ac:dyDescent="0.25">
      <c r="A166" s="19">
        <v>165</v>
      </c>
      <c r="B166" s="19" t="s">
        <v>33</v>
      </c>
      <c r="C166" s="19" t="s">
        <v>1290</v>
      </c>
      <c r="D166" s="20">
        <v>45444</v>
      </c>
      <c r="E166" s="21" t="s">
        <v>35</v>
      </c>
      <c r="F166" s="19" t="s">
        <v>1291</v>
      </c>
      <c r="G166" s="22">
        <v>45451</v>
      </c>
      <c r="H166" s="22">
        <v>45815</v>
      </c>
      <c r="I166" s="23" t="s">
        <v>1292</v>
      </c>
      <c r="J166" s="24" t="s">
        <v>1293</v>
      </c>
      <c r="K166" s="23" t="s">
        <v>132</v>
      </c>
      <c r="L166" s="19" t="s">
        <v>1294</v>
      </c>
      <c r="M166" s="19" t="s">
        <v>1295</v>
      </c>
      <c r="N166" s="19" t="s">
        <v>1296</v>
      </c>
      <c r="O166" s="19" t="s">
        <v>1290</v>
      </c>
      <c r="P166" s="25" t="s">
        <v>61</v>
      </c>
      <c r="Q166" s="19" t="s">
        <v>144</v>
      </c>
      <c r="R166" s="19" t="s">
        <v>1297</v>
      </c>
      <c r="S166" s="22">
        <v>44789</v>
      </c>
      <c r="T166" s="22">
        <v>46636</v>
      </c>
      <c r="U166" s="26">
        <v>1306000</v>
      </c>
      <c r="V166" s="19">
        <v>15</v>
      </c>
      <c r="W166" s="27">
        <v>195900</v>
      </c>
      <c r="X166" s="27">
        <v>1110100</v>
      </c>
      <c r="Y166" s="28">
        <v>1.75</v>
      </c>
      <c r="Z166" s="27">
        <v>19426.750000000004</v>
      </c>
      <c r="AA166" s="19"/>
      <c r="AB166" s="25" t="s">
        <v>45</v>
      </c>
      <c r="AC166" s="24">
        <v>1141070718</v>
      </c>
      <c r="AD166" s="29">
        <v>45565</v>
      </c>
      <c r="AE166" s="19" t="s">
        <v>46</v>
      </c>
      <c r="AF166" s="19">
        <v>5</v>
      </c>
      <c r="AG166" s="30" t="s">
        <v>1291</v>
      </c>
      <c r="AH166" s="31">
        <v>19427</v>
      </c>
      <c r="AI166" s="32">
        <v>-0.24999999999636202</v>
      </c>
    </row>
    <row r="167" spans="1:35" x14ac:dyDescent="0.25">
      <c r="A167" s="19">
        <v>166</v>
      </c>
      <c r="B167" s="19" t="s">
        <v>33</v>
      </c>
      <c r="C167" s="19" t="s">
        <v>1298</v>
      </c>
      <c r="D167" s="20">
        <v>45383</v>
      </c>
      <c r="E167" s="21" t="s">
        <v>35</v>
      </c>
      <c r="F167" s="19" t="s">
        <v>1299</v>
      </c>
      <c r="G167" s="22">
        <v>45387</v>
      </c>
      <c r="H167" s="22">
        <v>45751</v>
      </c>
      <c r="I167" s="23" t="s">
        <v>1300</v>
      </c>
      <c r="J167" s="24" t="s">
        <v>1301</v>
      </c>
      <c r="K167" s="23" t="s">
        <v>292</v>
      </c>
      <c r="L167" s="19" t="s">
        <v>1302</v>
      </c>
      <c r="M167" s="19" t="s">
        <v>1303</v>
      </c>
      <c r="N167" s="19" t="s">
        <v>1304</v>
      </c>
      <c r="O167" s="19" t="s">
        <v>1298</v>
      </c>
      <c r="P167" s="25" t="s">
        <v>61</v>
      </c>
      <c r="Q167" s="19" t="s">
        <v>144</v>
      </c>
      <c r="R167" s="19" t="s">
        <v>1305</v>
      </c>
      <c r="S167" s="22">
        <v>44817</v>
      </c>
      <c r="T167" s="22">
        <v>46636</v>
      </c>
      <c r="U167" s="26">
        <v>1975000</v>
      </c>
      <c r="V167" s="19">
        <v>15</v>
      </c>
      <c r="W167" s="27">
        <v>296250</v>
      </c>
      <c r="X167" s="27">
        <v>1678750</v>
      </c>
      <c r="Y167" s="28">
        <v>1.75</v>
      </c>
      <c r="Z167" s="27">
        <v>29378.125000000004</v>
      </c>
      <c r="AA167" s="19"/>
      <c r="AB167" s="25" t="s">
        <v>45</v>
      </c>
      <c r="AC167" s="24">
        <v>1141070718</v>
      </c>
      <c r="AD167" s="29">
        <v>45565</v>
      </c>
      <c r="AE167" s="19" t="s">
        <v>46</v>
      </c>
      <c r="AF167" s="19">
        <v>5</v>
      </c>
      <c r="AG167" s="30" t="s">
        <v>1299</v>
      </c>
      <c r="AH167" s="31">
        <v>29378</v>
      </c>
      <c r="AI167" s="32">
        <v>0.12500000000363798</v>
      </c>
    </row>
    <row r="168" spans="1:35" x14ac:dyDescent="0.25">
      <c r="A168" s="19">
        <v>167</v>
      </c>
      <c r="B168" s="19" t="s">
        <v>33</v>
      </c>
      <c r="C168" s="19" t="s">
        <v>1306</v>
      </c>
      <c r="D168" s="20">
        <v>45383</v>
      </c>
      <c r="E168" s="21" t="s">
        <v>35</v>
      </c>
      <c r="F168" s="19" t="s">
        <v>1307</v>
      </c>
      <c r="G168" s="22">
        <v>45407</v>
      </c>
      <c r="H168" s="22">
        <v>45771</v>
      </c>
      <c r="I168" s="23" t="s">
        <v>1308</v>
      </c>
      <c r="J168" s="24" t="s">
        <v>1309</v>
      </c>
      <c r="K168" s="23" t="s">
        <v>687</v>
      </c>
      <c r="L168" s="19" t="s">
        <v>1310</v>
      </c>
      <c r="M168" s="19" t="s">
        <v>1311</v>
      </c>
      <c r="N168" s="19" t="s">
        <v>1312</v>
      </c>
      <c r="O168" s="19" t="s">
        <v>1306</v>
      </c>
      <c r="P168" s="25" t="s">
        <v>61</v>
      </c>
      <c r="Q168" s="19" t="s">
        <v>144</v>
      </c>
      <c r="R168" s="19" t="s">
        <v>1313</v>
      </c>
      <c r="S168" s="22">
        <v>44789</v>
      </c>
      <c r="T168" s="22">
        <v>46636</v>
      </c>
      <c r="U168" s="26">
        <v>1145000</v>
      </c>
      <c r="V168" s="19">
        <v>15</v>
      </c>
      <c r="W168" s="27">
        <v>171750</v>
      </c>
      <c r="X168" s="27">
        <v>973250</v>
      </c>
      <c r="Y168" s="28">
        <v>1.75</v>
      </c>
      <c r="Z168" s="27">
        <v>17031.875</v>
      </c>
      <c r="AA168" s="19"/>
      <c r="AB168" s="25" t="s">
        <v>45</v>
      </c>
      <c r="AC168" s="24">
        <v>1141070718</v>
      </c>
      <c r="AD168" s="29">
        <v>45565</v>
      </c>
      <c r="AE168" s="19" t="s">
        <v>46</v>
      </c>
      <c r="AF168" s="19">
        <v>5</v>
      </c>
      <c r="AG168" s="30" t="s">
        <v>1307</v>
      </c>
      <c r="AH168" s="31">
        <v>17032</v>
      </c>
      <c r="AI168" s="32">
        <v>-0.125</v>
      </c>
    </row>
    <row r="169" spans="1:35" x14ac:dyDescent="0.25"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4">
        <v>7787250.6574999997</v>
      </c>
      <c r="AA169" s="33"/>
      <c r="AB169" s="33"/>
      <c r="AC169" s="33"/>
      <c r="AD169" s="33"/>
      <c r="AE169" s="33"/>
      <c r="AF169" s="33"/>
      <c r="AG169" s="33"/>
      <c r="AH169" s="40">
        <f>SUBTOTAL(9,AH2:AH168)</f>
        <v>7787262.625</v>
      </c>
      <c r="AI169" s="40">
        <f>SUBTOTAL(9,AI2:AI168)</f>
        <v>-11.967499999962456</v>
      </c>
    </row>
  </sheetData>
  <conditionalFormatting sqref="M2:N168">
    <cfRule type="duplicateValues" dxfId="12" priority="2" stopIfTrue="1"/>
    <cfRule type="duplicateValues" dxfId="11" priority="3" stopIfTrue="1"/>
    <cfRule type="duplicateValues" dxfId="10" priority="4" stopIfTrue="1"/>
  </conditionalFormatting>
  <conditionalFormatting sqref="O2:O168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670D-35A2-4497-9683-F88B6D89663A}">
  <dimension ref="A1:H168"/>
  <sheetViews>
    <sheetView tabSelected="1" topLeftCell="A3" workbookViewId="0">
      <selection activeCell="A5" sqref="A5"/>
    </sheetView>
  </sheetViews>
  <sheetFormatPr defaultRowHeight="15" x14ac:dyDescent="0.25"/>
  <cols>
    <col min="1" max="1" width="41.5703125" bestFit="1" customWidth="1"/>
    <col min="2" max="2" width="14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94.7109375" customWidth="1"/>
    <col min="7" max="7" width="87.85546875" customWidth="1"/>
    <col min="8" max="8" width="79.28515625" customWidth="1"/>
  </cols>
  <sheetData>
    <row r="1" spans="1:8" x14ac:dyDescent="0.25">
      <c r="A1" s="41" t="s">
        <v>1694</v>
      </c>
      <c r="B1" t="s">
        <v>1695</v>
      </c>
      <c r="D1" s="42" t="s">
        <v>1696</v>
      </c>
      <c r="E1" s="47" t="s">
        <v>1697</v>
      </c>
    </row>
    <row r="2" spans="1:8" ht="101.25" customHeight="1" x14ac:dyDescent="0.25">
      <c r="A2" s="30" t="s">
        <v>36</v>
      </c>
      <c r="B2" s="33" t="s">
        <v>1698</v>
      </c>
      <c r="C2" s="31">
        <v>20680</v>
      </c>
      <c r="D2" s="43">
        <f>ROUND(C2,0)</f>
        <v>20680</v>
      </c>
      <c r="E2" s="47" t="s">
        <v>1697</v>
      </c>
      <c r="F2" s="44" t="str">
        <f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5" t="str">
        <f>"('"&amp;E2&amp;"','"&amp;B2&amp;"','"&amp;D2&amp;"',(select max(to_number(i.premium_rcv_detail_code))+1
from ins_premium_det i),'"&amp;D2&amp;"','"&amp;D2&amp;"','02', '11000003','00','Request by Mr. Saqib Saleem 01-Sep-2024 allocation no 01Oct240101');"</f>
        <v>('01Oct240101','070000163779','20680',(select max(to_number(i.premium_rcv_detail_code))+1
from ins_premium_det i),'20680','20680','02', '11000003','00','Request by Mr. Saqib Saleem 01-Sep-2024 allocation no 01Oct240101');</v>
      </c>
      <c r="H2" s="46" t="str">
        <f>F2&amp;G2</f>
        <v>insert into ins_premium_det (premium_rcv_code,assorted_code, rec_amount,premium_rcv_detail_code,remaining_amt, payrec, mode_code,coinsurance_code,class_cd,it_remarks) values('01Oct240101','070000163779','20680',(select max(to_number(i.premium_rcv_detail_code))+1
from ins_premium_det i),'20680','20680','02', '11000003','00','Request by Mr. Saqib Saleem 01-Sep-2024 allocation no 01Oct240101');</v>
      </c>
    </row>
    <row r="3" spans="1:8" ht="105" x14ac:dyDescent="0.25">
      <c r="A3" s="30" t="s">
        <v>48</v>
      </c>
      <c r="B3" s="33" t="s">
        <v>1699</v>
      </c>
      <c r="C3" s="31">
        <v>20400</v>
      </c>
      <c r="D3" s="43">
        <f t="shared" ref="D3:D66" si="0">ROUND(C3,0)</f>
        <v>20400</v>
      </c>
      <c r="E3" s="47" t="s">
        <v>1697</v>
      </c>
      <c r="F3" s="44" t="str">
        <f t="shared" ref="F3:F66" si="1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" s="45" t="str">
        <f t="shared" ref="G3:G66" si="2">"('"&amp;E3&amp;"','"&amp;B3&amp;"','"&amp;D3&amp;"',(select max(to_number(i.premium_rcv_detail_code))+1
from ins_premium_det i),'"&amp;D3&amp;"','"&amp;D3&amp;"','02', '11000003','00','Request by Mr. Saqib Saleem 01-Sep-2024 allocation no 01Oct240101');"</f>
        <v>('01Oct240101','070000163781','20400',(select max(to_number(i.premium_rcv_detail_code))+1
from ins_premium_det i),'20400','20400','02', '11000003','00','Request by Mr. Saqib Saleem 01-Sep-2024 allocation no 01Oct240101');</v>
      </c>
      <c r="H3" s="46" t="str">
        <f t="shared" ref="H3:H66" si="3">F3&amp;G3</f>
        <v>insert into ins_premium_det (premium_rcv_code,assorted_code, rec_amount,premium_rcv_detail_code,remaining_amt, payrec, mode_code,coinsurance_code,class_cd,it_remarks) values('01Oct240101','070000163781','20400',(select max(to_number(i.premium_rcv_detail_code))+1
from ins_premium_det i),'20400','20400','02', '11000003','00','Request by Mr. Saqib Saleem 01-Sep-2024 allocation no 01Oct240101');</v>
      </c>
    </row>
    <row r="4" spans="1:8" ht="105" x14ac:dyDescent="0.25">
      <c r="A4" s="30" t="s">
        <v>56</v>
      </c>
      <c r="B4" s="33" t="s">
        <v>1700</v>
      </c>
      <c r="C4" s="31">
        <v>20400</v>
      </c>
      <c r="D4" s="43">
        <f t="shared" si="0"/>
        <v>20400</v>
      </c>
      <c r="E4" s="47" t="s">
        <v>1697</v>
      </c>
      <c r="F4" s="44" t="str">
        <f t="shared" si="1"/>
        <v>insert into ins_premium_det (premium_rcv_code,assorted_code, rec_amount,premium_rcv_detail_code,remaining_amt, payrec, mode_code,coinsurance_code,class_cd,it_remarks) values</v>
      </c>
      <c r="G4" s="45" t="str">
        <f t="shared" si="2"/>
        <v>('01Oct240101','070000163783','20400',(select max(to_number(i.premium_rcv_detail_code))+1
from ins_premium_det i),'20400','20400','02', '11000003','00','Request by Mr. Saqib Saleem 01-Sep-2024 allocation no 01Oct240101');</v>
      </c>
      <c r="H4" s="46" t="str">
        <f t="shared" si="3"/>
        <v>insert into ins_premium_det (premium_rcv_code,assorted_code, rec_amount,premium_rcv_detail_code,remaining_amt, payrec, mode_code,coinsurance_code,class_cd,it_remarks) values('01Oct240101','070000163783','20400',(select max(to_number(i.premium_rcv_detail_code))+1
from ins_premium_det i),'20400','20400','02', '11000003','00','Request by Mr. Saqib Saleem 01-Sep-2024 allocation no 01Oct240101');</v>
      </c>
    </row>
    <row r="5" spans="1:8" ht="105" x14ac:dyDescent="0.25">
      <c r="A5" s="30" t="s">
        <v>65</v>
      </c>
      <c r="B5" s="33" t="s">
        <v>1701</v>
      </c>
      <c r="C5" s="31">
        <v>18156</v>
      </c>
      <c r="D5" s="43">
        <f t="shared" si="0"/>
        <v>18156</v>
      </c>
      <c r="E5" s="47" t="s">
        <v>1697</v>
      </c>
      <c r="F5" s="44" t="str">
        <f t="shared" si="1"/>
        <v>insert into ins_premium_det (premium_rcv_code,assorted_code, rec_amount,premium_rcv_detail_code,remaining_amt, payrec, mode_code,coinsurance_code,class_cd,it_remarks) values</v>
      </c>
      <c r="G5" s="45" t="str">
        <f t="shared" si="2"/>
        <v>('01Oct240101','070000163784','18156',(select max(to_number(i.premium_rcv_detail_code))+1
from ins_premium_det i),'18156','18156','02', '11000003','00','Request by Mr. Saqib Saleem 01-Sep-2024 allocation no 01Oct240101');</v>
      </c>
      <c r="H5" s="46" t="str">
        <f t="shared" si="3"/>
        <v>insert into ins_premium_det (premium_rcv_code,assorted_code, rec_amount,premium_rcv_detail_code,remaining_amt, payrec, mode_code,coinsurance_code,class_cd,it_remarks) values('01Oct240101','070000163784','18156',(select max(to_number(i.premium_rcv_detail_code))+1
from ins_premium_det i),'18156','18156','02', '11000003','00','Request by Mr. Saqib Saleem 01-Sep-2024 allocation no 01Oct240101');</v>
      </c>
    </row>
    <row r="6" spans="1:8" ht="105" x14ac:dyDescent="0.25">
      <c r="A6" s="30" t="s">
        <v>74</v>
      </c>
      <c r="B6" s="33" t="s">
        <v>1702</v>
      </c>
      <c r="C6" s="31">
        <v>24208</v>
      </c>
      <c r="D6" s="43">
        <f t="shared" si="0"/>
        <v>24208</v>
      </c>
      <c r="E6" s="47" t="s">
        <v>1697</v>
      </c>
      <c r="F6" s="44" t="str">
        <f t="shared" si="1"/>
        <v>insert into ins_premium_det (premium_rcv_code,assorted_code, rec_amount,premium_rcv_detail_code,remaining_amt, payrec, mode_code,coinsurance_code,class_cd,it_remarks) values</v>
      </c>
      <c r="G6" s="45" t="str">
        <f t="shared" si="2"/>
        <v>('01Oct240101','070000163785','24208',(select max(to_number(i.premium_rcv_detail_code))+1
from ins_premium_det i),'24208','24208','02', '11000003','00','Request by Mr. Saqib Saleem 01-Sep-2024 allocation no 01Oct240101');</v>
      </c>
      <c r="H6" s="46" t="str">
        <f t="shared" si="3"/>
        <v>insert into ins_premium_det (premium_rcv_code,assorted_code, rec_amount,premium_rcv_detail_code,remaining_amt, payrec, mode_code,coinsurance_code,class_cd,it_remarks) values('01Oct240101','070000163785','24208',(select max(to_number(i.premium_rcv_detail_code))+1
from ins_premium_det i),'24208','24208','02', '11000003','00','Request by Mr. Saqib Saleem 01-Sep-2024 allocation no 01Oct240101');</v>
      </c>
    </row>
    <row r="7" spans="1:8" ht="105" x14ac:dyDescent="0.25">
      <c r="A7" s="30" t="s">
        <v>82</v>
      </c>
      <c r="B7" s="33" t="s">
        <v>1703</v>
      </c>
      <c r="C7" s="31">
        <v>33408</v>
      </c>
      <c r="D7" s="43">
        <f t="shared" si="0"/>
        <v>33408</v>
      </c>
      <c r="E7" s="47" t="s">
        <v>1697</v>
      </c>
      <c r="F7" s="44" t="str">
        <f t="shared" si="1"/>
        <v>insert into ins_premium_det (premium_rcv_code,assorted_code, rec_amount,premium_rcv_detail_code,remaining_amt, payrec, mode_code,coinsurance_code,class_cd,it_remarks) values</v>
      </c>
      <c r="G7" s="45" t="str">
        <f t="shared" si="2"/>
        <v>('01Oct240101','070000163787','33408',(select max(to_number(i.premium_rcv_detail_code))+1
from ins_premium_det i),'33408','33408','02', '11000003','00','Request by Mr. Saqib Saleem 01-Sep-2024 allocation no 01Oct240101');</v>
      </c>
      <c r="H7" s="46" t="str">
        <f t="shared" si="3"/>
        <v>insert into ins_premium_det (premium_rcv_code,assorted_code, rec_amount,premium_rcv_detail_code,remaining_amt, payrec, mode_code,coinsurance_code,class_cd,it_remarks) values('01Oct240101','070000163787','33408',(select max(to_number(i.premium_rcv_detail_code))+1
from ins_premium_det i),'33408','33408','02', '11000003','00','Request by Mr. Saqib Saleem 01-Sep-2024 allocation no 01Oct240101');</v>
      </c>
    </row>
    <row r="8" spans="1:8" ht="105" x14ac:dyDescent="0.25">
      <c r="A8" s="30" t="s">
        <v>90</v>
      </c>
      <c r="B8" s="33" t="s">
        <v>1704</v>
      </c>
      <c r="C8" s="31">
        <v>68384</v>
      </c>
      <c r="D8" s="43">
        <f t="shared" si="0"/>
        <v>68384</v>
      </c>
      <c r="E8" s="47" t="s">
        <v>1697</v>
      </c>
      <c r="F8" s="44" t="str">
        <f t="shared" si="1"/>
        <v>insert into ins_premium_det (premium_rcv_code,assorted_code, rec_amount,premium_rcv_detail_code,remaining_amt, payrec, mode_code,coinsurance_code,class_cd,it_remarks) values</v>
      </c>
      <c r="G8" s="45" t="str">
        <f t="shared" si="2"/>
        <v>('01Oct240101','070000163791','68384',(select max(to_number(i.premium_rcv_detail_code))+1
from ins_premium_det i),'68384','68384','02', '11000003','00','Request by Mr. Saqib Saleem 01-Sep-2024 allocation no 01Oct240101');</v>
      </c>
      <c r="H8" s="46" t="str">
        <f t="shared" si="3"/>
        <v>insert into ins_premium_det (premium_rcv_code,assorted_code, rec_amount,premium_rcv_detail_code,remaining_amt, payrec, mode_code,coinsurance_code,class_cd,it_remarks) values('01Oct240101','070000163791','68384',(select max(to_number(i.premium_rcv_detail_code))+1
from ins_premium_det i),'68384','68384','02', '11000003','00','Request by Mr. Saqib Saleem 01-Sep-2024 allocation no 01Oct240101');</v>
      </c>
    </row>
    <row r="9" spans="1:8" ht="105" x14ac:dyDescent="0.25">
      <c r="A9" s="30" t="s">
        <v>99</v>
      </c>
      <c r="B9" s="33" t="s">
        <v>1705</v>
      </c>
      <c r="C9" s="31">
        <v>52830</v>
      </c>
      <c r="D9" s="43">
        <f t="shared" si="0"/>
        <v>52830</v>
      </c>
      <c r="E9" s="47" t="s">
        <v>1697</v>
      </c>
      <c r="F9" s="44" t="str">
        <f t="shared" si="1"/>
        <v>insert into ins_premium_det (premium_rcv_code,assorted_code, rec_amount,premium_rcv_detail_code,remaining_amt, payrec, mode_code,coinsurance_code,class_cd,it_remarks) values</v>
      </c>
      <c r="G9" s="45" t="str">
        <f t="shared" si="2"/>
        <v>('01Oct240101','070000163800','52830',(select max(to_number(i.premium_rcv_detail_code))+1
from ins_premium_det i),'52830','52830','02', '11000003','00','Request by Mr. Saqib Saleem 01-Sep-2024 allocation no 01Oct240101');</v>
      </c>
      <c r="H9" s="46" t="str">
        <f t="shared" si="3"/>
        <v>insert into ins_premium_det (premium_rcv_code,assorted_code, rec_amount,premium_rcv_detail_code,remaining_amt, payrec, mode_code,coinsurance_code,class_cd,it_remarks) values('01Oct240101','070000163800','52830',(select max(to_number(i.premium_rcv_detail_code))+1
from ins_premium_det i),'52830','52830','02', '11000003','00','Request by Mr. Saqib Saleem 01-Sep-2024 allocation no 01Oct240101');</v>
      </c>
    </row>
    <row r="10" spans="1:8" ht="105" x14ac:dyDescent="0.25">
      <c r="A10" s="30" t="s">
        <v>108</v>
      </c>
      <c r="B10" s="33" t="s">
        <v>1706</v>
      </c>
      <c r="C10" s="31">
        <v>68526</v>
      </c>
      <c r="D10" s="43">
        <f t="shared" si="0"/>
        <v>68526</v>
      </c>
      <c r="E10" s="47" t="s">
        <v>1697</v>
      </c>
      <c r="F10" s="44" t="str">
        <f t="shared" si="1"/>
        <v>insert into ins_premium_det (premium_rcv_code,assorted_code, rec_amount,premium_rcv_detail_code,remaining_amt, payrec, mode_code,coinsurance_code,class_cd,it_remarks) values</v>
      </c>
      <c r="G10" s="45" t="str">
        <f t="shared" si="2"/>
        <v>('01Oct240101','070000163801','68526',(select max(to_number(i.premium_rcv_detail_code))+1
from ins_premium_det i),'68526','68526','02', '11000003','00','Request by Mr. Saqib Saleem 01-Sep-2024 allocation no 01Oct240101');</v>
      </c>
      <c r="H10" s="46" t="str">
        <f t="shared" si="3"/>
        <v>insert into ins_premium_det (premium_rcv_code,assorted_code, rec_amount,premium_rcv_detail_code,remaining_amt, payrec, mode_code,coinsurance_code,class_cd,it_remarks) values('01Oct240101','070000163801','68526',(select max(to_number(i.premium_rcv_detail_code))+1
from ins_premium_det i),'68526','68526','02', '11000003','00','Request by Mr. Saqib Saleem 01-Sep-2024 allocation no 01Oct240101');</v>
      </c>
    </row>
    <row r="11" spans="1:8" ht="105" x14ac:dyDescent="0.25">
      <c r="A11" s="30" t="s">
        <v>115</v>
      </c>
      <c r="B11" s="33" t="s">
        <v>1707</v>
      </c>
      <c r="C11" s="31">
        <v>52830</v>
      </c>
      <c r="D11" s="43">
        <f t="shared" si="0"/>
        <v>52830</v>
      </c>
      <c r="E11" s="47" t="s">
        <v>1697</v>
      </c>
      <c r="F11" s="44" t="str">
        <f t="shared" si="1"/>
        <v>insert into ins_premium_det (premium_rcv_code,assorted_code, rec_amount,premium_rcv_detail_code,remaining_amt, payrec, mode_code,coinsurance_code,class_cd,it_remarks) values</v>
      </c>
      <c r="G11" s="45" t="str">
        <f t="shared" si="2"/>
        <v>('01Oct240101','070000163802','52830',(select max(to_number(i.premium_rcv_detail_code))+1
from ins_premium_det i),'52830','52830','02', '11000003','00','Request by Mr. Saqib Saleem 01-Sep-2024 allocation no 01Oct240101');</v>
      </c>
      <c r="H11" s="46" t="str">
        <f t="shared" si="3"/>
        <v>insert into ins_premium_det (premium_rcv_code,assorted_code, rec_amount,premium_rcv_detail_code,remaining_amt, payrec, mode_code,coinsurance_code,class_cd,it_remarks) values('01Oct240101','070000163802','52830',(select max(to_number(i.premium_rcv_detail_code))+1
from ins_premium_det i),'52830','52830','02', '11000003','00','Request by Mr. Saqib Saleem 01-Sep-2024 allocation no 01Oct240101');</v>
      </c>
    </row>
    <row r="12" spans="1:8" ht="105" x14ac:dyDescent="0.25">
      <c r="A12" s="30" t="s">
        <v>122</v>
      </c>
      <c r="B12" s="33" t="s">
        <v>1708</v>
      </c>
      <c r="C12" s="31">
        <v>54000</v>
      </c>
      <c r="D12" s="43">
        <f t="shared" si="0"/>
        <v>54000</v>
      </c>
      <c r="E12" s="47" t="s">
        <v>1697</v>
      </c>
      <c r="F12" s="44" t="str">
        <f t="shared" si="1"/>
        <v>insert into ins_premium_det (premium_rcv_code,assorted_code, rec_amount,premium_rcv_detail_code,remaining_amt, payrec, mode_code,coinsurance_code,class_cd,it_remarks) values</v>
      </c>
      <c r="G12" s="45" t="str">
        <f t="shared" si="2"/>
        <v>('01Oct240101','070000163803','54000',(select max(to_number(i.premium_rcv_detail_code))+1
from ins_premium_det i),'54000','54000','02', '11000003','00','Request by Mr. Saqib Saleem 01-Sep-2024 allocation no 01Oct240101');</v>
      </c>
      <c r="H12" s="46" t="str">
        <f t="shared" si="3"/>
        <v>insert into ins_premium_det (premium_rcv_code,assorted_code, rec_amount,premium_rcv_detail_code,remaining_amt, payrec, mode_code,coinsurance_code,class_cd,it_remarks) values('01Oct240101','070000163803','54000',(select max(to_number(i.premium_rcv_detail_code))+1
from ins_premium_det i),'54000','54000','02', '11000003','00','Request by Mr. Saqib Saleem 01-Sep-2024 allocation no 01Oct240101');</v>
      </c>
    </row>
    <row r="13" spans="1:8" ht="105" x14ac:dyDescent="0.25">
      <c r="A13" s="30" t="s">
        <v>130</v>
      </c>
      <c r="B13" s="33" t="s">
        <v>1709</v>
      </c>
      <c r="C13" s="31">
        <v>40500</v>
      </c>
      <c r="D13" s="43">
        <f t="shared" si="0"/>
        <v>40500</v>
      </c>
      <c r="E13" s="47" t="s">
        <v>1697</v>
      </c>
      <c r="F13" s="44" t="str">
        <f t="shared" si="1"/>
        <v>insert into ins_premium_det (premium_rcv_code,assorted_code, rec_amount,premium_rcv_detail_code,remaining_amt, payrec, mode_code,coinsurance_code,class_cd,it_remarks) values</v>
      </c>
      <c r="G13" s="45" t="str">
        <f t="shared" si="2"/>
        <v>('01Oct240101','070000163804','40500',(select max(to_number(i.premium_rcv_detail_code))+1
from ins_premium_det i),'40500','40500','02', '11000003','00','Request by Mr. Saqib Saleem 01-Sep-2024 allocation no 01Oct240101');</v>
      </c>
      <c r="H13" s="46" t="str">
        <f t="shared" si="3"/>
        <v>insert into ins_premium_det (premium_rcv_code,assorted_code, rec_amount,premium_rcv_detail_code,remaining_amt, payrec, mode_code,coinsurance_code,class_cd,it_remarks) values('01Oct240101','070000163804','40500',(select max(to_number(i.premium_rcv_detail_code))+1
from ins_premium_det i),'40500','40500','02', '11000003','00','Request by Mr. Saqib Saleem 01-Sep-2024 allocation no 01Oct240101');</v>
      </c>
    </row>
    <row r="14" spans="1:8" ht="105" x14ac:dyDescent="0.25">
      <c r="A14" s="30" t="s">
        <v>138</v>
      </c>
      <c r="B14" s="33" t="s">
        <v>1710</v>
      </c>
      <c r="C14" s="31">
        <v>36000</v>
      </c>
      <c r="D14" s="43">
        <f t="shared" si="0"/>
        <v>36000</v>
      </c>
      <c r="E14" s="47" t="s">
        <v>1697</v>
      </c>
      <c r="F14" s="44" t="str">
        <f t="shared" si="1"/>
        <v>insert into ins_premium_det (premium_rcv_code,assorted_code, rec_amount,premium_rcv_detail_code,remaining_amt, payrec, mode_code,coinsurance_code,class_cd,it_remarks) values</v>
      </c>
      <c r="G14" s="45" t="str">
        <f t="shared" si="2"/>
        <v>('01Oct240101','070000163805','36000',(select max(to_number(i.premium_rcv_detail_code))+1
from ins_premium_det i),'36000','36000','02', '11000003','00','Request by Mr. Saqib Saleem 01-Sep-2024 allocation no 01Oct240101');</v>
      </c>
      <c r="H14" s="46" t="str">
        <f t="shared" si="3"/>
        <v>insert into ins_premium_det (premium_rcv_code,assorted_code, rec_amount,premium_rcv_detail_code,remaining_amt, payrec, mode_code,coinsurance_code,class_cd,it_remarks) values('01Oct240101','070000163805','36000',(select max(to_number(i.premium_rcv_detail_code))+1
from ins_premium_det i),'36000','36000','02', '11000003','00','Request by Mr. Saqib Saleem 01-Sep-2024 allocation no 01Oct240101');</v>
      </c>
    </row>
    <row r="15" spans="1:8" ht="105" x14ac:dyDescent="0.25">
      <c r="A15" s="30" t="s">
        <v>147</v>
      </c>
      <c r="B15" s="33" t="s">
        <v>1711</v>
      </c>
      <c r="C15" s="31">
        <v>44100</v>
      </c>
      <c r="D15" s="43">
        <f t="shared" si="0"/>
        <v>44100</v>
      </c>
      <c r="E15" s="47" t="s">
        <v>1697</v>
      </c>
      <c r="F15" s="44" t="str">
        <f t="shared" si="1"/>
        <v>insert into ins_premium_det (premium_rcv_code,assorted_code, rec_amount,premium_rcv_detail_code,remaining_amt, payrec, mode_code,coinsurance_code,class_cd,it_remarks) values</v>
      </c>
      <c r="G15" s="45" t="str">
        <f t="shared" si="2"/>
        <v>('01Oct240101','070000163806','44100',(select max(to_number(i.premium_rcv_detail_code))+1
from ins_premium_det i),'44100','44100','02', '11000003','00','Request by Mr. Saqib Saleem 01-Sep-2024 allocation no 01Oct240101');</v>
      </c>
      <c r="H15" s="46" t="str">
        <f t="shared" si="3"/>
        <v>insert into ins_premium_det (premium_rcv_code,assorted_code, rec_amount,premium_rcv_detail_code,remaining_amt, payrec, mode_code,coinsurance_code,class_cd,it_remarks) values('01Oct240101','070000163806','44100',(select max(to_number(i.premium_rcv_detail_code))+1
from ins_premium_det i),'44100','44100','02', '11000003','00','Request by Mr. Saqib Saleem 01-Sep-2024 allocation no 01Oct240101');</v>
      </c>
    </row>
    <row r="16" spans="1:8" ht="105" x14ac:dyDescent="0.25">
      <c r="A16" s="30" t="s">
        <v>154</v>
      </c>
      <c r="B16" s="33" t="s">
        <v>1712</v>
      </c>
      <c r="C16" s="31">
        <v>36000</v>
      </c>
      <c r="D16" s="43">
        <f t="shared" si="0"/>
        <v>36000</v>
      </c>
      <c r="E16" s="47" t="s">
        <v>1697</v>
      </c>
      <c r="F16" s="44" t="str">
        <f t="shared" si="1"/>
        <v>insert into ins_premium_det (premium_rcv_code,assorted_code, rec_amount,premium_rcv_detail_code,remaining_amt, payrec, mode_code,coinsurance_code,class_cd,it_remarks) values</v>
      </c>
      <c r="G16" s="45" t="str">
        <f t="shared" si="2"/>
        <v>('01Oct240101','070000163807','36000',(select max(to_number(i.premium_rcv_detail_code))+1
from ins_premium_det i),'36000','36000','02', '11000003','00','Request by Mr. Saqib Saleem 01-Sep-2024 allocation no 01Oct240101');</v>
      </c>
      <c r="H16" s="46" t="str">
        <f t="shared" si="3"/>
        <v>insert into ins_premium_det (premium_rcv_code,assorted_code, rec_amount,premium_rcv_detail_code,remaining_amt, payrec, mode_code,coinsurance_code,class_cd,it_remarks) values('01Oct240101','070000163807','36000',(select max(to_number(i.premium_rcv_detail_code))+1
from ins_premium_det i),'36000','36000','02', '11000003','00','Request by Mr. Saqib Saleem 01-Sep-2024 allocation no 01Oct240101');</v>
      </c>
    </row>
    <row r="17" spans="1:8" ht="105" x14ac:dyDescent="0.25">
      <c r="A17" s="30" t="s">
        <v>162</v>
      </c>
      <c r="B17" s="33" t="s">
        <v>1713</v>
      </c>
      <c r="C17" s="31">
        <v>47250</v>
      </c>
      <c r="D17" s="43">
        <f t="shared" si="0"/>
        <v>47250</v>
      </c>
      <c r="E17" s="47" t="s">
        <v>1697</v>
      </c>
      <c r="F17" s="44" t="str">
        <f t="shared" si="1"/>
        <v>insert into ins_premium_det (premium_rcv_code,assorted_code, rec_amount,premium_rcv_detail_code,remaining_amt, payrec, mode_code,coinsurance_code,class_cd,it_remarks) values</v>
      </c>
      <c r="G17" s="45" t="str">
        <f t="shared" si="2"/>
        <v>('01Oct240101','070000163808','47250',(select max(to_number(i.premium_rcv_detail_code))+1
from ins_premium_det i),'47250','47250','02', '11000003','00','Request by Mr. Saqib Saleem 01-Sep-2024 allocation no 01Oct240101');</v>
      </c>
      <c r="H17" s="46" t="str">
        <f t="shared" si="3"/>
        <v>insert into ins_premium_det (premium_rcv_code,assorted_code, rec_amount,premium_rcv_detail_code,remaining_amt, payrec, mode_code,coinsurance_code,class_cd,it_remarks) values('01Oct240101','070000163808','47250',(select max(to_number(i.premium_rcv_detail_code))+1
from ins_premium_det i),'47250','47250','02', '11000003','00','Request by Mr. Saqib Saleem 01-Sep-2024 allocation no 01Oct240101');</v>
      </c>
    </row>
    <row r="18" spans="1:8" ht="105" x14ac:dyDescent="0.25">
      <c r="A18" s="30" t="s">
        <v>171</v>
      </c>
      <c r="B18" s="33" t="s">
        <v>1714</v>
      </c>
      <c r="C18" s="31">
        <v>55134</v>
      </c>
      <c r="D18" s="43">
        <f t="shared" si="0"/>
        <v>55134</v>
      </c>
      <c r="E18" s="47" t="s">
        <v>1697</v>
      </c>
      <c r="F18" s="44" t="str">
        <f t="shared" si="1"/>
        <v>insert into ins_premium_det (premium_rcv_code,assorted_code, rec_amount,premium_rcv_detail_code,remaining_amt, payrec, mode_code,coinsurance_code,class_cd,it_remarks) values</v>
      </c>
      <c r="G18" s="45" t="str">
        <f t="shared" si="2"/>
        <v>('01Oct240101','070000163809','55134',(select max(to_number(i.premium_rcv_detail_code))+1
from ins_premium_det i),'55134','55134','02', '11000003','00','Request by Mr. Saqib Saleem 01-Sep-2024 allocation no 01Oct240101');</v>
      </c>
      <c r="H18" s="46" t="str">
        <f t="shared" si="3"/>
        <v>insert into ins_premium_det (premium_rcv_code,assorted_code, rec_amount,premium_rcv_detail_code,remaining_amt, payrec, mode_code,coinsurance_code,class_cd,it_remarks) values('01Oct240101','070000163809','55134',(select max(to_number(i.premium_rcv_detail_code))+1
from ins_premium_det i),'55134','55134','02', '11000003','00','Request by Mr. Saqib Saleem 01-Sep-2024 allocation no 01Oct240101');</v>
      </c>
    </row>
    <row r="19" spans="1:8" ht="105" x14ac:dyDescent="0.25">
      <c r="A19" s="30" t="s">
        <v>180</v>
      </c>
      <c r="B19" s="33" t="s">
        <v>1715</v>
      </c>
      <c r="C19" s="31">
        <v>58050</v>
      </c>
      <c r="D19" s="43">
        <f t="shared" si="0"/>
        <v>58050</v>
      </c>
      <c r="E19" s="47" t="s">
        <v>1697</v>
      </c>
      <c r="F19" s="44" t="str">
        <f t="shared" si="1"/>
        <v>insert into ins_premium_det (premium_rcv_code,assorted_code, rec_amount,premium_rcv_detail_code,remaining_amt, payrec, mode_code,coinsurance_code,class_cd,it_remarks) values</v>
      </c>
      <c r="G19" s="45" t="str">
        <f t="shared" si="2"/>
        <v>('01Oct240101','070000163792','58050',(select max(to_number(i.premium_rcv_detail_code))+1
from ins_premium_det i),'58050','58050','02', '11000003','00','Request by Mr. Saqib Saleem 01-Sep-2024 allocation no 01Oct240101');</v>
      </c>
      <c r="H19" s="46" t="str">
        <f t="shared" si="3"/>
        <v>insert into ins_premium_det (premium_rcv_code,assorted_code, rec_amount,premium_rcv_detail_code,remaining_amt, payrec, mode_code,coinsurance_code,class_cd,it_remarks) values('01Oct240101','070000163792','58050',(select max(to_number(i.premium_rcv_detail_code))+1
from ins_premium_det i),'58050','58050','02', '11000003','00','Request by Mr. Saqib Saleem 01-Sep-2024 allocation no 01Oct240101');</v>
      </c>
    </row>
    <row r="20" spans="1:8" ht="105" x14ac:dyDescent="0.25">
      <c r="A20" s="30" t="s">
        <v>188</v>
      </c>
      <c r="B20" s="33" t="s">
        <v>1716</v>
      </c>
      <c r="C20" s="31">
        <v>54000</v>
      </c>
      <c r="D20" s="43">
        <f t="shared" si="0"/>
        <v>54000</v>
      </c>
      <c r="E20" s="47" t="s">
        <v>1697</v>
      </c>
      <c r="F20" s="44" t="str">
        <f t="shared" si="1"/>
        <v>insert into ins_premium_det (premium_rcv_code,assorted_code, rec_amount,premium_rcv_detail_code,remaining_amt, payrec, mode_code,coinsurance_code,class_cd,it_remarks) values</v>
      </c>
      <c r="G20" s="45" t="str">
        <f t="shared" si="2"/>
        <v>('01Oct240101','070000163811','54000',(select max(to_number(i.premium_rcv_detail_code))+1
from ins_premium_det i),'54000','54000','02', '11000003','00','Request by Mr. Saqib Saleem 01-Sep-2024 allocation no 01Oct240101');</v>
      </c>
      <c r="H20" s="46" t="str">
        <f t="shared" si="3"/>
        <v>insert into ins_premium_det (premium_rcv_code,assorted_code, rec_amount,premium_rcv_detail_code,remaining_amt, payrec, mode_code,coinsurance_code,class_cd,it_remarks) values('01Oct240101','070000163811','54000',(select max(to_number(i.premium_rcv_detail_code))+1
from ins_premium_det i),'54000','54000','02', '11000003','00','Request by Mr. Saqib Saleem 01-Sep-2024 allocation no 01Oct240101');</v>
      </c>
    </row>
    <row r="21" spans="1:8" ht="105" x14ac:dyDescent="0.25">
      <c r="A21" s="30" t="s">
        <v>196</v>
      </c>
      <c r="B21" s="33" t="s">
        <v>1717</v>
      </c>
      <c r="C21" s="31">
        <v>39600</v>
      </c>
      <c r="D21" s="43">
        <f t="shared" si="0"/>
        <v>39600</v>
      </c>
      <c r="E21" s="47" t="s">
        <v>1697</v>
      </c>
      <c r="F21" s="44" t="str">
        <f t="shared" si="1"/>
        <v>insert into ins_premium_det (premium_rcv_code,assorted_code, rec_amount,premium_rcv_detail_code,remaining_amt, payrec, mode_code,coinsurance_code,class_cd,it_remarks) values</v>
      </c>
      <c r="G21" s="45" t="str">
        <f t="shared" si="2"/>
        <v>('01Oct240101','070000163813','39600',(select max(to_number(i.premium_rcv_detail_code))+1
from ins_premium_det i),'39600','39600','02', '11000003','00','Request by Mr. Saqib Saleem 01-Sep-2024 allocation no 01Oct240101');</v>
      </c>
      <c r="H21" s="46" t="str">
        <f t="shared" si="3"/>
        <v>insert into ins_premium_det (premium_rcv_code,assorted_code, rec_amount,premium_rcv_detail_code,remaining_amt, payrec, mode_code,coinsurance_code,class_cd,it_remarks) values('01Oct240101','070000163813','39600',(select max(to_number(i.premium_rcv_detail_code))+1
from ins_premium_det i),'39600','39600','02', '11000003','00','Request by Mr. Saqib Saleem 01-Sep-2024 allocation no 01Oct240101');</v>
      </c>
    </row>
    <row r="22" spans="1:8" ht="105" x14ac:dyDescent="0.25">
      <c r="A22" s="30" t="s">
        <v>204</v>
      </c>
      <c r="B22" s="33" t="s">
        <v>1718</v>
      </c>
      <c r="C22" s="31">
        <v>19710</v>
      </c>
      <c r="D22" s="43">
        <f t="shared" si="0"/>
        <v>19710</v>
      </c>
      <c r="E22" s="47" t="s">
        <v>1697</v>
      </c>
      <c r="F22" s="44" t="str">
        <f t="shared" si="1"/>
        <v>insert into ins_premium_det (premium_rcv_code,assorted_code, rec_amount,premium_rcv_detail_code,remaining_amt, payrec, mode_code,coinsurance_code,class_cd,it_remarks) values</v>
      </c>
      <c r="G22" s="45" t="str">
        <f t="shared" si="2"/>
        <v>('01Oct240101','070000163814','19710',(select max(to_number(i.premium_rcv_detail_code))+1
from ins_premium_det i),'19710','19710','02', '11000003','00','Request by Mr. Saqib Saleem 01-Sep-2024 allocation no 01Oct240101');</v>
      </c>
      <c r="H22" s="46" t="str">
        <f t="shared" si="3"/>
        <v>insert into ins_premium_det (premium_rcv_code,assorted_code, rec_amount,premium_rcv_detail_code,remaining_amt, payrec, mode_code,coinsurance_code,class_cd,it_remarks) values('01Oct240101','070000163814','19710',(select max(to_number(i.premium_rcv_detail_code))+1
from ins_premium_det i),'19710','19710','02', '11000003','00','Request by Mr. Saqib Saleem 01-Sep-2024 allocation no 01Oct240101');</v>
      </c>
    </row>
    <row r="23" spans="1:8" ht="105" x14ac:dyDescent="0.25">
      <c r="A23" s="30" t="s">
        <v>212</v>
      </c>
      <c r="B23" s="33" t="s">
        <v>1719</v>
      </c>
      <c r="C23" s="31">
        <v>41130</v>
      </c>
      <c r="D23" s="43">
        <f t="shared" si="0"/>
        <v>41130</v>
      </c>
      <c r="E23" s="47" t="s">
        <v>1697</v>
      </c>
      <c r="F23" s="44" t="str">
        <f t="shared" si="1"/>
        <v>insert into ins_premium_det (premium_rcv_code,assorted_code, rec_amount,premium_rcv_detail_code,remaining_amt, payrec, mode_code,coinsurance_code,class_cd,it_remarks) values</v>
      </c>
      <c r="G23" s="45" t="str">
        <f t="shared" si="2"/>
        <v>('01Oct240101','070000163815','41130',(select max(to_number(i.premium_rcv_detail_code))+1
from ins_premium_det i),'41130','41130','02', '11000003','00','Request by Mr. Saqib Saleem 01-Sep-2024 allocation no 01Oct240101');</v>
      </c>
      <c r="H23" s="46" t="str">
        <f t="shared" si="3"/>
        <v>insert into ins_premium_det (premium_rcv_code,assorted_code, rec_amount,premium_rcv_detail_code,remaining_amt, payrec, mode_code,coinsurance_code,class_cd,it_remarks) values('01Oct240101','070000163815','41130',(select max(to_number(i.premium_rcv_detail_code))+1
from ins_premium_det i),'41130','41130','02', '11000003','00','Request by Mr. Saqib Saleem 01-Sep-2024 allocation no 01Oct240101');</v>
      </c>
    </row>
    <row r="24" spans="1:8" ht="105" x14ac:dyDescent="0.25">
      <c r="A24" s="30" t="s">
        <v>220</v>
      </c>
      <c r="B24" s="33" t="s">
        <v>1720</v>
      </c>
      <c r="C24" s="31">
        <v>55800</v>
      </c>
      <c r="D24" s="43">
        <f t="shared" si="0"/>
        <v>55800</v>
      </c>
      <c r="E24" s="47" t="s">
        <v>1697</v>
      </c>
      <c r="F24" s="44" t="str">
        <f t="shared" si="1"/>
        <v>insert into ins_premium_det (premium_rcv_code,assorted_code, rec_amount,premium_rcv_detail_code,remaining_amt, payrec, mode_code,coinsurance_code,class_cd,it_remarks) values</v>
      </c>
      <c r="G24" s="45" t="str">
        <f t="shared" si="2"/>
        <v>('01Oct240101','070000163816','55800',(select max(to_number(i.premium_rcv_detail_code))+1
from ins_premium_det i),'55800','55800','02', '11000003','00','Request by Mr. Saqib Saleem 01-Sep-2024 allocation no 01Oct240101');</v>
      </c>
      <c r="H24" s="46" t="str">
        <f t="shared" si="3"/>
        <v>insert into ins_premium_det (premium_rcv_code,assorted_code, rec_amount,premium_rcv_detail_code,remaining_amt, payrec, mode_code,coinsurance_code,class_cd,it_remarks) values('01Oct240101','070000163816','55800',(select max(to_number(i.premium_rcv_detail_code))+1
from ins_premium_det i),'55800','55800','02', '11000003','00','Request by Mr. Saqib Saleem 01-Sep-2024 allocation no 01Oct240101');</v>
      </c>
    </row>
    <row r="25" spans="1:8" ht="105" x14ac:dyDescent="0.25">
      <c r="A25" s="30" t="s">
        <v>228</v>
      </c>
      <c r="B25" s="33" t="s">
        <v>1721</v>
      </c>
      <c r="C25" s="31">
        <v>23400</v>
      </c>
      <c r="D25" s="43">
        <f t="shared" si="0"/>
        <v>23400</v>
      </c>
      <c r="E25" s="47" t="s">
        <v>1697</v>
      </c>
      <c r="F25" s="44" t="str">
        <f t="shared" si="1"/>
        <v>insert into ins_premium_det (premium_rcv_code,assorted_code, rec_amount,premium_rcv_detail_code,remaining_amt, payrec, mode_code,coinsurance_code,class_cd,it_remarks) values</v>
      </c>
      <c r="G25" s="45" t="str">
        <f t="shared" si="2"/>
        <v>('01Oct240101','070000163817','23400',(select max(to_number(i.premium_rcv_detail_code))+1
from ins_premium_det i),'23400','23400','02', '11000003','00','Request by Mr. Saqib Saleem 01-Sep-2024 allocation no 01Oct240101');</v>
      </c>
      <c r="H25" s="46" t="str">
        <f t="shared" si="3"/>
        <v>insert into ins_premium_det (premium_rcv_code,assorted_code, rec_amount,premium_rcv_detail_code,remaining_amt, payrec, mode_code,coinsurance_code,class_cd,it_remarks) values('01Oct240101','070000163817','23400',(select max(to_number(i.premium_rcv_detail_code))+1
from ins_premium_det i),'23400','23400','02', '11000003','00','Request by Mr. Saqib Saleem 01-Sep-2024 allocation no 01Oct240101');</v>
      </c>
    </row>
    <row r="26" spans="1:8" ht="105" x14ac:dyDescent="0.25">
      <c r="A26" s="30" t="s">
        <v>235</v>
      </c>
      <c r="B26" s="33" t="s">
        <v>1722</v>
      </c>
      <c r="C26" s="31">
        <v>69525</v>
      </c>
      <c r="D26" s="43">
        <f t="shared" si="0"/>
        <v>69525</v>
      </c>
      <c r="E26" s="47" t="s">
        <v>1697</v>
      </c>
      <c r="F26" s="44" t="str">
        <f t="shared" si="1"/>
        <v>insert into ins_premium_det (premium_rcv_code,assorted_code, rec_amount,premium_rcv_detail_code,remaining_amt, payrec, mode_code,coinsurance_code,class_cd,it_remarks) values</v>
      </c>
      <c r="G26" s="45" t="str">
        <f t="shared" si="2"/>
        <v>('01Oct240101','070000163818','69525',(select max(to_number(i.premium_rcv_detail_code))+1
from ins_premium_det i),'69525','69525','02', '11000003','00','Request by Mr. Saqib Saleem 01-Sep-2024 allocation no 01Oct240101');</v>
      </c>
      <c r="H26" s="46" t="str">
        <f t="shared" si="3"/>
        <v>insert into ins_premium_det (premium_rcv_code,assorted_code, rec_amount,premium_rcv_detail_code,remaining_amt, payrec, mode_code,coinsurance_code,class_cd,it_remarks) values('01Oct240101','070000163818','69525',(select max(to_number(i.premium_rcv_detail_code))+1
from ins_premium_det i),'69525','69525','02', '11000003','00','Request by Mr. Saqib Saleem 01-Sep-2024 allocation no 01Oct240101');</v>
      </c>
    </row>
    <row r="27" spans="1:8" ht="105" x14ac:dyDescent="0.25">
      <c r="A27" s="30" t="s">
        <v>243</v>
      </c>
      <c r="B27" s="33" t="s">
        <v>1723</v>
      </c>
      <c r="C27" s="31">
        <v>53982</v>
      </c>
      <c r="D27" s="43">
        <f t="shared" si="0"/>
        <v>53982</v>
      </c>
      <c r="E27" s="47" t="s">
        <v>1697</v>
      </c>
      <c r="F27" s="44" t="str">
        <f t="shared" si="1"/>
        <v>insert into ins_premium_det (premium_rcv_code,assorted_code, rec_amount,premium_rcv_detail_code,remaining_amt, payrec, mode_code,coinsurance_code,class_cd,it_remarks) values</v>
      </c>
      <c r="G27" s="45" t="str">
        <f t="shared" si="2"/>
        <v>('01Oct240101','070000163820','53982',(select max(to_number(i.premium_rcv_detail_code))+1
from ins_premium_det i),'53982','53982','02', '11000003','00','Request by Mr. Saqib Saleem 01-Sep-2024 allocation no 01Oct240101');</v>
      </c>
      <c r="H27" s="46" t="str">
        <f t="shared" si="3"/>
        <v>insert into ins_premium_det (premium_rcv_code,assorted_code, rec_amount,premium_rcv_detail_code,remaining_amt, payrec, mode_code,coinsurance_code,class_cd,it_remarks) values('01Oct240101','070000163820','53982',(select max(to_number(i.premium_rcv_detail_code))+1
from ins_premium_det i),'53982','53982','02', '11000003','00','Request by Mr. Saqib Saleem 01-Sep-2024 allocation no 01Oct240101');</v>
      </c>
    </row>
    <row r="28" spans="1:8" ht="105" x14ac:dyDescent="0.25">
      <c r="A28" s="30" t="s">
        <v>251</v>
      </c>
      <c r="B28" s="33" t="s">
        <v>1724</v>
      </c>
      <c r="C28" s="31">
        <v>48600</v>
      </c>
      <c r="D28" s="43">
        <f t="shared" si="0"/>
        <v>48600</v>
      </c>
      <c r="E28" s="47" t="s">
        <v>1697</v>
      </c>
      <c r="F28" s="44" t="str">
        <f t="shared" si="1"/>
        <v>insert into ins_premium_det (premium_rcv_code,assorted_code, rec_amount,premium_rcv_detail_code,remaining_amt, payrec, mode_code,coinsurance_code,class_cd,it_remarks) values</v>
      </c>
      <c r="G28" s="45" t="str">
        <f t="shared" si="2"/>
        <v>('01Oct240101','070000163821','48600',(select max(to_number(i.premium_rcv_detail_code))+1
from ins_premium_det i),'48600','48600','02', '11000003','00','Request by Mr. Saqib Saleem 01-Sep-2024 allocation no 01Oct240101');</v>
      </c>
      <c r="H28" s="46" t="str">
        <f t="shared" si="3"/>
        <v>insert into ins_premium_det (premium_rcv_code,assorted_code, rec_amount,premium_rcv_detail_code,remaining_amt, payrec, mode_code,coinsurance_code,class_cd,it_remarks) values('01Oct240101','070000163821','48600',(select max(to_number(i.premium_rcv_detail_code))+1
from ins_premium_det i),'48600','48600','02', '11000003','00','Request by Mr. Saqib Saleem 01-Sep-2024 allocation no 01Oct240101');</v>
      </c>
    </row>
    <row r="29" spans="1:8" ht="105" x14ac:dyDescent="0.25">
      <c r="A29" s="30" t="s">
        <v>258</v>
      </c>
      <c r="B29" s="33" t="s">
        <v>1725</v>
      </c>
      <c r="C29" s="31">
        <v>42300</v>
      </c>
      <c r="D29" s="43">
        <f t="shared" si="0"/>
        <v>42300</v>
      </c>
      <c r="E29" s="47" t="s">
        <v>1697</v>
      </c>
      <c r="F29" s="44" t="str">
        <f t="shared" si="1"/>
        <v>insert into ins_premium_det (premium_rcv_code,assorted_code, rec_amount,premium_rcv_detail_code,remaining_amt, payrec, mode_code,coinsurance_code,class_cd,it_remarks) values</v>
      </c>
      <c r="G29" s="45" t="str">
        <f t="shared" si="2"/>
        <v>('01Oct240101','070000163793','42300',(select max(to_number(i.premium_rcv_detail_code))+1
from ins_premium_det i),'42300','42300','02', '11000003','00','Request by Mr. Saqib Saleem 01-Sep-2024 allocation no 01Oct240101');</v>
      </c>
      <c r="H29" s="46" t="str">
        <f t="shared" si="3"/>
        <v>insert into ins_premium_det (premium_rcv_code,assorted_code, rec_amount,premium_rcv_detail_code,remaining_amt, payrec, mode_code,coinsurance_code,class_cd,it_remarks) values('01Oct240101','070000163793','42300',(select max(to_number(i.premium_rcv_detail_code))+1
from ins_premium_det i),'42300','42300','02', '11000003','00','Request by Mr. Saqib Saleem 01-Sep-2024 allocation no 01Oct240101');</v>
      </c>
    </row>
    <row r="30" spans="1:8" ht="105" x14ac:dyDescent="0.25">
      <c r="A30" s="30" t="s">
        <v>266</v>
      </c>
      <c r="B30" s="33" t="s">
        <v>1726</v>
      </c>
      <c r="C30" s="31">
        <v>85050</v>
      </c>
      <c r="D30" s="43">
        <f t="shared" si="0"/>
        <v>85050</v>
      </c>
      <c r="E30" s="47" t="s">
        <v>1697</v>
      </c>
      <c r="F30" s="44" t="str">
        <f t="shared" si="1"/>
        <v>insert into ins_premium_det (premium_rcv_code,assorted_code, rec_amount,premium_rcv_detail_code,remaining_amt, payrec, mode_code,coinsurance_code,class_cd,it_remarks) values</v>
      </c>
      <c r="G30" s="45" t="str">
        <f t="shared" si="2"/>
        <v>('01Oct240101','070000163823','85050',(select max(to_number(i.premium_rcv_detail_code))+1
from ins_premium_det i),'85050','85050','02', '11000003','00','Request by Mr. Saqib Saleem 01-Sep-2024 allocation no 01Oct240101');</v>
      </c>
      <c r="H30" s="46" t="str">
        <f t="shared" si="3"/>
        <v>insert into ins_premium_det (premium_rcv_code,assorted_code, rec_amount,premium_rcv_detail_code,remaining_amt, payrec, mode_code,coinsurance_code,class_cd,it_remarks) values('01Oct240101','070000163823','85050',(select max(to_number(i.premium_rcv_detail_code))+1
from ins_premium_det i),'85050','85050','02', '11000003','00','Request by Mr. Saqib Saleem 01-Sep-2024 allocation no 01Oct240101');</v>
      </c>
    </row>
    <row r="31" spans="1:8" ht="105" x14ac:dyDescent="0.25">
      <c r="A31" s="30" t="s">
        <v>275</v>
      </c>
      <c r="B31" s="33" t="s">
        <v>1727</v>
      </c>
      <c r="C31" s="31">
        <v>53100</v>
      </c>
      <c r="D31" s="43">
        <f t="shared" si="0"/>
        <v>53100</v>
      </c>
      <c r="E31" s="47" t="s">
        <v>1697</v>
      </c>
      <c r="F31" s="44" t="str">
        <f t="shared" si="1"/>
        <v>insert into ins_premium_det (premium_rcv_code,assorted_code, rec_amount,premium_rcv_detail_code,remaining_amt, payrec, mode_code,coinsurance_code,class_cd,it_remarks) values</v>
      </c>
      <c r="G31" s="45" t="str">
        <f t="shared" si="2"/>
        <v>('01Oct240101','070000163824','53100',(select max(to_number(i.premium_rcv_detail_code))+1
from ins_premium_det i),'53100','53100','02', '11000003','00','Request by Mr. Saqib Saleem 01-Sep-2024 allocation no 01Oct240101');</v>
      </c>
      <c r="H31" s="46" t="str">
        <f t="shared" si="3"/>
        <v>insert into ins_premium_det (premium_rcv_code,assorted_code, rec_amount,premium_rcv_detail_code,remaining_amt, payrec, mode_code,coinsurance_code,class_cd,it_remarks) values('01Oct240101','070000163824','53100',(select max(to_number(i.premium_rcv_detail_code))+1
from ins_premium_det i),'53100','53100','02', '11000003','00','Request by Mr. Saqib Saleem 01-Sep-2024 allocation no 01Oct240101');</v>
      </c>
    </row>
    <row r="32" spans="1:8" ht="105" x14ac:dyDescent="0.25">
      <c r="A32" s="30" t="s">
        <v>283</v>
      </c>
      <c r="B32" s="33" t="s">
        <v>1728</v>
      </c>
      <c r="C32" s="31">
        <v>54000</v>
      </c>
      <c r="D32" s="43">
        <f t="shared" si="0"/>
        <v>54000</v>
      </c>
      <c r="E32" s="47" t="s">
        <v>1697</v>
      </c>
      <c r="F32" s="44" t="str">
        <f t="shared" si="1"/>
        <v>insert into ins_premium_det (premium_rcv_code,assorted_code, rec_amount,premium_rcv_detail_code,remaining_amt, payrec, mode_code,coinsurance_code,class_cd,it_remarks) values</v>
      </c>
      <c r="G32" s="45" t="str">
        <f t="shared" si="2"/>
        <v>('01Oct240101','070000163825','54000',(select max(to_number(i.premium_rcv_detail_code))+1
from ins_premium_det i),'54000','54000','02', '11000003','00','Request by Mr. Saqib Saleem 01-Sep-2024 allocation no 01Oct240101');</v>
      </c>
      <c r="H32" s="46" t="str">
        <f t="shared" si="3"/>
        <v>insert into ins_premium_det (premium_rcv_code,assorted_code, rec_amount,premium_rcv_detail_code,remaining_amt, payrec, mode_code,coinsurance_code,class_cd,it_remarks) values('01Oct240101','070000163825','54000',(select max(to_number(i.premium_rcv_detail_code))+1
from ins_premium_det i),'54000','54000','02', '11000003','00','Request by Mr. Saqib Saleem 01-Sep-2024 allocation no 01Oct240101');</v>
      </c>
    </row>
    <row r="33" spans="1:8" ht="105" x14ac:dyDescent="0.25">
      <c r="A33" s="30" t="s">
        <v>290</v>
      </c>
      <c r="B33" s="33" t="s">
        <v>1729</v>
      </c>
      <c r="C33" s="31">
        <v>50504</v>
      </c>
      <c r="D33" s="43">
        <f t="shared" si="0"/>
        <v>50504</v>
      </c>
      <c r="E33" s="47" t="s">
        <v>1697</v>
      </c>
      <c r="F33" s="44" t="str">
        <f t="shared" si="1"/>
        <v>insert into ins_premium_det (premium_rcv_code,assorted_code, rec_amount,premium_rcv_detail_code,remaining_amt, payrec, mode_code,coinsurance_code,class_cd,it_remarks) values</v>
      </c>
      <c r="G33" s="45" t="str">
        <f t="shared" si="2"/>
        <v>('01Oct240101','070000163826','50504',(select max(to_number(i.premium_rcv_detail_code))+1
from ins_premium_det i),'50504','50504','02', '11000003','00','Request by Mr. Saqib Saleem 01-Sep-2024 allocation no 01Oct240101');</v>
      </c>
      <c r="H33" s="46" t="str">
        <f t="shared" si="3"/>
        <v>insert into ins_premium_det (premium_rcv_code,assorted_code, rec_amount,premium_rcv_detail_code,remaining_amt, payrec, mode_code,coinsurance_code,class_cd,it_remarks) values('01Oct240101','070000163826','50504',(select max(to_number(i.premium_rcv_detail_code))+1
from ins_premium_det i),'50504','50504','02', '11000003','00','Request by Mr. Saqib Saleem 01-Sep-2024 allocation no 01Oct240101');</v>
      </c>
    </row>
    <row r="34" spans="1:8" ht="105" x14ac:dyDescent="0.25">
      <c r="A34" s="30" t="s">
        <v>298</v>
      </c>
      <c r="B34" s="33" t="s">
        <v>1730</v>
      </c>
      <c r="C34" s="31">
        <v>47250</v>
      </c>
      <c r="D34" s="43">
        <f t="shared" si="0"/>
        <v>47250</v>
      </c>
      <c r="E34" s="47" t="s">
        <v>1697</v>
      </c>
      <c r="F34" s="44" t="str">
        <f t="shared" si="1"/>
        <v>insert into ins_premium_det (premium_rcv_code,assorted_code, rec_amount,premium_rcv_detail_code,remaining_amt, payrec, mode_code,coinsurance_code,class_cd,it_remarks) values</v>
      </c>
      <c r="G34" s="45" t="str">
        <f t="shared" si="2"/>
        <v>('01Oct240101','070000163827','47250',(select max(to_number(i.premium_rcv_detail_code))+1
from ins_premium_det i),'47250','47250','02', '11000003','00','Request by Mr. Saqib Saleem 01-Sep-2024 allocation no 01Oct240101');</v>
      </c>
      <c r="H34" s="46" t="str">
        <f t="shared" si="3"/>
        <v>insert into ins_premium_det (premium_rcv_code,assorted_code, rec_amount,premium_rcv_detail_code,remaining_amt, payrec, mode_code,coinsurance_code,class_cd,it_remarks) values('01Oct240101','070000163827','47250',(select max(to_number(i.premium_rcv_detail_code))+1
from ins_premium_det i),'47250','47250','02', '11000003','00','Request by Mr. Saqib Saleem 01-Sep-2024 allocation no 01Oct240101');</v>
      </c>
    </row>
    <row r="35" spans="1:8" ht="105" x14ac:dyDescent="0.25">
      <c r="A35" s="30" t="s">
        <v>305</v>
      </c>
      <c r="B35" s="33" t="s">
        <v>1731</v>
      </c>
      <c r="C35" s="31">
        <v>36000</v>
      </c>
      <c r="D35" s="43">
        <f t="shared" si="0"/>
        <v>36000</v>
      </c>
      <c r="E35" s="47" t="s">
        <v>1697</v>
      </c>
      <c r="F35" s="44" t="str">
        <f t="shared" si="1"/>
        <v>insert into ins_premium_det (premium_rcv_code,assorted_code, rec_amount,premium_rcv_detail_code,remaining_amt, payrec, mode_code,coinsurance_code,class_cd,it_remarks) values</v>
      </c>
      <c r="G35" s="45" t="str">
        <f t="shared" si="2"/>
        <v>('01Oct240101','070000163828','36000',(select max(to_number(i.premium_rcv_detail_code))+1
from ins_premium_det i),'36000','36000','02', '11000003','00','Request by Mr. Saqib Saleem 01-Sep-2024 allocation no 01Oct240101');</v>
      </c>
      <c r="H35" s="46" t="str">
        <f t="shared" si="3"/>
        <v>insert into ins_premium_det (premium_rcv_code,assorted_code, rec_amount,premium_rcv_detail_code,remaining_amt, payrec, mode_code,coinsurance_code,class_cd,it_remarks) values('01Oct240101','070000163828','36000',(select max(to_number(i.premium_rcv_detail_code))+1
from ins_premium_det i),'36000','36000','02', '11000003','00','Request by Mr. Saqib Saleem 01-Sep-2024 allocation no 01Oct240101');</v>
      </c>
    </row>
    <row r="36" spans="1:8" ht="105" x14ac:dyDescent="0.25">
      <c r="A36" s="30" t="s">
        <v>313</v>
      </c>
      <c r="B36" s="33" t="s">
        <v>1732</v>
      </c>
      <c r="C36" s="31">
        <v>60750</v>
      </c>
      <c r="D36" s="43">
        <f t="shared" si="0"/>
        <v>60750</v>
      </c>
      <c r="E36" s="47" t="s">
        <v>1697</v>
      </c>
      <c r="F36" s="44" t="str">
        <f t="shared" si="1"/>
        <v>insert into ins_premium_det (premium_rcv_code,assorted_code, rec_amount,premium_rcv_detail_code,remaining_amt, payrec, mode_code,coinsurance_code,class_cd,it_remarks) values</v>
      </c>
      <c r="G36" s="45" t="str">
        <f t="shared" si="2"/>
        <v>('01Oct240101','070000163794','60750',(select max(to_number(i.premium_rcv_detail_code))+1
from ins_premium_det i),'60750','60750','02', '11000003','00','Request by Mr. Saqib Saleem 01-Sep-2024 allocation no 01Oct240101');</v>
      </c>
      <c r="H36" s="46" t="str">
        <f t="shared" si="3"/>
        <v>insert into ins_premium_det (premium_rcv_code,assorted_code, rec_amount,premium_rcv_detail_code,remaining_amt, payrec, mode_code,coinsurance_code,class_cd,it_remarks) values('01Oct240101','070000163794','60750',(select max(to_number(i.premium_rcv_detail_code))+1
from ins_premium_det i),'60750','60750','02', '11000003','00','Request by Mr. Saqib Saleem 01-Sep-2024 allocation no 01Oct240101');</v>
      </c>
    </row>
    <row r="37" spans="1:8" ht="105" x14ac:dyDescent="0.25">
      <c r="A37" s="30" t="s">
        <v>321</v>
      </c>
      <c r="B37" s="33" t="s">
        <v>1733</v>
      </c>
      <c r="C37" s="31">
        <v>49275</v>
      </c>
      <c r="D37" s="43">
        <f t="shared" si="0"/>
        <v>49275</v>
      </c>
      <c r="E37" s="47" t="s">
        <v>1697</v>
      </c>
      <c r="F37" s="44" t="str">
        <f t="shared" si="1"/>
        <v>insert into ins_premium_det (premium_rcv_code,assorted_code, rec_amount,premium_rcv_detail_code,remaining_amt, payrec, mode_code,coinsurance_code,class_cd,it_remarks) values</v>
      </c>
      <c r="G37" s="45" t="str">
        <f t="shared" si="2"/>
        <v>('01Oct240101','070000163795','49275',(select max(to_number(i.premium_rcv_detail_code))+1
from ins_premium_det i),'49275','49275','02', '11000003','00','Request by Mr. Saqib Saleem 01-Sep-2024 allocation no 01Oct240101');</v>
      </c>
      <c r="H37" s="46" t="str">
        <f t="shared" si="3"/>
        <v>insert into ins_premium_det (premium_rcv_code,assorted_code, rec_amount,premium_rcv_detail_code,remaining_amt, payrec, mode_code,coinsurance_code,class_cd,it_remarks) values('01Oct240101','070000163795','49275',(select max(to_number(i.premium_rcv_detail_code))+1
from ins_premium_det i),'49275','49275','02', '11000003','00','Request by Mr. Saqib Saleem 01-Sep-2024 allocation no 01Oct240101');</v>
      </c>
    </row>
    <row r="38" spans="1:8" ht="105" x14ac:dyDescent="0.25">
      <c r="A38" s="30" t="s">
        <v>329</v>
      </c>
      <c r="B38" s="33" t="s">
        <v>1734</v>
      </c>
      <c r="C38" s="31">
        <v>40500</v>
      </c>
      <c r="D38" s="43">
        <f t="shared" si="0"/>
        <v>40500</v>
      </c>
      <c r="E38" s="47" t="s">
        <v>1697</v>
      </c>
      <c r="F38" s="44" t="str">
        <f t="shared" si="1"/>
        <v>insert into ins_premium_det (premium_rcv_code,assorted_code, rec_amount,premium_rcv_detail_code,remaining_amt, payrec, mode_code,coinsurance_code,class_cd,it_remarks) values</v>
      </c>
      <c r="G38" s="45" t="str">
        <f t="shared" si="2"/>
        <v>('01Oct240101','070000163797','40500',(select max(to_number(i.premium_rcv_detail_code))+1
from ins_premium_det i),'40500','40500','02', '11000003','00','Request by Mr. Saqib Saleem 01-Sep-2024 allocation no 01Oct240101');</v>
      </c>
      <c r="H38" s="46" t="str">
        <f t="shared" si="3"/>
        <v>insert into ins_premium_det (premium_rcv_code,assorted_code, rec_amount,premium_rcv_detail_code,remaining_amt, payrec, mode_code,coinsurance_code,class_cd,it_remarks) values('01Oct240101','070000163797','40500',(select max(to_number(i.premium_rcv_detail_code))+1
from ins_premium_det i),'40500','40500','02', '11000003','00','Request by Mr. Saqib Saleem 01-Sep-2024 allocation no 01Oct240101');</v>
      </c>
    </row>
    <row r="39" spans="1:8" ht="105" x14ac:dyDescent="0.25">
      <c r="A39" s="30" t="s">
        <v>337</v>
      </c>
      <c r="B39" s="33" t="s">
        <v>1735</v>
      </c>
      <c r="C39" s="31">
        <v>64800</v>
      </c>
      <c r="D39" s="43">
        <f t="shared" si="0"/>
        <v>64800</v>
      </c>
      <c r="E39" s="47" t="s">
        <v>1697</v>
      </c>
      <c r="F39" s="44" t="str">
        <f t="shared" si="1"/>
        <v>insert into ins_premium_det (premium_rcv_code,assorted_code, rec_amount,premium_rcv_detail_code,remaining_amt, payrec, mode_code,coinsurance_code,class_cd,it_remarks) values</v>
      </c>
      <c r="G39" s="45" t="str">
        <f t="shared" si="2"/>
        <v>('01Oct240101','070000163798','64800',(select max(to_number(i.premium_rcv_detail_code))+1
from ins_premium_det i),'64800','64800','02', '11000003','00','Request by Mr. Saqib Saleem 01-Sep-2024 allocation no 01Oct240101');</v>
      </c>
      <c r="H39" s="46" t="str">
        <f t="shared" si="3"/>
        <v>insert into ins_premium_det (premium_rcv_code,assorted_code, rec_amount,premium_rcv_detail_code,remaining_amt, payrec, mode_code,coinsurance_code,class_cd,it_remarks) values('01Oct240101','070000163798','64800',(select max(to_number(i.premium_rcv_detail_code))+1
from ins_premium_det i),'64800','64800','02', '11000003','00','Request by Mr. Saqib Saleem 01-Sep-2024 allocation no 01Oct240101');</v>
      </c>
    </row>
    <row r="40" spans="1:8" ht="105" x14ac:dyDescent="0.25">
      <c r="A40" s="30" t="s">
        <v>345</v>
      </c>
      <c r="B40" s="33" t="s">
        <v>1736</v>
      </c>
      <c r="C40" s="31">
        <v>52200</v>
      </c>
      <c r="D40" s="43">
        <f t="shared" si="0"/>
        <v>52200</v>
      </c>
      <c r="E40" s="47" t="s">
        <v>1697</v>
      </c>
      <c r="F40" s="44" t="str">
        <f t="shared" si="1"/>
        <v>insert into ins_premium_det (premium_rcv_code,assorted_code, rec_amount,premium_rcv_detail_code,remaining_amt, payrec, mode_code,coinsurance_code,class_cd,it_remarks) values</v>
      </c>
      <c r="G40" s="45" t="str">
        <f t="shared" si="2"/>
        <v>('01Oct240101','070000163799','52200',(select max(to_number(i.premium_rcv_detail_code))+1
from ins_premium_det i),'52200','52200','02', '11000003','00','Request by Mr. Saqib Saleem 01-Sep-2024 allocation no 01Oct240101');</v>
      </c>
      <c r="H40" s="46" t="str">
        <f t="shared" si="3"/>
        <v>insert into ins_premium_det (premium_rcv_code,assorted_code, rec_amount,premium_rcv_detail_code,remaining_amt, payrec, mode_code,coinsurance_code,class_cd,it_remarks) values('01Oct240101','070000163799','52200',(select max(to_number(i.premium_rcv_detail_code))+1
from ins_premium_det i),'52200','52200','02', '11000003','00','Request by Mr. Saqib Saleem 01-Sep-2024 allocation no 01Oct240101');</v>
      </c>
    </row>
    <row r="41" spans="1:8" ht="105" x14ac:dyDescent="0.25">
      <c r="A41" s="30" t="s">
        <v>353</v>
      </c>
      <c r="B41" s="33" t="s">
        <v>1737</v>
      </c>
      <c r="C41" s="31">
        <v>15555</v>
      </c>
      <c r="D41" s="43">
        <f t="shared" si="0"/>
        <v>15555</v>
      </c>
      <c r="E41" s="47" t="s">
        <v>1697</v>
      </c>
      <c r="F41" s="44" t="str">
        <f t="shared" si="1"/>
        <v>insert into ins_premium_det (premium_rcv_code,assorted_code, rec_amount,premium_rcv_detail_code,remaining_amt, payrec, mode_code,coinsurance_code,class_cd,it_remarks) values</v>
      </c>
      <c r="G41" s="45" t="str">
        <f t="shared" si="2"/>
        <v>('01Oct240101','070000163844','15555',(select max(to_number(i.premium_rcv_detail_code))+1
from ins_premium_det i),'15555','15555','02', '11000003','00','Request by Mr. Saqib Saleem 01-Sep-2024 allocation no 01Oct240101');</v>
      </c>
      <c r="H41" s="46" t="str">
        <f t="shared" si="3"/>
        <v>insert into ins_premium_det (premium_rcv_code,assorted_code, rec_amount,premium_rcv_detail_code,remaining_amt, payrec, mode_code,coinsurance_code,class_cd,it_remarks) values('01Oct240101','070000163844','15555',(select max(to_number(i.premium_rcv_detail_code))+1
from ins_premium_det i),'15555','15555','02', '11000003','00','Request by Mr. Saqib Saleem 01-Sep-2024 allocation no 01Oct240101');</v>
      </c>
    </row>
    <row r="42" spans="1:8" ht="105" x14ac:dyDescent="0.25">
      <c r="A42" s="30" t="s">
        <v>361</v>
      </c>
      <c r="B42" s="33" t="s">
        <v>1738</v>
      </c>
      <c r="C42" s="31">
        <v>45900</v>
      </c>
      <c r="D42" s="43">
        <f t="shared" si="0"/>
        <v>45900</v>
      </c>
      <c r="E42" s="47" t="s">
        <v>1697</v>
      </c>
      <c r="F42" s="44" t="str">
        <f t="shared" si="1"/>
        <v>insert into ins_premium_det (premium_rcv_code,assorted_code, rec_amount,premium_rcv_detail_code,remaining_amt, payrec, mode_code,coinsurance_code,class_cd,it_remarks) values</v>
      </c>
      <c r="G42" s="45" t="str">
        <f t="shared" si="2"/>
        <v>('01Oct240101','070000163857','45900',(select max(to_number(i.premium_rcv_detail_code))+1
from ins_premium_det i),'45900','45900','02', '11000003','00','Request by Mr. Saqib Saleem 01-Sep-2024 allocation no 01Oct240101');</v>
      </c>
      <c r="H42" s="46" t="str">
        <f t="shared" si="3"/>
        <v>insert into ins_premium_det (premium_rcv_code,assorted_code, rec_amount,premium_rcv_detail_code,remaining_amt, payrec, mode_code,coinsurance_code,class_cd,it_remarks) values('01Oct240101','070000163857','45900',(select max(to_number(i.premium_rcv_detail_code))+1
from ins_premium_det i),'45900','45900','02', '11000003','00','Request by Mr. Saqib Saleem 01-Sep-2024 allocation no 01Oct240101');</v>
      </c>
    </row>
    <row r="43" spans="1:8" ht="105" x14ac:dyDescent="0.25">
      <c r="A43" s="30" t="s">
        <v>368</v>
      </c>
      <c r="B43" s="33" t="s">
        <v>1739</v>
      </c>
      <c r="C43" s="31">
        <v>45656</v>
      </c>
      <c r="D43" s="43">
        <f t="shared" si="0"/>
        <v>45656</v>
      </c>
      <c r="E43" s="47" t="s">
        <v>1697</v>
      </c>
      <c r="F43" s="44" t="str">
        <f t="shared" si="1"/>
        <v>insert into ins_premium_det (premium_rcv_code,assorted_code, rec_amount,premium_rcv_detail_code,remaining_amt, payrec, mode_code,coinsurance_code,class_cd,it_remarks) values</v>
      </c>
      <c r="G43" s="45" t="str">
        <f t="shared" si="2"/>
        <v>('01Oct240101','070000163858','45656',(select max(to_number(i.premium_rcv_detail_code))+1
from ins_premium_det i),'45656','45656','02', '11000003','00','Request by Mr. Saqib Saleem 01-Sep-2024 allocation no 01Oct240101');</v>
      </c>
      <c r="H43" s="46" t="str">
        <f t="shared" si="3"/>
        <v>insert into ins_premium_det (premium_rcv_code,assorted_code, rec_amount,premium_rcv_detail_code,remaining_amt, payrec, mode_code,coinsurance_code,class_cd,it_remarks) values('01Oct240101','070000163858','45656',(select max(to_number(i.premium_rcv_detail_code))+1
from ins_premium_det i),'45656','45656','02', '11000003','00','Request by Mr. Saqib Saleem 01-Sep-2024 allocation no 01Oct240101');</v>
      </c>
    </row>
    <row r="44" spans="1:8" ht="105" x14ac:dyDescent="0.25">
      <c r="A44" s="30" t="s">
        <v>377</v>
      </c>
      <c r="B44" s="33" t="s">
        <v>1740</v>
      </c>
      <c r="C44" s="31">
        <v>49725</v>
      </c>
      <c r="D44" s="43">
        <f t="shared" si="0"/>
        <v>49725</v>
      </c>
      <c r="E44" s="47" t="s">
        <v>1697</v>
      </c>
      <c r="F44" s="44" t="str">
        <f t="shared" si="1"/>
        <v>insert into ins_premium_det (premium_rcv_code,assorted_code, rec_amount,premium_rcv_detail_code,remaining_amt, payrec, mode_code,coinsurance_code,class_cd,it_remarks) values</v>
      </c>
      <c r="G44" s="45" t="str">
        <f t="shared" si="2"/>
        <v>('01Oct240101','070000163859','49725',(select max(to_number(i.premium_rcv_detail_code))+1
from ins_premium_det i),'49725','49725','02', '11000003','00','Request by Mr. Saqib Saleem 01-Sep-2024 allocation no 01Oct240101');</v>
      </c>
      <c r="H44" s="46" t="str">
        <f t="shared" si="3"/>
        <v>insert into ins_premium_det (premium_rcv_code,assorted_code, rec_amount,premium_rcv_detail_code,remaining_amt, payrec, mode_code,coinsurance_code,class_cd,it_remarks) values('01Oct240101','070000163859','49725',(select max(to_number(i.premium_rcv_detail_code))+1
from ins_premium_det i),'49725','49725','02', '11000003','00','Request by Mr. Saqib Saleem 01-Sep-2024 allocation no 01Oct240101');</v>
      </c>
    </row>
    <row r="45" spans="1:8" ht="105" x14ac:dyDescent="0.25">
      <c r="A45" s="30" t="s">
        <v>387</v>
      </c>
      <c r="B45" s="33" t="s">
        <v>1741</v>
      </c>
      <c r="C45" s="31">
        <v>45900</v>
      </c>
      <c r="D45" s="43">
        <f t="shared" si="0"/>
        <v>45900</v>
      </c>
      <c r="E45" s="47" t="s">
        <v>1697</v>
      </c>
      <c r="F45" s="44" t="str">
        <f t="shared" si="1"/>
        <v>insert into ins_premium_det (premium_rcv_code,assorted_code, rec_amount,premium_rcv_detail_code,remaining_amt, payrec, mode_code,coinsurance_code,class_cd,it_remarks) values</v>
      </c>
      <c r="G45" s="45" t="str">
        <f t="shared" si="2"/>
        <v>('01Oct240101','070000163861','45900',(select max(to_number(i.premium_rcv_detail_code))+1
from ins_premium_det i),'45900','45900','02', '11000003','00','Request by Mr. Saqib Saleem 01-Sep-2024 allocation no 01Oct240101');</v>
      </c>
      <c r="H45" s="46" t="str">
        <f t="shared" si="3"/>
        <v>insert into ins_premium_det (premium_rcv_code,assorted_code, rec_amount,premium_rcv_detail_code,remaining_amt, payrec, mode_code,coinsurance_code,class_cd,it_remarks) values('01Oct240101','070000163861','45900',(select max(to_number(i.premium_rcv_detail_code))+1
from ins_premium_det i),'45900','45900','02', '11000003','00','Request by Mr. Saqib Saleem 01-Sep-2024 allocation no 01Oct240101');</v>
      </c>
    </row>
    <row r="46" spans="1:8" ht="105" x14ac:dyDescent="0.25">
      <c r="A46" s="30" t="s">
        <v>395</v>
      </c>
      <c r="B46" s="33" t="s">
        <v>1742</v>
      </c>
      <c r="C46" s="31">
        <v>47600</v>
      </c>
      <c r="D46" s="43">
        <f t="shared" si="0"/>
        <v>47600</v>
      </c>
      <c r="E46" s="47" t="s">
        <v>1697</v>
      </c>
      <c r="F46" s="44" t="str">
        <f t="shared" si="1"/>
        <v>insert into ins_premium_det (premium_rcv_code,assorted_code, rec_amount,premium_rcv_detail_code,remaining_amt, payrec, mode_code,coinsurance_code,class_cd,it_remarks) values</v>
      </c>
      <c r="G46" s="45" t="str">
        <f t="shared" si="2"/>
        <v>('01Oct240101','070000163863','47600',(select max(to_number(i.premium_rcv_detail_code))+1
from ins_premium_det i),'47600','47600','02', '11000003','00','Request by Mr. Saqib Saleem 01-Sep-2024 allocation no 01Oct240101');</v>
      </c>
      <c r="H46" s="46" t="str">
        <f t="shared" si="3"/>
        <v>insert into ins_premium_det (premium_rcv_code,assorted_code, rec_amount,premium_rcv_detail_code,remaining_amt, payrec, mode_code,coinsurance_code,class_cd,it_remarks) values('01Oct240101','070000163863','47600',(select max(to_number(i.premium_rcv_detail_code))+1
from ins_premium_det i),'47600','47600','02', '11000003','00','Request by Mr. Saqib Saleem 01-Sep-2024 allocation no 01Oct240101');</v>
      </c>
    </row>
    <row r="47" spans="1:8" ht="105" x14ac:dyDescent="0.25">
      <c r="A47" s="30" t="s">
        <v>402</v>
      </c>
      <c r="B47" s="33" t="s">
        <v>1743</v>
      </c>
      <c r="C47" s="31">
        <v>32853</v>
      </c>
      <c r="D47" s="43">
        <f t="shared" si="0"/>
        <v>32853</v>
      </c>
      <c r="E47" s="47" t="s">
        <v>1697</v>
      </c>
      <c r="F47" s="44" t="str">
        <f t="shared" si="1"/>
        <v>insert into ins_premium_det (premium_rcv_code,assorted_code, rec_amount,premium_rcv_detail_code,remaining_amt, payrec, mode_code,coinsurance_code,class_cd,it_remarks) values</v>
      </c>
      <c r="G47" s="45" t="str">
        <f t="shared" si="2"/>
        <v>('01Oct240101','070000163865','32853',(select max(to_number(i.premium_rcv_detail_code))+1
from ins_premium_det i),'32853','32853','02', '11000003','00','Request by Mr. Saqib Saleem 01-Sep-2024 allocation no 01Oct240101');</v>
      </c>
      <c r="H47" s="46" t="str">
        <f t="shared" si="3"/>
        <v>insert into ins_premium_det (premium_rcv_code,assorted_code, rec_amount,premium_rcv_detail_code,remaining_amt, payrec, mode_code,coinsurance_code,class_cd,it_remarks) values('01Oct240101','070000163865','32853',(select max(to_number(i.premium_rcv_detail_code))+1
from ins_premium_det i),'32853','32853','02', '11000003','00','Request by Mr. Saqib Saleem 01-Sep-2024 allocation no 01Oct240101');</v>
      </c>
    </row>
    <row r="48" spans="1:8" ht="105" x14ac:dyDescent="0.25">
      <c r="A48" s="30" t="s">
        <v>409</v>
      </c>
      <c r="B48" s="33" t="s">
        <v>1744</v>
      </c>
      <c r="C48" s="31">
        <v>23843</v>
      </c>
      <c r="D48" s="43">
        <f t="shared" si="0"/>
        <v>23843</v>
      </c>
      <c r="E48" s="47" t="s">
        <v>1697</v>
      </c>
      <c r="F48" s="44" t="str">
        <f t="shared" si="1"/>
        <v>insert into ins_premium_det (premium_rcv_code,assorted_code, rec_amount,premium_rcv_detail_code,remaining_amt, payrec, mode_code,coinsurance_code,class_cd,it_remarks) values</v>
      </c>
      <c r="G48" s="45" t="str">
        <f t="shared" si="2"/>
        <v>('01Oct240101','070000163866','23843',(select max(to_number(i.premium_rcv_detail_code))+1
from ins_premium_det i),'23843','23843','02', '11000003','00','Request by Mr. Saqib Saleem 01-Sep-2024 allocation no 01Oct240101');</v>
      </c>
      <c r="H48" s="46" t="str">
        <f t="shared" si="3"/>
        <v>insert into ins_premium_det (premium_rcv_code,assorted_code, rec_amount,premium_rcv_detail_code,remaining_amt, payrec, mode_code,coinsurance_code,class_cd,it_remarks) values('01Oct240101','070000163866','23843',(select max(to_number(i.premium_rcv_detail_code))+1
from ins_premium_det i),'23843','23843','02', '11000003','00','Request by Mr. Saqib Saleem 01-Sep-2024 allocation no 01Oct240101');</v>
      </c>
    </row>
    <row r="49" spans="1:8" ht="105" x14ac:dyDescent="0.25">
      <c r="A49" s="30" t="s">
        <v>416</v>
      </c>
      <c r="B49" s="33" t="s">
        <v>1745</v>
      </c>
      <c r="C49" s="31">
        <v>28050</v>
      </c>
      <c r="D49" s="43">
        <f t="shared" si="0"/>
        <v>28050</v>
      </c>
      <c r="E49" s="47" t="s">
        <v>1697</v>
      </c>
      <c r="F49" s="44" t="str">
        <f t="shared" si="1"/>
        <v>insert into ins_premium_det (premium_rcv_code,assorted_code, rec_amount,premium_rcv_detail_code,remaining_amt, payrec, mode_code,coinsurance_code,class_cd,it_remarks) values</v>
      </c>
      <c r="G49" s="45" t="str">
        <f t="shared" si="2"/>
        <v>('01Oct240101','070000163867','28050',(select max(to_number(i.premium_rcv_detail_code))+1
from ins_premium_det i),'28050','28050','02', '11000003','00','Request by Mr. Saqib Saleem 01-Sep-2024 allocation no 01Oct240101');</v>
      </c>
      <c r="H49" s="46" t="str">
        <f t="shared" si="3"/>
        <v>insert into ins_premium_det (premium_rcv_code,assorted_code, rec_amount,premium_rcv_detail_code,remaining_amt, payrec, mode_code,coinsurance_code,class_cd,it_remarks) values('01Oct240101','070000163867','28050',(select max(to_number(i.premium_rcv_detail_code))+1
from ins_premium_det i),'28050','28050','02', '11000003','00','Request by Mr. Saqib Saleem 01-Sep-2024 allocation no 01Oct240101');</v>
      </c>
    </row>
    <row r="50" spans="1:8" ht="105" x14ac:dyDescent="0.25">
      <c r="A50" s="30" t="s">
        <v>423</v>
      </c>
      <c r="B50" s="33" t="s">
        <v>1746</v>
      </c>
      <c r="C50" s="31">
        <v>17000</v>
      </c>
      <c r="D50" s="43">
        <f t="shared" si="0"/>
        <v>17000</v>
      </c>
      <c r="E50" s="47" t="s">
        <v>1697</v>
      </c>
      <c r="F50" s="44" t="str">
        <f t="shared" si="1"/>
        <v>insert into ins_premium_det (premium_rcv_code,assorted_code, rec_amount,premium_rcv_detail_code,remaining_amt, payrec, mode_code,coinsurance_code,class_cd,it_remarks) values</v>
      </c>
      <c r="G50" s="45" t="str">
        <f t="shared" si="2"/>
        <v>('01Oct240101','070000163868','17000',(select max(to_number(i.premium_rcv_detail_code))+1
from ins_premium_det i),'17000','17000','02', '11000003','00','Request by Mr. Saqib Saleem 01-Sep-2024 allocation no 01Oct240101');</v>
      </c>
      <c r="H50" s="46" t="str">
        <f t="shared" si="3"/>
        <v>insert into ins_premium_det (premium_rcv_code,assorted_code, rec_amount,premium_rcv_detail_code,remaining_amt, payrec, mode_code,coinsurance_code,class_cd,it_remarks) values('01Oct240101','070000163868','17000',(select max(to_number(i.premium_rcv_detail_code))+1
from ins_premium_det i),'17000','17000','02', '11000003','00','Request by Mr. Saqib Saleem 01-Sep-2024 allocation no 01Oct240101');</v>
      </c>
    </row>
    <row r="51" spans="1:8" ht="105" x14ac:dyDescent="0.25">
      <c r="A51" s="30" t="s">
        <v>431</v>
      </c>
      <c r="B51" s="33" t="s">
        <v>1747</v>
      </c>
      <c r="C51" s="31">
        <v>33008</v>
      </c>
      <c r="D51" s="43">
        <f t="shared" si="0"/>
        <v>33008</v>
      </c>
      <c r="E51" s="47" t="s">
        <v>1697</v>
      </c>
      <c r="F51" s="44" t="str">
        <f t="shared" si="1"/>
        <v>insert into ins_premium_det (premium_rcv_code,assorted_code, rec_amount,premium_rcv_detail_code,remaining_amt, payrec, mode_code,coinsurance_code,class_cd,it_remarks) values</v>
      </c>
      <c r="G51" s="45" t="str">
        <f t="shared" si="2"/>
        <v>('01Oct240101','070000163845','33008',(select max(to_number(i.premium_rcv_detail_code))+1
from ins_premium_det i),'33008','33008','02', '11000003','00','Request by Mr. Saqib Saleem 01-Sep-2024 allocation no 01Oct240101');</v>
      </c>
      <c r="H51" s="46" t="str">
        <f t="shared" si="3"/>
        <v>insert into ins_premium_det (premium_rcv_code,assorted_code, rec_amount,premium_rcv_detail_code,remaining_amt, payrec, mode_code,coinsurance_code,class_cd,it_remarks) values('01Oct240101','070000163845','33008',(select max(to_number(i.premium_rcv_detail_code))+1
from ins_premium_det i),'33008','33008','02', '11000003','00','Request by Mr. Saqib Saleem 01-Sep-2024 allocation no 01Oct240101');</v>
      </c>
    </row>
    <row r="52" spans="1:8" ht="105" x14ac:dyDescent="0.25">
      <c r="A52" s="30" t="s">
        <v>438</v>
      </c>
      <c r="B52" s="33" t="s">
        <v>1748</v>
      </c>
      <c r="C52" s="31">
        <v>51012</v>
      </c>
      <c r="D52" s="43">
        <f t="shared" si="0"/>
        <v>51012</v>
      </c>
      <c r="E52" s="47" t="s">
        <v>1697</v>
      </c>
      <c r="F52" s="44" t="str">
        <f t="shared" si="1"/>
        <v>insert into ins_premium_det (premium_rcv_code,assorted_code, rec_amount,premium_rcv_detail_code,remaining_amt, payrec, mode_code,coinsurance_code,class_cd,it_remarks) values</v>
      </c>
      <c r="G52" s="45" t="str">
        <f t="shared" si="2"/>
        <v>('01Oct240101','070000163869','51012',(select max(to_number(i.premium_rcv_detail_code))+1
from ins_premium_det i),'51012','51012','02', '11000003','00','Request by Mr. Saqib Saleem 01-Sep-2024 allocation no 01Oct240101');</v>
      </c>
      <c r="H52" s="46" t="str">
        <f t="shared" si="3"/>
        <v>insert into ins_premium_det (premium_rcv_code,assorted_code, rec_amount,premium_rcv_detail_code,remaining_amt, payrec, mode_code,coinsurance_code,class_cd,it_remarks) values('01Oct240101','070000163869','51012',(select max(to_number(i.premium_rcv_detail_code))+1
from ins_premium_det i),'51012','51012','02', '11000003','00','Request by Mr. Saqib Saleem 01-Sep-2024 allocation no 01Oct240101');</v>
      </c>
    </row>
    <row r="53" spans="1:8" ht="105" x14ac:dyDescent="0.25">
      <c r="A53" s="30" t="s">
        <v>446</v>
      </c>
      <c r="B53" s="33" t="s">
        <v>1749</v>
      </c>
      <c r="C53" s="31">
        <v>47175</v>
      </c>
      <c r="D53" s="43">
        <f t="shared" si="0"/>
        <v>47175</v>
      </c>
      <c r="E53" s="47" t="s">
        <v>1697</v>
      </c>
      <c r="F53" s="44" t="str">
        <f t="shared" si="1"/>
        <v>insert into ins_premium_det (premium_rcv_code,assorted_code, rec_amount,premium_rcv_detail_code,remaining_amt, payrec, mode_code,coinsurance_code,class_cd,it_remarks) values</v>
      </c>
      <c r="G53" s="45" t="str">
        <f t="shared" si="2"/>
        <v>('01Oct240101','070000163871','47175',(select max(to_number(i.premium_rcv_detail_code))+1
from ins_premium_det i),'47175','47175','02', '11000003','00','Request by Mr. Saqib Saleem 01-Sep-2024 allocation no 01Oct240101');</v>
      </c>
      <c r="H53" s="46" t="str">
        <f t="shared" si="3"/>
        <v>insert into ins_premium_det (premium_rcv_code,assorted_code, rec_amount,premium_rcv_detail_code,remaining_amt, payrec, mode_code,coinsurance_code,class_cd,it_remarks) values('01Oct240101','070000163871','47175',(select max(to_number(i.premium_rcv_detail_code))+1
from ins_premium_det i),'47175','47175','02', '11000003','00','Request by Mr. Saqib Saleem 01-Sep-2024 allocation no 01Oct240101');</v>
      </c>
    </row>
    <row r="54" spans="1:8" ht="105" x14ac:dyDescent="0.25">
      <c r="A54" s="30" t="s">
        <v>453</v>
      </c>
      <c r="B54" s="33" t="s">
        <v>1750</v>
      </c>
      <c r="C54" s="31">
        <v>29695</v>
      </c>
      <c r="D54" s="43">
        <f t="shared" si="0"/>
        <v>29695</v>
      </c>
      <c r="E54" s="47" t="s">
        <v>1697</v>
      </c>
      <c r="F54" s="44" t="str">
        <f t="shared" si="1"/>
        <v>insert into ins_premium_det (premium_rcv_code,assorted_code, rec_amount,premium_rcv_detail_code,remaining_amt, payrec, mode_code,coinsurance_code,class_cd,it_remarks) values</v>
      </c>
      <c r="G54" s="45" t="str">
        <f t="shared" si="2"/>
        <v>('01Oct240101','070000163872','29695',(select max(to_number(i.premium_rcv_detail_code))+1
from ins_premium_det i),'29695','29695','02', '11000003','00','Request by Mr. Saqib Saleem 01-Sep-2024 allocation no 01Oct240101');</v>
      </c>
      <c r="H54" s="46" t="str">
        <f t="shared" si="3"/>
        <v>insert into ins_premium_det (premium_rcv_code,assorted_code, rec_amount,premium_rcv_detail_code,remaining_amt, payrec, mode_code,coinsurance_code,class_cd,it_remarks) values('01Oct240101','070000163872','29695',(select max(to_number(i.premium_rcv_detail_code))+1
from ins_premium_det i),'29695','29695','02', '11000003','00','Request by Mr. Saqib Saleem 01-Sep-2024 allocation no 01Oct240101');</v>
      </c>
    </row>
    <row r="55" spans="1:8" ht="105" x14ac:dyDescent="0.25">
      <c r="A55" s="30" t="s">
        <v>460</v>
      </c>
      <c r="B55" s="33" t="s">
        <v>1751</v>
      </c>
      <c r="C55" s="31">
        <v>28054</v>
      </c>
      <c r="D55" s="43">
        <f t="shared" si="0"/>
        <v>28054</v>
      </c>
      <c r="E55" s="47" t="s">
        <v>1697</v>
      </c>
      <c r="F55" s="44" t="str">
        <f t="shared" si="1"/>
        <v>insert into ins_premium_det (premium_rcv_code,assorted_code, rec_amount,premium_rcv_detail_code,remaining_amt, payrec, mode_code,coinsurance_code,class_cd,it_remarks) values</v>
      </c>
      <c r="G55" s="45" t="str">
        <f t="shared" si="2"/>
        <v>('01Oct240101','070000163873','28054',(select max(to_number(i.premium_rcv_detail_code))+1
from ins_premium_det i),'28054','28054','02', '11000003','00','Request by Mr. Saqib Saleem 01-Sep-2024 allocation no 01Oct240101');</v>
      </c>
      <c r="H55" s="46" t="str">
        <f t="shared" si="3"/>
        <v>insert into ins_premium_det (premium_rcv_code,assorted_code, rec_amount,premium_rcv_detail_code,remaining_amt, payrec, mode_code,coinsurance_code,class_cd,it_remarks) values('01Oct240101','070000163873','28054',(select max(to_number(i.premium_rcv_detail_code))+1
from ins_premium_det i),'28054','28054','02', '11000003','00','Request by Mr. Saqib Saleem 01-Sep-2024 allocation no 01Oct240101');</v>
      </c>
    </row>
    <row r="56" spans="1:8" ht="105" x14ac:dyDescent="0.25">
      <c r="A56" s="30" t="s">
        <v>467</v>
      </c>
      <c r="B56" s="33" t="s">
        <v>1752</v>
      </c>
      <c r="C56" s="31">
        <v>32853</v>
      </c>
      <c r="D56" s="43">
        <f t="shared" si="0"/>
        <v>32853</v>
      </c>
      <c r="E56" s="47" t="s">
        <v>1697</v>
      </c>
      <c r="F56" s="44" t="str">
        <f t="shared" si="1"/>
        <v>insert into ins_premium_det (premium_rcv_code,assorted_code, rec_amount,premium_rcv_detail_code,remaining_amt, payrec, mode_code,coinsurance_code,class_cd,it_remarks) values</v>
      </c>
      <c r="G56" s="45" t="str">
        <f t="shared" si="2"/>
        <v>('01Oct240101','070000163874','32853',(select max(to_number(i.premium_rcv_detail_code))+1
from ins_premium_det i),'32853','32853','02', '11000003','00','Request by Mr. Saqib Saleem 01-Sep-2024 allocation no 01Oct240101');</v>
      </c>
      <c r="H56" s="46" t="str">
        <f t="shared" si="3"/>
        <v>insert into ins_premium_det (premium_rcv_code,assorted_code, rec_amount,premium_rcv_detail_code,remaining_amt, payrec, mode_code,coinsurance_code,class_cd,it_remarks) values('01Oct240101','070000163874','32853',(select max(to_number(i.premium_rcv_detail_code))+1
from ins_premium_det i),'32853','32853','02', '11000003','00','Request by Mr. Saqib Saleem 01-Sep-2024 allocation no 01Oct240101');</v>
      </c>
    </row>
    <row r="57" spans="1:8" ht="105" x14ac:dyDescent="0.25">
      <c r="A57" s="30" t="s">
        <v>474</v>
      </c>
      <c r="B57" s="33" t="s">
        <v>1753</v>
      </c>
      <c r="C57" s="31">
        <v>19427</v>
      </c>
      <c r="D57" s="43">
        <f t="shared" si="0"/>
        <v>19427</v>
      </c>
      <c r="E57" s="47" t="s">
        <v>1697</v>
      </c>
      <c r="F57" s="44" t="str">
        <f t="shared" si="1"/>
        <v>insert into ins_premium_det (premium_rcv_code,assorted_code, rec_amount,premium_rcv_detail_code,remaining_amt, payrec, mode_code,coinsurance_code,class_cd,it_remarks) values</v>
      </c>
      <c r="G57" s="45" t="str">
        <f t="shared" si="2"/>
        <v>('01Oct240101','070000163875','19427',(select max(to_number(i.premium_rcv_detail_code))+1
from ins_premium_det i),'19427','19427','02', '11000003','00','Request by Mr. Saqib Saleem 01-Sep-2024 allocation no 01Oct240101');</v>
      </c>
      <c r="H57" s="46" t="str">
        <f t="shared" si="3"/>
        <v>insert into ins_premium_det (premium_rcv_code,assorted_code, rec_amount,premium_rcv_detail_code,remaining_amt, payrec, mode_code,coinsurance_code,class_cd,it_remarks) values('01Oct240101','070000163875','19427',(select max(to_number(i.premium_rcv_detail_code))+1
from ins_premium_det i),'19427','19427','02', '11000003','00','Request by Mr. Saqib Saleem 01-Sep-2024 allocation no 01Oct240101');</v>
      </c>
    </row>
    <row r="58" spans="1:8" ht="105" x14ac:dyDescent="0.25">
      <c r="A58" s="30" t="s">
        <v>482</v>
      </c>
      <c r="B58" s="33" t="s">
        <v>1754</v>
      </c>
      <c r="C58" s="31">
        <v>61094</v>
      </c>
      <c r="D58" s="43">
        <f t="shared" si="0"/>
        <v>61094</v>
      </c>
      <c r="E58" s="47" t="s">
        <v>1697</v>
      </c>
      <c r="F58" s="44" t="str">
        <f t="shared" si="1"/>
        <v>insert into ins_premium_det (premium_rcv_code,assorted_code, rec_amount,premium_rcv_detail_code,remaining_amt, payrec, mode_code,coinsurance_code,class_cd,it_remarks) values</v>
      </c>
      <c r="G58" s="45" t="str">
        <f t="shared" si="2"/>
        <v>('01Oct240101','070000163876','61094',(select max(to_number(i.premium_rcv_detail_code))+1
from ins_premium_det i),'61094','61094','02', '11000003','00','Request by Mr. Saqib Saleem 01-Sep-2024 allocation no 01Oct240101');</v>
      </c>
      <c r="H58" s="46" t="str">
        <f t="shared" si="3"/>
        <v>insert into ins_premium_det (premium_rcv_code,assorted_code, rec_amount,premium_rcv_detail_code,remaining_amt, payrec, mode_code,coinsurance_code,class_cd,it_remarks) values('01Oct240101','070000163876','61094',(select max(to_number(i.premium_rcv_detail_code))+1
from ins_premium_det i),'61094','61094','02', '11000003','00','Request by Mr. Saqib Saleem 01-Sep-2024 allocation no 01Oct240101');</v>
      </c>
    </row>
    <row r="59" spans="1:8" ht="105" x14ac:dyDescent="0.25">
      <c r="A59" s="30" t="s">
        <v>489</v>
      </c>
      <c r="B59" s="33" t="s">
        <v>1755</v>
      </c>
      <c r="C59" s="31">
        <v>39525</v>
      </c>
      <c r="D59" s="43">
        <f t="shared" si="0"/>
        <v>39525</v>
      </c>
      <c r="E59" s="47" t="s">
        <v>1697</v>
      </c>
      <c r="F59" s="44" t="str">
        <f t="shared" si="1"/>
        <v>insert into ins_premium_det (premium_rcv_code,assorted_code, rec_amount,premium_rcv_detail_code,remaining_amt, payrec, mode_code,coinsurance_code,class_cd,it_remarks) values</v>
      </c>
      <c r="G59" s="45" t="str">
        <f t="shared" si="2"/>
        <v>('01Oct240101','070000163878','39525',(select max(to_number(i.premium_rcv_detail_code))+1
from ins_premium_det i),'39525','39525','02', '11000003','00','Request by Mr. Saqib Saleem 01-Sep-2024 allocation no 01Oct240101');</v>
      </c>
      <c r="H59" s="46" t="str">
        <f t="shared" si="3"/>
        <v>insert into ins_premium_det (premium_rcv_code,assorted_code, rec_amount,premium_rcv_detail_code,remaining_amt, payrec, mode_code,coinsurance_code,class_cd,it_remarks) values('01Oct240101','070000163878','39525',(select max(to_number(i.premium_rcv_detail_code))+1
from ins_premium_det i),'39525','39525','02', '11000003','00','Request by Mr. Saqib Saleem 01-Sep-2024 allocation no 01Oct240101');</v>
      </c>
    </row>
    <row r="60" spans="1:8" ht="105" x14ac:dyDescent="0.25">
      <c r="A60" s="30" t="s">
        <v>497</v>
      </c>
      <c r="B60" s="33" t="s">
        <v>1756</v>
      </c>
      <c r="C60" s="31">
        <v>40078</v>
      </c>
      <c r="D60" s="43">
        <f t="shared" si="0"/>
        <v>40078</v>
      </c>
      <c r="E60" s="47" t="s">
        <v>1697</v>
      </c>
      <c r="F60" s="44" t="str">
        <f t="shared" si="1"/>
        <v>insert into ins_premium_det (premium_rcv_code,assorted_code, rec_amount,premium_rcv_detail_code,remaining_amt, payrec, mode_code,coinsurance_code,class_cd,it_remarks) values</v>
      </c>
      <c r="G60" s="45" t="str">
        <f t="shared" si="2"/>
        <v>('01Oct240101','070000163879','40078',(select max(to_number(i.premium_rcv_detail_code))+1
from ins_premium_det i),'40078','40078','02', '11000003','00','Request by Mr. Saqib Saleem 01-Sep-2024 allocation no 01Oct240101');</v>
      </c>
      <c r="H60" s="46" t="str">
        <f t="shared" si="3"/>
        <v>insert into ins_premium_det (premium_rcv_code,assorted_code, rec_amount,premium_rcv_detail_code,remaining_amt, payrec, mode_code,coinsurance_code,class_cd,it_remarks) values('01Oct240101','070000163879','40078',(select max(to_number(i.premium_rcv_detail_code))+1
from ins_premium_det i),'40078','40078','02', '11000003','00','Request by Mr. Saqib Saleem 01-Sep-2024 allocation no 01Oct240101');</v>
      </c>
    </row>
    <row r="61" spans="1:8" ht="105" x14ac:dyDescent="0.25">
      <c r="A61" s="30" t="s">
        <v>504</v>
      </c>
      <c r="B61" s="33" t="s">
        <v>1757</v>
      </c>
      <c r="C61" s="31">
        <v>19427</v>
      </c>
      <c r="D61" s="43">
        <f t="shared" si="0"/>
        <v>19427</v>
      </c>
      <c r="E61" s="47" t="s">
        <v>1697</v>
      </c>
      <c r="F61" s="44" t="str">
        <f t="shared" si="1"/>
        <v>insert into ins_premium_det (premium_rcv_code,assorted_code, rec_amount,premium_rcv_detail_code,remaining_amt, payrec, mode_code,coinsurance_code,class_cd,it_remarks) values</v>
      </c>
      <c r="G61" s="45" t="str">
        <f t="shared" si="2"/>
        <v>('01Oct240101','070000163847','19427',(select max(to_number(i.premium_rcv_detail_code))+1
from ins_premium_det i),'19427','19427','02', '11000003','00','Request by Mr. Saqib Saleem 01-Sep-2024 allocation no 01Oct240101');</v>
      </c>
      <c r="H61" s="46" t="str">
        <f t="shared" si="3"/>
        <v>insert into ins_premium_det (premium_rcv_code,assorted_code, rec_amount,premium_rcv_detail_code,remaining_amt, payrec, mode_code,coinsurance_code,class_cd,it_remarks) values('01Oct240101','070000163847','19427',(select max(to_number(i.premium_rcv_detail_code))+1
from ins_premium_det i),'19427','19427','02', '11000003','00','Request by Mr. Saqib Saleem 01-Sep-2024 allocation no 01Oct240101');</v>
      </c>
    </row>
    <row r="62" spans="1:8" ht="105" x14ac:dyDescent="0.25">
      <c r="A62" s="30" t="s">
        <v>511</v>
      </c>
      <c r="B62" s="33" t="s">
        <v>1758</v>
      </c>
      <c r="C62" s="31">
        <v>46818</v>
      </c>
      <c r="D62" s="43">
        <f t="shared" si="0"/>
        <v>46818</v>
      </c>
      <c r="E62" s="47" t="s">
        <v>1697</v>
      </c>
      <c r="F62" s="44" t="str">
        <f t="shared" si="1"/>
        <v>insert into ins_premium_det (premium_rcv_code,assorted_code, rec_amount,premium_rcv_detail_code,remaining_amt, payrec, mode_code,coinsurance_code,class_cd,it_remarks) values</v>
      </c>
      <c r="G62" s="45" t="str">
        <f t="shared" si="2"/>
        <v>('01Oct240101','070000163884','46818',(select max(to_number(i.premium_rcv_detail_code))+1
from ins_premium_det i),'46818','46818','02', '11000003','00','Request by Mr. Saqib Saleem 01-Sep-2024 allocation no 01Oct240101');</v>
      </c>
      <c r="H62" s="46" t="str">
        <f t="shared" si="3"/>
        <v>insert into ins_premium_det (premium_rcv_code,assorted_code, rec_amount,premium_rcv_detail_code,remaining_amt, payrec, mode_code,coinsurance_code,class_cd,it_remarks) values('01Oct240101','070000163884','46818',(select max(to_number(i.premium_rcv_detail_code))+1
from ins_premium_det i),'46818','46818','02', '11000003','00','Request by Mr. Saqib Saleem 01-Sep-2024 allocation no 01Oct240101');</v>
      </c>
    </row>
    <row r="63" spans="1:8" ht="105" x14ac:dyDescent="0.25">
      <c r="A63" s="48" t="s">
        <v>519</v>
      </c>
      <c r="B63" s="33" t="s">
        <v>1759</v>
      </c>
      <c r="C63" s="31">
        <v>28900</v>
      </c>
      <c r="D63" s="43">
        <f t="shared" si="0"/>
        <v>28900</v>
      </c>
      <c r="E63" s="47" t="s">
        <v>1697</v>
      </c>
      <c r="F63" s="44" t="str">
        <f t="shared" si="1"/>
        <v>insert into ins_premium_det (premium_rcv_code,assorted_code, rec_amount,premium_rcv_detail_code,remaining_amt, payrec, mode_code,coinsurance_code,class_cd,it_remarks) values</v>
      </c>
      <c r="G63" s="45" t="str">
        <f t="shared" si="2"/>
        <v>('01Oct240101','070000163885','28900',(select max(to_number(i.premium_rcv_detail_code))+1
from ins_premium_det i),'28900','28900','02', '11000003','00','Request by Mr. Saqib Saleem 01-Sep-2024 allocation no 01Oct240101');</v>
      </c>
      <c r="H63" s="46" t="str">
        <f t="shared" si="3"/>
        <v>insert into ins_premium_det (premium_rcv_code,assorted_code, rec_amount,premium_rcv_detail_code,remaining_amt, payrec, mode_code,coinsurance_code,class_cd,it_remarks) values('01Oct240101','070000163885','28900',(select max(to_number(i.premium_rcv_detail_code))+1
from ins_premium_det i),'28900','28900','02', '11000003','00','Request by Mr. Saqib Saleem 01-Sep-2024 allocation no 01Oct240101');</v>
      </c>
    </row>
    <row r="64" spans="1:8" ht="105" x14ac:dyDescent="0.25">
      <c r="A64" s="30" t="s">
        <v>526</v>
      </c>
      <c r="B64" s="33" t="s">
        <v>1760</v>
      </c>
      <c r="C64" s="31">
        <v>32853</v>
      </c>
      <c r="D64" s="43">
        <f t="shared" si="0"/>
        <v>32853</v>
      </c>
      <c r="E64" s="47" t="s">
        <v>1697</v>
      </c>
      <c r="F64" s="44" t="str">
        <f t="shared" si="1"/>
        <v>insert into ins_premium_det (premium_rcv_code,assorted_code, rec_amount,premium_rcv_detail_code,remaining_amt, payrec, mode_code,coinsurance_code,class_cd,it_remarks) values</v>
      </c>
      <c r="G64" s="45" t="str">
        <f t="shared" si="2"/>
        <v>('01Oct240101','070000163887','32853',(select max(to_number(i.premium_rcv_detail_code))+1
from ins_premium_det i),'32853','32853','02', '11000003','00','Request by Mr. Saqib Saleem 01-Sep-2024 allocation no 01Oct240101');</v>
      </c>
      <c r="H64" s="46" t="str">
        <f t="shared" si="3"/>
        <v>insert into ins_premium_det (premium_rcv_code,assorted_code, rec_amount,premium_rcv_detail_code,remaining_amt, payrec, mode_code,coinsurance_code,class_cd,it_remarks) values('01Oct240101','070000163887','32853',(select max(to_number(i.premium_rcv_detail_code))+1
from ins_premium_det i),'32853','32853','02', '11000003','00','Request by Mr. Saqib Saleem 01-Sep-2024 allocation no 01Oct240101');</v>
      </c>
    </row>
    <row r="65" spans="1:8" ht="105" x14ac:dyDescent="0.25">
      <c r="A65" s="30" t="s">
        <v>534</v>
      </c>
      <c r="B65" s="33" t="s">
        <v>1761</v>
      </c>
      <c r="C65" s="31">
        <v>29750</v>
      </c>
      <c r="D65" s="43">
        <f t="shared" si="0"/>
        <v>29750</v>
      </c>
      <c r="E65" s="47" t="s">
        <v>1697</v>
      </c>
      <c r="F65" s="44" t="str">
        <f t="shared" si="1"/>
        <v>insert into ins_premium_det (premium_rcv_code,assorted_code, rec_amount,premium_rcv_detail_code,remaining_amt, payrec, mode_code,coinsurance_code,class_cd,it_remarks) values</v>
      </c>
      <c r="G65" s="45" t="str">
        <f t="shared" si="2"/>
        <v>('01Oct240101','070000163888','29750',(select max(to_number(i.premium_rcv_detail_code))+1
from ins_premium_det i),'29750','29750','02', '11000003','00','Request by Mr. Saqib Saleem 01-Sep-2024 allocation no 01Oct240101');</v>
      </c>
      <c r="H65" s="46" t="str">
        <f t="shared" si="3"/>
        <v>insert into ins_premium_det (premium_rcv_code,assorted_code, rec_amount,premium_rcv_detail_code,remaining_amt, payrec, mode_code,coinsurance_code,class_cd,it_remarks) values('01Oct240101','070000163888','29750',(select max(to_number(i.premium_rcv_detail_code))+1
from ins_premium_det i),'29750','29750','02', '11000003','00','Request by Mr. Saqib Saleem 01-Sep-2024 allocation no 01Oct240101');</v>
      </c>
    </row>
    <row r="66" spans="1:8" ht="105" x14ac:dyDescent="0.25">
      <c r="A66" s="30" t="s">
        <v>541</v>
      </c>
      <c r="B66" s="33" t="s">
        <v>1762</v>
      </c>
      <c r="C66" s="31">
        <v>27753</v>
      </c>
      <c r="D66" s="43">
        <f t="shared" si="0"/>
        <v>27753</v>
      </c>
      <c r="E66" s="47" t="s">
        <v>1697</v>
      </c>
      <c r="F66" s="44" t="str">
        <f t="shared" si="1"/>
        <v>insert into ins_premium_det (premium_rcv_code,assorted_code, rec_amount,premium_rcv_detail_code,remaining_amt, payrec, mode_code,coinsurance_code,class_cd,it_remarks) values</v>
      </c>
      <c r="G66" s="45" t="str">
        <f t="shared" si="2"/>
        <v>('01Oct240101','070000163889','27753',(select max(to_number(i.premium_rcv_detail_code))+1
from ins_premium_det i),'27753','27753','02', '11000003','00','Request by Mr. Saqib Saleem 01-Sep-2024 allocation no 01Oct240101');</v>
      </c>
      <c r="H66" s="46" t="str">
        <f t="shared" si="3"/>
        <v>insert into ins_premium_det (premium_rcv_code,assorted_code, rec_amount,premium_rcv_detail_code,remaining_amt, payrec, mode_code,coinsurance_code,class_cd,it_remarks) values('01Oct240101','070000163889','27753',(select max(to_number(i.premium_rcv_detail_code))+1
from ins_premium_det i),'27753','27753','02', '11000003','00','Request by Mr. Saqib Saleem 01-Sep-2024 allocation no 01Oct240101');</v>
      </c>
    </row>
    <row r="67" spans="1:8" ht="105" x14ac:dyDescent="0.25">
      <c r="A67" s="30" t="s">
        <v>548</v>
      </c>
      <c r="B67" s="33" t="s">
        <v>1763</v>
      </c>
      <c r="C67" s="31">
        <v>43588</v>
      </c>
      <c r="D67" s="43">
        <f t="shared" ref="D67:D130" si="4">ROUND(C67,0)</f>
        <v>43588</v>
      </c>
      <c r="E67" s="47" t="s">
        <v>1697</v>
      </c>
      <c r="F67" s="44" t="str">
        <f t="shared" ref="F67:F130" si="5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7" s="45" t="str">
        <f t="shared" ref="G67:G130" si="6">"('"&amp;E67&amp;"','"&amp;B67&amp;"','"&amp;D67&amp;"',(select max(to_number(i.premium_rcv_detail_code))+1
from ins_premium_det i),'"&amp;D67&amp;"','"&amp;D67&amp;"','02', '11000003','00','Request by Mr. Saqib Saleem 01-Sep-2024 allocation no 01Oct240101');"</f>
        <v>('01Oct240101','070000163890','43588',(select max(to_number(i.premium_rcv_detail_code))+1
from ins_premium_det i),'43588','43588','02', '11000003','00','Request by Mr. Saqib Saleem 01-Sep-2024 allocation no 01Oct240101');</v>
      </c>
      <c r="H67" s="46" t="str">
        <f t="shared" ref="H67:H130" si="7">F67&amp;G67</f>
        <v>insert into ins_premium_det (premium_rcv_code,assorted_code, rec_amount,premium_rcv_detail_code,remaining_amt, payrec, mode_code,coinsurance_code,class_cd,it_remarks) values('01Oct240101','070000163890','43588',(select max(to_number(i.premium_rcv_detail_code))+1
from ins_premium_det i),'43588','43588','02', '11000003','00','Request by Mr. Saqib Saleem 01-Sep-2024 allocation no 01Oct240101');</v>
      </c>
    </row>
    <row r="68" spans="1:8" ht="105" x14ac:dyDescent="0.25">
      <c r="A68" s="30" t="s">
        <v>555</v>
      </c>
      <c r="B68" s="33" t="s">
        <v>1764</v>
      </c>
      <c r="C68" s="31">
        <v>22576</v>
      </c>
      <c r="D68" s="43">
        <f t="shared" si="4"/>
        <v>22576</v>
      </c>
      <c r="E68" s="47" t="s">
        <v>1697</v>
      </c>
      <c r="F68" s="44" t="str">
        <f t="shared" si="5"/>
        <v>insert into ins_premium_det (premium_rcv_code,assorted_code, rec_amount,premium_rcv_detail_code,remaining_amt, payrec, mode_code,coinsurance_code,class_cd,it_remarks) values</v>
      </c>
      <c r="G68" s="45" t="str">
        <f t="shared" si="6"/>
        <v>('01Oct240101','070000163892','22576',(select max(to_number(i.premium_rcv_detail_code))+1
from ins_premium_det i),'22576','22576','02', '11000003','00','Request by Mr. Saqib Saleem 01-Sep-2024 allocation no 01Oct240101');</v>
      </c>
      <c r="H68" s="46" t="str">
        <f t="shared" si="7"/>
        <v>insert into ins_premium_det (premium_rcv_code,assorted_code, rec_amount,premium_rcv_detail_code,remaining_amt, payrec, mode_code,coinsurance_code,class_cd,it_remarks) values('01Oct240101','070000163892','22576',(select max(to_number(i.premium_rcv_detail_code))+1
from ins_premium_det i),'22576','22576','02', '11000003','00','Request by Mr. Saqib Saleem 01-Sep-2024 allocation no 01Oct240101');</v>
      </c>
    </row>
    <row r="69" spans="1:8" ht="105" x14ac:dyDescent="0.25">
      <c r="A69" s="30" t="s">
        <v>563</v>
      </c>
      <c r="B69" s="33" t="s">
        <v>1765</v>
      </c>
      <c r="C69" s="31">
        <v>29240</v>
      </c>
      <c r="D69" s="43">
        <f t="shared" si="4"/>
        <v>29240</v>
      </c>
      <c r="E69" s="47" t="s">
        <v>1697</v>
      </c>
      <c r="F69" s="44" t="str">
        <f t="shared" si="5"/>
        <v>insert into ins_premium_det (premium_rcv_code,assorted_code, rec_amount,premium_rcv_detail_code,remaining_amt, payrec, mode_code,coinsurance_code,class_cd,it_remarks) values</v>
      </c>
      <c r="G69" s="45" t="str">
        <f t="shared" si="6"/>
        <v>('01Oct240101','070000163848','29240',(select max(to_number(i.premium_rcv_detail_code))+1
from ins_premium_det i),'29240','29240','02', '11000003','00','Request by Mr. Saqib Saleem 01-Sep-2024 allocation no 01Oct240101');</v>
      </c>
      <c r="H69" s="46" t="str">
        <f t="shared" si="7"/>
        <v>insert into ins_premium_det (premium_rcv_code,assorted_code, rec_amount,premium_rcv_detail_code,remaining_amt, payrec, mode_code,coinsurance_code,class_cd,it_remarks) values('01Oct240101','070000163848','29240',(select max(to_number(i.premium_rcv_detail_code))+1
from ins_premium_det i),'29240','29240','02', '11000003','00','Request by Mr. Saqib Saleem 01-Sep-2024 allocation no 01Oct240101');</v>
      </c>
    </row>
    <row r="70" spans="1:8" ht="105" x14ac:dyDescent="0.25">
      <c r="A70" s="30" t="s">
        <v>571</v>
      </c>
      <c r="B70" s="33" t="s">
        <v>1766</v>
      </c>
      <c r="C70" s="31">
        <v>85425</v>
      </c>
      <c r="D70" s="43">
        <f t="shared" si="4"/>
        <v>85425</v>
      </c>
      <c r="E70" s="47" t="s">
        <v>1697</v>
      </c>
      <c r="F70" s="44" t="str">
        <f t="shared" si="5"/>
        <v>insert into ins_premium_det (premium_rcv_code,assorted_code, rec_amount,premium_rcv_detail_code,remaining_amt, payrec, mode_code,coinsurance_code,class_cd,it_remarks) values</v>
      </c>
      <c r="G70" s="45" t="str">
        <f t="shared" si="6"/>
        <v>('01Oct240101','070000163893','85425',(select max(to_number(i.premium_rcv_detail_code))+1
from ins_premium_det i),'85425','85425','02', '11000003','00','Request by Mr. Saqib Saleem 01-Sep-2024 allocation no 01Oct240101');</v>
      </c>
      <c r="H70" s="46" t="str">
        <f t="shared" si="7"/>
        <v>insert into ins_premium_det (premium_rcv_code,assorted_code, rec_amount,premium_rcv_detail_code,remaining_amt, payrec, mode_code,coinsurance_code,class_cd,it_remarks) values('01Oct240101','070000163893','85425',(select max(to_number(i.premium_rcv_detail_code))+1
from ins_premium_det i),'85425','85425','02', '11000003','00','Request by Mr. Saqib Saleem 01-Sep-2024 allocation no 01Oct240101');</v>
      </c>
    </row>
    <row r="71" spans="1:8" ht="105" x14ac:dyDescent="0.25">
      <c r="A71" s="30" t="s">
        <v>579</v>
      </c>
      <c r="B71" s="33" t="s">
        <v>1767</v>
      </c>
      <c r="C71" s="31">
        <v>43588</v>
      </c>
      <c r="D71" s="43">
        <f t="shared" si="4"/>
        <v>43588</v>
      </c>
      <c r="E71" s="47" t="s">
        <v>1697</v>
      </c>
      <c r="F71" s="44" t="str">
        <f t="shared" si="5"/>
        <v>insert into ins_premium_det (premium_rcv_code,assorted_code, rec_amount,premium_rcv_detail_code,remaining_amt, payrec, mode_code,coinsurance_code,class_cd,it_remarks) values</v>
      </c>
      <c r="G71" s="45" t="str">
        <f t="shared" si="6"/>
        <v>('01Oct240101','070000163894','43588',(select max(to_number(i.premium_rcv_detail_code))+1
from ins_premium_det i),'43588','43588','02', '11000003','00','Request by Mr. Saqib Saleem 01-Sep-2024 allocation no 01Oct240101');</v>
      </c>
      <c r="H71" s="46" t="str">
        <f t="shared" si="7"/>
        <v>insert into ins_premium_det (premium_rcv_code,assorted_code, rec_amount,premium_rcv_detail_code,remaining_amt, payrec, mode_code,coinsurance_code,class_cd,it_remarks) values('01Oct240101','070000163894','43588',(select max(to_number(i.premium_rcv_detail_code))+1
from ins_premium_det i),'43588','43588','02', '11000003','00','Request by Mr. Saqib Saleem 01-Sep-2024 allocation no 01Oct240101');</v>
      </c>
    </row>
    <row r="72" spans="1:8" ht="105" x14ac:dyDescent="0.25">
      <c r="A72" s="30" t="s">
        <v>586</v>
      </c>
      <c r="B72" s="33" t="s">
        <v>1768</v>
      </c>
      <c r="C72" s="31">
        <v>41310</v>
      </c>
      <c r="D72" s="43">
        <f t="shared" si="4"/>
        <v>41310</v>
      </c>
      <c r="E72" s="47" t="s">
        <v>1697</v>
      </c>
      <c r="F72" s="44" t="str">
        <f t="shared" si="5"/>
        <v>insert into ins_premium_det (premium_rcv_code,assorted_code, rec_amount,premium_rcv_detail_code,remaining_amt, payrec, mode_code,coinsurance_code,class_cd,it_remarks) values</v>
      </c>
      <c r="G72" s="45" t="str">
        <f t="shared" si="6"/>
        <v>('01Oct240101','070000163895','41310',(select max(to_number(i.premium_rcv_detail_code))+1
from ins_premium_det i),'41310','41310','02', '11000003','00','Request by Mr. Saqib Saleem 01-Sep-2024 allocation no 01Oct240101');</v>
      </c>
      <c r="H72" s="46" t="str">
        <f t="shared" si="7"/>
        <v>insert into ins_premium_det (premium_rcv_code,assorted_code, rec_amount,premium_rcv_detail_code,remaining_amt, payrec, mode_code,coinsurance_code,class_cd,it_remarks) values('01Oct240101','070000163895','41310',(select max(to_number(i.premium_rcv_detail_code))+1
from ins_premium_det i),'41310','41310','02', '11000003','00','Request by Mr. Saqib Saleem 01-Sep-2024 allocation no 01Oct240101');</v>
      </c>
    </row>
    <row r="73" spans="1:8" ht="105" x14ac:dyDescent="0.25">
      <c r="A73" s="30" t="s">
        <v>594</v>
      </c>
      <c r="B73" s="33" t="s">
        <v>1769</v>
      </c>
      <c r="C73" s="31">
        <v>34000</v>
      </c>
      <c r="D73" s="43">
        <f t="shared" si="4"/>
        <v>34000</v>
      </c>
      <c r="E73" s="47" t="s">
        <v>1697</v>
      </c>
      <c r="F73" s="44" t="str">
        <f t="shared" si="5"/>
        <v>insert into ins_premium_det (premium_rcv_code,assorted_code, rec_amount,premium_rcv_detail_code,remaining_amt, payrec, mode_code,coinsurance_code,class_cd,it_remarks) values</v>
      </c>
      <c r="G73" s="45" t="str">
        <f t="shared" si="6"/>
        <v>('01Oct240101','070000163896','34000',(select max(to_number(i.premium_rcv_detail_code))+1
from ins_premium_det i),'34000','34000','02', '11000003','00','Request by Mr. Saqib Saleem 01-Sep-2024 allocation no 01Oct240101');</v>
      </c>
      <c r="H73" s="46" t="str">
        <f t="shared" si="7"/>
        <v>insert into ins_premium_det (premium_rcv_code,assorted_code, rec_amount,premium_rcv_detail_code,remaining_amt, payrec, mode_code,coinsurance_code,class_cd,it_remarks) values('01Oct240101','070000163896','34000',(select max(to_number(i.premium_rcv_detail_code))+1
from ins_premium_det i),'34000','34000','02', '11000003','00','Request by Mr. Saqib Saleem 01-Sep-2024 allocation no 01Oct240101');</v>
      </c>
    </row>
    <row r="74" spans="1:8" ht="105" x14ac:dyDescent="0.25">
      <c r="A74" s="30" t="s">
        <v>602</v>
      </c>
      <c r="B74" s="33" t="s">
        <v>1770</v>
      </c>
      <c r="C74" s="31">
        <v>41157</v>
      </c>
      <c r="D74" s="43">
        <f t="shared" si="4"/>
        <v>41157</v>
      </c>
      <c r="E74" s="47" t="s">
        <v>1697</v>
      </c>
      <c r="F74" s="44" t="str">
        <f t="shared" si="5"/>
        <v>insert into ins_premium_det (premium_rcv_code,assorted_code, rec_amount,premium_rcv_detail_code,remaining_amt, payrec, mode_code,coinsurance_code,class_cd,it_remarks) values</v>
      </c>
      <c r="G74" s="45" t="str">
        <f t="shared" si="6"/>
        <v>('01Oct240101','070000163897','41157',(select max(to_number(i.premium_rcv_detail_code))+1
from ins_premium_det i),'41157','41157','02', '11000003','00','Request by Mr. Saqib Saleem 01-Sep-2024 allocation no 01Oct240101');</v>
      </c>
      <c r="H74" s="46" t="str">
        <f t="shared" si="7"/>
        <v>insert into ins_premium_det (premium_rcv_code,assorted_code, rec_amount,premium_rcv_detail_code,remaining_amt, payrec, mode_code,coinsurance_code,class_cd,it_remarks) values('01Oct240101','070000163897','41157',(select max(to_number(i.premium_rcv_detail_code))+1
from ins_premium_det i),'41157','41157','02', '11000003','00','Request by Mr. Saqib Saleem 01-Sep-2024 allocation no 01Oct240101');</v>
      </c>
    </row>
    <row r="75" spans="1:8" ht="105" x14ac:dyDescent="0.25">
      <c r="A75" s="30" t="s">
        <v>609</v>
      </c>
      <c r="B75" s="33" t="s">
        <v>1771</v>
      </c>
      <c r="C75" s="31">
        <v>70355</v>
      </c>
      <c r="D75" s="43">
        <f t="shared" si="4"/>
        <v>70355</v>
      </c>
      <c r="E75" s="47" t="s">
        <v>1697</v>
      </c>
      <c r="F75" s="44" t="str">
        <f t="shared" si="5"/>
        <v>insert into ins_premium_det (premium_rcv_code,assorted_code, rec_amount,premium_rcv_detail_code,remaining_amt, payrec, mode_code,coinsurance_code,class_cd,it_remarks) values</v>
      </c>
      <c r="G75" s="45" t="str">
        <f t="shared" si="6"/>
        <v>('01Oct240101','070000163898','70355',(select max(to_number(i.premium_rcv_detail_code))+1
from ins_premium_det i),'70355','70355','02', '11000003','00','Request by Mr. Saqib Saleem 01-Sep-2024 allocation no 01Oct240101');</v>
      </c>
      <c r="H75" s="46" t="str">
        <f t="shared" si="7"/>
        <v>insert into ins_premium_det (premium_rcv_code,assorted_code, rec_amount,premium_rcv_detail_code,remaining_amt, payrec, mode_code,coinsurance_code,class_cd,it_remarks) values('01Oct240101','070000163898','70355',(select max(to_number(i.premium_rcv_detail_code))+1
from ins_premium_det i),'70355','70355','02', '11000003','00','Request by Mr. Saqib Saleem 01-Sep-2024 allocation no 01Oct240101');</v>
      </c>
    </row>
    <row r="76" spans="1:8" ht="105" x14ac:dyDescent="0.25">
      <c r="A76" s="30" t="s">
        <v>617</v>
      </c>
      <c r="B76" s="33" t="s">
        <v>1772</v>
      </c>
      <c r="C76" s="31">
        <v>25181</v>
      </c>
      <c r="D76" s="43">
        <f t="shared" si="4"/>
        <v>25181</v>
      </c>
      <c r="E76" s="47" t="s">
        <v>1697</v>
      </c>
      <c r="F76" s="44" t="str">
        <f t="shared" si="5"/>
        <v>insert into ins_premium_det (premium_rcv_code,assorted_code, rec_amount,premium_rcv_detail_code,remaining_amt, payrec, mode_code,coinsurance_code,class_cd,it_remarks) values</v>
      </c>
      <c r="G76" s="45" t="str">
        <f t="shared" si="6"/>
        <v>('01Oct240101','070000163899','25181',(select max(to_number(i.premium_rcv_detail_code))+1
from ins_premium_det i),'25181','25181','02', '11000003','00','Request by Mr. Saqib Saleem 01-Sep-2024 allocation no 01Oct240101');</v>
      </c>
      <c r="H76" s="46" t="str">
        <f t="shared" si="7"/>
        <v>insert into ins_premium_det (premium_rcv_code,assorted_code, rec_amount,premium_rcv_detail_code,remaining_amt, payrec, mode_code,coinsurance_code,class_cd,it_remarks) values('01Oct240101','070000163899','25181',(select max(to_number(i.premium_rcv_detail_code))+1
from ins_premium_det i),'25181','25181','02', '11000003','00','Request by Mr. Saqib Saleem 01-Sep-2024 allocation no 01Oct240101');</v>
      </c>
    </row>
    <row r="77" spans="1:8" ht="105" x14ac:dyDescent="0.25">
      <c r="A77" s="30" t="s">
        <v>625</v>
      </c>
      <c r="B77" s="33" t="s">
        <v>1773</v>
      </c>
      <c r="C77" s="31">
        <v>19763</v>
      </c>
      <c r="D77" s="43">
        <f t="shared" si="4"/>
        <v>19763</v>
      </c>
      <c r="E77" s="47" t="s">
        <v>1697</v>
      </c>
      <c r="F77" s="44" t="str">
        <f t="shared" si="5"/>
        <v>insert into ins_premium_det (premium_rcv_code,assorted_code, rec_amount,premium_rcv_detail_code,remaining_amt, payrec, mode_code,coinsurance_code,class_cd,it_remarks) values</v>
      </c>
      <c r="G77" s="45" t="str">
        <f t="shared" si="6"/>
        <v>('01Oct240101','070000163900','19763',(select max(to_number(i.premium_rcv_detail_code))+1
from ins_premium_det i),'19763','19763','02', '11000003','00','Request by Mr. Saqib Saleem 01-Sep-2024 allocation no 01Oct240101');</v>
      </c>
      <c r="H77" s="46" t="str">
        <f t="shared" si="7"/>
        <v>insert into ins_premium_det (premium_rcv_code,assorted_code, rec_amount,premium_rcv_detail_code,remaining_amt, payrec, mode_code,coinsurance_code,class_cd,it_remarks) values('01Oct240101','070000163900','19763',(select max(to_number(i.premium_rcv_detail_code))+1
from ins_premium_det i),'19763','19763','02', '11000003','00','Request by Mr. Saqib Saleem 01-Sep-2024 allocation no 01Oct240101');</v>
      </c>
    </row>
    <row r="78" spans="1:8" ht="105" x14ac:dyDescent="0.25">
      <c r="A78" s="30" t="s">
        <v>633</v>
      </c>
      <c r="B78" s="33" t="s">
        <v>1774</v>
      </c>
      <c r="C78" s="31">
        <v>29835</v>
      </c>
      <c r="D78" s="43">
        <f t="shared" si="4"/>
        <v>29835</v>
      </c>
      <c r="E78" s="47" t="s">
        <v>1697</v>
      </c>
      <c r="F78" s="44" t="str">
        <f t="shared" si="5"/>
        <v>insert into ins_premium_det (premium_rcv_code,assorted_code, rec_amount,premium_rcv_detail_code,remaining_amt, payrec, mode_code,coinsurance_code,class_cd,it_remarks) values</v>
      </c>
      <c r="G78" s="45" t="str">
        <f t="shared" si="6"/>
        <v>('01Oct240101','070000163901','29835',(select max(to_number(i.premium_rcv_detail_code))+1
from ins_premium_det i),'29835','29835','02', '11000003','00','Request by Mr. Saqib Saleem 01-Sep-2024 allocation no 01Oct240101');</v>
      </c>
      <c r="H78" s="46" t="str">
        <f t="shared" si="7"/>
        <v>insert into ins_premium_det (premium_rcv_code,assorted_code, rec_amount,premium_rcv_detail_code,remaining_amt, payrec, mode_code,coinsurance_code,class_cd,it_remarks) values('01Oct240101','070000163901','29835',(select max(to_number(i.premium_rcv_detail_code))+1
from ins_premium_det i),'29835','29835','02', '11000003','00','Request by Mr. Saqib Saleem 01-Sep-2024 allocation no 01Oct240101');</v>
      </c>
    </row>
    <row r="79" spans="1:8" ht="105" x14ac:dyDescent="0.25">
      <c r="A79" s="30" t="s">
        <v>640</v>
      </c>
      <c r="B79" s="33" t="s">
        <v>1775</v>
      </c>
      <c r="C79" s="31">
        <v>21675</v>
      </c>
      <c r="D79" s="43">
        <f t="shared" si="4"/>
        <v>21675</v>
      </c>
      <c r="E79" s="47" t="s">
        <v>1697</v>
      </c>
      <c r="F79" s="44" t="str">
        <f t="shared" si="5"/>
        <v>insert into ins_premium_det (premium_rcv_code,assorted_code, rec_amount,premium_rcv_detail_code,remaining_amt, payrec, mode_code,coinsurance_code,class_cd,it_remarks) values</v>
      </c>
      <c r="G79" s="45" t="str">
        <f t="shared" si="6"/>
        <v>('01Oct240101','070000163902','21675',(select max(to_number(i.premium_rcv_detail_code))+1
from ins_premium_det i),'21675','21675','02', '11000003','00','Request by Mr. Saqib Saleem 01-Sep-2024 allocation no 01Oct240101');</v>
      </c>
      <c r="H79" s="46" t="str">
        <f t="shared" si="7"/>
        <v>insert into ins_premium_det (premium_rcv_code,assorted_code, rec_amount,premium_rcv_detail_code,remaining_amt, payrec, mode_code,coinsurance_code,class_cd,it_remarks) values('01Oct240101','070000163902','21675',(select max(to_number(i.premium_rcv_detail_code))+1
from ins_premium_det i),'21675','21675','02', '11000003','00','Request by Mr. Saqib Saleem 01-Sep-2024 allocation no 01Oct240101');</v>
      </c>
    </row>
    <row r="80" spans="1:8" ht="105" x14ac:dyDescent="0.25">
      <c r="A80" s="30" t="s">
        <v>648</v>
      </c>
      <c r="B80" s="33" t="s">
        <v>1776</v>
      </c>
      <c r="C80" s="31">
        <v>22997</v>
      </c>
      <c r="D80" s="43">
        <f t="shared" si="4"/>
        <v>22997</v>
      </c>
      <c r="E80" s="47" t="s">
        <v>1697</v>
      </c>
      <c r="F80" s="44" t="str">
        <f t="shared" si="5"/>
        <v>insert into ins_premium_det (premium_rcv_code,assorted_code, rec_amount,premium_rcv_detail_code,remaining_amt, payrec, mode_code,coinsurance_code,class_cd,it_remarks) values</v>
      </c>
      <c r="G80" s="45" t="str">
        <f t="shared" si="6"/>
        <v>('01Oct240101','070000163849','22997',(select max(to_number(i.premium_rcv_detail_code))+1
from ins_premium_det i),'22997','22997','02', '11000003','00','Request by Mr. Saqib Saleem 01-Sep-2024 allocation no 01Oct240101');</v>
      </c>
      <c r="H80" s="46" t="str">
        <f t="shared" si="7"/>
        <v>insert into ins_premium_det (premium_rcv_code,assorted_code, rec_amount,premium_rcv_detail_code,remaining_amt, payrec, mode_code,coinsurance_code,class_cd,it_remarks) values('01Oct240101','070000163849','22997',(select max(to_number(i.premium_rcv_detail_code))+1
from ins_premium_det i),'22997','22997','02', '11000003','00','Request by Mr. Saqib Saleem 01-Sep-2024 allocation no 01Oct240101');</v>
      </c>
    </row>
    <row r="81" spans="1:8" ht="105" x14ac:dyDescent="0.25">
      <c r="A81" s="30" t="s">
        <v>655</v>
      </c>
      <c r="B81" s="33" t="s">
        <v>1777</v>
      </c>
      <c r="C81" s="31">
        <v>70342</v>
      </c>
      <c r="D81" s="43">
        <f t="shared" si="4"/>
        <v>70342</v>
      </c>
      <c r="E81" s="47" t="s">
        <v>1697</v>
      </c>
      <c r="F81" s="44" t="str">
        <f t="shared" si="5"/>
        <v>insert into ins_premium_det (premium_rcv_code,assorted_code, rec_amount,premium_rcv_detail_code,remaining_amt, payrec, mode_code,coinsurance_code,class_cd,it_remarks) values</v>
      </c>
      <c r="G81" s="45" t="str">
        <f t="shared" si="6"/>
        <v>('01Oct240101','070000163903','70342',(select max(to_number(i.premium_rcv_detail_code))+1
from ins_premium_det i),'70342','70342','02', '11000003','00','Request by Mr. Saqib Saleem 01-Sep-2024 allocation no 01Oct240101');</v>
      </c>
      <c r="H81" s="46" t="str">
        <f t="shared" si="7"/>
        <v>insert into ins_premium_det (premium_rcv_code,assorted_code, rec_amount,premium_rcv_detail_code,remaining_amt, payrec, mode_code,coinsurance_code,class_cd,it_remarks) values('01Oct240101','070000163903','70342',(select max(to_number(i.premium_rcv_detail_code))+1
from ins_premium_det i),'70342','70342','02', '11000003','00','Request by Mr. Saqib Saleem 01-Sep-2024 allocation no 01Oct240101');</v>
      </c>
    </row>
    <row r="82" spans="1:8" ht="105" x14ac:dyDescent="0.25">
      <c r="A82" s="30" t="s">
        <v>662</v>
      </c>
      <c r="B82" s="33" t="s">
        <v>1778</v>
      </c>
      <c r="C82" s="31">
        <v>55010</v>
      </c>
      <c r="D82" s="43">
        <f t="shared" si="4"/>
        <v>55010</v>
      </c>
      <c r="E82" s="47" t="s">
        <v>1697</v>
      </c>
      <c r="F82" s="44" t="str">
        <f t="shared" si="5"/>
        <v>insert into ins_premium_det (premium_rcv_code,assorted_code, rec_amount,premium_rcv_detail_code,remaining_amt, payrec, mode_code,coinsurance_code,class_cd,it_remarks) values</v>
      </c>
      <c r="G82" s="45" t="str">
        <f t="shared" si="6"/>
        <v>('01Oct240101','070000163904','55010',(select max(to_number(i.premium_rcv_detail_code))+1
from ins_premium_det i),'55010','55010','02', '11000003','00','Request by Mr. Saqib Saleem 01-Sep-2024 allocation no 01Oct240101');</v>
      </c>
      <c r="H82" s="46" t="str">
        <f t="shared" si="7"/>
        <v>insert into ins_premium_det (premium_rcv_code,assorted_code, rec_amount,premium_rcv_detail_code,remaining_amt, payrec, mode_code,coinsurance_code,class_cd,it_remarks) values('01Oct240101','070000163904','55010',(select max(to_number(i.premium_rcv_detail_code))+1
from ins_premium_det i),'55010','55010','02', '11000003','00','Request by Mr. Saqib Saleem 01-Sep-2024 allocation no 01Oct240101');</v>
      </c>
    </row>
    <row r="83" spans="1:8" ht="105" x14ac:dyDescent="0.25">
      <c r="A83" s="30" t="s">
        <v>670</v>
      </c>
      <c r="B83" s="33" t="s">
        <v>1779</v>
      </c>
      <c r="C83" s="31">
        <v>49840</v>
      </c>
      <c r="D83" s="43">
        <f t="shared" si="4"/>
        <v>49840</v>
      </c>
      <c r="E83" s="47" t="s">
        <v>1697</v>
      </c>
      <c r="F83" s="44" t="str">
        <f t="shared" si="5"/>
        <v>insert into ins_premium_det (premium_rcv_code,assorted_code, rec_amount,premium_rcv_detail_code,remaining_amt, payrec, mode_code,coinsurance_code,class_cd,it_remarks) values</v>
      </c>
      <c r="G83" s="45" t="str">
        <f t="shared" si="6"/>
        <v>('01Oct240101','070000163905','49840',(select max(to_number(i.premium_rcv_detail_code))+1
from ins_premium_det i),'49840','49840','02', '11000003','00','Request by Mr. Saqib Saleem 01-Sep-2024 allocation no 01Oct240101');</v>
      </c>
      <c r="H83" s="46" t="str">
        <f t="shared" si="7"/>
        <v>insert into ins_premium_det (premium_rcv_code,assorted_code, rec_amount,premium_rcv_detail_code,remaining_amt, payrec, mode_code,coinsurance_code,class_cd,it_remarks) values('01Oct240101','070000163905','49840',(select max(to_number(i.premium_rcv_detail_code))+1
from ins_premium_det i),'49840','49840','02', '11000003','00','Request by Mr. Saqib Saleem 01-Sep-2024 allocation no 01Oct240101');</v>
      </c>
    </row>
    <row r="84" spans="1:8" ht="105" x14ac:dyDescent="0.25">
      <c r="A84" s="30" t="s">
        <v>678</v>
      </c>
      <c r="B84" s="33" t="s">
        <v>1780</v>
      </c>
      <c r="C84" s="31">
        <v>45050</v>
      </c>
      <c r="D84" s="43">
        <f t="shared" si="4"/>
        <v>45050</v>
      </c>
      <c r="E84" s="47" t="s">
        <v>1697</v>
      </c>
      <c r="F84" s="44" t="str">
        <f t="shared" si="5"/>
        <v>insert into ins_premium_det (premium_rcv_code,assorted_code, rec_amount,premium_rcv_detail_code,remaining_amt, payrec, mode_code,coinsurance_code,class_cd,it_remarks) values</v>
      </c>
      <c r="G84" s="45" t="str">
        <f t="shared" si="6"/>
        <v>('01Oct240101','070000163907','45050',(select max(to_number(i.premium_rcv_detail_code))+1
from ins_premium_det i),'45050','45050','02', '11000003','00','Request by Mr. Saqib Saleem 01-Sep-2024 allocation no 01Oct240101');</v>
      </c>
      <c r="H84" s="46" t="str">
        <f t="shared" si="7"/>
        <v>insert into ins_premium_det (premium_rcv_code,assorted_code, rec_amount,premium_rcv_detail_code,remaining_amt, payrec, mode_code,coinsurance_code,class_cd,it_remarks) values('01Oct240101','070000163907','45050',(select max(to_number(i.premium_rcv_detail_code))+1
from ins_premium_det i),'45050','45050','02', '11000003','00','Request by Mr. Saqib Saleem 01-Sep-2024 allocation no 01Oct240101');</v>
      </c>
    </row>
    <row r="85" spans="1:8" ht="105" x14ac:dyDescent="0.25">
      <c r="A85" s="30" t="s">
        <v>685</v>
      </c>
      <c r="B85" s="33" t="s">
        <v>1781</v>
      </c>
      <c r="C85" s="31">
        <v>22997</v>
      </c>
      <c r="D85" s="43">
        <f t="shared" si="4"/>
        <v>22997</v>
      </c>
      <c r="E85" s="47" t="s">
        <v>1697</v>
      </c>
      <c r="F85" s="44" t="str">
        <f t="shared" si="5"/>
        <v>insert into ins_premium_det (premium_rcv_code,assorted_code, rec_amount,premium_rcv_detail_code,remaining_amt, payrec, mode_code,coinsurance_code,class_cd,it_remarks) values</v>
      </c>
      <c r="G85" s="45" t="str">
        <f t="shared" si="6"/>
        <v>('01Oct240101','070000163908','22997',(select max(to_number(i.premium_rcv_detail_code))+1
from ins_premium_det i),'22997','22997','02', '11000003','00','Request by Mr. Saqib Saleem 01-Sep-2024 allocation no 01Oct240101');</v>
      </c>
      <c r="H85" s="46" t="str">
        <f t="shared" si="7"/>
        <v>insert into ins_premium_det (premium_rcv_code,assorted_code, rec_amount,premium_rcv_detail_code,remaining_amt, payrec, mode_code,coinsurance_code,class_cd,it_remarks) values('01Oct240101','070000163908','22997',(select max(to_number(i.premium_rcv_detail_code))+1
from ins_premium_det i),'22997','22997','02', '11000003','00','Request by Mr. Saqib Saleem 01-Sep-2024 allocation no 01Oct240101');</v>
      </c>
    </row>
    <row r="86" spans="1:8" ht="105" x14ac:dyDescent="0.25">
      <c r="A86" s="30" t="s">
        <v>694</v>
      </c>
      <c r="B86" s="33" t="s">
        <v>1782</v>
      </c>
      <c r="C86" s="31">
        <v>64362</v>
      </c>
      <c r="D86" s="43">
        <f t="shared" si="4"/>
        <v>64362</v>
      </c>
      <c r="E86" s="47" t="s">
        <v>1697</v>
      </c>
      <c r="F86" s="44" t="str">
        <f t="shared" si="5"/>
        <v>insert into ins_premium_det (premium_rcv_code,assorted_code, rec_amount,premium_rcv_detail_code,remaining_amt, payrec, mode_code,coinsurance_code,class_cd,it_remarks) values</v>
      </c>
      <c r="G86" s="45" t="str">
        <f t="shared" si="6"/>
        <v>('01Oct240101','070000163909','64362',(select max(to_number(i.premium_rcv_detail_code))+1
from ins_premium_det i),'64362','64362','02', '11000003','00','Request by Mr. Saqib Saleem 01-Sep-2024 allocation no 01Oct240101');</v>
      </c>
      <c r="H86" s="46" t="str">
        <f t="shared" si="7"/>
        <v>insert into ins_premium_det (premium_rcv_code,assorted_code, rec_amount,premium_rcv_detail_code,remaining_amt, payrec, mode_code,coinsurance_code,class_cd,it_remarks) values('01Oct240101','070000163909','64362',(select max(to_number(i.premium_rcv_detail_code))+1
from ins_premium_det i),'64362','64362','02', '11000003','00','Request by Mr. Saqib Saleem 01-Sep-2024 allocation no 01Oct240101');</v>
      </c>
    </row>
    <row r="87" spans="1:8" ht="105" x14ac:dyDescent="0.25">
      <c r="A87" s="30" t="s">
        <v>702</v>
      </c>
      <c r="B87" s="33" t="s">
        <v>1783</v>
      </c>
      <c r="C87" s="31">
        <v>37400</v>
      </c>
      <c r="D87" s="43">
        <f t="shared" si="4"/>
        <v>37400</v>
      </c>
      <c r="E87" s="47" t="s">
        <v>1697</v>
      </c>
      <c r="F87" s="44" t="str">
        <f t="shared" si="5"/>
        <v>insert into ins_premium_det (premium_rcv_code,assorted_code, rec_amount,premium_rcv_detail_code,remaining_amt, payrec, mode_code,coinsurance_code,class_cd,it_remarks) values</v>
      </c>
      <c r="G87" s="45" t="str">
        <f t="shared" si="6"/>
        <v>('01Oct240101','070000163910','37400',(select max(to_number(i.premium_rcv_detail_code))+1
from ins_premium_det i),'37400','37400','02', '11000003','00','Request by Mr. Saqib Saleem 01-Sep-2024 allocation no 01Oct240101');</v>
      </c>
      <c r="H87" s="46" t="str">
        <f t="shared" si="7"/>
        <v>insert into ins_premium_det (premium_rcv_code,assorted_code, rec_amount,premium_rcv_detail_code,remaining_amt, payrec, mode_code,coinsurance_code,class_cd,it_remarks) values('01Oct240101','070000163910','37400',(select max(to_number(i.premium_rcv_detail_code))+1
from ins_premium_det i),'37400','37400','02', '11000003','00','Request by Mr. Saqib Saleem 01-Sep-2024 allocation no 01Oct240101');</v>
      </c>
    </row>
    <row r="88" spans="1:8" ht="105" x14ac:dyDescent="0.25">
      <c r="A88" s="30" t="s">
        <v>710</v>
      </c>
      <c r="B88" s="33" t="s">
        <v>1784</v>
      </c>
      <c r="C88" s="31">
        <v>56100</v>
      </c>
      <c r="D88" s="43">
        <f t="shared" si="4"/>
        <v>56100</v>
      </c>
      <c r="E88" s="47" t="s">
        <v>1697</v>
      </c>
      <c r="F88" s="44" t="str">
        <f t="shared" si="5"/>
        <v>insert into ins_premium_det (premium_rcv_code,assorted_code, rec_amount,premium_rcv_detail_code,remaining_amt, payrec, mode_code,coinsurance_code,class_cd,it_remarks) values</v>
      </c>
      <c r="G88" s="45" t="str">
        <f t="shared" si="6"/>
        <v>('01Oct240101','070000163912','56100',(select max(to_number(i.premium_rcv_detail_code))+1
from ins_premium_det i),'56100','56100','02', '11000003','00','Request by Mr. Saqib Saleem 01-Sep-2024 allocation no 01Oct240101');</v>
      </c>
      <c r="H88" s="46" t="str">
        <f t="shared" si="7"/>
        <v>insert into ins_premium_det (premium_rcv_code,assorted_code, rec_amount,premium_rcv_detail_code,remaining_amt, payrec, mode_code,coinsurance_code,class_cd,it_remarks) values('01Oct240101','070000163912','56100',(select max(to_number(i.premium_rcv_detail_code))+1
from ins_premium_det i),'56100','56100','02', '11000003','00','Request by Mr. Saqib Saleem 01-Sep-2024 allocation no 01Oct240101');</v>
      </c>
    </row>
    <row r="89" spans="1:8" ht="105" x14ac:dyDescent="0.25">
      <c r="A89" s="30" t="s">
        <v>717</v>
      </c>
      <c r="B89" s="33" t="s">
        <v>1785</v>
      </c>
      <c r="C89" s="31">
        <v>80312</v>
      </c>
      <c r="D89" s="43">
        <f t="shared" si="4"/>
        <v>80312</v>
      </c>
      <c r="E89" s="47" t="s">
        <v>1697</v>
      </c>
      <c r="F89" s="44" t="str">
        <f t="shared" si="5"/>
        <v>insert into ins_premium_det (premium_rcv_code,assorted_code, rec_amount,premium_rcv_detail_code,remaining_amt, payrec, mode_code,coinsurance_code,class_cd,it_remarks) values</v>
      </c>
      <c r="G89" s="45" t="str">
        <f t="shared" si="6"/>
        <v>('01Oct240101','070000163913','80312',(select max(to_number(i.premium_rcv_detail_code))+1
from ins_premium_det i),'80312','80312','02', '11000003','00','Request by Mr. Saqib Saleem 01-Sep-2024 allocation no 01Oct240101');</v>
      </c>
      <c r="H89" s="46" t="str">
        <f t="shared" si="7"/>
        <v>insert into ins_premium_det (premium_rcv_code,assorted_code, rec_amount,premium_rcv_detail_code,remaining_amt, payrec, mode_code,coinsurance_code,class_cd,it_remarks) values('01Oct240101','070000163913','80312',(select max(to_number(i.premium_rcv_detail_code))+1
from ins_premium_det i),'80312','80312','02', '11000003','00','Request by Mr. Saqib Saleem 01-Sep-2024 allocation no 01Oct240101');</v>
      </c>
    </row>
    <row r="90" spans="1:8" ht="105" x14ac:dyDescent="0.25">
      <c r="A90" s="30" t="s">
        <v>725</v>
      </c>
      <c r="B90" s="33" t="s">
        <v>1786</v>
      </c>
      <c r="C90" s="31">
        <v>19427</v>
      </c>
      <c r="D90" s="43">
        <f t="shared" si="4"/>
        <v>19427</v>
      </c>
      <c r="E90" s="47" t="s">
        <v>1697</v>
      </c>
      <c r="F90" s="44" t="str">
        <f t="shared" si="5"/>
        <v>insert into ins_premium_det (premium_rcv_code,assorted_code, rec_amount,premium_rcv_detail_code,remaining_amt, payrec, mode_code,coinsurance_code,class_cd,it_remarks) values</v>
      </c>
      <c r="G90" s="45" t="str">
        <f t="shared" si="6"/>
        <v>('01Oct240101','070000163850','19427',(select max(to_number(i.premium_rcv_detail_code))+1
from ins_premium_det i),'19427','19427','02', '11000003','00','Request by Mr. Saqib Saleem 01-Sep-2024 allocation no 01Oct240101');</v>
      </c>
      <c r="H90" s="46" t="str">
        <f t="shared" si="7"/>
        <v>insert into ins_premium_det (premium_rcv_code,assorted_code, rec_amount,premium_rcv_detail_code,remaining_amt, payrec, mode_code,coinsurance_code,class_cd,it_remarks) values('01Oct240101','070000163850','19427',(select max(to_number(i.premium_rcv_detail_code))+1
from ins_premium_det i),'19427','19427','02', '11000003','00','Request by Mr. Saqib Saleem 01-Sep-2024 allocation no 01Oct240101');</v>
      </c>
    </row>
    <row r="91" spans="1:8" ht="105" x14ac:dyDescent="0.25">
      <c r="A91" s="30" t="s">
        <v>732</v>
      </c>
      <c r="B91" s="33" t="s">
        <v>1787</v>
      </c>
      <c r="C91" s="31">
        <v>44200</v>
      </c>
      <c r="D91" s="43">
        <f t="shared" si="4"/>
        <v>44200</v>
      </c>
      <c r="E91" s="47" t="s">
        <v>1697</v>
      </c>
      <c r="F91" s="44" t="str">
        <f t="shared" si="5"/>
        <v>insert into ins_premium_det (premium_rcv_code,assorted_code, rec_amount,premium_rcv_detail_code,remaining_amt, payrec, mode_code,coinsurance_code,class_cd,it_remarks) values</v>
      </c>
      <c r="G91" s="45" t="str">
        <f t="shared" si="6"/>
        <v>('01Oct240101','070000163914','44200',(select max(to_number(i.premium_rcv_detail_code))+1
from ins_premium_det i),'44200','44200','02', '11000003','00','Request by Mr. Saqib Saleem 01-Sep-2024 allocation no 01Oct240101');</v>
      </c>
      <c r="H91" s="46" t="str">
        <f t="shared" si="7"/>
        <v>insert into ins_premium_det (premium_rcv_code,assorted_code, rec_amount,premium_rcv_detail_code,remaining_amt, payrec, mode_code,coinsurance_code,class_cd,it_remarks) values('01Oct240101','070000163914','44200',(select max(to_number(i.premium_rcv_detail_code))+1
from ins_premium_det i),'44200','44200','02', '11000003','00','Request by Mr. Saqib Saleem 01-Sep-2024 allocation no 01Oct240101');</v>
      </c>
    </row>
    <row r="92" spans="1:8" ht="105" x14ac:dyDescent="0.25">
      <c r="A92" s="30" t="s">
        <v>740</v>
      </c>
      <c r="B92" s="33" t="s">
        <v>1788</v>
      </c>
      <c r="C92" s="31">
        <v>24608</v>
      </c>
      <c r="D92" s="43">
        <f t="shared" si="4"/>
        <v>24608</v>
      </c>
      <c r="E92" s="47" t="s">
        <v>1697</v>
      </c>
      <c r="F92" s="44" t="str">
        <f t="shared" si="5"/>
        <v>insert into ins_premium_det (premium_rcv_code,assorted_code, rec_amount,premium_rcv_detail_code,remaining_amt, payrec, mode_code,coinsurance_code,class_cd,it_remarks) values</v>
      </c>
      <c r="G92" s="45" t="str">
        <f t="shared" si="6"/>
        <v>('01Oct240101','070000163916','24608',(select max(to_number(i.premium_rcv_detail_code))+1
from ins_premium_det i),'24608','24608','02', '11000003','00','Request by Mr. Saqib Saleem 01-Sep-2024 allocation no 01Oct240101');</v>
      </c>
      <c r="H92" s="46" t="str">
        <f t="shared" si="7"/>
        <v>insert into ins_premium_det (premium_rcv_code,assorted_code, rec_amount,premium_rcv_detail_code,remaining_amt, payrec, mode_code,coinsurance_code,class_cd,it_remarks) values('01Oct240101','070000163916','24608',(select max(to_number(i.premium_rcv_detail_code))+1
from ins_premium_det i),'24608','24608','02', '11000003','00','Request by Mr. Saqib Saleem 01-Sep-2024 allocation no 01Oct240101');</v>
      </c>
    </row>
    <row r="93" spans="1:8" ht="105" x14ac:dyDescent="0.25">
      <c r="A93" s="30" t="s">
        <v>747</v>
      </c>
      <c r="B93" s="33" t="s">
        <v>1789</v>
      </c>
      <c r="C93" s="31">
        <v>51000</v>
      </c>
      <c r="D93" s="43">
        <f t="shared" si="4"/>
        <v>51000</v>
      </c>
      <c r="E93" s="47" t="s">
        <v>1697</v>
      </c>
      <c r="F93" s="44" t="str">
        <f t="shared" si="5"/>
        <v>insert into ins_premium_det (premium_rcv_code,assorted_code, rec_amount,premium_rcv_detail_code,remaining_amt, payrec, mode_code,coinsurance_code,class_cd,it_remarks) values</v>
      </c>
      <c r="G93" s="45" t="str">
        <f t="shared" si="6"/>
        <v>('01Oct240101','070000163919','51000',(select max(to_number(i.premium_rcv_detail_code))+1
from ins_premium_det i),'51000','51000','02', '11000003','00','Request by Mr. Saqib Saleem 01-Sep-2024 allocation no 01Oct240101');</v>
      </c>
      <c r="H93" s="46" t="str">
        <f t="shared" si="7"/>
        <v>insert into ins_premium_det (premium_rcv_code,assorted_code, rec_amount,premium_rcv_detail_code,remaining_amt, payrec, mode_code,coinsurance_code,class_cd,it_remarks) values('01Oct240101','070000163919','51000',(select max(to_number(i.premium_rcv_detail_code))+1
from ins_premium_det i),'51000','51000','02', '11000003','00','Request by Mr. Saqib Saleem 01-Sep-2024 allocation no 01Oct240101');</v>
      </c>
    </row>
    <row r="94" spans="1:8" ht="105" x14ac:dyDescent="0.25">
      <c r="A94" s="30" t="s">
        <v>756</v>
      </c>
      <c r="B94" s="33" t="s">
        <v>1790</v>
      </c>
      <c r="C94" s="31">
        <v>25987</v>
      </c>
      <c r="D94" s="43">
        <f t="shared" si="4"/>
        <v>25987</v>
      </c>
      <c r="E94" s="47" t="s">
        <v>1697</v>
      </c>
      <c r="F94" s="44" t="str">
        <f t="shared" si="5"/>
        <v>insert into ins_premium_det (premium_rcv_code,assorted_code, rec_amount,premium_rcv_detail_code,remaining_amt, payrec, mode_code,coinsurance_code,class_cd,it_remarks) values</v>
      </c>
      <c r="G94" s="45" t="str">
        <f t="shared" si="6"/>
        <v>('01Oct240101','070000163920','25987',(select max(to_number(i.premium_rcv_detail_code))+1
from ins_premium_det i),'25987','25987','02', '11000003','00','Request by Mr. Saqib Saleem 01-Sep-2024 allocation no 01Oct240101');</v>
      </c>
      <c r="H94" s="46" t="str">
        <f t="shared" si="7"/>
        <v>insert into ins_premium_det (premium_rcv_code,assorted_code, rec_amount,premium_rcv_detail_code,remaining_amt, payrec, mode_code,coinsurance_code,class_cd,it_remarks) values('01Oct240101','070000163920','25987',(select max(to_number(i.premium_rcv_detail_code))+1
from ins_premium_det i),'25987','25987','02', '11000003','00','Request by Mr. Saqib Saleem 01-Sep-2024 allocation no 01Oct240101');</v>
      </c>
    </row>
    <row r="95" spans="1:8" ht="105" x14ac:dyDescent="0.25">
      <c r="A95" s="30" t="s">
        <v>763</v>
      </c>
      <c r="B95" s="33" t="s">
        <v>1791</v>
      </c>
      <c r="C95" s="31">
        <v>37383</v>
      </c>
      <c r="D95" s="43">
        <f t="shared" si="4"/>
        <v>37383</v>
      </c>
      <c r="E95" s="47" t="s">
        <v>1697</v>
      </c>
      <c r="F95" s="44" t="str">
        <f t="shared" si="5"/>
        <v>insert into ins_premium_det (premium_rcv_code,assorted_code, rec_amount,premium_rcv_detail_code,remaining_amt, payrec, mode_code,coinsurance_code,class_cd,it_remarks) values</v>
      </c>
      <c r="G95" s="45" t="str">
        <f t="shared" si="6"/>
        <v>('01Oct240101','070000163852','37383',(select max(to_number(i.premium_rcv_detail_code))+1
from ins_premium_det i),'37383','37383','02', '11000003','00','Request by Mr. Saqib Saleem 01-Sep-2024 allocation no 01Oct240101');</v>
      </c>
      <c r="H95" s="46" t="str">
        <f t="shared" si="7"/>
        <v>insert into ins_premium_det (premium_rcv_code,assorted_code, rec_amount,premium_rcv_detail_code,remaining_amt, payrec, mode_code,coinsurance_code,class_cd,it_remarks) values('01Oct240101','070000163852','37383',(select max(to_number(i.premium_rcv_detail_code))+1
from ins_premium_det i),'37383','37383','02', '11000003','00','Request by Mr. Saqib Saleem 01-Sep-2024 allocation no 01Oct240101');</v>
      </c>
    </row>
    <row r="96" spans="1:8" ht="105" x14ac:dyDescent="0.25">
      <c r="A96" s="30" t="s">
        <v>770</v>
      </c>
      <c r="B96" s="33" t="s">
        <v>1792</v>
      </c>
      <c r="C96" s="31">
        <v>54187</v>
      </c>
      <c r="D96" s="43">
        <f t="shared" si="4"/>
        <v>54187</v>
      </c>
      <c r="E96" s="47" t="s">
        <v>1697</v>
      </c>
      <c r="F96" s="44" t="str">
        <f t="shared" si="5"/>
        <v>insert into ins_premium_det (premium_rcv_code,assorted_code, rec_amount,premium_rcv_detail_code,remaining_amt, payrec, mode_code,coinsurance_code,class_cd,it_remarks) values</v>
      </c>
      <c r="G96" s="45" t="str">
        <f t="shared" si="6"/>
        <v>('01Oct240101','070000163853','54187',(select max(to_number(i.premium_rcv_detail_code))+1
from ins_premium_det i),'54187','54187','02', '11000003','00','Request by Mr. Saqib Saleem 01-Sep-2024 allocation no 01Oct240101');</v>
      </c>
      <c r="H96" s="46" t="str">
        <f t="shared" si="7"/>
        <v>insert into ins_premium_det (premium_rcv_code,assorted_code, rec_amount,premium_rcv_detail_code,remaining_amt, payrec, mode_code,coinsurance_code,class_cd,it_remarks) values('01Oct240101','070000163853','54187',(select max(to_number(i.premium_rcv_detail_code))+1
from ins_premium_det i),'54187','54187','02', '11000003','00','Request by Mr. Saqib Saleem 01-Sep-2024 allocation no 01Oct240101');</v>
      </c>
    </row>
    <row r="97" spans="1:8" ht="105" x14ac:dyDescent="0.25">
      <c r="A97" s="30" t="s">
        <v>777</v>
      </c>
      <c r="B97" s="33" t="s">
        <v>1793</v>
      </c>
      <c r="C97" s="31">
        <v>32853</v>
      </c>
      <c r="D97" s="43">
        <f t="shared" si="4"/>
        <v>32853</v>
      </c>
      <c r="E97" s="47" t="s">
        <v>1697</v>
      </c>
      <c r="F97" s="44" t="str">
        <f t="shared" si="5"/>
        <v>insert into ins_premium_det (premium_rcv_code,assorted_code, rec_amount,premium_rcv_detail_code,remaining_amt, payrec, mode_code,coinsurance_code,class_cd,it_remarks) values</v>
      </c>
      <c r="G97" s="45" t="str">
        <f t="shared" si="6"/>
        <v>('01Oct240101','070000163856','32853',(select max(to_number(i.premium_rcv_detail_code))+1
from ins_premium_det i),'32853','32853','02', '11000003','00','Request by Mr. Saqib Saleem 01-Sep-2024 allocation no 01Oct240101');</v>
      </c>
      <c r="H97" s="46" t="str">
        <f t="shared" si="7"/>
        <v>insert into ins_premium_det (premium_rcv_code,assorted_code, rec_amount,premium_rcv_detail_code,remaining_amt, payrec, mode_code,coinsurance_code,class_cd,it_remarks) values('01Oct240101','070000163856','32853',(select max(to_number(i.premium_rcv_detail_code))+1
from ins_premium_det i),'32853','32853','02', '11000003','00','Request by Mr. Saqib Saleem 01-Sep-2024 allocation no 01Oct240101');</v>
      </c>
    </row>
    <row r="98" spans="1:8" ht="105" x14ac:dyDescent="0.25">
      <c r="A98" s="30" t="s">
        <v>784</v>
      </c>
      <c r="B98" s="33" t="s">
        <v>1794</v>
      </c>
      <c r="C98" s="31">
        <v>27768</v>
      </c>
      <c r="D98" s="43">
        <f t="shared" si="4"/>
        <v>27768</v>
      </c>
      <c r="E98" s="47" t="s">
        <v>1697</v>
      </c>
      <c r="F98" s="44" t="str">
        <f t="shared" si="5"/>
        <v>insert into ins_premium_det (premium_rcv_code,assorted_code, rec_amount,premium_rcv_detail_code,remaining_amt, payrec, mode_code,coinsurance_code,class_cd,it_remarks) values</v>
      </c>
      <c r="G98" s="45" t="str">
        <f t="shared" si="6"/>
        <v>('01Oct240101','070000163921','27768',(select max(to_number(i.premium_rcv_detail_code))+1
from ins_premium_det i),'27768','27768','02', '11000003','00','Request by Mr. Saqib Saleem 01-Sep-2024 allocation no 01Oct240101');</v>
      </c>
      <c r="H98" s="46" t="str">
        <f t="shared" si="7"/>
        <v>insert into ins_premium_det (premium_rcv_code,assorted_code, rec_amount,premium_rcv_detail_code,remaining_amt, payrec, mode_code,coinsurance_code,class_cd,it_remarks) values('01Oct240101','070000163921','27768',(select max(to_number(i.premium_rcv_detail_code))+1
from ins_premium_det i),'27768','27768','02', '11000003','00','Request by Mr. Saqib Saleem 01-Sep-2024 allocation no 01Oct240101');</v>
      </c>
    </row>
    <row r="99" spans="1:8" ht="105" x14ac:dyDescent="0.25">
      <c r="A99" s="30" t="s">
        <v>793</v>
      </c>
      <c r="B99" s="33" t="s">
        <v>1795</v>
      </c>
      <c r="C99" s="31">
        <v>52460</v>
      </c>
      <c r="D99" s="43">
        <f t="shared" si="4"/>
        <v>52460</v>
      </c>
      <c r="E99" s="47" t="s">
        <v>1697</v>
      </c>
      <c r="F99" s="44" t="str">
        <f t="shared" si="5"/>
        <v>insert into ins_premium_det (premium_rcv_code,assorted_code, rec_amount,premium_rcv_detail_code,remaining_amt, payrec, mode_code,coinsurance_code,class_cd,it_remarks) values</v>
      </c>
      <c r="G99" s="45" t="str">
        <f t="shared" si="6"/>
        <v>('01Oct240101','070000163931','52460',(select max(to_number(i.premium_rcv_detail_code))+1
from ins_premium_det i),'52460','52460','02', '11000003','00','Request by Mr. Saqib Saleem 01-Sep-2024 allocation no 01Oct240101');</v>
      </c>
      <c r="H99" s="46" t="str">
        <f t="shared" si="7"/>
        <v>insert into ins_premium_det (premium_rcv_code,assorted_code, rec_amount,premium_rcv_detail_code,remaining_amt, payrec, mode_code,coinsurance_code,class_cd,it_remarks) values('01Oct240101','070000163931','52460',(select max(to_number(i.premium_rcv_detail_code))+1
from ins_premium_det i),'52460','52460','02', '11000003','00','Request by Mr. Saqib Saleem 01-Sep-2024 allocation no 01Oct240101');</v>
      </c>
    </row>
    <row r="100" spans="1:8" ht="105" x14ac:dyDescent="0.25">
      <c r="A100" s="30" t="s">
        <v>800</v>
      </c>
      <c r="B100" s="33" t="s">
        <v>1796</v>
      </c>
      <c r="C100" s="31">
        <v>111708</v>
      </c>
      <c r="D100" s="43">
        <f t="shared" si="4"/>
        <v>111708</v>
      </c>
      <c r="E100" s="47" t="s">
        <v>1697</v>
      </c>
      <c r="F100" s="44" t="str">
        <f t="shared" si="5"/>
        <v>insert into ins_premium_det (premium_rcv_code,assorted_code, rec_amount,premium_rcv_detail_code,remaining_amt, payrec, mode_code,coinsurance_code,class_cd,it_remarks) values</v>
      </c>
      <c r="G100" s="45" t="str">
        <f t="shared" si="6"/>
        <v>('01Oct240101','070000163935','111708',(select max(to_number(i.premium_rcv_detail_code))+1
from ins_premium_det i),'111708','111708','02', '11000003','00','Request by Mr. Saqib Saleem 01-Sep-2024 allocation no 01Oct240101');</v>
      </c>
      <c r="H100" s="46" t="str">
        <f t="shared" si="7"/>
        <v>insert into ins_premium_det (premium_rcv_code,assorted_code, rec_amount,premium_rcv_detail_code,remaining_amt, payrec, mode_code,coinsurance_code,class_cd,it_remarks) values('01Oct240101','070000163935','111708',(select max(to_number(i.premium_rcv_detail_code))+1
from ins_premium_det i),'111708','111708','02', '11000003','00','Request by Mr. Saqib Saleem 01-Sep-2024 allocation no 01Oct240101');</v>
      </c>
    </row>
    <row r="101" spans="1:8" ht="105" x14ac:dyDescent="0.25">
      <c r="A101" s="30" t="s">
        <v>808</v>
      </c>
      <c r="B101" s="33" t="s">
        <v>1797</v>
      </c>
      <c r="C101" s="31">
        <v>57000</v>
      </c>
      <c r="D101" s="43">
        <f t="shared" si="4"/>
        <v>57000</v>
      </c>
      <c r="E101" s="47" t="s">
        <v>1697</v>
      </c>
      <c r="F101" s="44" t="str">
        <f t="shared" si="5"/>
        <v>insert into ins_premium_det (premium_rcv_code,assorted_code, rec_amount,premium_rcv_detail_code,remaining_amt, payrec, mode_code,coinsurance_code,class_cd,it_remarks) values</v>
      </c>
      <c r="G101" s="45" t="str">
        <f t="shared" si="6"/>
        <v>('01Oct240101','070000163936','57000',(select max(to_number(i.premium_rcv_detail_code))+1
from ins_premium_det i),'57000','57000','02', '11000003','00','Request by Mr. Saqib Saleem 01-Sep-2024 allocation no 01Oct240101');</v>
      </c>
      <c r="H101" s="46" t="str">
        <f t="shared" si="7"/>
        <v>insert into ins_premium_det (premium_rcv_code,assorted_code, rec_amount,premium_rcv_detail_code,remaining_amt, payrec, mode_code,coinsurance_code,class_cd,it_remarks) values('01Oct240101','070000163936','57000',(select max(to_number(i.premium_rcv_detail_code))+1
from ins_premium_det i),'57000','57000','02', '11000003','00','Request by Mr. Saqib Saleem 01-Sep-2024 allocation no 01Oct240101');</v>
      </c>
    </row>
    <row r="102" spans="1:8" ht="105" x14ac:dyDescent="0.25">
      <c r="A102" s="30" t="s">
        <v>815</v>
      </c>
      <c r="B102" s="33" t="s">
        <v>1798</v>
      </c>
      <c r="C102" s="31">
        <v>29780</v>
      </c>
      <c r="D102" s="43">
        <f t="shared" si="4"/>
        <v>29780</v>
      </c>
      <c r="E102" s="47" t="s">
        <v>1697</v>
      </c>
      <c r="F102" s="44" t="str">
        <f t="shared" si="5"/>
        <v>insert into ins_premium_det (premium_rcv_code,assorted_code, rec_amount,premium_rcv_detail_code,remaining_amt, payrec, mode_code,coinsurance_code,class_cd,it_remarks) values</v>
      </c>
      <c r="G102" s="45" t="str">
        <f t="shared" si="6"/>
        <v>('01Oct240101','070000163940','29780',(select max(to_number(i.premium_rcv_detail_code))+1
from ins_premium_det i),'29780','29780','02', '11000003','00','Request by Mr. Saqib Saleem 01-Sep-2024 allocation no 01Oct240101');</v>
      </c>
      <c r="H102" s="46" t="str">
        <f t="shared" si="7"/>
        <v>insert into ins_premium_det (premium_rcv_code,assorted_code, rec_amount,premium_rcv_detail_code,remaining_amt, payrec, mode_code,coinsurance_code,class_cd,it_remarks) values('01Oct240101','070000163940','29780',(select max(to_number(i.premium_rcv_detail_code))+1
from ins_premium_det i),'29780','29780','02', '11000003','00','Request by Mr. Saqib Saleem 01-Sep-2024 allocation no 01Oct240101');</v>
      </c>
    </row>
    <row r="103" spans="1:8" ht="105" x14ac:dyDescent="0.25">
      <c r="A103" s="30" t="s">
        <v>822</v>
      </c>
      <c r="B103" s="33" t="s">
        <v>1799</v>
      </c>
      <c r="C103" s="31">
        <v>111708</v>
      </c>
      <c r="D103" s="43">
        <f t="shared" si="4"/>
        <v>111708</v>
      </c>
      <c r="E103" s="47" t="s">
        <v>1697</v>
      </c>
      <c r="F103" s="44" t="str">
        <f t="shared" si="5"/>
        <v>insert into ins_premium_det (premium_rcv_code,assorted_code, rec_amount,premium_rcv_detail_code,remaining_amt, payrec, mode_code,coinsurance_code,class_cd,it_remarks) values</v>
      </c>
      <c r="G103" s="45" t="str">
        <f t="shared" si="6"/>
        <v>('01Oct240101','070000163941','111708',(select max(to_number(i.premium_rcv_detail_code))+1
from ins_premium_det i),'111708','111708','02', '11000003','00','Request by Mr. Saqib Saleem 01-Sep-2024 allocation no 01Oct240101');</v>
      </c>
      <c r="H103" s="46" t="str">
        <f t="shared" si="7"/>
        <v>insert into ins_premium_det (premium_rcv_code,assorted_code, rec_amount,premium_rcv_detail_code,remaining_amt, payrec, mode_code,coinsurance_code,class_cd,it_remarks) values('01Oct240101','070000163941','111708',(select max(to_number(i.premium_rcv_detail_code))+1
from ins_premium_det i),'111708','111708','02', '11000003','00','Request by Mr. Saqib Saleem 01-Sep-2024 allocation no 01Oct240101');</v>
      </c>
    </row>
    <row r="104" spans="1:8" ht="105" x14ac:dyDescent="0.25">
      <c r="A104" s="30" t="s">
        <v>830</v>
      </c>
      <c r="B104" s="33" t="s">
        <v>1800</v>
      </c>
      <c r="C104" s="31">
        <v>41000</v>
      </c>
      <c r="D104" s="43">
        <f t="shared" si="4"/>
        <v>41000</v>
      </c>
      <c r="E104" s="47" t="s">
        <v>1697</v>
      </c>
      <c r="F104" s="44" t="str">
        <f t="shared" si="5"/>
        <v>insert into ins_premium_det (premium_rcv_code,assorted_code, rec_amount,premium_rcv_detail_code,remaining_amt, payrec, mode_code,coinsurance_code,class_cd,it_remarks) values</v>
      </c>
      <c r="G104" s="45" t="str">
        <f t="shared" si="6"/>
        <v>('01Oct240101','070000163942','41000',(select max(to_number(i.premium_rcv_detail_code))+1
from ins_premium_det i),'41000','41000','02', '11000003','00','Request by Mr. Saqib Saleem 01-Sep-2024 allocation no 01Oct240101');</v>
      </c>
      <c r="H104" s="46" t="str">
        <f t="shared" si="7"/>
        <v>insert into ins_premium_det (premium_rcv_code,assorted_code, rec_amount,premium_rcv_detail_code,remaining_amt, payrec, mode_code,coinsurance_code,class_cd,it_remarks) values('01Oct240101','070000163942','41000',(select max(to_number(i.premium_rcv_detail_code))+1
from ins_premium_det i),'41000','41000','02', '11000003','00','Request by Mr. Saqib Saleem 01-Sep-2024 allocation no 01Oct240101');</v>
      </c>
    </row>
    <row r="105" spans="1:8" ht="105" x14ac:dyDescent="0.25">
      <c r="A105" s="30" t="s">
        <v>837</v>
      </c>
      <c r="B105" s="33" t="s">
        <v>1801</v>
      </c>
      <c r="C105" s="31">
        <v>36600</v>
      </c>
      <c r="D105" s="43">
        <f t="shared" si="4"/>
        <v>36600</v>
      </c>
      <c r="E105" s="47" t="s">
        <v>1697</v>
      </c>
      <c r="F105" s="44" t="str">
        <f t="shared" si="5"/>
        <v>insert into ins_premium_det (premium_rcv_code,assorted_code, rec_amount,premium_rcv_detail_code,remaining_amt, payrec, mode_code,coinsurance_code,class_cd,it_remarks) values</v>
      </c>
      <c r="G105" s="45" t="str">
        <f t="shared" si="6"/>
        <v>('01Oct240101','070000163946','36600',(select max(to_number(i.premium_rcv_detail_code))+1
from ins_premium_det i),'36600','36600','02', '11000003','00','Request by Mr. Saqib Saleem 01-Sep-2024 allocation no 01Oct240101');</v>
      </c>
      <c r="H105" s="46" t="str">
        <f t="shared" si="7"/>
        <v>insert into ins_premium_det (premium_rcv_code,assorted_code, rec_amount,premium_rcv_detail_code,remaining_amt, payrec, mode_code,coinsurance_code,class_cd,it_remarks) values('01Oct240101','070000163946','36600',(select max(to_number(i.premium_rcv_detail_code))+1
from ins_premium_det i),'36600','36600','02', '11000003','00','Request by Mr. Saqib Saleem 01-Sep-2024 allocation no 01Oct240101');</v>
      </c>
    </row>
    <row r="106" spans="1:8" ht="105" x14ac:dyDescent="0.25">
      <c r="A106" s="30" t="s">
        <v>845</v>
      </c>
      <c r="B106" s="33" t="s">
        <v>1802</v>
      </c>
      <c r="C106" s="31">
        <v>30780</v>
      </c>
      <c r="D106" s="43">
        <f t="shared" si="4"/>
        <v>30780</v>
      </c>
      <c r="E106" s="47" t="s">
        <v>1697</v>
      </c>
      <c r="F106" s="44" t="str">
        <f t="shared" si="5"/>
        <v>insert into ins_premium_det (premium_rcv_code,assorted_code, rec_amount,premium_rcv_detail_code,remaining_amt, payrec, mode_code,coinsurance_code,class_cd,it_remarks) values</v>
      </c>
      <c r="G106" s="45" t="str">
        <f t="shared" si="6"/>
        <v>('01Oct240101','070000163947','30780',(select max(to_number(i.premium_rcv_detail_code))+1
from ins_premium_det i),'30780','30780','02', '11000003','00','Request by Mr. Saqib Saleem 01-Sep-2024 allocation no 01Oct240101');</v>
      </c>
      <c r="H106" s="46" t="str">
        <f t="shared" si="7"/>
        <v>insert into ins_premium_det (premium_rcv_code,assorted_code, rec_amount,premium_rcv_detail_code,remaining_amt, payrec, mode_code,coinsurance_code,class_cd,it_remarks) values('01Oct240101','070000163947','30780',(select max(to_number(i.premium_rcv_detail_code))+1
from ins_premium_det i),'30780','30780','02', '11000003','00','Request by Mr. Saqib Saleem 01-Sep-2024 allocation no 01Oct240101');</v>
      </c>
    </row>
    <row r="107" spans="1:8" ht="105" x14ac:dyDescent="0.25">
      <c r="A107" s="30" t="s">
        <v>852</v>
      </c>
      <c r="B107" s="33" t="s">
        <v>1803</v>
      </c>
      <c r="C107" s="31">
        <v>48144</v>
      </c>
      <c r="D107" s="43">
        <f t="shared" si="4"/>
        <v>48144</v>
      </c>
      <c r="E107" s="47" t="s">
        <v>1697</v>
      </c>
      <c r="F107" s="44" t="str">
        <f t="shared" si="5"/>
        <v>insert into ins_premium_det (premium_rcv_code,assorted_code, rec_amount,premium_rcv_detail_code,remaining_amt, payrec, mode_code,coinsurance_code,class_cd,it_remarks) values</v>
      </c>
      <c r="G107" s="45" t="str">
        <f t="shared" si="6"/>
        <v>('01Oct240101','070000163948','48144',(select max(to_number(i.premium_rcv_detail_code))+1
from ins_premium_det i),'48144','48144','02', '11000003','00','Request by Mr. Saqib Saleem 01-Sep-2024 allocation no 01Oct240101');</v>
      </c>
      <c r="H107" s="46" t="str">
        <f t="shared" si="7"/>
        <v>insert into ins_premium_det (premium_rcv_code,assorted_code, rec_amount,premium_rcv_detail_code,remaining_amt, payrec, mode_code,coinsurance_code,class_cd,it_remarks) values('01Oct240101','070000163948','48144',(select max(to_number(i.premium_rcv_detail_code))+1
from ins_premium_det i),'48144','48144','02', '11000003','00','Request by Mr. Saqib Saleem 01-Sep-2024 allocation no 01Oct240101');</v>
      </c>
    </row>
    <row r="108" spans="1:8" ht="105" x14ac:dyDescent="0.25">
      <c r="A108" s="30" t="s">
        <v>859</v>
      </c>
      <c r="B108" s="33" t="s">
        <v>1804</v>
      </c>
      <c r="C108" s="31">
        <v>36000</v>
      </c>
      <c r="D108" s="43">
        <f t="shared" si="4"/>
        <v>36000</v>
      </c>
      <c r="E108" s="47" t="s">
        <v>1697</v>
      </c>
      <c r="F108" s="44" t="str">
        <f t="shared" si="5"/>
        <v>insert into ins_premium_det (premium_rcv_code,assorted_code, rec_amount,premium_rcv_detail_code,remaining_amt, payrec, mode_code,coinsurance_code,class_cd,it_remarks) values</v>
      </c>
      <c r="G108" s="45" t="str">
        <f t="shared" si="6"/>
        <v>('01Oct240101','070000163949','36000',(select max(to_number(i.premium_rcv_detail_code))+1
from ins_premium_det i),'36000','36000','02', '11000003','00','Request by Mr. Saqib Saleem 01-Sep-2024 allocation no 01Oct240101');</v>
      </c>
      <c r="H108" s="46" t="str">
        <f t="shared" si="7"/>
        <v>insert into ins_premium_det (premium_rcv_code,assorted_code, rec_amount,premium_rcv_detail_code,remaining_amt, payrec, mode_code,coinsurance_code,class_cd,it_remarks) values('01Oct240101','070000163949','36000',(select max(to_number(i.premium_rcv_detail_code))+1
from ins_premium_det i),'36000','36000','02', '11000003','00','Request by Mr. Saqib Saleem 01-Sep-2024 allocation no 01Oct240101');</v>
      </c>
    </row>
    <row r="109" spans="1:8" ht="105" x14ac:dyDescent="0.25">
      <c r="A109" s="30" t="s">
        <v>866</v>
      </c>
      <c r="B109" s="33" t="s">
        <v>1805</v>
      </c>
      <c r="C109" s="31">
        <v>32660</v>
      </c>
      <c r="D109" s="43">
        <f t="shared" si="4"/>
        <v>32660</v>
      </c>
      <c r="E109" s="47" t="s">
        <v>1697</v>
      </c>
      <c r="F109" s="44" t="str">
        <f t="shared" si="5"/>
        <v>insert into ins_premium_det (premium_rcv_code,assorted_code, rec_amount,premium_rcv_detail_code,remaining_amt, payrec, mode_code,coinsurance_code,class_cd,it_remarks) values</v>
      </c>
      <c r="G109" s="45" t="str">
        <f t="shared" si="6"/>
        <v>('01Oct240101','070000163922','32660',(select max(to_number(i.premium_rcv_detail_code))+1
from ins_premium_det i),'32660','32660','02', '11000003','00','Request by Mr. Saqib Saleem 01-Sep-2024 allocation no 01Oct240101');</v>
      </c>
      <c r="H109" s="46" t="str">
        <f t="shared" si="7"/>
        <v>insert into ins_premium_det (premium_rcv_code,assorted_code, rec_amount,premium_rcv_detail_code,remaining_amt, payrec, mode_code,coinsurance_code,class_cd,it_remarks) values('01Oct240101','070000163922','32660',(select max(to_number(i.premium_rcv_detail_code))+1
from ins_premium_det i),'32660','32660','02', '11000003','00','Request by Mr. Saqib Saleem 01-Sep-2024 allocation no 01Oct240101');</v>
      </c>
    </row>
    <row r="110" spans="1:8" ht="105" x14ac:dyDescent="0.25">
      <c r="A110" s="30" t="s">
        <v>873</v>
      </c>
      <c r="B110" s="33" t="s">
        <v>1806</v>
      </c>
      <c r="C110" s="31">
        <v>49620</v>
      </c>
      <c r="D110" s="43">
        <f t="shared" si="4"/>
        <v>49620</v>
      </c>
      <c r="E110" s="47" t="s">
        <v>1697</v>
      </c>
      <c r="F110" s="44" t="str">
        <f t="shared" si="5"/>
        <v>insert into ins_premium_det (premium_rcv_code,assorted_code, rec_amount,premium_rcv_detail_code,remaining_amt, payrec, mode_code,coinsurance_code,class_cd,it_remarks) values</v>
      </c>
      <c r="G110" s="45" t="str">
        <f t="shared" si="6"/>
        <v>('01Oct240101','070000163950','49620',(select max(to_number(i.premium_rcv_detail_code))+1
from ins_premium_det i),'49620','49620','02', '11000003','00','Request by Mr. Saqib Saleem 01-Sep-2024 allocation no 01Oct240101');</v>
      </c>
      <c r="H110" s="46" t="str">
        <f t="shared" si="7"/>
        <v>insert into ins_premium_det (premium_rcv_code,assorted_code, rec_amount,premium_rcv_detail_code,remaining_amt, payrec, mode_code,coinsurance_code,class_cd,it_remarks) values('01Oct240101','070000163950','49620',(select max(to_number(i.premium_rcv_detail_code))+1
from ins_premium_det i),'49620','49620','02', '11000003','00','Request by Mr. Saqib Saleem 01-Sep-2024 allocation no 01Oct240101');</v>
      </c>
    </row>
    <row r="111" spans="1:8" ht="105" x14ac:dyDescent="0.25">
      <c r="A111" s="30" t="s">
        <v>881</v>
      </c>
      <c r="B111" s="33" t="s">
        <v>1807</v>
      </c>
      <c r="C111" s="31">
        <v>26700</v>
      </c>
      <c r="D111" s="43">
        <f t="shared" si="4"/>
        <v>26700</v>
      </c>
      <c r="E111" s="47" t="s">
        <v>1697</v>
      </c>
      <c r="F111" s="44" t="str">
        <f t="shared" si="5"/>
        <v>insert into ins_premium_det (premium_rcv_code,assorted_code, rec_amount,premium_rcv_detail_code,remaining_amt, payrec, mode_code,coinsurance_code,class_cd,it_remarks) values</v>
      </c>
      <c r="G111" s="45" t="str">
        <f t="shared" si="6"/>
        <v>('01Oct240101','070000163951','26700',(select max(to_number(i.premium_rcv_detail_code))+1
from ins_premium_det i),'26700','26700','02', '11000003','00','Request by Mr. Saqib Saleem 01-Sep-2024 allocation no 01Oct240101');</v>
      </c>
      <c r="H111" s="46" t="str">
        <f t="shared" si="7"/>
        <v>insert into ins_premium_det (premium_rcv_code,assorted_code, rec_amount,premium_rcv_detail_code,remaining_amt, payrec, mode_code,coinsurance_code,class_cd,it_remarks) values('01Oct240101','070000163951','26700',(select max(to_number(i.premium_rcv_detail_code))+1
from ins_premium_det i),'26700','26700','02', '11000003','00','Request by Mr. Saqib Saleem 01-Sep-2024 allocation no 01Oct240101');</v>
      </c>
    </row>
    <row r="112" spans="1:8" ht="105" x14ac:dyDescent="0.25">
      <c r="A112" s="30" t="s">
        <v>888</v>
      </c>
      <c r="B112" s="33" t="s">
        <v>1808</v>
      </c>
      <c r="C112" s="31">
        <v>36600</v>
      </c>
      <c r="D112" s="43">
        <f t="shared" si="4"/>
        <v>36600</v>
      </c>
      <c r="E112" s="47" t="s">
        <v>1697</v>
      </c>
      <c r="F112" s="44" t="str">
        <f t="shared" si="5"/>
        <v>insert into ins_premium_det (premium_rcv_code,assorted_code, rec_amount,premium_rcv_detail_code,remaining_amt, payrec, mode_code,coinsurance_code,class_cd,it_remarks) values</v>
      </c>
      <c r="G112" s="45" t="str">
        <f t="shared" si="6"/>
        <v>('01Oct240101','070000163952','36600',(select max(to_number(i.premium_rcv_detail_code))+1
from ins_premium_det i),'36600','36600','02', '11000003','00','Request by Mr. Saqib Saleem 01-Sep-2024 allocation no 01Oct240101');</v>
      </c>
      <c r="H112" s="46" t="str">
        <f t="shared" si="7"/>
        <v>insert into ins_premium_det (premium_rcv_code,assorted_code, rec_amount,premium_rcv_detail_code,remaining_amt, payrec, mode_code,coinsurance_code,class_cd,it_remarks) values('01Oct240101','070000163952','36600',(select max(to_number(i.premium_rcv_detail_code))+1
from ins_premium_det i),'36600','36600','02', '11000003','00','Request by Mr. Saqib Saleem 01-Sep-2024 allocation no 01Oct240101');</v>
      </c>
    </row>
    <row r="113" spans="1:8" ht="105" x14ac:dyDescent="0.25">
      <c r="A113" s="30" t="s">
        <v>895</v>
      </c>
      <c r="B113" s="33" t="s">
        <v>1809</v>
      </c>
      <c r="C113" s="31">
        <v>31637</v>
      </c>
      <c r="D113" s="43">
        <f t="shared" si="4"/>
        <v>31637</v>
      </c>
      <c r="E113" s="47" t="s">
        <v>1697</v>
      </c>
      <c r="F113" s="44" t="str">
        <f t="shared" si="5"/>
        <v>insert into ins_premium_det (premium_rcv_code,assorted_code, rec_amount,premium_rcv_detail_code,remaining_amt, payrec, mode_code,coinsurance_code,class_cd,it_remarks) values</v>
      </c>
      <c r="G113" s="45" t="str">
        <f t="shared" si="6"/>
        <v>('01Oct240101','070000163957','31637',(select max(to_number(i.premium_rcv_detail_code))+1
from ins_premium_det i),'31637','31637','02', '11000003','00','Request by Mr. Saqib Saleem 01-Sep-2024 allocation no 01Oct240101');</v>
      </c>
      <c r="H113" s="46" t="str">
        <f t="shared" si="7"/>
        <v>insert into ins_premium_det (premium_rcv_code,assorted_code, rec_amount,premium_rcv_detail_code,remaining_amt, payrec, mode_code,coinsurance_code,class_cd,it_remarks) values('01Oct240101','070000163957','31637',(select max(to_number(i.premium_rcv_detail_code))+1
from ins_premium_det i),'31637','31637','02', '11000003','00','Request by Mr. Saqib Saleem 01-Sep-2024 allocation no 01Oct240101');</v>
      </c>
    </row>
    <row r="114" spans="1:8" ht="105" x14ac:dyDescent="0.25">
      <c r="A114" s="30" t="s">
        <v>902</v>
      </c>
      <c r="B114" s="33" t="s">
        <v>1810</v>
      </c>
      <c r="C114" s="31">
        <v>20980</v>
      </c>
      <c r="D114" s="43">
        <f t="shared" si="4"/>
        <v>20980</v>
      </c>
      <c r="E114" s="47" t="s">
        <v>1697</v>
      </c>
      <c r="F114" s="44" t="str">
        <f t="shared" si="5"/>
        <v>insert into ins_premium_det (premium_rcv_code,assorted_code, rec_amount,premium_rcv_detail_code,remaining_amt, payrec, mode_code,coinsurance_code,class_cd,it_remarks) values</v>
      </c>
      <c r="G114" s="45" t="str">
        <f t="shared" si="6"/>
        <v>('01Oct240101','070000163961','20980',(select max(to_number(i.premium_rcv_detail_code))+1
from ins_premium_det i),'20980','20980','02', '11000003','00','Request by Mr. Saqib Saleem 01-Sep-2024 allocation no 01Oct240101');</v>
      </c>
      <c r="H114" s="46" t="str">
        <f t="shared" si="7"/>
        <v>insert into ins_premium_det (premium_rcv_code,assorted_code, rec_amount,premium_rcv_detail_code,remaining_amt, payrec, mode_code,coinsurance_code,class_cd,it_remarks) values('01Oct240101','070000163961','20980',(select max(to_number(i.premium_rcv_detail_code))+1
from ins_premium_det i),'20980','20980','02', '11000003','00','Request by Mr. Saqib Saleem 01-Sep-2024 allocation no 01Oct240101');</v>
      </c>
    </row>
    <row r="115" spans="1:8" ht="105" x14ac:dyDescent="0.25">
      <c r="A115" s="30" t="s">
        <v>909</v>
      </c>
      <c r="B115" s="33" t="s">
        <v>1811</v>
      </c>
      <c r="C115" s="31">
        <v>36600</v>
      </c>
      <c r="D115" s="43">
        <f t="shared" si="4"/>
        <v>36600</v>
      </c>
      <c r="E115" s="47" t="s">
        <v>1697</v>
      </c>
      <c r="F115" s="44" t="str">
        <f t="shared" si="5"/>
        <v>insert into ins_premium_det (premium_rcv_code,assorted_code, rec_amount,premium_rcv_detail_code,remaining_amt, payrec, mode_code,coinsurance_code,class_cd,it_remarks) values</v>
      </c>
      <c r="G115" s="45" t="str">
        <f t="shared" si="6"/>
        <v>('01Oct240101','070000163965','36600',(select max(to_number(i.premium_rcv_detail_code))+1
from ins_premium_det i),'36600','36600','02', '11000003','00','Request by Mr. Saqib Saleem 01-Sep-2024 allocation no 01Oct240101');</v>
      </c>
      <c r="H115" s="46" t="str">
        <f t="shared" si="7"/>
        <v>insert into ins_premium_det (premium_rcv_code,assorted_code, rec_amount,premium_rcv_detail_code,remaining_amt, payrec, mode_code,coinsurance_code,class_cd,it_remarks) values('01Oct240101','070000163965','36600',(select max(to_number(i.premium_rcv_detail_code))+1
from ins_premium_det i),'36600','36600','02', '11000003','00','Request by Mr. Saqib Saleem 01-Sep-2024 allocation no 01Oct240101');</v>
      </c>
    </row>
    <row r="116" spans="1:8" ht="105" x14ac:dyDescent="0.25">
      <c r="A116" s="30" t="s">
        <v>917</v>
      </c>
      <c r="B116" s="33" t="s">
        <v>1812</v>
      </c>
      <c r="C116" s="31">
        <v>65820</v>
      </c>
      <c r="D116" s="43">
        <f t="shared" si="4"/>
        <v>65820</v>
      </c>
      <c r="E116" s="47" t="s">
        <v>1697</v>
      </c>
      <c r="F116" s="44" t="str">
        <f t="shared" si="5"/>
        <v>insert into ins_premium_det (premium_rcv_code,assorted_code, rec_amount,premium_rcv_detail_code,remaining_amt, payrec, mode_code,coinsurance_code,class_cd,it_remarks) values</v>
      </c>
      <c r="G116" s="45" t="str">
        <f t="shared" si="6"/>
        <v>('01Oct240101','070000163966','65820',(select max(to_number(i.premium_rcv_detail_code))+1
from ins_premium_det i),'65820','65820','02', '11000003','00','Request by Mr. Saqib Saleem 01-Sep-2024 allocation no 01Oct240101');</v>
      </c>
      <c r="H116" s="46" t="str">
        <f t="shared" si="7"/>
        <v>insert into ins_premium_det (premium_rcv_code,assorted_code, rec_amount,premium_rcv_detail_code,remaining_amt, payrec, mode_code,coinsurance_code,class_cd,it_remarks) values('01Oct240101','070000163966','65820',(select max(to_number(i.premium_rcv_detail_code))+1
from ins_premium_det i),'65820','65820','02', '11000003','00','Request by Mr. Saqib Saleem 01-Sep-2024 allocation no 01Oct240101');</v>
      </c>
    </row>
    <row r="117" spans="1:8" ht="105" x14ac:dyDescent="0.25">
      <c r="A117" s="30" t="s">
        <v>926</v>
      </c>
      <c r="B117" s="33" t="s">
        <v>1813</v>
      </c>
      <c r="C117" s="31">
        <v>36120</v>
      </c>
      <c r="D117" s="43">
        <f t="shared" si="4"/>
        <v>36120</v>
      </c>
      <c r="E117" s="47" t="s">
        <v>1697</v>
      </c>
      <c r="F117" s="44" t="str">
        <f t="shared" si="5"/>
        <v>insert into ins_premium_det (premium_rcv_code,assorted_code, rec_amount,premium_rcv_detail_code,remaining_amt, payrec, mode_code,coinsurance_code,class_cd,it_remarks) values</v>
      </c>
      <c r="G117" s="45" t="str">
        <f t="shared" si="6"/>
        <v>('01Oct240101','070000163967','36120',(select max(to_number(i.premium_rcv_detail_code))+1
from ins_premium_det i),'36120','36120','02', '11000003','00','Request by Mr. Saqib Saleem 01-Sep-2024 allocation no 01Oct240101');</v>
      </c>
      <c r="H117" s="46" t="str">
        <f t="shared" si="7"/>
        <v>insert into ins_premium_det (premium_rcv_code,assorted_code, rec_amount,premium_rcv_detail_code,remaining_amt, payrec, mode_code,coinsurance_code,class_cd,it_remarks) values('01Oct240101','070000163967','36120',(select max(to_number(i.premium_rcv_detail_code))+1
from ins_premium_det i),'36120','36120','02', '11000003','00','Request by Mr. Saqib Saleem 01-Sep-2024 allocation no 01Oct240101');</v>
      </c>
    </row>
    <row r="118" spans="1:8" ht="105" x14ac:dyDescent="0.25">
      <c r="A118" s="30" t="s">
        <v>933</v>
      </c>
      <c r="B118" s="33" t="s">
        <v>1814</v>
      </c>
      <c r="C118" s="31">
        <v>65000</v>
      </c>
      <c r="D118" s="43">
        <f t="shared" si="4"/>
        <v>65000</v>
      </c>
      <c r="E118" s="47" t="s">
        <v>1697</v>
      </c>
      <c r="F118" s="44" t="str">
        <f t="shared" si="5"/>
        <v>insert into ins_premium_det (premium_rcv_code,assorted_code, rec_amount,premium_rcv_detail_code,remaining_amt, payrec, mode_code,coinsurance_code,class_cd,it_remarks) values</v>
      </c>
      <c r="G118" s="45" t="str">
        <f t="shared" si="6"/>
        <v>('01Oct240101','070000163969','65000',(select max(to_number(i.premium_rcv_detail_code))+1
from ins_premium_det i),'65000','65000','02', '11000003','00','Request by Mr. Saqib Saleem 01-Sep-2024 allocation no 01Oct240101');</v>
      </c>
      <c r="H118" s="46" t="str">
        <f t="shared" si="7"/>
        <v>insert into ins_premium_det (premium_rcv_code,assorted_code, rec_amount,premium_rcv_detail_code,remaining_amt, payrec, mode_code,coinsurance_code,class_cd,it_remarks) values('01Oct240101','070000163969','65000',(select max(to_number(i.premium_rcv_detail_code))+1
from ins_premium_det i),'65000','65000','02', '11000003','00','Request by Mr. Saqib Saleem 01-Sep-2024 allocation no 01Oct240101');</v>
      </c>
    </row>
    <row r="119" spans="1:8" ht="105" x14ac:dyDescent="0.25">
      <c r="A119" s="30" t="s">
        <v>942</v>
      </c>
      <c r="B119" s="33" t="s">
        <v>1815</v>
      </c>
      <c r="C119" s="31">
        <v>42600</v>
      </c>
      <c r="D119" s="43">
        <f t="shared" si="4"/>
        <v>42600</v>
      </c>
      <c r="E119" s="47" t="s">
        <v>1697</v>
      </c>
      <c r="F119" s="44" t="str">
        <f t="shared" si="5"/>
        <v>insert into ins_premium_det (premium_rcv_code,assorted_code, rec_amount,premium_rcv_detail_code,remaining_amt, payrec, mode_code,coinsurance_code,class_cd,it_remarks) values</v>
      </c>
      <c r="G119" s="45" t="str">
        <f t="shared" si="6"/>
        <v>('01Oct240101','070000163923','42600',(select max(to_number(i.premium_rcv_detail_code))+1
from ins_premium_det i),'42600','42600','02', '11000003','00','Request by Mr. Saqib Saleem 01-Sep-2024 allocation no 01Oct240101');</v>
      </c>
      <c r="H119" s="46" t="str">
        <f t="shared" si="7"/>
        <v>insert into ins_premium_det (premium_rcv_code,assorted_code, rec_amount,premium_rcv_detail_code,remaining_amt, payrec, mode_code,coinsurance_code,class_cd,it_remarks) values('01Oct240101','070000163923','42600',(select max(to_number(i.premium_rcv_detail_code))+1
from ins_premium_det i),'42600','42600','02', '11000003','00','Request by Mr. Saqib Saleem 01-Sep-2024 allocation no 01Oct240101');</v>
      </c>
    </row>
    <row r="120" spans="1:8" ht="105" x14ac:dyDescent="0.25">
      <c r="A120" s="30" t="s">
        <v>949</v>
      </c>
      <c r="B120" s="33" t="s">
        <v>1816</v>
      </c>
      <c r="C120" s="31">
        <v>67600</v>
      </c>
      <c r="D120" s="43">
        <f t="shared" si="4"/>
        <v>67600</v>
      </c>
      <c r="E120" s="47" t="s">
        <v>1697</v>
      </c>
      <c r="F120" s="44" t="str">
        <f t="shared" si="5"/>
        <v>insert into ins_premium_det (premium_rcv_code,assorted_code, rec_amount,premium_rcv_detail_code,remaining_amt, payrec, mode_code,coinsurance_code,class_cd,it_remarks) values</v>
      </c>
      <c r="G120" s="45" t="str">
        <f t="shared" si="6"/>
        <v>('01Oct240101','070000163970','67600',(select max(to_number(i.premium_rcv_detail_code))+1
from ins_premium_det i),'67600','67600','02', '11000003','00','Request by Mr. Saqib Saleem 01-Sep-2024 allocation no 01Oct240101');</v>
      </c>
      <c r="H120" s="46" t="str">
        <f t="shared" si="7"/>
        <v>insert into ins_premium_det (premium_rcv_code,assorted_code, rec_amount,premium_rcv_detail_code,remaining_amt, payrec, mode_code,coinsurance_code,class_cd,it_remarks) values('01Oct240101','070000163970','67600',(select max(to_number(i.premium_rcv_detail_code))+1
from ins_premium_det i),'67600','67600','02', '11000003','00','Request by Mr. Saqib Saleem 01-Sep-2024 allocation no 01Oct240101');</v>
      </c>
    </row>
    <row r="121" spans="1:8" ht="105" x14ac:dyDescent="0.25">
      <c r="A121" s="30" t="s">
        <v>956</v>
      </c>
      <c r="B121" s="33" t="s">
        <v>1817</v>
      </c>
      <c r="C121" s="31">
        <v>91800</v>
      </c>
      <c r="D121" s="43">
        <f t="shared" si="4"/>
        <v>91800</v>
      </c>
      <c r="E121" s="47" t="s">
        <v>1697</v>
      </c>
      <c r="F121" s="44" t="str">
        <f t="shared" si="5"/>
        <v>insert into ins_premium_det (premium_rcv_code,assorted_code, rec_amount,premium_rcv_detail_code,remaining_amt, payrec, mode_code,coinsurance_code,class_cd,it_remarks) values</v>
      </c>
      <c r="G121" s="45" t="str">
        <f t="shared" si="6"/>
        <v>('01Oct240101','070000163971','91800',(select max(to_number(i.premium_rcv_detail_code))+1
from ins_premium_det i),'91800','91800','02', '11000003','00','Request by Mr. Saqib Saleem 01-Sep-2024 allocation no 01Oct240101');</v>
      </c>
      <c r="H121" s="46" t="str">
        <f t="shared" si="7"/>
        <v>insert into ins_premium_det (premium_rcv_code,assorted_code, rec_amount,premium_rcv_detail_code,remaining_amt, payrec, mode_code,coinsurance_code,class_cd,it_remarks) values('01Oct240101','070000163971','91800',(select max(to_number(i.premium_rcv_detail_code))+1
from ins_premium_det i),'91800','91800','02', '11000003','00','Request by Mr. Saqib Saleem 01-Sep-2024 allocation no 01Oct240101');</v>
      </c>
    </row>
    <row r="122" spans="1:8" ht="105" x14ac:dyDescent="0.25">
      <c r="A122" s="30" t="s">
        <v>963</v>
      </c>
      <c r="B122" s="33" t="s">
        <v>1818</v>
      </c>
      <c r="C122" s="31">
        <v>64000</v>
      </c>
      <c r="D122" s="43">
        <f t="shared" si="4"/>
        <v>64000</v>
      </c>
      <c r="E122" s="47" t="s">
        <v>1697</v>
      </c>
      <c r="F122" s="44" t="str">
        <f t="shared" si="5"/>
        <v>insert into ins_premium_det (premium_rcv_code,assorted_code, rec_amount,premium_rcv_detail_code,remaining_amt, payrec, mode_code,coinsurance_code,class_cd,it_remarks) values</v>
      </c>
      <c r="G122" s="45" t="str">
        <f t="shared" si="6"/>
        <v>('01Oct240101','070000163973','64000',(select max(to_number(i.premium_rcv_detail_code))+1
from ins_premium_det i),'64000','64000','02', '11000003','00','Request by Mr. Saqib Saleem 01-Sep-2024 allocation no 01Oct240101');</v>
      </c>
      <c r="H122" s="46" t="str">
        <f t="shared" si="7"/>
        <v>insert into ins_premium_det (premium_rcv_code,assorted_code, rec_amount,premium_rcv_detail_code,remaining_amt, payrec, mode_code,coinsurance_code,class_cd,it_remarks) values('01Oct240101','070000163973','64000',(select max(to_number(i.premium_rcv_detail_code))+1
from ins_premium_det i),'64000','64000','02', '11000003','00','Request by Mr. Saqib Saleem 01-Sep-2024 allocation no 01Oct240101');</v>
      </c>
    </row>
    <row r="123" spans="1:8" ht="105" x14ac:dyDescent="0.25">
      <c r="A123" s="30" t="s">
        <v>972</v>
      </c>
      <c r="B123" s="33" t="s">
        <v>1819</v>
      </c>
      <c r="C123" s="31">
        <v>48144</v>
      </c>
      <c r="D123" s="43">
        <f t="shared" si="4"/>
        <v>48144</v>
      </c>
      <c r="E123" s="47" t="s">
        <v>1697</v>
      </c>
      <c r="F123" s="44" t="str">
        <f t="shared" si="5"/>
        <v>insert into ins_premium_det (premium_rcv_code,assorted_code, rec_amount,premium_rcv_detail_code,remaining_amt, payrec, mode_code,coinsurance_code,class_cd,it_remarks) values</v>
      </c>
      <c r="G123" s="45" t="str">
        <f t="shared" si="6"/>
        <v>('01Oct240101','070000163975','48144',(select max(to_number(i.premium_rcv_detail_code))+1
from ins_premium_det i),'48144','48144','02', '11000003','00','Request by Mr. Saqib Saleem 01-Sep-2024 allocation no 01Oct240101');</v>
      </c>
      <c r="H123" s="46" t="str">
        <f t="shared" si="7"/>
        <v>insert into ins_premium_det (premium_rcv_code,assorted_code, rec_amount,premium_rcv_detail_code,remaining_amt, payrec, mode_code,coinsurance_code,class_cd,it_remarks) values('01Oct240101','070000163975','48144',(select max(to_number(i.premium_rcv_detail_code))+1
from ins_premium_det i),'48144','48144','02', '11000003','00','Request by Mr. Saqib Saleem 01-Sep-2024 allocation no 01Oct240101');</v>
      </c>
    </row>
    <row r="124" spans="1:8" ht="105" x14ac:dyDescent="0.25">
      <c r="A124" s="30" t="s">
        <v>979</v>
      </c>
      <c r="B124" s="33" t="s">
        <v>1820</v>
      </c>
      <c r="C124" s="31">
        <v>59886</v>
      </c>
      <c r="D124" s="43">
        <f t="shared" si="4"/>
        <v>59886</v>
      </c>
      <c r="E124" s="47" t="s">
        <v>1697</v>
      </c>
      <c r="F124" s="44" t="str">
        <f t="shared" si="5"/>
        <v>insert into ins_premium_det (premium_rcv_code,assorted_code, rec_amount,premium_rcv_detail_code,remaining_amt, payrec, mode_code,coinsurance_code,class_cd,it_remarks) values</v>
      </c>
      <c r="G124" s="45" t="str">
        <f t="shared" si="6"/>
        <v>('01Oct240101','070000163977','59886',(select max(to_number(i.premium_rcv_detail_code))+1
from ins_premium_det i),'59886','59886','02', '11000003','00','Request by Mr. Saqib Saleem 01-Sep-2024 allocation no 01Oct240101');</v>
      </c>
      <c r="H124" s="46" t="str">
        <f t="shared" si="7"/>
        <v>insert into ins_premium_det (premium_rcv_code,assorted_code, rec_amount,premium_rcv_detail_code,remaining_amt, payrec, mode_code,coinsurance_code,class_cd,it_remarks) values('01Oct240101','070000163977','59886',(select max(to_number(i.premium_rcv_detail_code))+1
from ins_premium_det i),'59886','59886','02', '11000003','00','Request by Mr. Saqib Saleem 01-Sep-2024 allocation no 01Oct240101');</v>
      </c>
    </row>
    <row r="125" spans="1:8" ht="105" x14ac:dyDescent="0.25">
      <c r="A125" s="30" t="s">
        <v>987</v>
      </c>
      <c r="B125" s="33" t="s">
        <v>1821</v>
      </c>
      <c r="C125" s="31">
        <v>49780</v>
      </c>
      <c r="D125" s="43">
        <f t="shared" si="4"/>
        <v>49780</v>
      </c>
      <c r="E125" s="47" t="s">
        <v>1697</v>
      </c>
      <c r="F125" s="44" t="str">
        <f t="shared" si="5"/>
        <v>insert into ins_premium_det (premium_rcv_code,assorted_code, rec_amount,premium_rcv_detail_code,remaining_amt, payrec, mode_code,coinsurance_code,class_cd,it_remarks) values</v>
      </c>
      <c r="G125" s="45" t="str">
        <f t="shared" si="6"/>
        <v>('01Oct240101','070000163978','49780',(select max(to_number(i.premium_rcv_detail_code))+1
from ins_premium_det i),'49780','49780','02', '11000003','00','Request by Mr. Saqib Saleem 01-Sep-2024 allocation no 01Oct240101');</v>
      </c>
      <c r="H125" s="46" t="str">
        <f t="shared" si="7"/>
        <v>insert into ins_premium_det (premium_rcv_code,assorted_code, rec_amount,premium_rcv_detail_code,remaining_amt, payrec, mode_code,coinsurance_code,class_cd,it_remarks) values('01Oct240101','070000163978','49780',(select max(to_number(i.premium_rcv_detail_code))+1
from ins_premium_det i),'49780','49780','02', '11000003','00','Request by Mr. Saqib Saleem 01-Sep-2024 allocation no 01Oct240101');</v>
      </c>
    </row>
    <row r="126" spans="1:8" ht="105" x14ac:dyDescent="0.25">
      <c r="A126" s="30" t="s">
        <v>994</v>
      </c>
      <c r="B126" s="33" t="s">
        <v>1822</v>
      </c>
      <c r="C126" s="31">
        <v>22260</v>
      </c>
      <c r="D126" s="43">
        <f t="shared" si="4"/>
        <v>22260</v>
      </c>
      <c r="E126" s="47" t="s">
        <v>1697</v>
      </c>
      <c r="F126" s="44" t="str">
        <f t="shared" si="5"/>
        <v>insert into ins_premium_det (premium_rcv_code,assorted_code, rec_amount,premium_rcv_detail_code,remaining_amt, payrec, mode_code,coinsurance_code,class_cd,it_remarks) values</v>
      </c>
      <c r="G126" s="45" t="str">
        <f t="shared" si="6"/>
        <v>('01Oct240101','070000163980','22260',(select max(to_number(i.premium_rcv_detail_code))+1
from ins_premium_det i),'22260','22260','02', '11000003','00','Request by Mr. Saqib Saleem 01-Sep-2024 allocation no 01Oct240101');</v>
      </c>
      <c r="H126" s="46" t="str">
        <f t="shared" si="7"/>
        <v>insert into ins_premium_det (premium_rcv_code,assorted_code, rec_amount,premium_rcv_detail_code,remaining_amt, payrec, mode_code,coinsurance_code,class_cd,it_remarks) values('01Oct240101','070000163980','22260',(select max(to_number(i.premium_rcv_detail_code))+1
from ins_premium_det i),'22260','22260','02', '11000003','00','Request by Mr. Saqib Saleem 01-Sep-2024 allocation no 01Oct240101');</v>
      </c>
    </row>
    <row r="127" spans="1:8" ht="105" x14ac:dyDescent="0.25">
      <c r="A127" s="30" t="s">
        <v>1002</v>
      </c>
      <c r="B127" s="33" t="s">
        <v>1823</v>
      </c>
      <c r="C127" s="31">
        <v>53760</v>
      </c>
      <c r="D127" s="43">
        <f t="shared" si="4"/>
        <v>53760</v>
      </c>
      <c r="E127" s="47" t="s">
        <v>1697</v>
      </c>
      <c r="F127" s="44" t="str">
        <f t="shared" si="5"/>
        <v>insert into ins_premium_det (premium_rcv_code,assorted_code, rec_amount,premium_rcv_detail_code,remaining_amt, payrec, mode_code,coinsurance_code,class_cd,it_remarks) values</v>
      </c>
      <c r="G127" s="45" t="str">
        <f t="shared" si="6"/>
        <v>('01Oct240101','070000163924','53760',(select max(to_number(i.premium_rcv_detail_code))+1
from ins_premium_det i),'53760','53760','02', '11000003','00','Request by Mr. Saqib Saleem 01-Sep-2024 allocation no 01Oct240101');</v>
      </c>
      <c r="H127" s="46" t="str">
        <f t="shared" si="7"/>
        <v>insert into ins_premium_det (premium_rcv_code,assorted_code, rec_amount,premium_rcv_detail_code,remaining_amt, payrec, mode_code,coinsurance_code,class_cd,it_remarks) values('01Oct240101','070000163924','53760',(select max(to_number(i.premium_rcv_detail_code))+1
from ins_premium_det i),'53760','53760','02', '11000003','00','Request by Mr. Saqib Saleem 01-Sep-2024 allocation no 01Oct240101');</v>
      </c>
    </row>
    <row r="128" spans="1:8" ht="105" x14ac:dyDescent="0.25">
      <c r="A128" s="30" t="s">
        <v>1010</v>
      </c>
      <c r="B128" s="33" t="s">
        <v>1824</v>
      </c>
      <c r="C128" s="31">
        <v>32200</v>
      </c>
      <c r="D128" s="43">
        <f t="shared" si="4"/>
        <v>32200</v>
      </c>
      <c r="E128" s="47" t="s">
        <v>1697</v>
      </c>
      <c r="F128" s="44" t="str">
        <f t="shared" si="5"/>
        <v>insert into ins_premium_det (premium_rcv_code,assorted_code, rec_amount,premium_rcv_detail_code,remaining_amt, payrec, mode_code,coinsurance_code,class_cd,it_remarks) values</v>
      </c>
      <c r="G128" s="45" t="str">
        <f t="shared" si="6"/>
        <v>('01Oct240101','070000163925','32200',(select max(to_number(i.premium_rcv_detail_code))+1
from ins_premium_det i),'32200','32200','02', '11000003','00','Request by Mr. Saqib Saleem 01-Sep-2024 allocation no 01Oct240101');</v>
      </c>
      <c r="H128" s="46" t="str">
        <f t="shared" si="7"/>
        <v>insert into ins_premium_det (premium_rcv_code,assorted_code, rec_amount,premium_rcv_detail_code,remaining_amt, payrec, mode_code,coinsurance_code,class_cd,it_remarks) values('01Oct240101','070000163925','32200',(select max(to_number(i.premium_rcv_detail_code))+1
from ins_premium_det i),'32200','32200','02', '11000003','00','Request by Mr. Saqib Saleem 01-Sep-2024 allocation no 01Oct240101');</v>
      </c>
    </row>
    <row r="129" spans="1:8" ht="105" x14ac:dyDescent="0.25">
      <c r="A129" s="30" t="s">
        <v>1017</v>
      </c>
      <c r="B129" s="33" t="s">
        <v>1825</v>
      </c>
      <c r="C129" s="31">
        <v>31637</v>
      </c>
      <c r="D129" s="43">
        <f t="shared" si="4"/>
        <v>31637</v>
      </c>
      <c r="E129" s="47" t="s">
        <v>1697</v>
      </c>
      <c r="F129" s="44" t="str">
        <f t="shared" si="5"/>
        <v>insert into ins_premium_det (premium_rcv_code,assorted_code, rec_amount,premium_rcv_detail_code,remaining_amt, payrec, mode_code,coinsurance_code,class_cd,it_remarks) values</v>
      </c>
      <c r="G129" s="45" t="str">
        <f t="shared" si="6"/>
        <v>('01Oct240101','070000163926','31637',(select max(to_number(i.premium_rcv_detail_code))+1
from ins_premium_det i),'31637','31637','02', '11000003','00','Request by Mr. Saqib Saleem 01-Sep-2024 allocation no 01Oct240101');</v>
      </c>
      <c r="H129" s="46" t="str">
        <f t="shared" si="7"/>
        <v>insert into ins_premium_det (premium_rcv_code,assorted_code, rec_amount,premium_rcv_detail_code,remaining_amt, payrec, mode_code,coinsurance_code,class_cd,it_remarks) values('01Oct240101','070000163926','31637',(select max(to_number(i.premium_rcv_detail_code))+1
from ins_premium_det i),'31637','31637','02', '11000003','00','Request by Mr. Saqib Saleem 01-Sep-2024 allocation no 01Oct240101');</v>
      </c>
    </row>
    <row r="130" spans="1:8" ht="105" x14ac:dyDescent="0.25">
      <c r="A130" s="30" t="s">
        <v>1024</v>
      </c>
      <c r="B130" s="33" t="s">
        <v>1826</v>
      </c>
      <c r="C130" s="31">
        <v>40560</v>
      </c>
      <c r="D130" s="43">
        <f t="shared" si="4"/>
        <v>40560</v>
      </c>
      <c r="E130" s="47" t="s">
        <v>1697</v>
      </c>
      <c r="F130" s="44" t="str">
        <f t="shared" si="5"/>
        <v>insert into ins_premium_det (premium_rcv_code,assorted_code, rec_amount,premium_rcv_detail_code,remaining_amt, payrec, mode_code,coinsurance_code,class_cd,it_remarks) values</v>
      </c>
      <c r="G130" s="45" t="str">
        <f t="shared" si="6"/>
        <v>('01Oct240101','070000163927','40560',(select max(to_number(i.premium_rcv_detail_code))+1
from ins_premium_det i),'40560','40560','02', '11000003','00','Request by Mr. Saqib Saleem 01-Sep-2024 allocation no 01Oct240101');</v>
      </c>
      <c r="H130" s="46" t="str">
        <f t="shared" si="7"/>
        <v>insert into ins_premium_det (premium_rcv_code,assorted_code, rec_amount,premium_rcv_detail_code,remaining_amt, payrec, mode_code,coinsurance_code,class_cd,it_remarks) values('01Oct240101','070000163927','40560',(select max(to_number(i.premium_rcv_detail_code))+1
from ins_premium_det i),'40560','40560','02', '11000003','00','Request by Mr. Saqib Saleem 01-Sep-2024 allocation no 01Oct240101');</v>
      </c>
    </row>
    <row r="131" spans="1:8" ht="105" x14ac:dyDescent="0.25">
      <c r="A131" s="30" t="s">
        <v>1031</v>
      </c>
      <c r="B131" s="33" t="s">
        <v>1827</v>
      </c>
      <c r="C131" s="31">
        <v>26700</v>
      </c>
      <c r="D131" s="43">
        <f t="shared" ref="D131:D168" si="8">ROUND(C131,0)</f>
        <v>26700</v>
      </c>
      <c r="E131" s="47" t="s">
        <v>1697</v>
      </c>
      <c r="F131" s="44" t="str">
        <f t="shared" ref="F131:F168" si="9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1" s="45" t="str">
        <f t="shared" ref="G131:G168" si="10">"('"&amp;E131&amp;"','"&amp;B131&amp;"','"&amp;D131&amp;"',(select max(to_number(i.premium_rcv_detail_code))+1
from ins_premium_det i),'"&amp;D131&amp;"','"&amp;D131&amp;"','02', '11000003','00','Request by Mr. Saqib Saleem 01-Sep-2024 allocation no 01Oct240101');"</f>
        <v>('01Oct240101','070000163929','26700',(select max(to_number(i.premium_rcv_detail_code))+1
from ins_premium_det i),'26700','26700','02', '11000003','00','Request by Mr. Saqib Saleem 01-Sep-2024 allocation no 01Oct240101');</v>
      </c>
      <c r="H131" s="46" t="str">
        <f t="shared" ref="H131:H168" si="11">F131&amp;G131</f>
        <v>insert into ins_premium_det (premium_rcv_code,assorted_code, rec_amount,premium_rcv_detail_code,remaining_amt, payrec, mode_code,coinsurance_code,class_cd,it_remarks) values('01Oct240101','070000163929','26700',(select max(to_number(i.premium_rcv_detail_code))+1
from ins_premium_det i),'26700','26700','02', '11000003','00','Request by Mr. Saqib Saleem 01-Sep-2024 allocation no 01Oct240101');</v>
      </c>
    </row>
    <row r="132" spans="1:8" ht="105" x14ac:dyDescent="0.25">
      <c r="A132" s="30" t="s">
        <v>1039</v>
      </c>
      <c r="B132" s="33" t="s">
        <v>1828</v>
      </c>
      <c r="C132" s="31">
        <v>26700</v>
      </c>
      <c r="D132" s="43">
        <f t="shared" si="8"/>
        <v>26700</v>
      </c>
      <c r="E132" s="47" t="s">
        <v>1697</v>
      </c>
      <c r="F132" s="44" t="str">
        <f t="shared" si="9"/>
        <v>insert into ins_premium_det (premium_rcv_code,assorted_code, rec_amount,premium_rcv_detail_code,remaining_amt, payrec, mode_code,coinsurance_code,class_cd,it_remarks) values</v>
      </c>
      <c r="G132" s="45" t="str">
        <f t="shared" si="10"/>
        <v>('01Oct240101','070000163930','26700',(select max(to_number(i.premium_rcv_detail_code))+1
from ins_premium_det i),'26700','26700','02', '11000003','00','Request by Mr. Saqib Saleem 01-Sep-2024 allocation no 01Oct240101');</v>
      </c>
      <c r="H132" s="46" t="str">
        <f t="shared" si="11"/>
        <v>insert into ins_premium_det (premium_rcv_code,assorted_code, rec_amount,premium_rcv_detail_code,remaining_amt, payrec, mode_code,coinsurance_code,class_cd,it_remarks) values('01Oct240101','070000163930','26700',(select max(to_number(i.premium_rcv_detail_code))+1
from ins_premium_det i),'26700','26700','02', '11000003','00','Request by Mr. Saqib Saleem 01-Sep-2024 allocation no 01Oct240101');</v>
      </c>
    </row>
    <row r="133" spans="1:8" ht="105" x14ac:dyDescent="0.25">
      <c r="A133" s="30" t="s">
        <v>1046</v>
      </c>
      <c r="B133" s="33" t="s">
        <v>1829</v>
      </c>
      <c r="C133" s="31">
        <v>44944</v>
      </c>
      <c r="D133" s="43">
        <f t="shared" si="8"/>
        <v>44944</v>
      </c>
      <c r="E133" s="47" t="s">
        <v>1697</v>
      </c>
      <c r="F133" s="44" t="str">
        <f t="shared" si="9"/>
        <v>insert into ins_premium_det (premium_rcv_code,assorted_code, rec_amount,premium_rcv_detail_code,remaining_amt, payrec, mode_code,coinsurance_code,class_cd,it_remarks) values</v>
      </c>
      <c r="G133" s="45" t="str">
        <f t="shared" si="10"/>
        <v>('01Oct240101','070000163982','44944',(select max(to_number(i.premium_rcv_detail_code))+1
from ins_premium_det i),'44944','44944','02', '11000003','00','Request by Mr. Saqib Saleem 01-Sep-2024 allocation no 01Oct240101');</v>
      </c>
      <c r="H133" s="46" t="str">
        <f t="shared" si="11"/>
        <v>insert into ins_premium_det (premium_rcv_code,assorted_code, rec_amount,premium_rcv_detail_code,remaining_amt, payrec, mode_code,coinsurance_code,class_cd,it_remarks) values('01Oct240101','070000163982','44944',(select max(to_number(i.premium_rcv_detail_code))+1
from ins_premium_det i),'44944','44944','02', '11000003','00','Request by Mr. Saqib Saleem 01-Sep-2024 allocation no 01Oct240101');</v>
      </c>
    </row>
    <row r="134" spans="1:8" ht="105" x14ac:dyDescent="0.25">
      <c r="A134" s="30" t="s">
        <v>1053</v>
      </c>
      <c r="B134" s="33" t="s">
        <v>1830</v>
      </c>
      <c r="C134" s="31">
        <v>65649</v>
      </c>
      <c r="D134" s="43">
        <f t="shared" si="8"/>
        <v>65649</v>
      </c>
      <c r="E134" s="47" t="s">
        <v>1697</v>
      </c>
      <c r="F134" s="44" t="str">
        <f t="shared" si="9"/>
        <v>insert into ins_premium_det (premium_rcv_code,assorted_code, rec_amount,premium_rcv_detail_code,remaining_amt, payrec, mode_code,coinsurance_code,class_cd,it_remarks) values</v>
      </c>
      <c r="G134" s="45" t="str">
        <f t="shared" si="10"/>
        <v>('01Oct240101','070000163993','65649',(select max(to_number(i.premium_rcv_detail_code))+1
from ins_premium_det i),'65649','65649','02', '11000003','00','Request by Mr. Saqib Saleem 01-Sep-2024 allocation no 01Oct240101');</v>
      </c>
      <c r="H134" s="46" t="str">
        <f t="shared" si="11"/>
        <v>insert into ins_premium_det (premium_rcv_code,assorted_code, rec_amount,premium_rcv_detail_code,remaining_amt, payrec, mode_code,coinsurance_code,class_cd,it_remarks) values('01Oct240101','070000163993','65649',(select max(to_number(i.premium_rcv_detail_code))+1
from ins_premium_det i),'65649','65649','02', '11000003','00','Request by Mr. Saqib Saleem 01-Sep-2024 allocation no 01Oct240101');</v>
      </c>
    </row>
    <row r="135" spans="1:8" ht="105" x14ac:dyDescent="0.25">
      <c r="A135" s="30" t="s">
        <v>1060</v>
      </c>
      <c r="B135" s="33" t="s">
        <v>1831</v>
      </c>
      <c r="C135" s="31">
        <v>47672</v>
      </c>
      <c r="D135" s="43">
        <f t="shared" si="8"/>
        <v>47672</v>
      </c>
      <c r="E135" s="47" t="s">
        <v>1697</v>
      </c>
      <c r="F135" s="44" t="str">
        <f t="shared" si="9"/>
        <v>insert into ins_premium_det (premium_rcv_code,assorted_code, rec_amount,premium_rcv_detail_code,remaining_amt, payrec, mode_code,coinsurance_code,class_cd,it_remarks) values</v>
      </c>
      <c r="G135" s="45" t="str">
        <f t="shared" si="10"/>
        <v>('01Oct240101','070000163995','47672',(select max(to_number(i.premium_rcv_detail_code))+1
from ins_premium_det i),'47672','47672','02', '11000003','00','Request by Mr. Saqib Saleem 01-Sep-2024 allocation no 01Oct240101');</v>
      </c>
      <c r="H135" s="46" t="str">
        <f t="shared" si="11"/>
        <v>insert into ins_premium_det (premium_rcv_code,assorted_code, rec_amount,premium_rcv_detail_code,remaining_amt, payrec, mode_code,coinsurance_code,class_cd,it_remarks) values('01Oct240101','070000163995','47672',(select max(to_number(i.premium_rcv_detail_code))+1
from ins_premium_det i),'47672','47672','02', '11000003','00','Request by Mr. Saqib Saleem 01-Sep-2024 allocation no 01Oct240101');</v>
      </c>
    </row>
    <row r="136" spans="1:8" ht="105" x14ac:dyDescent="0.25">
      <c r="A136" s="30" t="s">
        <v>1067</v>
      </c>
      <c r="B136" s="33" t="s">
        <v>1832</v>
      </c>
      <c r="C136" s="31">
        <v>39319</v>
      </c>
      <c r="D136" s="43">
        <f t="shared" si="8"/>
        <v>39319</v>
      </c>
      <c r="E136" s="47" t="s">
        <v>1697</v>
      </c>
      <c r="F136" s="44" t="str">
        <f t="shared" si="9"/>
        <v>insert into ins_premium_det (premium_rcv_code,assorted_code, rec_amount,premium_rcv_detail_code,remaining_amt, payrec, mode_code,coinsurance_code,class_cd,it_remarks) values</v>
      </c>
      <c r="G136" s="45" t="str">
        <f t="shared" si="10"/>
        <v>('01Oct240101','070000163996','39319',(select max(to_number(i.premium_rcv_detail_code))+1
from ins_premium_det i),'39319','39319','02', '11000003','00','Request by Mr. Saqib Saleem 01-Sep-2024 allocation no 01Oct240101');</v>
      </c>
      <c r="H136" s="46" t="str">
        <f t="shared" si="11"/>
        <v>insert into ins_premium_det (premium_rcv_code,assorted_code, rec_amount,premium_rcv_detail_code,remaining_amt, payrec, mode_code,coinsurance_code,class_cd,it_remarks) values('01Oct240101','070000163996','39319',(select max(to_number(i.premium_rcv_detail_code))+1
from ins_premium_det i),'39319','39319','02', '11000003','00','Request by Mr. Saqib Saleem 01-Sep-2024 allocation no 01Oct240101');</v>
      </c>
    </row>
    <row r="137" spans="1:8" ht="105" x14ac:dyDescent="0.25">
      <c r="A137" s="30" t="s">
        <v>1074</v>
      </c>
      <c r="B137" s="33" t="s">
        <v>1833</v>
      </c>
      <c r="C137" s="31">
        <v>98438</v>
      </c>
      <c r="D137" s="43">
        <f t="shared" si="8"/>
        <v>98438</v>
      </c>
      <c r="E137" s="47" t="s">
        <v>1697</v>
      </c>
      <c r="F137" s="44" t="str">
        <f t="shared" si="9"/>
        <v>insert into ins_premium_det (premium_rcv_code,assorted_code, rec_amount,premium_rcv_detail_code,remaining_amt, payrec, mode_code,coinsurance_code,class_cd,it_remarks) values</v>
      </c>
      <c r="G137" s="45" t="str">
        <f t="shared" si="10"/>
        <v>('01Oct240101','070000163998','98438',(select max(to_number(i.premium_rcv_detail_code))+1
from ins_premium_det i),'98438','98438','02', '11000003','00','Request by Mr. Saqib Saleem 01-Sep-2024 allocation no 01Oct240101');</v>
      </c>
      <c r="H137" s="46" t="str">
        <f t="shared" si="11"/>
        <v>insert into ins_premium_det (premium_rcv_code,assorted_code, rec_amount,premium_rcv_detail_code,remaining_amt, payrec, mode_code,coinsurance_code,class_cd,it_remarks) values('01Oct240101','070000163998','98438',(select max(to_number(i.premium_rcv_detail_code))+1
from ins_premium_det i),'98438','98438','02', '11000003','00','Request by Mr. Saqib Saleem 01-Sep-2024 allocation no 01Oct240101');</v>
      </c>
    </row>
    <row r="138" spans="1:8" ht="105" x14ac:dyDescent="0.25">
      <c r="A138" s="30" t="s">
        <v>1081</v>
      </c>
      <c r="B138" s="33" t="s">
        <v>1834</v>
      </c>
      <c r="C138" s="31">
        <v>77569</v>
      </c>
      <c r="D138" s="43">
        <f t="shared" si="8"/>
        <v>77569</v>
      </c>
      <c r="E138" s="47" t="s">
        <v>1697</v>
      </c>
      <c r="F138" s="44" t="str">
        <f t="shared" si="9"/>
        <v>insert into ins_premium_det (premium_rcv_code,assorted_code, rec_amount,premium_rcv_detail_code,remaining_amt, payrec, mode_code,coinsurance_code,class_cd,it_remarks) values</v>
      </c>
      <c r="G138" s="45" t="str">
        <f t="shared" si="10"/>
        <v>('01Oct240101','070000163999','77569',(select max(to_number(i.premium_rcv_detail_code))+1
from ins_premium_det i),'77569','77569','02', '11000003','00','Request by Mr. Saqib Saleem 01-Sep-2024 allocation no 01Oct240101');</v>
      </c>
      <c r="H138" s="46" t="str">
        <f t="shared" si="11"/>
        <v>insert into ins_premium_det (premium_rcv_code,assorted_code, rec_amount,premium_rcv_detail_code,remaining_amt, payrec, mode_code,coinsurance_code,class_cd,it_remarks) values('01Oct240101','070000163999','77569',(select max(to_number(i.premium_rcv_detail_code))+1
from ins_premium_det i),'77569','77569','02', '11000003','00','Request by Mr. Saqib Saleem 01-Sep-2024 allocation no 01Oct240101');</v>
      </c>
    </row>
    <row r="139" spans="1:8" ht="105" x14ac:dyDescent="0.25">
      <c r="A139" s="30" t="s">
        <v>1088</v>
      </c>
      <c r="B139" s="33" t="s">
        <v>1835</v>
      </c>
      <c r="C139" s="31">
        <v>56925</v>
      </c>
      <c r="D139" s="43">
        <f t="shared" si="8"/>
        <v>56925</v>
      </c>
      <c r="E139" s="47" t="s">
        <v>1697</v>
      </c>
      <c r="F139" s="44" t="str">
        <f t="shared" si="9"/>
        <v>insert into ins_premium_det (premium_rcv_code,assorted_code, rec_amount,premium_rcv_detail_code,remaining_amt, payrec, mode_code,coinsurance_code,class_cd,it_remarks) values</v>
      </c>
      <c r="G139" s="45" t="str">
        <f t="shared" si="10"/>
        <v>('01Oct240101','070000164000','56925',(select max(to_number(i.premium_rcv_detail_code))+1
from ins_premium_det i),'56925','56925','02', '11000003','00','Request by Mr. Saqib Saleem 01-Sep-2024 allocation no 01Oct240101');</v>
      </c>
      <c r="H139" s="46" t="str">
        <f t="shared" si="11"/>
        <v>insert into ins_premium_det (premium_rcv_code,assorted_code, rec_amount,premium_rcv_detail_code,remaining_amt, payrec, mode_code,coinsurance_code,class_cd,it_remarks) values('01Oct240101','070000164000','56925',(select max(to_number(i.premium_rcv_detail_code))+1
from ins_premium_det i),'56925','56925','02', '11000003','00','Request by Mr. Saqib Saleem 01-Sep-2024 allocation no 01Oct240101');</v>
      </c>
    </row>
    <row r="140" spans="1:8" ht="105" x14ac:dyDescent="0.25">
      <c r="A140" s="30" t="s">
        <v>1095</v>
      </c>
      <c r="B140" s="33" t="s">
        <v>1836</v>
      </c>
      <c r="C140" s="31">
        <v>39600</v>
      </c>
      <c r="D140" s="43">
        <f t="shared" si="8"/>
        <v>39600</v>
      </c>
      <c r="E140" s="47" t="s">
        <v>1697</v>
      </c>
      <c r="F140" s="44" t="str">
        <f t="shared" si="9"/>
        <v>insert into ins_premium_det (premium_rcv_code,assorted_code, rec_amount,premium_rcv_detail_code,remaining_amt, payrec, mode_code,coinsurance_code,class_cd,it_remarks) values</v>
      </c>
      <c r="G140" s="45" t="str">
        <f t="shared" si="10"/>
        <v>('01Oct240101','070000164003','39600',(select max(to_number(i.premium_rcv_detail_code))+1
from ins_premium_det i),'39600','39600','02', '11000003','00','Request by Mr. Saqib Saleem 01-Sep-2024 allocation no 01Oct240101');</v>
      </c>
      <c r="H140" s="46" t="str">
        <f t="shared" si="11"/>
        <v>insert into ins_premium_det (premium_rcv_code,assorted_code, rec_amount,premium_rcv_detail_code,remaining_amt, payrec, mode_code,coinsurance_code,class_cd,it_remarks) values('01Oct240101','070000164003','39600',(select max(to_number(i.premium_rcv_detail_code))+1
from ins_premium_det i),'39600','39600','02', '11000003','00','Request by Mr. Saqib Saleem 01-Sep-2024 allocation no 01Oct240101');</v>
      </c>
    </row>
    <row r="141" spans="1:8" ht="105" x14ac:dyDescent="0.25">
      <c r="A141" s="30" t="s">
        <v>1102</v>
      </c>
      <c r="B141" s="33" t="s">
        <v>1837</v>
      </c>
      <c r="C141" s="31">
        <v>55463</v>
      </c>
      <c r="D141" s="43">
        <f t="shared" si="8"/>
        <v>55463</v>
      </c>
      <c r="E141" s="47" t="s">
        <v>1697</v>
      </c>
      <c r="F141" s="44" t="str">
        <f t="shared" si="9"/>
        <v>insert into ins_premium_det (premium_rcv_code,assorted_code, rec_amount,premium_rcv_detail_code,remaining_amt, payrec, mode_code,coinsurance_code,class_cd,it_remarks) values</v>
      </c>
      <c r="G141" s="45" t="str">
        <f t="shared" si="10"/>
        <v>('01Oct240101','070000164004','55463',(select max(to_number(i.premium_rcv_detail_code))+1
from ins_premium_det i),'55463','55463','02', '11000003','00','Request by Mr. Saqib Saleem 01-Sep-2024 allocation no 01Oct240101');</v>
      </c>
      <c r="H141" s="46" t="str">
        <f t="shared" si="11"/>
        <v>insert into ins_premium_det (premium_rcv_code,assorted_code, rec_amount,premium_rcv_detail_code,remaining_amt, payrec, mode_code,coinsurance_code,class_cd,it_remarks) values('01Oct240101','070000164004','55463',(select max(to_number(i.premium_rcv_detail_code))+1
from ins_premium_det i),'55463','55463','02', '11000003','00','Request by Mr. Saqib Saleem 01-Sep-2024 allocation no 01Oct240101');</v>
      </c>
    </row>
    <row r="142" spans="1:8" ht="105" x14ac:dyDescent="0.25">
      <c r="A142" s="30" t="s">
        <v>1109</v>
      </c>
      <c r="B142" s="33" t="s">
        <v>1838</v>
      </c>
      <c r="C142" s="31">
        <v>47250</v>
      </c>
      <c r="D142" s="43">
        <f t="shared" si="8"/>
        <v>47250</v>
      </c>
      <c r="E142" s="47" t="s">
        <v>1697</v>
      </c>
      <c r="F142" s="44" t="str">
        <f t="shared" si="9"/>
        <v>insert into ins_premium_det (premium_rcv_code,assorted_code, rec_amount,premium_rcv_detail_code,remaining_amt, payrec, mode_code,coinsurance_code,class_cd,it_remarks) values</v>
      </c>
      <c r="G142" s="45" t="str">
        <f t="shared" si="10"/>
        <v>('01Oct240101','070000164006','47250',(select max(to_number(i.premium_rcv_detail_code))+1
from ins_premium_det i),'47250','47250','02', '11000003','00','Request by Mr. Saqib Saleem 01-Sep-2024 allocation no 01Oct240101');</v>
      </c>
      <c r="H142" s="46" t="str">
        <f t="shared" si="11"/>
        <v>insert into ins_premium_det (premium_rcv_code,assorted_code, rec_amount,premium_rcv_detail_code,remaining_amt, payrec, mode_code,coinsurance_code,class_cd,it_remarks) values('01Oct240101','070000164006','47250',(select max(to_number(i.premium_rcv_detail_code))+1
from ins_premium_det i),'47250','47250','02', '11000003','00','Request by Mr. Saqib Saleem 01-Sep-2024 allocation no 01Oct240101');</v>
      </c>
    </row>
    <row r="143" spans="1:8" ht="105" x14ac:dyDescent="0.25">
      <c r="A143" s="30" t="s">
        <v>1117</v>
      </c>
      <c r="B143" s="33" t="s">
        <v>1839</v>
      </c>
      <c r="C143" s="31">
        <v>55828</v>
      </c>
      <c r="D143" s="43">
        <f t="shared" si="8"/>
        <v>55828</v>
      </c>
      <c r="E143" s="47" t="s">
        <v>1697</v>
      </c>
      <c r="F143" s="44" t="str">
        <f t="shared" si="9"/>
        <v>insert into ins_premium_det (premium_rcv_code,assorted_code, rec_amount,premium_rcv_detail_code,remaining_amt, payrec, mode_code,coinsurance_code,class_cd,it_remarks) values</v>
      </c>
      <c r="G143" s="45" t="str">
        <f t="shared" si="10"/>
        <v>('01Oct240101','070000163984','55828',(select max(to_number(i.premium_rcv_detail_code))+1
from ins_premium_det i),'55828','55828','02', '11000003','00','Request by Mr. Saqib Saleem 01-Sep-2024 allocation no 01Oct240101');</v>
      </c>
      <c r="H143" s="46" t="str">
        <f t="shared" si="11"/>
        <v>insert into ins_premium_det (premium_rcv_code,assorted_code, rec_amount,premium_rcv_detail_code,remaining_amt, payrec, mode_code,coinsurance_code,class_cd,it_remarks) values('01Oct240101','070000163984','55828',(select max(to_number(i.premium_rcv_detail_code))+1
from ins_premium_det i),'55828','55828','02', '11000003','00','Request by Mr. Saqib Saleem 01-Sep-2024 allocation no 01Oct240101');</v>
      </c>
    </row>
    <row r="144" spans="1:8" ht="105" x14ac:dyDescent="0.25">
      <c r="A144" s="30" t="s">
        <v>1124</v>
      </c>
      <c r="B144" s="33" t="s">
        <v>1840</v>
      </c>
      <c r="C144" s="31">
        <v>54844</v>
      </c>
      <c r="D144" s="43">
        <f t="shared" si="8"/>
        <v>54844</v>
      </c>
      <c r="E144" s="47" t="s">
        <v>1697</v>
      </c>
      <c r="F144" s="44" t="str">
        <f t="shared" si="9"/>
        <v>insert into ins_premium_det (premium_rcv_code,assorted_code, rec_amount,premium_rcv_detail_code,remaining_amt, payrec, mode_code,coinsurance_code,class_cd,it_remarks) values</v>
      </c>
      <c r="G144" s="45" t="str">
        <f t="shared" si="10"/>
        <v>('01Oct240101','070000163985','54844',(select max(to_number(i.premium_rcv_detail_code))+1
from ins_premium_det i),'54844','54844','02', '11000003','00','Request by Mr. Saqib Saleem 01-Sep-2024 allocation no 01Oct240101');</v>
      </c>
      <c r="H144" s="46" t="str">
        <f t="shared" si="11"/>
        <v>insert into ins_premium_det (premium_rcv_code,assorted_code, rec_amount,premium_rcv_detail_code,remaining_amt, payrec, mode_code,coinsurance_code,class_cd,it_remarks) values('01Oct240101','070000163985','54844',(select max(to_number(i.premium_rcv_detail_code))+1
from ins_premium_det i),'54844','54844','02', '11000003','00','Request by Mr. Saqib Saleem 01-Sep-2024 allocation no 01Oct240101');</v>
      </c>
    </row>
    <row r="145" spans="1:8" ht="105" x14ac:dyDescent="0.25">
      <c r="A145" s="30" t="s">
        <v>1132</v>
      </c>
      <c r="B145" s="33" t="s">
        <v>1841</v>
      </c>
      <c r="C145" s="31">
        <v>47813</v>
      </c>
      <c r="D145" s="43">
        <f t="shared" si="8"/>
        <v>47813</v>
      </c>
      <c r="E145" s="47" t="s">
        <v>1697</v>
      </c>
      <c r="F145" s="44" t="str">
        <f t="shared" si="9"/>
        <v>insert into ins_premium_det (premium_rcv_code,assorted_code, rec_amount,premium_rcv_detail_code,remaining_amt, payrec, mode_code,coinsurance_code,class_cd,it_remarks) values</v>
      </c>
      <c r="G145" s="45" t="str">
        <f t="shared" si="10"/>
        <v>('01Oct240101','070000163986','47813',(select max(to_number(i.premium_rcv_detail_code))+1
from ins_premium_det i),'47813','47813','02', '11000003','00','Request by Mr. Saqib Saleem 01-Sep-2024 allocation no 01Oct240101');</v>
      </c>
      <c r="H145" s="46" t="str">
        <f t="shared" si="11"/>
        <v>insert into ins_premium_det (premium_rcv_code,assorted_code, rec_amount,premium_rcv_detail_code,remaining_amt, payrec, mode_code,coinsurance_code,class_cd,it_remarks) values('01Oct240101','070000163986','47813',(select max(to_number(i.premium_rcv_detail_code))+1
from ins_premium_det i),'47813','47813','02', '11000003','00','Request by Mr. Saqib Saleem 01-Sep-2024 allocation no 01Oct240101');</v>
      </c>
    </row>
    <row r="146" spans="1:8" ht="105" x14ac:dyDescent="0.25">
      <c r="A146" s="30" t="s">
        <v>1140</v>
      </c>
      <c r="B146" s="33" t="s">
        <v>1842</v>
      </c>
      <c r="C146" s="31">
        <v>54431</v>
      </c>
      <c r="D146" s="43">
        <f t="shared" si="8"/>
        <v>54431</v>
      </c>
      <c r="E146" s="47" t="s">
        <v>1697</v>
      </c>
      <c r="F146" s="44" t="str">
        <f t="shared" si="9"/>
        <v>insert into ins_premium_det (premium_rcv_code,assorted_code, rec_amount,premium_rcv_detail_code,remaining_amt, payrec, mode_code,coinsurance_code,class_cd,it_remarks) values</v>
      </c>
      <c r="G146" s="45" t="str">
        <f t="shared" si="10"/>
        <v>('01Oct240101','070000163987','54431',(select max(to_number(i.premium_rcv_detail_code))+1
from ins_premium_det i),'54431','54431','02', '11000003','00','Request by Mr. Saqib Saleem 01-Sep-2024 allocation no 01Oct240101');</v>
      </c>
      <c r="H146" s="46" t="str">
        <f t="shared" si="11"/>
        <v>insert into ins_premium_det (premium_rcv_code,assorted_code, rec_amount,premium_rcv_detail_code,remaining_amt, payrec, mode_code,coinsurance_code,class_cd,it_remarks) values('01Oct240101','070000163987','54431',(select max(to_number(i.premium_rcv_detail_code))+1
from ins_premium_det i),'54431','54431','02', '11000003','00','Request by Mr. Saqib Saleem 01-Sep-2024 allocation no 01Oct240101');</v>
      </c>
    </row>
    <row r="147" spans="1:8" ht="105" x14ac:dyDescent="0.25">
      <c r="A147" s="30" t="s">
        <v>1147</v>
      </c>
      <c r="B147" s="33" t="s">
        <v>1843</v>
      </c>
      <c r="C147" s="31">
        <v>84178</v>
      </c>
      <c r="D147" s="43">
        <f t="shared" si="8"/>
        <v>84178</v>
      </c>
      <c r="E147" s="47" t="s">
        <v>1697</v>
      </c>
      <c r="F147" s="44" t="str">
        <f t="shared" si="9"/>
        <v>insert into ins_premium_det (premium_rcv_code,assorted_code, rec_amount,premium_rcv_detail_code,remaining_amt, payrec, mode_code,coinsurance_code,class_cd,it_remarks) values</v>
      </c>
      <c r="G147" s="45" t="str">
        <f t="shared" si="10"/>
        <v>('01Oct240101','070000163988','84178',(select max(to_number(i.premium_rcv_detail_code))+1
from ins_premium_det i),'84178','84178','02', '11000003','00','Request by Mr. Saqib Saleem 01-Sep-2024 allocation no 01Oct240101');</v>
      </c>
      <c r="H147" s="46" t="str">
        <f t="shared" si="11"/>
        <v>insert into ins_premium_det (premium_rcv_code,assorted_code, rec_amount,premium_rcv_detail_code,remaining_amt, payrec, mode_code,coinsurance_code,class_cd,it_remarks) values('01Oct240101','070000163988','84178',(select max(to_number(i.premium_rcv_detail_code))+1
from ins_premium_det i),'84178','84178','02', '11000003','00','Request by Mr. Saqib Saleem 01-Sep-2024 allocation no 01Oct240101');</v>
      </c>
    </row>
    <row r="148" spans="1:8" ht="105" x14ac:dyDescent="0.25">
      <c r="A148" s="30" t="s">
        <v>1154</v>
      </c>
      <c r="B148" s="33" t="s">
        <v>1844</v>
      </c>
      <c r="C148" s="31">
        <v>39319</v>
      </c>
      <c r="D148" s="43">
        <f t="shared" si="8"/>
        <v>39319</v>
      </c>
      <c r="E148" s="47" t="s">
        <v>1697</v>
      </c>
      <c r="F148" s="44" t="str">
        <f t="shared" si="9"/>
        <v>insert into ins_premium_det (premium_rcv_code,assorted_code, rec_amount,premium_rcv_detail_code,remaining_amt, payrec, mode_code,coinsurance_code,class_cd,it_remarks) values</v>
      </c>
      <c r="G148" s="45" t="str">
        <f t="shared" si="10"/>
        <v>('01Oct240101','070000163989','39319',(select max(to_number(i.premium_rcv_detail_code))+1
from ins_premium_det i),'39319','39319','02', '11000003','00','Request by Mr. Saqib Saleem 01-Sep-2024 allocation no 01Oct240101');</v>
      </c>
      <c r="H148" s="46" t="str">
        <f t="shared" si="11"/>
        <v>insert into ins_premium_det (premium_rcv_code,assorted_code, rec_amount,premium_rcv_detail_code,remaining_amt, payrec, mode_code,coinsurance_code,class_cd,it_remarks) values('01Oct240101','070000163989','39319',(select max(to_number(i.premium_rcv_detail_code))+1
from ins_premium_det i),'39319','39319','02', '11000003','00','Request by Mr. Saqib Saleem 01-Sep-2024 allocation no 01Oct240101');</v>
      </c>
    </row>
    <row r="149" spans="1:8" ht="105" x14ac:dyDescent="0.25">
      <c r="A149" s="30" t="s">
        <v>1161</v>
      </c>
      <c r="B149" s="33" t="s">
        <v>1845</v>
      </c>
      <c r="C149" s="31">
        <v>45641</v>
      </c>
      <c r="D149" s="43">
        <f t="shared" si="8"/>
        <v>45641</v>
      </c>
      <c r="E149" s="47" t="s">
        <v>1697</v>
      </c>
      <c r="F149" s="44" t="str">
        <f t="shared" si="9"/>
        <v>insert into ins_premium_det (premium_rcv_code,assorted_code, rec_amount,premium_rcv_detail_code,remaining_amt, payrec, mode_code,coinsurance_code,class_cd,it_remarks) values</v>
      </c>
      <c r="G149" s="45" t="str">
        <f t="shared" si="10"/>
        <v>('01Oct240101','070000163990','45641',(select max(to_number(i.premium_rcv_detail_code))+1
from ins_premium_det i),'45641','45641','02', '11000003','00','Request by Mr. Saqib Saleem 01-Sep-2024 allocation no 01Oct240101');</v>
      </c>
      <c r="H149" s="46" t="str">
        <f t="shared" si="11"/>
        <v>insert into ins_premium_det (premium_rcv_code,assorted_code, rec_amount,premium_rcv_detail_code,remaining_amt, payrec, mode_code,coinsurance_code,class_cd,it_remarks) values('01Oct240101','070000163990','45641',(select max(to_number(i.premium_rcv_detail_code))+1
from ins_premium_det i),'45641','45641','02', '11000003','00','Request by Mr. Saqib Saleem 01-Sep-2024 allocation no 01Oct240101');</v>
      </c>
    </row>
    <row r="150" spans="1:8" ht="105" x14ac:dyDescent="0.25">
      <c r="A150" s="30" t="s">
        <v>1168</v>
      </c>
      <c r="B150" s="33" t="s">
        <v>1846</v>
      </c>
      <c r="C150" s="31">
        <v>38391</v>
      </c>
      <c r="D150" s="43">
        <f t="shared" si="8"/>
        <v>38391</v>
      </c>
      <c r="E150" s="47" t="s">
        <v>1697</v>
      </c>
      <c r="F150" s="44" t="str">
        <f t="shared" si="9"/>
        <v>insert into ins_premium_det (premium_rcv_code,assorted_code, rec_amount,premium_rcv_detail_code,remaining_amt, payrec, mode_code,coinsurance_code,class_cd,it_remarks) values</v>
      </c>
      <c r="G150" s="45" t="str">
        <f t="shared" si="10"/>
        <v>('01Oct240101','070000163991','38391',(select max(to_number(i.premium_rcv_detail_code))+1
from ins_premium_det i),'38391','38391','02', '11000003','00','Request by Mr. Saqib Saleem 01-Sep-2024 allocation no 01Oct240101');</v>
      </c>
      <c r="H150" s="46" t="str">
        <f t="shared" si="11"/>
        <v>insert into ins_premium_det (premium_rcv_code,assorted_code, rec_amount,premium_rcv_detail_code,remaining_amt, payrec, mode_code,coinsurance_code,class_cd,it_remarks) values('01Oct240101','070000163991','38391',(select max(to_number(i.premium_rcv_detail_code))+1
from ins_premium_det i),'38391','38391','02', '11000003','00','Request by Mr. Saqib Saleem 01-Sep-2024 allocation no 01Oct240101');</v>
      </c>
    </row>
    <row r="151" spans="1:8" ht="105" x14ac:dyDescent="0.25">
      <c r="A151" s="30" t="s">
        <v>1175</v>
      </c>
      <c r="B151" s="33" t="s">
        <v>1847</v>
      </c>
      <c r="C151" s="31">
        <v>30079</v>
      </c>
      <c r="D151" s="43">
        <f t="shared" si="8"/>
        <v>30079</v>
      </c>
      <c r="E151" s="47" t="s">
        <v>1697</v>
      </c>
      <c r="F151" s="44" t="str">
        <f t="shared" si="9"/>
        <v>insert into ins_premium_det (premium_rcv_code,assorted_code, rec_amount,premium_rcv_detail_code,remaining_amt, payrec, mode_code,coinsurance_code,class_cd,it_remarks) values</v>
      </c>
      <c r="G151" s="45" t="str">
        <f t="shared" si="10"/>
        <v>('01Oct240101','070000164010','30079',(select max(to_number(i.premium_rcv_detail_code))+1
from ins_premium_det i),'30079','30079','02', '11000003','00','Request by Mr. Saqib Saleem 01-Sep-2024 allocation no 01Oct240101');</v>
      </c>
      <c r="H151" s="46" t="str">
        <f t="shared" si="11"/>
        <v>insert into ins_premium_det (premium_rcv_code,assorted_code, rec_amount,premium_rcv_detail_code,remaining_amt, payrec, mode_code,coinsurance_code,class_cd,it_remarks) values('01Oct240101','070000164010','30079',(select max(to_number(i.premium_rcv_detail_code))+1
from ins_premium_det i),'30079','30079','02', '11000003','00','Request by Mr. Saqib Saleem 01-Sep-2024 allocation no 01Oct240101');</v>
      </c>
    </row>
    <row r="152" spans="1:8" ht="105" x14ac:dyDescent="0.25">
      <c r="A152" s="30" t="s">
        <v>1183</v>
      </c>
      <c r="B152" s="33" t="s">
        <v>1848</v>
      </c>
      <c r="C152" s="31">
        <v>65982</v>
      </c>
      <c r="D152" s="43">
        <f t="shared" si="8"/>
        <v>65982</v>
      </c>
      <c r="E152" s="47" t="s">
        <v>1697</v>
      </c>
      <c r="F152" s="44" t="str">
        <f t="shared" si="9"/>
        <v>insert into ins_premium_det (premium_rcv_code,assorted_code, rec_amount,premium_rcv_detail_code,remaining_amt, payrec, mode_code,coinsurance_code,class_cd,it_remarks) values</v>
      </c>
      <c r="G152" s="45" t="str">
        <f t="shared" si="10"/>
        <v>('01Oct240101','070000164013','65982',(select max(to_number(i.premium_rcv_detail_code))+1
from ins_premium_det i),'65982','65982','02', '11000003','00','Request by Mr. Saqib Saleem 01-Sep-2024 allocation no 01Oct240101');</v>
      </c>
      <c r="H152" s="46" t="str">
        <f t="shared" si="11"/>
        <v>insert into ins_premium_det (premium_rcv_code,assorted_code, rec_amount,premium_rcv_detail_code,remaining_amt, payrec, mode_code,coinsurance_code,class_cd,it_remarks) values('01Oct240101','070000164013','65982',(select max(to_number(i.premium_rcv_detail_code))+1
from ins_premium_det i),'65982','65982','02', '11000003','00','Request by Mr. Saqib Saleem 01-Sep-2024 allocation no 01Oct240101');</v>
      </c>
    </row>
    <row r="153" spans="1:8" ht="105" x14ac:dyDescent="0.25">
      <c r="A153" s="30" t="s">
        <v>1191</v>
      </c>
      <c r="B153" s="33" t="s">
        <v>1849</v>
      </c>
      <c r="C153" s="31">
        <v>32498</v>
      </c>
      <c r="D153" s="43">
        <f t="shared" si="8"/>
        <v>32498</v>
      </c>
      <c r="E153" s="47" t="s">
        <v>1697</v>
      </c>
      <c r="F153" s="44" t="str">
        <f t="shared" si="9"/>
        <v>insert into ins_premium_det (premium_rcv_code,assorted_code, rec_amount,premium_rcv_detail_code,remaining_amt, payrec, mode_code,coinsurance_code,class_cd,it_remarks) values</v>
      </c>
      <c r="G153" s="45" t="str">
        <f t="shared" si="10"/>
        <v>('01Oct240101','070000164017','32498',(select max(to_number(i.premium_rcv_detail_code))+1
from ins_premium_det i),'32498','32498','02', '11000003','00','Request by Mr. Saqib Saleem 01-Sep-2024 allocation no 01Oct240101');</v>
      </c>
      <c r="H153" s="46" t="str">
        <f t="shared" si="11"/>
        <v>insert into ins_premium_det (premium_rcv_code,assorted_code, rec_amount,premium_rcv_detail_code,remaining_amt, payrec, mode_code,coinsurance_code,class_cd,it_remarks) values('01Oct240101','070000164017','32498',(select max(to_number(i.premium_rcv_detail_code))+1
from ins_premium_det i),'32498','32498','02', '11000003','00','Request by Mr. Saqib Saleem 01-Sep-2024 allocation no 01Oct240101');</v>
      </c>
    </row>
    <row r="154" spans="1:8" ht="105" x14ac:dyDescent="0.25">
      <c r="A154" s="30" t="s">
        <v>1199</v>
      </c>
      <c r="B154" s="33" t="s">
        <v>1850</v>
      </c>
      <c r="C154" s="31">
        <v>40425</v>
      </c>
      <c r="D154" s="43">
        <f t="shared" si="8"/>
        <v>40425</v>
      </c>
      <c r="E154" s="47" t="s">
        <v>1697</v>
      </c>
      <c r="F154" s="44" t="str">
        <f t="shared" si="9"/>
        <v>insert into ins_premium_det (premium_rcv_code,assorted_code, rec_amount,premium_rcv_detail_code,remaining_amt, payrec, mode_code,coinsurance_code,class_cd,it_remarks) values</v>
      </c>
      <c r="G154" s="45" t="str">
        <f t="shared" si="10"/>
        <v>('01Oct240101','070000164018','40425',(select max(to_number(i.premium_rcv_detail_code))+1
from ins_premium_det i),'40425','40425','02', '11000003','00','Request by Mr. Saqib Saleem 01-Sep-2024 allocation no 01Oct240101');</v>
      </c>
      <c r="H154" s="46" t="str">
        <f t="shared" si="11"/>
        <v>insert into ins_premium_det (premium_rcv_code,assorted_code, rec_amount,premium_rcv_detail_code,remaining_amt, payrec, mode_code,coinsurance_code,class_cd,it_remarks) values('01Oct240101','070000164018','40425',(select max(to_number(i.premium_rcv_detail_code))+1
from ins_premium_det i),'40425','40425','02', '11000003','00','Request by Mr. Saqib Saleem 01-Sep-2024 allocation no 01Oct240101');</v>
      </c>
    </row>
    <row r="155" spans="1:8" ht="105" x14ac:dyDescent="0.25">
      <c r="A155" s="30" t="s">
        <v>1206</v>
      </c>
      <c r="B155" s="33" t="s">
        <v>1851</v>
      </c>
      <c r="C155" s="31">
        <v>83554</v>
      </c>
      <c r="D155" s="43">
        <f t="shared" si="8"/>
        <v>83554</v>
      </c>
      <c r="E155" s="47" t="s">
        <v>1697</v>
      </c>
      <c r="F155" s="44" t="str">
        <f t="shared" si="9"/>
        <v>insert into ins_premium_det (premium_rcv_code,assorted_code, rec_amount,premium_rcv_detail_code,remaining_amt, payrec, mode_code,coinsurance_code,class_cd,it_remarks) values</v>
      </c>
      <c r="G155" s="45" t="str">
        <f t="shared" si="10"/>
        <v>('01Oct240101','070000164019','83554',(select max(to_number(i.premium_rcv_detail_code))+1
from ins_premium_det i),'83554','83554','02', '11000003','00','Request by Mr. Saqib Saleem 01-Sep-2024 allocation no 01Oct240101');</v>
      </c>
      <c r="H155" s="46" t="str">
        <f t="shared" si="11"/>
        <v>insert into ins_premium_det (premium_rcv_code,assorted_code, rec_amount,premium_rcv_detail_code,remaining_amt, payrec, mode_code,coinsurance_code,class_cd,it_remarks) values('01Oct240101','070000164019','83554',(select max(to_number(i.premium_rcv_detail_code))+1
from ins_premium_det i),'83554','83554','02', '11000003','00','Request by Mr. Saqib Saleem 01-Sep-2024 allocation no 01Oct240101');</v>
      </c>
    </row>
    <row r="156" spans="1:8" ht="105" x14ac:dyDescent="0.25">
      <c r="A156" s="30" t="s">
        <v>1214</v>
      </c>
      <c r="B156" s="33" t="s">
        <v>1852</v>
      </c>
      <c r="C156" s="31">
        <v>62370</v>
      </c>
      <c r="D156" s="43">
        <f t="shared" si="8"/>
        <v>62370</v>
      </c>
      <c r="E156" s="47" t="s">
        <v>1697</v>
      </c>
      <c r="F156" s="44" t="str">
        <f t="shared" si="9"/>
        <v>insert into ins_premium_det (premium_rcv_code,assorted_code, rec_amount,premium_rcv_detail_code,remaining_amt, payrec, mode_code,coinsurance_code,class_cd,it_remarks) values</v>
      </c>
      <c r="G156" s="45" t="str">
        <f t="shared" si="10"/>
        <v>('01Oct240101','070000164026','62370',(select max(to_number(i.premium_rcv_detail_code))+1
from ins_premium_det i),'62370','62370','02', '11000003','00','Request by Mr. Saqib Saleem 01-Sep-2024 allocation no 01Oct240101');</v>
      </c>
      <c r="H156" s="46" t="str">
        <f t="shared" si="11"/>
        <v>insert into ins_premium_det (premium_rcv_code,assorted_code, rec_amount,premium_rcv_detail_code,remaining_amt, payrec, mode_code,coinsurance_code,class_cd,it_remarks) values('01Oct240101','070000164026','62370',(select max(to_number(i.premium_rcv_detail_code))+1
from ins_premium_det i),'62370','62370','02', '11000003','00','Request by Mr. Saqib Saleem 01-Sep-2024 allocation no 01Oct240101');</v>
      </c>
    </row>
    <row r="157" spans="1:8" ht="105" x14ac:dyDescent="0.25">
      <c r="A157" s="30" t="s">
        <v>1221</v>
      </c>
      <c r="B157" s="33" t="s">
        <v>1853</v>
      </c>
      <c r="C157" s="31">
        <v>34361</v>
      </c>
      <c r="D157" s="43">
        <f t="shared" si="8"/>
        <v>34361</v>
      </c>
      <c r="E157" s="47" t="s">
        <v>1697</v>
      </c>
      <c r="F157" s="44" t="str">
        <f t="shared" si="9"/>
        <v>insert into ins_premium_det (premium_rcv_code,assorted_code, rec_amount,premium_rcv_detail_code,remaining_amt, payrec, mode_code,coinsurance_code,class_cd,it_remarks) values</v>
      </c>
      <c r="G157" s="45" t="str">
        <f t="shared" si="10"/>
        <v>('01Oct240101','070000164030','34361',(select max(to_number(i.premium_rcv_detail_code))+1
from ins_premium_det i),'34361','34361','02', '11000003','00','Request by Mr. Saqib Saleem 01-Sep-2024 allocation no 01Oct240101');</v>
      </c>
      <c r="H157" s="46" t="str">
        <f t="shared" si="11"/>
        <v>insert into ins_premium_det (premium_rcv_code,assorted_code, rec_amount,premium_rcv_detail_code,remaining_amt, payrec, mode_code,coinsurance_code,class_cd,it_remarks) values('01Oct240101','070000164030','34361',(select max(to_number(i.premium_rcv_detail_code))+1
from ins_premium_det i),'34361','34361','02', '11000003','00','Request by Mr. Saqib Saleem 01-Sep-2024 allocation no 01Oct240101');</v>
      </c>
    </row>
    <row r="158" spans="1:8" ht="105" x14ac:dyDescent="0.25">
      <c r="A158" s="48" t="s">
        <v>1230</v>
      </c>
      <c r="B158" s="33" t="s">
        <v>1854</v>
      </c>
      <c r="C158" s="31">
        <v>64040.625</v>
      </c>
      <c r="D158" s="43">
        <f t="shared" si="8"/>
        <v>64041</v>
      </c>
      <c r="E158" s="47" t="s">
        <v>1697</v>
      </c>
      <c r="F158" s="44" t="str">
        <f t="shared" si="9"/>
        <v>insert into ins_premium_det (premium_rcv_code,assorted_code, rec_amount,premium_rcv_detail_code,remaining_amt, payrec, mode_code,coinsurance_code,class_cd,it_remarks) values</v>
      </c>
      <c r="G158" s="45" t="str">
        <f t="shared" si="10"/>
        <v>('01Oct240101','070000164038','64041',(select max(to_number(i.premium_rcv_detail_code))+1
from ins_premium_det i),'64041','64041','02', '11000003','00','Request by Mr. Saqib Saleem 01-Sep-2024 allocation no 01Oct240101');</v>
      </c>
      <c r="H158" s="46" t="str">
        <f t="shared" si="11"/>
        <v>insert into ins_premium_det (premium_rcv_code,assorted_code, rec_amount,premium_rcv_detail_code,remaining_amt, payrec, mode_code,coinsurance_code,class_cd,it_remarks) values('01Oct240101','070000164038','64041',(select max(to_number(i.premium_rcv_detail_code))+1
from ins_premium_det i),'64041','64041','02', '11000003','00','Request by Mr. Saqib Saleem 01-Sep-2024 allocation no 01Oct240101');</v>
      </c>
    </row>
    <row r="159" spans="1:8" ht="105" x14ac:dyDescent="0.25">
      <c r="A159" s="30" t="s">
        <v>1237</v>
      </c>
      <c r="B159" s="33" t="s">
        <v>1855</v>
      </c>
      <c r="C159" s="31">
        <v>52830</v>
      </c>
      <c r="D159" s="43">
        <f t="shared" si="8"/>
        <v>52830</v>
      </c>
      <c r="E159" s="47" t="s">
        <v>1697</v>
      </c>
      <c r="F159" s="44" t="str">
        <f t="shared" si="9"/>
        <v>insert into ins_premium_det (premium_rcv_code,assorted_code, rec_amount,premium_rcv_detail_code,remaining_amt, payrec, mode_code,coinsurance_code,class_cd,it_remarks) values</v>
      </c>
      <c r="G159" s="45" t="str">
        <f t="shared" si="10"/>
        <v>('01Oct240101','070000164864','52830',(select max(to_number(i.premium_rcv_detail_code))+1
from ins_premium_det i),'52830','52830','02', '11000003','00','Request by Mr. Saqib Saleem 01-Sep-2024 allocation no 01Oct240101');</v>
      </c>
      <c r="H159" s="46" t="str">
        <f t="shared" si="11"/>
        <v>insert into ins_premium_det (premium_rcv_code,assorted_code, rec_amount,premium_rcv_detail_code,remaining_amt, payrec, mode_code,coinsurance_code,class_cd,it_remarks) values('01Oct240101','070000164864','52830',(select max(to_number(i.premium_rcv_detail_code))+1
from ins_premium_det i),'52830','52830','02', '11000003','00','Request by Mr. Saqib Saleem 01-Sep-2024 allocation no 01Oct240101');</v>
      </c>
    </row>
    <row r="160" spans="1:8" ht="105" x14ac:dyDescent="0.25">
      <c r="A160" s="30" t="s">
        <v>1244</v>
      </c>
      <c r="B160" s="49" t="s">
        <v>1864</v>
      </c>
      <c r="C160" s="31">
        <v>420000</v>
      </c>
      <c r="D160" s="43">
        <f t="shared" si="8"/>
        <v>420000</v>
      </c>
      <c r="E160" s="47" t="s">
        <v>1697</v>
      </c>
      <c r="F160" s="44" t="str">
        <f t="shared" si="9"/>
        <v>insert into ins_premium_det (premium_rcv_code,assorted_code, rec_amount,premium_rcv_detail_code,remaining_amt, payrec, mode_code,coinsurance_code,class_cd,it_remarks) values</v>
      </c>
      <c r="G160" s="45" t="str">
        <f t="shared" si="10"/>
        <v>('01Oct240101','040000181577','420000',(select max(to_number(i.premium_rcv_detail_code))+1
from ins_premium_det i),'420000','420000','02', '11000003','00','Request by Mr. Saqib Saleem 01-Sep-2024 allocation no 01Oct240101');</v>
      </c>
      <c r="H160" s="46" t="str">
        <f t="shared" si="11"/>
        <v>insert into ins_premium_det (premium_rcv_code,assorted_code, rec_amount,premium_rcv_detail_code,remaining_amt, payrec, mode_code,coinsurance_code,class_cd,it_remarks) values('01Oct240101','040000181577','420000',(select max(to_number(i.premium_rcv_detail_code))+1
from ins_premium_det i),'420000','420000','02', '11000003','00','Request by Mr. Saqib Saleem 01-Sep-2024 allocation no 01Oct240101');</v>
      </c>
    </row>
    <row r="161" spans="1:8" ht="105" x14ac:dyDescent="0.25">
      <c r="A161" s="30" t="s">
        <v>1252</v>
      </c>
      <c r="B161" s="33" t="s">
        <v>1856</v>
      </c>
      <c r="C161" s="31">
        <v>47154</v>
      </c>
      <c r="D161" s="43">
        <f t="shared" si="8"/>
        <v>47154</v>
      </c>
      <c r="E161" s="47" t="s">
        <v>1697</v>
      </c>
      <c r="F161" s="44" t="str">
        <f t="shared" si="9"/>
        <v>insert into ins_premium_det (premium_rcv_code,assorted_code, rec_amount,premium_rcv_detail_code,remaining_amt, payrec, mode_code,coinsurance_code,class_cd,it_remarks) values</v>
      </c>
      <c r="G161" s="45" t="str">
        <f t="shared" si="10"/>
        <v>('01Oct240101','070000162462','47154',(select max(to_number(i.premium_rcv_detail_code))+1
from ins_premium_det i),'47154','47154','02', '11000003','00','Request by Mr. Saqib Saleem 01-Sep-2024 allocation no 01Oct240101');</v>
      </c>
      <c r="H161" s="46" t="str">
        <f t="shared" si="11"/>
        <v>insert into ins_premium_det (premium_rcv_code,assorted_code, rec_amount,premium_rcv_detail_code,remaining_amt, payrec, mode_code,coinsurance_code,class_cd,it_remarks) values('01Oct240101','070000162462','47154',(select max(to_number(i.premium_rcv_detail_code))+1
from ins_premium_det i),'47154','47154','02', '11000003','00','Request by Mr. Saqib Saleem 01-Sep-2024 allocation no 01Oct240101');</v>
      </c>
    </row>
    <row r="162" spans="1:8" ht="105" x14ac:dyDescent="0.25">
      <c r="A162" s="30" t="s">
        <v>1259</v>
      </c>
      <c r="B162" s="33" t="s">
        <v>1857</v>
      </c>
      <c r="C162" s="31">
        <v>29699</v>
      </c>
      <c r="D162" s="43">
        <f t="shared" si="8"/>
        <v>29699</v>
      </c>
      <c r="E162" s="47" t="s">
        <v>1697</v>
      </c>
      <c r="F162" s="44" t="str">
        <f t="shared" si="9"/>
        <v>insert into ins_premium_det (premium_rcv_code,assorted_code, rec_amount,premium_rcv_detail_code,remaining_amt, payrec, mode_code,coinsurance_code,class_cd,it_remarks) values</v>
      </c>
      <c r="G162" s="45" t="str">
        <f t="shared" si="10"/>
        <v>('01Oct240101','070000162476','29699',(select max(to_number(i.premium_rcv_detail_code))+1
from ins_premium_det i),'29699','29699','02', '11000003','00','Request by Mr. Saqib Saleem 01-Sep-2024 allocation no 01Oct240101');</v>
      </c>
      <c r="H162" s="46" t="str">
        <f t="shared" si="11"/>
        <v>insert into ins_premium_det (premium_rcv_code,assorted_code, rec_amount,premium_rcv_detail_code,remaining_amt, payrec, mode_code,coinsurance_code,class_cd,it_remarks) values('01Oct240101','070000162476','29699',(select max(to_number(i.premium_rcv_detail_code))+1
from ins_premium_det i),'29699','29699','02', '11000003','00','Request by Mr. Saqib Saleem 01-Sep-2024 allocation no 01Oct240101');</v>
      </c>
    </row>
    <row r="163" spans="1:8" ht="105" x14ac:dyDescent="0.25">
      <c r="A163" s="30" t="s">
        <v>1267</v>
      </c>
      <c r="B163" s="33" t="s">
        <v>1858</v>
      </c>
      <c r="C163" s="31">
        <v>37383</v>
      </c>
      <c r="D163" s="43">
        <f t="shared" si="8"/>
        <v>37383</v>
      </c>
      <c r="E163" s="47" t="s">
        <v>1697</v>
      </c>
      <c r="F163" s="44" t="str">
        <f t="shared" si="9"/>
        <v>insert into ins_premium_det (premium_rcv_code,assorted_code, rec_amount,premium_rcv_detail_code,remaining_amt, payrec, mode_code,coinsurance_code,class_cd,it_remarks) values</v>
      </c>
      <c r="G163" s="45" t="str">
        <f t="shared" si="10"/>
        <v>('01Oct240101','070000162490','37383',(select max(to_number(i.premium_rcv_detail_code))+1
from ins_premium_det i),'37383','37383','02', '11000003','00','Request by Mr. Saqib Saleem 01-Sep-2024 allocation no 01Oct240101');</v>
      </c>
      <c r="H163" s="46" t="str">
        <f t="shared" si="11"/>
        <v>insert into ins_premium_det (premium_rcv_code,assorted_code, rec_amount,premium_rcv_detail_code,remaining_amt, payrec, mode_code,coinsurance_code,class_cd,it_remarks) values('01Oct240101','070000162490','37383',(select max(to_number(i.premium_rcv_detail_code))+1
from ins_premium_det i),'37383','37383','02', '11000003','00','Request by Mr. Saqib Saleem 01-Sep-2024 allocation no 01Oct240101');</v>
      </c>
    </row>
    <row r="164" spans="1:8" ht="105" x14ac:dyDescent="0.25">
      <c r="A164" s="30" t="s">
        <v>1274</v>
      </c>
      <c r="B164" s="33" t="s">
        <v>1859</v>
      </c>
      <c r="C164" s="31">
        <v>19427</v>
      </c>
      <c r="D164" s="43">
        <f t="shared" si="8"/>
        <v>19427</v>
      </c>
      <c r="E164" s="47" t="s">
        <v>1697</v>
      </c>
      <c r="F164" s="44" t="str">
        <f t="shared" si="9"/>
        <v>insert into ins_premium_det (premium_rcv_code,assorted_code, rec_amount,premium_rcv_detail_code,remaining_amt, payrec, mode_code,coinsurance_code,class_cd,it_remarks) values</v>
      </c>
      <c r="G164" s="45" t="str">
        <f t="shared" si="10"/>
        <v>('01Oct240101','070000161307','19427',(select max(to_number(i.premium_rcv_detail_code))+1
from ins_premium_det i),'19427','19427','02', '11000003','00','Request by Mr. Saqib Saleem 01-Sep-2024 allocation no 01Oct240101');</v>
      </c>
      <c r="H164" s="46" t="str">
        <f t="shared" si="11"/>
        <v>insert into ins_premium_det (premium_rcv_code,assorted_code, rec_amount,premium_rcv_detail_code,remaining_amt, payrec, mode_code,coinsurance_code,class_cd,it_remarks) values('01Oct240101','070000161307','19427',(select max(to_number(i.premium_rcv_detail_code))+1
from ins_premium_det i),'19427','19427','02', '11000003','00','Request by Mr. Saqib Saleem 01-Sep-2024 allocation no 01Oct240101');</v>
      </c>
    </row>
    <row r="165" spans="1:8" ht="105" x14ac:dyDescent="0.25">
      <c r="A165" s="30" t="s">
        <v>1283</v>
      </c>
      <c r="B165" s="33" t="s">
        <v>1860</v>
      </c>
      <c r="C165" s="31">
        <v>52453</v>
      </c>
      <c r="D165" s="43">
        <f t="shared" si="8"/>
        <v>52453</v>
      </c>
      <c r="E165" s="47" t="s">
        <v>1697</v>
      </c>
      <c r="F165" s="44" t="str">
        <f t="shared" si="9"/>
        <v>insert into ins_premium_det (premium_rcv_code,assorted_code, rec_amount,premium_rcv_detail_code,remaining_amt, payrec, mode_code,coinsurance_code,class_cd,it_remarks) values</v>
      </c>
      <c r="G165" s="45" t="str">
        <f t="shared" si="10"/>
        <v>('01Oct240101','070000161450','52453',(select max(to_number(i.premium_rcv_detail_code))+1
from ins_premium_det i),'52453','52453','02', '11000003','00','Request by Mr. Saqib Saleem 01-Sep-2024 allocation no 01Oct240101');</v>
      </c>
      <c r="H165" s="46" t="str">
        <f t="shared" si="11"/>
        <v>insert into ins_premium_det (premium_rcv_code,assorted_code, rec_amount,premium_rcv_detail_code,remaining_amt, payrec, mode_code,coinsurance_code,class_cd,it_remarks) values('01Oct240101','070000161450','52453',(select max(to_number(i.premium_rcv_detail_code))+1
from ins_premium_det i),'52453','52453','02', '11000003','00','Request by Mr. Saqib Saleem 01-Sep-2024 allocation no 01Oct240101');</v>
      </c>
    </row>
    <row r="166" spans="1:8" ht="105" x14ac:dyDescent="0.25">
      <c r="A166" s="30" t="s">
        <v>1291</v>
      </c>
      <c r="B166" s="33" t="s">
        <v>1861</v>
      </c>
      <c r="C166" s="31">
        <v>19427</v>
      </c>
      <c r="D166" s="43">
        <f t="shared" si="8"/>
        <v>19427</v>
      </c>
      <c r="E166" s="47" t="s">
        <v>1697</v>
      </c>
      <c r="F166" s="44" t="str">
        <f t="shared" si="9"/>
        <v>insert into ins_premium_det (premium_rcv_code,assorted_code, rec_amount,premium_rcv_detail_code,remaining_amt, payrec, mode_code,coinsurance_code,class_cd,it_remarks) values</v>
      </c>
      <c r="G166" s="45" t="str">
        <f t="shared" si="10"/>
        <v>('01Oct240101','070000161314','19427',(select max(to_number(i.premium_rcv_detail_code))+1
from ins_premium_det i),'19427','19427','02', '11000003','00','Request by Mr. Saqib Saleem 01-Sep-2024 allocation no 01Oct240101');</v>
      </c>
      <c r="H166" s="46" t="str">
        <f t="shared" si="11"/>
        <v>insert into ins_premium_det (premium_rcv_code,assorted_code, rec_amount,premium_rcv_detail_code,remaining_amt, payrec, mode_code,coinsurance_code,class_cd,it_remarks) values('01Oct240101','070000161314','19427',(select max(to_number(i.premium_rcv_detail_code))+1
from ins_premium_det i),'19427','19427','02', '11000003','00','Request by Mr. Saqib Saleem 01-Sep-2024 allocation no 01Oct240101');</v>
      </c>
    </row>
    <row r="167" spans="1:8" ht="105" x14ac:dyDescent="0.25">
      <c r="A167" s="30" t="s">
        <v>1299</v>
      </c>
      <c r="B167" s="33" t="s">
        <v>1862</v>
      </c>
      <c r="C167" s="31">
        <v>29378</v>
      </c>
      <c r="D167" s="43">
        <f t="shared" si="8"/>
        <v>29378</v>
      </c>
      <c r="E167" s="47" t="s">
        <v>1697</v>
      </c>
      <c r="F167" s="44" t="str">
        <f t="shared" si="9"/>
        <v>insert into ins_premium_det (premium_rcv_code,assorted_code, rec_amount,premium_rcv_detail_code,remaining_amt, payrec, mode_code,coinsurance_code,class_cd,it_remarks) values</v>
      </c>
      <c r="G167" s="45" t="str">
        <f t="shared" si="10"/>
        <v>('01Oct240101','070000156731','29378',(select max(to_number(i.premium_rcv_detail_code))+1
from ins_premium_det i),'29378','29378','02', '11000003','00','Request by Mr. Saqib Saleem 01-Sep-2024 allocation no 01Oct240101');</v>
      </c>
      <c r="H167" s="46" t="str">
        <f t="shared" si="11"/>
        <v>insert into ins_premium_det (premium_rcv_code,assorted_code, rec_amount,premium_rcv_detail_code,remaining_amt, payrec, mode_code,coinsurance_code,class_cd,it_remarks) values('01Oct240101','070000156731','29378',(select max(to_number(i.premium_rcv_detail_code))+1
from ins_premium_det i),'29378','29378','02', '11000003','00','Request by Mr. Saqib Saleem 01-Sep-2024 allocation no 01Oct240101');</v>
      </c>
    </row>
    <row r="168" spans="1:8" ht="105" x14ac:dyDescent="0.25">
      <c r="A168" s="30" t="s">
        <v>1307</v>
      </c>
      <c r="B168" s="33" t="s">
        <v>1863</v>
      </c>
      <c r="C168" s="31">
        <v>17032</v>
      </c>
      <c r="D168" s="43">
        <f t="shared" si="8"/>
        <v>17032</v>
      </c>
      <c r="E168" s="47" t="s">
        <v>1697</v>
      </c>
      <c r="F168" s="44" t="str">
        <f t="shared" si="9"/>
        <v>insert into ins_premium_det (premium_rcv_code,assorted_code, rec_amount,premium_rcv_detail_code,remaining_amt, payrec, mode_code,coinsurance_code,class_cd,it_remarks) values</v>
      </c>
      <c r="G168" s="45" t="str">
        <f t="shared" si="10"/>
        <v>('01Oct240101','070000156797','17032',(select max(to_number(i.premium_rcv_detail_code))+1
from ins_premium_det i),'17032','17032','02', '11000003','00','Request by Mr. Saqib Saleem 01-Sep-2024 allocation no 01Oct240101');</v>
      </c>
      <c r="H168" s="46" t="str">
        <f t="shared" si="11"/>
        <v>insert into ins_premium_det (premium_rcv_code,assorted_code, rec_amount,premium_rcv_detail_code,remaining_amt, payrec, mode_code,coinsurance_code,class_cd,it_remarks) values('01Oct240101','070000156797','17032',(select max(to_number(i.premium_rcv_detail_code))+1
from ins_premium_det i),'17032','17032','02', '11000003','00','Request by Mr. Saqib Saleem 01-Sep-2024 allocation no 01Oct240101');</v>
      </c>
    </row>
  </sheetData>
  <conditionalFormatting sqref="A1">
    <cfRule type="duplicateValues" dxfId="3" priority="1"/>
  </conditionalFormatting>
  <conditionalFormatting sqref="B2:B168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3288-A521-4E94-B474-723F0E10BA99}">
  <dimension ref="A1:J167"/>
  <sheetViews>
    <sheetView workbookViewId="0">
      <selection activeCell="J167" sqref="J1:J167"/>
    </sheetView>
  </sheetViews>
  <sheetFormatPr defaultRowHeight="15" x14ac:dyDescent="0.25"/>
  <cols>
    <col min="1" max="1" width="41.5703125" bestFit="1" customWidth="1"/>
    <col min="10" max="10" width="46.5703125" bestFit="1" customWidth="1"/>
  </cols>
  <sheetData>
    <row r="1" spans="1:10" x14ac:dyDescent="0.25">
      <c r="A1" s="30" t="s">
        <v>36</v>
      </c>
      <c r="B1" t="s">
        <v>1628</v>
      </c>
      <c r="H1">
        <v>95146</v>
      </c>
      <c r="I1" t="s">
        <v>1632</v>
      </c>
      <c r="J1" t="str">
        <f>"ia.assorted_string like '%"&amp;H1&amp;"-"&amp;I1&amp;B1&amp;"%' or"</f>
        <v>ia.assorted_string like '%95146-00001-08-2024%' or</v>
      </c>
    </row>
    <row r="2" spans="1:10" x14ac:dyDescent="0.25">
      <c r="A2" s="30" t="s">
        <v>48</v>
      </c>
      <c r="B2" t="s">
        <v>1628</v>
      </c>
      <c r="H2">
        <v>95146</v>
      </c>
      <c r="I2" t="s">
        <v>1633</v>
      </c>
      <c r="J2" t="str">
        <f t="shared" ref="J2:J65" si="0">"ia.assorted_string like '%"&amp;H2&amp;"-"&amp;I2&amp;B2&amp;"%' or"</f>
        <v>ia.assorted_string like '%95146-00002-08-2024%' or</v>
      </c>
    </row>
    <row r="3" spans="1:10" x14ac:dyDescent="0.25">
      <c r="A3" s="30" t="s">
        <v>56</v>
      </c>
      <c r="B3" t="s">
        <v>1628</v>
      </c>
      <c r="H3">
        <v>95146</v>
      </c>
      <c r="I3" t="s">
        <v>1634</v>
      </c>
      <c r="J3" t="str">
        <f t="shared" si="0"/>
        <v>ia.assorted_string like '%95146-00003-08-2024%' or</v>
      </c>
    </row>
    <row r="4" spans="1:10" x14ac:dyDescent="0.25">
      <c r="A4" s="30" t="s">
        <v>65</v>
      </c>
      <c r="B4" t="s">
        <v>1628</v>
      </c>
      <c r="H4">
        <v>95148</v>
      </c>
      <c r="I4" t="s">
        <v>1632</v>
      </c>
      <c r="J4" t="str">
        <f t="shared" si="0"/>
        <v>ia.assorted_string like '%95148-00001-08-2024%' or</v>
      </c>
    </row>
    <row r="5" spans="1:10" x14ac:dyDescent="0.25">
      <c r="A5" s="30" t="s">
        <v>74</v>
      </c>
      <c r="B5" t="s">
        <v>1628</v>
      </c>
      <c r="H5">
        <v>95148</v>
      </c>
      <c r="I5" t="s">
        <v>1633</v>
      </c>
      <c r="J5" t="str">
        <f t="shared" si="0"/>
        <v>ia.assorted_string like '%95148-00002-08-2024%' or</v>
      </c>
    </row>
    <row r="6" spans="1:10" x14ac:dyDescent="0.25">
      <c r="A6" s="30" t="s">
        <v>82</v>
      </c>
      <c r="B6" t="s">
        <v>1628</v>
      </c>
      <c r="H6">
        <v>95148</v>
      </c>
      <c r="I6" t="s">
        <v>1634</v>
      </c>
      <c r="J6" t="str">
        <f t="shared" si="0"/>
        <v>ia.assorted_string like '%95148-00003-08-2024%' or</v>
      </c>
    </row>
    <row r="7" spans="1:10" x14ac:dyDescent="0.25">
      <c r="A7" s="30" t="s">
        <v>90</v>
      </c>
      <c r="B7" t="s">
        <v>1628</v>
      </c>
      <c r="H7">
        <v>95193</v>
      </c>
      <c r="I7" t="s">
        <v>1632</v>
      </c>
      <c r="J7" t="str">
        <f t="shared" si="0"/>
        <v>ia.assorted_string like '%95193-00001-08-2024%' or</v>
      </c>
    </row>
    <row r="8" spans="1:10" x14ac:dyDescent="0.25">
      <c r="A8" s="30" t="s">
        <v>99</v>
      </c>
      <c r="B8" t="s">
        <v>1628</v>
      </c>
      <c r="H8">
        <v>95193</v>
      </c>
      <c r="I8" t="s">
        <v>1635</v>
      </c>
      <c r="J8" t="str">
        <f t="shared" si="0"/>
        <v>ia.assorted_string like '%95193-00010-08-2024%' or</v>
      </c>
    </row>
    <row r="9" spans="1:10" x14ac:dyDescent="0.25">
      <c r="A9" s="30" t="s">
        <v>108</v>
      </c>
      <c r="B9" t="s">
        <v>1628</v>
      </c>
      <c r="H9">
        <v>95193</v>
      </c>
      <c r="I9" t="s">
        <v>1636</v>
      </c>
      <c r="J9" t="str">
        <f t="shared" si="0"/>
        <v>ia.assorted_string like '%95193-00011-08-2024%' or</v>
      </c>
    </row>
    <row r="10" spans="1:10" x14ac:dyDescent="0.25">
      <c r="A10" s="30" t="s">
        <v>115</v>
      </c>
      <c r="B10" t="s">
        <v>1628</v>
      </c>
      <c r="H10">
        <v>95193</v>
      </c>
      <c r="I10" t="s">
        <v>1637</v>
      </c>
      <c r="J10" t="str">
        <f t="shared" si="0"/>
        <v>ia.assorted_string like '%95193-00012-08-2024%' or</v>
      </c>
    </row>
    <row r="11" spans="1:10" x14ac:dyDescent="0.25">
      <c r="A11" s="30" t="s">
        <v>122</v>
      </c>
      <c r="B11" t="s">
        <v>1628</v>
      </c>
      <c r="H11">
        <v>95193</v>
      </c>
      <c r="I11" t="s">
        <v>1638</v>
      </c>
      <c r="J11" t="str">
        <f t="shared" si="0"/>
        <v>ia.assorted_string like '%95193-00013-08-2024%' or</v>
      </c>
    </row>
    <row r="12" spans="1:10" x14ac:dyDescent="0.25">
      <c r="A12" s="30" t="s">
        <v>130</v>
      </c>
      <c r="B12" t="s">
        <v>1628</v>
      </c>
      <c r="H12">
        <v>95193</v>
      </c>
      <c r="I12" t="s">
        <v>1639</v>
      </c>
      <c r="J12" t="str">
        <f t="shared" si="0"/>
        <v>ia.assorted_string like '%95193-00014-08-2024%' or</v>
      </c>
    </row>
    <row r="13" spans="1:10" x14ac:dyDescent="0.25">
      <c r="A13" s="30" t="s">
        <v>138</v>
      </c>
      <c r="B13" t="s">
        <v>1628</v>
      </c>
      <c r="H13">
        <v>95193</v>
      </c>
      <c r="I13" t="s">
        <v>1640</v>
      </c>
      <c r="J13" t="str">
        <f t="shared" si="0"/>
        <v>ia.assorted_string like '%95193-00015-08-2024%' or</v>
      </c>
    </row>
    <row r="14" spans="1:10" x14ac:dyDescent="0.25">
      <c r="A14" s="30" t="s">
        <v>147</v>
      </c>
      <c r="B14" t="s">
        <v>1628</v>
      </c>
      <c r="H14">
        <v>95193</v>
      </c>
      <c r="I14" t="s">
        <v>1641</v>
      </c>
      <c r="J14" t="str">
        <f t="shared" si="0"/>
        <v>ia.assorted_string like '%95193-00016-08-2024%' or</v>
      </c>
    </row>
    <row r="15" spans="1:10" x14ac:dyDescent="0.25">
      <c r="A15" s="30" t="s">
        <v>154</v>
      </c>
      <c r="B15" t="s">
        <v>1628</v>
      </c>
      <c r="H15">
        <v>95193</v>
      </c>
      <c r="I15" t="s">
        <v>1642</v>
      </c>
      <c r="J15" t="str">
        <f t="shared" si="0"/>
        <v>ia.assorted_string like '%95193-00017-08-2024%' or</v>
      </c>
    </row>
    <row r="16" spans="1:10" x14ac:dyDescent="0.25">
      <c r="A16" s="30" t="s">
        <v>162</v>
      </c>
      <c r="B16" t="s">
        <v>1628</v>
      </c>
      <c r="H16">
        <v>95193</v>
      </c>
      <c r="I16" t="s">
        <v>1643</v>
      </c>
      <c r="J16" t="str">
        <f t="shared" si="0"/>
        <v>ia.assorted_string like '%95193-00018-08-2024%' or</v>
      </c>
    </row>
    <row r="17" spans="1:10" x14ac:dyDescent="0.25">
      <c r="A17" s="30" t="s">
        <v>171</v>
      </c>
      <c r="B17" t="s">
        <v>1628</v>
      </c>
      <c r="H17">
        <v>95193</v>
      </c>
      <c r="I17" t="s">
        <v>1644</v>
      </c>
      <c r="J17" t="str">
        <f t="shared" si="0"/>
        <v>ia.assorted_string like '%95193-00019-08-2024%' or</v>
      </c>
    </row>
    <row r="18" spans="1:10" x14ac:dyDescent="0.25">
      <c r="A18" s="30" t="s">
        <v>180</v>
      </c>
      <c r="B18" t="s">
        <v>1628</v>
      </c>
      <c r="H18">
        <v>95193</v>
      </c>
      <c r="I18" t="s">
        <v>1633</v>
      </c>
      <c r="J18" t="str">
        <f t="shared" si="0"/>
        <v>ia.assorted_string like '%95193-00002-08-2024%' or</v>
      </c>
    </row>
    <row r="19" spans="1:10" x14ac:dyDescent="0.25">
      <c r="A19" s="30" t="s">
        <v>188</v>
      </c>
      <c r="B19" t="s">
        <v>1628</v>
      </c>
      <c r="H19">
        <v>95193</v>
      </c>
      <c r="I19" t="s">
        <v>1645</v>
      </c>
      <c r="J19" t="str">
        <f t="shared" si="0"/>
        <v>ia.assorted_string like '%95193-00021-08-2024%' or</v>
      </c>
    </row>
    <row r="20" spans="1:10" x14ac:dyDescent="0.25">
      <c r="A20" s="30" t="s">
        <v>196</v>
      </c>
      <c r="B20" t="s">
        <v>1628</v>
      </c>
      <c r="H20">
        <v>95193</v>
      </c>
      <c r="I20" t="s">
        <v>1646</v>
      </c>
      <c r="J20" t="str">
        <f t="shared" si="0"/>
        <v>ia.assorted_string like '%95193-00022-08-2024%' or</v>
      </c>
    </row>
    <row r="21" spans="1:10" x14ac:dyDescent="0.25">
      <c r="A21" s="30" t="s">
        <v>204</v>
      </c>
      <c r="B21" t="s">
        <v>1628</v>
      </c>
      <c r="H21">
        <v>95193</v>
      </c>
      <c r="I21" t="s">
        <v>1647</v>
      </c>
      <c r="J21" t="str">
        <f t="shared" si="0"/>
        <v>ia.assorted_string like '%95193-00023-08-2024%' or</v>
      </c>
    </row>
    <row r="22" spans="1:10" x14ac:dyDescent="0.25">
      <c r="A22" s="30" t="s">
        <v>212</v>
      </c>
      <c r="B22" t="s">
        <v>1628</v>
      </c>
      <c r="H22">
        <v>95193</v>
      </c>
      <c r="I22" t="s">
        <v>1648</v>
      </c>
      <c r="J22" t="str">
        <f t="shared" si="0"/>
        <v>ia.assorted_string like '%95193-00024-08-2024%' or</v>
      </c>
    </row>
    <row r="23" spans="1:10" x14ac:dyDescent="0.25">
      <c r="A23" s="30" t="s">
        <v>220</v>
      </c>
      <c r="B23" t="s">
        <v>1628</v>
      </c>
      <c r="H23">
        <v>95193</v>
      </c>
      <c r="I23" t="s">
        <v>1649</v>
      </c>
      <c r="J23" t="str">
        <f t="shared" si="0"/>
        <v>ia.assorted_string like '%95193-00025-08-2024%' or</v>
      </c>
    </row>
    <row r="24" spans="1:10" x14ac:dyDescent="0.25">
      <c r="A24" s="30" t="s">
        <v>228</v>
      </c>
      <c r="B24" t="s">
        <v>1628</v>
      </c>
      <c r="H24">
        <v>95193</v>
      </c>
      <c r="I24" t="s">
        <v>1650</v>
      </c>
      <c r="J24" t="str">
        <f t="shared" si="0"/>
        <v>ia.assorted_string like '%95193-00026-08-2024%' or</v>
      </c>
    </row>
    <row r="25" spans="1:10" x14ac:dyDescent="0.25">
      <c r="A25" s="30" t="s">
        <v>235</v>
      </c>
      <c r="B25" t="s">
        <v>1628</v>
      </c>
      <c r="H25">
        <v>95193</v>
      </c>
      <c r="I25" t="s">
        <v>1651</v>
      </c>
      <c r="J25" t="str">
        <f t="shared" si="0"/>
        <v>ia.assorted_string like '%95193-00027-08-2024%' or</v>
      </c>
    </row>
    <row r="26" spans="1:10" x14ac:dyDescent="0.25">
      <c r="A26" s="30" t="s">
        <v>243</v>
      </c>
      <c r="B26" t="s">
        <v>1628</v>
      </c>
      <c r="H26">
        <v>95193</v>
      </c>
      <c r="I26" t="s">
        <v>1652</v>
      </c>
      <c r="J26" t="str">
        <f t="shared" si="0"/>
        <v>ia.assorted_string like '%95193-00028-08-2024%' or</v>
      </c>
    </row>
    <row r="27" spans="1:10" x14ac:dyDescent="0.25">
      <c r="A27" s="30" t="s">
        <v>251</v>
      </c>
      <c r="B27" t="s">
        <v>1628</v>
      </c>
      <c r="H27">
        <v>95193</v>
      </c>
      <c r="I27" t="s">
        <v>1653</v>
      </c>
      <c r="J27" t="str">
        <f t="shared" si="0"/>
        <v>ia.assorted_string like '%95193-00029-08-2024%' or</v>
      </c>
    </row>
    <row r="28" spans="1:10" x14ac:dyDescent="0.25">
      <c r="A28" s="30" t="s">
        <v>258</v>
      </c>
      <c r="B28" t="s">
        <v>1628</v>
      </c>
      <c r="H28">
        <v>95193</v>
      </c>
      <c r="I28" t="s">
        <v>1634</v>
      </c>
      <c r="J28" t="str">
        <f t="shared" si="0"/>
        <v>ia.assorted_string like '%95193-00003-08-2024%' or</v>
      </c>
    </row>
    <row r="29" spans="1:10" x14ac:dyDescent="0.25">
      <c r="A29" s="30" t="s">
        <v>266</v>
      </c>
      <c r="B29" t="s">
        <v>1628</v>
      </c>
      <c r="H29">
        <v>95193</v>
      </c>
      <c r="I29" t="s">
        <v>1654</v>
      </c>
      <c r="J29" t="str">
        <f t="shared" si="0"/>
        <v>ia.assorted_string like '%95193-00030-08-2024%' or</v>
      </c>
    </row>
    <row r="30" spans="1:10" x14ac:dyDescent="0.25">
      <c r="A30" s="30" t="s">
        <v>275</v>
      </c>
      <c r="B30" t="s">
        <v>1628</v>
      </c>
      <c r="H30">
        <v>95193</v>
      </c>
      <c r="I30" t="s">
        <v>1655</v>
      </c>
      <c r="J30" t="str">
        <f t="shared" si="0"/>
        <v>ia.assorted_string like '%95193-00031-08-2024%' or</v>
      </c>
    </row>
    <row r="31" spans="1:10" x14ac:dyDescent="0.25">
      <c r="A31" s="30" t="s">
        <v>283</v>
      </c>
      <c r="B31" t="s">
        <v>1628</v>
      </c>
      <c r="H31">
        <v>95193</v>
      </c>
      <c r="I31" t="s">
        <v>1656</v>
      </c>
      <c r="J31" t="str">
        <f t="shared" si="0"/>
        <v>ia.assorted_string like '%95193-00032-08-2024%' or</v>
      </c>
    </row>
    <row r="32" spans="1:10" x14ac:dyDescent="0.25">
      <c r="A32" s="30" t="s">
        <v>290</v>
      </c>
      <c r="B32" t="s">
        <v>1628</v>
      </c>
      <c r="H32">
        <v>95193</v>
      </c>
      <c r="I32" t="s">
        <v>1657</v>
      </c>
      <c r="J32" t="str">
        <f t="shared" si="0"/>
        <v>ia.assorted_string like '%95193-00033-08-2024%' or</v>
      </c>
    </row>
    <row r="33" spans="1:10" x14ac:dyDescent="0.25">
      <c r="A33" s="30" t="s">
        <v>298</v>
      </c>
      <c r="B33" t="s">
        <v>1628</v>
      </c>
      <c r="H33">
        <v>95193</v>
      </c>
      <c r="I33" t="s">
        <v>1658</v>
      </c>
      <c r="J33" t="str">
        <f t="shared" si="0"/>
        <v>ia.assorted_string like '%95193-00034-08-2024%' or</v>
      </c>
    </row>
    <row r="34" spans="1:10" x14ac:dyDescent="0.25">
      <c r="A34" s="30" t="s">
        <v>305</v>
      </c>
      <c r="B34" t="s">
        <v>1628</v>
      </c>
      <c r="H34">
        <v>95193</v>
      </c>
      <c r="I34" t="s">
        <v>1659</v>
      </c>
      <c r="J34" t="str">
        <f t="shared" si="0"/>
        <v>ia.assorted_string like '%95193-00035-08-2024%' or</v>
      </c>
    </row>
    <row r="35" spans="1:10" x14ac:dyDescent="0.25">
      <c r="A35" s="30" t="s">
        <v>313</v>
      </c>
      <c r="B35" t="s">
        <v>1628</v>
      </c>
      <c r="H35">
        <v>95193</v>
      </c>
      <c r="I35" t="s">
        <v>1660</v>
      </c>
      <c r="J35" t="str">
        <f t="shared" si="0"/>
        <v>ia.assorted_string like '%95193-00004-08-2024%' or</v>
      </c>
    </row>
    <row r="36" spans="1:10" x14ac:dyDescent="0.25">
      <c r="A36" s="30" t="s">
        <v>321</v>
      </c>
      <c r="B36" t="s">
        <v>1628</v>
      </c>
      <c r="H36">
        <v>95193</v>
      </c>
      <c r="I36" t="s">
        <v>1661</v>
      </c>
      <c r="J36" t="str">
        <f t="shared" si="0"/>
        <v>ia.assorted_string like '%95193-00005-08-2024%' or</v>
      </c>
    </row>
    <row r="37" spans="1:10" x14ac:dyDescent="0.25">
      <c r="A37" s="30" t="s">
        <v>329</v>
      </c>
      <c r="B37" t="s">
        <v>1628</v>
      </c>
      <c r="H37">
        <v>95193</v>
      </c>
      <c r="I37" t="s">
        <v>1662</v>
      </c>
      <c r="J37" t="str">
        <f t="shared" si="0"/>
        <v>ia.assorted_string like '%95193-00007-08-2024%' or</v>
      </c>
    </row>
    <row r="38" spans="1:10" x14ac:dyDescent="0.25">
      <c r="A38" s="30" t="s">
        <v>337</v>
      </c>
      <c r="B38" t="s">
        <v>1628</v>
      </c>
      <c r="H38">
        <v>95193</v>
      </c>
      <c r="I38" t="s">
        <v>1663</v>
      </c>
      <c r="J38" t="str">
        <f t="shared" si="0"/>
        <v>ia.assorted_string like '%95193-00008-08-2024%' or</v>
      </c>
    </row>
    <row r="39" spans="1:10" x14ac:dyDescent="0.25">
      <c r="A39" s="30" t="s">
        <v>345</v>
      </c>
      <c r="B39" t="s">
        <v>1628</v>
      </c>
      <c r="H39">
        <v>95193</v>
      </c>
      <c r="I39" t="s">
        <v>1664</v>
      </c>
      <c r="J39" t="str">
        <f t="shared" si="0"/>
        <v>ia.assorted_string like '%95193-00009-08-2024%' or</v>
      </c>
    </row>
    <row r="40" spans="1:10" x14ac:dyDescent="0.25">
      <c r="A40" s="30" t="s">
        <v>353</v>
      </c>
      <c r="B40" t="s">
        <v>1628</v>
      </c>
      <c r="H40">
        <v>95230</v>
      </c>
      <c r="I40" t="s">
        <v>1632</v>
      </c>
      <c r="J40" t="str">
        <f t="shared" si="0"/>
        <v>ia.assorted_string like '%95230-00001-08-2024%' or</v>
      </c>
    </row>
    <row r="41" spans="1:10" x14ac:dyDescent="0.25">
      <c r="A41" s="30" t="s">
        <v>361</v>
      </c>
      <c r="B41" t="s">
        <v>1628</v>
      </c>
      <c r="H41">
        <v>95230</v>
      </c>
      <c r="I41" t="s">
        <v>1635</v>
      </c>
      <c r="J41" t="str">
        <f t="shared" si="0"/>
        <v>ia.assorted_string like '%95230-00010-08-2024%' or</v>
      </c>
    </row>
    <row r="42" spans="1:10" x14ac:dyDescent="0.25">
      <c r="A42" s="30" t="s">
        <v>368</v>
      </c>
      <c r="B42" t="s">
        <v>1628</v>
      </c>
      <c r="H42">
        <v>95230</v>
      </c>
      <c r="I42" t="s">
        <v>1636</v>
      </c>
      <c r="J42" t="str">
        <f t="shared" si="0"/>
        <v>ia.assorted_string like '%95230-00011-08-2024%' or</v>
      </c>
    </row>
    <row r="43" spans="1:10" x14ac:dyDescent="0.25">
      <c r="A43" s="30" t="s">
        <v>377</v>
      </c>
      <c r="B43" t="s">
        <v>1628</v>
      </c>
      <c r="H43">
        <v>95230</v>
      </c>
      <c r="I43" t="s">
        <v>1637</v>
      </c>
      <c r="J43" t="str">
        <f t="shared" si="0"/>
        <v>ia.assorted_string like '%95230-00012-08-2024%' or</v>
      </c>
    </row>
    <row r="44" spans="1:10" x14ac:dyDescent="0.25">
      <c r="A44" s="30" t="s">
        <v>387</v>
      </c>
      <c r="B44" t="s">
        <v>1628</v>
      </c>
      <c r="H44">
        <v>95230</v>
      </c>
      <c r="I44" t="s">
        <v>1638</v>
      </c>
      <c r="J44" t="str">
        <f t="shared" si="0"/>
        <v>ia.assorted_string like '%95230-00013-08-2024%' or</v>
      </c>
    </row>
    <row r="45" spans="1:10" x14ac:dyDescent="0.25">
      <c r="A45" s="30" t="s">
        <v>395</v>
      </c>
      <c r="B45" t="s">
        <v>1628</v>
      </c>
      <c r="H45">
        <v>95230</v>
      </c>
      <c r="I45" t="s">
        <v>1639</v>
      </c>
      <c r="J45" t="str">
        <f t="shared" si="0"/>
        <v>ia.assorted_string like '%95230-00014-08-2024%' or</v>
      </c>
    </row>
    <row r="46" spans="1:10" x14ac:dyDescent="0.25">
      <c r="A46" s="30" t="s">
        <v>402</v>
      </c>
      <c r="B46" t="s">
        <v>1628</v>
      </c>
      <c r="H46">
        <v>95230</v>
      </c>
      <c r="I46" t="s">
        <v>1641</v>
      </c>
      <c r="J46" t="str">
        <f t="shared" si="0"/>
        <v>ia.assorted_string like '%95230-00016-08-2024%' or</v>
      </c>
    </row>
    <row r="47" spans="1:10" x14ac:dyDescent="0.25">
      <c r="A47" s="30" t="s">
        <v>409</v>
      </c>
      <c r="B47" t="s">
        <v>1628</v>
      </c>
      <c r="H47">
        <v>95230</v>
      </c>
      <c r="I47" t="s">
        <v>1642</v>
      </c>
      <c r="J47" t="str">
        <f t="shared" si="0"/>
        <v>ia.assorted_string like '%95230-00017-08-2024%' or</v>
      </c>
    </row>
    <row r="48" spans="1:10" x14ac:dyDescent="0.25">
      <c r="A48" s="30" t="s">
        <v>416</v>
      </c>
      <c r="B48" t="s">
        <v>1628</v>
      </c>
      <c r="H48">
        <v>95230</v>
      </c>
      <c r="I48" t="s">
        <v>1643</v>
      </c>
      <c r="J48" t="str">
        <f t="shared" si="0"/>
        <v>ia.assorted_string like '%95230-00018-08-2024%' or</v>
      </c>
    </row>
    <row r="49" spans="1:10" x14ac:dyDescent="0.25">
      <c r="A49" s="30" t="s">
        <v>423</v>
      </c>
      <c r="B49" t="s">
        <v>1628</v>
      </c>
      <c r="H49">
        <v>95230</v>
      </c>
      <c r="I49" t="s">
        <v>1644</v>
      </c>
      <c r="J49" t="str">
        <f t="shared" si="0"/>
        <v>ia.assorted_string like '%95230-00019-08-2024%' or</v>
      </c>
    </row>
    <row r="50" spans="1:10" x14ac:dyDescent="0.25">
      <c r="A50" s="30" t="s">
        <v>431</v>
      </c>
      <c r="B50" t="s">
        <v>1628</v>
      </c>
      <c r="H50">
        <v>95230</v>
      </c>
      <c r="I50" t="s">
        <v>1633</v>
      </c>
      <c r="J50" t="str">
        <f t="shared" si="0"/>
        <v>ia.assorted_string like '%95230-00002-08-2024%' or</v>
      </c>
    </row>
    <row r="51" spans="1:10" x14ac:dyDescent="0.25">
      <c r="A51" s="30" t="s">
        <v>438</v>
      </c>
      <c r="B51" t="s">
        <v>1628</v>
      </c>
      <c r="H51">
        <v>95230</v>
      </c>
      <c r="I51" t="s">
        <v>1665</v>
      </c>
      <c r="J51" t="str">
        <f t="shared" si="0"/>
        <v>ia.assorted_string like '%95230-00020-08-2024%' or</v>
      </c>
    </row>
    <row r="52" spans="1:10" x14ac:dyDescent="0.25">
      <c r="A52" s="30" t="s">
        <v>446</v>
      </c>
      <c r="B52" t="s">
        <v>1628</v>
      </c>
      <c r="H52">
        <v>95230</v>
      </c>
      <c r="I52" t="s">
        <v>1645</v>
      </c>
      <c r="J52" t="str">
        <f t="shared" si="0"/>
        <v>ia.assorted_string like '%95230-00021-08-2024%' or</v>
      </c>
    </row>
    <row r="53" spans="1:10" x14ac:dyDescent="0.25">
      <c r="A53" s="30" t="s">
        <v>453</v>
      </c>
      <c r="B53" t="s">
        <v>1628</v>
      </c>
      <c r="H53">
        <v>95230</v>
      </c>
      <c r="I53" t="s">
        <v>1646</v>
      </c>
      <c r="J53" t="str">
        <f t="shared" si="0"/>
        <v>ia.assorted_string like '%95230-00022-08-2024%' or</v>
      </c>
    </row>
    <row r="54" spans="1:10" x14ac:dyDescent="0.25">
      <c r="A54" s="30" t="s">
        <v>460</v>
      </c>
      <c r="B54" t="s">
        <v>1628</v>
      </c>
      <c r="H54">
        <v>95230</v>
      </c>
      <c r="I54" t="s">
        <v>1647</v>
      </c>
      <c r="J54" t="str">
        <f t="shared" si="0"/>
        <v>ia.assorted_string like '%95230-00023-08-2024%' or</v>
      </c>
    </row>
    <row r="55" spans="1:10" x14ac:dyDescent="0.25">
      <c r="A55" s="30" t="s">
        <v>467</v>
      </c>
      <c r="B55" t="s">
        <v>1628</v>
      </c>
      <c r="H55">
        <v>95230</v>
      </c>
      <c r="I55" t="s">
        <v>1648</v>
      </c>
      <c r="J55" t="str">
        <f t="shared" si="0"/>
        <v>ia.assorted_string like '%95230-00024-08-2024%' or</v>
      </c>
    </row>
    <row r="56" spans="1:10" x14ac:dyDescent="0.25">
      <c r="A56" s="30" t="s">
        <v>474</v>
      </c>
      <c r="B56" t="s">
        <v>1628</v>
      </c>
      <c r="H56">
        <v>95230</v>
      </c>
      <c r="I56" t="s">
        <v>1649</v>
      </c>
      <c r="J56" t="str">
        <f t="shared" si="0"/>
        <v>ia.assorted_string like '%95230-00025-08-2024%' or</v>
      </c>
    </row>
    <row r="57" spans="1:10" x14ac:dyDescent="0.25">
      <c r="A57" s="30" t="s">
        <v>482</v>
      </c>
      <c r="B57" t="s">
        <v>1628</v>
      </c>
      <c r="H57">
        <v>95230</v>
      </c>
      <c r="I57" t="s">
        <v>1650</v>
      </c>
      <c r="J57" t="str">
        <f t="shared" si="0"/>
        <v>ia.assorted_string like '%95230-00026-08-2024%' or</v>
      </c>
    </row>
    <row r="58" spans="1:10" x14ac:dyDescent="0.25">
      <c r="A58" s="30" t="s">
        <v>489</v>
      </c>
      <c r="B58" t="s">
        <v>1628</v>
      </c>
      <c r="H58">
        <v>95230</v>
      </c>
      <c r="I58" t="s">
        <v>1651</v>
      </c>
      <c r="J58" t="str">
        <f t="shared" si="0"/>
        <v>ia.assorted_string like '%95230-00027-08-2024%' or</v>
      </c>
    </row>
    <row r="59" spans="1:10" x14ac:dyDescent="0.25">
      <c r="A59" s="30" t="s">
        <v>497</v>
      </c>
      <c r="B59" t="s">
        <v>1628</v>
      </c>
      <c r="H59">
        <v>95230</v>
      </c>
      <c r="I59" t="s">
        <v>1652</v>
      </c>
      <c r="J59" t="str">
        <f t="shared" si="0"/>
        <v>ia.assorted_string like '%95230-00028-08-2024%' or</v>
      </c>
    </row>
    <row r="60" spans="1:10" x14ac:dyDescent="0.25">
      <c r="A60" s="30" t="s">
        <v>504</v>
      </c>
      <c r="B60" t="s">
        <v>1628</v>
      </c>
      <c r="H60">
        <v>95230</v>
      </c>
      <c r="I60" t="s">
        <v>1634</v>
      </c>
      <c r="J60" t="str">
        <f t="shared" si="0"/>
        <v>ia.assorted_string like '%95230-00003-08-2024%' or</v>
      </c>
    </row>
    <row r="61" spans="1:10" x14ac:dyDescent="0.25">
      <c r="A61" s="30" t="s">
        <v>511</v>
      </c>
      <c r="B61" t="s">
        <v>1628</v>
      </c>
      <c r="H61">
        <v>95230</v>
      </c>
      <c r="I61" t="s">
        <v>1655</v>
      </c>
      <c r="J61" t="str">
        <f t="shared" si="0"/>
        <v>ia.assorted_string like '%95230-00031-08-2024%' or</v>
      </c>
    </row>
    <row r="62" spans="1:10" x14ac:dyDescent="0.25">
      <c r="A62" s="33" t="s">
        <v>519</v>
      </c>
      <c r="B62" t="s">
        <v>1628</v>
      </c>
      <c r="H62">
        <v>95230</v>
      </c>
      <c r="I62" t="s">
        <v>1656</v>
      </c>
      <c r="J62" t="str">
        <f t="shared" si="0"/>
        <v>ia.assorted_string like '%95230-00032-08-2024%' or</v>
      </c>
    </row>
    <row r="63" spans="1:10" x14ac:dyDescent="0.25">
      <c r="A63" s="30" t="s">
        <v>526</v>
      </c>
      <c r="B63" t="s">
        <v>1628</v>
      </c>
      <c r="H63">
        <v>95230</v>
      </c>
      <c r="I63" t="s">
        <v>1658</v>
      </c>
      <c r="J63" t="str">
        <f t="shared" si="0"/>
        <v>ia.assorted_string like '%95230-00034-08-2024%' or</v>
      </c>
    </row>
    <row r="64" spans="1:10" x14ac:dyDescent="0.25">
      <c r="A64" s="30" t="s">
        <v>534</v>
      </c>
      <c r="B64" t="s">
        <v>1628</v>
      </c>
      <c r="H64">
        <v>95230</v>
      </c>
      <c r="I64" t="s">
        <v>1659</v>
      </c>
      <c r="J64" t="str">
        <f t="shared" si="0"/>
        <v>ia.assorted_string like '%95230-00035-08-2024%' or</v>
      </c>
    </row>
    <row r="65" spans="1:10" x14ac:dyDescent="0.25">
      <c r="A65" s="30" t="s">
        <v>541</v>
      </c>
      <c r="B65" t="s">
        <v>1628</v>
      </c>
      <c r="H65">
        <v>95230</v>
      </c>
      <c r="I65" t="s">
        <v>1666</v>
      </c>
      <c r="J65" t="str">
        <f t="shared" si="0"/>
        <v>ia.assorted_string like '%95230-00036-08-2024%' or</v>
      </c>
    </row>
    <row r="66" spans="1:10" x14ac:dyDescent="0.25">
      <c r="A66" s="30" t="s">
        <v>548</v>
      </c>
      <c r="B66" t="s">
        <v>1628</v>
      </c>
      <c r="H66">
        <v>95230</v>
      </c>
      <c r="I66" t="s">
        <v>1667</v>
      </c>
      <c r="J66" t="str">
        <f t="shared" ref="J66:J129" si="1">"ia.assorted_string like '%"&amp;H66&amp;"-"&amp;I66&amp;B66&amp;"%' or"</f>
        <v>ia.assorted_string like '%95230-00037-08-2024%' or</v>
      </c>
    </row>
    <row r="67" spans="1:10" x14ac:dyDescent="0.25">
      <c r="A67" s="30" t="s">
        <v>555</v>
      </c>
      <c r="B67" t="s">
        <v>1628</v>
      </c>
      <c r="H67">
        <v>95230</v>
      </c>
      <c r="I67" t="s">
        <v>1668</v>
      </c>
      <c r="J67" t="str">
        <f t="shared" si="1"/>
        <v>ia.assorted_string like '%95230-00039-08-2024%' or</v>
      </c>
    </row>
    <row r="68" spans="1:10" x14ac:dyDescent="0.25">
      <c r="A68" s="30" t="s">
        <v>563</v>
      </c>
      <c r="B68" t="s">
        <v>1628</v>
      </c>
      <c r="H68">
        <v>95230</v>
      </c>
      <c r="I68" t="s">
        <v>1660</v>
      </c>
      <c r="J68" t="str">
        <f t="shared" si="1"/>
        <v>ia.assorted_string like '%95230-00004-08-2024%' or</v>
      </c>
    </row>
    <row r="69" spans="1:10" x14ac:dyDescent="0.25">
      <c r="A69" s="30" t="s">
        <v>571</v>
      </c>
      <c r="B69" t="s">
        <v>1628</v>
      </c>
      <c r="H69">
        <v>95230</v>
      </c>
      <c r="I69" t="s">
        <v>1669</v>
      </c>
      <c r="J69" t="str">
        <f t="shared" si="1"/>
        <v>ia.assorted_string like '%95230-00040-08-2024%' or</v>
      </c>
    </row>
    <row r="70" spans="1:10" x14ac:dyDescent="0.25">
      <c r="A70" s="30" t="s">
        <v>579</v>
      </c>
      <c r="B70" t="s">
        <v>1628</v>
      </c>
      <c r="H70">
        <v>95230</v>
      </c>
      <c r="I70" t="s">
        <v>1670</v>
      </c>
      <c r="J70" t="str">
        <f t="shared" si="1"/>
        <v>ia.assorted_string like '%95230-00041-08-2024%' or</v>
      </c>
    </row>
    <row r="71" spans="1:10" x14ac:dyDescent="0.25">
      <c r="A71" s="30" t="s">
        <v>586</v>
      </c>
      <c r="B71" t="s">
        <v>1628</v>
      </c>
      <c r="H71">
        <v>95230</v>
      </c>
      <c r="I71" t="s">
        <v>1671</v>
      </c>
      <c r="J71" t="str">
        <f t="shared" si="1"/>
        <v>ia.assorted_string like '%95230-00042-08-2024%' or</v>
      </c>
    </row>
    <row r="72" spans="1:10" x14ac:dyDescent="0.25">
      <c r="A72" s="30" t="s">
        <v>594</v>
      </c>
      <c r="B72" t="s">
        <v>1628</v>
      </c>
      <c r="H72">
        <v>95230</v>
      </c>
      <c r="I72" t="s">
        <v>1672</v>
      </c>
      <c r="J72" t="str">
        <f t="shared" si="1"/>
        <v>ia.assorted_string like '%95230-00043-08-2024%' or</v>
      </c>
    </row>
    <row r="73" spans="1:10" x14ac:dyDescent="0.25">
      <c r="A73" s="30" t="s">
        <v>602</v>
      </c>
      <c r="B73" t="s">
        <v>1628</v>
      </c>
      <c r="H73">
        <v>95230</v>
      </c>
      <c r="I73" t="s">
        <v>1673</v>
      </c>
      <c r="J73" t="str">
        <f t="shared" si="1"/>
        <v>ia.assorted_string like '%95230-00044-08-2024%' or</v>
      </c>
    </row>
    <row r="74" spans="1:10" x14ac:dyDescent="0.25">
      <c r="A74" s="30" t="s">
        <v>609</v>
      </c>
      <c r="B74" t="s">
        <v>1628</v>
      </c>
      <c r="H74">
        <v>95230</v>
      </c>
      <c r="I74" t="s">
        <v>1674</v>
      </c>
      <c r="J74" t="str">
        <f t="shared" si="1"/>
        <v>ia.assorted_string like '%95230-00045-08-2024%' or</v>
      </c>
    </row>
    <row r="75" spans="1:10" x14ac:dyDescent="0.25">
      <c r="A75" s="30" t="s">
        <v>617</v>
      </c>
      <c r="B75" t="s">
        <v>1628</v>
      </c>
      <c r="H75">
        <v>95230</v>
      </c>
      <c r="I75" t="s">
        <v>1675</v>
      </c>
      <c r="J75" t="str">
        <f t="shared" si="1"/>
        <v>ia.assorted_string like '%95230-00046-08-2024%' or</v>
      </c>
    </row>
    <row r="76" spans="1:10" x14ac:dyDescent="0.25">
      <c r="A76" s="30" t="s">
        <v>625</v>
      </c>
      <c r="B76" t="s">
        <v>1628</v>
      </c>
      <c r="H76">
        <v>95230</v>
      </c>
      <c r="I76" t="s">
        <v>1676</v>
      </c>
      <c r="J76" t="str">
        <f t="shared" si="1"/>
        <v>ia.assorted_string like '%95230-00047-08-2024%' or</v>
      </c>
    </row>
    <row r="77" spans="1:10" x14ac:dyDescent="0.25">
      <c r="A77" s="30" t="s">
        <v>633</v>
      </c>
      <c r="B77" t="s">
        <v>1628</v>
      </c>
      <c r="H77">
        <v>95230</v>
      </c>
      <c r="I77" t="s">
        <v>1677</v>
      </c>
      <c r="J77" t="str">
        <f t="shared" si="1"/>
        <v>ia.assorted_string like '%95230-00048-08-2024%' or</v>
      </c>
    </row>
    <row r="78" spans="1:10" x14ac:dyDescent="0.25">
      <c r="A78" s="30" t="s">
        <v>640</v>
      </c>
      <c r="B78" t="s">
        <v>1628</v>
      </c>
      <c r="H78">
        <v>95230</v>
      </c>
      <c r="I78" t="s">
        <v>1678</v>
      </c>
      <c r="J78" t="str">
        <f t="shared" si="1"/>
        <v>ia.assorted_string like '%95230-00049-08-2024%' or</v>
      </c>
    </row>
    <row r="79" spans="1:10" x14ac:dyDescent="0.25">
      <c r="A79" s="30" t="s">
        <v>648</v>
      </c>
      <c r="B79" t="s">
        <v>1628</v>
      </c>
      <c r="H79">
        <v>95230</v>
      </c>
      <c r="I79" t="s">
        <v>1661</v>
      </c>
      <c r="J79" t="str">
        <f t="shared" si="1"/>
        <v>ia.assorted_string like '%95230-00005-08-2024%' or</v>
      </c>
    </row>
    <row r="80" spans="1:10" x14ac:dyDescent="0.25">
      <c r="A80" s="30" t="s">
        <v>655</v>
      </c>
      <c r="B80" t="s">
        <v>1628</v>
      </c>
      <c r="H80">
        <v>95230</v>
      </c>
      <c r="I80" t="s">
        <v>1679</v>
      </c>
      <c r="J80" t="str">
        <f t="shared" si="1"/>
        <v>ia.assorted_string like '%95230-00050-08-2024%' or</v>
      </c>
    </row>
    <row r="81" spans="1:10" x14ac:dyDescent="0.25">
      <c r="A81" s="30" t="s">
        <v>662</v>
      </c>
      <c r="B81" t="s">
        <v>1628</v>
      </c>
      <c r="H81">
        <v>95230</v>
      </c>
      <c r="I81" t="s">
        <v>1680</v>
      </c>
      <c r="J81" t="str">
        <f t="shared" si="1"/>
        <v>ia.assorted_string like '%95230-00051-08-2024%' or</v>
      </c>
    </row>
    <row r="82" spans="1:10" x14ac:dyDescent="0.25">
      <c r="A82" s="30" t="s">
        <v>670</v>
      </c>
      <c r="B82" t="s">
        <v>1628</v>
      </c>
      <c r="H82">
        <v>95230</v>
      </c>
      <c r="I82" t="s">
        <v>1681</v>
      </c>
      <c r="J82" t="str">
        <f t="shared" si="1"/>
        <v>ia.assorted_string like '%95230-00052-08-2024%' or</v>
      </c>
    </row>
    <row r="83" spans="1:10" x14ac:dyDescent="0.25">
      <c r="A83" s="30" t="s">
        <v>678</v>
      </c>
      <c r="B83" t="s">
        <v>1628</v>
      </c>
      <c r="H83">
        <v>95230</v>
      </c>
      <c r="I83" t="s">
        <v>1682</v>
      </c>
      <c r="J83" t="str">
        <f t="shared" si="1"/>
        <v>ia.assorted_string like '%95230-00054-08-2024%' or</v>
      </c>
    </row>
    <row r="84" spans="1:10" x14ac:dyDescent="0.25">
      <c r="A84" s="30" t="s">
        <v>685</v>
      </c>
      <c r="B84" t="s">
        <v>1628</v>
      </c>
      <c r="H84">
        <v>95230</v>
      </c>
      <c r="I84" t="s">
        <v>1683</v>
      </c>
      <c r="J84" t="str">
        <f t="shared" si="1"/>
        <v>ia.assorted_string like '%95230-00055-08-2024%' or</v>
      </c>
    </row>
    <row r="85" spans="1:10" x14ac:dyDescent="0.25">
      <c r="A85" s="30" t="s">
        <v>694</v>
      </c>
      <c r="B85" t="s">
        <v>1628</v>
      </c>
      <c r="H85">
        <v>95230</v>
      </c>
      <c r="I85" t="s">
        <v>1684</v>
      </c>
      <c r="J85" t="str">
        <f t="shared" si="1"/>
        <v>ia.assorted_string like '%95230-00056-08-2024%' or</v>
      </c>
    </row>
    <row r="86" spans="1:10" x14ac:dyDescent="0.25">
      <c r="A86" s="30" t="s">
        <v>702</v>
      </c>
      <c r="B86" t="s">
        <v>1628</v>
      </c>
      <c r="H86">
        <v>95230</v>
      </c>
      <c r="I86" t="s">
        <v>1685</v>
      </c>
      <c r="J86" t="str">
        <f t="shared" si="1"/>
        <v>ia.assorted_string like '%95230-00057-08-2024%' or</v>
      </c>
    </row>
    <row r="87" spans="1:10" x14ac:dyDescent="0.25">
      <c r="A87" s="30" t="s">
        <v>710</v>
      </c>
      <c r="B87" t="s">
        <v>1628</v>
      </c>
      <c r="H87">
        <v>95230</v>
      </c>
      <c r="I87" t="s">
        <v>1686</v>
      </c>
      <c r="J87" t="str">
        <f t="shared" si="1"/>
        <v>ia.assorted_string like '%95230-00058-08-2024%' or</v>
      </c>
    </row>
    <row r="88" spans="1:10" x14ac:dyDescent="0.25">
      <c r="A88" s="30" t="s">
        <v>717</v>
      </c>
      <c r="B88" t="s">
        <v>1628</v>
      </c>
      <c r="H88">
        <v>95230</v>
      </c>
      <c r="I88" t="s">
        <v>1687</v>
      </c>
      <c r="J88" t="str">
        <f t="shared" si="1"/>
        <v>ia.assorted_string like '%95230-00059-08-2024%' or</v>
      </c>
    </row>
    <row r="89" spans="1:10" x14ac:dyDescent="0.25">
      <c r="A89" s="30" t="s">
        <v>725</v>
      </c>
      <c r="B89" t="s">
        <v>1628</v>
      </c>
      <c r="H89">
        <v>95230</v>
      </c>
      <c r="I89" t="s">
        <v>1688</v>
      </c>
      <c r="J89" t="str">
        <f t="shared" si="1"/>
        <v>ia.assorted_string like '%95230-00006-08-2024%' or</v>
      </c>
    </row>
    <row r="90" spans="1:10" x14ac:dyDescent="0.25">
      <c r="A90" s="30" t="s">
        <v>732</v>
      </c>
      <c r="B90" t="s">
        <v>1628</v>
      </c>
      <c r="H90">
        <v>95230</v>
      </c>
      <c r="I90" t="s">
        <v>1689</v>
      </c>
      <c r="J90" t="str">
        <f t="shared" si="1"/>
        <v>ia.assorted_string like '%95230-00060-08-2024%' or</v>
      </c>
    </row>
    <row r="91" spans="1:10" x14ac:dyDescent="0.25">
      <c r="A91" s="30" t="s">
        <v>740</v>
      </c>
      <c r="B91" t="s">
        <v>1628</v>
      </c>
      <c r="H91">
        <v>95230</v>
      </c>
      <c r="I91" t="s">
        <v>1690</v>
      </c>
      <c r="J91" t="str">
        <f t="shared" si="1"/>
        <v>ia.assorted_string like '%95230-00061-08-2024%' or</v>
      </c>
    </row>
    <row r="92" spans="1:10" x14ac:dyDescent="0.25">
      <c r="A92" s="30" t="s">
        <v>747</v>
      </c>
      <c r="B92" t="s">
        <v>1628</v>
      </c>
      <c r="H92">
        <v>95230</v>
      </c>
      <c r="I92" t="s">
        <v>1691</v>
      </c>
      <c r="J92" t="str">
        <f t="shared" si="1"/>
        <v>ia.assorted_string like '%95230-00062-08-2024%' or</v>
      </c>
    </row>
    <row r="93" spans="1:10" x14ac:dyDescent="0.25">
      <c r="A93" s="30" t="s">
        <v>756</v>
      </c>
      <c r="B93" t="s">
        <v>1628</v>
      </c>
      <c r="H93">
        <v>95230</v>
      </c>
      <c r="I93" t="s">
        <v>1692</v>
      </c>
      <c r="J93" t="str">
        <f t="shared" si="1"/>
        <v>ia.assorted_string like '%95230-00063-08-2024%' or</v>
      </c>
    </row>
    <row r="94" spans="1:10" x14ac:dyDescent="0.25">
      <c r="A94" s="30" t="s">
        <v>763</v>
      </c>
      <c r="B94" t="s">
        <v>1628</v>
      </c>
      <c r="H94">
        <v>95230</v>
      </c>
      <c r="I94" t="s">
        <v>1662</v>
      </c>
      <c r="J94" t="str">
        <f t="shared" si="1"/>
        <v>ia.assorted_string like '%95230-00007-08-2024%' or</v>
      </c>
    </row>
    <row r="95" spans="1:10" x14ac:dyDescent="0.25">
      <c r="A95" s="30" t="s">
        <v>770</v>
      </c>
      <c r="B95" t="s">
        <v>1628</v>
      </c>
      <c r="H95">
        <v>95230</v>
      </c>
      <c r="I95" t="s">
        <v>1663</v>
      </c>
      <c r="J95" t="str">
        <f t="shared" si="1"/>
        <v>ia.assorted_string like '%95230-00008-08-2024%' or</v>
      </c>
    </row>
    <row r="96" spans="1:10" x14ac:dyDescent="0.25">
      <c r="A96" s="30" t="s">
        <v>777</v>
      </c>
      <c r="B96" t="s">
        <v>1628</v>
      </c>
      <c r="H96">
        <v>95230</v>
      </c>
      <c r="I96" t="s">
        <v>1664</v>
      </c>
      <c r="J96" t="str">
        <f t="shared" si="1"/>
        <v>ia.assorted_string like '%95230-00009-08-2024%' or</v>
      </c>
    </row>
    <row r="97" spans="1:10" x14ac:dyDescent="0.25">
      <c r="A97" s="30" t="s">
        <v>784</v>
      </c>
      <c r="B97" t="s">
        <v>1628</v>
      </c>
      <c r="H97">
        <v>95231</v>
      </c>
      <c r="I97" t="s">
        <v>1632</v>
      </c>
      <c r="J97" t="str">
        <f t="shared" si="1"/>
        <v>ia.assorted_string like '%95231-00001-08-2024%' or</v>
      </c>
    </row>
    <row r="98" spans="1:10" x14ac:dyDescent="0.25">
      <c r="A98" s="30" t="s">
        <v>793</v>
      </c>
      <c r="B98" t="s">
        <v>1628</v>
      </c>
      <c r="H98">
        <v>95231</v>
      </c>
      <c r="I98" t="s">
        <v>1635</v>
      </c>
      <c r="J98" t="str">
        <f t="shared" si="1"/>
        <v>ia.assorted_string like '%95231-00010-08-2024%' or</v>
      </c>
    </row>
    <row r="99" spans="1:10" x14ac:dyDescent="0.25">
      <c r="A99" s="30" t="s">
        <v>800</v>
      </c>
      <c r="B99" t="s">
        <v>1628</v>
      </c>
      <c r="H99">
        <v>95231</v>
      </c>
      <c r="I99" t="s">
        <v>1636</v>
      </c>
      <c r="J99" t="str">
        <f t="shared" si="1"/>
        <v>ia.assorted_string like '%95231-00011-08-2024%' or</v>
      </c>
    </row>
    <row r="100" spans="1:10" x14ac:dyDescent="0.25">
      <c r="A100" s="30" t="s">
        <v>808</v>
      </c>
      <c r="B100" t="s">
        <v>1628</v>
      </c>
      <c r="H100">
        <v>95231</v>
      </c>
      <c r="I100" t="s">
        <v>1637</v>
      </c>
      <c r="J100" t="str">
        <f t="shared" si="1"/>
        <v>ia.assorted_string like '%95231-00012-08-2024%' or</v>
      </c>
    </row>
    <row r="101" spans="1:10" x14ac:dyDescent="0.25">
      <c r="A101" s="30" t="s">
        <v>815</v>
      </c>
      <c r="B101" t="s">
        <v>1628</v>
      </c>
      <c r="H101">
        <v>95231</v>
      </c>
      <c r="I101" t="s">
        <v>1638</v>
      </c>
      <c r="J101" t="str">
        <f t="shared" si="1"/>
        <v>ia.assorted_string like '%95231-00013-08-2024%' or</v>
      </c>
    </row>
    <row r="102" spans="1:10" x14ac:dyDescent="0.25">
      <c r="A102" s="30" t="s">
        <v>822</v>
      </c>
      <c r="B102" t="s">
        <v>1628</v>
      </c>
      <c r="H102">
        <v>95231</v>
      </c>
      <c r="I102" t="s">
        <v>1639</v>
      </c>
      <c r="J102" t="str">
        <f t="shared" si="1"/>
        <v>ia.assorted_string like '%95231-00014-08-2024%' or</v>
      </c>
    </row>
    <row r="103" spans="1:10" x14ac:dyDescent="0.25">
      <c r="A103" s="30" t="s">
        <v>830</v>
      </c>
      <c r="B103" t="s">
        <v>1628</v>
      </c>
      <c r="H103">
        <v>95231</v>
      </c>
      <c r="I103" t="s">
        <v>1640</v>
      </c>
      <c r="J103" t="str">
        <f t="shared" si="1"/>
        <v>ia.assorted_string like '%95231-00015-08-2024%' or</v>
      </c>
    </row>
    <row r="104" spans="1:10" x14ac:dyDescent="0.25">
      <c r="A104" s="30" t="s">
        <v>837</v>
      </c>
      <c r="B104" t="s">
        <v>1628</v>
      </c>
      <c r="H104">
        <v>95231</v>
      </c>
      <c r="I104" t="s">
        <v>1641</v>
      </c>
      <c r="J104" t="str">
        <f t="shared" si="1"/>
        <v>ia.assorted_string like '%95231-00016-08-2024%' or</v>
      </c>
    </row>
    <row r="105" spans="1:10" x14ac:dyDescent="0.25">
      <c r="A105" s="30" t="s">
        <v>845</v>
      </c>
      <c r="B105" t="s">
        <v>1628</v>
      </c>
      <c r="H105">
        <v>95231</v>
      </c>
      <c r="I105" t="s">
        <v>1642</v>
      </c>
      <c r="J105" t="str">
        <f t="shared" si="1"/>
        <v>ia.assorted_string like '%95231-00017-08-2024%' or</v>
      </c>
    </row>
    <row r="106" spans="1:10" x14ac:dyDescent="0.25">
      <c r="A106" s="30" t="s">
        <v>852</v>
      </c>
      <c r="B106" t="s">
        <v>1628</v>
      </c>
      <c r="H106">
        <v>95231</v>
      </c>
      <c r="I106" t="s">
        <v>1643</v>
      </c>
      <c r="J106" t="str">
        <f t="shared" si="1"/>
        <v>ia.assorted_string like '%95231-00018-08-2024%' or</v>
      </c>
    </row>
    <row r="107" spans="1:10" x14ac:dyDescent="0.25">
      <c r="A107" s="30" t="s">
        <v>859</v>
      </c>
      <c r="B107" t="s">
        <v>1628</v>
      </c>
      <c r="H107">
        <v>95231</v>
      </c>
      <c r="I107" t="s">
        <v>1644</v>
      </c>
      <c r="J107" t="str">
        <f t="shared" si="1"/>
        <v>ia.assorted_string like '%95231-00019-08-2024%' or</v>
      </c>
    </row>
    <row r="108" spans="1:10" x14ac:dyDescent="0.25">
      <c r="A108" s="30" t="s">
        <v>866</v>
      </c>
      <c r="B108" t="s">
        <v>1628</v>
      </c>
      <c r="H108">
        <v>95231</v>
      </c>
      <c r="I108" t="s">
        <v>1633</v>
      </c>
      <c r="J108" t="str">
        <f t="shared" si="1"/>
        <v>ia.assorted_string like '%95231-00002-08-2024%' or</v>
      </c>
    </row>
    <row r="109" spans="1:10" x14ac:dyDescent="0.25">
      <c r="A109" s="30" t="s">
        <v>873</v>
      </c>
      <c r="B109" t="s">
        <v>1628</v>
      </c>
      <c r="H109">
        <v>95231</v>
      </c>
      <c r="I109" t="s">
        <v>1665</v>
      </c>
      <c r="J109" t="str">
        <f t="shared" si="1"/>
        <v>ia.assorted_string like '%95231-00020-08-2024%' or</v>
      </c>
    </row>
    <row r="110" spans="1:10" x14ac:dyDescent="0.25">
      <c r="A110" s="30" t="s">
        <v>881</v>
      </c>
      <c r="B110" t="s">
        <v>1628</v>
      </c>
      <c r="H110">
        <v>95231</v>
      </c>
      <c r="I110" t="s">
        <v>1645</v>
      </c>
      <c r="J110" t="str">
        <f t="shared" si="1"/>
        <v>ia.assorted_string like '%95231-00021-08-2024%' or</v>
      </c>
    </row>
    <row r="111" spans="1:10" x14ac:dyDescent="0.25">
      <c r="A111" s="30" t="s">
        <v>888</v>
      </c>
      <c r="B111" t="s">
        <v>1628</v>
      </c>
      <c r="H111">
        <v>95231</v>
      </c>
      <c r="I111" t="s">
        <v>1646</v>
      </c>
      <c r="J111" t="str">
        <f t="shared" si="1"/>
        <v>ia.assorted_string like '%95231-00022-08-2024%' or</v>
      </c>
    </row>
    <row r="112" spans="1:10" x14ac:dyDescent="0.25">
      <c r="A112" s="30" t="s">
        <v>895</v>
      </c>
      <c r="B112" t="s">
        <v>1628</v>
      </c>
      <c r="H112">
        <v>95231</v>
      </c>
      <c r="I112" t="s">
        <v>1647</v>
      </c>
      <c r="J112" t="str">
        <f t="shared" si="1"/>
        <v>ia.assorted_string like '%95231-00023-08-2024%' or</v>
      </c>
    </row>
    <row r="113" spans="1:10" x14ac:dyDescent="0.25">
      <c r="A113" s="30" t="s">
        <v>902</v>
      </c>
      <c r="B113" t="s">
        <v>1628</v>
      </c>
      <c r="H113">
        <v>95231</v>
      </c>
      <c r="I113" t="s">
        <v>1649</v>
      </c>
      <c r="J113" t="str">
        <f t="shared" si="1"/>
        <v>ia.assorted_string like '%95231-00025-08-2024%' or</v>
      </c>
    </row>
    <row r="114" spans="1:10" x14ac:dyDescent="0.25">
      <c r="A114" s="30" t="s">
        <v>909</v>
      </c>
      <c r="B114" t="s">
        <v>1628</v>
      </c>
      <c r="H114">
        <v>95231</v>
      </c>
      <c r="I114" t="s">
        <v>1650</v>
      </c>
      <c r="J114" t="str">
        <f t="shared" si="1"/>
        <v>ia.assorted_string like '%95231-00026-08-2024%' or</v>
      </c>
    </row>
    <row r="115" spans="1:10" x14ac:dyDescent="0.25">
      <c r="A115" s="30" t="s">
        <v>917</v>
      </c>
      <c r="B115" t="s">
        <v>1628</v>
      </c>
      <c r="H115">
        <v>95231</v>
      </c>
      <c r="I115" t="s">
        <v>1651</v>
      </c>
      <c r="J115" t="str">
        <f t="shared" si="1"/>
        <v>ia.assorted_string like '%95231-00027-08-2024%' or</v>
      </c>
    </row>
    <row r="116" spans="1:10" x14ac:dyDescent="0.25">
      <c r="A116" s="30" t="s">
        <v>926</v>
      </c>
      <c r="B116" t="s">
        <v>1628</v>
      </c>
      <c r="H116">
        <v>95231</v>
      </c>
      <c r="I116" t="s">
        <v>1652</v>
      </c>
      <c r="J116" t="str">
        <f t="shared" si="1"/>
        <v>ia.assorted_string like '%95231-00028-08-2024%' or</v>
      </c>
    </row>
    <row r="117" spans="1:10" x14ac:dyDescent="0.25">
      <c r="A117" s="30" t="s">
        <v>933</v>
      </c>
      <c r="B117" t="s">
        <v>1628</v>
      </c>
      <c r="H117">
        <v>95231</v>
      </c>
      <c r="I117" t="s">
        <v>1653</v>
      </c>
      <c r="J117" t="str">
        <f t="shared" si="1"/>
        <v>ia.assorted_string like '%95231-00029-08-2024%' or</v>
      </c>
    </row>
    <row r="118" spans="1:10" x14ac:dyDescent="0.25">
      <c r="A118" s="30" t="s">
        <v>942</v>
      </c>
      <c r="B118" t="s">
        <v>1628</v>
      </c>
      <c r="H118">
        <v>95231</v>
      </c>
      <c r="I118" t="s">
        <v>1634</v>
      </c>
      <c r="J118" t="str">
        <f t="shared" si="1"/>
        <v>ia.assorted_string like '%95231-00003-08-2024%' or</v>
      </c>
    </row>
    <row r="119" spans="1:10" x14ac:dyDescent="0.25">
      <c r="A119" s="30" t="s">
        <v>949</v>
      </c>
      <c r="B119" t="s">
        <v>1628</v>
      </c>
      <c r="H119">
        <v>95231</v>
      </c>
      <c r="I119" t="s">
        <v>1654</v>
      </c>
      <c r="J119" t="str">
        <f t="shared" si="1"/>
        <v>ia.assorted_string like '%95231-00030-08-2024%' or</v>
      </c>
    </row>
    <row r="120" spans="1:10" x14ac:dyDescent="0.25">
      <c r="A120" s="30" t="s">
        <v>956</v>
      </c>
      <c r="B120" t="s">
        <v>1628</v>
      </c>
      <c r="H120">
        <v>95231</v>
      </c>
      <c r="I120" t="s">
        <v>1655</v>
      </c>
      <c r="J120" t="str">
        <f t="shared" si="1"/>
        <v>ia.assorted_string like '%95231-00031-08-2024%' or</v>
      </c>
    </row>
    <row r="121" spans="1:10" x14ac:dyDescent="0.25">
      <c r="A121" s="30" t="s">
        <v>963</v>
      </c>
      <c r="B121" t="s">
        <v>1628</v>
      </c>
      <c r="H121">
        <v>95231</v>
      </c>
      <c r="I121" t="s">
        <v>1656</v>
      </c>
      <c r="J121" t="str">
        <f t="shared" si="1"/>
        <v>ia.assorted_string like '%95231-00032-08-2024%' or</v>
      </c>
    </row>
    <row r="122" spans="1:10" x14ac:dyDescent="0.25">
      <c r="A122" s="30" t="s">
        <v>972</v>
      </c>
      <c r="B122" t="s">
        <v>1628</v>
      </c>
      <c r="H122">
        <v>95231</v>
      </c>
      <c r="I122" t="s">
        <v>1657</v>
      </c>
      <c r="J122" t="str">
        <f t="shared" si="1"/>
        <v>ia.assorted_string like '%95231-00033-08-2024%' or</v>
      </c>
    </row>
    <row r="123" spans="1:10" x14ac:dyDescent="0.25">
      <c r="A123" s="30" t="s">
        <v>979</v>
      </c>
      <c r="B123" t="s">
        <v>1628</v>
      </c>
      <c r="H123">
        <v>95231</v>
      </c>
      <c r="I123" t="s">
        <v>1658</v>
      </c>
      <c r="J123" t="str">
        <f t="shared" si="1"/>
        <v>ia.assorted_string like '%95231-00034-08-2024%' or</v>
      </c>
    </row>
    <row r="124" spans="1:10" x14ac:dyDescent="0.25">
      <c r="A124" s="30" t="s">
        <v>987</v>
      </c>
      <c r="B124" t="s">
        <v>1628</v>
      </c>
      <c r="H124">
        <v>95231</v>
      </c>
      <c r="I124" t="s">
        <v>1659</v>
      </c>
      <c r="J124" t="str">
        <f t="shared" si="1"/>
        <v>ia.assorted_string like '%95231-00035-08-2024%' or</v>
      </c>
    </row>
    <row r="125" spans="1:10" x14ac:dyDescent="0.25">
      <c r="A125" s="30" t="s">
        <v>994</v>
      </c>
      <c r="B125" t="s">
        <v>1628</v>
      </c>
      <c r="H125">
        <v>95231</v>
      </c>
      <c r="I125" t="s">
        <v>1666</v>
      </c>
      <c r="J125" t="str">
        <f t="shared" si="1"/>
        <v>ia.assorted_string like '%95231-00036-08-2024%' or</v>
      </c>
    </row>
    <row r="126" spans="1:10" x14ac:dyDescent="0.25">
      <c r="A126" s="30" t="s">
        <v>1002</v>
      </c>
      <c r="B126" t="s">
        <v>1628</v>
      </c>
      <c r="H126">
        <v>95231</v>
      </c>
      <c r="I126" t="s">
        <v>1660</v>
      </c>
      <c r="J126" t="str">
        <f t="shared" si="1"/>
        <v>ia.assorted_string like '%95231-00004-08-2024%' or</v>
      </c>
    </row>
    <row r="127" spans="1:10" x14ac:dyDescent="0.25">
      <c r="A127" s="30" t="s">
        <v>1010</v>
      </c>
      <c r="B127" t="s">
        <v>1628</v>
      </c>
      <c r="H127">
        <v>95231</v>
      </c>
      <c r="I127" t="s">
        <v>1661</v>
      </c>
      <c r="J127" t="str">
        <f t="shared" si="1"/>
        <v>ia.assorted_string like '%95231-00005-08-2024%' or</v>
      </c>
    </row>
    <row r="128" spans="1:10" x14ac:dyDescent="0.25">
      <c r="A128" s="30" t="s">
        <v>1017</v>
      </c>
      <c r="B128" t="s">
        <v>1628</v>
      </c>
      <c r="H128">
        <v>95231</v>
      </c>
      <c r="I128" t="s">
        <v>1688</v>
      </c>
      <c r="J128" t="str">
        <f t="shared" si="1"/>
        <v>ia.assorted_string like '%95231-00006-08-2024%' or</v>
      </c>
    </row>
    <row r="129" spans="1:10" x14ac:dyDescent="0.25">
      <c r="A129" s="30" t="s">
        <v>1024</v>
      </c>
      <c r="B129" t="s">
        <v>1628</v>
      </c>
      <c r="H129">
        <v>95231</v>
      </c>
      <c r="I129" t="s">
        <v>1662</v>
      </c>
      <c r="J129" t="str">
        <f t="shared" si="1"/>
        <v>ia.assorted_string like '%95231-00007-08-2024%' or</v>
      </c>
    </row>
    <row r="130" spans="1:10" x14ac:dyDescent="0.25">
      <c r="A130" s="30" t="s">
        <v>1031</v>
      </c>
      <c r="B130" t="s">
        <v>1628</v>
      </c>
      <c r="H130">
        <v>95231</v>
      </c>
      <c r="I130" t="s">
        <v>1663</v>
      </c>
      <c r="J130" t="str">
        <f t="shared" ref="J130:J167" si="2">"ia.assorted_string like '%"&amp;H130&amp;"-"&amp;I130&amp;B130&amp;"%' or"</f>
        <v>ia.assorted_string like '%95231-00008-08-2024%' or</v>
      </c>
    </row>
    <row r="131" spans="1:10" x14ac:dyDescent="0.25">
      <c r="A131" s="30" t="s">
        <v>1039</v>
      </c>
      <c r="B131" t="s">
        <v>1628</v>
      </c>
      <c r="H131">
        <v>95231</v>
      </c>
      <c r="I131" t="s">
        <v>1664</v>
      </c>
      <c r="J131" t="str">
        <f t="shared" si="2"/>
        <v>ia.assorted_string like '%95231-00009-08-2024%' or</v>
      </c>
    </row>
    <row r="132" spans="1:10" x14ac:dyDescent="0.25">
      <c r="A132" s="30" t="s">
        <v>1046</v>
      </c>
      <c r="B132" t="s">
        <v>1628</v>
      </c>
      <c r="H132">
        <v>95233</v>
      </c>
      <c r="I132" t="s">
        <v>1632</v>
      </c>
      <c r="J132" t="str">
        <f t="shared" si="2"/>
        <v>ia.assorted_string like '%95233-00001-08-2024%' or</v>
      </c>
    </row>
    <row r="133" spans="1:10" x14ac:dyDescent="0.25">
      <c r="A133" s="30" t="s">
        <v>1053</v>
      </c>
      <c r="B133" t="s">
        <v>1628</v>
      </c>
      <c r="H133">
        <v>95233</v>
      </c>
      <c r="I133" t="s">
        <v>1635</v>
      </c>
      <c r="J133" t="str">
        <f t="shared" si="2"/>
        <v>ia.assorted_string like '%95233-00010-08-2024%' or</v>
      </c>
    </row>
    <row r="134" spans="1:10" x14ac:dyDescent="0.25">
      <c r="A134" s="30" t="s">
        <v>1060</v>
      </c>
      <c r="B134" t="s">
        <v>1628</v>
      </c>
      <c r="H134">
        <v>95233</v>
      </c>
      <c r="I134" t="s">
        <v>1636</v>
      </c>
      <c r="J134" t="str">
        <f t="shared" si="2"/>
        <v>ia.assorted_string like '%95233-00011-08-2024%' or</v>
      </c>
    </row>
    <row r="135" spans="1:10" x14ac:dyDescent="0.25">
      <c r="A135" s="30" t="s">
        <v>1067</v>
      </c>
      <c r="B135" t="s">
        <v>1628</v>
      </c>
      <c r="H135">
        <v>95233</v>
      </c>
      <c r="I135" t="s">
        <v>1637</v>
      </c>
      <c r="J135" t="str">
        <f t="shared" si="2"/>
        <v>ia.assorted_string like '%95233-00012-08-2024%' or</v>
      </c>
    </row>
    <row r="136" spans="1:10" x14ac:dyDescent="0.25">
      <c r="A136" s="30" t="s">
        <v>1074</v>
      </c>
      <c r="B136" t="s">
        <v>1628</v>
      </c>
      <c r="H136">
        <v>95233</v>
      </c>
      <c r="I136" t="s">
        <v>1638</v>
      </c>
      <c r="J136" t="str">
        <f t="shared" si="2"/>
        <v>ia.assorted_string like '%95233-00013-08-2024%' or</v>
      </c>
    </row>
    <row r="137" spans="1:10" x14ac:dyDescent="0.25">
      <c r="A137" s="30" t="s">
        <v>1081</v>
      </c>
      <c r="B137" t="s">
        <v>1628</v>
      </c>
      <c r="H137">
        <v>95233</v>
      </c>
      <c r="I137" t="s">
        <v>1639</v>
      </c>
      <c r="J137" t="str">
        <f t="shared" si="2"/>
        <v>ia.assorted_string like '%95233-00014-08-2024%' or</v>
      </c>
    </row>
    <row r="138" spans="1:10" x14ac:dyDescent="0.25">
      <c r="A138" s="30" t="s">
        <v>1088</v>
      </c>
      <c r="B138" t="s">
        <v>1628</v>
      </c>
      <c r="H138">
        <v>95233</v>
      </c>
      <c r="I138" t="s">
        <v>1640</v>
      </c>
      <c r="J138" t="str">
        <f t="shared" si="2"/>
        <v>ia.assorted_string like '%95233-00015-08-2024%' or</v>
      </c>
    </row>
    <row r="139" spans="1:10" x14ac:dyDescent="0.25">
      <c r="A139" s="30" t="s">
        <v>1095</v>
      </c>
      <c r="B139" t="s">
        <v>1628</v>
      </c>
      <c r="H139">
        <v>95233</v>
      </c>
      <c r="I139" t="s">
        <v>1641</v>
      </c>
      <c r="J139" t="str">
        <f t="shared" si="2"/>
        <v>ia.assorted_string like '%95233-00016-08-2024%' or</v>
      </c>
    </row>
    <row r="140" spans="1:10" x14ac:dyDescent="0.25">
      <c r="A140" s="30" t="s">
        <v>1102</v>
      </c>
      <c r="B140" t="s">
        <v>1628</v>
      </c>
      <c r="H140">
        <v>95233</v>
      </c>
      <c r="I140" t="s">
        <v>1642</v>
      </c>
      <c r="J140" t="str">
        <f t="shared" si="2"/>
        <v>ia.assorted_string like '%95233-00017-08-2024%' or</v>
      </c>
    </row>
    <row r="141" spans="1:10" x14ac:dyDescent="0.25">
      <c r="A141" s="30" t="s">
        <v>1109</v>
      </c>
      <c r="B141" t="s">
        <v>1628</v>
      </c>
      <c r="H141">
        <v>95233</v>
      </c>
      <c r="I141" t="s">
        <v>1643</v>
      </c>
      <c r="J141" t="str">
        <f t="shared" si="2"/>
        <v>ia.assorted_string like '%95233-00018-08-2024%' or</v>
      </c>
    </row>
    <row r="142" spans="1:10" x14ac:dyDescent="0.25">
      <c r="A142" s="30" t="s">
        <v>1117</v>
      </c>
      <c r="B142" t="s">
        <v>1628</v>
      </c>
      <c r="H142">
        <v>95233</v>
      </c>
      <c r="I142" t="s">
        <v>1633</v>
      </c>
      <c r="J142" t="str">
        <f t="shared" si="2"/>
        <v>ia.assorted_string like '%95233-00002-08-2024%' or</v>
      </c>
    </row>
    <row r="143" spans="1:10" x14ac:dyDescent="0.25">
      <c r="A143" s="30" t="s">
        <v>1124</v>
      </c>
      <c r="B143" t="s">
        <v>1628</v>
      </c>
      <c r="H143">
        <v>95233</v>
      </c>
      <c r="I143" t="s">
        <v>1634</v>
      </c>
      <c r="J143" t="str">
        <f t="shared" si="2"/>
        <v>ia.assorted_string like '%95233-00003-08-2024%' or</v>
      </c>
    </row>
    <row r="144" spans="1:10" x14ac:dyDescent="0.25">
      <c r="A144" s="30" t="s">
        <v>1132</v>
      </c>
      <c r="B144" t="s">
        <v>1628</v>
      </c>
      <c r="H144">
        <v>95233</v>
      </c>
      <c r="I144" t="s">
        <v>1660</v>
      </c>
      <c r="J144" t="str">
        <f t="shared" si="2"/>
        <v>ia.assorted_string like '%95233-00004-08-2024%' or</v>
      </c>
    </row>
    <row r="145" spans="1:10" x14ac:dyDescent="0.25">
      <c r="A145" s="30" t="s">
        <v>1140</v>
      </c>
      <c r="B145" t="s">
        <v>1628</v>
      </c>
      <c r="H145">
        <v>95233</v>
      </c>
      <c r="I145" t="s">
        <v>1661</v>
      </c>
      <c r="J145" t="str">
        <f t="shared" si="2"/>
        <v>ia.assorted_string like '%95233-00005-08-2024%' or</v>
      </c>
    </row>
    <row r="146" spans="1:10" x14ac:dyDescent="0.25">
      <c r="A146" s="30" t="s">
        <v>1147</v>
      </c>
      <c r="B146" t="s">
        <v>1628</v>
      </c>
      <c r="H146">
        <v>95233</v>
      </c>
      <c r="I146" t="s">
        <v>1688</v>
      </c>
      <c r="J146" t="str">
        <f t="shared" si="2"/>
        <v>ia.assorted_string like '%95233-00006-08-2024%' or</v>
      </c>
    </row>
    <row r="147" spans="1:10" x14ac:dyDescent="0.25">
      <c r="A147" s="30" t="s">
        <v>1154</v>
      </c>
      <c r="B147" t="s">
        <v>1628</v>
      </c>
      <c r="H147">
        <v>95233</v>
      </c>
      <c r="I147" t="s">
        <v>1662</v>
      </c>
      <c r="J147" t="str">
        <f t="shared" si="2"/>
        <v>ia.assorted_string like '%95233-00007-08-2024%' or</v>
      </c>
    </row>
    <row r="148" spans="1:10" x14ac:dyDescent="0.25">
      <c r="A148" s="30" t="s">
        <v>1161</v>
      </c>
      <c r="B148" t="s">
        <v>1628</v>
      </c>
      <c r="H148">
        <v>95233</v>
      </c>
      <c r="I148" t="s">
        <v>1663</v>
      </c>
      <c r="J148" t="str">
        <f t="shared" si="2"/>
        <v>ia.assorted_string like '%95233-00008-08-2024%' or</v>
      </c>
    </row>
    <row r="149" spans="1:10" x14ac:dyDescent="0.25">
      <c r="A149" s="30" t="s">
        <v>1168</v>
      </c>
      <c r="B149" t="s">
        <v>1628</v>
      </c>
      <c r="H149">
        <v>95233</v>
      </c>
      <c r="I149" t="s">
        <v>1664</v>
      </c>
      <c r="J149" t="str">
        <f t="shared" si="2"/>
        <v>ia.assorted_string like '%95233-00009-08-2024%' or</v>
      </c>
    </row>
    <row r="150" spans="1:10" x14ac:dyDescent="0.25">
      <c r="A150" s="30" t="s">
        <v>1175</v>
      </c>
      <c r="B150" t="s">
        <v>1628</v>
      </c>
      <c r="H150">
        <v>95234</v>
      </c>
      <c r="I150" t="s">
        <v>1632</v>
      </c>
      <c r="J150" t="str">
        <f t="shared" si="2"/>
        <v>ia.assorted_string like '%95234-00001-08-2024%' or</v>
      </c>
    </row>
    <row r="151" spans="1:10" x14ac:dyDescent="0.25">
      <c r="A151" s="30" t="s">
        <v>1183</v>
      </c>
      <c r="B151" t="s">
        <v>1628</v>
      </c>
      <c r="H151">
        <v>95236</v>
      </c>
      <c r="I151" t="s">
        <v>1632</v>
      </c>
      <c r="J151" t="str">
        <f t="shared" si="2"/>
        <v>ia.assorted_string like '%95236-00001-08-2024%' or</v>
      </c>
    </row>
    <row r="152" spans="1:10" x14ac:dyDescent="0.25">
      <c r="A152" s="30" t="s">
        <v>1191</v>
      </c>
      <c r="B152" t="s">
        <v>1628</v>
      </c>
      <c r="H152">
        <v>95236</v>
      </c>
      <c r="I152" t="s">
        <v>1633</v>
      </c>
      <c r="J152" t="str">
        <f t="shared" si="2"/>
        <v>ia.assorted_string like '%95236-00002-08-2024%' or</v>
      </c>
    </row>
    <row r="153" spans="1:10" x14ac:dyDescent="0.25">
      <c r="A153" s="30" t="s">
        <v>1199</v>
      </c>
      <c r="B153" t="s">
        <v>1628</v>
      </c>
      <c r="H153">
        <v>95236</v>
      </c>
      <c r="I153" t="s">
        <v>1634</v>
      </c>
      <c r="J153" t="str">
        <f t="shared" si="2"/>
        <v>ia.assorted_string like '%95236-00003-08-2024%' or</v>
      </c>
    </row>
    <row r="154" spans="1:10" x14ac:dyDescent="0.25">
      <c r="A154" s="30" t="s">
        <v>1206</v>
      </c>
      <c r="B154" t="s">
        <v>1628</v>
      </c>
      <c r="H154">
        <v>95236</v>
      </c>
      <c r="I154" t="s">
        <v>1660</v>
      </c>
      <c r="J154" t="str">
        <f t="shared" si="2"/>
        <v>ia.assorted_string like '%95236-00004-08-2024%' or</v>
      </c>
    </row>
    <row r="155" spans="1:10" x14ac:dyDescent="0.25">
      <c r="A155" s="30" t="s">
        <v>1214</v>
      </c>
      <c r="B155" t="s">
        <v>1628</v>
      </c>
      <c r="H155">
        <v>95236</v>
      </c>
      <c r="I155" t="s">
        <v>1688</v>
      </c>
      <c r="J155" t="str">
        <f t="shared" si="2"/>
        <v>ia.assorted_string like '%95236-00006-08-2024%' or</v>
      </c>
    </row>
    <row r="156" spans="1:10" x14ac:dyDescent="0.25">
      <c r="A156" s="30" t="s">
        <v>1221</v>
      </c>
      <c r="B156" t="s">
        <v>1628</v>
      </c>
      <c r="H156">
        <v>95236</v>
      </c>
      <c r="I156" t="s">
        <v>1662</v>
      </c>
      <c r="J156" t="str">
        <f t="shared" si="2"/>
        <v>ia.assorted_string like '%95236-00007-08-2024%' or</v>
      </c>
    </row>
    <row r="157" spans="1:10" x14ac:dyDescent="0.25">
      <c r="A157" s="33" t="s">
        <v>1230</v>
      </c>
      <c r="B157" t="s">
        <v>1628</v>
      </c>
      <c r="H157">
        <v>95236</v>
      </c>
      <c r="I157" t="s">
        <v>1663</v>
      </c>
      <c r="J157" t="str">
        <f t="shared" si="2"/>
        <v>ia.assorted_string like '%95236-00008-08-2024%' or</v>
      </c>
    </row>
    <row r="158" spans="1:10" x14ac:dyDescent="0.25">
      <c r="A158" s="30" t="s">
        <v>1237</v>
      </c>
      <c r="B158" t="s">
        <v>1628</v>
      </c>
      <c r="H158">
        <v>95236</v>
      </c>
      <c r="I158" t="s">
        <v>1664</v>
      </c>
      <c r="J158" t="str">
        <f t="shared" si="2"/>
        <v>ia.assorted_string like '%95236-00009-08-2024%' or</v>
      </c>
    </row>
    <row r="159" spans="1:10" x14ac:dyDescent="0.25">
      <c r="A159" s="30" t="s">
        <v>1244</v>
      </c>
      <c r="B159" t="s">
        <v>1628</v>
      </c>
      <c r="H159">
        <v>95296</v>
      </c>
      <c r="I159" t="s">
        <v>1663</v>
      </c>
      <c r="J159" t="str">
        <f t="shared" si="2"/>
        <v>ia.assorted_string like '%95296-00008-08-2024%' or</v>
      </c>
    </row>
    <row r="160" spans="1:10" x14ac:dyDescent="0.25">
      <c r="A160" s="30" t="s">
        <v>1252</v>
      </c>
      <c r="B160" t="s">
        <v>1629</v>
      </c>
      <c r="H160">
        <v>93457</v>
      </c>
      <c r="I160" t="s">
        <v>1643</v>
      </c>
      <c r="J160" t="str">
        <f t="shared" si="2"/>
        <v>ia.assorted_string like '%93457-00018-07-2024%' or</v>
      </c>
    </row>
    <row r="161" spans="1:10" x14ac:dyDescent="0.25">
      <c r="A161" s="30" t="s">
        <v>1259</v>
      </c>
      <c r="B161" t="s">
        <v>1629</v>
      </c>
      <c r="H161">
        <v>93457</v>
      </c>
      <c r="I161" t="s">
        <v>1652</v>
      </c>
      <c r="J161" t="str">
        <f t="shared" si="2"/>
        <v>ia.assorted_string like '%93457-00028-07-2024%' or</v>
      </c>
    </row>
    <row r="162" spans="1:10" x14ac:dyDescent="0.25">
      <c r="A162" s="30" t="s">
        <v>1267</v>
      </c>
      <c r="B162" t="s">
        <v>1629</v>
      </c>
      <c r="H162">
        <v>93457</v>
      </c>
      <c r="I162" t="s">
        <v>1671</v>
      </c>
      <c r="J162" t="str">
        <f t="shared" si="2"/>
        <v>ia.assorted_string like '%93457-00042-07-2024%' or</v>
      </c>
    </row>
    <row r="163" spans="1:10" x14ac:dyDescent="0.25">
      <c r="A163" s="30" t="s">
        <v>1274</v>
      </c>
      <c r="B163" t="s">
        <v>1630</v>
      </c>
      <c r="H163">
        <v>90920</v>
      </c>
      <c r="I163" t="s">
        <v>1638</v>
      </c>
      <c r="J163" t="str">
        <f t="shared" si="2"/>
        <v>ia.assorted_string like '%90920-00013-06-2024%' or</v>
      </c>
    </row>
    <row r="164" spans="1:10" x14ac:dyDescent="0.25">
      <c r="A164" s="30" t="s">
        <v>1283</v>
      </c>
      <c r="B164" t="s">
        <v>1630</v>
      </c>
      <c r="H164">
        <v>90920</v>
      </c>
      <c r="I164" t="s">
        <v>1693</v>
      </c>
      <c r="J164" t="str">
        <f t="shared" si="2"/>
        <v>ia.assorted_string like '%90920-00156-06-2024%' or</v>
      </c>
    </row>
    <row r="165" spans="1:10" x14ac:dyDescent="0.25">
      <c r="A165" s="30" t="s">
        <v>1291</v>
      </c>
      <c r="B165" t="s">
        <v>1630</v>
      </c>
      <c r="H165">
        <v>90920</v>
      </c>
      <c r="I165" t="s">
        <v>1665</v>
      </c>
      <c r="J165" t="str">
        <f t="shared" si="2"/>
        <v>ia.assorted_string like '%90920-00020-06-2024%' or</v>
      </c>
    </row>
    <row r="166" spans="1:10" x14ac:dyDescent="0.25">
      <c r="A166" s="30" t="s">
        <v>1299</v>
      </c>
      <c r="B166" t="s">
        <v>1631</v>
      </c>
      <c r="H166">
        <v>86646</v>
      </c>
      <c r="I166" t="s">
        <v>1661</v>
      </c>
      <c r="J166" t="str">
        <f t="shared" si="2"/>
        <v>ia.assorted_string like '%86646-00005-04-2024%' or</v>
      </c>
    </row>
    <row r="167" spans="1:10" x14ac:dyDescent="0.25">
      <c r="A167" s="30" t="s">
        <v>1307</v>
      </c>
      <c r="B167" t="s">
        <v>1631</v>
      </c>
      <c r="H167">
        <v>86646</v>
      </c>
      <c r="I167" t="s">
        <v>1686</v>
      </c>
      <c r="J167" t="str">
        <f t="shared" si="2"/>
        <v>ia.assorted_string like '%86646-00058-04-2024%'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3"/>
  <sheetViews>
    <sheetView topLeftCell="T1" workbookViewId="0"/>
  </sheetViews>
  <sheetFormatPr defaultRowHeight="15" x14ac:dyDescent="0.25"/>
  <cols>
    <col min="6" max="6" width="30" bestFit="1" customWidth="1"/>
    <col min="10" max="10" width="12.140625" customWidth="1"/>
    <col min="26" max="26" width="10.42578125" bestFit="1" customWidth="1"/>
    <col min="33" max="33" width="39.140625" bestFit="1" customWidth="1"/>
    <col min="34" max="34" width="13.28515625" customWidth="1"/>
    <col min="35" max="35" width="10.5703125" customWidth="1"/>
  </cols>
  <sheetData>
    <row r="1" spans="1:35" ht="45" x14ac:dyDescent="0.25">
      <c r="A1" s="1" t="s">
        <v>1627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1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</v>
      </c>
      <c r="P1" s="5" t="s">
        <v>13</v>
      </c>
      <c r="Q1" s="5" t="s">
        <v>14</v>
      </c>
      <c r="R1" s="5" t="s">
        <v>15</v>
      </c>
      <c r="S1" s="6" t="s">
        <v>16</v>
      </c>
      <c r="T1" s="6" t="s">
        <v>17</v>
      </c>
      <c r="U1" s="7" t="s">
        <v>18</v>
      </c>
      <c r="V1" s="8" t="s">
        <v>19</v>
      </c>
      <c r="W1" s="9" t="s">
        <v>20</v>
      </c>
      <c r="X1" s="10" t="s">
        <v>21</v>
      </c>
      <c r="Y1" s="11" t="s">
        <v>22</v>
      </c>
      <c r="Z1" s="10" t="s">
        <v>23</v>
      </c>
      <c r="AA1" s="12" t="s">
        <v>24</v>
      </c>
      <c r="AB1" s="13" t="s">
        <v>25</v>
      </c>
      <c r="AC1" s="14" t="s">
        <v>26</v>
      </c>
      <c r="AD1" s="15" t="s">
        <v>27</v>
      </c>
      <c r="AE1" s="16" t="s">
        <v>28</v>
      </c>
      <c r="AF1" s="17" t="s">
        <v>29</v>
      </c>
      <c r="AG1" s="18" t="s">
        <v>1314</v>
      </c>
      <c r="AH1" s="18" t="s">
        <v>31</v>
      </c>
      <c r="AI1" s="18" t="s">
        <v>32</v>
      </c>
    </row>
    <row r="2" spans="1:35" x14ac:dyDescent="0.25">
      <c r="A2" s="19">
        <v>1</v>
      </c>
      <c r="B2" s="19" t="s">
        <v>1315</v>
      </c>
      <c r="C2" s="19" t="s">
        <v>1316</v>
      </c>
      <c r="D2" s="20">
        <v>45505</v>
      </c>
      <c r="E2" s="21" t="s">
        <v>35</v>
      </c>
      <c r="F2" s="19" t="s">
        <v>1317</v>
      </c>
      <c r="G2" s="22">
        <v>45511</v>
      </c>
      <c r="H2" s="22">
        <v>45875</v>
      </c>
      <c r="I2" s="35" t="s">
        <v>1318</v>
      </c>
      <c r="J2" s="24">
        <v>3520218727303</v>
      </c>
      <c r="K2" s="35" t="s">
        <v>1319</v>
      </c>
      <c r="L2" s="19" t="s">
        <v>1320</v>
      </c>
      <c r="M2" s="19" t="s">
        <v>1321</v>
      </c>
      <c r="N2" s="19" t="s">
        <v>1322</v>
      </c>
      <c r="O2" s="19" t="s">
        <v>1316</v>
      </c>
      <c r="P2" s="19" t="s">
        <v>61</v>
      </c>
      <c r="Q2" s="19" t="s">
        <v>79</v>
      </c>
      <c r="R2" s="19" t="s">
        <v>1323</v>
      </c>
      <c r="S2" s="22">
        <v>45513</v>
      </c>
      <c r="T2" s="22">
        <v>47336</v>
      </c>
      <c r="U2" s="26">
        <v>2175000</v>
      </c>
      <c r="V2" s="19"/>
      <c r="W2" s="19"/>
      <c r="X2" s="27">
        <v>2175000</v>
      </c>
      <c r="Y2" s="28">
        <v>2</v>
      </c>
      <c r="Z2" s="36">
        <v>43500</v>
      </c>
      <c r="AA2" s="19"/>
      <c r="AB2" s="21" t="s">
        <v>45</v>
      </c>
      <c r="AC2" s="24">
        <v>1141070583</v>
      </c>
      <c r="AD2" s="29">
        <v>45558</v>
      </c>
      <c r="AE2" s="19" t="s">
        <v>46</v>
      </c>
      <c r="AF2" s="19">
        <v>0</v>
      </c>
      <c r="AG2" s="30" t="s">
        <v>1317</v>
      </c>
      <c r="AH2" s="31">
        <v>43500</v>
      </c>
      <c r="AI2" s="37">
        <v>0</v>
      </c>
    </row>
    <row r="3" spans="1:35" x14ac:dyDescent="0.25">
      <c r="A3" s="19">
        <v>2</v>
      </c>
      <c r="B3" s="19" t="s">
        <v>1315</v>
      </c>
      <c r="C3" s="19" t="s">
        <v>1324</v>
      </c>
      <c r="D3" s="20">
        <v>45505</v>
      </c>
      <c r="E3" s="21" t="s">
        <v>35</v>
      </c>
      <c r="F3" s="19" t="s">
        <v>1325</v>
      </c>
      <c r="G3" s="22">
        <v>45517</v>
      </c>
      <c r="H3" s="22">
        <v>45881</v>
      </c>
      <c r="I3" s="35" t="s">
        <v>1326</v>
      </c>
      <c r="J3" s="24">
        <v>3630220815347</v>
      </c>
      <c r="K3" s="35" t="s">
        <v>1327</v>
      </c>
      <c r="L3" s="19"/>
      <c r="M3" s="19" t="s">
        <v>1328</v>
      </c>
      <c r="N3" s="19" t="s">
        <v>1329</v>
      </c>
      <c r="O3" s="19" t="s">
        <v>1324</v>
      </c>
      <c r="P3" s="19" t="s">
        <v>61</v>
      </c>
      <c r="Q3" s="19" t="s">
        <v>96</v>
      </c>
      <c r="R3" s="19" t="s">
        <v>1330</v>
      </c>
      <c r="S3" s="22">
        <v>45530</v>
      </c>
      <c r="T3" s="22">
        <v>46270</v>
      </c>
      <c r="U3" s="26">
        <v>4719000</v>
      </c>
      <c r="V3" s="19"/>
      <c r="W3" s="19"/>
      <c r="X3" s="27">
        <v>4719000</v>
      </c>
      <c r="Y3" s="28">
        <v>1.5</v>
      </c>
      <c r="Z3" s="36">
        <v>70785</v>
      </c>
      <c r="AA3" s="19"/>
      <c r="AB3" s="21" t="s">
        <v>45</v>
      </c>
      <c r="AC3" s="24">
        <v>1141070583</v>
      </c>
      <c r="AD3" s="29">
        <v>45558</v>
      </c>
      <c r="AE3" s="19" t="s">
        <v>46</v>
      </c>
      <c r="AF3" s="19">
        <v>0</v>
      </c>
      <c r="AG3" s="30" t="s">
        <v>1325</v>
      </c>
      <c r="AH3" s="31">
        <v>70785</v>
      </c>
      <c r="AI3" s="37">
        <v>0</v>
      </c>
    </row>
    <row r="4" spans="1:35" x14ac:dyDescent="0.25">
      <c r="A4" s="19">
        <v>3</v>
      </c>
      <c r="B4" s="19" t="s">
        <v>1315</v>
      </c>
      <c r="C4" s="19" t="s">
        <v>1331</v>
      </c>
      <c r="D4" s="20">
        <v>45505</v>
      </c>
      <c r="E4" s="21" t="s">
        <v>35</v>
      </c>
      <c r="F4" s="19" t="s">
        <v>1332</v>
      </c>
      <c r="G4" s="22">
        <v>45519</v>
      </c>
      <c r="H4" s="22">
        <v>45883</v>
      </c>
      <c r="I4" s="35" t="s">
        <v>1333</v>
      </c>
      <c r="J4" s="24">
        <v>3520002663929</v>
      </c>
      <c r="K4" s="35" t="s">
        <v>1334</v>
      </c>
      <c r="L4" s="19" t="s">
        <v>1335</v>
      </c>
      <c r="M4" s="19" t="s">
        <v>1336</v>
      </c>
      <c r="N4" s="19" t="s">
        <v>1337</v>
      </c>
      <c r="O4" s="19" t="s">
        <v>1331</v>
      </c>
      <c r="P4" s="19" t="s">
        <v>61</v>
      </c>
      <c r="Q4" s="19" t="s">
        <v>79</v>
      </c>
      <c r="R4" s="19" t="s">
        <v>1338</v>
      </c>
      <c r="S4" s="22">
        <v>45520</v>
      </c>
      <c r="T4" s="22">
        <v>47366</v>
      </c>
      <c r="U4" s="26">
        <v>2850000</v>
      </c>
      <c r="V4" s="19"/>
      <c r="W4" s="19"/>
      <c r="X4" s="27">
        <v>2850000</v>
      </c>
      <c r="Y4" s="28">
        <v>2</v>
      </c>
      <c r="Z4" s="36">
        <v>57000</v>
      </c>
      <c r="AA4" s="19"/>
      <c r="AB4" s="21" t="s">
        <v>45</v>
      </c>
      <c r="AC4" s="24">
        <v>1141070583</v>
      </c>
      <c r="AD4" s="29">
        <v>45558</v>
      </c>
      <c r="AE4" s="19" t="s">
        <v>46</v>
      </c>
      <c r="AF4" s="19">
        <v>0</v>
      </c>
      <c r="AG4" s="30" t="s">
        <v>1332</v>
      </c>
      <c r="AH4" s="31">
        <v>57000</v>
      </c>
      <c r="AI4" s="37">
        <v>0</v>
      </c>
    </row>
    <row r="5" spans="1:35" x14ac:dyDescent="0.25">
      <c r="A5" s="19">
        <v>4</v>
      </c>
      <c r="B5" s="19" t="s">
        <v>1315</v>
      </c>
      <c r="C5" s="19" t="s">
        <v>1339</v>
      </c>
      <c r="D5" s="20">
        <v>45505</v>
      </c>
      <c r="E5" s="21" t="s">
        <v>35</v>
      </c>
      <c r="F5" s="19" t="s">
        <v>1340</v>
      </c>
      <c r="G5" s="22">
        <v>45519</v>
      </c>
      <c r="H5" s="22">
        <v>45883</v>
      </c>
      <c r="I5" s="35" t="s">
        <v>1341</v>
      </c>
      <c r="J5" s="24">
        <v>3640108236243</v>
      </c>
      <c r="K5" s="35" t="s">
        <v>1342</v>
      </c>
      <c r="L5" s="19" t="s">
        <v>1343</v>
      </c>
      <c r="M5" s="19" t="s">
        <v>1344</v>
      </c>
      <c r="N5" s="19" t="s">
        <v>1345</v>
      </c>
      <c r="O5" s="19" t="s">
        <v>1339</v>
      </c>
      <c r="P5" s="19" t="s">
        <v>61</v>
      </c>
      <c r="Q5" s="19" t="s">
        <v>1346</v>
      </c>
      <c r="R5" s="19" t="s">
        <v>1347</v>
      </c>
      <c r="S5" s="22">
        <v>45525</v>
      </c>
      <c r="T5" s="22">
        <v>46636</v>
      </c>
      <c r="U5" s="26">
        <v>5600000</v>
      </c>
      <c r="V5" s="19"/>
      <c r="W5" s="19"/>
      <c r="X5" s="27">
        <v>5600000</v>
      </c>
      <c r="Y5" s="28">
        <v>1.5</v>
      </c>
      <c r="Z5" s="36">
        <v>84000</v>
      </c>
      <c r="AA5" s="19"/>
      <c r="AB5" s="21" t="s">
        <v>45</v>
      </c>
      <c r="AC5" s="24">
        <v>1141070583</v>
      </c>
      <c r="AD5" s="29">
        <v>45558</v>
      </c>
      <c r="AE5" s="19" t="s">
        <v>46</v>
      </c>
      <c r="AF5" s="19">
        <v>0</v>
      </c>
      <c r="AG5" s="30" t="s">
        <v>1340</v>
      </c>
      <c r="AH5" s="31">
        <v>84000</v>
      </c>
      <c r="AI5" s="37">
        <v>0</v>
      </c>
    </row>
    <row r="6" spans="1:35" x14ac:dyDescent="0.25">
      <c r="A6" s="19">
        <v>5</v>
      </c>
      <c r="B6" s="19" t="s">
        <v>1315</v>
      </c>
      <c r="C6" s="19" t="s">
        <v>1348</v>
      </c>
      <c r="D6" s="20">
        <v>45505</v>
      </c>
      <c r="E6" s="21" t="s">
        <v>35</v>
      </c>
      <c r="F6" s="19" t="s">
        <v>1349</v>
      </c>
      <c r="G6" s="22">
        <v>45519</v>
      </c>
      <c r="H6" s="22">
        <v>45883</v>
      </c>
      <c r="I6" s="35" t="s">
        <v>1350</v>
      </c>
      <c r="J6" s="24">
        <v>3460186682323</v>
      </c>
      <c r="K6" s="35" t="s">
        <v>1351</v>
      </c>
      <c r="L6" s="19" t="s">
        <v>1352</v>
      </c>
      <c r="M6" s="19" t="s">
        <v>1353</v>
      </c>
      <c r="N6" s="19" t="s">
        <v>1354</v>
      </c>
      <c r="O6" s="19" t="s">
        <v>1348</v>
      </c>
      <c r="P6" s="19" t="s">
        <v>61</v>
      </c>
      <c r="Q6" s="19" t="s">
        <v>1355</v>
      </c>
      <c r="R6" s="19" t="s">
        <v>1356</v>
      </c>
      <c r="S6" s="22">
        <v>45523</v>
      </c>
      <c r="T6" s="22">
        <v>46636</v>
      </c>
      <c r="U6" s="26">
        <v>4280000</v>
      </c>
      <c r="V6" s="19"/>
      <c r="W6" s="19"/>
      <c r="X6" s="27">
        <v>4280000</v>
      </c>
      <c r="Y6" s="28">
        <v>1.5</v>
      </c>
      <c r="Z6" s="36">
        <v>64200</v>
      </c>
      <c r="AA6" s="19"/>
      <c r="AB6" s="21" t="s">
        <v>45</v>
      </c>
      <c r="AC6" s="24">
        <v>1141070583</v>
      </c>
      <c r="AD6" s="29">
        <v>45558</v>
      </c>
      <c r="AE6" s="19" t="s">
        <v>46</v>
      </c>
      <c r="AF6" s="19">
        <v>0</v>
      </c>
      <c r="AG6" s="30" t="s">
        <v>1349</v>
      </c>
      <c r="AH6" s="31">
        <v>64200</v>
      </c>
      <c r="AI6" s="37">
        <v>0</v>
      </c>
    </row>
    <row r="7" spans="1:35" x14ac:dyDescent="0.25">
      <c r="A7" s="19">
        <v>6</v>
      </c>
      <c r="B7" s="19" t="s">
        <v>1315</v>
      </c>
      <c r="C7" s="19" t="s">
        <v>1357</v>
      </c>
      <c r="D7" s="20">
        <v>45505</v>
      </c>
      <c r="E7" s="21" t="s">
        <v>35</v>
      </c>
      <c r="F7" s="19" t="s">
        <v>1358</v>
      </c>
      <c r="G7" s="22">
        <v>45520</v>
      </c>
      <c r="H7" s="22">
        <v>45884</v>
      </c>
      <c r="I7" s="35" t="s">
        <v>1359</v>
      </c>
      <c r="J7" s="24">
        <v>3520227737631</v>
      </c>
      <c r="K7" s="35" t="s">
        <v>1360</v>
      </c>
      <c r="L7" s="19" t="s">
        <v>1361</v>
      </c>
      <c r="M7" s="19" t="s">
        <v>1362</v>
      </c>
      <c r="N7" s="19" t="s">
        <v>1363</v>
      </c>
      <c r="O7" s="19" t="s">
        <v>1357</v>
      </c>
      <c r="P7" s="19" t="s">
        <v>61</v>
      </c>
      <c r="Q7" s="19" t="s">
        <v>79</v>
      </c>
      <c r="R7" s="19" t="s">
        <v>1364</v>
      </c>
      <c r="S7" s="22">
        <v>45523</v>
      </c>
      <c r="T7" s="22">
        <v>46636</v>
      </c>
      <c r="U7" s="26">
        <v>3550000</v>
      </c>
      <c r="V7" s="19"/>
      <c r="W7" s="19"/>
      <c r="X7" s="27">
        <v>3550000</v>
      </c>
      <c r="Y7" s="28">
        <v>1.5</v>
      </c>
      <c r="Z7" s="36">
        <v>53250</v>
      </c>
      <c r="AA7" s="19"/>
      <c r="AB7" s="21" t="s">
        <v>45</v>
      </c>
      <c r="AC7" s="24">
        <v>1141070583</v>
      </c>
      <c r="AD7" s="29">
        <v>45558</v>
      </c>
      <c r="AE7" s="19" t="s">
        <v>46</v>
      </c>
      <c r="AF7" s="19">
        <v>0</v>
      </c>
      <c r="AG7" s="30" t="s">
        <v>1358</v>
      </c>
      <c r="AH7" s="31">
        <v>53250</v>
      </c>
      <c r="AI7" s="37">
        <v>0</v>
      </c>
    </row>
    <row r="8" spans="1:35" x14ac:dyDescent="0.25">
      <c r="A8" s="19">
        <v>7</v>
      </c>
      <c r="B8" s="19" t="s">
        <v>1315</v>
      </c>
      <c r="C8" s="19" t="s">
        <v>1365</v>
      </c>
      <c r="D8" s="20">
        <v>45505</v>
      </c>
      <c r="E8" s="21" t="s">
        <v>35</v>
      </c>
      <c r="F8" s="19" t="s">
        <v>1366</v>
      </c>
      <c r="G8" s="22">
        <v>45525</v>
      </c>
      <c r="H8" s="22">
        <v>45889</v>
      </c>
      <c r="I8" s="35" t="s">
        <v>1367</v>
      </c>
      <c r="J8" s="24">
        <v>3310451142149</v>
      </c>
      <c r="K8" s="35" t="s">
        <v>1342</v>
      </c>
      <c r="L8" s="19" t="s">
        <v>1368</v>
      </c>
      <c r="M8" s="19" t="s">
        <v>1369</v>
      </c>
      <c r="N8" s="19" t="s">
        <v>1370</v>
      </c>
      <c r="O8" s="19" t="s">
        <v>1365</v>
      </c>
      <c r="P8" s="19" t="s">
        <v>61</v>
      </c>
      <c r="Q8" s="19" t="s">
        <v>144</v>
      </c>
      <c r="R8" s="19" t="s">
        <v>1371</v>
      </c>
      <c r="S8" s="22">
        <v>45527</v>
      </c>
      <c r="T8" s="22">
        <v>46636</v>
      </c>
      <c r="U8" s="26">
        <v>4100000</v>
      </c>
      <c r="V8" s="19"/>
      <c r="W8" s="19"/>
      <c r="X8" s="27">
        <v>4100000</v>
      </c>
      <c r="Y8" s="28">
        <v>1.5</v>
      </c>
      <c r="Z8" s="36">
        <v>61500</v>
      </c>
      <c r="AA8" s="19"/>
      <c r="AB8" s="21" t="s">
        <v>45</v>
      </c>
      <c r="AC8" s="24">
        <v>1141070583</v>
      </c>
      <c r="AD8" s="29">
        <v>45558</v>
      </c>
      <c r="AE8" s="19" t="s">
        <v>46</v>
      </c>
      <c r="AF8" s="19">
        <v>0</v>
      </c>
      <c r="AG8" s="30" t="s">
        <v>1366</v>
      </c>
      <c r="AH8" s="31">
        <v>61500</v>
      </c>
      <c r="AI8" s="37">
        <v>0</v>
      </c>
    </row>
    <row r="9" spans="1:35" x14ac:dyDescent="0.25">
      <c r="A9" s="19">
        <v>8</v>
      </c>
      <c r="B9" s="19" t="s">
        <v>1315</v>
      </c>
      <c r="C9" s="19" t="s">
        <v>1372</v>
      </c>
      <c r="D9" s="20">
        <v>45505</v>
      </c>
      <c r="E9" s="21" t="s">
        <v>35</v>
      </c>
      <c r="F9" s="19" t="s">
        <v>1373</v>
      </c>
      <c r="G9" s="22">
        <v>45525</v>
      </c>
      <c r="H9" s="22">
        <v>45889</v>
      </c>
      <c r="I9" s="35" t="s">
        <v>1374</v>
      </c>
      <c r="J9" s="24">
        <v>3630292884861</v>
      </c>
      <c r="K9" s="35" t="s">
        <v>1375</v>
      </c>
      <c r="L9" s="19" t="s">
        <v>1376</v>
      </c>
      <c r="M9" s="19" t="s">
        <v>1377</v>
      </c>
      <c r="N9" s="19" t="s">
        <v>1378</v>
      </c>
      <c r="O9" s="19" t="s">
        <v>1372</v>
      </c>
      <c r="P9" s="19" t="s">
        <v>61</v>
      </c>
      <c r="Q9" s="19" t="s">
        <v>96</v>
      </c>
      <c r="R9" s="19" t="s">
        <v>1379</v>
      </c>
      <c r="S9" s="22">
        <v>45531</v>
      </c>
      <c r="T9" s="22">
        <v>46636</v>
      </c>
      <c r="U9" s="26">
        <v>2400000</v>
      </c>
      <c r="V9" s="19"/>
      <c r="W9" s="19"/>
      <c r="X9" s="27">
        <v>2400000</v>
      </c>
      <c r="Y9" s="28">
        <v>2</v>
      </c>
      <c r="Z9" s="36">
        <v>48000</v>
      </c>
      <c r="AA9" s="19"/>
      <c r="AB9" s="21" t="s">
        <v>45</v>
      </c>
      <c r="AC9" s="24">
        <v>1141070583</v>
      </c>
      <c r="AD9" s="29">
        <v>45558</v>
      </c>
      <c r="AE9" s="19" t="s">
        <v>46</v>
      </c>
      <c r="AF9" s="19">
        <v>0</v>
      </c>
      <c r="AG9" s="30" t="s">
        <v>1373</v>
      </c>
      <c r="AH9" s="31">
        <v>48000</v>
      </c>
      <c r="AI9" s="37">
        <v>0</v>
      </c>
    </row>
    <row r="10" spans="1:35" x14ac:dyDescent="0.25">
      <c r="A10" s="19">
        <v>9</v>
      </c>
      <c r="B10" s="19" t="s">
        <v>1315</v>
      </c>
      <c r="C10" s="19" t="s">
        <v>1380</v>
      </c>
      <c r="D10" s="20">
        <v>45505</v>
      </c>
      <c r="E10" s="21" t="s">
        <v>35</v>
      </c>
      <c r="F10" s="19" t="s">
        <v>1381</v>
      </c>
      <c r="G10" s="22">
        <v>45526</v>
      </c>
      <c r="H10" s="22">
        <v>45890</v>
      </c>
      <c r="I10" s="35" t="s">
        <v>1382</v>
      </c>
      <c r="J10" s="24">
        <v>4220180423515</v>
      </c>
      <c r="K10" s="35" t="s">
        <v>1383</v>
      </c>
      <c r="L10" s="19"/>
      <c r="M10" s="19" t="s">
        <v>1384</v>
      </c>
      <c r="N10" s="19" t="s">
        <v>1385</v>
      </c>
      <c r="O10" s="19" t="s">
        <v>1380</v>
      </c>
      <c r="P10" s="19" t="s">
        <v>167</v>
      </c>
      <c r="Q10" s="19" t="s">
        <v>168</v>
      </c>
      <c r="R10" s="19" t="s">
        <v>1386</v>
      </c>
      <c r="S10" s="22">
        <v>45531</v>
      </c>
      <c r="T10" s="22">
        <v>46636</v>
      </c>
      <c r="U10" s="26">
        <v>4574000</v>
      </c>
      <c r="V10" s="19"/>
      <c r="W10" s="19"/>
      <c r="X10" s="27">
        <v>4574000</v>
      </c>
      <c r="Y10" s="28">
        <v>1.5</v>
      </c>
      <c r="Z10" s="36">
        <v>68610</v>
      </c>
      <c r="AA10" s="19"/>
      <c r="AB10" s="21" t="s">
        <v>45</v>
      </c>
      <c r="AC10" s="24">
        <v>1141070583</v>
      </c>
      <c r="AD10" s="29">
        <v>45558</v>
      </c>
      <c r="AE10" s="19" t="s">
        <v>46</v>
      </c>
      <c r="AF10" s="19">
        <v>0</v>
      </c>
      <c r="AG10" s="30" t="s">
        <v>1381</v>
      </c>
      <c r="AH10" s="31">
        <v>68610</v>
      </c>
      <c r="AI10" s="37">
        <v>0</v>
      </c>
    </row>
    <row r="11" spans="1:35" x14ac:dyDescent="0.25">
      <c r="A11" s="19">
        <v>10</v>
      </c>
      <c r="B11" s="19" t="s">
        <v>1315</v>
      </c>
      <c r="C11" s="19" t="s">
        <v>1387</v>
      </c>
      <c r="D11" s="20">
        <v>45505</v>
      </c>
      <c r="E11" s="21" t="s">
        <v>35</v>
      </c>
      <c r="F11" s="19" t="s">
        <v>1388</v>
      </c>
      <c r="G11" s="22">
        <v>45526</v>
      </c>
      <c r="H11" s="22">
        <v>45890</v>
      </c>
      <c r="I11" s="35" t="s">
        <v>1389</v>
      </c>
      <c r="J11" s="24">
        <v>3410309686861</v>
      </c>
      <c r="K11" s="35" t="s">
        <v>1390</v>
      </c>
      <c r="L11" s="19" t="s">
        <v>1391</v>
      </c>
      <c r="M11" s="19" t="s">
        <v>1392</v>
      </c>
      <c r="N11" s="19" t="s">
        <v>1393</v>
      </c>
      <c r="O11" s="19" t="s">
        <v>1387</v>
      </c>
      <c r="P11" s="19" t="s">
        <v>61</v>
      </c>
      <c r="Q11" s="19" t="s">
        <v>1137</v>
      </c>
      <c r="R11" s="19" t="s">
        <v>1394</v>
      </c>
      <c r="S11" s="22">
        <v>45530</v>
      </c>
      <c r="T11" s="22">
        <v>46636</v>
      </c>
      <c r="U11" s="26">
        <v>3500000</v>
      </c>
      <c r="V11" s="19"/>
      <c r="W11" s="19"/>
      <c r="X11" s="27">
        <v>3500000</v>
      </c>
      <c r="Y11" s="28">
        <v>1.5</v>
      </c>
      <c r="Z11" s="36">
        <v>52500</v>
      </c>
      <c r="AA11" s="19"/>
      <c r="AB11" s="21" t="s">
        <v>45</v>
      </c>
      <c r="AC11" s="24">
        <v>1141070583</v>
      </c>
      <c r="AD11" s="29">
        <v>45558</v>
      </c>
      <c r="AE11" s="19" t="s">
        <v>46</v>
      </c>
      <c r="AF11" s="19">
        <v>0</v>
      </c>
      <c r="AG11" s="30" t="s">
        <v>1388</v>
      </c>
      <c r="AH11" s="31">
        <v>52500</v>
      </c>
      <c r="AI11" s="37">
        <v>0</v>
      </c>
    </row>
    <row r="12" spans="1:35" x14ac:dyDescent="0.25">
      <c r="A12" s="19">
        <v>11</v>
      </c>
      <c r="B12" s="19" t="s">
        <v>1315</v>
      </c>
      <c r="C12" s="19" t="s">
        <v>1395</v>
      </c>
      <c r="D12" s="20">
        <v>45505</v>
      </c>
      <c r="E12" s="21" t="s">
        <v>35</v>
      </c>
      <c r="F12" s="19" t="s">
        <v>1396</v>
      </c>
      <c r="G12" s="22">
        <v>45526</v>
      </c>
      <c r="H12" s="22">
        <v>45890</v>
      </c>
      <c r="I12" s="35" t="s">
        <v>1397</v>
      </c>
      <c r="J12" s="24">
        <v>3520174251261</v>
      </c>
      <c r="K12" s="35" t="s">
        <v>182</v>
      </c>
      <c r="L12" s="19" t="s">
        <v>1398</v>
      </c>
      <c r="M12" s="19" t="s">
        <v>1399</v>
      </c>
      <c r="N12" s="19" t="s">
        <v>1400</v>
      </c>
      <c r="O12" s="19" t="s">
        <v>1395</v>
      </c>
      <c r="P12" s="19" t="s">
        <v>61</v>
      </c>
      <c r="Q12" s="19" t="s">
        <v>79</v>
      </c>
      <c r="R12" s="19" t="s">
        <v>1401</v>
      </c>
      <c r="S12" s="22">
        <v>45530</v>
      </c>
      <c r="T12" s="22">
        <v>46636</v>
      </c>
      <c r="U12" s="26">
        <v>3500000</v>
      </c>
      <c r="V12" s="19"/>
      <c r="W12" s="19"/>
      <c r="X12" s="27">
        <v>3500000</v>
      </c>
      <c r="Y12" s="28">
        <v>1.5</v>
      </c>
      <c r="Z12" s="36">
        <v>52500</v>
      </c>
      <c r="AA12" s="19"/>
      <c r="AB12" s="21" t="s">
        <v>45</v>
      </c>
      <c r="AC12" s="24">
        <v>1141070583</v>
      </c>
      <c r="AD12" s="29">
        <v>45558</v>
      </c>
      <c r="AE12" s="19" t="s">
        <v>46</v>
      </c>
      <c r="AF12" s="19">
        <v>0</v>
      </c>
      <c r="AG12" s="30" t="s">
        <v>1396</v>
      </c>
      <c r="AH12" s="31">
        <v>52500</v>
      </c>
      <c r="AI12" s="37">
        <v>0</v>
      </c>
    </row>
    <row r="13" spans="1:35" x14ac:dyDescent="0.25">
      <c r="A13" s="19">
        <v>12</v>
      </c>
      <c r="B13" s="19" t="s">
        <v>1315</v>
      </c>
      <c r="C13" s="19" t="s">
        <v>1402</v>
      </c>
      <c r="D13" s="20">
        <v>45505</v>
      </c>
      <c r="E13" s="21" t="s">
        <v>35</v>
      </c>
      <c r="F13" s="19" t="s">
        <v>1403</v>
      </c>
      <c r="G13" s="22">
        <v>45511</v>
      </c>
      <c r="H13" s="22">
        <v>45875</v>
      </c>
      <c r="I13" s="35" t="s">
        <v>1404</v>
      </c>
      <c r="J13" s="24">
        <v>4210172410371</v>
      </c>
      <c r="K13" s="35" t="s">
        <v>1334</v>
      </c>
      <c r="L13" s="19" t="s">
        <v>1405</v>
      </c>
      <c r="M13" s="19" t="s">
        <v>1406</v>
      </c>
      <c r="N13" s="19" t="s">
        <v>1407</v>
      </c>
      <c r="O13" s="19" t="s">
        <v>1402</v>
      </c>
      <c r="P13" s="19" t="s">
        <v>167</v>
      </c>
      <c r="Q13" s="19" t="s">
        <v>168</v>
      </c>
      <c r="R13" s="19" t="s">
        <v>1408</v>
      </c>
      <c r="S13" s="22">
        <v>45513</v>
      </c>
      <c r="T13" s="22">
        <v>47336</v>
      </c>
      <c r="U13" s="26">
        <v>2275000</v>
      </c>
      <c r="V13" s="19"/>
      <c r="W13" s="19"/>
      <c r="X13" s="27">
        <v>2275000</v>
      </c>
      <c r="Y13" s="28">
        <v>2</v>
      </c>
      <c r="Z13" s="36">
        <v>45500</v>
      </c>
      <c r="AA13" s="19"/>
      <c r="AB13" s="21" t="s">
        <v>45</v>
      </c>
      <c r="AC13" s="24">
        <v>1141070583</v>
      </c>
      <c r="AD13" s="29">
        <v>45558</v>
      </c>
      <c r="AE13" s="19" t="s">
        <v>46</v>
      </c>
      <c r="AF13" s="19">
        <v>5</v>
      </c>
      <c r="AG13" s="30" t="s">
        <v>1403</v>
      </c>
      <c r="AH13" s="31">
        <v>45500</v>
      </c>
      <c r="AI13" s="37">
        <v>0</v>
      </c>
    </row>
    <row r="14" spans="1:35" x14ac:dyDescent="0.25">
      <c r="A14" s="19">
        <v>13</v>
      </c>
      <c r="B14" s="19" t="s">
        <v>1315</v>
      </c>
      <c r="C14" s="19" t="s">
        <v>1409</v>
      </c>
      <c r="D14" s="20">
        <v>45505</v>
      </c>
      <c r="E14" s="21" t="s">
        <v>35</v>
      </c>
      <c r="F14" s="19" t="s">
        <v>1410</v>
      </c>
      <c r="G14" s="22">
        <v>45530</v>
      </c>
      <c r="H14" s="22">
        <v>45894</v>
      </c>
      <c r="I14" s="35" t="s">
        <v>1411</v>
      </c>
      <c r="J14" s="24">
        <v>3520125127375</v>
      </c>
      <c r="K14" s="35" t="s">
        <v>1412</v>
      </c>
      <c r="L14" s="19" t="s">
        <v>1413</v>
      </c>
      <c r="M14" s="19" t="s">
        <v>1414</v>
      </c>
      <c r="N14" s="19" t="s">
        <v>1415</v>
      </c>
      <c r="O14" s="19" t="s">
        <v>1409</v>
      </c>
      <c r="P14" s="19" t="s">
        <v>61</v>
      </c>
      <c r="Q14" s="19" t="s">
        <v>79</v>
      </c>
      <c r="R14" s="19" t="s">
        <v>1416</v>
      </c>
      <c r="S14" s="22">
        <v>45531</v>
      </c>
      <c r="T14" s="22">
        <v>47366</v>
      </c>
      <c r="U14" s="26">
        <v>2900000</v>
      </c>
      <c r="V14" s="19"/>
      <c r="W14" s="19"/>
      <c r="X14" s="27">
        <v>2900000</v>
      </c>
      <c r="Y14" s="28">
        <v>2</v>
      </c>
      <c r="Z14" s="36">
        <v>58000</v>
      </c>
      <c r="AA14" s="19"/>
      <c r="AB14" s="21" t="s">
        <v>45</v>
      </c>
      <c r="AC14" s="24">
        <v>1141070583</v>
      </c>
      <c r="AD14" s="29">
        <v>45558</v>
      </c>
      <c r="AE14" s="19" t="s">
        <v>46</v>
      </c>
      <c r="AF14" s="19">
        <v>0</v>
      </c>
      <c r="AG14" s="30" t="s">
        <v>1410</v>
      </c>
      <c r="AH14" s="31">
        <v>58000</v>
      </c>
      <c r="AI14" s="37">
        <v>0</v>
      </c>
    </row>
    <row r="15" spans="1:35" x14ac:dyDescent="0.25">
      <c r="A15" s="19">
        <v>14</v>
      </c>
      <c r="B15" s="19" t="s">
        <v>1315</v>
      </c>
      <c r="C15" s="19" t="s">
        <v>1417</v>
      </c>
      <c r="D15" s="20">
        <v>45505</v>
      </c>
      <c r="E15" s="21" t="s">
        <v>35</v>
      </c>
      <c r="F15" s="19" t="s">
        <v>1418</v>
      </c>
      <c r="G15" s="22">
        <v>45530</v>
      </c>
      <c r="H15" s="22">
        <v>45894</v>
      </c>
      <c r="I15" s="35" t="s">
        <v>1419</v>
      </c>
      <c r="J15" s="24">
        <v>3310416869909</v>
      </c>
      <c r="K15" s="35" t="s">
        <v>1390</v>
      </c>
      <c r="L15" s="19" t="s">
        <v>1420</v>
      </c>
      <c r="M15" s="19" t="s">
        <v>1421</v>
      </c>
      <c r="N15" s="19" t="s">
        <v>1422</v>
      </c>
      <c r="O15" s="19" t="s">
        <v>1417</v>
      </c>
      <c r="P15" s="19" t="s">
        <v>61</v>
      </c>
      <c r="Q15" s="19" t="s">
        <v>1423</v>
      </c>
      <c r="R15" s="19" t="s">
        <v>1424</v>
      </c>
      <c r="S15" s="22">
        <v>45532</v>
      </c>
      <c r="T15" s="22">
        <v>46636</v>
      </c>
      <c r="U15" s="26">
        <v>1700000</v>
      </c>
      <c r="V15" s="19"/>
      <c r="W15" s="19"/>
      <c r="X15" s="27">
        <v>1700000</v>
      </c>
      <c r="Y15" s="28">
        <v>2</v>
      </c>
      <c r="Z15" s="36">
        <v>34000</v>
      </c>
      <c r="AA15" s="19"/>
      <c r="AB15" s="21" t="s">
        <v>45</v>
      </c>
      <c r="AC15" s="24">
        <v>1141070583</v>
      </c>
      <c r="AD15" s="29">
        <v>45558</v>
      </c>
      <c r="AE15" s="19" t="s">
        <v>46</v>
      </c>
      <c r="AF15" s="19">
        <v>0</v>
      </c>
      <c r="AG15" s="30" t="s">
        <v>1418</v>
      </c>
      <c r="AH15" s="31">
        <v>34000</v>
      </c>
      <c r="AI15" s="37">
        <v>0</v>
      </c>
    </row>
    <row r="16" spans="1:35" x14ac:dyDescent="0.25">
      <c r="A16" s="19">
        <v>15</v>
      </c>
      <c r="B16" s="19" t="s">
        <v>1315</v>
      </c>
      <c r="C16" s="19" t="s">
        <v>1425</v>
      </c>
      <c r="D16" s="20">
        <v>45505</v>
      </c>
      <c r="E16" s="21" t="s">
        <v>35</v>
      </c>
      <c r="F16" s="19" t="s">
        <v>1426</v>
      </c>
      <c r="G16" s="22">
        <v>45530</v>
      </c>
      <c r="H16" s="22">
        <v>45894</v>
      </c>
      <c r="I16" s="35" t="s">
        <v>1427</v>
      </c>
      <c r="J16" s="24">
        <v>3740531534861</v>
      </c>
      <c r="K16" s="35" t="s">
        <v>1375</v>
      </c>
      <c r="L16" s="19" t="s">
        <v>1428</v>
      </c>
      <c r="M16" s="19" t="s">
        <v>1429</v>
      </c>
      <c r="N16" s="19" t="s">
        <v>1430</v>
      </c>
      <c r="O16" s="19" t="s">
        <v>1425</v>
      </c>
      <c r="P16" s="19" t="s">
        <v>42</v>
      </c>
      <c r="Q16" s="19" t="s">
        <v>71</v>
      </c>
      <c r="R16" s="19" t="s">
        <v>1431</v>
      </c>
      <c r="S16" s="22">
        <v>45534</v>
      </c>
      <c r="T16" s="22">
        <v>46636</v>
      </c>
      <c r="U16" s="26">
        <v>2200000</v>
      </c>
      <c r="V16" s="19"/>
      <c r="W16" s="19"/>
      <c r="X16" s="27">
        <v>2200000</v>
      </c>
      <c r="Y16" s="28">
        <v>2</v>
      </c>
      <c r="Z16" s="36">
        <v>44000</v>
      </c>
      <c r="AA16" s="19"/>
      <c r="AB16" s="21" t="s">
        <v>45</v>
      </c>
      <c r="AC16" s="24">
        <v>1141070583</v>
      </c>
      <c r="AD16" s="29">
        <v>45558</v>
      </c>
      <c r="AE16" s="19" t="s">
        <v>46</v>
      </c>
      <c r="AF16" s="19">
        <v>0</v>
      </c>
      <c r="AG16" s="30" t="s">
        <v>1426</v>
      </c>
      <c r="AH16" s="31">
        <v>44000</v>
      </c>
      <c r="AI16" s="37">
        <v>0</v>
      </c>
    </row>
    <row r="17" spans="1:35" x14ac:dyDescent="0.25">
      <c r="A17" s="19">
        <v>16</v>
      </c>
      <c r="B17" s="19" t="s">
        <v>1315</v>
      </c>
      <c r="C17" s="19" t="s">
        <v>1432</v>
      </c>
      <c r="D17" s="20">
        <v>45505</v>
      </c>
      <c r="E17" s="21" t="s">
        <v>35</v>
      </c>
      <c r="F17" s="19" t="s">
        <v>1433</v>
      </c>
      <c r="G17" s="22">
        <v>45531</v>
      </c>
      <c r="H17" s="22">
        <v>45895</v>
      </c>
      <c r="I17" s="35" t="s">
        <v>1434</v>
      </c>
      <c r="J17" s="24">
        <v>4220183989347</v>
      </c>
      <c r="K17" s="35" t="s">
        <v>1435</v>
      </c>
      <c r="L17" s="19" t="s">
        <v>1436</v>
      </c>
      <c r="M17" s="19" t="s">
        <v>1437</v>
      </c>
      <c r="N17" s="19" t="s">
        <v>1438</v>
      </c>
      <c r="O17" s="19" t="s">
        <v>1432</v>
      </c>
      <c r="P17" s="19" t="s">
        <v>167</v>
      </c>
      <c r="Q17" s="19" t="s">
        <v>168</v>
      </c>
      <c r="R17" s="19" t="s">
        <v>1439</v>
      </c>
      <c r="S17" s="22">
        <v>45534</v>
      </c>
      <c r="T17" s="22">
        <v>46636</v>
      </c>
      <c r="U17" s="26">
        <v>5000000</v>
      </c>
      <c r="V17" s="19"/>
      <c r="W17" s="19"/>
      <c r="X17" s="27">
        <v>5000000</v>
      </c>
      <c r="Y17" s="28">
        <v>1.5</v>
      </c>
      <c r="Z17" s="36">
        <v>75000</v>
      </c>
      <c r="AA17" s="19"/>
      <c r="AB17" s="21" t="s">
        <v>45</v>
      </c>
      <c r="AC17" s="24">
        <v>1141070583</v>
      </c>
      <c r="AD17" s="29">
        <v>45558</v>
      </c>
      <c r="AE17" s="19" t="s">
        <v>46</v>
      </c>
      <c r="AF17" s="19">
        <v>0</v>
      </c>
      <c r="AG17" s="30" t="s">
        <v>1433</v>
      </c>
      <c r="AH17" s="31">
        <v>75000</v>
      </c>
      <c r="AI17" s="37">
        <v>0</v>
      </c>
    </row>
    <row r="18" spans="1:35" x14ac:dyDescent="0.25">
      <c r="A18" s="19">
        <v>17</v>
      </c>
      <c r="B18" s="19" t="s">
        <v>1315</v>
      </c>
      <c r="C18" s="19" t="s">
        <v>1440</v>
      </c>
      <c r="D18" s="20">
        <v>45505</v>
      </c>
      <c r="E18" s="21" t="s">
        <v>35</v>
      </c>
      <c r="F18" s="19" t="s">
        <v>1441</v>
      </c>
      <c r="G18" s="22">
        <v>45531</v>
      </c>
      <c r="H18" s="22">
        <v>45895</v>
      </c>
      <c r="I18" s="35" t="s">
        <v>1442</v>
      </c>
      <c r="J18" s="24">
        <v>3310067099517</v>
      </c>
      <c r="K18" s="35" t="s">
        <v>1443</v>
      </c>
      <c r="L18" s="19" t="s">
        <v>1444</v>
      </c>
      <c r="M18" s="19" t="s">
        <v>1445</v>
      </c>
      <c r="N18" s="19" t="s">
        <v>1446</v>
      </c>
      <c r="O18" s="19" t="s">
        <v>1440</v>
      </c>
      <c r="P18" s="19" t="s">
        <v>61</v>
      </c>
      <c r="Q18" s="19" t="s">
        <v>144</v>
      </c>
      <c r="R18" s="19" t="s">
        <v>1447</v>
      </c>
      <c r="S18" s="22">
        <v>45534</v>
      </c>
      <c r="T18" s="22">
        <v>46636</v>
      </c>
      <c r="U18" s="26">
        <v>3500000</v>
      </c>
      <c r="V18" s="19"/>
      <c r="W18" s="19"/>
      <c r="X18" s="27">
        <v>3500000</v>
      </c>
      <c r="Y18" s="28">
        <v>1.5</v>
      </c>
      <c r="Z18" s="36">
        <v>52500</v>
      </c>
      <c r="AA18" s="19"/>
      <c r="AB18" s="21" t="s">
        <v>45</v>
      </c>
      <c r="AC18" s="24">
        <v>1141070583</v>
      </c>
      <c r="AD18" s="29">
        <v>45558</v>
      </c>
      <c r="AE18" s="19" t="s">
        <v>46</v>
      </c>
      <c r="AF18" s="19">
        <v>0</v>
      </c>
      <c r="AG18" s="30" t="s">
        <v>1441</v>
      </c>
      <c r="AH18" s="31">
        <v>52500</v>
      </c>
      <c r="AI18" s="37">
        <v>0</v>
      </c>
    </row>
    <row r="19" spans="1:35" x14ac:dyDescent="0.25">
      <c r="A19" s="19">
        <v>18</v>
      </c>
      <c r="B19" s="19" t="s">
        <v>1315</v>
      </c>
      <c r="C19" s="19" t="s">
        <v>1448</v>
      </c>
      <c r="D19" s="20">
        <v>45505</v>
      </c>
      <c r="E19" s="21" t="s">
        <v>35</v>
      </c>
      <c r="F19" s="19" t="s">
        <v>1449</v>
      </c>
      <c r="G19" s="22">
        <v>45531</v>
      </c>
      <c r="H19" s="22">
        <v>45895</v>
      </c>
      <c r="I19" s="35" t="s">
        <v>1450</v>
      </c>
      <c r="J19" s="24">
        <v>4220116022783</v>
      </c>
      <c r="K19" s="35" t="s">
        <v>1451</v>
      </c>
      <c r="L19" s="19" t="s">
        <v>1452</v>
      </c>
      <c r="M19" s="19" t="s">
        <v>1453</v>
      </c>
      <c r="N19" s="19" t="s">
        <v>1454</v>
      </c>
      <c r="O19" s="19" t="s">
        <v>1448</v>
      </c>
      <c r="P19" s="19" t="s">
        <v>167</v>
      </c>
      <c r="Q19" s="19" t="s">
        <v>168</v>
      </c>
      <c r="R19" s="19" t="s">
        <v>1455</v>
      </c>
      <c r="S19" s="22">
        <v>45537</v>
      </c>
      <c r="T19" s="22">
        <v>47366</v>
      </c>
      <c r="U19" s="26">
        <v>2650000</v>
      </c>
      <c r="V19" s="19"/>
      <c r="W19" s="19"/>
      <c r="X19" s="27">
        <v>2650000</v>
      </c>
      <c r="Y19" s="28">
        <v>2</v>
      </c>
      <c r="Z19" s="36">
        <v>53000</v>
      </c>
      <c r="AA19" s="19"/>
      <c r="AB19" s="21" t="s">
        <v>45</v>
      </c>
      <c r="AC19" s="24">
        <v>1141070583</v>
      </c>
      <c r="AD19" s="29">
        <v>45558</v>
      </c>
      <c r="AE19" s="19" t="s">
        <v>46</v>
      </c>
      <c r="AF19" s="19">
        <v>0</v>
      </c>
      <c r="AG19" s="30" t="s">
        <v>1449</v>
      </c>
      <c r="AH19" s="31">
        <v>53000</v>
      </c>
      <c r="AI19" s="37">
        <v>0</v>
      </c>
    </row>
    <row r="20" spans="1:35" x14ac:dyDescent="0.25">
      <c r="A20" s="19">
        <v>19</v>
      </c>
      <c r="B20" s="19" t="s">
        <v>1315</v>
      </c>
      <c r="C20" s="19" t="s">
        <v>1456</v>
      </c>
      <c r="D20" s="20">
        <v>45505</v>
      </c>
      <c r="E20" s="21" t="s">
        <v>35</v>
      </c>
      <c r="F20" s="19" t="s">
        <v>1457</v>
      </c>
      <c r="G20" s="22">
        <v>45532</v>
      </c>
      <c r="H20" s="22">
        <v>45896</v>
      </c>
      <c r="I20" s="35" t="s">
        <v>1458</v>
      </c>
      <c r="J20" s="24">
        <v>3310226077955</v>
      </c>
      <c r="K20" s="35" t="s">
        <v>1412</v>
      </c>
      <c r="L20" s="19" t="s">
        <v>1459</v>
      </c>
      <c r="M20" s="19" t="s">
        <v>1460</v>
      </c>
      <c r="N20" s="19" t="s">
        <v>1461</v>
      </c>
      <c r="O20" s="19" t="s">
        <v>1456</v>
      </c>
      <c r="P20" s="19" t="s">
        <v>61</v>
      </c>
      <c r="Q20" s="19" t="s">
        <v>144</v>
      </c>
      <c r="R20" s="19" t="s">
        <v>1462</v>
      </c>
      <c r="S20" s="22">
        <v>45534</v>
      </c>
      <c r="T20" s="22">
        <v>47366</v>
      </c>
      <c r="U20" s="26">
        <v>3000000</v>
      </c>
      <c r="V20" s="19"/>
      <c r="W20" s="19"/>
      <c r="X20" s="27">
        <v>3000000</v>
      </c>
      <c r="Y20" s="28">
        <v>2</v>
      </c>
      <c r="Z20" s="36">
        <v>60000</v>
      </c>
      <c r="AA20" s="19"/>
      <c r="AB20" s="21" t="s">
        <v>45</v>
      </c>
      <c r="AC20" s="24">
        <v>1141070583</v>
      </c>
      <c r="AD20" s="29">
        <v>45558</v>
      </c>
      <c r="AE20" s="19" t="s">
        <v>46</v>
      </c>
      <c r="AF20" s="19">
        <v>0</v>
      </c>
      <c r="AG20" s="30" t="s">
        <v>1457</v>
      </c>
      <c r="AH20" s="31">
        <v>60000</v>
      </c>
      <c r="AI20" s="37">
        <v>0</v>
      </c>
    </row>
    <row r="21" spans="1:35" x14ac:dyDescent="0.25">
      <c r="A21" s="19">
        <v>20</v>
      </c>
      <c r="B21" s="19" t="s">
        <v>1315</v>
      </c>
      <c r="C21" s="19" t="s">
        <v>1463</v>
      </c>
      <c r="D21" s="20">
        <v>45505</v>
      </c>
      <c r="E21" s="21" t="s">
        <v>35</v>
      </c>
      <c r="F21" s="19" t="s">
        <v>1464</v>
      </c>
      <c r="G21" s="22">
        <v>45532</v>
      </c>
      <c r="H21" s="22">
        <v>45896</v>
      </c>
      <c r="I21" s="35" t="s">
        <v>1465</v>
      </c>
      <c r="J21" s="24">
        <v>3310292712085</v>
      </c>
      <c r="K21" s="35" t="s">
        <v>1466</v>
      </c>
      <c r="L21" s="19" t="s">
        <v>1467</v>
      </c>
      <c r="M21" s="19" t="s">
        <v>1468</v>
      </c>
      <c r="N21" s="19" t="s">
        <v>1469</v>
      </c>
      <c r="O21" s="19" t="s">
        <v>1463</v>
      </c>
      <c r="P21" s="19" t="s">
        <v>61</v>
      </c>
      <c r="Q21" s="19" t="s">
        <v>144</v>
      </c>
      <c r="R21" s="19" t="s">
        <v>1470</v>
      </c>
      <c r="S21" s="22">
        <v>45534</v>
      </c>
      <c r="T21" s="22">
        <v>47001</v>
      </c>
      <c r="U21" s="26">
        <v>3100000</v>
      </c>
      <c r="V21" s="19"/>
      <c r="W21" s="19"/>
      <c r="X21" s="27">
        <v>3100000</v>
      </c>
      <c r="Y21" s="28">
        <v>2</v>
      </c>
      <c r="Z21" s="36">
        <v>62000</v>
      </c>
      <c r="AA21" s="19"/>
      <c r="AB21" s="21" t="s">
        <v>45</v>
      </c>
      <c r="AC21" s="24">
        <v>1141070583</v>
      </c>
      <c r="AD21" s="29">
        <v>45558</v>
      </c>
      <c r="AE21" s="19" t="s">
        <v>46</v>
      </c>
      <c r="AF21" s="19">
        <v>0</v>
      </c>
      <c r="AG21" s="30" t="s">
        <v>1464</v>
      </c>
      <c r="AH21" s="31">
        <v>62000</v>
      </c>
      <c r="AI21" s="37">
        <v>0</v>
      </c>
    </row>
    <row r="22" spans="1:35" x14ac:dyDescent="0.25">
      <c r="A22" s="19">
        <v>21</v>
      </c>
      <c r="B22" s="19" t="s">
        <v>1315</v>
      </c>
      <c r="C22" s="19" t="s">
        <v>1471</v>
      </c>
      <c r="D22" s="20">
        <v>45505</v>
      </c>
      <c r="E22" s="21" t="s">
        <v>35</v>
      </c>
      <c r="F22" s="19" t="s">
        <v>1472</v>
      </c>
      <c r="G22" s="22">
        <v>45532</v>
      </c>
      <c r="H22" s="22">
        <v>45896</v>
      </c>
      <c r="I22" s="35" t="s">
        <v>1473</v>
      </c>
      <c r="J22" s="24">
        <v>1350306496969</v>
      </c>
      <c r="K22" s="35" t="s">
        <v>1474</v>
      </c>
      <c r="L22" s="19" t="s">
        <v>1475</v>
      </c>
      <c r="M22" s="19" t="s">
        <v>1476</v>
      </c>
      <c r="N22" s="19" t="s">
        <v>1477</v>
      </c>
      <c r="O22" s="19" t="s">
        <v>1471</v>
      </c>
      <c r="P22" s="19" t="s">
        <v>61</v>
      </c>
      <c r="Q22" s="19" t="s">
        <v>79</v>
      </c>
      <c r="R22" s="19" t="s">
        <v>1478</v>
      </c>
      <c r="S22" s="22">
        <v>45534</v>
      </c>
      <c r="T22" s="22">
        <v>46270</v>
      </c>
      <c r="U22" s="26">
        <v>5000000</v>
      </c>
      <c r="V22" s="19"/>
      <c r="W22" s="19"/>
      <c r="X22" s="27">
        <v>5000000</v>
      </c>
      <c r="Y22" s="28">
        <v>1.5</v>
      </c>
      <c r="Z22" s="36">
        <v>75000</v>
      </c>
      <c r="AA22" s="19"/>
      <c r="AB22" s="21" t="s">
        <v>45</v>
      </c>
      <c r="AC22" s="24">
        <v>1141070583</v>
      </c>
      <c r="AD22" s="29">
        <v>45558</v>
      </c>
      <c r="AE22" s="19" t="s">
        <v>46</v>
      </c>
      <c r="AF22" s="19">
        <v>0</v>
      </c>
      <c r="AG22" s="30" t="s">
        <v>1472</v>
      </c>
      <c r="AH22" s="31">
        <v>75000</v>
      </c>
      <c r="AI22" s="37">
        <v>0</v>
      </c>
    </row>
    <row r="23" spans="1:35" x14ac:dyDescent="0.25">
      <c r="A23" s="19">
        <v>22</v>
      </c>
      <c r="B23" s="19" t="s">
        <v>1315</v>
      </c>
      <c r="C23" s="19" t="s">
        <v>1479</v>
      </c>
      <c r="D23" s="20">
        <v>45505</v>
      </c>
      <c r="E23" s="21" t="s">
        <v>35</v>
      </c>
      <c r="F23" s="19" t="s">
        <v>1480</v>
      </c>
      <c r="G23" s="22">
        <v>45532</v>
      </c>
      <c r="H23" s="22">
        <v>45896</v>
      </c>
      <c r="I23" s="35" t="s">
        <v>1481</v>
      </c>
      <c r="J23" s="24">
        <v>3120369320629</v>
      </c>
      <c r="K23" s="35" t="s">
        <v>1375</v>
      </c>
      <c r="L23" s="19" t="s">
        <v>1482</v>
      </c>
      <c r="M23" s="19" t="s">
        <v>1483</v>
      </c>
      <c r="N23" s="19" t="s">
        <v>1484</v>
      </c>
      <c r="O23" s="19" t="s">
        <v>1479</v>
      </c>
      <c r="P23" s="19" t="s">
        <v>61</v>
      </c>
      <c r="Q23" s="19" t="s">
        <v>790</v>
      </c>
      <c r="R23" s="19" t="s">
        <v>1485</v>
      </c>
      <c r="S23" s="22">
        <v>45533</v>
      </c>
      <c r="T23" s="22">
        <v>47001</v>
      </c>
      <c r="U23" s="26">
        <v>1950000</v>
      </c>
      <c r="V23" s="19"/>
      <c r="W23" s="19"/>
      <c r="X23" s="27">
        <v>1950000</v>
      </c>
      <c r="Y23" s="28">
        <v>2</v>
      </c>
      <c r="Z23" s="36">
        <v>39000</v>
      </c>
      <c r="AA23" s="19"/>
      <c r="AB23" s="21" t="s">
        <v>45</v>
      </c>
      <c r="AC23" s="24">
        <v>1141070583</v>
      </c>
      <c r="AD23" s="29">
        <v>45558</v>
      </c>
      <c r="AE23" s="19" t="s">
        <v>46</v>
      </c>
      <c r="AF23" s="19">
        <v>0</v>
      </c>
      <c r="AG23" s="30" t="s">
        <v>1480</v>
      </c>
      <c r="AH23" s="31">
        <v>39000</v>
      </c>
      <c r="AI23" s="37">
        <v>0</v>
      </c>
    </row>
    <row r="24" spans="1:35" x14ac:dyDescent="0.25">
      <c r="A24" s="19">
        <v>23</v>
      </c>
      <c r="B24" s="19" t="s">
        <v>1315</v>
      </c>
      <c r="C24" s="19" t="s">
        <v>1486</v>
      </c>
      <c r="D24" s="20">
        <v>45505</v>
      </c>
      <c r="E24" s="21" t="s">
        <v>35</v>
      </c>
      <c r="F24" s="19" t="s">
        <v>1487</v>
      </c>
      <c r="G24" s="22">
        <v>45511</v>
      </c>
      <c r="H24" s="22">
        <v>45875</v>
      </c>
      <c r="I24" s="35" t="s">
        <v>1488</v>
      </c>
      <c r="J24" s="24">
        <v>4230160970417</v>
      </c>
      <c r="K24" s="35" t="s">
        <v>1334</v>
      </c>
      <c r="L24" s="19" t="s">
        <v>1489</v>
      </c>
      <c r="M24" s="19" t="s">
        <v>1490</v>
      </c>
      <c r="N24" s="19" t="s">
        <v>1491</v>
      </c>
      <c r="O24" s="19" t="s">
        <v>1486</v>
      </c>
      <c r="P24" s="19" t="s">
        <v>167</v>
      </c>
      <c r="Q24" s="19" t="s">
        <v>168</v>
      </c>
      <c r="R24" s="19" t="s">
        <v>1492</v>
      </c>
      <c r="S24" s="22">
        <v>45513</v>
      </c>
      <c r="T24" s="22">
        <v>47336</v>
      </c>
      <c r="U24" s="26">
        <v>2500000</v>
      </c>
      <c r="V24" s="19"/>
      <c r="W24" s="19"/>
      <c r="X24" s="27">
        <v>2500000</v>
      </c>
      <c r="Y24" s="28">
        <v>2</v>
      </c>
      <c r="Z24" s="36">
        <v>50000</v>
      </c>
      <c r="AA24" s="19"/>
      <c r="AB24" s="21" t="s">
        <v>45</v>
      </c>
      <c r="AC24" s="24">
        <v>1141070583</v>
      </c>
      <c r="AD24" s="29">
        <v>45558</v>
      </c>
      <c r="AE24" s="19" t="s">
        <v>46</v>
      </c>
      <c r="AF24" s="19">
        <v>0</v>
      </c>
      <c r="AG24" s="30" t="s">
        <v>1487</v>
      </c>
      <c r="AH24" s="31">
        <v>50000</v>
      </c>
      <c r="AI24" s="37">
        <v>0</v>
      </c>
    </row>
    <row r="25" spans="1:35" x14ac:dyDescent="0.25">
      <c r="A25" s="19">
        <v>24</v>
      </c>
      <c r="B25" s="19" t="s">
        <v>1315</v>
      </c>
      <c r="C25" s="19" t="s">
        <v>1493</v>
      </c>
      <c r="D25" s="20">
        <v>45505</v>
      </c>
      <c r="E25" s="21" t="s">
        <v>35</v>
      </c>
      <c r="F25" s="19" t="s">
        <v>1494</v>
      </c>
      <c r="G25" s="22">
        <v>45533</v>
      </c>
      <c r="H25" s="22">
        <v>45897</v>
      </c>
      <c r="I25" s="35" t="s">
        <v>1495</v>
      </c>
      <c r="J25" s="24">
        <v>3520223080633</v>
      </c>
      <c r="K25" s="35" t="s">
        <v>1496</v>
      </c>
      <c r="L25" s="19" t="s">
        <v>1497</v>
      </c>
      <c r="M25" s="19" t="s">
        <v>1498</v>
      </c>
      <c r="N25" s="19" t="s">
        <v>1499</v>
      </c>
      <c r="O25" s="19" t="s">
        <v>1493</v>
      </c>
      <c r="P25" s="19" t="s">
        <v>61</v>
      </c>
      <c r="Q25" s="19" t="s">
        <v>79</v>
      </c>
      <c r="R25" s="19" t="s">
        <v>1500</v>
      </c>
      <c r="S25" s="22">
        <v>45534</v>
      </c>
      <c r="T25" s="22">
        <v>46270</v>
      </c>
      <c r="U25" s="26">
        <v>2800000</v>
      </c>
      <c r="V25" s="19"/>
      <c r="W25" s="19"/>
      <c r="X25" s="27">
        <v>2800000</v>
      </c>
      <c r="Y25" s="28">
        <v>2</v>
      </c>
      <c r="Z25" s="36">
        <v>56000</v>
      </c>
      <c r="AA25" s="19"/>
      <c r="AB25" s="21" t="s">
        <v>45</v>
      </c>
      <c r="AC25" s="24">
        <v>1141070583</v>
      </c>
      <c r="AD25" s="29">
        <v>45558</v>
      </c>
      <c r="AE25" s="19" t="s">
        <v>46</v>
      </c>
      <c r="AF25" s="19">
        <v>0</v>
      </c>
      <c r="AG25" s="30" t="s">
        <v>1494</v>
      </c>
      <c r="AH25" s="31">
        <v>56000</v>
      </c>
      <c r="AI25" s="37">
        <v>0</v>
      </c>
    </row>
    <row r="26" spans="1:35" x14ac:dyDescent="0.25">
      <c r="A26" s="19">
        <v>25</v>
      </c>
      <c r="B26" s="19" t="s">
        <v>1315</v>
      </c>
      <c r="C26" s="19" t="s">
        <v>1501</v>
      </c>
      <c r="D26" s="20">
        <v>45505</v>
      </c>
      <c r="E26" s="21" t="s">
        <v>35</v>
      </c>
      <c r="F26" s="19" t="s">
        <v>1502</v>
      </c>
      <c r="G26" s="22">
        <v>45533</v>
      </c>
      <c r="H26" s="22">
        <v>45897</v>
      </c>
      <c r="I26" s="35" t="s">
        <v>1503</v>
      </c>
      <c r="J26" s="24">
        <v>3310413134131</v>
      </c>
      <c r="K26" s="35" t="s">
        <v>1375</v>
      </c>
      <c r="L26" s="19" t="s">
        <v>1504</v>
      </c>
      <c r="M26" s="19" t="s">
        <v>1505</v>
      </c>
      <c r="N26" s="19" t="s">
        <v>1506</v>
      </c>
      <c r="O26" s="19" t="s">
        <v>1501</v>
      </c>
      <c r="P26" s="19" t="s">
        <v>61</v>
      </c>
      <c r="Q26" s="19" t="s">
        <v>144</v>
      </c>
      <c r="R26" s="19">
        <v>654093</v>
      </c>
      <c r="S26" s="22">
        <v>45534</v>
      </c>
      <c r="T26" s="22">
        <v>46270</v>
      </c>
      <c r="U26" s="26">
        <v>3200000</v>
      </c>
      <c r="V26" s="19"/>
      <c r="W26" s="19"/>
      <c r="X26" s="27">
        <v>3200000</v>
      </c>
      <c r="Y26" s="28">
        <v>2</v>
      </c>
      <c r="Z26" s="36">
        <v>64000</v>
      </c>
      <c r="AA26" s="19"/>
      <c r="AB26" s="21" t="s">
        <v>45</v>
      </c>
      <c r="AC26" s="24">
        <v>1141070583</v>
      </c>
      <c r="AD26" s="29">
        <v>45558</v>
      </c>
      <c r="AE26" s="19" t="s">
        <v>46</v>
      </c>
      <c r="AF26" s="19">
        <v>0</v>
      </c>
      <c r="AG26" s="30" t="s">
        <v>1502</v>
      </c>
      <c r="AH26" s="31">
        <v>64000</v>
      </c>
      <c r="AI26" s="37">
        <v>0</v>
      </c>
    </row>
    <row r="27" spans="1:35" x14ac:dyDescent="0.25">
      <c r="A27" s="19">
        <v>26</v>
      </c>
      <c r="B27" s="19" t="s">
        <v>1315</v>
      </c>
      <c r="C27" s="19" t="s">
        <v>1507</v>
      </c>
      <c r="D27" s="20">
        <v>45505</v>
      </c>
      <c r="E27" s="21" t="s">
        <v>35</v>
      </c>
      <c r="F27" s="19" t="s">
        <v>1508</v>
      </c>
      <c r="G27" s="22">
        <v>45533</v>
      </c>
      <c r="H27" s="22">
        <v>45897</v>
      </c>
      <c r="I27" s="35" t="s">
        <v>1509</v>
      </c>
      <c r="J27" s="24">
        <v>4220192102313</v>
      </c>
      <c r="K27" s="35" t="s">
        <v>1510</v>
      </c>
      <c r="L27" s="19" t="s">
        <v>1511</v>
      </c>
      <c r="M27" s="19" t="s">
        <v>1512</v>
      </c>
      <c r="N27" s="19" t="s">
        <v>1513</v>
      </c>
      <c r="O27" s="19" t="s">
        <v>1507</v>
      </c>
      <c r="P27" s="19" t="s">
        <v>61</v>
      </c>
      <c r="Q27" s="19" t="s">
        <v>560</v>
      </c>
      <c r="R27" s="19" t="s">
        <v>1514</v>
      </c>
      <c r="S27" s="22">
        <v>45534</v>
      </c>
      <c r="T27" s="22">
        <v>46636</v>
      </c>
      <c r="U27" s="26">
        <v>3800000</v>
      </c>
      <c r="V27" s="19"/>
      <c r="W27" s="19"/>
      <c r="X27" s="27">
        <v>3800000</v>
      </c>
      <c r="Y27" s="28">
        <v>1.5</v>
      </c>
      <c r="Z27" s="36">
        <v>57000</v>
      </c>
      <c r="AA27" s="19"/>
      <c r="AB27" s="21" t="s">
        <v>45</v>
      </c>
      <c r="AC27" s="24">
        <v>1141070583</v>
      </c>
      <c r="AD27" s="29">
        <v>45558</v>
      </c>
      <c r="AE27" s="19" t="s">
        <v>46</v>
      </c>
      <c r="AF27" s="19">
        <v>0</v>
      </c>
      <c r="AG27" s="30" t="s">
        <v>1508</v>
      </c>
      <c r="AH27" s="31">
        <v>57000</v>
      </c>
      <c r="AI27" s="37">
        <v>0</v>
      </c>
    </row>
    <row r="28" spans="1:35" x14ac:dyDescent="0.25">
      <c r="A28" s="19">
        <v>27</v>
      </c>
      <c r="B28" s="19" t="s">
        <v>1315</v>
      </c>
      <c r="C28" s="19" t="s">
        <v>1515</v>
      </c>
      <c r="D28" s="20">
        <v>45505</v>
      </c>
      <c r="E28" s="21" t="s">
        <v>35</v>
      </c>
      <c r="F28" s="19" t="s">
        <v>1516</v>
      </c>
      <c r="G28" s="22">
        <v>45534</v>
      </c>
      <c r="H28" s="22">
        <v>45898</v>
      </c>
      <c r="I28" s="35" t="s">
        <v>1517</v>
      </c>
      <c r="J28" s="24">
        <v>6110126332295</v>
      </c>
      <c r="K28" s="35" t="s">
        <v>1518</v>
      </c>
      <c r="L28" s="19" t="s">
        <v>1519</v>
      </c>
      <c r="M28" s="19" t="s">
        <v>1520</v>
      </c>
      <c r="N28" s="19" t="s">
        <v>1521</v>
      </c>
      <c r="O28" s="19" t="s">
        <v>1515</v>
      </c>
      <c r="P28" s="19" t="s">
        <v>61</v>
      </c>
      <c r="Q28" s="19" t="s">
        <v>79</v>
      </c>
      <c r="R28" s="19" t="s">
        <v>1522</v>
      </c>
      <c r="S28" s="22">
        <v>45537</v>
      </c>
      <c r="T28" s="22">
        <v>47366</v>
      </c>
      <c r="U28" s="26">
        <v>2350000</v>
      </c>
      <c r="V28" s="19"/>
      <c r="W28" s="19"/>
      <c r="X28" s="27">
        <v>2350000</v>
      </c>
      <c r="Y28" s="28">
        <v>2</v>
      </c>
      <c r="Z28" s="36">
        <v>47000</v>
      </c>
      <c r="AA28" s="19"/>
      <c r="AB28" s="21" t="s">
        <v>45</v>
      </c>
      <c r="AC28" s="24">
        <v>1141070583</v>
      </c>
      <c r="AD28" s="29">
        <v>45558</v>
      </c>
      <c r="AE28" s="19" t="s">
        <v>46</v>
      </c>
      <c r="AF28" s="19">
        <v>0</v>
      </c>
      <c r="AG28" s="30" t="s">
        <v>1516</v>
      </c>
      <c r="AH28" s="31">
        <v>47000</v>
      </c>
      <c r="AI28" s="37">
        <v>0</v>
      </c>
    </row>
    <row r="29" spans="1:35" x14ac:dyDescent="0.25">
      <c r="A29" s="19">
        <v>28</v>
      </c>
      <c r="B29" s="19" t="s">
        <v>1315</v>
      </c>
      <c r="C29" s="19" t="s">
        <v>1523</v>
      </c>
      <c r="D29" s="20">
        <v>45505</v>
      </c>
      <c r="E29" s="21" t="s">
        <v>35</v>
      </c>
      <c r="F29" s="19" t="s">
        <v>1524</v>
      </c>
      <c r="G29" s="22">
        <v>45534</v>
      </c>
      <c r="H29" s="22">
        <v>45898</v>
      </c>
      <c r="I29" s="35" t="s">
        <v>1525</v>
      </c>
      <c r="J29" s="24">
        <v>3520101370561</v>
      </c>
      <c r="K29" s="35" t="s">
        <v>1443</v>
      </c>
      <c r="L29" s="19" t="s">
        <v>1526</v>
      </c>
      <c r="M29" s="19" t="s">
        <v>1527</v>
      </c>
      <c r="N29" s="19" t="s">
        <v>1528</v>
      </c>
      <c r="O29" s="19" t="s">
        <v>1523</v>
      </c>
      <c r="P29" s="19" t="s">
        <v>61</v>
      </c>
      <c r="Q29" s="19" t="s">
        <v>79</v>
      </c>
      <c r="R29" s="19" t="s">
        <v>1529</v>
      </c>
      <c r="S29" s="22">
        <v>45537</v>
      </c>
      <c r="T29" s="22">
        <v>46636</v>
      </c>
      <c r="U29" s="26">
        <v>4300000</v>
      </c>
      <c r="V29" s="19"/>
      <c r="W29" s="19"/>
      <c r="X29" s="27">
        <v>4300000</v>
      </c>
      <c r="Y29" s="28">
        <v>1.5</v>
      </c>
      <c r="Z29" s="36">
        <v>64500</v>
      </c>
      <c r="AA29" s="19"/>
      <c r="AB29" s="21" t="s">
        <v>45</v>
      </c>
      <c r="AC29" s="24">
        <v>1141070583</v>
      </c>
      <c r="AD29" s="29">
        <v>45558</v>
      </c>
      <c r="AE29" s="19" t="s">
        <v>46</v>
      </c>
      <c r="AF29" s="19">
        <v>0</v>
      </c>
      <c r="AG29" s="30" t="s">
        <v>1524</v>
      </c>
      <c r="AH29" s="31">
        <v>64500</v>
      </c>
      <c r="AI29" s="37">
        <v>0</v>
      </c>
    </row>
    <row r="30" spans="1:35" x14ac:dyDescent="0.25">
      <c r="A30" s="19">
        <v>29</v>
      </c>
      <c r="B30" s="19" t="s">
        <v>1315</v>
      </c>
      <c r="C30" s="19" t="s">
        <v>1530</v>
      </c>
      <c r="D30" s="20">
        <v>45505</v>
      </c>
      <c r="E30" s="21" t="s">
        <v>35</v>
      </c>
      <c r="F30" s="19" t="s">
        <v>1531</v>
      </c>
      <c r="G30" s="22">
        <v>45534</v>
      </c>
      <c r="H30" s="22">
        <v>45898</v>
      </c>
      <c r="I30" s="35" t="s">
        <v>1532</v>
      </c>
      <c r="J30" s="24">
        <v>3520117342385</v>
      </c>
      <c r="K30" s="35" t="s">
        <v>1533</v>
      </c>
      <c r="L30" s="19" t="s">
        <v>1534</v>
      </c>
      <c r="M30" s="19" t="s">
        <v>1535</v>
      </c>
      <c r="N30" s="19" t="s">
        <v>1536</v>
      </c>
      <c r="O30" s="19" t="s">
        <v>1530</v>
      </c>
      <c r="P30" s="19" t="s">
        <v>61</v>
      </c>
      <c r="Q30" s="19" t="s">
        <v>79</v>
      </c>
      <c r="R30" s="19" t="s">
        <v>1537</v>
      </c>
      <c r="S30" s="22">
        <v>45537</v>
      </c>
      <c r="T30" s="22">
        <v>46636</v>
      </c>
      <c r="U30" s="26">
        <v>3400000</v>
      </c>
      <c r="V30" s="19"/>
      <c r="W30" s="19"/>
      <c r="X30" s="27">
        <v>3400000</v>
      </c>
      <c r="Y30" s="28">
        <v>2</v>
      </c>
      <c r="Z30" s="36">
        <v>68000</v>
      </c>
      <c r="AA30" s="19"/>
      <c r="AB30" s="21" t="s">
        <v>45</v>
      </c>
      <c r="AC30" s="24">
        <v>1141070583</v>
      </c>
      <c r="AD30" s="29">
        <v>45558</v>
      </c>
      <c r="AE30" s="19" t="s">
        <v>46</v>
      </c>
      <c r="AF30" s="19">
        <v>0</v>
      </c>
      <c r="AG30" s="30" t="s">
        <v>1531</v>
      </c>
      <c r="AH30" s="31">
        <v>68000</v>
      </c>
      <c r="AI30" s="37">
        <v>0</v>
      </c>
    </row>
    <row r="31" spans="1:35" x14ac:dyDescent="0.25">
      <c r="A31" s="19">
        <v>30</v>
      </c>
      <c r="B31" s="19" t="s">
        <v>1315</v>
      </c>
      <c r="C31" s="19" t="s">
        <v>1538</v>
      </c>
      <c r="D31" s="20">
        <v>45505</v>
      </c>
      <c r="E31" s="21" t="s">
        <v>35</v>
      </c>
      <c r="F31" s="19" t="s">
        <v>1539</v>
      </c>
      <c r="G31" s="22">
        <v>45533</v>
      </c>
      <c r="H31" s="22">
        <v>45897</v>
      </c>
      <c r="I31" s="35" t="s">
        <v>1540</v>
      </c>
      <c r="J31" s="24">
        <v>8240124807615</v>
      </c>
      <c r="K31" s="35" t="s">
        <v>1541</v>
      </c>
      <c r="L31" s="19" t="s">
        <v>1542</v>
      </c>
      <c r="M31" s="19" t="s">
        <v>1543</v>
      </c>
      <c r="N31" s="19" t="s">
        <v>1544</v>
      </c>
      <c r="O31" s="19" t="s">
        <v>1538</v>
      </c>
      <c r="P31" s="19" t="s">
        <v>42</v>
      </c>
      <c r="Q31" s="19" t="s">
        <v>71</v>
      </c>
      <c r="R31" s="19" t="s">
        <v>1545</v>
      </c>
      <c r="S31" s="22">
        <v>45534</v>
      </c>
      <c r="T31" s="22">
        <v>47001</v>
      </c>
      <c r="U31" s="26">
        <v>4500000</v>
      </c>
      <c r="V31" s="19"/>
      <c r="W31" s="19"/>
      <c r="X31" s="27">
        <v>4500000</v>
      </c>
      <c r="Y31" s="28">
        <v>1.5</v>
      </c>
      <c r="Z31" s="36">
        <v>67500</v>
      </c>
      <c r="AA31" s="19"/>
      <c r="AB31" s="21" t="s">
        <v>45</v>
      </c>
      <c r="AC31" s="24">
        <v>1141070583</v>
      </c>
      <c r="AD31" s="29">
        <v>45558</v>
      </c>
      <c r="AE31" s="19" t="s">
        <v>46</v>
      </c>
      <c r="AF31" s="19">
        <v>0</v>
      </c>
      <c r="AG31" s="30" t="s">
        <v>1539</v>
      </c>
      <c r="AH31" s="31">
        <v>67500</v>
      </c>
      <c r="AI31" s="37">
        <v>0</v>
      </c>
    </row>
    <row r="32" spans="1:35" x14ac:dyDescent="0.25">
      <c r="A32" s="19">
        <v>31</v>
      </c>
      <c r="B32" s="19" t="s">
        <v>1315</v>
      </c>
      <c r="C32" s="19" t="s">
        <v>1546</v>
      </c>
      <c r="D32" s="20">
        <v>45505</v>
      </c>
      <c r="E32" s="21" t="s">
        <v>35</v>
      </c>
      <c r="F32" s="19" t="s">
        <v>1547</v>
      </c>
      <c r="G32" s="22">
        <v>45534</v>
      </c>
      <c r="H32" s="22">
        <v>45898</v>
      </c>
      <c r="I32" s="35" t="s">
        <v>1548</v>
      </c>
      <c r="J32" s="24">
        <v>3520131577113</v>
      </c>
      <c r="K32" s="35" t="s">
        <v>1342</v>
      </c>
      <c r="L32" s="19" t="s">
        <v>1549</v>
      </c>
      <c r="M32" s="19" t="s">
        <v>1550</v>
      </c>
      <c r="N32" s="19" t="s">
        <v>1551</v>
      </c>
      <c r="O32" s="19" t="s">
        <v>1546</v>
      </c>
      <c r="P32" s="19" t="s">
        <v>61</v>
      </c>
      <c r="Q32" s="19" t="s">
        <v>79</v>
      </c>
      <c r="R32" s="19" t="s">
        <v>1552</v>
      </c>
      <c r="S32" s="22">
        <v>45537</v>
      </c>
      <c r="T32" s="22">
        <v>47001</v>
      </c>
      <c r="U32" s="26">
        <v>4300000</v>
      </c>
      <c r="V32" s="19"/>
      <c r="W32" s="19"/>
      <c r="X32" s="27">
        <v>4300000</v>
      </c>
      <c r="Y32" s="28">
        <v>1.5</v>
      </c>
      <c r="Z32" s="36">
        <v>64500</v>
      </c>
      <c r="AA32" s="19"/>
      <c r="AB32" s="21" t="s">
        <v>45</v>
      </c>
      <c r="AC32" s="24">
        <v>1141070583</v>
      </c>
      <c r="AD32" s="29">
        <v>45558</v>
      </c>
      <c r="AE32" s="19" t="s">
        <v>46</v>
      </c>
      <c r="AF32" s="19">
        <v>0</v>
      </c>
      <c r="AG32" s="30" t="s">
        <v>1547</v>
      </c>
      <c r="AH32" s="31">
        <v>64500</v>
      </c>
      <c r="AI32" s="37">
        <v>0</v>
      </c>
    </row>
    <row r="33" spans="1:35" x14ac:dyDescent="0.25">
      <c r="A33" s="19">
        <v>32</v>
      </c>
      <c r="B33" s="19" t="s">
        <v>1315</v>
      </c>
      <c r="C33" s="19" t="s">
        <v>1553</v>
      </c>
      <c r="D33" s="20">
        <v>45505</v>
      </c>
      <c r="E33" s="21" t="s">
        <v>35</v>
      </c>
      <c r="F33" s="19" t="s">
        <v>1554</v>
      </c>
      <c r="G33" s="22">
        <v>45534</v>
      </c>
      <c r="H33" s="22">
        <v>45898</v>
      </c>
      <c r="I33" s="35" t="s">
        <v>1555</v>
      </c>
      <c r="J33" s="24">
        <v>3410196744769</v>
      </c>
      <c r="K33" s="35" t="s">
        <v>1556</v>
      </c>
      <c r="L33" s="19" t="s">
        <v>1557</v>
      </c>
      <c r="M33" s="19" t="s">
        <v>1558</v>
      </c>
      <c r="N33" s="19" t="s">
        <v>1559</v>
      </c>
      <c r="O33" s="19" t="s">
        <v>1553</v>
      </c>
      <c r="P33" s="19" t="s">
        <v>61</v>
      </c>
      <c r="Q33" s="19" t="s">
        <v>79</v>
      </c>
      <c r="R33" s="19" t="s">
        <v>1560</v>
      </c>
      <c r="S33" s="22">
        <v>45537</v>
      </c>
      <c r="T33" s="22">
        <v>46636</v>
      </c>
      <c r="U33" s="26">
        <v>4000000</v>
      </c>
      <c r="V33" s="19"/>
      <c r="W33" s="19"/>
      <c r="X33" s="27">
        <v>4000000</v>
      </c>
      <c r="Y33" s="28">
        <v>1.5</v>
      </c>
      <c r="Z33" s="36">
        <v>60000</v>
      </c>
      <c r="AA33" s="19"/>
      <c r="AB33" s="21" t="s">
        <v>45</v>
      </c>
      <c r="AC33" s="24">
        <v>1141070583</v>
      </c>
      <c r="AD33" s="29">
        <v>45558</v>
      </c>
      <c r="AE33" s="19" t="s">
        <v>46</v>
      </c>
      <c r="AF33" s="19">
        <v>0</v>
      </c>
      <c r="AG33" s="30" t="s">
        <v>1554</v>
      </c>
      <c r="AH33" s="31">
        <v>60000</v>
      </c>
      <c r="AI33" s="37">
        <v>0</v>
      </c>
    </row>
    <row r="34" spans="1:35" x14ac:dyDescent="0.25">
      <c r="A34" s="19">
        <v>33</v>
      </c>
      <c r="B34" s="19" t="s">
        <v>1315</v>
      </c>
      <c r="C34" s="19" t="s">
        <v>1561</v>
      </c>
      <c r="D34" s="20">
        <v>45505</v>
      </c>
      <c r="E34" s="21" t="s">
        <v>35</v>
      </c>
      <c r="F34" s="19" t="s">
        <v>1562</v>
      </c>
      <c r="G34" s="22">
        <v>45534</v>
      </c>
      <c r="H34" s="22">
        <v>45898</v>
      </c>
      <c r="I34" s="35" t="s">
        <v>1563</v>
      </c>
      <c r="J34" s="24">
        <v>3310073818445</v>
      </c>
      <c r="K34" s="35" t="s">
        <v>1564</v>
      </c>
      <c r="L34" s="19" t="s">
        <v>1565</v>
      </c>
      <c r="M34" s="19" t="s">
        <v>1566</v>
      </c>
      <c r="N34" s="19" t="s">
        <v>1567</v>
      </c>
      <c r="O34" s="19" t="s">
        <v>1561</v>
      </c>
      <c r="P34" s="19" t="s">
        <v>61</v>
      </c>
      <c r="Q34" s="19" t="s">
        <v>144</v>
      </c>
      <c r="R34" s="19" t="s">
        <v>1568</v>
      </c>
      <c r="S34" s="22">
        <v>45537</v>
      </c>
      <c r="T34" s="22">
        <v>46636</v>
      </c>
      <c r="U34" s="26">
        <v>4200000</v>
      </c>
      <c r="V34" s="19"/>
      <c r="W34" s="19"/>
      <c r="X34" s="27">
        <v>4200000</v>
      </c>
      <c r="Y34" s="28">
        <v>1.5</v>
      </c>
      <c r="Z34" s="36">
        <v>63000</v>
      </c>
      <c r="AA34" s="19"/>
      <c r="AB34" s="21" t="s">
        <v>45</v>
      </c>
      <c r="AC34" s="24">
        <v>1141070583</v>
      </c>
      <c r="AD34" s="29">
        <v>45558</v>
      </c>
      <c r="AE34" s="19" t="s">
        <v>46</v>
      </c>
      <c r="AF34" s="19">
        <v>0</v>
      </c>
      <c r="AG34" s="30" t="s">
        <v>1562</v>
      </c>
      <c r="AH34" s="31">
        <v>63000</v>
      </c>
      <c r="AI34" s="37">
        <v>0</v>
      </c>
    </row>
    <row r="35" spans="1:35" x14ac:dyDescent="0.25">
      <c r="A35" s="19">
        <v>34</v>
      </c>
      <c r="B35" s="19" t="s">
        <v>1315</v>
      </c>
      <c r="C35" s="19" t="s">
        <v>1569</v>
      </c>
      <c r="D35" s="20">
        <v>45505</v>
      </c>
      <c r="E35" s="21" t="s">
        <v>35</v>
      </c>
      <c r="F35" s="19" t="s">
        <v>1570</v>
      </c>
      <c r="G35" s="22">
        <v>45512</v>
      </c>
      <c r="H35" s="22">
        <v>45876</v>
      </c>
      <c r="I35" s="35" t="s">
        <v>1571</v>
      </c>
      <c r="J35" s="24">
        <v>3520114134317</v>
      </c>
      <c r="K35" s="35" t="s">
        <v>1572</v>
      </c>
      <c r="L35" s="19" t="s">
        <v>1573</v>
      </c>
      <c r="M35" s="19" t="s">
        <v>1574</v>
      </c>
      <c r="N35" s="19" t="s">
        <v>1575</v>
      </c>
      <c r="O35" s="19" t="s">
        <v>1569</v>
      </c>
      <c r="P35" s="19" t="s">
        <v>61</v>
      </c>
      <c r="Q35" s="19" t="s">
        <v>79</v>
      </c>
      <c r="R35" s="19" t="s">
        <v>1576</v>
      </c>
      <c r="S35" s="22">
        <v>45513</v>
      </c>
      <c r="T35" s="22">
        <v>47336</v>
      </c>
      <c r="U35" s="26">
        <v>2000000</v>
      </c>
      <c r="V35" s="19"/>
      <c r="W35" s="19"/>
      <c r="X35" s="27">
        <v>2000000</v>
      </c>
      <c r="Y35" s="28">
        <v>2</v>
      </c>
      <c r="Z35" s="36">
        <v>40000</v>
      </c>
      <c r="AA35" s="19"/>
      <c r="AB35" s="21" t="s">
        <v>45</v>
      </c>
      <c r="AC35" s="24">
        <v>1141070583</v>
      </c>
      <c r="AD35" s="29">
        <v>45558</v>
      </c>
      <c r="AE35" s="19" t="s">
        <v>46</v>
      </c>
      <c r="AF35" s="19">
        <v>5</v>
      </c>
      <c r="AG35" s="30" t="s">
        <v>1570</v>
      </c>
      <c r="AH35" s="31">
        <v>40000</v>
      </c>
      <c r="AI35" s="37">
        <v>0</v>
      </c>
    </row>
    <row r="36" spans="1:35" x14ac:dyDescent="0.25">
      <c r="A36" s="19">
        <v>35</v>
      </c>
      <c r="B36" s="19" t="s">
        <v>1315</v>
      </c>
      <c r="C36" s="19" t="s">
        <v>1577</v>
      </c>
      <c r="D36" s="20">
        <v>45505</v>
      </c>
      <c r="E36" s="21" t="s">
        <v>35</v>
      </c>
      <c r="F36" s="19" t="s">
        <v>1578</v>
      </c>
      <c r="G36" s="22">
        <v>45534</v>
      </c>
      <c r="H36" s="22">
        <v>45898</v>
      </c>
      <c r="I36" s="35" t="s">
        <v>1579</v>
      </c>
      <c r="J36" s="24">
        <v>3130335342679</v>
      </c>
      <c r="K36" s="35" t="s">
        <v>1451</v>
      </c>
      <c r="L36" s="19" t="s">
        <v>1580</v>
      </c>
      <c r="M36" s="19" t="s">
        <v>1581</v>
      </c>
      <c r="N36" s="19" t="s">
        <v>1582</v>
      </c>
      <c r="O36" s="19" t="s">
        <v>1577</v>
      </c>
      <c r="P36" s="19" t="s">
        <v>167</v>
      </c>
      <c r="Q36" s="19" t="s">
        <v>168</v>
      </c>
      <c r="R36" s="19" t="s">
        <v>1583</v>
      </c>
      <c r="S36" s="22">
        <v>45537</v>
      </c>
      <c r="T36" s="22">
        <v>47366</v>
      </c>
      <c r="U36" s="26">
        <v>2425000</v>
      </c>
      <c r="V36" s="19"/>
      <c r="W36" s="19"/>
      <c r="X36" s="27">
        <v>2425000</v>
      </c>
      <c r="Y36" s="28">
        <v>2</v>
      </c>
      <c r="Z36" s="36">
        <v>48500</v>
      </c>
      <c r="AA36" s="19"/>
      <c r="AB36" s="21" t="s">
        <v>45</v>
      </c>
      <c r="AC36" s="24">
        <v>1141070583</v>
      </c>
      <c r="AD36" s="29">
        <v>45558</v>
      </c>
      <c r="AE36" s="19" t="s">
        <v>46</v>
      </c>
      <c r="AF36" s="19">
        <v>0</v>
      </c>
      <c r="AG36" s="30" t="s">
        <v>1578</v>
      </c>
      <c r="AH36" s="31">
        <v>48500</v>
      </c>
      <c r="AI36" s="37">
        <v>0</v>
      </c>
    </row>
    <row r="37" spans="1:35" x14ac:dyDescent="0.25">
      <c r="A37" s="19">
        <v>36</v>
      </c>
      <c r="B37" s="19" t="s">
        <v>1315</v>
      </c>
      <c r="C37" s="19" t="s">
        <v>1584</v>
      </c>
      <c r="D37" s="20">
        <v>45505</v>
      </c>
      <c r="E37" s="21" t="s">
        <v>35</v>
      </c>
      <c r="F37" s="19" t="s">
        <v>1585</v>
      </c>
      <c r="G37" s="22">
        <v>45534</v>
      </c>
      <c r="H37" s="22">
        <v>45898</v>
      </c>
      <c r="I37" s="35" t="s">
        <v>1586</v>
      </c>
      <c r="J37" s="24">
        <v>4130314826051</v>
      </c>
      <c r="K37" s="35" t="s">
        <v>1587</v>
      </c>
      <c r="L37" s="19" t="s">
        <v>1588</v>
      </c>
      <c r="M37" s="19" t="s">
        <v>1589</v>
      </c>
      <c r="N37" s="19" t="s">
        <v>1590</v>
      </c>
      <c r="O37" s="19" t="s">
        <v>1584</v>
      </c>
      <c r="P37" s="19" t="s">
        <v>167</v>
      </c>
      <c r="Q37" s="19" t="s">
        <v>272</v>
      </c>
      <c r="R37" s="19" t="s">
        <v>1591</v>
      </c>
      <c r="S37" s="22">
        <v>45537</v>
      </c>
      <c r="T37" s="22">
        <v>47366</v>
      </c>
      <c r="U37" s="26">
        <v>2200000</v>
      </c>
      <c r="V37" s="19"/>
      <c r="W37" s="19"/>
      <c r="X37" s="27">
        <v>2200000</v>
      </c>
      <c r="Y37" s="28">
        <v>2</v>
      </c>
      <c r="Z37" s="36">
        <v>44000</v>
      </c>
      <c r="AA37" s="19"/>
      <c r="AB37" s="21" t="s">
        <v>45</v>
      </c>
      <c r="AC37" s="24">
        <v>1141070583</v>
      </c>
      <c r="AD37" s="29">
        <v>45558</v>
      </c>
      <c r="AE37" s="19" t="s">
        <v>46</v>
      </c>
      <c r="AF37" s="19">
        <v>0</v>
      </c>
      <c r="AG37" s="30" t="s">
        <v>1585</v>
      </c>
      <c r="AH37" s="31">
        <v>44000</v>
      </c>
      <c r="AI37" s="37">
        <v>0</v>
      </c>
    </row>
    <row r="38" spans="1:35" x14ac:dyDescent="0.25">
      <c r="A38" s="19">
        <v>37</v>
      </c>
      <c r="B38" s="19" t="s">
        <v>1315</v>
      </c>
      <c r="C38" s="19" t="s">
        <v>1592</v>
      </c>
      <c r="D38" s="20">
        <v>45505</v>
      </c>
      <c r="E38" s="21" t="s">
        <v>35</v>
      </c>
      <c r="F38" s="19" t="s">
        <v>1593</v>
      </c>
      <c r="G38" s="22">
        <v>45534</v>
      </c>
      <c r="H38" s="22">
        <v>45898</v>
      </c>
      <c r="I38" s="35" t="s">
        <v>1594</v>
      </c>
      <c r="J38" s="24">
        <v>3520017224553</v>
      </c>
      <c r="K38" s="35" t="s">
        <v>1342</v>
      </c>
      <c r="L38" s="19" t="s">
        <v>1595</v>
      </c>
      <c r="M38" s="19" t="s">
        <v>1596</v>
      </c>
      <c r="N38" s="19" t="s">
        <v>1597</v>
      </c>
      <c r="O38" s="19" t="s">
        <v>1592</v>
      </c>
      <c r="P38" s="19" t="s">
        <v>61</v>
      </c>
      <c r="Q38" s="19" t="s">
        <v>79</v>
      </c>
      <c r="R38" s="19" t="s">
        <v>1598</v>
      </c>
      <c r="S38" s="22">
        <v>45537</v>
      </c>
      <c r="T38" s="22">
        <v>46636</v>
      </c>
      <c r="U38" s="26">
        <v>4300000</v>
      </c>
      <c r="V38" s="19"/>
      <c r="W38" s="19"/>
      <c r="X38" s="27">
        <v>4300000</v>
      </c>
      <c r="Y38" s="28">
        <v>1.5</v>
      </c>
      <c r="Z38" s="36">
        <v>64500</v>
      </c>
      <c r="AA38" s="19"/>
      <c r="AB38" s="21" t="s">
        <v>45</v>
      </c>
      <c r="AC38" s="24">
        <v>1141070583</v>
      </c>
      <c r="AD38" s="29">
        <v>45558</v>
      </c>
      <c r="AE38" s="19" t="s">
        <v>46</v>
      </c>
      <c r="AF38" s="19">
        <v>0</v>
      </c>
      <c r="AG38" s="30" t="s">
        <v>1593</v>
      </c>
      <c r="AH38" s="31">
        <v>64500</v>
      </c>
      <c r="AI38" s="37">
        <v>0</v>
      </c>
    </row>
    <row r="39" spans="1:35" x14ac:dyDescent="0.25">
      <c r="A39" s="19">
        <v>38</v>
      </c>
      <c r="B39" s="19" t="s">
        <v>1315</v>
      </c>
      <c r="C39" s="19" t="s">
        <v>1599</v>
      </c>
      <c r="D39" s="20">
        <v>45505</v>
      </c>
      <c r="E39" s="21" t="s">
        <v>35</v>
      </c>
      <c r="F39" s="19" t="s">
        <v>1600</v>
      </c>
      <c r="G39" s="22">
        <v>45512</v>
      </c>
      <c r="H39" s="22">
        <v>45876</v>
      </c>
      <c r="I39" s="35" t="s">
        <v>1601</v>
      </c>
      <c r="J39" s="24">
        <v>3310098393579</v>
      </c>
      <c r="K39" s="35" t="s">
        <v>1327</v>
      </c>
      <c r="L39" s="19"/>
      <c r="M39" s="19" t="s">
        <v>1602</v>
      </c>
      <c r="N39" s="19" t="s">
        <v>1603</v>
      </c>
      <c r="O39" s="19" t="s">
        <v>1599</v>
      </c>
      <c r="P39" s="19" t="s">
        <v>61</v>
      </c>
      <c r="Q39" s="19" t="s">
        <v>144</v>
      </c>
      <c r="R39" s="19" t="s">
        <v>1604</v>
      </c>
      <c r="S39" s="22">
        <v>45516</v>
      </c>
      <c r="T39" s="22">
        <v>46604</v>
      </c>
      <c r="U39" s="26">
        <v>4714000</v>
      </c>
      <c r="V39" s="19"/>
      <c r="W39" s="19"/>
      <c r="X39" s="27">
        <v>4714000</v>
      </c>
      <c r="Y39" s="28">
        <v>1.5</v>
      </c>
      <c r="Z39" s="36">
        <v>70710</v>
      </c>
      <c r="AA39" s="19"/>
      <c r="AB39" s="21" t="s">
        <v>45</v>
      </c>
      <c r="AC39" s="24">
        <v>1141070583</v>
      </c>
      <c r="AD39" s="29">
        <v>45558</v>
      </c>
      <c r="AE39" s="19" t="s">
        <v>46</v>
      </c>
      <c r="AF39" s="19">
        <v>0</v>
      </c>
      <c r="AG39" s="30" t="s">
        <v>1600</v>
      </c>
      <c r="AH39" s="31">
        <v>70710</v>
      </c>
      <c r="AI39" s="37">
        <v>0</v>
      </c>
    </row>
    <row r="40" spans="1:35" x14ac:dyDescent="0.25">
      <c r="A40" s="19">
        <v>39</v>
      </c>
      <c r="B40" s="19" t="s">
        <v>1315</v>
      </c>
      <c r="C40" s="19" t="s">
        <v>1605</v>
      </c>
      <c r="D40" s="20">
        <v>45505</v>
      </c>
      <c r="E40" s="21" t="s">
        <v>35</v>
      </c>
      <c r="F40" s="19" t="s">
        <v>1606</v>
      </c>
      <c r="G40" s="22">
        <v>45517</v>
      </c>
      <c r="H40" s="22">
        <v>45881</v>
      </c>
      <c r="I40" s="35" t="s">
        <v>1607</v>
      </c>
      <c r="J40" s="24">
        <v>3520288712049</v>
      </c>
      <c r="K40" s="35" t="s">
        <v>1572</v>
      </c>
      <c r="L40" s="19" t="s">
        <v>1608</v>
      </c>
      <c r="M40" s="19" t="s">
        <v>1609</v>
      </c>
      <c r="N40" s="19" t="s">
        <v>1610</v>
      </c>
      <c r="O40" s="19" t="s">
        <v>1605</v>
      </c>
      <c r="P40" s="19" t="s">
        <v>61</v>
      </c>
      <c r="Q40" s="19" t="s">
        <v>79</v>
      </c>
      <c r="R40" s="19" t="s">
        <v>1611</v>
      </c>
      <c r="S40" s="22">
        <v>45520</v>
      </c>
      <c r="T40" s="22">
        <v>46636</v>
      </c>
      <c r="U40" s="26">
        <v>1900000</v>
      </c>
      <c r="V40" s="19"/>
      <c r="W40" s="19"/>
      <c r="X40" s="27">
        <v>1900000</v>
      </c>
      <c r="Y40" s="28">
        <v>2</v>
      </c>
      <c r="Z40" s="36">
        <v>38000</v>
      </c>
      <c r="AA40" s="19"/>
      <c r="AB40" s="21" t="s">
        <v>45</v>
      </c>
      <c r="AC40" s="24">
        <v>1141070583</v>
      </c>
      <c r="AD40" s="29">
        <v>45558</v>
      </c>
      <c r="AE40" s="19" t="s">
        <v>46</v>
      </c>
      <c r="AF40" s="19">
        <v>0</v>
      </c>
      <c r="AG40" s="30" t="s">
        <v>1606</v>
      </c>
      <c r="AH40" s="31">
        <v>38000</v>
      </c>
      <c r="AI40" s="37">
        <v>0</v>
      </c>
    </row>
    <row r="41" spans="1:35" x14ac:dyDescent="0.25">
      <c r="A41" s="19">
        <v>40</v>
      </c>
      <c r="B41" s="19" t="s">
        <v>1315</v>
      </c>
      <c r="C41" s="19" t="s">
        <v>1612</v>
      </c>
      <c r="D41" s="20">
        <v>45505</v>
      </c>
      <c r="E41" s="21" t="s">
        <v>35</v>
      </c>
      <c r="F41" s="19" t="s">
        <v>1613</v>
      </c>
      <c r="G41" s="22">
        <v>45517</v>
      </c>
      <c r="H41" s="22">
        <v>45881</v>
      </c>
      <c r="I41" s="35" t="s">
        <v>1614</v>
      </c>
      <c r="J41" s="24">
        <v>3310007939679</v>
      </c>
      <c r="K41" s="35" t="s">
        <v>1518</v>
      </c>
      <c r="L41" s="19"/>
      <c r="M41" s="19" t="s">
        <v>1615</v>
      </c>
      <c r="N41" s="19" t="s">
        <v>1616</v>
      </c>
      <c r="O41" s="19" t="s">
        <v>1612</v>
      </c>
      <c r="P41" s="19" t="s">
        <v>61</v>
      </c>
      <c r="Q41" s="19" t="s">
        <v>144</v>
      </c>
      <c r="R41" s="19" t="s">
        <v>1617</v>
      </c>
      <c r="S41" s="22">
        <v>45520</v>
      </c>
      <c r="T41" s="22">
        <v>47366</v>
      </c>
      <c r="U41" s="26">
        <v>2894000</v>
      </c>
      <c r="V41" s="19"/>
      <c r="W41" s="19"/>
      <c r="X41" s="27">
        <v>2894000</v>
      </c>
      <c r="Y41" s="28">
        <v>2</v>
      </c>
      <c r="Z41" s="36">
        <v>57880</v>
      </c>
      <c r="AA41" s="19"/>
      <c r="AB41" s="21" t="s">
        <v>45</v>
      </c>
      <c r="AC41" s="24">
        <v>1141070583</v>
      </c>
      <c r="AD41" s="29">
        <v>45558</v>
      </c>
      <c r="AE41" s="19" t="s">
        <v>46</v>
      </c>
      <c r="AF41" s="19">
        <v>0</v>
      </c>
      <c r="AG41" s="30" t="s">
        <v>1618</v>
      </c>
      <c r="AH41" s="38">
        <v>57880</v>
      </c>
      <c r="AI41" s="37">
        <v>0</v>
      </c>
    </row>
    <row r="42" spans="1:35" x14ac:dyDescent="0.25">
      <c r="A42" s="19">
        <v>41</v>
      </c>
      <c r="B42" s="19" t="s">
        <v>1315</v>
      </c>
      <c r="C42" s="19" t="s">
        <v>1619</v>
      </c>
      <c r="D42" s="20">
        <v>45505</v>
      </c>
      <c r="E42" s="21" t="s">
        <v>35</v>
      </c>
      <c r="F42" s="19" t="s">
        <v>1620</v>
      </c>
      <c r="G42" s="22">
        <v>45517</v>
      </c>
      <c r="H42" s="22">
        <v>45881</v>
      </c>
      <c r="I42" s="35" t="s">
        <v>1621</v>
      </c>
      <c r="J42" s="24">
        <v>3740645120402</v>
      </c>
      <c r="K42" s="35" t="s">
        <v>1327</v>
      </c>
      <c r="L42" s="19" t="s">
        <v>1622</v>
      </c>
      <c r="M42" s="19" t="s">
        <v>1623</v>
      </c>
      <c r="N42" s="19" t="s">
        <v>1624</v>
      </c>
      <c r="O42" s="19" t="s">
        <v>1619</v>
      </c>
      <c r="P42" s="19" t="s">
        <v>42</v>
      </c>
      <c r="Q42" s="19" t="s">
        <v>1625</v>
      </c>
      <c r="R42" s="19" t="s">
        <v>1626</v>
      </c>
      <c r="S42" s="22">
        <v>45524</v>
      </c>
      <c r="T42" s="22">
        <v>47001</v>
      </c>
      <c r="U42" s="26">
        <v>4500000</v>
      </c>
      <c r="V42" s="19"/>
      <c r="W42" s="19"/>
      <c r="X42" s="27">
        <v>4500000</v>
      </c>
      <c r="Y42" s="28">
        <v>1.5</v>
      </c>
      <c r="Z42" s="36">
        <v>67500</v>
      </c>
      <c r="AA42" s="19"/>
      <c r="AB42" s="21" t="s">
        <v>45</v>
      </c>
      <c r="AC42" s="24">
        <v>1141070583</v>
      </c>
      <c r="AD42" s="29">
        <v>45558</v>
      </c>
      <c r="AE42" s="19" t="s">
        <v>46</v>
      </c>
      <c r="AF42" s="19">
        <v>0</v>
      </c>
      <c r="AG42" s="30" t="s">
        <v>1620</v>
      </c>
      <c r="AH42" s="31">
        <v>67500</v>
      </c>
      <c r="AI42" s="37">
        <v>0</v>
      </c>
    </row>
    <row r="43" spans="1:35" x14ac:dyDescent="0.25">
      <c r="Z43" s="39">
        <f>SUBTOTAL(9,Z2:Z42)</f>
        <v>2346435</v>
      </c>
      <c r="AH43" s="39">
        <f>SUBTOTAL(9,AH2:AH42)</f>
        <v>2346435</v>
      </c>
    </row>
  </sheetData>
  <conditionalFormatting sqref="M2:N25">
    <cfRule type="duplicateValues" dxfId="8" priority="3" stopIfTrue="1"/>
    <cfRule type="duplicateValues" dxfId="7" priority="4" stopIfTrue="1"/>
  </conditionalFormatting>
  <conditionalFormatting sqref="M26:N42">
    <cfRule type="duplicateValues" dxfId="6" priority="1" stopIfTrue="1"/>
    <cfRule type="duplicateValues" dxfId="5" priority="2" stopIfTrue="1"/>
  </conditionalFormatting>
  <conditionalFormatting sqref="N2:N42">
    <cfRule type="duplicateValues" dxfId="4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Aug-Renewal</vt:lpstr>
      <vt:lpstr>Working</vt:lpstr>
      <vt:lpstr>Sheet2</vt:lpstr>
      <vt:lpstr>Aug-Fresh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obaid.gulraiz@salaamtakaful.com</dc:creator>
  <cp:lastModifiedBy>IT User Software</cp:lastModifiedBy>
  <dcterms:created xsi:type="dcterms:W3CDTF">2024-09-30T12:30:18Z</dcterms:created>
  <dcterms:modified xsi:type="dcterms:W3CDTF">2024-10-01T11:01:45Z</dcterms:modified>
</cp:coreProperties>
</file>