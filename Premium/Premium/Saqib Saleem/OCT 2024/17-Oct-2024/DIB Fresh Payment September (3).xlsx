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emium\Premium\Saqib Saleem\17-Oct-2024\"/>
    </mc:Choice>
  </mc:AlternateContent>
  <xr:revisionPtr revIDLastSave="0" documentId="13_ncr:1_{2345C00E-C680-45F0-BD43-E93CB2D3D3C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AYMENT ON MONTH OF SEP-2024" sheetId="1" r:id="rId1"/>
    <sheet name="working" sheetId="2" r:id="rId2"/>
    <sheet name="Sheet2" sheetId="3" r:id="rId3"/>
    <sheet name="policy" sheetId="4" r:id="rId4"/>
  </sheets>
  <definedNames>
    <definedName name="_xlnm._FilterDatabase" localSheetId="0" hidden="1">'PAYMENT ON MONTH OF SEP-2024'!$A$1:$M$69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C71" i="2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1" i="3"/>
  <c r="F2" i="2"/>
  <c r="D2" i="2"/>
  <c r="H2" i="2" l="1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2" i="1"/>
  <c r="F71" i="1"/>
</calcChain>
</file>

<file path=xl/sharedStrings.xml><?xml version="1.0" encoding="utf-8"?>
<sst xmlns="http://schemas.openxmlformats.org/spreadsheetml/2006/main" count="1177" uniqueCount="564">
  <si>
    <t>Contract No.</t>
  </si>
  <si>
    <t>Customer Name</t>
  </si>
  <si>
    <t>CNIC No.</t>
  </si>
  <si>
    <t>Engine No.</t>
  </si>
  <si>
    <t>Chassis No.</t>
  </si>
  <si>
    <t>Premium</t>
  </si>
  <si>
    <t>ACC Number</t>
  </si>
  <si>
    <t>ACC Branch</t>
  </si>
  <si>
    <t>INSURANCE CO.</t>
  </si>
  <si>
    <t>0006437055</t>
  </si>
  <si>
    <t>106</t>
  </si>
  <si>
    <t>SALAAM TAKAFUL PAKISTAN</t>
  </si>
  <si>
    <t>9976AD1241860001</t>
  </si>
  <si>
    <t>SADIA AHMAD</t>
  </si>
  <si>
    <t>35202-2823405-2</t>
  </si>
  <si>
    <t>RR042809</t>
  </si>
  <si>
    <t>9976AD2241940002</t>
  </si>
  <si>
    <t>TARIQ YASIN</t>
  </si>
  <si>
    <t>37405-0358900-5</t>
  </si>
  <si>
    <t>1011767</t>
  </si>
  <si>
    <t>9976AD2242000001</t>
  </si>
  <si>
    <t>AWAIS RASOOL</t>
  </si>
  <si>
    <t>42101-5146931-3</t>
  </si>
  <si>
    <t>00204820</t>
  </si>
  <si>
    <t>9976AD2242200001</t>
  </si>
  <si>
    <t>TASADDAQ HUSSAIN</t>
  </si>
  <si>
    <t>42000-6469953-7</t>
  </si>
  <si>
    <t>1001505</t>
  </si>
  <si>
    <t>9976AD2242210002</t>
  </si>
  <si>
    <t>SHAFQAT ALI MUGHAL</t>
  </si>
  <si>
    <t>37405-2510478-9</t>
  </si>
  <si>
    <t>9976AD2242250003</t>
  </si>
  <si>
    <t>RANA MUHAMMAD INAYAT</t>
  </si>
  <si>
    <t>42201-7929227-9</t>
  </si>
  <si>
    <t>6R317898</t>
  </si>
  <si>
    <t>1217898</t>
  </si>
  <si>
    <t>9976AD2242710003</t>
  </si>
  <si>
    <t>KASHIF AMIN</t>
  </si>
  <si>
    <t>33100-9057674-3</t>
  </si>
  <si>
    <t>713879</t>
  </si>
  <si>
    <t>9976AP1242540002</t>
  </si>
  <si>
    <t>ALI HASSAN</t>
  </si>
  <si>
    <t>35201-5340014-3</t>
  </si>
  <si>
    <t>6R148453</t>
  </si>
  <si>
    <t>1048447</t>
  </si>
  <si>
    <t>9976AP1242550007</t>
  </si>
  <si>
    <t>FAIZA ZAMIR</t>
  </si>
  <si>
    <t>35202-5368224-0</t>
  </si>
  <si>
    <t>6R318352</t>
  </si>
  <si>
    <t>1218285</t>
  </si>
  <si>
    <t>9976AP1242600003</t>
  </si>
  <si>
    <t>SYED SALAR ANJUM</t>
  </si>
  <si>
    <t>35202-5857849-3</t>
  </si>
  <si>
    <t>R023788</t>
  </si>
  <si>
    <t>9976AP1242640009</t>
  </si>
  <si>
    <t>DANIYAL NOOR HASAN SIDDIQUI</t>
  </si>
  <si>
    <t>42101-1333164-5</t>
  </si>
  <si>
    <t>081889</t>
  </si>
  <si>
    <t>9976AP1242740001</t>
  </si>
  <si>
    <t>IFTIKHAR AHMAD</t>
  </si>
  <si>
    <t>33100-0784042-9</t>
  </si>
  <si>
    <t>6R320450</t>
  </si>
  <si>
    <t>1220461</t>
  </si>
  <si>
    <t>9976AP1242740003</t>
  </si>
  <si>
    <t>ADEEM CHOUDHARY</t>
  </si>
  <si>
    <t>35201-7087590-1</t>
  </si>
  <si>
    <t>1000588</t>
  </si>
  <si>
    <t>9976AP1242740009</t>
  </si>
  <si>
    <t>SHEIKH AATIR AZIZ</t>
  </si>
  <si>
    <t>42301-3871601-9</t>
  </si>
  <si>
    <t>6R321578</t>
  </si>
  <si>
    <t>1221592</t>
  </si>
  <si>
    <t>9976AP2242500001</t>
  </si>
  <si>
    <t>UBAID UR REHMAN</t>
  </si>
  <si>
    <t>17201-0396779-7</t>
  </si>
  <si>
    <t>2A37718</t>
  </si>
  <si>
    <t>9513941</t>
  </si>
  <si>
    <t>9976AP2242530002</t>
  </si>
  <si>
    <t>MUHAMMAD NAWAZ</t>
  </si>
  <si>
    <t>33102-4869711-5</t>
  </si>
  <si>
    <t>Z464226</t>
  </si>
  <si>
    <t>4091045</t>
  </si>
  <si>
    <t>9976AP2242530003</t>
  </si>
  <si>
    <t>AHMAD SULTAN</t>
  </si>
  <si>
    <t>37405-0570309-1</t>
  </si>
  <si>
    <t>110962</t>
  </si>
  <si>
    <t>1001032</t>
  </si>
  <si>
    <t>9976AP2242540002</t>
  </si>
  <si>
    <t>AZMAT ALI SIDDIQUI</t>
  </si>
  <si>
    <t>42101-1654854-9</t>
  </si>
  <si>
    <t>1056943</t>
  </si>
  <si>
    <t>9976AP2242560004</t>
  </si>
  <si>
    <t>FARID UDDIN</t>
  </si>
  <si>
    <t>42101-4104088-7</t>
  </si>
  <si>
    <t>4137754</t>
  </si>
  <si>
    <t>9976AP2242680001</t>
  </si>
  <si>
    <t>ZOHAIB AHMAD</t>
  </si>
  <si>
    <t>37405-8476025-5</t>
  </si>
  <si>
    <t>1081203</t>
  </si>
  <si>
    <t>9976AP2242700003</t>
  </si>
  <si>
    <t>SHAHZAD</t>
  </si>
  <si>
    <t>35202-4833053-3</t>
  </si>
  <si>
    <t>6R150682</t>
  </si>
  <si>
    <t>1050674</t>
  </si>
  <si>
    <t>9976AP2242740001</t>
  </si>
  <si>
    <t>MUHAMMAD ABDULLAH</t>
  </si>
  <si>
    <t>33102-2848810-5</t>
  </si>
  <si>
    <t>10002382</t>
  </si>
  <si>
    <t>9976AP2242740002</t>
  </si>
  <si>
    <t>FOZIA PARVEEN</t>
  </si>
  <si>
    <t>42000-5927937-4</t>
  </si>
  <si>
    <t>6R219992</t>
  </si>
  <si>
    <t>1120018</t>
  </si>
  <si>
    <t>9976AP2242740003</t>
  </si>
  <si>
    <t>MUHAMMAD TAHIR</t>
  </si>
  <si>
    <t>33100-1624912-1</t>
  </si>
  <si>
    <t>10145206</t>
  </si>
  <si>
    <t>9976AP2242740005</t>
  </si>
  <si>
    <t>MUHAMMAD AJMAD</t>
  </si>
  <si>
    <t>35201-7015303-7</t>
  </si>
  <si>
    <t>6R177739</t>
  </si>
  <si>
    <t>1077726</t>
  </si>
  <si>
    <t>997AFRA242440007</t>
  </si>
  <si>
    <t>MUHAMMAD WAQAS</t>
  </si>
  <si>
    <t>33103-5338379-3</t>
  </si>
  <si>
    <t>63S00204709</t>
  </si>
  <si>
    <t>997AFRA242630004</t>
  </si>
  <si>
    <t>IMRAN ZIA</t>
  </si>
  <si>
    <t>33100-4273187-5</t>
  </si>
  <si>
    <t>6140073</t>
  </si>
  <si>
    <t>997AFRR242490003</t>
  </si>
  <si>
    <t>ABDUL GHAFAR</t>
  </si>
  <si>
    <t>35202-7188241-9</t>
  </si>
  <si>
    <t>10080363</t>
  </si>
  <si>
    <t>997AFRR242490004</t>
  </si>
  <si>
    <t>MUHAMMAD HUSNAIN RAFIQ</t>
  </si>
  <si>
    <t>35201-0223433-5</t>
  </si>
  <si>
    <t>183524</t>
  </si>
  <si>
    <t>997AFRR242490006</t>
  </si>
  <si>
    <t>MUHAMMAD SADIQ MEHBOOB</t>
  </si>
  <si>
    <t>35201-1559495-9</t>
  </si>
  <si>
    <t>R029235</t>
  </si>
  <si>
    <t>997AFRR242530001</t>
  </si>
  <si>
    <t>ABU BAKAR</t>
  </si>
  <si>
    <t>35202-6578899-7</t>
  </si>
  <si>
    <t>R193182</t>
  </si>
  <si>
    <t>997AFRR242530002</t>
  </si>
  <si>
    <t>SYED INTAZAR HUSSAIN SHAH</t>
  </si>
  <si>
    <t>36501-2351500-5</t>
  </si>
  <si>
    <t>10085328</t>
  </si>
  <si>
    <t>997AFRR242550006</t>
  </si>
  <si>
    <t>ANILA ANJUM</t>
  </si>
  <si>
    <t>42101-0997519-2</t>
  </si>
  <si>
    <t>R-271032</t>
  </si>
  <si>
    <t>997AFRR242560009</t>
  </si>
  <si>
    <t>NASREEN BEGUM</t>
  </si>
  <si>
    <t>34602-1851864-4</t>
  </si>
  <si>
    <t>10027231</t>
  </si>
  <si>
    <t>997AFRR242560011</t>
  </si>
  <si>
    <t>HABIB UR REHMAN</t>
  </si>
  <si>
    <t>81202-5043368-5</t>
  </si>
  <si>
    <t>505519</t>
  </si>
  <si>
    <t>997AFRR242570013</t>
  </si>
  <si>
    <t>MUBASHIR TUFAIL BAJWA</t>
  </si>
  <si>
    <t>35202-1790791-7</t>
  </si>
  <si>
    <t>10142752</t>
  </si>
  <si>
    <t>997AFRR242600001</t>
  </si>
  <si>
    <t>MUHAMMAD SALEEM</t>
  </si>
  <si>
    <t>36302-5754908-7</t>
  </si>
  <si>
    <t>2A15501</t>
  </si>
  <si>
    <t>9506204</t>
  </si>
  <si>
    <t>997AFRR242620006</t>
  </si>
  <si>
    <t>HAMZA KHALID</t>
  </si>
  <si>
    <t>35201-3157711-3</t>
  </si>
  <si>
    <t>GR000121</t>
  </si>
  <si>
    <t>997AFRR242620007</t>
  </si>
  <si>
    <t>MUHAMMAD ISMAIL KHAN</t>
  </si>
  <si>
    <t>21103-5742819-5</t>
  </si>
  <si>
    <t>7039237</t>
  </si>
  <si>
    <t>997AFRR242620009</t>
  </si>
  <si>
    <t>USMAN ANWAR</t>
  </si>
  <si>
    <t>35202-9162749-1</t>
  </si>
  <si>
    <t>10094126</t>
  </si>
  <si>
    <t>997AFRR242670022</t>
  </si>
  <si>
    <t>MUHAMMAD ABAID ULLAH KHAN</t>
  </si>
  <si>
    <t>61101-8451116-1</t>
  </si>
  <si>
    <t>7961</t>
  </si>
  <si>
    <t>997AFRR242670024</t>
  </si>
  <si>
    <t>MUHAMMAD AMEEN</t>
  </si>
  <si>
    <t>33100-3509997-5</t>
  </si>
  <si>
    <t>216940</t>
  </si>
  <si>
    <t>997AFRR242680001</t>
  </si>
  <si>
    <t>CHAUDHRY MUHAMMAD ALI KATHIA</t>
  </si>
  <si>
    <t>35202-0739167-7</t>
  </si>
  <si>
    <t>1219587</t>
  </si>
  <si>
    <t>997AFRR242690004</t>
  </si>
  <si>
    <t>OBAID UR REHMAN</t>
  </si>
  <si>
    <t>37405-2073480-7</t>
  </si>
  <si>
    <t>RR042659</t>
  </si>
  <si>
    <t>997AFRR242700007</t>
  </si>
  <si>
    <t>FAISAL MAHMOOD</t>
  </si>
  <si>
    <t>33102-1791242-3</t>
  </si>
  <si>
    <t>245682</t>
  </si>
  <si>
    <t>997AFRR242700008</t>
  </si>
  <si>
    <t>MUHAMMAD USMAN</t>
  </si>
  <si>
    <t>33100-1992698-5</t>
  </si>
  <si>
    <t>210442</t>
  </si>
  <si>
    <t>997AFRR242700015</t>
  </si>
  <si>
    <t>MUHAMMAD WALI</t>
  </si>
  <si>
    <t>35202-1514531-7</t>
  </si>
  <si>
    <t>R020860</t>
  </si>
  <si>
    <t>997AFRR242710018</t>
  </si>
  <si>
    <t>MUHAMMAD REHAN</t>
  </si>
  <si>
    <t>35202-3243800-9</t>
  </si>
  <si>
    <t>HH301354</t>
  </si>
  <si>
    <t>18001522</t>
  </si>
  <si>
    <t>997AFRR242740005</t>
  </si>
  <si>
    <t>ARSALAN ANJUM</t>
  </si>
  <si>
    <t>35202-4173832-7</t>
  </si>
  <si>
    <t>1179229</t>
  </si>
  <si>
    <t>997AFRR242740008</t>
  </si>
  <si>
    <t>MUHAMMAD OBAID ULLAH BILAL</t>
  </si>
  <si>
    <t>33100-5153563-7</t>
  </si>
  <si>
    <t>63S00104754</t>
  </si>
  <si>
    <t>997AFRR242740009</t>
  </si>
  <si>
    <t>TAIMOOR SHAYAN</t>
  </si>
  <si>
    <t>34101-3746148-5</t>
  </si>
  <si>
    <t>10043226</t>
  </si>
  <si>
    <t>997AFRR242740017</t>
  </si>
  <si>
    <t>QASIM AZZAM BHUTTA</t>
  </si>
  <si>
    <t>61101-3376719-1</t>
  </si>
  <si>
    <t>1221671</t>
  </si>
  <si>
    <t>997AFRR242740019</t>
  </si>
  <si>
    <t>SYED NAJAM ABBAS</t>
  </si>
  <si>
    <t>42201-2668917-7</t>
  </si>
  <si>
    <t>713946</t>
  </si>
  <si>
    <t>997AFRR242740021</t>
  </si>
  <si>
    <t>ASGHER ALI</t>
  </si>
  <si>
    <t>35201-9764541-7</t>
  </si>
  <si>
    <t>R050147</t>
  </si>
  <si>
    <t>997AFRR242740025</t>
  </si>
  <si>
    <t>ZAIN UL ABIDEEN</t>
  </si>
  <si>
    <t>37405-8799445-9</t>
  </si>
  <si>
    <t>1221883</t>
  </si>
  <si>
    <t>997AFRR242740026</t>
  </si>
  <si>
    <t>AWAIS AKBAR</t>
  </si>
  <si>
    <t>35202-4445546-5</t>
  </si>
  <si>
    <t>R012870</t>
  </si>
  <si>
    <t>997AFRR242740027</t>
  </si>
  <si>
    <t>SALMAN RIAZ CHAUDHARY</t>
  </si>
  <si>
    <t>35202-5365165-3</t>
  </si>
  <si>
    <t>10048568</t>
  </si>
  <si>
    <t>997AFRR242750005</t>
  </si>
  <si>
    <t>MUHAMMAD</t>
  </si>
  <si>
    <t>42301-5158444-9</t>
  </si>
  <si>
    <t>008706</t>
  </si>
  <si>
    <t>997AFRR242770008</t>
  </si>
  <si>
    <t>NUSRAT ALI RAQIB</t>
  </si>
  <si>
    <t>33100-8345289-9</t>
  </si>
  <si>
    <t>6R318603</t>
  </si>
  <si>
    <t>1218465</t>
  </si>
  <si>
    <t>997AFRR242770009</t>
  </si>
  <si>
    <t>ZEESHAN AHMAD</t>
  </si>
  <si>
    <t>36601-4129312-3</t>
  </si>
  <si>
    <t>17502699</t>
  </si>
  <si>
    <t>R212981</t>
  </si>
  <si>
    <t>997APD1242570001</t>
  </si>
  <si>
    <t>MUHAMMAD ZAIN NAEEM</t>
  </si>
  <si>
    <t>36302-1701748-9</t>
  </si>
  <si>
    <t>10054996</t>
  </si>
  <si>
    <t>997APD1242740001</t>
  </si>
  <si>
    <t>ZAHID ABDUL HAQ</t>
  </si>
  <si>
    <t>35202-7159149-3</t>
  </si>
  <si>
    <t>6R319104</t>
  </si>
  <si>
    <t>1219138</t>
  </si>
  <si>
    <t>997APD1242740003</t>
  </si>
  <si>
    <t>SYED FAROOQ UL HASSAN SHAH</t>
  </si>
  <si>
    <t>35201-9527669-3</t>
  </si>
  <si>
    <t>6R233611</t>
  </si>
  <si>
    <t>1133549</t>
  </si>
  <si>
    <t>997APD2242550001</t>
  </si>
  <si>
    <t>MUHAMMAD SALMAN SARWAR</t>
  </si>
  <si>
    <t>33100-6933331-9</t>
  </si>
  <si>
    <t>R000643</t>
  </si>
  <si>
    <t>997APD2242570002</t>
  </si>
  <si>
    <t>ZAHEER AHMAD</t>
  </si>
  <si>
    <t>34102-0666321-5</t>
  </si>
  <si>
    <t>6R285120</t>
  </si>
  <si>
    <t>1185074</t>
  </si>
  <si>
    <t>997APD2242620001</t>
  </si>
  <si>
    <t>MUHAMMAD IMRAN</t>
  </si>
  <si>
    <t>33102-6484628-9</t>
  </si>
  <si>
    <t>10096749</t>
  </si>
  <si>
    <t>997APD2242700002</t>
  </si>
  <si>
    <t>33100-8611256-1</t>
  </si>
  <si>
    <t>Q323786</t>
  </si>
  <si>
    <t>7022911</t>
  </si>
  <si>
    <t>997APD2242740001</t>
  </si>
  <si>
    <t>SALEEMA</t>
  </si>
  <si>
    <t>36601-4730414-8</t>
  </si>
  <si>
    <t>1219231</t>
  </si>
  <si>
    <t>Policy # 2024</t>
  </si>
  <si>
    <t>Difference</t>
  </si>
  <si>
    <t>Tms Prem</t>
  </si>
  <si>
    <t>L12B51026411</t>
  </si>
  <si>
    <t>JL473QFR3CAD517802</t>
  </si>
  <si>
    <t>NF1AET306H-1218684</t>
  </si>
  <si>
    <t>6R318660</t>
  </si>
  <si>
    <t>L15Z81010474</t>
  </si>
  <si>
    <t>R18Z16929318</t>
  </si>
  <si>
    <t>JL4732Q7RN8AT226244</t>
  </si>
  <si>
    <t>6R156960</t>
  </si>
  <si>
    <t>Z511574</t>
  </si>
  <si>
    <t>PK10K102388</t>
  </si>
  <si>
    <t>PK10B245206</t>
  </si>
  <si>
    <t>K12MR1022007</t>
  </si>
  <si>
    <t>NFPA24U96RP001875</t>
  </si>
  <si>
    <t>PK10B180359</t>
  </si>
  <si>
    <t>L13Z17443060</t>
  </si>
  <si>
    <t>R18Z12925897</t>
  </si>
  <si>
    <t>L13Z17451256</t>
  </si>
  <si>
    <t>PK10K185350</t>
  </si>
  <si>
    <t>L15A79801588</t>
  </si>
  <si>
    <t>PK10B127222</t>
  </si>
  <si>
    <t>PK10B242756</t>
  </si>
  <si>
    <t>R18Z12900071</t>
  </si>
  <si>
    <t>PK10B194132</t>
  </si>
  <si>
    <t>L13Z17506004</t>
  </si>
  <si>
    <t>L13Z17505439</t>
  </si>
  <si>
    <t>L13Z17527780</t>
  </si>
  <si>
    <t>G4NANU238805</t>
  </si>
  <si>
    <t>R18Z12917491</t>
  </si>
  <si>
    <t>6R279184</t>
  </si>
  <si>
    <t>K12MR1004858</t>
  </si>
  <si>
    <t>PKS13043226</t>
  </si>
  <si>
    <t>G3LARP035615</t>
  </si>
  <si>
    <t>R18Z12946720</t>
  </si>
  <si>
    <t>R18Z12909677</t>
  </si>
  <si>
    <t>PKS13048580</t>
  </si>
  <si>
    <t>R18Z12906152</t>
  </si>
  <si>
    <t>PK10B155015</t>
  </si>
  <si>
    <t>R18Z12900460</t>
  </si>
  <si>
    <t>PK10B196754</t>
  </si>
  <si>
    <t>6R319218</t>
  </si>
  <si>
    <t>KHI/HO/D/MO/PC COMP/C/94739/59/08/2024</t>
  </si>
  <si>
    <t>JL466Q9M69U502705</t>
  </si>
  <si>
    <t>KHI/HO/D/MO/PC COMP/C/96638/52/09/2024</t>
  </si>
  <si>
    <t>KHI/HO/D/MO/PC COMP/C/96638/1/09/2024</t>
  </si>
  <si>
    <t>KHI/HO/D/MO/PC COMP/C/96638/13/09/2024</t>
  </si>
  <si>
    <t>KHI/HO/D/MO/PC COMP/C/96638/33/09/2024</t>
  </si>
  <si>
    <t>KHI/HO/D/MO/PC COMP/C/96638/23/09/2024</t>
  </si>
  <si>
    <t>KHI/HO/D/MO/PC COMP/C/96638/6/09/2024</t>
  </si>
  <si>
    <t>KHI/HO/D/MO/PC COMP/C/96638/12/09/2024</t>
  </si>
  <si>
    <t>KHI/HO/D/MO/PC COMP/C/96638/14/09/2024</t>
  </si>
  <si>
    <t>KHI/HO/D/MO/PC COMP/C/96638/25/09/2024</t>
  </si>
  <si>
    <t>KHI/HO/D/MO/PC COMP/C/96638/31/09/2024</t>
  </si>
  <si>
    <t>KHI/HO/D/MO/PC COMP/C/96638/56/09/2024</t>
  </si>
  <si>
    <t>KHI/HO/D/MO/PC COMP/C/96638/60/09/2024</t>
  </si>
  <si>
    <t>KHI/HO/D/MO/PC COMP/C/96638/67/09/2024</t>
  </si>
  <si>
    <t>KHI/HO/D/MO/PC COMP/C/96638/8/09/2024</t>
  </si>
  <si>
    <t>KHI/HO/D/MO/PC COMP/C/96638/9/09/2024</t>
  </si>
  <si>
    <t>KHI/HO/D/MO/PC COMP/C/96638/15/09/2024</t>
  </si>
  <si>
    <t>KHI/HO/D/MO/PC COMP/C/96638/19/09/2024</t>
  </si>
  <si>
    <t>KHI/HO/D/MO/PC COMP/C/96638/39/09/2024</t>
  </si>
  <si>
    <t>KHI/HO/D/MO/PC COMP/C/96638/43/09/2024</t>
  </si>
  <si>
    <t>KHI/HO/D/MO/PC COMP/C/96638/57/09/2024</t>
  </si>
  <si>
    <t>KHI/HO/D/MO/PC COMP/C/96638/58/09/2024</t>
  </si>
  <si>
    <t>KHI/HO/D/MO/PC COMP/C/96638/66/09/2024</t>
  </si>
  <si>
    <t>KHI/HO/D/MO/PC COMP/C/96638/65/09/2024</t>
  </si>
  <si>
    <t>KHI/HO/D/MO/PC COMP/C/96638/3/09/2024</t>
  </si>
  <si>
    <t>KHI/HO/D/MO/PC COMP/C/96638/53/09/2024</t>
  </si>
  <si>
    <t>KHI/HO/D/MO/PC COMP/C/96638/7/09/2024</t>
  </si>
  <si>
    <t>KHI/HO/D/MO/PC COMP/C/96638/4/09/2024</t>
  </si>
  <si>
    <t>KHI/HO/D/MO/PC COMP/C/96638/2/09/2024</t>
  </si>
  <si>
    <t>KHI/HO/D/MO/PC COMP/C/96638/5/09/2024</t>
  </si>
  <si>
    <t>KHI/HO/D/MO/PC COMP/C/96638/10/09/2024</t>
  </si>
  <si>
    <t>KHI/HO/D/MO/PC COMP/C/96638/18/09/2024</t>
  </si>
  <si>
    <t>KHI/HO/D/MO/PC COMP/C/96638/17/09/2024</t>
  </si>
  <si>
    <t>KHI/HO/D/MO/PC COMP/C/96638/21/09/2024</t>
  </si>
  <si>
    <t>KHI/HO/D/MO/PC COMP/C/96638/24/09/2024</t>
  </si>
  <si>
    <t>KHI/HO/D/MO/PC COMP/C/96638/26/09/2024</t>
  </si>
  <si>
    <t>KHI/HO/D/MO/PC COMP/C/96638/27/09/2024</t>
  </si>
  <si>
    <t>KHI/HO/D/MO/PC COMP/C/96638/30/09/2024</t>
  </si>
  <si>
    <t>KHI/HO/D/MO/PC COMP/C/96638/28/09/2024</t>
  </si>
  <si>
    <t>KHI/HO/D/MO/PC COMP/C/96638/35/09/2024</t>
  </si>
  <si>
    <t>KHI/HO/D/MO/PC COMP/C/96638/37/09/2024</t>
  </si>
  <si>
    <t>KHI/HO/D/MO/PC COMP/C/96638/34/09/2024</t>
  </si>
  <si>
    <t>KHI/HO/D/MO/PC COMP/C/96638/42/09/2024</t>
  </si>
  <si>
    <t>KHI/HO/D/MO/PC COMP/C/96638/49/09/2024</t>
  </si>
  <si>
    <t>KHI/HO/D/MO/PC COMP/C/96638/48/09/2024</t>
  </si>
  <si>
    <t>KHI/HO/D/MO/PC COMP/C/96638/40/09/2024</t>
  </si>
  <si>
    <t>KHI/HO/D/MO/PC COMP/C/96638/38/09/2024</t>
  </si>
  <si>
    <t>KHI/HO/D/MO/PC COMP/C/96638/44/09/2024</t>
  </si>
  <si>
    <t>KHI/HO/D/MO/PC COMP/C/96638/54/09/2024</t>
  </si>
  <si>
    <t>KHI/HO/D/MO/PC COMP/C/96638/51/09/2024</t>
  </si>
  <si>
    <t>KHI/HO/D/MO/PC COMP/C/96638/61/09/2024</t>
  </si>
  <si>
    <t>KHI/HO/D/MO/PC COMP/C/96638/50/09/2024</t>
  </si>
  <si>
    <t>KHI/HO/D/MO/PC COMP/C/96638/59/09/2024</t>
  </si>
  <si>
    <t>KHI/HO/D/MO/PC COMP/C/96638/68/09/2024</t>
  </si>
  <si>
    <t>KHI/HO/D/MO/PC COMP/C/96638/64/09/2024</t>
  </si>
  <si>
    <t>KHI/HO/D/MO/PC COMP/C/96638/63/09/2024</t>
  </si>
  <si>
    <t>KHI/HO/D/MO/PC COMP/C/96638/69/09/2024</t>
  </si>
  <si>
    <t>KHI/HO/D/MO/PC COMP/C/96638/62/09/2024</t>
  </si>
  <si>
    <t>KHI/HO/D/MO/PC COMP/C/96638/22/09/2024</t>
  </si>
  <si>
    <t>KHI/HO/D/MO/PC COMP/C/96638/36/09/2024</t>
  </si>
  <si>
    <t>KHI/HO/D/MO/PC COMP/C/96638/55/09/2024</t>
  </si>
  <si>
    <t>KHI/HO/D/MO/PC COMP/C/96638/16/09/2024</t>
  </si>
  <si>
    <t>KHI/HO/D/MO/PC COMP/C/96638/20/09/2024</t>
  </si>
  <si>
    <t>KHI/HO/D/MO/PC COMP/C/96638/32/09/2024</t>
  </si>
  <si>
    <t>KHI/HO/D/MO/PC COMP/C/96638/47/09/2024</t>
  </si>
  <si>
    <t>KHI/HO/D/MO/PC COMP/P/98824/1/10/2024</t>
  </si>
  <si>
    <t>G3LARP04182</t>
  </si>
  <si>
    <t>KHI/HO/D/MO/PC COMP/P/98824/2/10/2024</t>
  </si>
  <si>
    <t>End. #</t>
  </si>
  <si>
    <t>KHI/HO/D/MO/PC COMP/E/46446/00037/10/2024</t>
  </si>
  <si>
    <t>KHI/HO/D/MO/PC COMP/E/46944/00059/10/2024</t>
  </si>
  <si>
    <t>KHI/HO/D/MO/PC COMP/E/46446/00006/10/2024</t>
  </si>
  <si>
    <t>KHI/HO/D/MO/PC COMP/E/46446/00053/10/2024</t>
  </si>
  <si>
    <t>KHI/HO/D/MO/PC COMP/E/46446/00010/10/2024</t>
  </si>
  <si>
    <t>KHI/HO/D/MO/PC COMP/C/96638/11/09/2024</t>
  </si>
  <si>
    <t>POLICY NO.</t>
  </si>
  <si>
    <t>Assorted_code</t>
  </si>
  <si>
    <t>-09-2024</t>
  </si>
  <si>
    <t>-08-2024</t>
  </si>
  <si>
    <t>-10-2024</t>
  </si>
  <si>
    <t>00001</t>
  </si>
  <si>
    <t>00013</t>
  </si>
  <si>
    <t>00033</t>
  </si>
  <si>
    <t>00059</t>
  </si>
  <si>
    <t>00023</t>
  </si>
  <si>
    <t>00006</t>
  </si>
  <si>
    <t>00012</t>
  </si>
  <si>
    <t>00014</t>
  </si>
  <si>
    <t>00025</t>
  </si>
  <si>
    <t>00031</t>
  </si>
  <si>
    <t>00056</t>
  </si>
  <si>
    <t>00060</t>
  </si>
  <si>
    <t>00067</t>
  </si>
  <si>
    <t>00008</t>
  </si>
  <si>
    <t>00009</t>
  </si>
  <si>
    <t>00011</t>
  </si>
  <si>
    <t>00015</t>
  </si>
  <si>
    <t>00019</t>
  </si>
  <si>
    <t>00039</t>
  </si>
  <si>
    <t>00043</t>
  </si>
  <si>
    <t>00057</t>
  </si>
  <si>
    <t>00058</t>
  </si>
  <si>
    <t>00066</t>
  </si>
  <si>
    <t>00065</t>
  </si>
  <si>
    <t>00003</t>
  </si>
  <si>
    <t>00053</t>
  </si>
  <si>
    <t>00007</t>
  </si>
  <si>
    <t>00004</t>
  </si>
  <si>
    <t>00002</t>
  </si>
  <si>
    <t>00005</t>
  </si>
  <si>
    <t>00010</t>
  </si>
  <si>
    <t>00018</t>
  </si>
  <si>
    <t>00017</t>
  </si>
  <si>
    <t>00021</t>
  </si>
  <si>
    <t>00024</t>
  </si>
  <si>
    <t>00026</t>
  </si>
  <si>
    <t>00027</t>
  </si>
  <si>
    <t>00030</t>
  </si>
  <si>
    <t>00028</t>
  </si>
  <si>
    <t>00035</t>
  </si>
  <si>
    <t>00037</t>
  </si>
  <si>
    <t>00034</t>
  </si>
  <si>
    <t>00042</t>
  </si>
  <si>
    <t>00049</t>
  </si>
  <si>
    <t>00048</t>
  </si>
  <si>
    <t>00040</t>
  </si>
  <si>
    <t>00038</t>
  </si>
  <si>
    <t>00044</t>
  </si>
  <si>
    <t>00054</t>
  </si>
  <si>
    <t>00051</t>
  </si>
  <si>
    <t>00061</t>
  </si>
  <si>
    <t>00050</t>
  </si>
  <si>
    <t>00068</t>
  </si>
  <si>
    <t>00064</t>
  </si>
  <si>
    <t>00063</t>
  </si>
  <si>
    <t>00069</t>
  </si>
  <si>
    <t>00062</t>
  </si>
  <si>
    <t>00022</t>
  </si>
  <si>
    <t>00036</t>
  </si>
  <si>
    <t>00055</t>
  </si>
  <si>
    <t>00016</t>
  </si>
  <si>
    <t>00020</t>
  </si>
  <si>
    <t>00032</t>
  </si>
  <si>
    <t>00047</t>
  </si>
  <si>
    <t>00052</t>
  </si>
  <si>
    <t xml:space="preserve">   </t>
  </si>
  <si>
    <t>FUNC_ASSORTED_STRING(IA.ASSORTED_CODE)</t>
  </si>
  <si>
    <t>ASSORTED_CODE</t>
  </si>
  <si>
    <t>070000165466</t>
  </si>
  <si>
    <t>070000165456</t>
  </si>
  <si>
    <t>070000166123</t>
  </si>
  <si>
    <t>070000166481</t>
  </si>
  <si>
    <t>070000166621</t>
  </si>
  <si>
    <t>070000165248</t>
  </si>
  <si>
    <t>070000165335</t>
  </si>
  <si>
    <t>070000166902</t>
  </si>
  <si>
    <t>070000165303</t>
  </si>
  <si>
    <t>070000165455</t>
  </si>
  <si>
    <t>070000166853</t>
  </si>
  <si>
    <t>070000166854</t>
  </si>
  <si>
    <t>070000165256</t>
  </si>
  <si>
    <t>070000165396</t>
  </si>
  <si>
    <t>070000165527</t>
  </si>
  <si>
    <t>070000165715</t>
  </si>
  <si>
    <t>070000166890</t>
  </si>
  <si>
    <t>070000165387</t>
  </si>
  <si>
    <t>070000165273</t>
  </si>
  <si>
    <t>070000165284</t>
  </si>
  <si>
    <t>070000165578</t>
  </si>
  <si>
    <t>070000164960</t>
  </si>
  <si>
    <t>070000165491</t>
  </si>
  <si>
    <t>070000165518</t>
  </si>
  <si>
    <t>070000166851</t>
  </si>
  <si>
    <t>070000166852</t>
  </si>
  <si>
    <t>070000166867</t>
  </si>
  <si>
    <t>070000165305</t>
  </si>
  <si>
    <t>070000166414</t>
  </si>
  <si>
    <t>070000165285</t>
  </si>
  <si>
    <t>070000165286</t>
  </si>
  <si>
    <t>070000165753</t>
  </si>
  <si>
    <t>070000166623</t>
  </si>
  <si>
    <t>070000165015</t>
  </si>
  <si>
    <t>070000165293</t>
  </si>
  <si>
    <t>070000166610</t>
  </si>
  <si>
    <t>070000165313</t>
  </si>
  <si>
    <t>070000165450</t>
  </si>
  <si>
    <t>070000165250</t>
  </si>
  <si>
    <t>070000165705</t>
  </si>
  <si>
    <t>070000166114</t>
  </si>
  <si>
    <t>070000166429</t>
  </si>
  <si>
    <t>070000166855</t>
  </si>
  <si>
    <t>070000166856</t>
  </si>
  <si>
    <t>070000166858</t>
  </si>
  <si>
    <t>070000166859</t>
  </si>
  <si>
    <t>070000166893</t>
  </si>
  <si>
    <t>070000166637</t>
  </si>
  <si>
    <t>070000165254</t>
  </si>
  <si>
    <t>070000166891</t>
  </si>
  <si>
    <t>070000166903</t>
  </si>
  <si>
    <t>070000165652</t>
  </si>
  <si>
    <t>070000165512</t>
  </si>
  <si>
    <t>070000165447</t>
  </si>
  <si>
    <t>070000165449</t>
  </si>
  <si>
    <t>070000166128</t>
  </si>
  <si>
    <t>070000165414</t>
  </si>
  <si>
    <t>070000166894</t>
  </si>
  <si>
    <t>070000165002</t>
  </si>
  <si>
    <t>070000165508</t>
  </si>
  <si>
    <t>070000165509</t>
  </si>
  <si>
    <t>070000165252</t>
  </si>
  <si>
    <t>070000166850</t>
  </si>
  <si>
    <t>070000166878</t>
  </si>
  <si>
    <t>070000166879</t>
  </si>
  <si>
    <t>070000166880</t>
  </si>
  <si>
    <t>KHI/HO/D/MO/PC COMP/C/98824/1/10/2024</t>
  </si>
  <si>
    <t>070000166940</t>
  </si>
  <si>
    <t>KHI/HO/D/MO/PC COMP/C/98824/2/10/2024</t>
  </si>
  <si>
    <t>070000166941</t>
  </si>
  <si>
    <t>14Oct240094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</si>
</sst>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#,##0_);\(#,##0\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 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  <font>
      <sz val="11"/>
      <color rgb="FF1F497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1" fillId="0" borderId="0"/>
    <xf numFmtId="164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right"/>
    </xf>
    <xf numFmtId="165" fontId="0" fillId="0" borderId="1" xfId="1" applyNumberFormat="1" applyFont="1" applyBorder="1"/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165" fontId="0" fillId="0" borderId="1" xfId="0" applyNumberFormat="1" applyBorder="1"/>
    <xf numFmtId="0" fontId="0" fillId="0" borderId="1" xfId="0" applyBorder="1" applyAlignment="1">
      <alignment vertical="top"/>
    </xf>
    <xf numFmtId="165" fontId="0" fillId="0" borderId="1" xfId="1" applyNumberFormat="1" applyFont="1" applyBorder="1" applyAlignment="1">
      <alignment vertical="top"/>
    </xf>
    <xf numFmtId="166" fontId="0" fillId="0" borderId="0" xfId="0" applyNumberFormat="1" applyAlignment="1">
      <alignment vertical="top"/>
    </xf>
    <xf numFmtId="165" fontId="2" fillId="2" borderId="1" xfId="0" applyNumberFormat="1" applyFont="1" applyFill="1" applyBorder="1"/>
    <xf numFmtId="0" fontId="2" fillId="0" borderId="1" xfId="0" applyFont="1" applyBorder="1" applyAlignment="1">
      <alignment horizontal="center"/>
    </xf>
    <xf numFmtId="165" fontId="4" fillId="0" borderId="0" xfId="1" applyNumberFormat="1" applyFont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wrapText="1"/>
    </xf>
    <xf numFmtId="0" fontId="5" fillId="0" borderId="0" xfId="0" applyFont="1"/>
    <xf numFmtId="165" fontId="0" fillId="0" borderId="0" xfId="0" applyNumberFormat="1"/>
    <xf numFmtId="49" fontId="0" fillId="0" borderId="0" xfId="0" applyNumberFormat="1" applyAlignment="1">
      <alignment vertical="top"/>
    </xf>
    <xf numFmtId="0" fontId="6" fillId="0" borderId="0" xfId="0" applyFont="1"/>
  </cellXfs>
  <cellStyles count="5">
    <cellStyle name="Comma" xfId="1" builtinId="3"/>
    <cellStyle name="Comma 2" xfId="4" xr:uid="{00000000-0005-0000-0000-000001000000}"/>
    <cellStyle name="Normal" xfId="0" builtinId="0"/>
    <cellStyle name="Normal 2" xfId="2" xr:uid="{00000000-0005-0000-0000-000003000000}"/>
    <cellStyle name="Normal 2 2" xfId="3" xr:uid="{00000000-0005-0000-0000-000004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1"/>
  <sheetViews>
    <sheetView topLeftCell="A49" zoomScale="85" zoomScaleNormal="85" workbookViewId="0">
      <selection activeCell="F69" sqref="F2:F69"/>
    </sheetView>
  </sheetViews>
  <sheetFormatPr defaultColWidth="108.140625" defaultRowHeight="15"/>
  <cols>
    <col min="1" max="1" width="18.140625" bestFit="1" customWidth="1"/>
    <col min="2" max="2" width="29" customWidth="1"/>
    <col min="3" max="3" width="15.7109375" bestFit="1" customWidth="1"/>
    <col min="4" max="4" width="19.140625" bestFit="1" customWidth="1"/>
    <col min="5" max="5" width="14.7109375" customWidth="1"/>
    <col min="6" max="6" width="11.28515625" customWidth="1"/>
    <col min="7" max="7" width="12.140625" customWidth="1"/>
    <col min="8" max="8" width="10.7109375" customWidth="1"/>
    <col min="9" max="9" width="25.28515625" bestFit="1" customWidth="1"/>
    <col min="10" max="10" width="41.7109375" bestFit="1" customWidth="1"/>
    <col min="11" max="11" width="45" bestFit="1" customWidth="1"/>
    <col min="12" max="12" width="13.42578125" bestFit="1" customWidth="1"/>
    <col min="13" max="13" width="18.42578125" bestFit="1" customWidth="1"/>
    <col min="14" max="14" width="6.42578125" bestFit="1" customWidth="1"/>
    <col min="15" max="15" width="13.28515625" bestFit="1" customWidth="1"/>
    <col min="16" max="16" width="9.42578125" bestFit="1" customWidth="1"/>
    <col min="17" max="17" width="10.425781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301</v>
      </c>
      <c r="K1" s="1" t="s">
        <v>413</v>
      </c>
      <c r="L1" s="1" t="s">
        <v>303</v>
      </c>
      <c r="M1" s="1" t="s">
        <v>302</v>
      </c>
    </row>
    <row r="2" spans="1:13">
      <c r="A2" s="2" t="s">
        <v>12</v>
      </c>
      <c r="B2" s="2" t="s">
        <v>13</v>
      </c>
      <c r="C2" s="2" t="s">
        <v>14</v>
      </c>
      <c r="D2" s="5" t="s">
        <v>304</v>
      </c>
      <c r="E2" s="3" t="s">
        <v>15</v>
      </c>
      <c r="F2" s="4">
        <v>83160</v>
      </c>
      <c r="G2" s="2" t="s">
        <v>9</v>
      </c>
      <c r="H2" s="2" t="s">
        <v>10</v>
      </c>
      <c r="I2" s="2" t="s">
        <v>11</v>
      </c>
      <c r="J2" s="2" t="s">
        <v>347</v>
      </c>
      <c r="K2" s="2"/>
      <c r="L2" s="4">
        <v>83160</v>
      </c>
      <c r="M2" s="7">
        <f t="shared" ref="M2:M33" si="0">F2-L2</f>
        <v>0</v>
      </c>
    </row>
    <row r="3" spans="1:13">
      <c r="A3" s="2" t="s">
        <v>16</v>
      </c>
      <c r="B3" s="2" t="s">
        <v>17</v>
      </c>
      <c r="C3" s="2" t="s">
        <v>18</v>
      </c>
      <c r="D3" s="5" t="s">
        <v>305</v>
      </c>
      <c r="E3" s="3" t="s">
        <v>19</v>
      </c>
      <c r="F3" s="4">
        <v>79608</v>
      </c>
      <c r="G3" s="2" t="s">
        <v>9</v>
      </c>
      <c r="H3" s="2" t="s">
        <v>10</v>
      </c>
      <c r="I3" s="2" t="s">
        <v>11</v>
      </c>
      <c r="J3" s="2" t="s">
        <v>348</v>
      </c>
      <c r="K3" s="2"/>
      <c r="L3" s="4">
        <v>79608</v>
      </c>
      <c r="M3" s="7">
        <f t="shared" si="0"/>
        <v>0</v>
      </c>
    </row>
    <row r="4" spans="1:13">
      <c r="A4" s="2" t="s">
        <v>20</v>
      </c>
      <c r="B4" s="2" t="s">
        <v>21</v>
      </c>
      <c r="C4" s="2" t="s">
        <v>22</v>
      </c>
      <c r="D4" s="5">
        <v>1022150</v>
      </c>
      <c r="E4" s="3" t="s">
        <v>23</v>
      </c>
      <c r="F4" s="4">
        <v>82583</v>
      </c>
      <c r="G4" s="2" t="s">
        <v>9</v>
      </c>
      <c r="H4" s="2" t="s">
        <v>10</v>
      </c>
      <c r="I4" s="2" t="s">
        <v>11</v>
      </c>
      <c r="J4" s="2" t="s">
        <v>349</v>
      </c>
      <c r="K4" s="2"/>
      <c r="L4" s="4">
        <v>82583</v>
      </c>
      <c r="M4" s="7">
        <f t="shared" si="0"/>
        <v>0</v>
      </c>
    </row>
    <row r="5" spans="1:13">
      <c r="A5" s="2" t="s">
        <v>24</v>
      </c>
      <c r="B5" s="2" t="s">
        <v>25</v>
      </c>
      <c r="C5" s="2" t="s">
        <v>26</v>
      </c>
      <c r="D5" s="6" t="s">
        <v>345</v>
      </c>
      <c r="E5" s="3" t="s">
        <v>27</v>
      </c>
      <c r="F5" s="4">
        <v>59980</v>
      </c>
      <c r="G5" s="2" t="s">
        <v>9</v>
      </c>
      <c r="H5" s="2" t="s">
        <v>10</v>
      </c>
      <c r="I5" s="2" t="s">
        <v>11</v>
      </c>
      <c r="J5" s="8" t="s">
        <v>344</v>
      </c>
      <c r="K5" s="2" t="s">
        <v>415</v>
      </c>
      <c r="L5" s="9">
        <v>52483</v>
      </c>
      <c r="M5" s="7">
        <f t="shared" si="0"/>
        <v>7497</v>
      </c>
    </row>
    <row r="6" spans="1:13">
      <c r="A6" s="2" t="s">
        <v>28</v>
      </c>
      <c r="B6" s="2" t="s">
        <v>29</v>
      </c>
      <c r="C6" s="2" t="s">
        <v>30</v>
      </c>
      <c r="D6" s="5" t="s">
        <v>307</v>
      </c>
      <c r="E6" s="6" t="s">
        <v>306</v>
      </c>
      <c r="F6" s="4">
        <v>47373</v>
      </c>
      <c r="G6" s="2" t="s">
        <v>9</v>
      </c>
      <c r="H6" s="2" t="s">
        <v>10</v>
      </c>
      <c r="I6" s="2" t="s">
        <v>11</v>
      </c>
      <c r="J6" s="2" t="s">
        <v>350</v>
      </c>
      <c r="K6" s="2"/>
      <c r="L6" s="4">
        <v>47373</v>
      </c>
      <c r="M6" s="7">
        <f t="shared" si="0"/>
        <v>0</v>
      </c>
    </row>
    <row r="7" spans="1:13">
      <c r="A7" s="2" t="s">
        <v>31</v>
      </c>
      <c r="B7" s="2" t="s">
        <v>32</v>
      </c>
      <c r="C7" s="2" t="s">
        <v>33</v>
      </c>
      <c r="D7" s="3" t="s">
        <v>34</v>
      </c>
      <c r="E7" s="3" t="s">
        <v>35</v>
      </c>
      <c r="F7" s="4">
        <v>54140</v>
      </c>
      <c r="G7" s="2" t="s">
        <v>9</v>
      </c>
      <c r="H7" s="2" t="s">
        <v>10</v>
      </c>
      <c r="I7" s="2" t="s">
        <v>11</v>
      </c>
      <c r="J7" s="2" t="s">
        <v>351</v>
      </c>
      <c r="K7" s="2" t="s">
        <v>416</v>
      </c>
      <c r="L7" s="4">
        <v>47373</v>
      </c>
      <c r="M7" s="7">
        <f t="shared" si="0"/>
        <v>6767</v>
      </c>
    </row>
    <row r="8" spans="1:13">
      <c r="A8" s="2" t="s">
        <v>36</v>
      </c>
      <c r="B8" s="2" t="s">
        <v>37</v>
      </c>
      <c r="C8" s="2" t="s">
        <v>38</v>
      </c>
      <c r="D8" s="3" t="s">
        <v>411</v>
      </c>
      <c r="E8" s="3" t="s">
        <v>39</v>
      </c>
      <c r="F8" s="4">
        <v>68478</v>
      </c>
      <c r="G8" s="2" t="s">
        <v>9</v>
      </c>
      <c r="H8" s="2" t="s">
        <v>10</v>
      </c>
      <c r="I8" s="2" t="s">
        <v>11</v>
      </c>
      <c r="J8" s="2" t="s">
        <v>410</v>
      </c>
      <c r="K8" s="2"/>
      <c r="L8" s="4">
        <v>68478</v>
      </c>
      <c r="M8" s="7">
        <f t="shared" si="0"/>
        <v>0</v>
      </c>
    </row>
    <row r="9" spans="1:13">
      <c r="A9" s="2" t="s">
        <v>40</v>
      </c>
      <c r="B9" s="2" t="s">
        <v>41</v>
      </c>
      <c r="C9" s="2" t="s">
        <v>42</v>
      </c>
      <c r="D9" s="3" t="s">
        <v>43</v>
      </c>
      <c r="E9" s="3" t="s">
        <v>44</v>
      </c>
      <c r="F9" s="4">
        <v>35875</v>
      </c>
      <c r="G9" s="2" t="s">
        <v>9</v>
      </c>
      <c r="H9" s="2" t="s">
        <v>10</v>
      </c>
      <c r="I9" s="2" t="s">
        <v>11</v>
      </c>
      <c r="J9" s="2" t="s">
        <v>352</v>
      </c>
      <c r="K9" s="2"/>
      <c r="L9" s="4">
        <v>35875</v>
      </c>
      <c r="M9" s="7">
        <f t="shared" si="0"/>
        <v>0</v>
      </c>
    </row>
    <row r="10" spans="1:13">
      <c r="A10" s="2" t="s">
        <v>45</v>
      </c>
      <c r="B10" s="2" t="s">
        <v>46</v>
      </c>
      <c r="C10" s="2" t="s">
        <v>47</v>
      </c>
      <c r="D10" s="3" t="s">
        <v>48</v>
      </c>
      <c r="E10" s="3" t="s">
        <v>49</v>
      </c>
      <c r="F10" s="4">
        <v>47373</v>
      </c>
      <c r="G10" s="2" t="s">
        <v>9</v>
      </c>
      <c r="H10" s="2" t="s">
        <v>10</v>
      </c>
      <c r="I10" s="2" t="s">
        <v>11</v>
      </c>
      <c r="J10" s="2" t="s">
        <v>353</v>
      </c>
      <c r="K10" s="2"/>
      <c r="L10" s="4">
        <v>47373</v>
      </c>
      <c r="M10" s="7">
        <f t="shared" si="0"/>
        <v>0</v>
      </c>
    </row>
    <row r="11" spans="1:13">
      <c r="A11" s="2" t="s">
        <v>50</v>
      </c>
      <c r="B11" s="2" t="s">
        <v>51</v>
      </c>
      <c r="C11" s="2" t="s">
        <v>52</v>
      </c>
      <c r="D11" s="5" t="s">
        <v>308</v>
      </c>
      <c r="E11" s="3" t="s">
        <v>53</v>
      </c>
      <c r="F11" s="4">
        <v>86625</v>
      </c>
      <c r="G11" s="2" t="s">
        <v>9</v>
      </c>
      <c r="H11" s="2" t="s">
        <v>10</v>
      </c>
      <c r="I11" s="2" t="s">
        <v>11</v>
      </c>
      <c r="J11" s="2" t="s">
        <v>354</v>
      </c>
      <c r="K11" s="2"/>
      <c r="L11" s="4">
        <v>86625</v>
      </c>
      <c r="M11" s="7">
        <f t="shared" si="0"/>
        <v>0</v>
      </c>
    </row>
    <row r="12" spans="1:13">
      <c r="A12" s="2" t="s">
        <v>54</v>
      </c>
      <c r="B12" s="2" t="s">
        <v>55</v>
      </c>
      <c r="C12" s="2" t="s">
        <v>56</v>
      </c>
      <c r="D12" s="5" t="s">
        <v>309</v>
      </c>
      <c r="E12" s="3" t="s">
        <v>57</v>
      </c>
      <c r="F12" s="4">
        <v>105000</v>
      </c>
      <c r="G12" s="2" t="s">
        <v>9</v>
      </c>
      <c r="H12" s="2" t="s">
        <v>10</v>
      </c>
      <c r="I12" s="2" t="s">
        <v>11</v>
      </c>
      <c r="J12" s="2" t="s">
        <v>355</v>
      </c>
      <c r="K12" s="2"/>
      <c r="L12" s="4">
        <v>105000</v>
      </c>
      <c r="M12" s="7">
        <f t="shared" si="0"/>
        <v>0</v>
      </c>
    </row>
    <row r="13" spans="1:13">
      <c r="A13" s="2" t="s">
        <v>58</v>
      </c>
      <c r="B13" s="2" t="s">
        <v>59</v>
      </c>
      <c r="C13" s="2" t="s">
        <v>60</v>
      </c>
      <c r="D13" s="3" t="s">
        <v>61</v>
      </c>
      <c r="E13" s="3" t="s">
        <v>62</v>
      </c>
      <c r="F13" s="4">
        <v>47373</v>
      </c>
      <c r="G13" s="2" t="s">
        <v>9</v>
      </c>
      <c r="H13" s="2" t="s">
        <v>10</v>
      </c>
      <c r="I13" s="2" t="s">
        <v>11</v>
      </c>
      <c r="J13" s="2" t="s">
        <v>356</v>
      </c>
      <c r="K13" s="2"/>
      <c r="L13" s="4">
        <v>47373</v>
      </c>
      <c r="M13" s="7">
        <f t="shared" si="0"/>
        <v>0</v>
      </c>
    </row>
    <row r="14" spans="1:13">
      <c r="A14" s="2" t="s">
        <v>63</v>
      </c>
      <c r="B14" s="2" t="s">
        <v>64</v>
      </c>
      <c r="C14" s="2" t="s">
        <v>65</v>
      </c>
      <c r="D14" s="5" t="s">
        <v>310</v>
      </c>
      <c r="E14" s="3" t="s">
        <v>66</v>
      </c>
      <c r="F14" s="4">
        <v>155733</v>
      </c>
      <c r="G14" s="2" t="s">
        <v>9</v>
      </c>
      <c r="H14" s="2" t="s">
        <v>10</v>
      </c>
      <c r="I14" s="2" t="s">
        <v>11</v>
      </c>
      <c r="J14" s="2" t="s">
        <v>357</v>
      </c>
      <c r="K14" s="2"/>
      <c r="L14" s="4">
        <v>155733</v>
      </c>
      <c r="M14" s="7">
        <f t="shared" si="0"/>
        <v>0</v>
      </c>
    </row>
    <row r="15" spans="1:13">
      <c r="A15" s="2" t="s">
        <v>67</v>
      </c>
      <c r="B15" s="2" t="s">
        <v>68</v>
      </c>
      <c r="C15" s="2" t="s">
        <v>69</v>
      </c>
      <c r="D15" s="3" t="s">
        <v>70</v>
      </c>
      <c r="E15" s="3" t="s">
        <v>71</v>
      </c>
      <c r="F15" s="4">
        <v>47373</v>
      </c>
      <c r="G15" s="2" t="s">
        <v>9</v>
      </c>
      <c r="H15" s="2" t="s">
        <v>10</v>
      </c>
      <c r="I15" s="2" t="s">
        <v>11</v>
      </c>
      <c r="J15" s="2" t="s">
        <v>358</v>
      </c>
      <c r="K15" s="2"/>
      <c r="L15" s="4">
        <v>47373</v>
      </c>
      <c r="M15" s="7">
        <f t="shared" si="0"/>
        <v>0</v>
      </c>
    </row>
    <row r="16" spans="1:13">
      <c r="A16" s="2" t="s">
        <v>72</v>
      </c>
      <c r="B16" s="2" t="s">
        <v>73</v>
      </c>
      <c r="C16" s="2" t="s">
        <v>74</v>
      </c>
      <c r="D16" s="3" t="s">
        <v>75</v>
      </c>
      <c r="E16" s="3" t="s">
        <v>76</v>
      </c>
      <c r="F16" s="4">
        <v>74900</v>
      </c>
      <c r="G16" s="2" t="s">
        <v>9</v>
      </c>
      <c r="H16" s="2" t="s">
        <v>10</v>
      </c>
      <c r="I16" s="2" t="s">
        <v>11</v>
      </c>
      <c r="J16" s="2" t="s">
        <v>359</v>
      </c>
      <c r="K16" s="2"/>
      <c r="L16" s="4">
        <v>74900</v>
      </c>
      <c r="M16" s="7">
        <f t="shared" si="0"/>
        <v>0</v>
      </c>
    </row>
    <row r="17" spans="1:13">
      <c r="A17" s="2" t="s">
        <v>77</v>
      </c>
      <c r="B17" s="2" t="s">
        <v>78</v>
      </c>
      <c r="C17" s="2" t="s">
        <v>79</v>
      </c>
      <c r="D17" s="3" t="s">
        <v>80</v>
      </c>
      <c r="E17" s="3" t="s">
        <v>81</v>
      </c>
      <c r="F17" s="4">
        <v>65625</v>
      </c>
      <c r="G17" s="2" t="s">
        <v>9</v>
      </c>
      <c r="H17" s="2" t="s">
        <v>10</v>
      </c>
      <c r="I17" s="2" t="s">
        <v>11</v>
      </c>
      <c r="J17" s="2" t="s">
        <v>360</v>
      </c>
      <c r="K17" s="2"/>
      <c r="L17" s="4">
        <v>65625</v>
      </c>
      <c r="M17" s="7">
        <f t="shared" si="0"/>
        <v>0</v>
      </c>
    </row>
    <row r="18" spans="1:13">
      <c r="A18" s="2" t="s">
        <v>82</v>
      </c>
      <c r="B18" s="2" t="s">
        <v>83</v>
      </c>
      <c r="C18" s="2" t="s">
        <v>84</v>
      </c>
      <c r="D18" s="3" t="s">
        <v>85</v>
      </c>
      <c r="E18" s="3" t="s">
        <v>86</v>
      </c>
      <c r="F18" s="4">
        <v>45500</v>
      </c>
      <c r="G18" s="2" t="s">
        <v>9</v>
      </c>
      <c r="H18" s="2" t="s">
        <v>10</v>
      </c>
      <c r="I18" s="2" t="s">
        <v>11</v>
      </c>
      <c r="J18" s="6" t="s">
        <v>419</v>
      </c>
      <c r="K18" s="2"/>
      <c r="L18" s="10">
        <v>45500</v>
      </c>
      <c r="M18" s="7">
        <f t="shared" si="0"/>
        <v>0</v>
      </c>
    </row>
    <row r="19" spans="1:13">
      <c r="A19" s="2" t="s">
        <v>87</v>
      </c>
      <c r="B19" s="2" t="s">
        <v>88</v>
      </c>
      <c r="C19" s="2" t="s">
        <v>89</v>
      </c>
      <c r="D19" s="5" t="s">
        <v>311</v>
      </c>
      <c r="E19" s="3" t="s">
        <v>90</v>
      </c>
      <c r="F19" s="4">
        <v>40250</v>
      </c>
      <c r="G19" s="2" t="s">
        <v>9</v>
      </c>
      <c r="H19" s="2" t="s">
        <v>10</v>
      </c>
      <c r="I19" s="2" t="s">
        <v>11</v>
      </c>
      <c r="J19" s="2" t="s">
        <v>361</v>
      </c>
      <c r="K19" s="2"/>
      <c r="L19" s="4">
        <v>40250</v>
      </c>
      <c r="M19" s="7">
        <f t="shared" si="0"/>
        <v>0</v>
      </c>
    </row>
    <row r="20" spans="1:13">
      <c r="A20" s="2" t="s">
        <v>91</v>
      </c>
      <c r="B20" s="2" t="s">
        <v>92</v>
      </c>
      <c r="C20" s="2" t="s">
        <v>93</v>
      </c>
      <c r="D20" s="5" t="s">
        <v>312</v>
      </c>
      <c r="E20" s="3" t="s">
        <v>94</v>
      </c>
      <c r="F20" s="4">
        <v>70000</v>
      </c>
      <c r="G20" s="2" t="s">
        <v>9</v>
      </c>
      <c r="H20" s="2" t="s">
        <v>10</v>
      </c>
      <c r="I20" s="2" t="s">
        <v>11</v>
      </c>
      <c r="J20" s="2" t="s">
        <v>362</v>
      </c>
      <c r="K20" s="2"/>
      <c r="L20" s="4">
        <v>70000</v>
      </c>
      <c r="M20" s="7">
        <f t="shared" si="0"/>
        <v>0</v>
      </c>
    </row>
    <row r="21" spans="1:13">
      <c r="A21" s="2" t="s">
        <v>95</v>
      </c>
      <c r="B21" s="2" t="s">
        <v>96</v>
      </c>
      <c r="C21" s="2" t="s">
        <v>97</v>
      </c>
      <c r="D21" s="6">
        <v>181199</v>
      </c>
      <c r="E21" s="3" t="s">
        <v>98</v>
      </c>
      <c r="F21" s="4">
        <v>38500</v>
      </c>
      <c r="G21" s="2" t="s">
        <v>9</v>
      </c>
      <c r="H21" s="2" t="s">
        <v>10</v>
      </c>
      <c r="I21" s="2" t="s">
        <v>11</v>
      </c>
      <c r="J21" s="2" t="s">
        <v>363</v>
      </c>
      <c r="K21" s="2"/>
      <c r="L21" s="4">
        <v>38500</v>
      </c>
      <c r="M21" s="7">
        <f t="shared" si="0"/>
        <v>0</v>
      </c>
    </row>
    <row r="22" spans="1:13">
      <c r="A22" s="2" t="s">
        <v>99</v>
      </c>
      <c r="B22" s="2" t="s">
        <v>100</v>
      </c>
      <c r="C22" s="2" t="s">
        <v>101</v>
      </c>
      <c r="D22" s="3" t="s">
        <v>102</v>
      </c>
      <c r="E22" s="3" t="s">
        <v>103</v>
      </c>
      <c r="F22" s="4">
        <v>37625</v>
      </c>
      <c r="G22" s="2" t="s">
        <v>9</v>
      </c>
      <c r="H22" s="2" t="s">
        <v>10</v>
      </c>
      <c r="I22" s="2" t="s">
        <v>11</v>
      </c>
      <c r="J22" s="2" t="s">
        <v>364</v>
      </c>
      <c r="K22" s="2"/>
      <c r="L22" s="4">
        <v>37625</v>
      </c>
      <c r="M22" s="7">
        <f t="shared" si="0"/>
        <v>0</v>
      </c>
    </row>
    <row r="23" spans="1:13">
      <c r="A23" s="2" t="s">
        <v>104</v>
      </c>
      <c r="B23" s="2" t="s">
        <v>105</v>
      </c>
      <c r="C23" s="2" t="s">
        <v>106</v>
      </c>
      <c r="D23" s="5" t="s">
        <v>313</v>
      </c>
      <c r="E23" s="3" t="s">
        <v>107</v>
      </c>
      <c r="F23" s="4">
        <v>41300</v>
      </c>
      <c r="G23" s="2" t="s">
        <v>9</v>
      </c>
      <c r="H23" s="2" t="s">
        <v>10</v>
      </c>
      <c r="I23" s="2" t="s">
        <v>11</v>
      </c>
      <c r="J23" s="2" t="s">
        <v>365</v>
      </c>
      <c r="K23" s="2"/>
      <c r="L23" s="4">
        <v>41300</v>
      </c>
      <c r="M23" s="7">
        <f t="shared" si="0"/>
        <v>0</v>
      </c>
    </row>
    <row r="24" spans="1:13">
      <c r="A24" s="2" t="s">
        <v>108</v>
      </c>
      <c r="B24" s="2" t="s">
        <v>109</v>
      </c>
      <c r="C24" s="2" t="s">
        <v>110</v>
      </c>
      <c r="D24" s="3" t="s">
        <v>111</v>
      </c>
      <c r="E24" s="3" t="s">
        <v>112</v>
      </c>
      <c r="F24" s="4">
        <v>49263</v>
      </c>
      <c r="G24" s="2" t="s">
        <v>9</v>
      </c>
      <c r="H24" s="2" t="s">
        <v>10</v>
      </c>
      <c r="I24" s="2" t="s">
        <v>11</v>
      </c>
      <c r="J24" s="2" t="s">
        <v>366</v>
      </c>
      <c r="K24" s="2"/>
      <c r="L24" s="4">
        <v>49263</v>
      </c>
      <c r="M24" s="7">
        <f t="shared" si="0"/>
        <v>0</v>
      </c>
    </row>
    <row r="25" spans="1:13">
      <c r="A25" s="2" t="s">
        <v>113</v>
      </c>
      <c r="B25" s="2" t="s">
        <v>114</v>
      </c>
      <c r="C25" s="2" t="s">
        <v>115</v>
      </c>
      <c r="D25" s="5" t="s">
        <v>314</v>
      </c>
      <c r="E25" s="3" t="s">
        <v>116</v>
      </c>
      <c r="F25" s="4">
        <v>56000</v>
      </c>
      <c r="G25" s="2" t="s">
        <v>9</v>
      </c>
      <c r="H25" s="2" t="s">
        <v>10</v>
      </c>
      <c r="I25" s="2" t="s">
        <v>11</v>
      </c>
      <c r="J25" s="2" t="s">
        <v>367</v>
      </c>
      <c r="K25" s="2"/>
      <c r="L25" s="4">
        <v>56000</v>
      </c>
      <c r="M25" s="7">
        <f t="shared" si="0"/>
        <v>0</v>
      </c>
    </row>
    <row r="26" spans="1:13">
      <c r="A26" s="2" t="s">
        <v>117</v>
      </c>
      <c r="B26" s="2" t="s">
        <v>118</v>
      </c>
      <c r="C26" s="2" t="s">
        <v>119</v>
      </c>
      <c r="D26" s="3" t="s">
        <v>120</v>
      </c>
      <c r="E26" s="3" t="s">
        <v>121</v>
      </c>
      <c r="F26" s="4">
        <v>42000</v>
      </c>
      <c r="G26" s="2" t="s">
        <v>9</v>
      </c>
      <c r="H26" s="2" t="s">
        <v>10</v>
      </c>
      <c r="I26" s="2" t="s">
        <v>11</v>
      </c>
      <c r="J26" s="2" t="s">
        <v>368</v>
      </c>
      <c r="K26" s="2"/>
      <c r="L26" s="4">
        <v>42000</v>
      </c>
      <c r="M26" s="7">
        <f t="shared" si="0"/>
        <v>0</v>
      </c>
    </row>
    <row r="27" spans="1:13">
      <c r="A27" s="2" t="s">
        <v>122</v>
      </c>
      <c r="B27" s="2" t="s">
        <v>123</v>
      </c>
      <c r="C27" s="2" t="s">
        <v>124</v>
      </c>
      <c r="D27" s="5" t="s">
        <v>315</v>
      </c>
      <c r="E27" s="3" t="s">
        <v>125</v>
      </c>
      <c r="F27" s="4">
        <v>82583</v>
      </c>
      <c r="G27" s="2" t="s">
        <v>9</v>
      </c>
      <c r="H27" s="2" t="s">
        <v>10</v>
      </c>
      <c r="I27" s="2" t="s">
        <v>11</v>
      </c>
      <c r="J27" s="2" t="s">
        <v>369</v>
      </c>
      <c r="K27" s="2"/>
      <c r="L27" s="4">
        <v>82583</v>
      </c>
      <c r="M27" s="7">
        <f t="shared" si="0"/>
        <v>0</v>
      </c>
    </row>
    <row r="28" spans="1:13">
      <c r="A28" s="2" t="s">
        <v>126</v>
      </c>
      <c r="B28" s="2" t="s">
        <v>127</v>
      </c>
      <c r="C28" s="2" t="s">
        <v>128</v>
      </c>
      <c r="D28" s="5" t="s">
        <v>316</v>
      </c>
      <c r="E28" s="3" t="s">
        <v>129</v>
      </c>
      <c r="F28" s="4">
        <v>134711</v>
      </c>
      <c r="G28" s="2" t="s">
        <v>9</v>
      </c>
      <c r="H28" s="2" t="s">
        <v>10</v>
      </c>
      <c r="I28" s="2" t="s">
        <v>11</v>
      </c>
      <c r="J28" s="2" t="s">
        <v>370</v>
      </c>
      <c r="K28" s="2" t="s">
        <v>417</v>
      </c>
      <c r="L28" s="4">
        <v>161980</v>
      </c>
      <c r="M28" s="7">
        <f t="shared" si="0"/>
        <v>-27269</v>
      </c>
    </row>
    <row r="29" spans="1:13">
      <c r="A29" s="2" t="s">
        <v>130</v>
      </c>
      <c r="B29" s="2" t="s">
        <v>131</v>
      </c>
      <c r="C29" s="2" t="s">
        <v>132</v>
      </c>
      <c r="D29" s="5" t="s">
        <v>317</v>
      </c>
      <c r="E29" s="3" t="s">
        <v>133</v>
      </c>
      <c r="F29" s="4">
        <v>35000</v>
      </c>
      <c r="G29" s="2" t="s">
        <v>9</v>
      </c>
      <c r="H29" s="2" t="s">
        <v>10</v>
      </c>
      <c r="I29" s="2" t="s">
        <v>11</v>
      </c>
      <c r="J29" s="2" t="s">
        <v>371</v>
      </c>
      <c r="K29" s="2"/>
      <c r="L29" s="4">
        <v>35000</v>
      </c>
      <c r="M29" s="7">
        <f t="shared" si="0"/>
        <v>0</v>
      </c>
    </row>
    <row r="30" spans="1:13">
      <c r="A30" s="2" t="s">
        <v>134</v>
      </c>
      <c r="B30" s="2" t="s">
        <v>135</v>
      </c>
      <c r="C30" s="2" t="s">
        <v>136</v>
      </c>
      <c r="D30" s="5" t="s">
        <v>318</v>
      </c>
      <c r="E30" s="3" t="s">
        <v>137</v>
      </c>
      <c r="F30" s="4">
        <v>52500</v>
      </c>
      <c r="G30" s="2" t="s">
        <v>9</v>
      </c>
      <c r="H30" s="2" t="s">
        <v>10</v>
      </c>
      <c r="I30" s="2" t="s">
        <v>11</v>
      </c>
      <c r="J30" s="2" t="s">
        <v>372</v>
      </c>
      <c r="K30" s="2"/>
      <c r="L30" s="4">
        <v>52500</v>
      </c>
      <c r="M30" s="7">
        <f t="shared" si="0"/>
        <v>0</v>
      </c>
    </row>
    <row r="31" spans="1:13">
      <c r="A31" s="2" t="s">
        <v>138</v>
      </c>
      <c r="B31" s="2" t="s">
        <v>139</v>
      </c>
      <c r="C31" s="2" t="s">
        <v>140</v>
      </c>
      <c r="D31" s="5" t="s">
        <v>319</v>
      </c>
      <c r="E31" s="3" t="s">
        <v>141</v>
      </c>
      <c r="F31" s="4">
        <v>80500</v>
      </c>
      <c r="G31" s="2" t="s">
        <v>9</v>
      </c>
      <c r="H31" s="2" t="s">
        <v>10</v>
      </c>
      <c r="I31" s="2" t="s">
        <v>11</v>
      </c>
      <c r="J31" s="2" t="s">
        <v>373</v>
      </c>
      <c r="K31" s="2"/>
      <c r="L31" s="4">
        <v>80500</v>
      </c>
      <c r="M31" s="7">
        <f t="shared" si="0"/>
        <v>0</v>
      </c>
    </row>
    <row r="32" spans="1:13">
      <c r="A32" s="2" t="s">
        <v>142</v>
      </c>
      <c r="B32" s="2" t="s">
        <v>143</v>
      </c>
      <c r="C32" s="2" t="s">
        <v>144</v>
      </c>
      <c r="D32" s="5" t="s">
        <v>320</v>
      </c>
      <c r="E32" s="3" t="s">
        <v>145</v>
      </c>
      <c r="F32" s="4">
        <v>43750</v>
      </c>
      <c r="G32" s="2" t="s">
        <v>9</v>
      </c>
      <c r="H32" s="2" t="s">
        <v>10</v>
      </c>
      <c r="I32" s="2" t="s">
        <v>11</v>
      </c>
      <c r="J32" s="2" t="s">
        <v>374</v>
      </c>
      <c r="K32" s="2"/>
      <c r="L32" s="4">
        <v>43750</v>
      </c>
      <c r="M32" s="7">
        <f t="shared" si="0"/>
        <v>0</v>
      </c>
    </row>
    <row r="33" spans="1:13">
      <c r="A33" s="2" t="s">
        <v>146</v>
      </c>
      <c r="B33" s="2" t="s">
        <v>147</v>
      </c>
      <c r="C33" s="2" t="s">
        <v>148</v>
      </c>
      <c r="D33" s="5" t="s">
        <v>321</v>
      </c>
      <c r="E33" s="3" t="s">
        <v>149</v>
      </c>
      <c r="F33" s="4">
        <v>60600</v>
      </c>
      <c r="G33" s="2" t="s">
        <v>9</v>
      </c>
      <c r="H33" s="2" t="s">
        <v>10</v>
      </c>
      <c r="I33" s="2" t="s">
        <v>11</v>
      </c>
      <c r="J33" s="2" t="s">
        <v>375</v>
      </c>
      <c r="K33" s="2" t="s">
        <v>418</v>
      </c>
      <c r="L33" s="4">
        <v>53025</v>
      </c>
      <c r="M33" s="7">
        <f t="shared" si="0"/>
        <v>7575</v>
      </c>
    </row>
    <row r="34" spans="1:13">
      <c r="A34" s="2" t="s">
        <v>150</v>
      </c>
      <c r="B34" s="2" t="s">
        <v>151</v>
      </c>
      <c r="C34" s="2" t="s">
        <v>152</v>
      </c>
      <c r="D34" s="5" t="s">
        <v>322</v>
      </c>
      <c r="E34" s="3" t="s">
        <v>153</v>
      </c>
      <c r="F34" s="4">
        <v>70000</v>
      </c>
      <c r="G34" s="2" t="s">
        <v>9</v>
      </c>
      <c r="H34" s="2" t="s">
        <v>10</v>
      </c>
      <c r="I34" s="2" t="s">
        <v>11</v>
      </c>
      <c r="J34" s="2" t="s">
        <v>376</v>
      </c>
      <c r="K34" s="2"/>
      <c r="L34" s="4">
        <v>70000</v>
      </c>
      <c r="M34" s="7">
        <f t="shared" ref="M34:M65" si="1">F34-L34</f>
        <v>0</v>
      </c>
    </row>
    <row r="35" spans="1:13">
      <c r="A35" s="2" t="s">
        <v>154</v>
      </c>
      <c r="B35" s="2" t="s">
        <v>155</v>
      </c>
      <c r="C35" s="2" t="s">
        <v>156</v>
      </c>
      <c r="D35" s="5" t="s">
        <v>323</v>
      </c>
      <c r="E35" s="3" t="s">
        <v>157</v>
      </c>
      <c r="F35" s="4">
        <v>34650</v>
      </c>
      <c r="G35" s="2" t="s">
        <v>9</v>
      </c>
      <c r="H35" s="2" t="s">
        <v>10</v>
      </c>
      <c r="I35" s="2" t="s">
        <v>11</v>
      </c>
      <c r="J35" s="2" t="s">
        <v>377</v>
      </c>
      <c r="K35" s="2"/>
      <c r="L35" s="4">
        <v>34650</v>
      </c>
      <c r="M35" s="7">
        <f t="shared" si="1"/>
        <v>0</v>
      </c>
    </row>
    <row r="36" spans="1:13">
      <c r="A36" s="2" t="s">
        <v>158</v>
      </c>
      <c r="B36" s="2" t="s">
        <v>159</v>
      </c>
      <c r="C36" s="2" t="s">
        <v>160</v>
      </c>
      <c r="D36" s="6">
        <v>323050</v>
      </c>
      <c r="E36" s="3" t="s">
        <v>161</v>
      </c>
      <c r="F36" s="4">
        <v>126000</v>
      </c>
      <c r="G36" s="2" t="s">
        <v>9</v>
      </c>
      <c r="H36" s="2" t="s">
        <v>10</v>
      </c>
      <c r="I36" s="2" t="s">
        <v>11</v>
      </c>
      <c r="J36" s="2" t="s">
        <v>378</v>
      </c>
      <c r="K36" s="2"/>
      <c r="L36" s="4">
        <v>126000</v>
      </c>
      <c r="M36" s="7">
        <f t="shared" si="1"/>
        <v>0</v>
      </c>
    </row>
    <row r="37" spans="1:13">
      <c r="A37" s="2" t="s">
        <v>162</v>
      </c>
      <c r="B37" s="2" t="s">
        <v>163</v>
      </c>
      <c r="C37" s="2" t="s">
        <v>164</v>
      </c>
      <c r="D37" s="5" t="s">
        <v>324</v>
      </c>
      <c r="E37" s="3" t="s">
        <v>165</v>
      </c>
      <c r="F37" s="4">
        <v>50925</v>
      </c>
      <c r="G37" s="2" t="s">
        <v>9</v>
      </c>
      <c r="H37" s="2" t="s">
        <v>10</v>
      </c>
      <c r="I37" s="2" t="s">
        <v>11</v>
      </c>
      <c r="J37" s="2" t="s">
        <v>379</v>
      </c>
      <c r="K37" s="2"/>
      <c r="L37" s="4">
        <v>50925</v>
      </c>
      <c r="M37" s="7">
        <f t="shared" si="1"/>
        <v>0</v>
      </c>
    </row>
    <row r="38" spans="1:13">
      <c r="A38" s="2" t="s">
        <v>166</v>
      </c>
      <c r="B38" s="2" t="s">
        <v>167</v>
      </c>
      <c r="C38" s="2" t="s">
        <v>168</v>
      </c>
      <c r="D38" s="3" t="s">
        <v>169</v>
      </c>
      <c r="E38" s="3" t="s">
        <v>170</v>
      </c>
      <c r="F38" s="4">
        <v>86000</v>
      </c>
      <c r="G38" s="2" t="s">
        <v>9</v>
      </c>
      <c r="H38" s="2" t="s">
        <v>10</v>
      </c>
      <c r="I38" s="2" t="s">
        <v>11</v>
      </c>
      <c r="J38" s="2" t="s">
        <v>380</v>
      </c>
      <c r="K38" s="2"/>
      <c r="L38" s="4">
        <v>86000</v>
      </c>
      <c r="M38" s="7">
        <f t="shared" si="1"/>
        <v>0</v>
      </c>
    </row>
    <row r="39" spans="1:13">
      <c r="A39" s="2" t="s">
        <v>171</v>
      </c>
      <c r="B39" s="2" t="s">
        <v>172</v>
      </c>
      <c r="C39" s="2" t="s">
        <v>173</v>
      </c>
      <c r="D39" s="5" t="s">
        <v>325</v>
      </c>
      <c r="E39" s="3" t="s">
        <v>174</v>
      </c>
      <c r="F39" s="4">
        <v>77438</v>
      </c>
      <c r="G39" s="2" t="s">
        <v>9</v>
      </c>
      <c r="H39" s="2" t="s">
        <v>10</v>
      </c>
      <c r="I39" s="2" t="s">
        <v>11</v>
      </c>
      <c r="J39" s="2" t="s">
        <v>381</v>
      </c>
      <c r="K39" s="2"/>
      <c r="L39" s="4">
        <v>77438</v>
      </c>
      <c r="M39" s="7">
        <f t="shared" si="1"/>
        <v>0</v>
      </c>
    </row>
    <row r="40" spans="1:13">
      <c r="A40" s="2" t="s">
        <v>175</v>
      </c>
      <c r="B40" s="2" t="s">
        <v>176</v>
      </c>
      <c r="C40" s="2" t="s">
        <v>177</v>
      </c>
      <c r="D40" s="6">
        <v>340063</v>
      </c>
      <c r="E40" s="3" t="s">
        <v>178</v>
      </c>
      <c r="F40" s="4">
        <v>105000</v>
      </c>
      <c r="G40" s="2" t="s">
        <v>9</v>
      </c>
      <c r="H40" s="2" t="s">
        <v>10</v>
      </c>
      <c r="I40" s="2" t="s">
        <v>11</v>
      </c>
      <c r="J40" s="2" t="s">
        <v>382</v>
      </c>
      <c r="K40" s="2"/>
      <c r="L40" s="4">
        <v>105000</v>
      </c>
      <c r="M40" s="7">
        <f t="shared" si="1"/>
        <v>0</v>
      </c>
    </row>
    <row r="41" spans="1:13">
      <c r="A41" s="2" t="s">
        <v>179</v>
      </c>
      <c r="B41" s="2" t="s">
        <v>180</v>
      </c>
      <c r="C41" s="2" t="s">
        <v>181</v>
      </c>
      <c r="D41" s="5" t="s">
        <v>326</v>
      </c>
      <c r="E41" s="3" t="s">
        <v>182</v>
      </c>
      <c r="F41" s="4">
        <v>42438</v>
      </c>
      <c r="G41" s="2" t="s">
        <v>9</v>
      </c>
      <c r="H41" s="2" t="s">
        <v>10</v>
      </c>
      <c r="I41" s="2" t="s">
        <v>11</v>
      </c>
      <c r="J41" s="2" t="s">
        <v>383</v>
      </c>
      <c r="K41" s="2"/>
      <c r="L41" s="4">
        <v>42438</v>
      </c>
      <c r="M41" s="7">
        <f t="shared" si="1"/>
        <v>0</v>
      </c>
    </row>
    <row r="42" spans="1:13">
      <c r="A42" s="2" t="s">
        <v>183</v>
      </c>
      <c r="B42" s="2" t="s">
        <v>184</v>
      </c>
      <c r="C42" s="2" t="s">
        <v>185</v>
      </c>
      <c r="D42" s="5" t="s">
        <v>327</v>
      </c>
      <c r="E42" s="3" t="s">
        <v>186</v>
      </c>
      <c r="F42" s="4">
        <v>70000</v>
      </c>
      <c r="G42" s="2" t="s">
        <v>9</v>
      </c>
      <c r="H42" s="2" t="s">
        <v>10</v>
      </c>
      <c r="I42" s="2" t="s">
        <v>11</v>
      </c>
      <c r="J42" s="2" t="s">
        <v>384</v>
      </c>
      <c r="K42" s="2"/>
      <c r="L42" s="4">
        <v>70000</v>
      </c>
      <c r="M42" s="7">
        <f t="shared" si="1"/>
        <v>0</v>
      </c>
    </row>
    <row r="43" spans="1:13">
      <c r="A43" s="2" t="s">
        <v>187</v>
      </c>
      <c r="B43" s="2" t="s">
        <v>188</v>
      </c>
      <c r="C43" s="2" t="s">
        <v>189</v>
      </c>
      <c r="D43" s="5" t="s">
        <v>328</v>
      </c>
      <c r="E43" s="3" t="s">
        <v>190</v>
      </c>
      <c r="F43" s="4">
        <v>59500</v>
      </c>
      <c r="G43" s="2" t="s">
        <v>9</v>
      </c>
      <c r="H43" s="2" t="s">
        <v>10</v>
      </c>
      <c r="I43" s="2" t="s">
        <v>11</v>
      </c>
      <c r="J43" s="2" t="s">
        <v>385</v>
      </c>
      <c r="K43" s="2" t="s">
        <v>414</v>
      </c>
      <c r="L43" s="4">
        <v>595000</v>
      </c>
      <c r="M43" s="7">
        <f t="shared" si="1"/>
        <v>-535500</v>
      </c>
    </row>
    <row r="44" spans="1:13">
      <c r="A44" s="2" t="s">
        <v>191</v>
      </c>
      <c r="B44" s="2" t="s">
        <v>192</v>
      </c>
      <c r="C44" s="2" t="s">
        <v>193</v>
      </c>
      <c r="D44" s="6">
        <v>319488</v>
      </c>
      <c r="E44" s="3" t="s">
        <v>194</v>
      </c>
      <c r="F44" s="4">
        <v>47373</v>
      </c>
      <c r="G44" s="2" t="s">
        <v>9</v>
      </c>
      <c r="H44" s="2" t="s">
        <v>10</v>
      </c>
      <c r="I44" s="2" t="s">
        <v>11</v>
      </c>
      <c r="J44" s="2" t="s">
        <v>386</v>
      </c>
      <c r="K44" s="2"/>
      <c r="L44" s="4">
        <v>47373</v>
      </c>
      <c r="M44" s="7">
        <f t="shared" si="1"/>
        <v>0</v>
      </c>
    </row>
    <row r="45" spans="1:13">
      <c r="A45" s="2" t="s">
        <v>195</v>
      </c>
      <c r="B45" s="2" t="s">
        <v>196</v>
      </c>
      <c r="C45" s="2" t="s">
        <v>197</v>
      </c>
      <c r="D45" s="6">
        <v>1026284</v>
      </c>
      <c r="E45" s="3" t="s">
        <v>198</v>
      </c>
      <c r="F45" s="4">
        <v>93580</v>
      </c>
      <c r="G45" s="2" t="s">
        <v>9</v>
      </c>
      <c r="H45" s="2" t="s">
        <v>10</v>
      </c>
      <c r="I45" s="2" t="s">
        <v>11</v>
      </c>
      <c r="J45" s="2" t="s">
        <v>387</v>
      </c>
      <c r="K45" s="2"/>
      <c r="L45" s="4">
        <v>93580</v>
      </c>
      <c r="M45" s="7">
        <f t="shared" si="1"/>
        <v>0</v>
      </c>
    </row>
    <row r="46" spans="1:13">
      <c r="A46" s="2" t="s">
        <v>199</v>
      </c>
      <c r="B46" s="2" t="s">
        <v>200</v>
      </c>
      <c r="C46" s="2" t="s">
        <v>201</v>
      </c>
      <c r="D46" s="5" t="s">
        <v>329</v>
      </c>
      <c r="E46" s="3" t="s">
        <v>202</v>
      </c>
      <c r="F46" s="4">
        <v>59500</v>
      </c>
      <c r="G46" s="2" t="s">
        <v>9</v>
      </c>
      <c r="H46" s="2" t="s">
        <v>10</v>
      </c>
      <c r="I46" s="2" t="s">
        <v>11</v>
      </c>
      <c r="J46" s="2" t="s">
        <v>388</v>
      </c>
      <c r="K46" s="2"/>
      <c r="L46" s="4">
        <v>59500</v>
      </c>
      <c r="M46" s="7">
        <f t="shared" si="1"/>
        <v>0</v>
      </c>
    </row>
    <row r="47" spans="1:13">
      <c r="A47" s="2" t="s">
        <v>203</v>
      </c>
      <c r="B47" s="2" t="s">
        <v>204</v>
      </c>
      <c r="C47" s="2" t="s">
        <v>205</v>
      </c>
      <c r="D47" s="5" t="s">
        <v>330</v>
      </c>
      <c r="E47" s="3" t="s">
        <v>206</v>
      </c>
      <c r="F47" s="4">
        <v>131250</v>
      </c>
      <c r="G47" s="2" t="s">
        <v>9</v>
      </c>
      <c r="H47" s="2" t="s">
        <v>10</v>
      </c>
      <c r="I47" s="2" t="s">
        <v>11</v>
      </c>
      <c r="J47" s="2" t="s">
        <v>389</v>
      </c>
      <c r="K47" s="2"/>
      <c r="L47" s="4">
        <v>131250</v>
      </c>
      <c r="M47" s="7">
        <f t="shared" si="1"/>
        <v>0</v>
      </c>
    </row>
    <row r="48" spans="1:13">
      <c r="A48" s="2" t="s">
        <v>207</v>
      </c>
      <c r="B48" s="2" t="s">
        <v>208</v>
      </c>
      <c r="C48" s="2" t="s">
        <v>209</v>
      </c>
      <c r="D48" s="5" t="s">
        <v>331</v>
      </c>
      <c r="E48" s="3" t="s">
        <v>210</v>
      </c>
      <c r="F48" s="4">
        <v>74375</v>
      </c>
      <c r="G48" s="2" t="s">
        <v>9</v>
      </c>
      <c r="H48" s="2" t="s">
        <v>10</v>
      </c>
      <c r="I48" s="2" t="s">
        <v>11</v>
      </c>
      <c r="J48" s="2" t="s">
        <v>390</v>
      </c>
      <c r="K48" s="2"/>
      <c r="L48" s="4">
        <v>74375</v>
      </c>
      <c r="M48" s="7">
        <f t="shared" si="1"/>
        <v>0</v>
      </c>
    </row>
    <row r="49" spans="1:13">
      <c r="A49" s="2" t="s">
        <v>211</v>
      </c>
      <c r="B49" s="2" t="s">
        <v>212</v>
      </c>
      <c r="C49" s="2" t="s">
        <v>213</v>
      </c>
      <c r="D49" s="3" t="s">
        <v>214</v>
      </c>
      <c r="E49" s="3" t="s">
        <v>215</v>
      </c>
      <c r="F49" s="4">
        <v>21438</v>
      </c>
      <c r="G49" s="2" t="s">
        <v>9</v>
      </c>
      <c r="H49" s="2" t="s">
        <v>10</v>
      </c>
      <c r="I49" s="2" t="s">
        <v>11</v>
      </c>
      <c r="J49" s="2" t="s">
        <v>391</v>
      </c>
      <c r="K49" s="2"/>
      <c r="L49" s="4">
        <v>21438</v>
      </c>
      <c r="M49" s="7">
        <f t="shared" si="1"/>
        <v>0</v>
      </c>
    </row>
    <row r="50" spans="1:13">
      <c r="A50" s="2" t="s">
        <v>216</v>
      </c>
      <c r="B50" s="2" t="s">
        <v>217</v>
      </c>
      <c r="C50" s="2" t="s">
        <v>218</v>
      </c>
      <c r="D50" s="5" t="s">
        <v>332</v>
      </c>
      <c r="E50" s="3" t="s">
        <v>219</v>
      </c>
      <c r="F50" s="4">
        <v>43750</v>
      </c>
      <c r="G50" s="2" t="s">
        <v>9</v>
      </c>
      <c r="H50" s="2" t="s">
        <v>10</v>
      </c>
      <c r="I50" s="2" t="s">
        <v>11</v>
      </c>
      <c r="J50" s="2" t="s">
        <v>392</v>
      </c>
      <c r="K50" s="2"/>
      <c r="L50" s="4">
        <v>43750</v>
      </c>
      <c r="M50" s="7">
        <f t="shared" si="1"/>
        <v>0</v>
      </c>
    </row>
    <row r="51" spans="1:13">
      <c r="A51" s="2" t="s">
        <v>220</v>
      </c>
      <c r="B51" s="2" t="s">
        <v>221</v>
      </c>
      <c r="C51" s="2" t="s">
        <v>222</v>
      </c>
      <c r="D51" s="5" t="s">
        <v>333</v>
      </c>
      <c r="E51" s="3" t="s">
        <v>223</v>
      </c>
      <c r="F51" s="4">
        <v>74375</v>
      </c>
      <c r="G51" s="2" t="s">
        <v>9</v>
      </c>
      <c r="H51" s="2" t="s">
        <v>10</v>
      </c>
      <c r="I51" s="2" t="s">
        <v>11</v>
      </c>
      <c r="J51" s="2" t="s">
        <v>393</v>
      </c>
      <c r="K51" s="2"/>
      <c r="L51" s="4">
        <v>74375</v>
      </c>
      <c r="M51" s="7">
        <f t="shared" si="1"/>
        <v>0</v>
      </c>
    </row>
    <row r="52" spans="1:13">
      <c r="A52" s="2" t="s">
        <v>224</v>
      </c>
      <c r="B52" s="2" t="s">
        <v>225</v>
      </c>
      <c r="C52" s="2" t="s">
        <v>226</v>
      </c>
      <c r="D52" s="5" t="s">
        <v>334</v>
      </c>
      <c r="E52" s="3" t="s">
        <v>227</v>
      </c>
      <c r="F52" s="4">
        <v>53200</v>
      </c>
      <c r="G52" s="2" t="s">
        <v>9</v>
      </c>
      <c r="H52" s="2" t="s">
        <v>10</v>
      </c>
      <c r="I52" s="2" t="s">
        <v>11</v>
      </c>
      <c r="J52" s="2" t="s">
        <v>394</v>
      </c>
      <c r="K52" s="2"/>
      <c r="L52" s="4">
        <v>53200</v>
      </c>
      <c r="M52" s="7">
        <f t="shared" si="1"/>
        <v>0</v>
      </c>
    </row>
    <row r="53" spans="1:13">
      <c r="A53" s="2" t="s">
        <v>228</v>
      </c>
      <c r="B53" s="2" t="s">
        <v>229</v>
      </c>
      <c r="C53" s="2" t="s">
        <v>230</v>
      </c>
      <c r="D53" s="6">
        <v>321716</v>
      </c>
      <c r="E53" s="3" t="s">
        <v>231</v>
      </c>
      <c r="F53" s="4">
        <v>54140</v>
      </c>
      <c r="G53" s="2" t="s">
        <v>9</v>
      </c>
      <c r="H53" s="2" t="s">
        <v>10</v>
      </c>
      <c r="I53" s="2" t="s">
        <v>11</v>
      </c>
      <c r="J53" s="2" t="s">
        <v>395</v>
      </c>
      <c r="K53" s="2"/>
      <c r="L53" s="4">
        <v>54140</v>
      </c>
      <c r="M53" s="7">
        <f t="shared" si="1"/>
        <v>0</v>
      </c>
    </row>
    <row r="54" spans="1:13">
      <c r="A54" s="2" t="s">
        <v>232</v>
      </c>
      <c r="B54" s="2" t="s">
        <v>233</v>
      </c>
      <c r="C54" s="2" t="s">
        <v>234</v>
      </c>
      <c r="D54" s="5" t="s">
        <v>335</v>
      </c>
      <c r="E54" s="3" t="s">
        <v>235</v>
      </c>
      <c r="F54" s="4">
        <v>68355</v>
      </c>
      <c r="G54" s="2" t="s">
        <v>9</v>
      </c>
      <c r="H54" s="2" t="s">
        <v>10</v>
      </c>
      <c r="I54" s="2" t="s">
        <v>11</v>
      </c>
      <c r="J54" s="2" t="s">
        <v>396</v>
      </c>
      <c r="K54" s="2"/>
      <c r="L54" s="4">
        <v>68355</v>
      </c>
      <c r="M54" s="7">
        <f t="shared" si="1"/>
        <v>0</v>
      </c>
    </row>
    <row r="55" spans="1:13">
      <c r="A55" s="2" t="s">
        <v>236</v>
      </c>
      <c r="B55" s="2" t="s">
        <v>237</v>
      </c>
      <c r="C55" s="2" t="s">
        <v>238</v>
      </c>
      <c r="D55" s="5" t="s">
        <v>336</v>
      </c>
      <c r="E55" s="3" t="s">
        <v>239</v>
      </c>
      <c r="F55" s="4">
        <v>82250</v>
      </c>
      <c r="G55" s="2" t="s">
        <v>9</v>
      </c>
      <c r="H55" s="2" t="s">
        <v>10</v>
      </c>
      <c r="I55" s="2" t="s">
        <v>11</v>
      </c>
      <c r="J55" s="2" t="s">
        <v>397</v>
      </c>
      <c r="K55" s="2"/>
      <c r="L55" s="4">
        <v>82250</v>
      </c>
      <c r="M55" s="7">
        <f t="shared" si="1"/>
        <v>0</v>
      </c>
    </row>
    <row r="56" spans="1:13">
      <c r="A56" s="2" t="s">
        <v>240</v>
      </c>
      <c r="B56" s="2" t="s">
        <v>241</v>
      </c>
      <c r="C56" s="2" t="s">
        <v>242</v>
      </c>
      <c r="D56" s="6">
        <v>321618</v>
      </c>
      <c r="E56" s="3" t="s">
        <v>243</v>
      </c>
      <c r="F56" s="4">
        <v>54140</v>
      </c>
      <c r="G56" s="2" t="s">
        <v>9</v>
      </c>
      <c r="H56" s="2" t="s">
        <v>10</v>
      </c>
      <c r="I56" s="2" t="s">
        <v>11</v>
      </c>
      <c r="J56" s="2" t="s">
        <v>398</v>
      </c>
      <c r="K56" s="2"/>
      <c r="L56" s="4">
        <v>54140</v>
      </c>
      <c r="M56" s="7">
        <f t="shared" si="1"/>
        <v>0</v>
      </c>
    </row>
    <row r="57" spans="1:13">
      <c r="A57" s="2" t="s">
        <v>244</v>
      </c>
      <c r="B57" s="2" t="s">
        <v>245</v>
      </c>
      <c r="C57" s="2" t="s">
        <v>246</v>
      </c>
      <c r="D57" s="5" t="s">
        <v>337</v>
      </c>
      <c r="E57" s="3" t="s">
        <v>247</v>
      </c>
      <c r="F57" s="4">
        <v>80500</v>
      </c>
      <c r="G57" s="2" t="s">
        <v>9</v>
      </c>
      <c r="H57" s="2" t="s">
        <v>10</v>
      </c>
      <c r="I57" s="2" t="s">
        <v>11</v>
      </c>
      <c r="J57" s="2" t="s">
        <v>399</v>
      </c>
      <c r="K57" s="2"/>
      <c r="L57" s="4">
        <v>80500</v>
      </c>
      <c r="M57" s="7">
        <f t="shared" si="1"/>
        <v>0</v>
      </c>
    </row>
    <row r="58" spans="1:13">
      <c r="A58" s="2" t="s">
        <v>248</v>
      </c>
      <c r="B58" s="2" t="s">
        <v>249</v>
      </c>
      <c r="C58" s="2" t="s">
        <v>250</v>
      </c>
      <c r="D58" s="5" t="s">
        <v>338</v>
      </c>
      <c r="E58" s="3" t="s">
        <v>251</v>
      </c>
      <c r="F58" s="4">
        <v>54250</v>
      </c>
      <c r="G58" s="2" t="s">
        <v>9</v>
      </c>
      <c r="H58" s="2" t="s">
        <v>10</v>
      </c>
      <c r="I58" s="2" t="s">
        <v>11</v>
      </c>
      <c r="J58" s="2" t="s">
        <v>400</v>
      </c>
      <c r="K58" s="2"/>
      <c r="L58" s="4">
        <v>54250</v>
      </c>
      <c r="M58" s="7">
        <f t="shared" si="1"/>
        <v>0</v>
      </c>
    </row>
    <row r="59" spans="1:13">
      <c r="A59" s="2" t="s">
        <v>252</v>
      </c>
      <c r="B59" s="2" t="s">
        <v>253</v>
      </c>
      <c r="C59" s="2" t="s">
        <v>254</v>
      </c>
      <c r="D59" s="5" t="s">
        <v>339</v>
      </c>
      <c r="E59" s="3" t="s">
        <v>255</v>
      </c>
      <c r="F59" s="4">
        <v>79625</v>
      </c>
      <c r="G59" s="2" t="s">
        <v>9</v>
      </c>
      <c r="H59" s="2" t="s">
        <v>10</v>
      </c>
      <c r="I59" s="2" t="s">
        <v>11</v>
      </c>
      <c r="J59" s="2" t="s">
        <v>401</v>
      </c>
      <c r="K59" s="2"/>
      <c r="L59" s="4">
        <v>79625</v>
      </c>
      <c r="M59" s="7">
        <f t="shared" si="1"/>
        <v>0</v>
      </c>
    </row>
    <row r="60" spans="1:13">
      <c r="A60" s="2" t="s">
        <v>256</v>
      </c>
      <c r="B60" s="2" t="s">
        <v>257</v>
      </c>
      <c r="C60" s="2" t="s">
        <v>258</v>
      </c>
      <c r="D60" s="3" t="s">
        <v>259</v>
      </c>
      <c r="E60" s="3" t="s">
        <v>260</v>
      </c>
      <c r="F60" s="4">
        <v>53288</v>
      </c>
      <c r="G60" s="2" t="s">
        <v>9</v>
      </c>
      <c r="H60" s="2" t="s">
        <v>10</v>
      </c>
      <c r="I60" s="2" t="s">
        <v>11</v>
      </c>
      <c r="J60" s="2" t="s">
        <v>402</v>
      </c>
      <c r="K60" s="2"/>
      <c r="L60" s="4">
        <v>53288</v>
      </c>
      <c r="M60" s="7">
        <f t="shared" si="1"/>
        <v>0</v>
      </c>
    </row>
    <row r="61" spans="1:13">
      <c r="A61" s="2" t="s">
        <v>261</v>
      </c>
      <c r="B61" s="2" t="s">
        <v>262</v>
      </c>
      <c r="C61" s="2" t="s">
        <v>263</v>
      </c>
      <c r="D61" s="3" t="s">
        <v>264</v>
      </c>
      <c r="E61" s="3" t="s">
        <v>265</v>
      </c>
      <c r="F61" s="4">
        <v>45500</v>
      </c>
      <c r="G61" s="2" t="s">
        <v>9</v>
      </c>
      <c r="H61" s="2" t="s">
        <v>10</v>
      </c>
      <c r="I61" s="2" t="s">
        <v>11</v>
      </c>
      <c r="J61" s="2" t="s">
        <v>412</v>
      </c>
      <c r="K61" s="2"/>
      <c r="L61" s="4">
        <v>45500</v>
      </c>
      <c r="M61" s="7">
        <f t="shared" si="1"/>
        <v>0</v>
      </c>
    </row>
    <row r="62" spans="1:13">
      <c r="A62" s="2" t="s">
        <v>266</v>
      </c>
      <c r="B62" s="2" t="s">
        <v>267</v>
      </c>
      <c r="C62" s="2" t="s">
        <v>268</v>
      </c>
      <c r="D62" s="5" t="s">
        <v>340</v>
      </c>
      <c r="E62" s="3" t="s">
        <v>269</v>
      </c>
      <c r="F62" s="4">
        <v>35000</v>
      </c>
      <c r="G62" s="2" t="s">
        <v>9</v>
      </c>
      <c r="H62" s="2" t="s">
        <v>10</v>
      </c>
      <c r="I62" s="2" t="s">
        <v>11</v>
      </c>
      <c r="J62" s="2" t="s">
        <v>403</v>
      </c>
      <c r="K62" s="2"/>
      <c r="L62" s="4">
        <v>35000</v>
      </c>
      <c r="M62" s="7">
        <f t="shared" si="1"/>
        <v>0</v>
      </c>
    </row>
    <row r="63" spans="1:13">
      <c r="A63" s="2" t="s">
        <v>270</v>
      </c>
      <c r="B63" s="2" t="s">
        <v>271</v>
      </c>
      <c r="C63" s="2" t="s">
        <v>272</v>
      </c>
      <c r="D63" s="3" t="s">
        <v>273</v>
      </c>
      <c r="E63" s="3" t="s">
        <v>274</v>
      </c>
      <c r="F63" s="4">
        <v>40605</v>
      </c>
      <c r="G63" s="2" t="s">
        <v>9</v>
      </c>
      <c r="H63" s="2" t="s">
        <v>10</v>
      </c>
      <c r="I63" s="2" t="s">
        <v>11</v>
      </c>
      <c r="J63" s="2" t="s">
        <v>404</v>
      </c>
      <c r="K63" s="2"/>
      <c r="L63" s="4">
        <v>40605</v>
      </c>
      <c r="M63" s="7">
        <f t="shared" si="1"/>
        <v>0</v>
      </c>
    </row>
    <row r="64" spans="1:13">
      <c r="A64" s="2" t="s">
        <v>275</v>
      </c>
      <c r="B64" s="2" t="s">
        <v>276</v>
      </c>
      <c r="C64" s="2" t="s">
        <v>277</v>
      </c>
      <c r="D64" s="3" t="s">
        <v>278</v>
      </c>
      <c r="E64" s="3" t="s">
        <v>279</v>
      </c>
      <c r="F64" s="4">
        <v>49525</v>
      </c>
      <c r="G64" s="2" t="s">
        <v>9</v>
      </c>
      <c r="H64" s="2" t="s">
        <v>10</v>
      </c>
      <c r="I64" s="2" t="s">
        <v>11</v>
      </c>
      <c r="J64" s="2" t="s">
        <v>405</v>
      </c>
      <c r="K64" s="2"/>
      <c r="L64" s="4">
        <v>49525</v>
      </c>
      <c r="M64" s="7">
        <f t="shared" si="1"/>
        <v>0</v>
      </c>
    </row>
    <row r="65" spans="1:13">
      <c r="A65" s="2" t="s">
        <v>280</v>
      </c>
      <c r="B65" s="2" t="s">
        <v>281</v>
      </c>
      <c r="C65" s="2" t="s">
        <v>282</v>
      </c>
      <c r="D65" s="5" t="s">
        <v>341</v>
      </c>
      <c r="E65" s="3" t="s">
        <v>283</v>
      </c>
      <c r="F65" s="4">
        <v>74813</v>
      </c>
      <c r="G65" s="2" t="s">
        <v>9</v>
      </c>
      <c r="H65" s="2" t="s">
        <v>10</v>
      </c>
      <c r="I65" s="2" t="s">
        <v>11</v>
      </c>
      <c r="J65" s="2" t="s">
        <v>406</v>
      </c>
      <c r="K65" s="2"/>
      <c r="L65" s="4">
        <v>74813</v>
      </c>
      <c r="M65" s="7">
        <f t="shared" si="1"/>
        <v>0</v>
      </c>
    </row>
    <row r="66" spans="1:13">
      <c r="A66" s="2" t="s">
        <v>284</v>
      </c>
      <c r="B66" s="2" t="s">
        <v>285</v>
      </c>
      <c r="C66" s="2" t="s">
        <v>286</v>
      </c>
      <c r="D66" s="3" t="s">
        <v>287</v>
      </c>
      <c r="E66" s="3" t="s">
        <v>288</v>
      </c>
      <c r="F66" s="4">
        <v>50750</v>
      </c>
      <c r="G66" s="2" t="s">
        <v>9</v>
      </c>
      <c r="H66" s="2" t="s">
        <v>10</v>
      </c>
      <c r="I66" s="2" t="s">
        <v>11</v>
      </c>
      <c r="J66" s="2" t="s">
        <v>407</v>
      </c>
      <c r="K66" s="2"/>
      <c r="L66" s="4">
        <v>50750</v>
      </c>
      <c r="M66" s="7">
        <f t="shared" ref="M66:M69" si="2">F66-L66</f>
        <v>0</v>
      </c>
    </row>
    <row r="67" spans="1:13">
      <c r="A67" s="2" t="s">
        <v>289</v>
      </c>
      <c r="B67" s="2" t="s">
        <v>290</v>
      </c>
      <c r="C67" s="2" t="s">
        <v>291</v>
      </c>
      <c r="D67" s="5" t="s">
        <v>342</v>
      </c>
      <c r="E67" s="3" t="s">
        <v>292</v>
      </c>
      <c r="F67" s="4">
        <v>41125</v>
      </c>
      <c r="G67" s="2" t="s">
        <v>9</v>
      </c>
      <c r="H67" s="2" t="s">
        <v>10</v>
      </c>
      <c r="I67" s="2" t="s">
        <v>11</v>
      </c>
      <c r="J67" s="2" t="s">
        <v>408</v>
      </c>
      <c r="K67" s="2"/>
      <c r="L67" s="4">
        <v>41125</v>
      </c>
      <c r="M67" s="7">
        <f t="shared" si="2"/>
        <v>0</v>
      </c>
    </row>
    <row r="68" spans="1:13">
      <c r="A68" s="2" t="s">
        <v>293</v>
      </c>
      <c r="B68" s="2" t="s">
        <v>204</v>
      </c>
      <c r="C68" s="2" t="s">
        <v>294</v>
      </c>
      <c r="D68" s="3" t="s">
        <v>295</v>
      </c>
      <c r="E68" s="3" t="s">
        <v>296</v>
      </c>
      <c r="F68" s="4">
        <v>75250</v>
      </c>
      <c r="G68" s="2" t="s">
        <v>9</v>
      </c>
      <c r="H68" s="2" t="s">
        <v>10</v>
      </c>
      <c r="I68" s="2" t="s">
        <v>11</v>
      </c>
      <c r="J68" s="2" t="s">
        <v>409</v>
      </c>
      <c r="K68" s="2"/>
      <c r="L68" s="4">
        <v>75250</v>
      </c>
      <c r="M68" s="7">
        <f t="shared" si="2"/>
        <v>0</v>
      </c>
    </row>
    <row r="69" spans="1:13">
      <c r="A69" s="2" t="s">
        <v>297</v>
      </c>
      <c r="B69" s="2" t="s">
        <v>298</v>
      </c>
      <c r="C69" s="2" t="s">
        <v>299</v>
      </c>
      <c r="D69" s="6" t="s">
        <v>343</v>
      </c>
      <c r="E69" s="3" t="s">
        <v>300</v>
      </c>
      <c r="F69" s="4">
        <v>47373</v>
      </c>
      <c r="G69" s="2" t="s">
        <v>9</v>
      </c>
      <c r="H69" s="2" t="s">
        <v>10</v>
      </c>
      <c r="I69" s="2" t="s">
        <v>11</v>
      </c>
      <c r="J69" s="8" t="s">
        <v>346</v>
      </c>
      <c r="K69" s="8"/>
      <c r="L69" s="4">
        <v>47373</v>
      </c>
      <c r="M69" s="7">
        <f t="shared" si="2"/>
        <v>0</v>
      </c>
    </row>
    <row r="71" spans="1:13">
      <c r="F71" s="11">
        <f>SUM(F2:F70)</f>
        <v>4358562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B886B-3542-4D26-9D88-5E76BBCF7EEE}">
  <dimension ref="A1:H71"/>
  <sheetViews>
    <sheetView tabSelected="1" topLeftCell="F1" workbookViewId="0">
      <selection activeCell="G2" sqref="G2"/>
    </sheetView>
  </sheetViews>
  <sheetFormatPr defaultRowHeight="15"/>
  <cols>
    <col min="1" max="1" width="42.28515625" bestFit="1" customWidth="1"/>
    <col min="2" max="2" width="14.28515625" bestFit="1" customWidth="1"/>
    <col min="3" max="3" width="14" bestFit="1" customWidth="1"/>
    <col min="4" max="4" width="9.5703125" bestFit="1" customWidth="1"/>
    <col min="5" max="5" width="13.7109375" bestFit="1" customWidth="1"/>
    <col min="6" max="6" width="96.85546875" customWidth="1"/>
    <col min="7" max="7" width="87.7109375" customWidth="1"/>
    <col min="8" max="8" width="78.42578125" customWidth="1"/>
  </cols>
  <sheetData>
    <row r="1" spans="1:8">
      <c r="A1" s="12" t="s">
        <v>420</v>
      </c>
      <c r="B1" t="s">
        <v>421</v>
      </c>
      <c r="D1" s="1" t="s">
        <v>5</v>
      </c>
      <c r="E1" s="20" t="s">
        <v>563</v>
      </c>
    </row>
    <row r="2" spans="1:8" ht="110.25" customHeight="1">
      <c r="A2" s="2" t="s">
        <v>347</v>
      </c>
      <c r="B2" s="6" t="s">
        <v>551</v>
      </c>
      <c r="C2" s="4">
        <v>83160</v>
      </c>
      <c r="D2" s="13">
        <f>ROUND(C2,0)</f>
        <v>83160</v>
      </c>
      <c r="E2" s="20" t="s">
        <v>563</v>
      </c>
      <c r="F2" s="14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15" t="str">
        <f>"('"&amp;E2&amp;"','"&amp;B2&amp;"','"&amp;D2&amp;"',(select max(to_number(i.premium_rcv_detail_code))+1
from ins_premium_det i),'"&amp;D2&amp;"','"&amp;D2&amp;"','02', '11000003','00','Request by Mr. Sadiq Saleem 14-Oct-2024 allocation no.14Oct240094 ');"</f>
        <v>('14Oct240094','070000165002','83160',(select max(to_number(i.premium_rcv_detail_code))+1
from ins_premium_det i),'83160','83160','02', '11000003','00','Request by Mr. Sadiq Saleem 14-Oct-2024 allocation no.14Oct240094 ');</v>
      </c>
      <c r="H2" s="16" t="str">
        <f>F2&amp;G2</f>
        <v>insert into ins_premium_det (premium_rcv_code,assorted_code, rec_amount,premium_rcv_detail_code,remaining_amt, payrec, mode_code,coinsurance_code,class_cd,it_remarks) values('14Oct240094','070000165002','83160',(select max(to_number(i.premium_rcv_detail_code))+1
from ins_premium_det i),'83160','83160','02', '11000003','00','Request by Mr. Sadiq Saleem 14-Oct-2024 allocation no.14Oct240094 ');</v>
      </c>
    </row>
    <row r="3" spans="1:8" ht="45">
      <c r="A3" s="2" t="s">
        <v>348</v>
      </c>
      <c r="B3" s="6" t="s">
        <v>501</v>
      </c>
      <c r="C3" s="4">
        <v>79608</v>
      </c>
      <c r="D3" s="13">
        <f t="shared" ref="D3:D66" si="1">ROUND(C3,0)</f>
        <v>79608</v>
      </c>
      <c r="E3" s="20" t="s">
        <v>563</v>
      </c>
      <c r="F3" s="14" t="str">
        <f t="shared" si="0"/>
        <v>insert into ins_premium_det (premium_rcv_code,assorted_code, rec_amount,premium_rcv_detail_code,remaining_amt, payrec, mode_code,coinsurance_code,class_cd,it_remarks) values</v>
      </c>
    </row>
    <row r="4" spans="1:8" ht="45">
      <c r="A4" s="2" t="s">
        <v>349</v>
      </c>
      <c r="B4" s="6" t="s">
        <v>513</v>
      </c>
      <c r="C4" s="4">
        <v>82583</v>
      </c>
      <c r="D4" s="13">
        <f t="shared" si="1"/>
        <v>82583</v>
      </c>
      <c r="E4" s="20" t="s">
        <v>563</v>
      </c>
      <c r="F4" s="14" t="str">
        <f t="shared" si="0"/>
        <v>insert into ins_premium_det (premium_rcv_code,assorted_code, rec_amount,premium_rcv_detail_code,remaining_amt, payrec, mode_code,coinsurance_code,class_cd,it_remarks) values</v>
      </c>
    </row>
    <row r="5" spans="1:8" ht="45">
      <c r="A5" s="8" t="s">
        <v>344</v>
      </c>
      <c r="B5" s="6" t="s">
        <v>514</v>
      </c>
      <c r="C5" s="4">
        <v>59980</v>
      </c>
      <c r="D5" s="13">
        <f t="shared" si="1"/>
        <v>59980</v>
      </c>
      <c r="E5" s="20" t="s">
        <v>563</v>
      </c>
      <c r="F5" s="14" t="str">
        <f t="shared" si="0"/>
        <v>insert into ins_premium_det (premium_rcv_code,assorted_code, rec_amount,premium_rcv_detail_code,remaining_amt, payrec, mode_code,coinsurance_code,class_cd,it_remarks) values</v>
      </c>
    </row>
    <row r="6" spans="1:8" ht="45">
      <c r="A6" s="2" t="s">
        <v>350</v>
      </c>
      <c r="B6" s="6" t="s">
        <v>502</v>
      </c>
      <c r="C6" s="4">
        <v>47373</v>
      </c>
      <c r="D6" s="13">
        <f t="shared" si="1"/>
        <v>47373</v>
      </c>
      <c r="E6" s="20" t="s">
        <v>563</v>
      </c>
      <c r="F6" s="14" t="str">
        <f t="shared" si="0"/>
        <v>insert into ins_premium_det (premium_rcv_code,assorted_code, rec_amount,premium_rcv_detail_code,remaining_amt, payrec, mode_code,coinsurance_code,class_cd,it_remarks) values</v>
      </c>
    </row>
    <row r="7" spans="1:8" ht="45">
      <c r="A7" s="2" t="s">
        <v>351</v>
      </c>
      <c r="B7" s="6" t="s">
        <v>541</v>
      </c>
      <c r="C7" s="4">
        <v>54140</v>
      </c>
      <c r="D7" s="13">
        <f t="shared" si="1"/>
        <v>54140</v>
      </c>
      <c r="E7" s="20" t="s">
        <v>563</v>
      </c>
      <c r="F7" s="14" t="str">
        <f t="shared" si="0"/>
        <v>insert into ins_premium_det (premium_rcv_code,assorted_code, rec_amount,premium_rcv_detail_code,remaining_amt, payrec, mode_code,coinsurance_code,class_cd,it_remarks) values</v>
      </c>
    </row>
    <row r="8" spans="1:8" ht="45">
      <c r="A8" s="2" t="s">
        <v>410</v>
      </c>
      <c r="B8" s="19" t="s">
        <v>560</v>
      </c>
      <c r="C8" s="4">
        <v>68478</v>
      </c>
      <c r="D8" s="13">
        <f t="shared" si="1"/>
        <v>68478</v>
      </c>
      <c r="E8" s="20" t="s">
        <v>563</v>
      </c>
      <c r="F8" s="14" t="str">
        <f t="shared" si="0"/>
        <v>insert into ins_premium_det (premium_rcv_code,assorted_code, rec_amount,premium_rcv_detail_code,remaining_amt, payrec, mode_code,coinsurance_code,class_cd,it_remarks) values</v>
      </c>
    </row>
    <row r="9" spans="1:8" ht="45">
      <c r="A9" s="2" t="s">
        <v>352</v>
      </c>
      <c r="B9" s="6" t="s">
        <v>527</v>
      </c>
      <c r="C9" s="4">
        <v>35875</v>
      </c>
      <c r="D9" s="13">
        <f t="shared" si="1"/>
        <v>35875</v>
      </c>
      <c r="E9" s="20" t="s">
        <v>563</v>
      </c>
      <c r="F9" s="14" t="str">
        <f t="shared" si="0"/>
        <v>insert into ins_premium_det (premium_rcv_code,assorted_code, rec_amount,premium_rcv_detail_code,remaining_amt, payrec, mode_code,coinsurance_code,class_cd,it_remarks) values</v>
      </c>
    </row>
    <row r="10" spans="1:8" ht="45">
      <c r="A10" s="2" t="s">
        <v>353</v>
      </c>
      <c r="B10" s="6" t="s">
        <v>520</v>
      </c>
      <c r="C10" s="4">
        <v>47373</v>
      </c>
      <c r="D10" s="13">
        <f t="shared" si="1"/>
        <v>47373</v>
      </c>
      <c r="E10" s="20" t="s">
        <v>563</v>
      </c>
      <c r="F10" s="14" t="str">
        <f t="shared" si="0"/>
        <v>insert into ins_premium_det (premium_rcv_code,assorted_code, rec_amount,premium_rcv_detail_code,remaining_amt, payrec, mode_code,coinsurance_code,class_cd,it_remarks) values</v>
      </c>
    </row>
    <row r="11" spans="1:8" ht="45">
      <c r="A11" s="2" t="s">
        <v>354</v>
      </c>
      <c r="B11" s="6" t="s">
        <v>493</v>
      </c>
      <c r="C11" s="4">
        <v>86625</v>
      </c>
      <c r="D11" s="13">
        <f t="shared" si="1"/>
        <v>86625</v>
      </c>
      <c r="E11" s="20" t="s">
        <v>563</v>
      </c>
      <c r="F11" s="14" t="str">
        <f t="shared" si="0"/>
        <v>insert into ins_premium_det (premium_rcv_code,assorted_code, rec_amount,premium_rcv_detail_code,remaining_amt, payrec, mode_code,coinsurance_code,class_cd,it_remarks) values</v>
      </c>
    </row>
    <row r="12" spans="1:8" ht="45">
      <c r="A12" s="2" t="s">
        <v>355</v>
      </c>
      <c r="B12" s="6" t="s">
        <v>516</v>
      </c>
      <c r="C12" s="4">
        <v>105000</v>
      </c>
      <c r="D12" s="13">
        <f t="shared" si="1"/>
        <v>105000</v>
      </c>
      <c r="E12" s="20" t="s">
        <v>563</v>
      </c>
      <c r="F12" s="14" t="str">
        <f t="shared" si="0"/>
        <v>insert into ins_premium_det (premium_rcv_code,assorted_code, rec_amount,premium_rcv_detail_code,remaining_amt, payrec, mode_code,coinsurance_code,class_cd,it_remarks) values</v>
      </c>
    </row>
    <row r="13" spans="1:8" ht="45">
      <c r="A13" s="2" t="s">
        <v>356</v>
      </c>
      <c r="B13" s="6" t="s">
        <v>535</v>
      </c>
      <c r="C13" s="4">
        <v>47373</v>
      </c>
      <c r="D13" s="13">
        <f t="shared" si="1"/>
        <v>47373</v>
      </c>
      <c r="E13" s="20" t="s">
        <v>563</v>
      </c>
      <c r="F13" s="14" t="str">
        <f t="shared" si="0"/>
        <v>insert into ins_premium_det (premium_rcv_code,assorted_code, rec_amount,premium_rcv_detail_code,remaining_amt, payrec, mode_code,coinsurance_code,class_cd,it_remarks) values</v>
      </c>
    </row>
    <row r="14" spans="1:8" ht="45">
      <c r="A14" s="2" t="s">
        <v>357</v>
      </c>
      <c r="B14" s="6" t="s">
        <v>519</v>
      </c>
      <c r="C14" s="4">
        <v>155733</v>
      </c>
      <c r="D14" s="13">
        <f t="shared" si="1"/>
        <v>155733</v>
      </c>
      <c r="E14" s="20" t="s">
        <v>563</v>
      </c>
      <c r="F14" s="14" t="str">
        <f t="shared" si="0"/>
        <v>insert into ins_premium_det (premium_rcv_code,assorted_code, rec_amount,premium_rcv_detail_code,remaining_amt, payrec, mode_code,coinsurance_code,class_cd,it_remarks) values</v>
      </c>
    </row>
    <row r="15" spans="1:8" ht="45">
      <c r="A15" s="2" t="s">
        <v>358</v>
      </c>
      <c r="B15" s="6" t="s">
        <v>550</v>
      </c>
      <c r="C15" s="4">
        <v>47373</v>
      </c>
      <c r="D15" s="13">
        <f t="shared" si="1"/>
        <v>47373</v>
      </c>
      <c r="E15" s="20" t="s">
        <v>563</v>
      </c>
      <c r="F15" s="14" t="str">
        <f t="shared" si="0"/>
        <v>insert into ins_premium_det (premium_rcv_code,assorted_code, rec_amount,premium_rcv_detail_code,remaining_amt, payrec, mode_code,coinsurance_code,class_cd,it_remarks) values</v>
      </c>
    </row>
    <row r="16" spans="1:8" ht="45">
      <c r="A16" s="2" t="s">
        <v>359</v>
      </c>
      <c r="B16" s="6" t="s">
        <v>511</v>
      </c>
      <c r="C16" s="4">
        <v>74900</v>
      </c>
      <c r="D16" s="13">
        <f t="shared" si="1"/>
        <v>74900</v>
      </c>
      <c r="E16" s="20" t="s">
        <v>563</v>
      </c>
      <c r="F16" s="14" t="str">
        <f t="shared" si="0"/>
        <v>insert into ins_premium_det (premium_rcv_code,assorted_code, rec_amount,premium_rcv_detail_code,remaining_amt, payrec, mode_code,coinsurance_code,class_cd,it_remarks) values</v>
      </c>
    </row>
    <row r="17" spans="1:6" ht="45">
      <c r="A17" s="2" t="s">
        <v>360</v>
      </c>
      <c r="B17" s="6" t="s">
        <v>512</v>
      </c>
      <c r="C17" s="4">
        <v>65625</v>
      </c>
      <c r="D17" s="13">
        <f t="shared" si="1"/>
        <v>65625</v>
      </c>
      <c r="E17" s="20" t="s">
        <v>563</v>
      </c>
      <c r="F17" s="14" t="str">
        <f t="shared" si="0"/>
        <v>insert into ins_premium_det (premium_rcv_code,assorted_code, rec_amount,premium_rcv_detail_code,remaining_amt, payrec, mode_code,coinsurance_code,class_cd,it_remarks) values</v>
      </c>
    </row>
    <row r="18" spans="1:6" ht="45">
      <c r="A18" s="6" t="s">
        <v>419</v>
      </c>
      <c r="B18" s="6" t="s">
        <v>523</v>
      </c>
      <c r="C18" s="4">
        <v>45500</v>
      </c>
      <c r="D18" s="13">
        <f t="shared" si="1"/>
        <v>45500</v>
      </c>
      <c r="E18" s="20" t="s">
        <v>563</v>
      </c>
      <c r="F18" s="14" t="str">
        <f t="shared" si="0"/>
        <v>insert into ins_premium_det (premium_rcv_code,assorted_code, rec_amount,premium_rcv_detail_code,remaining_amt, payrec, mode_code,coinsurance_code,class_cd,it_remarks) values</v>
      </c>
    </row>
    <row r="19" spans="1:6" ht="45">
      <c r="A19" s="2" t="s">
        <v>361</v>
      </c>
      <c r="B19" s="6" t="s">
        <v>529</v>
      </c>
      <c r="C19" s="4">
        <v>40250</v>
      </c>
      <c r="D19" s="13">
        <f t="shared" si="1"/>
        <v>40250</v>
      </c>
      <c r="E19" s="20" t="s">
        <v>563</v>
      </c>
      <c r="F19" s="14" t="str">
        <f t="shared" si="0"/>
        <v>insert into ins_premium_det (premium_rcv_code,assorted_code, rec_amount,premium_rcv_detail_code,remaining_amt, payrec, mode_code,coinsurance_code,class_cd,it_remarks) values</v>
      </c>
    </row>
    <row r="20" spans="1:6" ht="45">
      <c r="A20" s="2" t="s">
        <v>362</v>
      </c>
      <c r="B20" s="6" t="s">
        <v>549</v>
      </c>
      <c r="C20" s="4">
        <v>70000</v>
      </c>
      <c r="D20" s="13">
        <f t="shared" si="1"/>
        <v>70000</v>
      </c>
      <c r="E20" s="20" t="s">
        <v>563</v>
      </c>
      <c r="F20" s="14" t="str">
        <f t="shared" si="0"/>
        <v>insert into ins_premium_det (premium_rcv_code,assorted_code, rec_amount,premium_rcv_detail_code,remaining_amt, payrec, mode_code,coinsurance_code,class_cd,it_remarks) values</v>
      </c>
    </row>
    <row r="21" spans="1:6" ht="45">
      <c r="A21" s="2" t="s">
        <v>363</v>
      </c>
      <c r="B21" s="6" t="s">
        <v>495</v>
      </c>
      <c r="C21" s="4">
        <v>38500</v>
      </c>
      <c r="D21" s="13">
        <f t="shared" si="1"/>
        <v>38500</v>
      </c>
      <c r="E21" s="20" t="s">
        <v>563</v>
      </c>
      <c r="F21" s="14" t="str">
        <f t="shared" si="0"/>
        <v>insert into ins_premium_det (premium_rcv_code,assorted_code, rec_amount,premium_rcv_detail_code,remaining_amt, payrec, mode_code,coinsurance_code,class_cd,it_remarks) values</v>
      </c>
    </row>
    <row r="22" spans="1:6" ht="45">
      <c r="A22" s="2" t="s">
        <v>364</v>
      </c>
      <c r="B22" s="6" t="s">
        <v>534</v>
      </c>
      <c r="C22" s="4">
        <v>37625</v>
      </c>
      <c r="D22" s="13">
        <f t="shared" si="1"/>
        <v>37625</v>
      </c>
      <c r="E22" s="20" t="s">
        <v>563</v>
      </c>
      <c r="F22" s="14" t="str">
        <f t="shared" si="0"/>
        <v>insert into ins_premium_det (premium_rcv_code,assorted_code, rec_amount,premium_rcv_detail_code,remaining_amt, payrec, mode_code,coinsurance_code,class_cd,it_remarks) values</v>
      </c>
    </row>
    <row r="23" spans="1:6" ht="45">
      <c r="A23" s="2" t="s">
        <v>365</v>
      </c>
      <c r="B23" s="6" t="s">
        <v>536</v>
      </c>
      <c r="C23" s="4">
        <v>41300</v>
      </c>
      <c r="D23" s="13">
        <f t="shared" si="1"/>
        <v>41300</v>
      </c>
      <c r="E23" s="20" t="s">
        <v>563</v>
      </c>
      <c r="F23" s="14" t="str">
        <f t="shared" si="0"/>
        <v>insert into ins_premium_det (premium_rcv_code,assorted_code, rec_amount,premium_rcv_detail_code,remaining_amt, payrec, mode_code,coinsurance_code,class_cd,it_remarks) values</v>
      </c>
    </row>
    <row r="24" spans="1:6" ht="45">
      <c r="A24" s="2" t="s">
        <v>366</v>
      </c>
      <c r="B24" s="6" t="s">
        <v>537</v>
      </c>
      <c r="C24" s="4">
        <v>49263</v>
      </c>
      <c r="D24" s="13">
        <f t="shared" si="1"/>
        <v>49263</v>
      </c>
      <c r="E24" s="20" t="s">
        <v>563</v>
      </c>
      <c r="F24" s="14" t="str">
        <f t="shared" si="0"/>
        <v>insert into ins_premium_det (premium_rcv_code,assorted_code, rec_amount,premium_rcv_detail_code,remaining_amt, payrec, mode_code,coinsurance_code,class_cd,it_remarks) values</v>
      </c>
    </row>
    <row r="25" spans="1:6" ht="45">
      <c r="A25" s="2" t="s">
        <v>367</v>
      </c>
      <c r="B25" s="6" t="s">
        <v>539</v>
      </c>
      <c r="C25" s="4">
        <v>56000</v>
      </c>
      <c r="D25" s="13">
        <f t="shared" si="1"/>
        <v>56000</v>
      </c>
      <c r="E25" s="20" t="s">
        <v>563</v>
      </c>
      <c r="F25" s="14" t="str">
        <f t="shared" si="0"/>
        <v>insert into ins_premium_det (premium_rcv_code,assorted_code, rec_amount,premium_rcv_detail_code,remaining_amt, payrec, mode_code,coinsurance_code,class_cd,it_remarks) values</v>
      </c>
    </row>
    <row r="26" spans="1:6" ht="45">
      <c r="A26" s="2" t="s">
        <v>368</v>
      </c>
      <c r="B26" s="6" t="s">
        <v>542</v>
      </c>
      <c r="C26" s="4">
        <v>42000</v>
      </c>
      <c r="D26" s="13">
        <f t="shared" si="1"/>
        <v>42000</v>
      </c>
      <c r="E26" s="20" t="s">
        <v>563</v>
      </c>
      <c r="F26" s="14" t="str">
        <f t="shared" si="0"/>
        <v>insert into ins_premium_det (premium_rcv_code,assorted_code, rec_amount,premium_rcv_detail_code,remaining_amt, payrec, mode_code,coinsurance_code,class_cd,it_remarks) values</v>
      </c>
    </row>
    <row r="27" spans="1:6" ht="45">
      <c r="A27" s="2" t="s">
        <v>369</v>
      </c>
      <c r="B27" s="6" t="s">
        <v>498</v>
      </c>
      <c r="C27" s="4">
        <v>82583</v>
      </c>
      <c r="D27" s="13">
        <f t="shared" si="1"/>
        <v>82583</v>
      </c>
      <c r="E27" s="20" t="s">
        <v>563</v>
      </c>
      <c r="F27" s="14" t="str">
        <f t="shared" si="0"/>
        <v>insert into ins_premium_det (premium_rcv_code,assorted_code, rec_amount,premium_rcv_detail_code,remaining_amt, payrec, mode_code,coinsurance_code,class_cd,it_remarks) values</v>
      </c>
    </row>
    <row r="28" spans="1:6" ht="45">
      <c r="A28" s="2" t="s">
        <v>370</v>
      </c>
      <c r="B28" s="6" t="s">
        <v>518</v>
      </c>
      <c r="C28" s="4">
        <v>134711</v>
      </c>
      <c r="D28" s="13">
        <f t="shared" si="1"/>
        <v>134711</v>
      </c>
      <c r="E28" s="20" t="s">
        <v>563</v>
      </c>
      <c r="F28" s="14" t="str">
        <f t="shared" si="0"/>
        <v>insert into ins_premium_det (premium_rcv_code,assorted_code, rec_amount,premium_rcv_detail_code,remaining_amt, payrec, mode_code,coinsurance_code,class_cd,it_remarks) values</v>
      </c>
    </row>
    <row r="29" spans="1:6" ht="45">
      <c r="A29" s="2" t="s">
        <v>371</v>
      </c>
      <c r="B29" s="6" t="s">
        <v>505</v>
      </c>
      <c r="C29" s="4">
        <v>35000</v>
      </c>
      <c r="D29" s="13">
        <f t="shared" si="1"/>
        <v>35000</v>
      </c>
      <c r="E29" s="20" t="s">
        <v>563</v>
      </c>
      <c r="F29" s="14" t="str">
        <f t="shared" si="0"/>
        <v>insert into ins_premium_det (premium_rcv_code,assorted_code, rec_amount,premium_rcv_detail_code,remaining_amt, payrec, mode_code,coinsurance_code,class_cd,it_remarks) values</v>
      </c>
    </row>
    <row r="30" spans="1:6" ht="45">
      <c r="A30" s="2" t="s">
        <v>372</v>
      </c>
      <c r="B30" s="6" t="s">
        <v>531</v>
      </c>
      <c r="C30" s="4">
        <v>52500</v>
      </c>
      <c r="D30" s="13">
        <f t="shared" si="1"/>
        <v>52500</v>
      </c>
      <c r="E30" s="20" t="s">
        <v>563</v>
      </c>
      <c r="F30" s="14" t="str">
        <f t="shared" si="0"/>
        <v>insert into ins_premium_det (premium_rcv_code,assorted_code, rec_amount,premium_rcv_detail_code,remaining_amt, payrec, mode_code,coinsurance_code,class_cd,it_remarks) values</v>
      </c>
    </row>
    <row r="31" spans="1:6" ht="45">
      <c r="A31" s="2" t="s">
        <v>373</v>
      </c>
      <c r="B31" s="6" t="s">
        <v>526</v>
      </c>
      <c r="C31" s="4">
        <v>80500</v>
      </c>
      <c r="D31" s="13">
        <f t="shared" si="1"/>
        <v>80500</v>
      </c>
      <c r="E31" s="20" t="s">
        <v>563</v>
      </c>
      <c r="F31" s="14" t="str">
        <f t="shared" si="0"/>
        <v>insert into ins_premium_det (premium_rcv_code,assorted_code, rec_amount,premium_rcv_detail_code,remaining_amt, payrec, mode_code,coinsurance_code,class_cd,it_remarks) values</v>
      </c>
    </row>
    <row r="32" spans="1:6" ht="45">
      <c r="A32" s="2" t="s">
        <v>374</v>
      </c>
      <c r="B32" s="6" t="s">
        <v>554</v>
      </c>
      <c r="C32" s="4">
        <v>43750</v>
      </c>
      <c r="D32" s="13">
        <f t="shared" si="1"/>
        <v>43750</v>
      </c>
      <c r="E32" s="20" t="s">
        <v>563</v>
      </c>
      <c r="F32" s="14" t="str">
        <f t="shared" si="0"/>
        <v>insert into ins_premium_det (premium_rcv_code,assorted_code, rec_amount,premium_rcv_detail_code,remaining_amt, payrec, mode_code,coinsurance_code,class_cd,it_remarks) values</v>
      </c>
    </row>
    <row r="33" spans="1:6" ht="45">
      <c r="A33" s="2" t="s">
        <v>375</v>
      </c>
      <c r="B33" s="6" t="s">
        <v>522</v>
      </c>
      <c r="C33" s="4">
        <v>60600</v>
      </c>
      <c r="D33" s="13">
        <f t="shared" si="1"/>
        <v>60600</v>
      </c>
      <c r="E33" s="20" t="s">
        <v>563</v>
      </c>
      <c r="F33" s="14" t="str">
        <f t="shared" si="0"/>
        <v>insert into ins_premium_det (premium_rcv_code,assorted_code, rec_amount,premium_rcv_detail_code,remaining_amt, payrec, mode_code,coinsurance_code,class_cd,it_remarks) values</v>
      </c>
    </row>
    <row r="34" spans="1:6" ht="45">
      <c r="A34" s="2" t="s">
        <v>376</v>
      </c>
      <c r="B34" s="6" t="s">
        <v>506</v>
      </c>
      <c r="C34" s="4">
        <v>70000</v>
      </c>
      <c r="D34" s="13">
        <f t="shared" si="1"/>
        <v>70000</v>
      </c>
      <c r="E34" s="20" t="s">
        <v>563</v>
      </c>
      <c r="F34" s="14" t="str">
        <f t="shared" si="0"/>
        <v>insert into ins_premium_det (premium_rcv_code,assorted_code, rec_amount,premium_rcv_detail_code,remaining_amt, payrec, mode_code,coinsurance_code,class_cd,it_remarks) values</v>
      </c>
    </row>
    <row r="35" spans="1:6" ht="45">
      <c r="A35" s="2" t="s">
        <v>377</v>
      </c>
      <c r="B35" s="6" t="s">
        <v>510</v>
      </c>
      <c r="C35" s="4">
        <v>34650</v>
      </c>
      <c r="D35" s="13">
        <f t="shared" si="1"/>
        <v>34650</v>
      </c>
      <c r="E35" s="20" t="s">
        <v>563</v>
      </c>
      <c r="F35" s="14" t="str">
        <f t="shared" si="0"/>
        <v>insert into ins_premium_det (premium_rcv_code,assorted_code, rec_amount,premium_rcv_detail_code,remaining_amt, payrec, mode_code,coinsurance_code,class_cd,it_remarks) values</v>
      </c>
    </row>
    <row r="36" spans="1:6" ht="45">
      <c r="A36" s="2" t="s">
        <v>378</v>
      </c>
      <c r="B36" s="6" t="s">
        <v>547</v>
      </c>
      <c r="C36" s="4">
        <v>126000</v>
      </c>
      <c r="D36" s="13">
        <f t="shared" si="1"/>
        <v>126000</v>
      </c>
      <c r="E36" s="20" t="s">
        <v>563</v>
      </c>
      <c r="F36" s="14" t="str">
        <f t="shared" si="0"/>
        <v>insert into ins_premium_det (premium_rcv_code,assorted_code, rec_amount,premium_rcv_detail_code,remaining_amt, payrec, mode_code,coinsurance_code,class_cd,it_remarks) values</v>
      </c>
    </row>
    <row r="37" spans="1:6" ht="45">
      <c r="A37" s="2" t="s">
        <v>379</v>
      </c>
      <c r="B37" s="6" t="s">
        <v>494</v>
      </c>
      <c r="C37" s="4">
        <v>50925</v>
      </c>
      <c r="D37" s="13">
        <f t="shared" si="1"/>
        <v>50925</v>
      </c>
      <c r="E37" s="20" t="s">
        <v>563</v>
      </c>
      <c r="F37" s="14" t="str">
        <f t="shared" si="0"/>
        <v>insert into ins_premium_det (premium_rcv_code,assorted_code, rec_amount,premium_rcv_detail_code,remaining_amt, payrec, mode_code,coinsurance_code,class_cd,it_remarks) values</v>
      </c>
    </row>
    <row r="38" spans="1:6" ht="45">
      <c r="A38" s="2" t="s">
        <v>380</v>
      </c>
      <c r="B38" s="6" t="s">
        <v>515</v>
      </c>
      <c r="C38" s="4">
        <v>86000</v>
      </c>
      <c r="D38" s="13">
        <f t="shared" si="1"/>
        <v>86000</v>
      </c>
      <c r="E38" s="20" t="s">
        <v>563</v>
      </c>
      <c r="F38" s="14" t="str">
        <f t="shared" si="0"/>
        <v>insert into ins_premium_det (premium_rcv_code,assorted_code, rec_amount,premium_rcv_detail_code,remaining_amt, payrec, mode_code,coinsurance_code,class_cd,it_remarks) values</v>
      </c>
    </row>
    <row r="39" spans="1:6" ht="45">
      <c r="A39" s="2" t="s">
        <v>381</v>
      </c>
      <c r="B39" s="6" t="s">
        <v>552</v>
      </c>
      <c r="C39" s="4">
        <v>77438</v>
      </c>
      <c r="D39" s="13">
        <f t="shared" si="1"/>
        <v>77438</v>
      </c>
      <c r="E39" s="20" t="s">
        <v>563</v>
      </c>
      <c r="F39" s="14" t="str">
        <f t="shared" si="0"/>
        <v>insert into ins_premium_det (premium_rcv_code,assorted_code, rec_amount,premium_rcv_detail_code,remaining_amt, payrec, mode_code,coinsurance_code,class_cd,it_remarks) values</v>
      </c>
    </row>
    <row r="40" spans="1:6" ht="45">
      <c r="A40" s="2" t="s">
        <v>382</v>
      </c>
      <c r="B40" s="6" t="s">
        <v>545</v>
      </c>
      <c r="C40" s="4">
        <v>105000</v>
      </c>
      <c r="D40" s="13">
        <f t="shared" si="1"/>
        <v>105000</v>
      </c>
      <c r="E40" s="20" t="s">
        <v>563</v>
      </c>
      <c r="F40" s="14" t="str">
        <f t="shared" si="0"/>
        <v>insert into ins_premium_det (premium_rcv_code,assorted_code, rec_amount,premium_rcv_detail_code,remaining_amt, payrec, mode_code,coinsurance_code,class_cd,it_remarks) values</v>
      </c>
    </row>
    <row r="41" spans="1:6" ht="45">
      <c r="A41" s="2" t="s">
        <v>383</v>
      </c>
      <c r="B41" s="6" t="s">
        <v>553</v>
      </c>
      <c r="C41" s="4">
        <v>42438</v>
      </c>
      <c r="D41" s="13">
        <f t="shared" si="1"/>
        <v>42438</v>
      </c>
      <c r="E41" s="20" t="s">
        <v>563</v>
      </c>
      <c r="F41" s="14" t="str">
        <f t="shared" si="0"/>
        <v>insert into ins_premium_det (premium_rcv_code,assorted_code, rec_amount,premium_rcv_detail_code,remaining_amt, payrec, mode_code,coinsurance_code,class_cd,it_remarks) values</v>
      </c>
    </row>
    <row r="42" spans="1:6" ht="45">
      <c r="A42" s="2" t="s">
        <v>384</v>
      </c>
      <c r="B42" s="6" t="s">
        <v>532</v>
      </c>
      <c r="C42" s="4">
        <v>70000</v>
      </c>
      <c r="D42" s="13">
        <f t="shared" si="1"/>
        <v>70000</v>
      </c>
      <c r="E42" s="20" t="s">
        <v>563</v>
      </c>
      <c r="F42" s="14" t="str">
        <f t="shared" si="0"/>
        <v>insert into ins_premium_det (premium_rcv_code,assorted_code, rec_amount,premium_rcv_detail_code,remaining_amt, payrec, mode_code,coinsurance_code,class_cd,it_remarks) values</v>
      </c>
    </row>
    <row r="43" spans="1:6" ht="45">
      <c r="A43" s="2" t="s">
        <v>385</v>
      </c>
      <c r="B43" s="6" t="s">
        <v>524</v>
      </c>
      <c r="C43" s="4">
        <v>59500</v>
      </c>
      <c r="D43" s="13">
        <f t="shared" si="1"/>
        <v>59500</v>
      </c>
      <c r="E43" s="20" t="s">
        <v>563</v>
      </c>
      <c r="F43" s="14" t="str">
        <f t="shared" si="0"/>
        <v>insert into ins_premium_det (premium_rcv_code,assorted_code, rec_amount,premium_rcv_detail_code,remaining_amt, payrec, mode_code,coinsurance_code,class_cd,it_remarks) values</v>
      </c>
    </row>
    <row r="44" spans="1:6" ht="45">
      <c r="A44" s="2" t="s">
        <v>386</v>
      </c>
      <c r="B44" s="6" t="s">
        <v>544</v>
      </c>
      <c r="C44" s="4">
        <v>47373</v>
      </c>
      <c r="D44" s="13">
        <f t="shared" si="1"/>
        <v>47373</v>
      </c>
      <c r="E44" s="20" t="s">
        <v>563</v>
      </c>
      <c r="F44" s="14" t="str">
        <f t="shared" si="0"/>
        <v>insert into ins_premium_det (premium_rcv_code,assorted_code, rec_amount,premium_rcv_detail_code,remaining_amt, payrec, mode_code,coinsurance_code,class_cd,it_remarks) values</v>
      </c>
    </row>
    <row r="45" spans="1:6" ht="45">
      <c r="A45" s="2" t="s">
        <v>387</v>
      </c>
      <c r="B45" s="6" t="s">
        <v>521</v>
      </c>
      <c r="C45" s="4">
        <v>93580</v>
      </c>
      <c r="D45" s="13">
        <f t="shared" si="1"/>
        <v>93580</v>
      </c>
      <c r="E45" s="20" t="s">
        <v>563</v>
      </c>
      <c r="F45" s="14" t="str">
        <f t="shared" si="0"/>
        <v>insert into ins_premium_det (premium_rcv_code,assorted_code, rec_amount,premium_rcv_detail_code,remaining_amt, payrec, mode_code,coinsurance_code,class_cd,it_remarks) values</v>
      </c>
    </row>
    <row r="46" spans="1:6" ht="45">
      <c r="A46" s="2" t="s">
        <v>388</v>
      </c>
      <c r="B46" s="6" t="s">
        <v>525</v>
      </c>
      <c r="C46" s="4">
        <v>59500</v>
      </c>
      <c r="D46" s="13">
        <f t="shared" si="1"/>
        <v>59500</v>
      </c>
      <c r="E46" s="20" t="s">
        <v>563</v>
      </c>
      <c r="F46" s="14" t="str">
        <f t="shared" si="0"/>
        <v>insert into ins_premium_det (premium_rcv_code,assorted_code, rec_amount,premium_rcv_detail_code,remaining_amt, payrec, mode_code,coinsurance_code,class_cd,it_remarks) values</v>
      </c>
    </row>
    <row r="47" spans="1:6" ht="45">
      <c r="A47" s="2" t="s">
        <v>389</v>
      </c>
      <c r="B47" s="6" t="s">
        <v>497</v>
      </c>
      <c r="C47" s="4">
        <v>131250</v>
      </c>
      <c r="D47" s="13">
        <f t="shared" si="1"/>
        <v>131250</v>
      </c>
      <c r="E47" s="20" t="s">
        <v>563</v>
      </c>
      <c r="F47" s="14" t="str">
        <f t="shared" si="0"/>
        <v>insert into ins_premium_det (premium_rcv_code,assorted_code, rec_amount,premium_rcv_detail_code,remaining_amt, payrec, mode_code,coinsurance_code,class_cd,it_remarks) values</v>
      </c>
    </row>
    <row r="48" spans="1:6" ht="45">
      <c r="A48" s="2" t="s">
        <v>390</v>
      </c>
      <c r="B48" s="6" t="s">
        <v>548</v>
      </c>
      <c r="C48" s="4">
        <v>74375</v>
      </c>
      <c r="D48" s="13">
        <f t="shared" si="1"/>
        <v>74375</v>
      </c>
      <c r="E48" s="20" t="s">
        <v>563</v>
      </c>
      <c r="F48" s="14" t="str">
        <f t="shared" si="0"/>
        <v>insert into ins_premium_det (premium_rcv_code,assorted_code, rec_amount,premium_rcv_detail_code,remaining_amt, payrec, mode_code,coinsurance_code,class_cd,it_remarks) values</v>
      </c>
    </row>
    <row r="49" spans="1:6" ht="45">
      <c r="A49" s="2" t="s">
        <v>391</v>
      </c>
      <c r="B49" s="6" t="s">
        <v>533</v>
      </c>
      <c r="C49" s="4">
        <v>21438</v>
      </c>
      <c r="D49" s="13">
        <f t="shared" si="1"/>
        <v>21438</v>
      </c>
      <c r="E49" s="20" t="s">
        <v>563</v>
      </c>
      <c r="F49" s="14" t="str">
        <f t="shared" si="0"/>
        <v>insert into ins_premium_det (premium_rcv_code,assorted_code, rec_amount,premium_rcv_detail_code,remaining_amt, payrec, mode_code,coinsurance_code,class_cd,it_remarks) values</v>
      </c>
    </row>
    <row r="50" spans="1:6" ht="45">
      <c r="A50" s="2" t="s">
        <v>392</v>
      </c>
      <c r="B50" s="6" t="s">
        <v>496</v>
      </c>
      <c r="C50" s="4">
        <v>43750</v>
      </c>
      <c r="D50" s="13">
        <f t="shared" si="1"/>
        <v>43750</v>
      </c>
      <c r="E50" s="20" t="s">
        <v>563</v>
      </c>
      <c r="F50" s="14" t="str">
        <f t="shared" si="0"/>
        <v>insert into ins_premium_det (premium_rcv_code,assorted_code, rec_amount,premium_rcv_detail_code,remaining_amt, payrec, mode_code,coinsurance_code,class_cd,it_remarks) values</v>
      </c>
    </row>
    <row r="51" spans="1:6" ht="45">
      <c r="A51" s="2" t="s">
        <v>393</v>
      </c>
      <c r="B51" s="6" t="s">
        <v>503</v>
      </c>
      <c r="C51" s="4">
        <v>74375</v>
      </c>
      <c r="D51" s="13">
        <f t="shared" si="1"/>
        <v>74375</v>
      </c>
      <c r="E51" s="20" t="s">
        <v>563</v>
      </c>
      <c r="F51" s="14" t="str">
        <f t="shared" si="0"/>
        <v>insert into ins_premium_det (premium_rcv_code,assorted_code, rec_amount,premium_rcv_detail_code,remaining_amt, payrec, mode_code,coinsurance_code,class_cd,it_remarks) values</v>
      </c>
    </row>
    <row r="52" spans="1:6" ht="45">
      <c r="A52" s="2" t="s">
        <v>394</v>
      </c>
      <c r="B52" s="6" t="s">
        <v>555</v>
      </c>
      <c r="C52" s="4">
        <v>53200</v>
      </c>
      <c r="D52" s="13">
        <f t="shared" si="1"/>
        <v>53200</v>
      </c>
      <c r="E52" s="20" t="s">
        <v>563</v>
      </c>
      <c r="F52" s="14" t="str">
        <f t="shared" si="0"/>
        <v>insert into ins_premium_det (premium_rcv_code,assorted_code, rec_amount,premium_rcv_detail_code,remaining_amt, payrec, mode_code,coinsurance_code,class_cd,it_remarks) values</v>
      </c>
    </row>
    <row r="53" spans="1:6" ht="45">
      <c r="A53" s="2" t="s">
        <v>395</v>
      </c>
      <c r="B53" s="6" t="s">
        <v>556</v>
      </c>
      <c r="C53" s="4">
        <v>54140</v>
      </c>
      <c r="D53" s="13">
        <f t="shared" si="1"/>
        <v>54140</v>
      </c>
      <c r="E53" s="20" t="s">
        <v>563</v>
      </c>
      <c r="F53" s="14" t="str">
        <f t="shared" si="0"/>
        <v>insert into ins_premium_det (premium_rcv_code,assorted_code, rec_amount,premium_rcv_detail_code,remaining_amt, payrec, mode_code,coinsurance_code,class_cd,it_remarks) values</v>
      </c>
    </row>
    <row r="54" spans="1:6" ht="45">
      <c r="A54" s="2" t="s">
        <v>396</v>
      </c>
      <c r="B54" s="6" t="s">
        <v>540</v>
      </c>
      <c r="C54" s="4">
        <v>68355</v>
      </c>
      <c r="D54" s="13">
        <f t="shared" si="1"/>
        <v>68355</v>
      </c>
      <c r="E54" s="20" t="s">
        <v>563</v>
      </c>
      <c r="F54" s="14" t="str">
        <f t="shared" si="0"/>
        <v>insert into ins_premium_det (premium_rcv_code,assorted_code, rec_amount,premium_rcv_detail_code,remaining_amt, payrec, mode_code,coinsurance_code,class_cd,it_remarks) values</v>
      </c>
    </row>
    <row r="55" spans="1:6" ht="45">
      <c r="A55" s="2" t="s">
        <v>397</v>
      </c>
      <c r="B55" s="6" t="s">
        <v>538</v>
      </c>
      <c r="C55" s="4">
        <v>82250</v>
      </c>
      <c r="D55" s="13">
        <f t="shared" si="1"/>
        <v>82250</v>
      </c>
      <c r="E55" s="20" t="s">
        <v>563</v>
      </c>
      <c r="F55" s="14" t="str">
        <f t="shared" si="0"/>
        <v>insert into ins_premium_det (premium_rcv_code,assorted_code, rec_amount,premium_rcv_detail_code,remaining_amt, payrec, mode_code,coinsurance_code,class_cd,it_remarks) values</v>
      </c>
    </row>
    <row r="56" spans="1:6" ht="45">
      <c r="A56" s="2" t="s">
        <v>398</v>
      </c>
      <c r="B56" s="6" t="s">
        <v>500</v>
      </c>
      <c r="C56" s="4">
        <v>54140</v>
      </c>
      <c r="D56" s="13">
        <f t="shared" si="1"/>
        <v>54140</v>
      </c>
      <c r="E56" s="20" t="s">
        <v>563</v>
      </c>
      <c r="F56" s="14" t="str">
        <f t="shared" si="0"/>
        <v>insert into ins_premium_det (premium_rcv_code,assorted_code, rec_amount,premium_rcv_detail_code,remaining_amt, payrec, mode_code,coinsurance_code,class_cd,it_remarks) values</v>
      </c>
    </row>
    <row r="57" spans="1:6" ht="45">
      <c r="A57" s="2" t="s">
        <v>399</v>
      </c>
      <c r="B57" s="6" t="s">
        <v>509</v>
      </c>
      <c r="C57" s="4">
        <v>80500</v>
      </c>
      <c r="D57" s="13">
        <f t="shared" si="1"/>
        <v>80500</v>
      </c>
      <c r="E57" s="20" t="s">
        <v>563</v>
      </c>
      <c r="F57" s="14" t="str">
        <f t="shared" si="0"/>
        <v>insert into ins_premium_det (premium_rcv_code,assorted_code, rec_amount,premium_rcv_detail_code,remaining_amt, payrec, mode_code,coinsurance_code,class_cd,it_remarks) values</v>
      </c>
    </row>
    <row r="58" spans="1:6" ht="45">
      <c r="A58" s="2" t="s">
        <v>400</v>
      </c>
      <c r="B58" s="6" t="s">
        <v>558</v>
      </c>
      <c r="C58" s="4">
        <v>54250</v>
      </c>
      <c r="D58" s="13">
        <f t="shared" si="1"/>
        <v>54250</v>
      </c>
      <c r="E58" s="20" t="s">
        <v>563</v>
      </c>
      <c r="F58" s="14" t="str">
        <f t="shared" si="0"/>
        <v>insert into ins_premium_det (premium_rcv_code,assorted_code, rec_amount,premium_rcv_detail_code,remaining_amt, payrec, mode_code,coinsurance_code,class_cd,it_remarks) values</v>
      </c>
    </row>
    <row r="59" spans="1:6" ht="45">
      <c r="A59" s="2" t="s">
        <v>401</v>
      </c>
      <c r="B59" s="6" t="s">
        <v>543</v>
      </c>
      <c r="C59" s="4">
        <v>79625</v>
      </c>
      <c r="D59" s="13">
        <f t="shared" si="1"/>
        <v>79625</v>
      </c>
      <c r="E59" s="20" t="s">
        <v>563</v>
      </c>
      <c r="F59" s="14" t="str">
        <f t="shared" si="0"/>
        <v>insert into ins_premium_det (premium_rcv_code,assorted_code, rec_amount,premium_rcv_detail_code,remaining_amt, payrec, mode_code,coinsurance_code,class_cd,it_remarks) values</v>
      </c>
    </row>
    <row r="60" spans="1:6" ht="45">
      <c r="A60" s="2" t="s">
        <v>402</v>
      </c>
      <c r="B60" s="6" t="s">
        <v>557</v>
      </c>
      <c r="C60" s="4">
        <v>53288</v>
      </c>
      <c r="D60" s="13">
        <f t="shared" si="1"/>
        <v>53288</v>
      </c>
      <c r="E60" s="20" t="s">
        <v>563</v>
      </c>
      <c r="F60" s="14" t="str">
        <f t="shared" si="0"/>
        <v>insert into ins_premium_det (premium_rcv_code,assorted_code, rec_amount,premium_rcv_detail_code,remaining_amt, payrec, mode_code,coinsurance_code,class_cd,it_remarks) values</v>
      </c>
    </row>
    <row r="61" spans="1:6" ht="45">
      <c r="A61" s="2" t="s">
        <v>412</v>
      </c>
      <c r="B61" s="19" t="s">
        <v>562</v>
      </c>
      <c r="C61" s="4">
        <v>45500</v>
      </c>
      <c r="D61" s="13">
        <f t="shared" si="1"/>
        <v>45500</v>
      </c>
      <c r="E61" s="20" t="s">
        <v>563</v>
      </c>
      <c r="F61" s="14" t="str">
        <f t="shared" si="0"/>
        <v>insert into ins_premium_det (premium_rcv_code,assorted_code, rec_amount,premium_rcv_detail_code,remaining_amt, payrec, mode_code,coinsurance_code,class_cd,it_remarks) values</v>
      </c>
    </row>
    <row r="62" spans="1:6" ht="45">
      <c r="A62" s="2" t="s">
        <v>403</v>
      </c>
      <c r="B62" s="6" t="s">
        <v>530</v>
      </c>
      <c r="C62" s="4">
        <v>35000</v>
      </c>
      <c r="D62" s="13">
        <f t="shared" si="1"/>
        <v>35000</v>
      </c>
      <c r="E62" s="20" t="s">
        <v>563</v>
      </c>
      <c r="F62" s="14" t="str">
        <f t="shared" si="0"/>
        <v>insert into ins_premium_det (premium_rcv_code,assorted_code, rec_amount,premium_rcv_detail_code,remaining_amt, payrec, mode_code,coinsurance_code,class_cd,it_remarks) values</v>
      </c>
    </row>
    <row r="63" spans="1:6" ht="45">
      <c r="A63" s="2" t="s">
        <v>404</v>
      </c>
      <c r="B63" s="6" t="s">
        <v>508</v>
      </c>
      <c r="C63" s="4">
        <v>40605</v>
      </c>
      <c r="D63" s="13">
        <f t="shared" si="1"/>
        <v>40605</v>
      </c>
      <c r="E63" s="20" t="s">
        <v>563</v>
      </c>
      <c r="F63" s="14" t="str">
        <f t="shared" si="0"/>
        <v>insert into ins_premium_det (premium_rcv_code,assorted_code, rec_amount,premium_rcv_detail_code,remaining_amt, payrec, mode_code,coinsurance_code,class_cd,it_remarks) values</v>
      </c>
    </row>
    <row r="64" spans="1:6" ht="45">
      <c r="A64" s="2" t="s">
        <v>405</v>
      </c>
      <c r="B64" s="6" t="s">
        <v>504</v>
      </c>
      <c r="C64" s="4">
        <v>49525</v>
      </c>
      <c r="D64" s="13">
        <f t="shared" si="1"/>
        <v>49525</v>
      </c>
      <c r="E64" s="20" t="s">
        <v>563</v>
      </c>
      <c r="F64" s="14" t="str">
        <f t="shared" si="0"/>
        <v>insert into ins_premium_det (premium_rcv_code,assorted_code, rec_amount,premium_rcv_detail_code,remaining_amt, payrec, mode_code,coinsurance_code,class_cd,it_remarks) values</v>
      </c>
    </row>
    <row r="65" spans="1:6" ht="45">
      <c r="A65" s="2" t="s">
        <v>406</v>
      </c>
      <c r="B65" s="6" t="s">
        <v>499</v>
      </c>
      <c r="C65" s="4">
        <v>74813</v>
      </c>
      <c r="D65" s="13">
        <f t="shared" si="1"/>
        <v>74813</v>
      </c>
      <c r="E65" s="20" t="s">
        <v>563</v>
      </c>
      <c r="F65" s="14" t="str">
        <f t="shared" si="0"/>
        <v>insert into ins_premium_det (premium_rcv_code,assorted_code, rec_amount,premium_rcv_detail_code,remaining_amt, payrec, mode_code,coinsurance_code,class_cd,it_remarks) values</v>
      </c>
    </row>
    <row r="66" spans="1:6" ht="45">
      <c r="A66" s="2" t="s">
        <v>407</v>
      </c>
      <c r="B66" s="6" t="s">
        <v>546</v>
      </c>
      <c r="C66" s="4">
        <v>50750</v>
      </c>
      <c r="D66" s="13">
        <f t="shared" si="1"/>
        <v>50750</v>
      </c>
      <c r="E66" s="20" t="s">
        <v>563</v>
      </c>
      <c r="F66" s="14" t="str">
        <f t="shared" ref="F66:F69" si="2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</row>
    <row r="67" spans="1:6" ht="45">
      <c r="A67" s="2" t="s">
        <v>408</v>
      </c>
      <c r="B67" s="6" t="s">
        <v>507</v>
      </c>
      <c r="C67" s="4">
        <v>41125</v>
      </c>
      <c r="D67" s="13">
        <f t="shared" ref="D67:D69" si="3">ROUND(C67,0)</f>
        <v>41125</v>
      </c>
      <c r="E67" s="20" t="s">
        <v>563</v>
      </c>
      <c r="F67" s="14" t="str">
        <f t="shared" si="2"/>
        <v>insert into ins_premium_det (premium_rcv_code,assorted_code, rec_amount,premium_rcv_detail_code,remaining_amt, payrec, mode_code,coinsurance_code,class_cd,it_remarks) values</v>
      </c>
    </row>
    <row r="68" spans="1:6" ht="45">
      <c r="A68" s="2" t="s">
        <v>409</v>
      </c>
      <c r="B68" s="6" t="s">
        <v>528</v>
      </c>
      <c r="C68" s="4">
        <v>75250</v>
      </c>
      <c r="D68" s="13">
        <f t="shared" si="3"/>
        <v>75250</v>
      </c>
      <c r="E68" s="20" t="s">
        <v>563</v>
      </c>
      <c r="F68" s="14" t="str">
        <f t="shared" si="2"/>
        <v>insert into ins_premium_det (premium_rcv_code,assorted_code, rec_amount,premium_rcv_detail_code,remaining_amt, payrec, mode_code,coinsurance_code,class_cd,it_remarks) values</v>
      </c>
    </row>
    <row r="69" spans="1:6" ht="45">
      <c r="A69" s="8" t="s">
        <v>346</v>
      </c>
      <c r="B69" s="6" t="s">
        <v>517</v>
      </c>
      <c r="C69" s="4">
        <v>47373</v>
      </c>
      <c r="D69" s="13">
        <f t="shared" si="3"/>
        <v>47373</v>
      </c>
      <c r="E69" s="20" t="s">
        <v>563</v>
      </c>
      <c r="F69" s="14" t="str">
        <f t="shared" si="2"/>
        <v>insert into ins_premium_det (premium_rcv_code,assorted_code, rec_amount,premium_rcv_detail_code,remaining_amt, payrec, mode_code,coinsurance_code,class_cd,it_remarks) values</v>
      </c>
    </row>
    <row r="71" spans="1:6">
      <c r="C71" s="18">
        <f>SUM(C2:C69)</f>
        <v>4358562</v>
      </c>
    </row>
  </sheetData>
  <conditionalFormatting sqref="A1">
    <cfRule type="duplicateValues" dxfId="3" priority="1"/>
  </conditionalFormatting>
  <conditionalFormatting sqref="A2:B2 B3:B69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B1FB2-528D-465D-A292-5325D52C1EBF}">
  <dimension ref="A1:J68"/>
  <sheetViews>
    <sheetView workbookViewId="0">
      <selection activeCell="J1" sqref="J1:J68"/>
    </sheetView>
  </sheetViews>
  <sheetFormatPr defaultRowHeight="15"/>
  <cols>
    <col min="1" max="1" width="42.28515625" bestFit="1" customWidth="1"/>
  </cols>
  <sheetData>
    <row r="1" spans="1:10">
      <c r="A1" s="2" t="s">
        <v>347</v>
      </c>
      <c r="B1" t="s">
        <v>422</v>
      </c>
      <c r="H1">
        <v>96638</v>
      </c>
      <c r="I1" t="s">
        <v>425</v>
      </c>
      <c r="J1" t="str">
        <f>"ia.assorted_string like '%"&amp;H1&amp;"-"&amp;I1&amp;B1&amp;"%' or"</f>
        <v>ia.assorted_string like '%96638-00001-09-2024%' or</v>
      </c>
    </row>
    <row r="2" spans="1:10">
      <c r="A2" s="2" t="s">
        <v>348</v>
      </c>
      <c r="B2" t="s">
        <v>422</v>
      </c>
      <c r="H2">
        <v>96638</v>
      </c>
      <c r="I2" t="s">
        <v>426</v>
      </c>
      <c r="J2" t="str">
        <f t="shared" ref="J2:J65" si="0">"ia.assorted_string like '%"&amp;H2&amp;"-"&amp;I2&amp;B2&amp;"%' or"</f>
        <v>ia.assorted_string like '%96638-00013-09-2024%' or</v>
      </c>
    </row>
    <row r="3" spans="1:10">
      <c r="A3" s="2" t="s">
        <v>349</v>
      </c>
      <c r="B3" t="s">
        <v>422</v>
      </c>
      <c r="H3">
        <v>96638</v>
      </c>
      <c r="I3" t="s">
        <v>427</v>
      </c>
      <c r="J3" t="str">
        <f t="shared" si="0"/>
        <v>ia.assorted_string like '%96638-00033-09-2024%' or</v>
      </c>
    </row>
    <row r="4" spans="1:10">
      <c r="A4" s="8" t="s">
        <v>344</v>
      </c>
      <c r="B4" t="s">
        <v>423</v>
      </c>
      <c r="H4">
        <v>94739</v>
      </c>
      <c r="I4" t="s">
        <v>428</v>
      </c>
      <c r="J4" t="str">
        <f t="shared" si="0"/>
        <v>ia.assorted_string like '%94739-00059-08-2024%' or</v>
      </c>
    </row>
    <row r="5" spans="1:10">
      <c r="A5" s="2" t="s">
        <v>350</v>
      </c>
      <c r="B5" t="s">
        <v>422</v>
      </c>
      <c r="H5">
        <v>96638</v>
      </c>
      <c r="I5" t="s">
        <v>429</v>
      </c>
      <c r="J5" t="str">
        <f t="shared" si="0"/>
        <v>ia.assorted_string like '%96638-00023-09-2024%' or</v>
      </c>
    </row>
    <row r="6" spans="1:10">
      <c r="A6" s="2" t="s">
        <v>351</v>
      </c>
      <c r="B6" t="s">
        <v>422</v>
      </c>
      <c r="H6">
        <v>96638</v>
      </c>
      <c r="I6" t="s">
        <v>430</v>
      </c>
      <c r="J6" t="str">
        <f t="shared" si="0"/>
        <v>ia.assorted_string like '%96638-00006-09-2024%' or</v>
      </c>
    </row>
    <row r="7" spans="1:10">
      <c r="A7" s="2" t="s">
        <v>410</v>
      </c>
      <c r="B7" t="s">
        <v>424</v>
      </c>
      <c r="H7">
        <v>98824</v>
      </c>
      <c r="I7" t="s">
        <v>425</v>
      </c>
      <c r="J7" t="str">
        <f t="shared" si="0"/>
        <v>ia.assorted_string like '%98824-00001-10-2024%' or</v>
      </c>
    </row>
    <row r="8" spans="1:10">
      <c r="A8" s="2" t="s">
        <v>352</v>
      </c>
      <c r="B8" t="s">
        <v>422</v>
      </c>
      <c r="H8">
        <v>96638</v>
      </c>
      <c r="I8" t="s">
        <v>431</v>
      </c>
      <c r="J8" t="str">
        <f t="shared" si="0"/>
        <v>ia.assorted_string like '%96638-00012-09-2024%' or</v>
      </c>
    </row>
    <row r="9" spans="1:10">
      <c r="A9" s="2" t="s">
        <v>353</v>
      </c>
      <c r="B9" t="s">
        <v>422</v>
      </c>
      <c r="H9">
        <v>96638</v>
      </c>
      <c r="I9" t="s">
        <v>432</v>
      </c>
      <c r="J9" t="str">
        <f t="shared" si="0"/>
        <v>ia.assorted_string like '%96638-00014-09-2024%' or</v>
      </c>
    </row>
    <row r="10" spans="1:10">
      <c r="A10" s="2" t="s">
        <v>354</v>
      </c>
      <c r="B10" t="s">
        <v>422</v>
      </c>
      <c r="H10">
        <v>96638</v>
      </c>
      <c r="I10" t="s">
        <v>433</v>
      </c>
      <c r="J10" t="str">
        <f t="shared" si="0"/>
        <v>ia.assorted_string like '%96638-00025-09-2024%' or</v>
      </c>
    </row>
    <row r="11" spans="1:10">
      <c r="A11" s="2" t="s">
        <v>355</v>
      </c>
      <c r="B11" t="s">
        <v>422</v>
      </c>
      <c r="H11">
        <v>96638</v>
      </c>
      <c r="I11" t="s">
        <v>434</v>
      </c>
      <c r="J11" t="str">
        <f t="shared" si="0"/>
        <v>ia.assorted_string like '%96638-00031-09-2024%' or</v>
      </c>
    </row>
    <row r="12" spans="1:10">
      <c r="A12" s="2" t="s">
        <v>356</v>
      </c>
      <c r="B12" t="s">
        <v>422</v>
      </c>
      <c r="H12">
        <v>96638</v>
      </c>
      <c r="I12" t="s">
        <v>435</v>
      </c>
      <c r="J12" t="str">
        <f t="shared" si="0"/>
        <v>ia.assorted_string like '%96638-00056-09-2024%' or</v>
      </c>
    </row>
    <row r="13" spans="1:10">
      <c r="A13" s="2" t="s">
        <v>357</v>
      </c>
      <c r="B13" t="s">
        <v>422</v>
      </c>
      <c r="H13">
        <v>96638</v>
      </c>
      <c r="I13" t="s">
        <v>436</v>
      </c>
      <c r="J13" t="str">
        <f t="shared" si="0"/>
        <v>ia.assorted_string like '%96638-00060-09-2024%' or</v>
      </c>
    </row>
    <row r="14" spans="1:10">
      <c r="A14" s="2" t="s">
        <v>358</v>
      </c>
      <c r="B14" t="s">
        <v>422</v>
      </c>
      <c r="H14">
        <v>96638</v>
      </c>
      <c r="I14" t="s">
        <v>437</v>
      </c>
      <c r="J14" t="str">
        <f t="shared" si="0"/>
        <v>ia.assorted_string like '%96638-00067-09-2024%' or</v>
      </c>
    </row>
    <row r="15" spans="1:10">
      <c r="A15" s="2" t="s">
        <v>359</v>
      </c>
      <c r="B15" t="s">
        <v>422</v>
      </c>
      <c r="H15">
        <v>96638</v>
      </c>
      <c r="I15" t="s">
        <v>438</v>
      </c>
      <c r="J15" t="str">
        <f t="shared" si="0"/>
        <v>ia.assorted_string like '%96638-00008-09-2024%' or</v>
      </c>
    </row>
    <row r="16" spans="1:10">
      <c r="A16" s="2" t="s">
        <v>360</v>
      </c>
      <c r="B16" t="s">
        <v>422</v>
      </c>
      <c r="H16">
        <v>96638</v>
      </c>
      <c r="I16" t="s">
        <v>439</v>
      </c>
      <c r="J16" t="str">
        <f t="shared" si="0"/>
        <v>ia.assorted_string like '%96638-00009-09-2024%' or</v>
      </c>
    </row>
    <row r="17" spans="1:10">
      <c r="A17" s="6" t="s">
        <v>419</v>
      </c>
      <c r="B17" t="s">
        <v>422</v>
      </c>
      <c r="H17">
        <v>96638</v>
      </c>
      <c r="I17" t="s">
        <v>440</v>
      </c>
      <c r="J17" t="str">
        <f t="shared" si="0"/>
        <v>ia.assorted_string like '%96638-00011-09-2024%' or</v>
      </c>
    </row>
    <row r="18" spans="1:10">
      <c r="A18" s="2" t="s">
        <v>361</v>
      </c>
      <c r="B18" t="s">
        <v>422</v>
      </c>
      <c r="H18">
        <v>96638</v>
      </c>
      <c r="I18" t="s">
        <v>441</v>
      </c>
      <c r="J18" t="str">
        <f t="shared" si="0"/>
        <v>ia.assorted_string like '%96638-00015-09-2024%' or</v>
      </c>
    </row>
    <row r="19" spans="1:10">
      <c r="A19" s="2" t="s">
        <v>362</v>
      </c>
      <c r="B19" t="s">
        <v>422</v>
      </c>
      <c r="H19">
        <v>96638</v>
      </c>
      <c r="I19" t="s">
        <v>442</v>
      </c>
      <c r="J19" t="str">
        <f t="shared" si="0"/>
        <v>ia.assorted_string like '%96638-00019-09-2024%' or</v>
      </c>
    </row>
    <row r="20" spans="1:10">
      <c r="A20" s="2" t="s">
        <v>363</v>
      </c>
      <c r="B20" t="s">
        <v>422</v>
      </c>
      <c r="H20">
        <v>96638</v>
      </c>
      <c r="I20" t="s">
        <v>443</v>
      </c>
      <c r="J20" t="str">
        <f t="shared" si="0"/>
        <v>ia.assorted_string like '%96638-00039-09-2024%' or</v>
      </c>
    </row>
    <row r="21" spans="1:10">
      <c r="A21" s="2" t="s">
        <v>364</v>
      </c>
      <c r="B21" t="s">
        <v>422</v>
      </c>
      <c r="H21">
        <v>96638</v>
      </c>
      <c r="I21" t="s">
        <v>444</v>
      </c>
      <c r="J21" t="str">
        <f t="shared" si="0"/>
        <v>ia.assorted_string like '%96638-00043-09-2024%' or</v>
      </c>
    </row>
    <row r="22" spans="1:10">
      <c r="A22" s="2" t="s">
        <v>365</v>
      </c>
      <c r="B22" t="s">
        <v>422</v>
      </c>
      <c r="H22">
        <v>96638</v>
      </c>
      <c r="I22" t="s">
        <v>445</v>
      </c>
      <c r="J22" t="str">
        <f t="shared" si="0"/>
        <v>ia.assorted_string like '%96638-00057-09-2024%' or</v>
      </c>
    </row>
    <row r="23" spans="1:10">
      <c r="A23" s="2" t="s">
        <v>366</v>
      </c>
      <c r="B23" t="s">
        <v>422</v>
      </c>
      <c r="H23">
        <v>96638</v>
      </c>
      <c r="I23" t="s">
        <v>446</v>
      </c>
      <c r="J23" t="str">
        <f t="shared" si="0"/>
        <v>ia.assorted_string like '%96638-00058-09-2024%' or</v>
      </c>
    </row>
    <row r="24" spans="1:10">
      <c r="A24" s="2" t="s">
        <v>367</v>
      </c>
      <c r="B24" t="s">
        <v>422</v>
      </c>
      <c r="H24">
        <v>96638</v>
      </c>
      <c r="I24" t="s">
        <v>447</v>
      </c>
      <c r="J24" t="str">
        <f t="shared" si="0"/>
        <v>ia.assorted_string like '%96638-00066-09-2024%' or</v>
      </c>
    </row>
    <row r="25" spans="1:10">
      <c r="A25" s="2" t="s">
        <v>368</v>
      </c>
      <c r="B25" t="s">
        <v>422</v>
      </c>
      <c r="H25">
        <v>96638</v>
      </c>
      <c r="I25" t="s">
        <v>448</v>
      </c>
      <c r="J25" t="str">
        <f t="shared" si="0"/>
        <v>ia.assorted_string like '%96638-00065-09-2024%' or</v>
      </c>
    </row>
    <row r="26" spans="1:10">
      <c r="A26" s="2" t="s">
        <v>369</v>
      </c>
      <c r="B26" t="s">
        <v>422</v>
      </c>
      <c r="H26">
        <v>96638</v>
      </c>
      <c r="I26" t="s">
        <v>449</v>
      </c>
      <c r="J26" t="str">
        <f t="shared" si="0"/>
        <v>ia.assorted_string like '%96638-00003-09-2024%' or</v>
      </c>
    </row>
    <row r="27" spans="1:10">
      <c r="A27" s="2" t="s">
        <v>370</v>
      </c>
      <c r="B27" t="s">
        <v>422</v>
      </c>
      <c r="H27">
        <v>96638</v>
      </c>
      <c r="I27" t="s">
        <v>450</v>
      </c>
      <c r="J27" t="str">
        <f t="shared" si="0"/>
        <v>ia.assorted_string like '%96638-00053-09-2024%' or</v>
      </c>
    </row>
    <row r="28" spans="1:10">
      <c r="A28" s="2" t="s">
        <v>371</v>
      </c>
      <c r="B28" t="s">
        <v>422</v>
      </c>
      <c r="H28">
        <v>96638</v>
      </c>
      <c r="I28" t="s">
        <v>451</v>
      </c>
      <c r="J28" t="str">
        <f t="shared" si="0"/>
        <v>ia.assorted_string like '%96638-00007-09-2024%' or</v>
      </c>
    </row>
    <row r="29" spans="1:10">
      <c r="A29" s="2" t="s">
        <v>372</v>
      </c>
      <c r="B29" t="s">
        <v>422</v>
      </c>
      <c r="H29">
        <v>96638</v>
      </c>
      <c r="I29" t="s">
        <v>452</v>
      </c>
      <c r="J29" t="str">
        <f t="shared" si="0"/>
        <v>ia.assorted_string like '%96638-00004-09-2024%' or</v>
      </c>
    </row>
    <row r="30" spans="1:10">
      <c r="A30" s="2" t="s">
        <v>373</v>
      </c>
      <c r="B30" t="s">
        <v>422</v>
      </c>
      <c r="H30">
        <v>96638</v>
      </c>
      <c r="I30" t="s">
        <v>453</v>
      </c>
      <c r="J30" t="str">
        <f t="shared" si="0"/>
        <v>ia.assorted_string like '%96638-00002-09-2024%' or</v>
      </c>
    </row>
    <row r="31" spans="1:10">
      <c r="A31" s="2" t="s">
        <v>374</v>
      </c>
      <c r="B31" t="s">
        <v>422</v>
      </c>
      <c r="H31">
        <v>96638</v>
      </c>
      <c r="I31" t="s">
        <v>454</v>
      </c>
      <c r="J31" t="str">
        <f t="shared" si="0"/>
        <v>ia.assorted_string like '%96638-00005-09-2024%' or</v>
      </c>
    </row>
    <row r="32" spans="1:10">
      <c r="A32" s="2" t="s">
        <v>375</v>
      </c>
      <c r="B32" t="s">
        <v>422</v>
      </c>
      <c r="H32">
        <v>96638</v>
      </c>
      <c r="I32" t="s">
        <v>455</v>
      </c>
      <c r="J32" t="str">
        <f t="shared" si="0"/>
        <v>ia.assorted_string like '%96638-00010-09-2024%' or</v>
      </c>
    </row>
    <row r="33" spans="1:10">
      <c r="A33" s="2" t="s">
        <v>376</v>
      </c>
      <c r="B33" t="s">
        <v>422</v>
      </c>
      <c r="H33">
        <v>96638</v>
      </c>
      <c r="I33" t="s">
        <v>456</v>
      </c>
      <c r="J33" t="str">
        <f t="shared" si="0"/>
        <v>ia.assorted_string like '%96638-00018-09-2024%' or</v>
      </c>
    </row>
    <row r="34" spans="1:10">
      <c r="A34" s="2" t="s">
        <v>377</v>
      </c>
      <c r="B34" t="s">
        <v>422</v>
      </c>
      <c r="H34">
        <v>96638</v>
      </c>
      <c r="I34" t="s">
        <v>457</v>
      </c>
      <c r="J34" t="str">
        <f t="shared" si="0"/>
        <v>ia.assorted_string like '%96638-00017-09-2024%' or</v>
      </c>
    </row>
    <row r="35" spans="1:10">
      <c r="A35" s="2" t="s">
        <v>378</v>
      </c>
      <c r="B35" t="s">
        <v>422</v>
      </c>
      <c r="H35">
        <v>96638</v>
      </c>
      <c r="I35" t="s">
        <v>458</v>
      </c>
      <c r="J35" t="str">
        <f t="shared" si="0"/>
        <v>ia.assorted_string like '%96638-00021-09-2024%' or</v>
      </c>
    </row>
    <row r="36" spans="1:10">
      <c r="A36" s="2" t="s">
        <v>379</v>
      </c>
      <c r="B36" t="s">
        <v>422</v>
      </c>
      <c r="H36">
        <v>96638</v>
      </c>
      <c r="I36" t="s">
        <v>459</v>
      </c>
      <c r="J36" t="str">
        <f t="shared" si="0"/>
        <v>ia.assorted_string like '%96638-00024-09-2024%' or</v>
      </c>
    </row>
    <row r="37" spans="1:10">
      <c r="A37" s="2" t="s">
        <v>380</v>
      </c>
      <c r="B37" t="s">
        <v>422</v>
      </c>
      <c r="H37">
        <v>96638</v>
      </c>
      <c r="I37" t="s">
        <v>460</v>
      </c>
      <c r="J37" t="str">
        <f t="shared" si="0"/>
        <v>ia.assorted_string like '%96638-00026-09-2024%' or</v>
      </c>
    </row>
    <row r="38" spans="1:10">
      <c r="A38" s="2" t="s">
        <v>381</v>
      </c>
      <c r="B38" t="s">
        <v>422</v>
      </c>
      <c r="H38">
        <v>96638</v>
      </c>
      <c r="I38" t="s">
        <v>461</v>
      </c>
      <c r="J38" t="str">
        <f t="shared" si="0"/>
        <v>ia.assorted_string like '%96638-00027-09-2024%' or</v>
      </c>
    </row>
    <row r="39" spans="1:10">
      <c r="A39" s="2" t="s">
        <v>382</v>
      </c>
      <c r="B39" t="s">
        <v>422</v>
      </c>
      <c r="H39">
        <v>96638</v>
      </c>
      <c r="I39" t="s">
        <v>462</v>
      </c>
      <c r="J39" t="str">
        <f t="shared" si="0"/>
        <v>ia.assorted_string like '%96638-00030-09-2024%' or</v>
      </c>
    </row>
    <row r="40" spans="1:10">
      <c r="A40" s="2" t="s">
        <v>383</v>
      </c>
      <c r="B40" t="s">
        <v>422</v>
      </c>
      <c r="H40">
        <v>96638</v>
      </c>
      <c r="I40" t="s">
        <v>463</v>
      </c>
      <c r="J40" t="str">
        <f t="shared" si="0"/>
        <v>ia.assorted_string like '%96638-00028-09-2024%' or</v>
      </c>
    </row>
    <row r="41" spans="1:10">
      <c r="A41" s="2" t="s">
        <v>384</v>
      </c>
      <c r="B41" t="s">
        <v>422</v>
      </c>
      <c r="H41">
        <v>96638</v>
      </c>
      <c r="I41" t="s">
        <v>464</v>
      </c>
      <c r="J41" t="str">
        <f t="shared" si="0"/>
        <v>ia.assorted_string like '%96638-00035-09-2024%' or</v>
      </c>
    </row>
    <row r="42" spans="1:10">
      <c r="A42" s="2" t="s">
        <v>385</v>
      </c>
      <c r="B42" t="s">
        <v>422</v>
      </c>
      <c r="H42">
        <v>96638</v>
      </c>
      <c r="I42" t="s">
        <v>465</v>
      </c>
      <c r="J42" t="str">
        <f t="shared" si="0"/>
        <v>ia.assorted_string like '%96638-00037-09-2024%' or</v>
      </c>
    </row>
    <row r="43" spans="1:10">
      <c r="A43" s="2" t="s">
        <v>386</v>
      </c>
      <c r="B43" t="s">
        <v>422</v>
      </c>
      <c r="H43">
        <v>96638</v>
      </c>
      <c r="I43" t="s">
        <v>466</v>
      </c>
      <c r="J43" t="str">
        <f t="shared" si="0"/>
        <v>ia.assorted_string like '%96638-00034-09-2024%' or</v>
      </c>
    </row>
    <row r="44" spans="1:10">
      <c r="A44" s="2" t="s">
        <v>387</v>
      </c>
      <c r="B44" t="s">
        <v>422</v>
      </c>
      <c r="H44">
        <v>96638</v>
      </c>
      <c r="I44" t="s">
        <v>467</v>
      </c>
      <c r="J44" t="str">
        <f t="shared" si="0"/>
        <v>ia.assorted_string like '%96638-00042-09-2024%' or</v>
      </c>
    </row>
    <row r="45" spans="1:10">
      <c r="A45" s="2" t="s">
        <v>388</v>
      </c>
      <c r="B45" t="s">
        <v>422</v>
      </c>
      <c r="H45">
        <v>96638</v>
      </c>
      <c r="I45" t="s">
        <v>468</v>
      </c>
      <c r="J45" t="str">
        <f t="shared" si="0"/>
        <v>ia.assorted_string like '%96638-00049-09-2024%' or</v>
      </c>
    </row>
    <row r="46" spans="1:10">
      <c r="A46" s="2" t="s">
        <v>389</v>
      </c>
      <c r="B46" t="s">
        <v>422</v>
      </c>
      <c r="H46">
        <v>96638</v>
      </c>
      <c r="I46" t="s">
        <v>469</v>
      </c>
      <c r="J46" t="str">
        <f t="shared" si="0"/>
        <v>ia.assorted_string like '%96638-00048-09-2024%' or</v>
      </c>
    </row>
    <row r="47" spans="1:10">
      <c r="A47" s="2" t="s">
        <v>390</v>
      </c>
      <c r="B47" t="s">
        <v>422</v>
      </c>
      <c r="H47">
        <v>96638</v>
      </c>
      <c r="I47" t="s">
        <v>470</v>
      </c>
      <c r="J47" t="str">
        <f t="shared" si="0"/>
        <v>ia.assorted_string like '%96638-00040-09-2024%' or</v>
      </c>
    </row>
    <row r="48" spans="1:10">
      <c r="A48" s="2" t="s">
        <v>391</v>
      </c>
      <c r="B48" t="s">
        <v>422</v>
      </c>
      <c r="H48">
        <v>96638</v>
      </c>
      <c r="I48" t="s">
        <v>471</v>
      </c>
      <c r="J48" t="str">
        <f t="shared" si="0"/>
        <v>ia.assorted_string like '%96638-00038-09-2024%' or</v>
      </c>
    </row>
    <row r="49" spans="1:10">
      <c r="A49" s="2" t="s">
        <v>392</v>
      </c>
      <c r="B49" t="s">
        <v>422</v>
      </c>
      <c r="H49">
        <v>96638</v>
      </c>
      <c r="I49" t="s">
        <v>472</v>
      </c>
      <c r="J49" t="str">
        <f t="shared" si="0"/>
        <v>ia.assorted_string like '%96638-00044-09-2024%' or</v>
      </c>
    </row>
    <row r="50" spans="1:10">
      <c r="A50" s="2" t="s">
        <v>393</v>
      </c>
      <c r="B50" t="s">
        <v>422</v>
      </c>
      <c r="H50">
        <v>96638</v>
      </c>
      <c r="I50" t="s">
        <v>473</v>
      </c>
      <c r="J50" t="str">
        <f t="shared" si="0"/>
        <v>ia.assorted_string like '%96638-00054-09-2024%' or</v>
      </c>
    </row>
    <row r="51" spans="1:10">
      <c r="A51" s="2" t="s">
        <v>394</v>
      </c>
      <c r="B51" t="s">
        <v>422</v>
      </c>
      <c r="H51">
        <v>96638</v>
      </c>
      <c r="I51" t="s">
        <v>474</v>
      </c>
      <c r="J51" t="str">
        <f t="shared" si="0"/>
        <v>ia.assorted_string like '%96638-00051-09-2024%' or</v>
      </c>
    </row>
    <row r="52" spans="1:10">
      <c r="A52" s="2" t="s">
        <v>395</v>
      </c>
      <c r="B52" t="s">
        <v>422</v>
      </c>
      <c r="H52">
        <v>96638</v>
      </c>
      <c r="I52" t="s">
        <v>475</v>
      </c>
      <c r="J52" t="str">
        <f t="shared" si="0"/>
        <v>ia.assorted_string like '%96638-00061-09-2024%' or</v>
      </c>
    </row>
    <row r="53" spans="1:10">
      <c r="A53" s="2" t="s">
        <v>396</v>
      </c>
      <c r="B53" t="s">
        <v>422</v>
      </c>
      <c r="H53">
        <v>96638</v>
      </c>
      <c r="I53" t="s">
        <v>476</v>
      </c>
      <c r="J53" t="str">
        <f t="shared" si="0"/>
        <v>ia.assorted_string like '%96638-00050-09-2024%' or</v>
      </c>
    </row>
    <row r="54" spans="1:10">
      <c r="A54" s="2" t="s">
        <v>397</v>
      </c>
      <c r="B54" t="s">
        <v>422</v>
      </c>
      <c r="H54">
        <v>96638</v>
      </c>
      <c r="I54" t="s">
        <v>428</v>
      </c>
      <c r="J54" t="str">
        <f t="shared" si="0"/>
        <v>ia.assorted_string like '%96638-00059-09-2024%' or</v>
      </c>
    </row>
    <row r="55" spans="1:10">
      <c r="A55" s="2" t="s">
        <v>398</v>
      </c>
      <c r="B55" t="s">
        <v>422</v>
      </c>
      <c r="H55">
        <v>96638</v>
      </c>
      <c r="I55" t="s">
        <v>477</v>
      </c>
      <c r="J55" t="str">
        <f t="shared" si="0"/>
        <v>ia.assorted_string like '%96638-00068-09-2024%' or</v>
      </c>
    </row>
    <row r="56" spans="1:10">
      <c r="A56" s="2" t="s">
        <v>399</v>
      </c>
      <c r="B56" t="s">
        <v>422</v>
      </c>
      <c r="H56">
        <v>96638</v>
      </c>
      <c r="I56" t="s">
        <v>478</v>
      </c>
      <c r="J56" t="str">
        <f t="shared" si="0"/>
        <v>ia.assorted_string like '%96638-00064-09-2024%' or</v>
      </c>
    </row>
    <row r="57" spans="1:10">
      <c r="A57" s="2" t="s">
        <v>400</v>
      </c>
      <c r="B57" t="s">
        <v>422</v>
      </c>
      <c r="H57">
        <v>96638</v>
      </c>
      <c r="I57" t="s">
        <v>479</v>
      </c>
      <c r="J57" t="str">
        <f t="shared" si="0"/>
        <v>ia.assorted_string like '%96638-00063-09-2024%' or</v>
      </c>
    </row>
    <row r="58" spans="1:10">
      <c r="A58" s="2" t="s">
        <v>401</v>
      </c>
      <c r="B58" t="s">
        <v>422</v>
      </c>
      <c r="H58">
        <v>96638</v>
      </c>
      <c r="I58" t="s">
        <v>480</v>
      </c>
      <c r="J58" t="str">
        <f t="shared" si="0"/>
        <v>ia.assorted_string like '%96638-00069-09-2024%' or</v>
      </c>
    </row>
    <row r="59" spans="1:10">
      <c r="A59" s="2" t="s">
        <v>402</v>
      </c>
      <c r="B59" t="s">
        <v>422</v>
      </c>
      <c r="H59">
        <v>96638</v>
      </c>
      <c r="I59" t="s">
        <v>481</v>
      </c>
      <c r="J59" t="str">
        <f t="shared" si="0"/>
        <v>ia.assorted_string like '%96638-00062-09-2024%' or</v>
      </c>
    </row>
    <row r="60" spans="1:10">
      <c r="A60" s="2" t="s">
        <v>412</v>
      </c>
      <c r="B60" t="s">
        <v>424</v>
      </c>
      <c r="H60">
        <v>98824</v>
      </c>
      <c r="I60" t="s">
        <v>453</v>
      </c>
      <c r="J60" t="str">
        <f t="shared" si="0"/>
        <v>ia.assorted_string like '%98824-00002-10-2024%' or</v>
      </c>
    </row>
    <row r="61" spans="1:10">
      <c r="A61" s="2" t="s">
        <v>403</v>
      </c>
      <c r="B61" t="s">
        <v>422</v>
      </c>
      <c r="H61">
        <v>96638</v>
      </c>
      <c r="I61" t="s">
        <v>482</v>
      </c>
      <c r="J61" t="str">
        <f t="shared" si="0"/>
        <v>ia.assorted_string like '%96638-00022-09-2024%' or</v>
      </c>
    </row>
    <row r="62" spans="1:10">
      <c r="A62" s="2" t="s">
        <v>404</v>
      </c>
      <c r="B62" t="s">
        <v>422</v>
      </c>
      <c r="H62">
        <v>96638</v>
      </c>
      <c r="I62" t="s">
        <v>483</v>
      </c>
      <c r="J62" t="str">
        <f t="shared" si="0"/>
        <v>ia.assorted_string like '%96638-00036-09-2024%' or</v>
      </c>
    </row>
    <row r="63" spans="1:10">
      <c r="A63" s="2" t="s">
        <v>405</v>
      </c>
      <c r="B63" t="s">
        <v>422</v>
      </c>
      <c r="H63">
        <v>96638</v>
      </c>
      <c r="I63" t="s">
        <v>484</v>
      </c>
      <c r="J63" t="str">
        <f t="shared" si="0"/>
        <v>ia.assorted_string like '%96638-00055-09-2024%' or</v>
      </c>
    </row>
    <row r="64" spans="1:10">
      <c r="A64" s="2" t="s">
        <v>406</v>
      </c>
      <c r="B64" t="s">
        <v>422</v>
      </c>
      <c r="H64">
        <v>96638</v>
      </c>
      <c r="I64" t="s">
        <v>485</v>
      </c>
      <c r="J64" t="str">
        <f t="shared" si="0"/>
        <v>ia.assorted_string like '%96638-00016-09-2024%' or</v>
      </c>
    </row>
    <row r="65" spans="1:10">
      <c r="A65" s="2" t="s">
        <v>407</v>
      </c>
      <c r="B65" t="s">
        <v>422</v>
      </c>
      <c r="H65">
        <v>96638</v>
      </c>
      <c r="I65" t="s">
        <v>486</v>
      </c>
      <c r="J65" t="str">
        <f t="shared" si="0"/>
        <v>ia.assorted_string like '%96638-00020-09-2024%' or</v>
      </c>
    </row>
    <row r="66" spans="1:10">
      <c r="A66" s="2" t="s">
        <v>408</v>
      </c>
      <c r="B66" t="s">
        <v>422</v>
      </c>
      <c r="H66">
        <v>96638</v>
      </c>
      <c r="I66" t="s">
        <v>487</v>
      </c>
      <c r="J66" t="str">
        <f t="shared" ref="J66:J68" si="1">"ia.assorted_string like '%"&amp;H66&amp;"-"&amp;I66&amp;B66&amp;"%' or"</f>
        <v>ia.assorted_string like '%96638-00032-09-2024%' or</v>
      </c>
    </row>
    <row r="67" spans="1:10">
      <c r="A67" s="2" t="s">
        <v>409</v>
      </c>
      <c r="B67" t="s">
        <v>422</v>
      </c>
      <c r="H67">
        <v>96638</v>
      </c>
      <c r="I67" t="s">
        <v>488</v>
      </c>
      <c r="J67" t="str">
        <f t="shared" si="1"/>
        <v>ia.assorted_string like '%96638-00047-09-2024%' or</v>
      </c>
    </row>
    <row r="68" spans="1:10">
      <c r="A68" s="8" t="s">
        <v>346</v>
      </c>
      <c r="B68" t="s">
        <v>422</v>
      </c>
      <c r="H68">
        <v>96638</v>
      </c>
      <c r="I68" t="s">
        <v>489</v>
      </c>
      <c r="J68" t="str">
        <f t="shared" si="1"/>
        <v>ia.assorted_string like '%96638-00052-09-2024%' or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F2144-D8FF-4E6E-ABBC-6F0BA29A4914}">
  <dimension ref="A1:C71"/>
  <sheetViews>
    <sheetView topLeftCell="A58" workbookViewId="0">
      <selection activeCell="B72" sqref="B72"/>
    </sheetView>
  </sheetViews>
  <sheetFormatPr defaultRowHeight="15"/>
  <cols>
    <col min="1" max="1" width="3" bestFit="1" customWidth="1"/>
    <col min="2" max="2" width="42.28515625" bestFit="1" customWidth="1"/>
    <col min="3" max="3" width="15" bestFit="1" customWidth="1"/>
  </cols>
  <sheetData>
    <row r="1" spans="1:3">
      <c r="A1" s="17" t="s">
        <v>490</v>
      </c>
      <c r="B1" s="17" t="s">
        <v>491</v>
      </c>
      <c r="C1" s="17" t="s">
        <v>492</v>
      </c>
    </row>
    <row r="2" spans="1:3">
      <c r="A2">
        <v>1</v>
      </c>
      <c r="B2" t="s">
        <v>354</v>
      </c>
      <c r="C2" t="s">
        <v>493</v>
      </c>
    </row>
    <row r="3" spans="1:3">
      <c r="A3">
        <v>2</v>
      </c>
      <c r="B3" t="s">
        <v>379</v>
      </c>
      <c r="C3" t="s">
        <v>494</v>
      </c>
    </row>
    <row r="4" spans="1:3">
      <c r="A4">
        <v>3</v>
      </c>
      <c r="B4" t="s">
        <v>363</v>
      </c>
      <c r="C4" t="s">
        <v>495</v>
      </c>
    </row>
    <row r="5" spans="1:3">
      <c r="A5">
        <v>4</v>
      </c>
      <c r="B5" t="s">
        <v>392</v>
      </c>
      <c r="C5" t="s">
        <v>496</v>
      </c>
    </row>
    <row r="6" spans="1:3">
      <c r="A6">
        <v>5</v>
      </c>
      <c r="B6" t="s">
        <v>389</v>
      </c>
      <c r="C6" t="s">
        <v>497</v>
      </c>
    </row>
    <row r="7" spans="1:3">
      <c r="A7">
        <v>6</v>
      </c>
      <c r="B7" t="s">
        <v>369</v>
      </c>
      <c r="C7" t="s">
        <v>498</v>
      </c>
    </row>
    <row r="8" spans="1:3">
      <c r="A8">
        <v>7</v>
      </c>
      <c r="B8" t="s">
        <v>406</v>
      </c>
      <c r="C8" t="s">
        <v>499</v>
      </c>
    </row>
    <row r="9" spans="1:3">
      <c r="A9">
        <v>8</v>
      </c>
      <c r="B9" t="s">
        <v>398</v>
      </c>
      <c r="C9" t="s">
        <v>500</v>
      </c>
    </row>
    <row r="10" spans="1:3">
      <c r="A10">
        <v>9</v>
      </c>
      <c r="B10" t="s">
        <v>348</v>
      </c>
      <c r="C10" t="s">
        <v>501</v>
      </c>
    </row>
    <row r="11" spans="1:3">
      <c r="A11">
        <v>10</v>
      </c>
      <c r="B11" t="s">
        <v>350</v>
      </c>
      <c r="C11" t="s">
        <v>502</v>
      </c>
    </row>
    <row r="12" spans="1:3">
      <c r="A12">
        <v>11</v>
      </c>
      <c r="B12" t="s">
        <v>393</v>
      </c>
      <c r="C12" t="s">
        <v>503</v>
      </c>
    </row>
    <row r="13" spans="1:3">
      <c r="A13">
        <v>12</v>
      </c>
      <c r="B13" t="s">
        <v>405</v>
      </c>
      <c r="C13" t="s">
        <v>504</v>
      </c>
    </row>
    <row r="14" spans="1:3">
      <c r="A14">
        <v>13</v>
      </c>
      <c r="B14" t="s">
        <v>371</v>
      </c>
      <c r="C14" t="s">
        <v>505</v>
      </c>
    </row>
    <row r="15" spans="1:3">
      <c r="A15">
        <v>14</v>
      </c>
      <c r="B15" t="s">
        <v>376</v>
      </c>
      <c r="C15" t="s">
        <v>506</v>
      </c>
    </row>
    <row r="16" spans="1:3">
      <c r="A16">
        <v>15</v>
      </c>
      <c r="B16" t="s">
        <v>408</v>
      </c>
      <c r="C16" t="s">
        <v>507</v>
      </c>
    </row>
    <row r="17" spans="1:3">
      <c r="A17">
        <v>16</v>
      </c>
      <c r="B17" t="s">
        <v>404</v>
      </c>
      <c r="C17" t="s">
        <v>508</v>
      </c>
    </row>
    <row r="18" spans="1:3">
      <c r="A18">
        <v>17</v>
      </c>
      <c r="B18" t="s">
        <v>399</v>
      </c>
      <c r="C18" t="s">
        <v>509</v>
      </c>
    </row>
    <row r="19" spans="1:3">
      <c r="A19">
        <v>18</v>
      </c>
      <c r="B19" t="s">
        <v>377</v>
      </c>
      <c r="C19" t="s">
        <v>510</v>
      </c>
    </row>
    <row r="20" spans="1:3">
      <c r="A20">
        <v>19</v>
      </c>
      <c r="B20" t="s">
        <v>359</v>
      </c>
      <c r="C20" t="s">
        <v>511</v>
      </c>
    </row>
    <row r="21" spans="1:3">
      <c r="A21">
        <v>20</v>
      </c>
      <c r="B21" t="s">
        <v>360</v>
      </c>
      <c r="C21" t="s">
        <v>512</v>
      </c>
    </row>
    <row r="22" spans="1:3">
      <c r="A22">
        <v>21</v>
      </c>
      <c r="B22" t="s">
        <v>349</v>
      </c>
      <c r="C22" t="s">
        <v>513</v>
      </c>
    </row>
    <row r="23" spans="1:3">
      <c r="A23">
        <v>22</v>
      </c>
      <c r="B23" t="s">
        <v>344</v>
      </c>
      <c r="C23" t="s">
        <v>514</v>
      </c>
    </row>
    <row r="24" spans="1:3">
      <c r="A24">
        <v>23</v>
      </c>
      <c r="B24" t="s">
        <v>380</v>
      </c>
      <c r="C24" t="s">
        <v>515</v>
      </c>
    </row>
    <row r="25" spans="1:3">
      <c r="A25">
        <v>24</v>
      </c>
      <c r="B25" t="s">
        <v>355</v>
      </c>
      <c r="C25" t="s">
        <v>516</v>
      </c>
    </row>
    <row r="26" spans="1:3">
      <c r="A26">
        <v>25</v>
      </c>
      <c r="B26" t="s">
        <v>346</v>
      </c>
      <c r="C26" t="s">
        <v>517</v>
      </c>
    </row>
    <row r="27" spans="1:3">
      <c r="A27">
        <v>26</v>
      </c>
      <c r="B27" t="s">
        <v>370</v>
      </c>
      <c r="C27" t="s">
        <v>518</v>
      </c>
    </row>
    <row r="28" spans="1:3">
      <c r="A28">
        <v>27</v>
      </c>
      <c r="B28" t="s">
        <v>357</v>
      </c>
      <c r="C28" t="s">
        <v>519</v>
      </c>
    </row>
    <row r="29" spans="1:3">
      <c r="A29">
        <v>28</v>
      </c>
      <c r="B29" t="s">
        <v>353</v>
      </c>
      <c r="C29" t="s">
        <v>520</v>
      </c>
    </row>
    <row r="30" spans="1:3">
      <c r="A30">
        <v>29</v>
      </c>
      <c r="B30" t="s">
        <v>387</v>
      </c>
      <c r="C30" t="s">
        <v>521</v>
      </c>
    </row>
    <row r="31" spans="1:3">
      <c r="A31">
        <v>30</v>
      </c>
      <c r="B31" t="s">
        <v>375</v>
      </c>
      <c r="C31" t="s">
        <v>522</v>
      </c>
    </row>
    <row r="32" spans="1:3">
      <c r="A32">
        <v>31</v>
      </c>
      <c r="B32" t="s">
        <v>419</v>
      </c>
      <c r="C32" t="s">
        <v>523</v>
      </c>
    </row>
    <row r="33" spans="1:3">
      <c r="A33">
        <v>32</v>
      </c>
      <c r="B33" t="s">
        <v>385</v>
      </c>
      <c r="C33" t="s">
        <v>524</v>
      </c>
    </row>
    <row r="34" spans="1:3">
      <c r="A34">
        <v>33</v>
      </c>
      <c r="B34" t="s">
        <v>388</v>
      </c>
      <c r="C34" t="s">
        <v>525</v>
      </c>
    </row>
    <row r="35" spans="1:3">
      <c r="A35">
        <v>34</v>
      </c>
      <c r="B35" t="s">
        <v>373</v>
      </c>
      <c r="C35" t="s">
        <v>526</v>
      </c>
    </row>
    <row r="36" spans="1:3">
      <c r="A36">
        <v>35</v>
      </c>
      <c r="B36" t="s">
        <v>352</v>
      </c>
      <c r="C36" t="s">
        <v>527</v>
      </c>
    </row>
    <row r="37" spans="1:3">
      <c r="A37">
        <v>36</v>
      </c>
      <c r="B37" t="s">
        <v>409</v>
      </c>
      <c r="C37" t="s">
        <v>528</v>
      </c>
    </row>
    <row r="38" spans="1:3">
      <c r="A38">
        <v>37</v>
      </c>
      <c r="B38" t="s">
        <v>361</v>
      </c>
      <c r="C38" t="s">
        <v>529</v>
      </c>
    </row>
    <row r="39" spans="1:3">
      <c r="A39">
        <v>38</v>
      </c>
      <c r="B39" t="s">
        <v>403</v>
      </c>
      <c r="C39" t="s">
        <v>530</v>
      </c>
    </row>
    <row r="40" spans="1:3">
      <c r="A40">
        <v>39</v>
      </c>
      <c r="B40" t="s">
        <v>372</v>
      </c>
      <c r="C40" t="s">
        <v>531</v>
      </c>
    </row>
    <row r="41" spans="1:3">
      <c r="A41">
        <v>40</v>
      </c>
      <c r="B41" t="s">
        <v>384</v>
      </c>
      <c r="C41" t="s">
        <v>532</v>
      </c>
    </row>
    <row r="42" spans="1:3">
      <c r="A42">
        <v>41</v>
      </c>
      <c r="B42" t="s">
        <v>391</v>
      </c>
      <c r="C42" t="s">
        <v>533</v>
      </c>
    </row>
    <row r="43" spans="1:3">
      <c r="A43">
        <v>42</v>
      </c>
      <c r="B43" t="s">
        <v>364</v>
      </c>
      <c r="C43" t="s">
        <v>534</v>
      </c>
    </row>
    <row r="44" spans="1:3">
      <c r="A44">
        <v>43</v>
      </c>
      <c r="B44" t="s">
        <v>356</v>
      </c>
      <c r="C44" t="s">
        <v>535</v>
      </c>
    </row>
    <row r="45" spans="1:3">
      <c r="A45">
        <v>44</v>
      </c>
      <c r="B45" t="s">
        <v>365</v>
      </c>
      <c r="C45" t="s">
        <v>536</v>
      </c>
    </row>
    <row r="46" spans="1:3">
      <c r="A46">
        <v>45</v>
      </c>
      <c r="B46" t="s">
        <v>366</v>
      </c>
      <c r="C46" t="s">
        <v>537</v>
      </c>
    </row>
    <row r="47" spans="1:3">
      <c r="A47">
        <v>46</v>
      </c>
      <c r="B47" t="s">
        <v>397</v>
      </c>
      <c r="C47" t="s">
        <v>538</v>
      </c>
    </row>
    <row r="48" spans="1:3">
      <c r="A48">
        <v>47</v>
      </c>
      <c r="B48" t="s">
        <v>367</v>
      </c>
      <c r="C48" t="s">
        <v>539</v>
      </c>
    </row>
    <row r="49" spans="1:3">
      <c r="A49">
        <v>48</v>
      </c>
      <c r="B49" t="s">
        <v>396</v>
      </c>
      <c r="C49" t="s">
        <v>540</v>
      </c>
    </row>
    <row r="50" spans="1:3">
      <c r="A50">
        <v>49</v>
      </c>
      <c r="B50" t="s">
        <v>351</v>
      </c>
      <c r="C50" t="s">
        <v>541</v>
      </c>
    </row>
    <row r="51" spans="1:3">
      <c r="A51">
        <v>50</v>
      </c>
      <c r="B51" t="s">
        <v>368</v>
      </c>
      <c r="C51" t="s">
        <v>542</v>
      </c>
    </row>
    <row r="52" spans="1:3">
      <c r="A52">
        <v>51</v>
      </c>
      <c r="B52" t="s">
        <v>401</v>
      </c>
      <c r="C52" t="s">
        <v>543</v>
      </c>
    </row>
    <row r="53" spans="1:3">
      <c r="A53">
        <v>52</v>
      </c>
      <c r="B53" t="s">
        <v>386</v>
      </c>
      <c r="C53" t="s">
        <v>544</v>
      </c>
    </row>
    <row r="54" spans="1:3">
      <c r="A54">
        <v>53</v>
      </c>
      <c r="B54" t="s">
        <v>382</v>
      </c>
      <c r="C54" t="s">
        <v>545</v>
      </c>
    </row>
    <row r="55" spans="1:3">
      <c r="A55">
        <v>54</v>
      </c>
      <c r="B55" t="s">
        <v>407</v>
      </c>
      <c r="C55" t="s">
        <v>546</v>
      </c>
    </row>
    <row r="56" spans="1:3">
      <c r="A56">
        <v>55</v>
      </c>
      <c r="B56" t="s">
        <v>378</v>
      </c>
      <c r="C56" t="s">
        <v>547</v>
      </c>
    </row>
    <row r="57" spans="1:3">
      <c r="A57">
        <v>56</v>
      </c>
      <c r="B57" t="s">
        <v>390</v>
      </c>
      <c r="C57" t="s">
        <v>548</v>
      </c>
    </row>
    <row r="58" spans="1:3">
      <c r="A58">
        <v>57</v>
      </c>
      <c r="B58" t="s">
        <v>362</v>
      </c>
      <c r="C58" t="s">
        <v>549</v>
      </c>
    </row>
    <row r="59" spans="1:3">
      <c r="A59">
        <v>58</v>
      </c>
      <c r="B59" t="s">
        <v>358</v>
      </c>
      <c r="C59" t="s">
        <v>550</v>
      </c>
    </row>
    <row r="60" spans="1:3">
      <c r="A60">
        <v>59</v>
      </c>
      <c r="B60" t="s">
        <v>347</v>
      </c>
      <c r="C60" t="s">
        <v>551</v>
      </c>
    </row>
    <row r="61" spans="1:3">
      <c r="A61">
        <v>60</v>
      </c>
      <c r="B61" t="s">
        <v>381</v>
      </c>
      <c r="C61" t="s">
        <v>552</v>
      </c>
    </row>
    <row r="62" spans="1:3">
      <c r="A62">
        <v>61</v>
      </c>
      <c r="B62" t="s">
        <v>383</v>
      </c>
      <c r="C62" t="s">
        <v>553</v>
      </c>
    </row>
    <row r="63" spans="1:3">
      <c r="A63">
        <v>62</v>
      </c>
      <c r="B63" t="s">
        <v>374</v>
      </c>
      <c r="C63" t="s">
        <v>554</v>
      </c>
    </row>
    <row r="64" spans="1:3">
      <c r="A64">
        <v>63</v>
      </c>
      <c r="B64" t="s">
        <v>394</v>
      </c>
      <c r="C64" t="s">
        <v>555</v>
      </c>
    </row>
    <row r="65" spans="1:3">
      <c r="A65">
        <v>64</v>
      </c>
      <c r="B65" t="s">
        <v>395</v>
      </c>
      <c r="C65" t="s">
        <v>556</v>
      </c>
    </row>
    <row r="66" spans="1:3">
      <c r="A66">
        <v>65</v>
      </c>
      <c r="B66" t="s">
        <v>402</v>
      </c>
      <c r="C66" t="s">
        <v>557</v>
      </c>
    </row>
    <row r="67" spans="1:3">
      <c r="A67">
        <v>66</v>
      </c>
      <c r="B67" t="s">
        <v>400</v>
      </c>
      <c r="C67" t="s">
        <v>558</v>
      </c>
    </row>
    <row r="68" spans="1:3">
      <c r="A68">
        <v>67</v>
      </c>
      <c r="B68" t="s">
        <v>559</v>
      </c>
      <c r="C68" t="s">
        <v>560</v>
      </c>
    </row>
    <row r="69" spans="1:3">
      <c r="A69">
        <v>68</v>
      </c>
      <c r="B69" t="s">
        <v>561</v>
      </c>
      <c r="C69" t="s">
        <v>562</v>
      </c>
    </row>
    <row r="70" spans="1:3">
      <c r="A70">
        <v>1</v>
      </c>
      <c r="B70" t="s">
        <v>559</v>
      </c>
      <c r="C70" t="s">
        <v>560</v>
      </c>
    </row>
    <row r="71" spans="1:3">
      <c r="A71">
        <v>2</v>
      </c>
      <c r="B71" t="s">
        <v>561</v>
      </c>
      <c r="C71" t="s">
        <v>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PAYMENT ON MONTH OF SEP-2024</vt:lpstr>
      <vt:lpstr>working</vt:lpstr>
      <vt:lpstr>Sheet2</vt:lpstr>
      <vt:lpstr>policy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 Ali</dc:creator>
  <cp:lastModifiedBy>IT User Software</cp:lastModifiedBy>
  <dcterms:created xsi:type="dcterms:W3CDTF">2019-01-18T06:35:24Z</dcterms:created>
  <dcterms:modified xsi:type="dcterms:W3CDTF">2024-10-17T13:32:47Z</dcterms:modified>
</cp:coreProperties>
</file>