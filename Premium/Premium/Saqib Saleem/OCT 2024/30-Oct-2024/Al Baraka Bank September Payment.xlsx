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Saqib Saleem\30-Oct-2024\"/>
    </mc:Choice>
  </mc:AlternateContent>
  <xr:revisionPtr revIDLastSave="0" documentId="13_ncr:1_{BD0D1A34-9523-4190-A777-14504C1EFA5F}" xr6:coauthVersionLast="47" xr6:coauthVersionMax="47" xr10:uidLastSave="{00000000-0000-0000-0000-000000000000}"/>
  <bookViews>
    <workbookView xWindow="-120" yWindow="-120" windowWidth="20730" windowHeight="11040" activeTab="3" xr2:uid="{C5AE9A78-5C29-4FEB-9A6A-9329143D1831}"/>
  </bookViews>
  <sheets>
    <sheet name="Fresh" sheetId="1" r:id="rId1"/>
    <sheet name="Renewal" sheetId="2" r:id="rId2"/>
    <sheet name="working" sheetId="3" r:id="rId3"/>
    <sheet name="working-fresh" sheetId="6" r:id="rId4"/>
    <sheet name="Sheet2" sheetId="4" r:id="rId5"/>
    <sheet name="policy" sheetId="5" r:id="rId6"/>
  </sheets>
  <externalReferences>
    <externalReference r:id="rId7"/>
    <externalReference r:id="rId8"/>
  </externalReferences>
  <definedNames>
    <definedName name="_xlnm._FilterDatabase" localSheetId="0" hidden="1">Fresh!$A$1:$AK$49</definedName>
    <definedName name="_xlnm._FilterDatabase" localSheetId="1" hidden="1">Renewal!$A$1:$AJ$164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6" l="1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H2" i="6" s="1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2" i="6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F2" i="6"/>
  <c r="AG166" i="2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2" i="3"/>
  <c r="F2" i="3"/>
  <c r="D2" i="3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" i="4"/>
  <c r="H2" i="3" l="1"/>
  <c r="Y166" i="2" l="1"/>
  <c r="AH164" i="2"/>
  <c r="AH163" i="2"/>
  <c r="AH162" i="2"/>
  <c r="AH161" i="2"/>
  <c r="AH160" i="2"/>
  <c r="AH159" i="2"/>
  <c r="AH158" i="2"/>
  <c r="AH157" i="2"/>
  <c r="AH156" i="2"/>
  <c r="AH155" i="2"/>
  <c r="AH154" i="2"/>
  <c r="AH153" i="2"/>
  <c r="AH152" i="2"/>
  <c r="AH151" i="2"/>
  <c r="AH150" i="2"/>
  <c r="AH149" i="2"/>
  <c r="AH148" i="2"/>
  <c r="AH147" i="2"/>
  <c r="AH146" i="2"/>
  <c r="AH145" i="2"/>
  <c r="AH144" i="2"/>
  <c r="AH143" i="2"/>
  <c r="AH142" i="2"/>
  <c r="AH141" i="2"/>
  <c r="AH140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H2" i="2"/>
  <c r="AJ49" i="1"/>
  <c r="AI49" i="1"/>
  <c r="AJ48" i="1"/>
  <c r="AI48" i="1"/>
  <c r="AJ47" i="1"/>
  <c r="AI47" i="1"/>
  <c r="AJ46" i="1"/>
  <c r="AI46" i="1"/>
  <c r="AJ45" i="1"/>
  <c r="AI45" i="1"/>
  <c r="AJ44" i="1"/>
  <c r="AI44" i="1"/>
  <c r="AJ43" i="1"/>
  <c r="AI43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6" i="1"/>
  <c r="AI36" i="1"/>
  <c r="AJ35" i="1"/>
  <c r="AI35" i="1"/>
  <c r="AJ34" i="1"/>
  <c r="AI34" i="1"/>
  <c r="AJ33" i="1"/>
  <c r="AI33" i="1"/>
  <c r="AJ32" i="1"/>
  <c r="AI32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J22" i="1"/>
  <c r="AI22" i="1"/>
  <c r="AJ21" i="1"/>
  <c r="AI21" i="1"/>
  <c r="AJ20" i="1"/>
  <c r="AI20" i="1"/>
  <c r="AJ19" i="1"/>
  <c r="AI19" i="1"/>
  <c r="AJ18" i="1"/>
  <c r="AI18" i="1"/>
  <c r="AJ17" i="1"/>
  <c r="AI17" i="1"/>
  <c r="AJ16" i="1"/>
  <c r="AI16" i="1"/>
  <c r="AJ15" i="1"/>
  <c r="AI15" i="1"/>
  <c r="AJ14" i="1"/>
  <c r="AI14" i="1"/>
  <c r="AJ13" i="1"/>
  <c r="AI13" i="1"/>
  <c r="AJ12" i="1"/>
  <c r="AI12" i="1"/>
  <c r="AJ11" i="1"/>
  <c r="AI11" i="1"/>
  <c r="AJ10" i="1"/>
  <c r="AI10" i="1"/>
  <c r="AJ9" i="1"/>
  <c r="AI9" i="1"/>
  <c r="AJ8" i="1"/>
  <c r="AI8" i="1"/>
  <c r="AJ7" i="1"/>
  <c r="AI7" i="1"/>
  <c r="AJ6" i="1"/>
  <c r="AI6" i="1"/>
  <c r="AJ5" i="1"/>
  <c r="AI5" i="1"/>
  <c r="AJ4" i="1"/>
  <c r="AI4" i="1"/>
  <c r="AJ3" i="1"/>
  <c r="AI3" i="1"/>
  <c r="AJ2" i="1"/>
  <c r="AI2" i="1"/>
</calcChain>
</file>

<file path=xl/sharedStrings.xml><?xml version="1.0" encoding="utf-8"?>
<sst xmlns="http://schemas.openxmlformats.org/spreadsheetml/2006/main" count="5133" uniqueCount="1858">
  <si>
    <t>Fresh / Renewal</t>
  </si>
  <si>
    <t>Proposal No.</t>
  </si>
  <si>
    <t>Billing Month</t>
  </si>
  <si>
    <t>Takaful Company</t>
  </si>
  <si>
    <t>PMD / Cert</t>
  </si>
  <si>
    <t>Takaful Start Date</t>
  </si>
  <si>
    <t>Takaful End Date</t>
  </si>
  <si>
    <t>Customer Name</t>
  </si>
  <si>
    <t>CNIC</t>
  </si>
  <si>
    <t>Vehicle Make</t>
  </si>
  <si>
    <t>Reg. No</t>
  </si>
  <si>
    <t>Engine No</t>
  </si>
  <si>
    <t>Chassis No</t>
  </si>
  <si>
    <t>Region</t>
  </si>
  <si>
    <t>Unit ID</t>
  </si>
  <si>
    <t>BR #</t>
  </si>
  <si>
    <t>Financing Date</t>
  </si>
  <si>
    <t>Maturity Date</t>
  </si>
  <si>
    <t>Asset Value</t>
  </si>
  <si>
    <t>Dep. %</t>
  </si>
  <si>
    <t>Dep. Amount</t>
  </si>
  <si>
    <t>Sum Cover Amount</t>
  </si>
  <si>
    <t>Takaful Rate</t>
  </si>
  <si>
    <t>Premium Amount</t>
  </si>
  <si>
    <t>For Takaful Company Rectifications</t>
  </si>
  <si>
    <t>For COD Status</t>
  </si>
  <si>
    <t>PO No.</t>
  </si>
  <si>
    <t>PO Dates</t>
  </si>
  <si>
    <t>Proposal Status</t>
  </si>
  <si>
    <t>Default Case (Overdue Days)</t>
  </si>
  <si>
    <t>Policy #</t>
  </si>
  <si>
    <t>Tms Prem</t>
  </si>
  <si>
    <t>Difference</t>
  </si>
  <si>
    <t>Tagging</t>
  </si>
  <si>
    <t>Tracker</t>
  </si>
  <si>
    <t>Fresh</t>
  </si>
  <si>
    <t>73416/1</t>
  </si>
  <si>
    <t>SALAAM TAKAFUL LTD</t>
  </si>
  <si>
    <t>KHI/HO/D/MO/PC COMP/C/96843/1/09/2024</t>
  </si>
  <si>
    <t>Ella Hussain</t>
  </si>
  <si>
    <t>SUZUKI SWIFT DLX EURO II</t>
  </si>
  <si>
    <t>BUD-129</t>
  </si>
  <si>
    <t>13050748</t>
  </si>
  <si>
    <t>10050701</t>
  </si>
  <si>
    <t>South</t>
  </si>
  <si>
    <t>0144</t>
  </si>
  <si>
    <t>367615</t>
  </si>
  <si>
    <t>paid</t>
  </si>
  <si>
    <t>DISBURSED</t>
  </si>
  <si>
    <t>TRACKER (TRASUR)</t>
  </si>
  <si>
    <t>74833/1</t>
  </si>
  <si>
    <t>KHI/HO/D/MO/PC COMP/C/96843/10/09/2024</t>
  </si>
  <si>
    <t xml:space="preserve">Muhammad Asif  
</t>
  </si>
  <si>
    <t>KIA PICANTO 1.0L A/T</t>
  </si>
  <si>
    <t>AGC-458</t>
  </si>
  <si>
    <t>131175</t>
  </si>
  <si>
    <t>708259</t>
  </si>
  <si>
    <t>Central</t>
  </si>
  <si>
    <t>0431</t>
  </si>
  <si>
    <t>651389</t>
  </si>
  <si>
    <t>74189/1</t>
  </si>
  <si>
    <t>KHI/HO/D/MO/PC COMP/C/96843/11/09/2024</t>
  </si>
  <si>
    <t xml:space="preserve">Bilal Khan
</t>
  </si>
  <si>
    <t>SUZUKI WAGON-R</t>
  </si>
  <si>
    <t>AXK-221</t>
  </si>
  <si>
    <t>PK10B230615</t>
  </si>
  <si>
    <t>A1J310PK10130642</t>
  </si>
  <si>
    <t>0423</t>
  </si>
  <si>
    <t>605795</t>
  </si>
  <si>
    <t>74813/1</t>
  </si>
  <si>
    <t>KHI/HO/D/MO/PC COMP/C/96843/12/09/2024</t>
  </si>
  <si>
    <t xml:space="preserve">Shahzad Ahmad
</t>
  </si>
  <si>
    <t>HONDA CITY ASPIRE A/T</t>
  </si>
  <si>
    <t>ABG-644</t>
  </si>
  <si>
    <t>Z17449363</t>
  </si>
  <si>
    <t>R191016</t>
  </si>
  <si>
    <t>0329</t>
  </si>
  <si>
    <t>461007</t>
  </si>
  <si>
    <t>74740/1</t>
  </si>
  <si>
    <t>KHI/HO/D/MO/PC COMP/C/96843/13/09/2024</t>
  </si>
  <si>
    <t xml:space="preserve">Muhammad Bilal Shafiq
</t>
  </si>
  <si>
    <t>HONDA CITY</t>
  </si>
  <si>
    <t>ABC-608</t>
  </si>
  <si>
    <t>9800054</t>
  </si>
  <si>
    <t>265720</t>
  </si>
  <si>
    <t>656348</t>
  </si>
  <si>
    <t>74170/1</t>
  </si>
  <si>
    <t>KHI/HO/D/MO/PC COMP/C/96843/14/09/2024</t>
  </si>
  <si>
    <t xml:space="preserve">Muhammad Tahir Shifa
</t>
  </si>
  <si>
    <t>SUZUKI CULTUS VXL</t>
  </si>
  <si>
    <t>LEC-19-6343</t>
  </si>
  <si>
    <t>141503</t>
  </si>
  <si>
    <t>10041493</t>
  </si>
  <si>
    <t>0461</t>
  </si>
  <si>
    <t>650204</t>
  </si>
  <si>
    <t>74778/1</t>
  </si>
  <si>
    <t>KHI/HO/D/MO/PC COMP/C/96843/15/09/2024</t>
  </si>
  <si>
    <t xml:space="preserve">Sadaf Mateen Butt 
</t>
  </si>
  <si>
    <t>AEQ-468</t>
  </si>
  <si>
    <t>17547218</t>
  </si>
  <si>
    <t>272355</t>
  </si>
  <si>
    <t>656353</t>
  </si>
  <si>
    <t>74041/1</t>
  </si>
  <si>
    <t>KHI/HO/D/MO/PC COMP/C/96843/16/09/2024</t>
  </si>
  <si>
    <t xml:space="preserve">Zeeshan Qaiser
</t>
  </si>
  <si>
    <t>TOYOTA YARIS ATIV X CVT</t>
  </si>
  <si>
    <t>AME-515</t>
  </si>
  <si>
    <t>2A57112</t>
  </si>
  <si>
    <t>9520943</t>
  </si>
  <si>
    <t>653437</t>
  </si>
  <si>
    <t>72923/1</t>
  </si>
  <si>
    <t>KHI/HO/D/MO/PC COMP/C/96843/17/09/2024</t>
  </si>
  <si>
    <t xml:space="preserve">Muhammad Shakeel 
</t>
  </si>
  <si>
    <t>TOYOTA Yaris ATIV 1.3 (CV</t>
  </si>
  <si>
    <t>2A69353</t>
  </si>
  <si>
    <t>7046692</t>
  </si>
  <si>
    <t>649688</t>
  </si>
  <si>
    <t>73684/1</t>
  </si>
  <si>
    <t>KHI/HO/D/MO/PC COMP/C/96843/18/09/2024</t>
  </si>
  <si>
    <t xml:space="preserve">Muhammad Haider Ali 
</t>
  </si>
  <si>
    <t>3310273105991</t>
  </si>
  <si>
    <t>HAVAL Haval Jolion HEV 1.</t>
  </si>
  <si>
    <t>244H0005104</t>
  </si>
  <si>
    <t>NF9EEUA59R2009219</t>
  </si>
  <si>
    <t>652193</t>
  </si>
  <si>
    <t>74367/1</t>
  </si>
  <si>
    <t>KHI/HO/D/MO/PC COMP/C/96843/19/09/2024</t>
  </si>
  <si>
    <t xml:space="preserve">Kamran Latif Rao
</t>
  </si>
  <si>
    <t>TOYOTA YARIS CVT</t>
  </si>
  <si>
    <t>BEJ-717</t>
  </si>
  <si>
    <t>2A69410</t>
  </si>
  <si>
    <t>9522730</t>
  </si>
  <si>
    <t>North</t>
  </si>
  <si>
    <t>0804</t>
  </si>
  <si>
    <t>655104</t>
  </si>
  <si>
    <t>74289/1</t>
  </si>
  <si>
    <t>KHI/HO/D/MO/PC COMP/C/96843/2/09/2024</t>
  </si>
  <si>
    <t>Hafiz Muhammad Abbas Ali</t>
  </si>
  <si>
    <t>SUZUKI CULTUS</t>
  </si>
  <si>
    <t>LE-18A-6675</t>
  </si>
  <si>
    <t>PK10K125857</t>
  </si>
  <si>
    <t>NF1AVK31H10025842</t>
  </si>
  <si>
    <t>654329</t>
  </si>
  <si>
    <t>74977/1</t>
  </si>
  <si>
    <t>KHI/HO/D/MO/PC COMP/C/96843/20/09/2024</t>
  </si>
  <si>
    <t xml:space="preserve">Muhammad Akram
</t>
  </si>
  <si>
    <t>KIA KIA SPORTAGE</t>
  </si>
  <si>
    <t>LEB-20-37</t>
  </si>
  <si>
    <t>H309588</t>
  </si>
  <si>
    <t>P502294</t>
  </si>
  <si>
    <t>445572</t>
  </si>
  <si>
    <t>74782/1</t>
  </si>
  <si>
    <t>KHI/HO/D/MO/PC COMP/C/96843/21/09/2024</t>
  </si>
  <si>
    <t xml:space="preserve">Mohammed Imran Khawaja
</t>
  </si>
  <si>
    <t>HONDA CIVIC</t>
  </si>
  <si>
    <t>LEB-16A-21</t>
  </si>
  <si>
    <t>71402303</t>
  </si>
  <si>
    <t>GR007223</t>
  </si>
  <si>
    <t>655753</t>
  </si>
  <si>
    <t>73224/1</t>
  </si>
  <si>
    <t>KHI/HO/D/MO/PC COMP/C/96843/22/09/2024</t>
  </si>
  <si>
    <t xml:space="preserve">Asher Javed
</t>
  </si>
  <si>
    <t>HONDA CITY 1.2  LS CVT</t>
  </si>
  <si>
    <t>51026914</t>
  </si>
  <si>
    <t>R043495</t>
  </si>
  <si>
    <t>553816</t>
  </si>
  <si>
    <t>75356/1</t>
  </si>
  <si>
    <t>KHI/HO/D/MO/PC COMP/C/96843/23/09/2024</t>
  </si>
  <si>
    <t xml:space="preserve">Faisal Saleem
</t>
  </si>
  <si>
    <t>TOYOTA AXIO</t>
  </si>
  <si>
    <t>BTW-310</t>
  </si>
  <si>
    <t>198616</t>
  </si>
  <si>
    <t>7144665</t>
  </si>
  <si>
    <t>0150</t>
  </si>
  <si>
    <t>274530</t>
  </si>
  <si>
    <t>Tracker missing</t>
  </si>
  <si>
    <t>75027/1</t>
  </si>
  <si>
    <t>KHI/HO/D/MO/PC COMP/C/96843/24/09/2024</t>
  </si>
  <si>
    <t xml:space="preserve">Mamoon Mustafa
</t>
  </si>
  <si>
    <t>HONDA CIVIC I-VTEC</t>
  </si>
  <si>
    <t>LEA-19-6902</t>
  </si>
  <si>
    <t>150003</t>
  </si>
  <si>
    <t>610001</t>
  </si>
  <si>
    <t>657391</t>
  </si>
  <si>
    <t>74998/1</t>
  </si>
  <si>
    <t>KHI/HO/D/MO/PC COMP/C/96843/25/09/2024</t>
  </si>
  <si>
    <t xml:space="preserve">Uzair Amjad
</t>
  </si>
  <si>
    <t>ASG-822</t>
  </si>
  <si>
    <t>P072447</t>
  </si>
  <si>
    <t>KP703700</t>
  </si>
  <si>
    <t>657283</t>
  </si>
  <si>
    <t>74881/1</t>
  </si>
  <si>
    <t>KHI/HO/D/MO/PC COMP/C/96843/26/09/2024</t>
  </si>
  <si>
    <t xml:space="preserve">Zeeshan Ali
</t>
  </si>
  <si>
    <t>TOYOTA YARIS ATIV CVT</t>
  </si>
  <si>
    <t>LEB-20-4423</t>
  </si>
  <si>
    <t>2A03924</t>
  </si>
  <si>
    <t>7001990</t>
  </si>
  <si>
    <t>656731</t>
  </si>
  <si>
    <t>74907/1</t>
  </si>
  <si>
    <t>KHI/HO/D/MO/PC COMP/C/96843/27/09/2024</t>
  </si>
  <si>
    <t xml:space="preserve">Hamid Parvaiz
</t>
  </si>
  <si>
    <t>SUZUKI ALTO VXR</t>
  </si>
  <si>
    <t>319662</t>
  </si>
  <si>
    <t>1219670</t>
  </si>
  <si>
    <t>656957</t>
  </si>
  <si>
    <t>74889/1</t>
  </si>
  <si>
    <t>KHI/HO/D/MO/PC COMP/C/96843/28/09/2024</t>
  </si>
  <si>
    <t xml:space="preserve">Muhammad Naeem Amjad
</t>
  </si>
  <si>
    <t>6R320270</t>
  </si>
  <si>
    <t>1220265</t>
  </si>
  <si>
    <t>0471</t>
  </si>
  <si>
    <t>656520</t>
  </si>
  <si>
    <t>75328/1</t>
  </si>
  <si>
    <t>KHI/HO/D/MO/PC COMP/C/96843/29/09/2024</t>
  </si>
  <si>
    <t xml:space="preserve">Abdul Mateen Shah
</t>
  </si>
  <si>
    <t>HONDA BRV - S</t>
  </si>
  <si>
    <t>AHY-675</t>
  </si>
  <si>
    <t>509473</t>
  </si>
  <si>
    <t>009475</t>
  </si>
  <si>
    <t>657061</t>
  </si>
  <si>
    <t>74235/1</t>
  </si>
  <si>
    <t>KHI/HO/D/MO/PC COMP/C/96843/3/09/2024</t>
  </si>
  <si>
    <t xml:space="preserve">Mukhtiar Ahmad
</t>
  </si>
  <si>
    <t>SUZUKI WAGON R VXL</t>
  </si>
  <si>
    <t>248289</t>
  </si>
  <si>
    <t>10148284</t>
  </si>
  <si>
    <t>0567</t>
  </si>
  <si>
    <t>653278</t>
  </si>
  <si>
    <t>75068/1</t>
  </si>
  <si>
    <t>KHI/HO/D/MO/PC COMP/C/96843/30/09/2024</t>
  </si>
  <si>
    <t xml:space="preserve">Iftikhar Ahmad
</t>
  </si>
  <si>
    <t>SUZUKI ALTO AGS A/T</t>
  </si>
  <si>
    <t>AAE-381</t>
  </si>
  <si>
    <t>122274</t>
  </si>
  <si>
    <t>1022259</t>
  </si>
  <si>
    <t>657517</t>
  </si>
  <si>
    <t>75317/1</t>
  </si>
  <si>
    <t>KHI/HO/D/MO/PC COMP/C/96843/31/09/2024</t>
  </si>
  <si>
    <t>Parveen Kusar</t>
  </si>
  <si>
    <t>TOYOTA COROLLA GLI</t>
  </si>
  <si>
    <t>LEF-19-2220</t>
  </si>
  <si>
    <t>Z562568</t>
  </si>
  <si>
    <t>R-4187661</t>
  </si>
  <si>
    <t>657616</t>
  </si>
  <si>
    <t>75318/1</t>
  </si>
  <si>
    <t>KHI/HO/D/MO/PC COMP/C/96843/32/09/2024</t>
  </si>
  <si>
    <t xml:space="preserve">Salman Niaz 
</t>
  </si>
  <si>
    <t>LE-12-7519</t>
  </si>
  <si>
    <t>PKF558624</t>
  </si>
  <si>
    <t>PK465485</t>
  </si>
  <si>
    <t>655536</t>
  </si>
  <si>
    <t>74922/1</t>
  </si>
  <si>
    <t>KHI/HO/D/MO/PC COMP/C/96843/33/09/2024</t>
  </si>
  <si>
    <t xml:space="preserve">Ahmed Bin Ali Qundoos
</t>
  </si>
  <si>
    <t>SUZUKI ALTO VXR E-2</t>
  </si>
  <si>
    <t>BTF-758</t>
  </si>
  <si>
    <t>159092</t>
  </si>
  <si>
    <t>1059059</t>
  </si>
  <si>
    <t>656977</t>
  </si>
  <si>
    <t>75323/2</t>
  </si>
  <si>
    <t>KHI/HO/D/MO/PC COMP/C/96843/34/09/2024</t>
  </si>
  <si>
    <t xml:space="preserve"> Saif Ullah Khan 
</t>
  </si>
  <si>
    <t>TOYOTA RAIZE</t>
  </si>
  <si>
    <t>AXV-851</t>
  </si>
  <si>
    <t>55230</t>
  </si>
  <si>
    <t>657390</t>
  </si>
  <si>
    <t>74676/1</t>
  </si>
  <si>
    <t>KHI/HO/D/MO/PC COMP/C/96843/35/09/2024</t>
  </si>
  <si>
    <t xml:space="preserve">Ruslaan Zia
</t>
  </si>
  <si>
    <t>SUZUKI ALTO VXL AGS</t>
  </si>
  <si>
    <t>6R320395</t>
  </si>
  <si>
    <t>1220418</t>
  </si>
  <si>
    <t>655891</t>
  </si>
  <si>
    <t>75329/2</t>
  </si>
  <si>
    <t>KHI/HO/D/MO/PC COMP/C/96843/36/09/2024</t>
  </si>
  <si>
    <t xml:space="preserve">Syeda Umme Farwa </t>
  </si>
  <si>
    <t>HONDA BRV MTI I-VTEC 1.5L</t>
  </si>
  <si>
    <t>ALI-147</t>
  </si>
  <si>
    <t>14810324</t>
  </si>
  <si>
    <t>026945</t>
  </si>
  <si>
    <t>585941</t>
  </si>
  <si>
    <t>74475/1</t>
  </si>
  <si>
    <t>KHI/HO/D/MO/PC COMP/C/96843/37/09/2024</t>
  </si>
  <si>
    <t>Syed Zia Ud Din  Muhammad Faisal</t>
  </si>
  <si>
    <t>CHANGAN OSHAN FUTURE SENS</t>
  </si>
  <si>
    <t>201899</t>
  </si>
  <si>
    <t>1000446</t>
  </si>
  <si>
    <t>447807</t>
  </si>
  <si>
    <t>74287/1</t>
  </si>
  <si>
    <t>KHI/HO/D/MO/PC COMP/C/96843/38/09/2024</t>
  </si>
  <si>
    <t xml:space="preserve">Shahid Hussain
</t>
  </si>
  <si>
    <t>ACU-859</t>
  </si>
  <si>
    <t>161733</t>
  </si>
  <si>
    <t>1061750</t>
  </si>
  <si>
    <t>654318</t>
  </si>
  <si>
    <t>74946/1</t>
  </si>
  <si>
    <t>KHI/HO/D/MO/PC COMP/C/96843/39/09/2024</t>
  </si>
  <si>
    <t xml:space="preserve">Muhammad Adeel
</t>
  </si>
  <si>
    <t>SUZUKI ALTO</t>
  </si>
  <si>
    <t>BWW-451</t>
  </si>
  <si>
    <t>R-130773</t>
  </si>
  <si>
    <t>1030784</t>
  </si>
  <si>
    <t>657138</t>
  </si>
  <si>
    <t>73599/1</t>
  </si>
  <si>
    <t>KHI/HO/D/MO/PC COMP/C/96843/4/09/2024</t>
  </si>
  <si>
    <t xml:space="preserve">Muhammad Zubair Ameen
</t>
  </si>
  <si>
    <t>SUZUKI CULTUS VXL AGS</t>
  </si>
  <si>
    <t>ASZ-794</t>
  </si>
  <si>
    <t>168843</t>
  </si>
  <si>
    <t>10068855</t>
  </si>
  <si>
    <t>651982</t>
  </si>
  <si>
    <t>74862/1</t>
  </si>
  <si>
    <t>KHI/HO/D/MO/PC COMP/C/96843/40/09/2024</t>
  </si>
  <si>
    <t xml:space="preserve">Rahima Jillani
</t>
  </si>
  <si>
    <t>BVM-911</t>
  </si>
  <si>
    <t>6R202720</t>
  </si>
  <si>
    <t>1102666</t>
  </si>
  <si>
    <t>656704</t>
  </si>
  <si>
    <t>74808/1</t>
  </si>
  <si>
    <t>KHI/HO/D/MO/PC COMP/C/96843/41/09/2024</t>
  </si>
  <si>
    <t xml:space="preserve">Zain Javed
</t>
  </si>
  <si>
    <t>AKD-207</t>
  </si>
  <si>
    <t>P153730</t>
  </si>
  <si>
    <t>P709096</t>
  </si>
  <si>
    <t>656483</t>
  </si>
  <si>
    <t>75066/1</t>
  </si>
  <si>
    <t>KHI/HO/D/MO/PC COMP/C/96843/42/09/2024</t>
  </si>
  <si>
    <t xml:space="preserve">Naheed Asghar Ali
</t>
  </si>
  <si>
    <t>CHANGAN ALSVIN</t>
  </si>
  <si>
    <t>BVL-012</t>
  </si>
  <si>
    <t>521095</t>
  </si>
  <si>
    <t>1004108</t>
  </si>
  <si>
    <t>657523</t>
  </si>
  <si>
    <t>75243/1</t>
  </si>
  <si>
    <t>KHI/HO/D/MO/PC COMP/C/96843/43/09/2024</t>
  </si>
  <si>
    <t>Sikandar Hussain</t>
  </si>
  <si>
    <t>SUZUKI BOLAN</t>
  </si>
  <si>
    <t>1032816</t>
  </si>
  <si>
    <t>01149315</t>
  </si>
  <si>
    <t>658427</t>
  </si>
  <si>
    <t>74935/1</t>
  </si>
  <si>
    <t>KHI/HO/D/MO/PC COMP/C/96843/44/09/2024</t>
  </si>
  <si>
    <t xml:space="preserve">Muhammad Kashif
</t>
  </si>
  <si>
    <t>LEC-19-7721</t>
  </si>
  <si>
    <t>176360</t>
  </si>
  <si>
    <t>10076402</t>
  </si>
  <si>
    <t>629773</t>
  </si>
  <si>
    <t>75327/1</t>
  </si>
  <si>
    <t>KHI/HO/D/MO/PC COMP/C/96843/45/09/2024</t>
  </si>
  <si>
    <t xml:space="preserve">Adeel Ahmad
</t>
  </si>
  <si>
    <t>LE-19A-1518</t>
  </si>
  <si>
    <t>6R112466</t>
  </si>
  <si>
    <t>H1012438</t>
  </si>
  <si>
    <t>401353</t>
  </si>
  <si>
    <t>75279/1</t>
  </si>
  <si>
    <t>KHI/HO/D/MO/PC COMP/C/96843/46/09/2024</t>
  </si>
  <si>
    <t xml:space="preserve">Muhammad Awais Akhtar
</t>
  </si>
  <si>
    <t>1026989</t>
  </si>
  <si>
    <t>043554</t>
  </si>
  <si>
    <t>239858</t>
  </si>
  <si>
    <t>75126/1</t>
  </si>
  <si>
    <t>KHI/HO/D/MO/PC COMP/C/96843/47/09/2024</t>
  </si>
  <si>
    <t xml:space="preserve">Saghir Ahmad Khan
</t>
  </si>
  <si>
    <t>6R320197</t>
  </si>
  <si>
    <t>1220211</t>
  </si>
  <si>
    <t>657791</t>
  </si>
  <si>
    <t>75175/1</t>
  </si>
  <si>
    <t>KHI/HO/D/MO/PC COMP/C/96843/48/09/2024</t>
  </si>
  <si>
    <t xml:space="preserve">Muhammad Ali Mansoor
</t>
  </si>
  <si>
    <t>ALJ-39</t>
  </si>
  <si>
    <t>12947339</t>
  </si>
  <si>
    <t>050766</t>
  </si>
  <si>
    <t>658188</t>
  </si>
  <si>
    <t>74954/1</t>
  </si>
  <si>
    <t>KHI/HO/D/MO/PC COMP/C/96843/5/09/2024</t>
  </si>
  <si>
    <t xml:space="preserve">Ghulam Yaseen 
</t>
  </si>
  <si>
    <t>SUZUKI CULTUS VXL EURO II</t>
  </si>
  <si>
    <t>BRB-370</t>
  </si>
  <si>
    <t>120783</t>
  </si>
  <si>
    <t>1020805</t>
  </si>
  <si>
    <t>654346</t>
  </si>
  <si>
    <t>75031/1</t>
  </si>
  <si>
    <t>KHI/HO/D/MO/PC COMP/C/96843/6/09/2024</t>
  </si>
  <si>
    <t xml:space="preserve">Asad Kaleem
</t>
  </si>
  <si>
    <t>HONDA CITY 1.2 LS MT</t>
  </si>
  <si>
    <t>AFW-437</t>
  </si>
  <si>
    <t>L12B 51003476</t>
  </si>
  <si>
    <t>NFBGN8542MR004444</t>
  </si>
  <si>
    <t>656568</t>
  </si>
  <si>
    <t>73159/1</t>
  </si>
  <si>
    <t>KHI/HO/D/MO/PC COMP/C/96843/7/09/2024</t>
  </si>
  <si>
    <t xml:space="preserve">Muhammad Mudassar
</t>
  </si>
  <si>
    <t>AHW-516</t>
  </si>
  <si>
    <t>231251</t>
  </si>
  <si>
    <t>10131254</t>
  </si>
  <si>
    <t>650393</t>
  </si>
  <si>
    <t>71282/1</t>
  </si>
  <si>
    <t>KHI/HO/D/MO/PC COMP/C/96843/8/09/2024</t>
  </si>
  <si>
    <t xml:space="preserve">Asif Ali
</t>
  </si>
  <si>
    <t>SUZUKI Suzuki Swift</t>
  </si>
  <si>
    <t>1022321</t>
  </si>
  <si>
    <t>204966</t>
  </si>
  <si>
    <t>392731</t>
  </si>
  <si>
    <t>75063/1</t>
  </si>
  <si>
    <t>KHI/HO/D/MO/PC COMP/C/96843/9/09/2024</t>
  </si>
  <si>
    <t xml:space="preserve">Ms. Ambreen Hasib
</t>
  </si>
  <si>
    <t>SUZUKI MEHRAN VX</t>
  </si>
  <si>
    <t>BEW-130</t>
  </si>
  <si>
    <t>634497</t>
  </si>
  <si>
    <t>1173018</t>
  </si>
  <si>
    <t>656837</t>
  </si>
  <si>
    <t>Renewal</t>
  </si>
  <si>
    <t>SUZUKI WAGON-R VXR</t>
  </si>
  <si>
    <t>0809</t>
  </si>
  <si>
    <t>0422</t>
  </si>
  <si>
    <t>RAVI</t>
  </si>
  <si>
    <t>ALTO VXL AGS</t>
  </si>
  <si>
    <t>ALTO VX (NON-METALLIC)</t>
  </si>
  <si>
    <t>MEHRAN VXR (METALLIC)</t>
  </si>
  <si>
    <t>0252</t>
  </si>
  <si>
    <t>WAGON R VXL</t>
  </si>
  <si>
    <t>0451</t>
  </si>
  <si>
    <t>0339</t>
  </si>
  <si>
    <t>BOLAN STD</t>
  </si>
  <si>
    <t>0610</t>
  </si>
  <si>
    <t>HYUNDAI ELANTRA</t>
  </si>
  <si>
    <t>UNITED ALPHA</t>
  </si>
  <si>
    <t>0565</t>
  </si>
  <si>
    <t>CULTUS VXR (NON-METALIC)</t>
  </si>
  <si>
    <t>0418</t>
  </si>
  <si>
    <t>0401</t>
  </si>
  <si>
    <t>0421</t>
  </si>
  <si>
    <t>SUZUKI CULTUS VXR EURO-II</t>
  </si>
  <si>
    <t>SUZUKI RAVI VX EURO II</t>
  </si>
  <si>
    <t>SUZUKI BOLAN STD VX EURO</t>
  </si>
  <si>
    <t>HONDA BRV I-VTEC S STD</t>
  </si>
  <si>
    <t>HONDA CIVIC VTI  ORIEL PT</t>
  </si>
  <si>
    <t>0338</t>
  </si>
  <si>
    <t>SUZUKI WAGON-R VXL E2</t>
  </si>
  <si>
    <t>HONDA CITY CVT ASPIRE A/T</t>
  </si>
  <si>
    <t>SUZUKI MEHRAN VXR EURO-II</t>
  </si>
  <si>
    <t>0825</t>
  </si>
  <si>
    <t>560030</t>
  </si>
  <si>
    <t>SUZUKI ALTO VXL AGS E-2</t>
  </si>
  <si>
    <t>SUZUKI ALTO VX</t>
  </si>
  <si>
    <t>TOYOTA COROLLA GLI M/T 1.</t>
  </si>
  <si>
    <t>SUZUKI WAGON R VXL AGS</t>
  </si>
  <si>
    <t>0336</t>
  </si>
  <si>
    <t>KIA SPORTAGE FWD</t>
  </si>
  <si>
    <t>PRINCE PEARL</t>
  </si>
  <si>
    <t>TOYOTA COROLLA ALTIS VVT-</t>
  </si>
  <si>
    <t>CHANGAN ALSVIN LUMEIRE</t>
  </si>
  <si>
    <t>TOYOTA YARIS ATIV MT 1.3</t>
  </si>
  <si>
    <t>HYUNDAI ELANTRA 2.0 MP1 A</t>
  </si>
  <si>
    <t>SUZUKI CULTUS VXR</t>
  </si>
  <si>
    <t>SUZUKI ALTO VXL</t>
  </si>
  <si>
    <t>CHANGAN KARVAAN PLUS</t>
  </si>
  <si>
    <t>50798/1</t>
  </si>
  <si>
    <t>KHI/HO/D/MO/CV/C/96712/1/09/2024</t>
  </si>
  <si>
    <t xml:space="preserve"> Muhammad Ashfaq Cheema       </t>
  </si>
  <si>
    <t>TC-346</t>
  </si>
  <si>
    <t>374791</t>
  </si>
  <si>
    <t>479181</t>
  </si>
  <si>
    <t>544015</t>
  </si>
  <si>
    <t>50973/1</t>
  </si>
  <si>
    <t>KHI/HO/D/MO/CV/C/96712/2/09/2024</t>
  </si>
  <si>
    <t xml:space="preserve"> Saani Gul       
</t>
  </si>
  <si>
    <t>1610137614695</t>
  </si>
  <si>
    <t>JA-9912</t>
  </si>
  <si>
    <t>372743</t>
  </si>
  <si>
    <t>477395</t>
  </si>
  <si>
    <t>539428</t>
  </si>
  <si>
    <t>60136/1</t>
  </si>
  <si>
    <t>KHI/HO/D/MO/CV/C/96713/1/09/2024</t>
  </si>
  <si>
    <t xml:space="preserve"> Qasim Yaqoob
</t>
  </si>
  <si>
    <t>FORLAND PICKUP C-10</t>
  </si>
  <si>
    <t>CAL-779</t>
  </si>
  <si>
    <t>N03601681</t>
  </si>
  <si>
    <t>NL004450</t>
  </si>
  <si>
    <t>586296</t>
  </si>
  <si>
    <t>60159/1</t>
  </si>
  <si>
    <t>KHI/HO/D/MO/CV/C/96713/2/09/2024</t>
  </si>
  <si>
    <t xml:space="preserve"> Imran Khan 
</t>
  </si>
  <si>
    <t>TAB-37</t>
  </si>
  <si>
    <t>386797</t>
  </si>
  <si>
    <t>491470</t>
  </si>
  <si>
    <t>583321</t>
  </si>
  <si>
    <t>60153/1</t>
  </si>
  <si>
    <t>KHI/HO/D/MO/CV/C/96713/4/09/2024</t>
  </si>
  <si>
    <t xml:space="preserve"> Muhammad Asghar 
</t>
  </si>
  <si>
    <t>LC-0312</t>
  </si>
  <si>
    <t>386268</t>
  </si>
  <si>
    <t>490935</t>
  </si>
  <si>
    <t>196873</t>
  </si>
  <si>
    <t>60289/1</t>
  </si>
  <si>
    <t>KHI/HO/D/MO/CV/C/96713/5/09/2024</t>
  </si>
  <si>
    <t xml:space="preserve"> Abdur Rabb 
</t>
  </si>
  <si>
    <t>CAL-3837</t>
  </si>
  <si>
    <t>386523</t>
  </si>
  <si>
    <t>491186</t>
  </si>
  <si>
    <t>586490</t>
  </si>
  <si>
    <t>43673/1</t>
  </si>
  <si>
    <t>KHI/HO/D/MO/CV/C/96714/1/09/2024</t>
  </si>
  <si>
    <t xml:space="preserve"> Ahamd Shahzad                 
</t>
  </si>
  <si>
    <t>TAA-634</t>
  </si>
  <si>
    <t>363681</t>
  </si>
  <si>
    <t>468344</t>
  </si>
  <si>
    <t>336286</t>
  </si>
  <si>
    <t>43701/1</t>
  </si>
  <si>
    <t>KHI/HO/D/MO/CV/C/96714/2/09/2024</t>
  </si>
  <si>
    <t xml:space="preserve"> Muhammad Tahir                
</t>
  </si>
  <si>
    <t>TAA-583</t>
  </si>
  <si>
    <t>363607</t>
  </si>
  <si>
    <t>468274</t>
  </si>
  <si>
    <t>497892</t>
  </si>
  <si>
    <t>66237/1</t>
  </si>
  <si>
    <t>KHI/HO/D/MO/PC COMP/C/96715/1/09/2024</t>
  </si>
  <si>
    <t xml:space="preserve">  Imran Javed
</t>
  </si>
  <si>
    <t>LE-17A-225</t>
  </si>
  <si>
    <t>13502509</t>
  </si>
  <si>
    <t>HR002526</t>
  </si>
  <si>
    <t>622666</t>
  </si>
  <si>
    <t>66115/1</t>
  </si>
  <si>
    <t>KHI/HO/D/MO/PC COMP/C/96715/10/09/2024</t>
  </si>
  <si>
    <t xml:space="preserve"> Syed Umair Ahmed Zaidi
</t>
  </si>
  <si>
    <t>HONDA CITY 1.5 ASPIRE CVT</t>
  </si>
  <si>
    <t>AXW-46</t>
  </si>
  <si>
    <t>81006393</t>
  </si>
  <si>
    <t>016267</t>
  </si>
  <si>
    <t>622031</t>
  </si>
  <si>
    <t>66643/1</t>
  </si>
  <si>
    <t>KHI/HO/D/MO/PC COMP/C/96715/11/09/2024</t>
  </si>
  <si>
    <t xml:space="preserve">   Muhammad Azeem Khalid
</t>
  </si>
  <si>
    <t>LEA-20-8853</t>
  </si>
  <si>
    <t>6R131403</t>
  </si>
  <si>
    <t>1031389</t>
  </si>
  <si>
    <t>624549</t>
  </si>
  <si>
    <t>67246/1</t>
  </si>
  <si>
    <t>KHI/HO/D/MO/PC COMP/C/96715/13/09/2024</t>
  </si>
  <si>
    <t xml:space="preserve"> Muhammad Danish
</t>
  </si>
  <si>
    <t>283805</t>
  </si>
  <si>
    <t>1183866</t>
  </si>
  <si>
    <t>573734</t>
  </si>
  <si>
    <t>67464/1</t>
  </si>
  <si>
    <t>KHI/HO/D/MO/PC COMP/C/96715/14/09/2024</t>
  </si>
  <si>
    <t xml:space="preserve"> Adil Bin Arshad
</t>
  </si>
  <si>
    <t>TOYOTA VITZ</t>
  </si>
  <si>
    <t>BCA-134</t>
  </si>
  <si>
    <t>2037375</t>
  </si>
  <si>
    <t>2224105</t>
  </si>
  <si>
    <t>589875</t>
  </si>
  <si>
    <t>66628/1</t>
  </si>
  <si>
    <t>KHI/HO/D/MO/PC COMP/C/96715/15/09/2024</t>
  </si>
  <si>
    <t xml:space="preserve">  Basit Mahmood 
</t>
  </si>
  <si>
    <t>KIA SPORTAGE AWD-CW</t>
  </si>
  <si>
    <t>ACN-351</t>
  </si>
  <si>
    <t>328864</t>
  </si>
  <si>
    <t>100617</t>
  </si>
  <si>
    <t>624398</t>
  </si>
  <si>
    <t>66626/1</t>
  </si>
  <si>
    <t>KHI/HO/D/MO/PC COMP/C/96715/16/09/2024</t>
  </si>
  <si>
    <t xml:space="preserve"> Fazal Muhammad   
</t>
  </si>
  <si>
    <t>BSR-603</t>
  </si>
  <si>
    <t>R147259</t>
  </si>
  <si>
    <t>1047244</t>
  </si>
  <si>
    <t>610496</t>
  </si>
  <si>
    <t>67303/1</t>
  </si>
  <si>
    <t>KHI/HO/D/MO/PC COMP/C/96715/17/09/2024</t>
  </si>
  <si>
    <t xml:space="preserve"> Muhammad Rashid Latif
</t>
  </si>
  <si>
    <t>AQC-748</t>
  </si>
  <si>
    <t>284156</t>
  </si>
  <si>
    <t>1184180</t>
  </si>
  <si>
    <t>595430</t>
  </si>
  <si>
    <t>67444/1</t>
  </si>
  <si>
    <t>KHI/HO/D/MO/PC COMP/C/96715/18/09/2024</t>
  </si>
  <si>
    <t xml:space="preserve">  Shan Shahbaz 
</t>
  </si>
  <si>
    <t>HONDA CIVIC VTI ORIEL I-V</t>
  </si>
  <si>
    <t>AVF-706</t>
  </si>
  <si>
    <t>925506</t>
  </si>
  <si>
    <t>077858</t>
  </si>
  <si>
    <t>300129</t>
  </si>
  <si>
    <t>66538/1</t>
  </si>
  <si>
    <t>KHI/HO/D/MO/PC COMP/C/96715/2/09/2024</t>
  </si>
  <si>
    <t xml:space="preserve">  Haroon Shahzad 
</t>
  </si>
  <si>
    <t>AMQ-599</t>
  </si>
  <si>
    <t>P020764</t>
  </si>
  <si>
    <t>P710149</t>
  </si>
  <si>
    <t>624189</t>
  </si>
  <si>
    <t>67319/1</t>
  </si>
  <si>
    <t>KHI/HO/D/MO/PC COMP/C/96715/20/09/2024</t>
  </si>
  <si>
    <t xml:space="preserve"> Muhammad Tayyab 
</t>
  </si>
  <si>
    <t>AQD-991</t>
  </si>
  <si>
    <t>246460</t>
  </si>
  <si>
    <t>10146459</t>
  </si>
  <si>
    <t>627154</t>
  </si>
  <si>
    <t>67290/1</t>
  </si>
  <si>
    <t>KHI/HO/D/MO/PC COMP/C/96715/21/09/2024</t>
  </si>
  <si>
    <t xml:space="preserve"> Ali Abid 
</t>
  </si>
  <si>
    <t>AVT-543</t>
  </si>
  <si>
    <t>Z16926830</t>
  </si>
  <si>
    <t>MR079418</t>
  </si>
  <si>
    <t>421545</t>
  </si>
  <si>
    <t>66270/1</t>
  </si>
  <si>
    <t>KHI/HO/D/MO/PC COMP/C/96715/3/09/2024</t>
  </si>
  <si>
    <t xml:space="preserve"> Shah Zaman
</t>
  </si>
  <si>
    <t>BSE-417</t>
  </si>
  <si>
    <t>L06605804W</t>
  </si>
  <si>
    <t>20100982</t>
  </si>
  <si>
    <t>0138</t>
  </si>
  <si>
    <t>621992</t>
  </si>
  <si>
    <t>67215/2</t>
  </si>
  <si>
    <t>KHI/HO/D/MO/PC COMP/C/96715/4/09/2024</t>
  </si>
  <si>
    <t xml:space="preserve"> Zia Shahid
</t>
  </si>
  <si>
    <t>HONDA CITY I-VTEC (M/T)</t>
  </si>
  <si>
    <t>BFJ-943</t>
  </si>
  <si>
    <t>7441633</t>
  </si>
  <si>
    <t>GR181879</t>
  </si>
  <si>
    <t>334577</t>
  </si>
  <si>
    <t>67093/1</t>
  </si>
  <si>
    <t>KHI/HO/D/MO/PC COMP/C/96715/5/09/2024</t>
  </si>
  <si>
    <t xml:space="preserve">  Umair Ata
</t>
  </si>
  <si>
    <t>283708</t>
  </si>
  <si>
    <t>1183674</t>
  </si>
  <si>
    <t>626677</t>
  </si>
  <si>
    <t>65939/2</t>
  </si>
  <si>
    <t>KHI/HO/D/MO/PC COMP/C/96715/6/09/2024</t>
  </si>
  <si>
    <t xml:space="preserve"> Salman Pervaiz
</t>
  </si>
  <si>
    <t>BYZ-581</t>
  </si>
  <si>
    <t>6R283657</t>
  </si>
  <si>
    <t>1183655</t>
  </si>
  <si>
    <t>621108</t>
  </si>
  <si>
    <t>66574/1</t>
  </si>
  <si>
    <t>KHI/HO/D/MO/PC COMP/C/96715/7/09/2024</t>
  </si>
  <si>
    <t xml:space="preserve"> Bilal Shamim
</t>
  </si>
  <si>
    <t>LEE-17-5886</t>
  </si>
  <si>
    <t>Z12915185</t>
  </si>
  <si>
    <t>HR018489</t>
  </si>
  <si>
    <t>624289</t>
  </si>
  <si>
    <t>67448/1</t>
  </si>
  <si>
    <t>KHI/HO/D/MO/PC COMP/C/96715/8/09/2024</t>
  </si>
  <si>
    <t xml:space="preserve">  Zaid Haris 
</t>
  </si>
  <si>
    <t>HONDA FIT HYBRID</t>
  </si>
  <si>
    <t>APS-290</t>
  </si>
  <si>
    <t>6306277</t>
  </si>
  <si>
    <t>1105146</t>
  </si>
  <si>
    <t>624748</t>
  </si>
  <si>
    <t>66394/1</t>
  </si>
  <si>
    <t>KHI/HO/D/MO/PC COMP/C/96715/9/09/2024</t>
  </si>
  <si>
    <t xml:space="preserve">  Naeem Qaisar
</t>
  </si>
  <si>
    <t>LEH-18-8444</t>
  </si>
  <si>
    <t>Z17515321</t>
  </si>
  <si>
    <t>JR229748</t>
  </si>
  <si>
    <t>623713</t>
  </si>
  <si>
    <t>47214/2</t>
  </si>
  <si>
    <t>KHI/HO/D/MO/PC COMP/C/96721/1/09/2024</t>
  </si>
  <si>
    <t xml:space="preserve"> Saddam Hussain   
</t>
  </si>
  <si>
    <t>BUR-017</t>
  </si>
  <si>
    <t>G3LAMP107755</t>
  </si>
  <si>
    <t>NNATA52AZKP707470</t>
  </si>
  <si>
    <t>528939</t>
  </si>
  <si>
    <t>50693/1</t>
  </si>
  <si>
    <t>KHI/HO/D/MO/PC COMP/C/96721/10/09/2024</t>
  </si>
  <si>
    <t xml:space="preserve"> Syed Ikram Shah         
</t>
  </si>
  <si>
    <t>BQV-624</t>
  </si>
  <si>
    <t>Z565452</t>
  </si>
  <si>
    <t>4190820</t>
  </si>
  <si>
    <t>0125</t>
  </si>
  <si>
    <t>545233</t>
  </si>
  <si>
    <t>50718/2</t>
  </si>
  <si>
    <t>KHI/HO/D/MO/PC COMP/C/96721/11/09/2024</t>
  </si>
  <si>
    <t xml:space="preserve"> Kashif Masood Malik          
</t>
  </si>
  <si>
    <t>3510341525211</t>
  </si>
  <si>
    <t>BGY-918</t>
  </si>
  <si>
    <t>Z470761</t>
  </si>
  <si>
    <t>4096690</t>
  </si>
  <si>
    <t>545557</t>
  </si>
  <si>
    <t>50861/1</t>
  </si>
  <si>
    <t>KHI/HO/D/MO/PC COMP/C/96721/12/09/2024</t>
  </si>
  <si>
    <t xml:space="preserve"> Khurram Raza            
</t>
  </si>
  <si>
    <t>3520241553043</t>
  </si>
  <si>
    <t>TOYOTA COROLLA ALTIS CVT</t>
  </si>
  <si>
    <t>LEC-19-1297</t>
  </si>
  <si>
    <t>Q339263</t>
  </si>
  <si>
    <t>7038430</t>
  </si>
  <si>
    <t>544050</t>
  </si>
  <si>
    <t>50910/1</t>
  </si>
  <si>
    <t>KHI/HO/D/MO/PC COMP/C/96721/13/09/2024</t>
  </si>
  <si>
    <t xml:space="preserve"> Asrar Ahmed Malik              
</t>
  </si>
  <si>
    <t>3630256921579</t>
  </si>
  <si>
    <t>TOYOTA FORTUNER A/T 2.7L</t>
  </si>
  <si>
    <t>AUW-080</t>
  </si>
  <si>
    <t>1GD5043736</t>
  </si>
  <si>
    <t>1096144</t>
  </si>
  <si>
    <t>472097</t>
  </si>
  <si>
    <t>50859/1</t>
  </si>
  <si>
    <t>KHI/HO/D/MO/PC COMP/C/96721/14/09/2024</t>
  </si>
  <si>
    <t xml:space="preserve"> Nasir Mahmood               
</t>
  </si>
  <si>
    <t>LEF-16-449</t>
  </si>
  <si>
    <t>L13Z17448590</t>
  </si>
  <si>
    <t>GR190063</t>
  </si>
  <si>
    <t>548401</t>
  </si>
  <si>
    <t>49396/1</t>
  </si>
  <si>
    <t>KHI/HO/D/MO/PC COMP/C/96721/15/09/2024</t>
  </si>
  <si>
    <t xml:space="preserve"> Abrar Ahmad Khan                 
</t>
  </si>
  <si>
    <t>3740511475803</t>
  </si>
  <si>
    <t>AVC-778</t>
  </si>
  <si>
    <t>183570</t>
  </si>
  <si>
    <t>10083560</t>
  </si>
  <si>
    <t>538078</t>
  </si>
  <si>
    <t>47628/1</t>
  </si>
  <si>
    <t>KHI/HO/D/MO/PC COMP/C/96721/16/09/2024</t>
  </si>
  <si>
    <t xml:space="preserve"> Muhammad Ahmer Khan                  
</t>
  </si>
  <si>
    <t>BJ-6457</t>
  </si>
  <si>
    <t>314723</t>
  </si>
  <si>
    <t>307119</t>
  </si>
  <si>
    <t>531400</t>
  </si>
  <si>
    <t>49431/1</t>
  </si>
  <si>
    <t>KHI/HO/D/MO/PC COMP/C/96721/17/09/2024</t>
  </si>
  <si>
    <t xml:space="preserve"> Muhammad Aslam                  
</t>
  </si>
  <si>
    <t>KEY-857</t>
  </si>
  <si>
    <t>2A36524</t>
  </si>
  <si>
    <t>NSP150R-7022779</t>
  </si>
  <si>
    <t>392883</t>
  </si>
  <si>
    <t>50960/1</t>
  </si>
  <si>
    <t>KHI/HO/D/MO/PC COMP/C/96721/18/09/2024</t>
  </si>
  <si>
    <t xml:space="preserve"> Muhammad Asad Ullah                    
</t>
  </si>
  <si>
    <t>AEV-783</t>
  </si>
  <si>
    <t>Q352158</t>
  </si>
  <si>
    <t>7051327</t>
  </si>
  <si>
    <t>544908</t>
  </si>
  <si>
    <t>49675/1</t>
  </si>
  <si>
    <t>KHI/HO/D/MO/PC COMP/C/96721/19/09/2024</t>
  </si>
  <si>
    <t xml:space="preserve"> Imtiaz Ahmed                     
</t>
  </si>
  <si>
    <t>3310034871109</t>
  </si>
  <si>
    <t>AVC-458</t>
  </si>
  <si>
    <t>PK10B319808</t>
  </si>
  <si>
    <t>A1J310PK10119807</t>
  </si>
  <si>
    <t>163196</t>
  </si>
  <si>
    <t>46269/1</t>
  </si>
  <si>
    <t>KHI/HO/D/MO/PC COMP/C/96721/2/09/2024</t>
  </si>
  <si>
    <t xml:space="preserve"> Muhammad Aamir Khan 
</t>
  </si>
  <si>
    <t>CHANGAN KARVAAN VAN</t>
  </si>
  <si>
    <t>CZ-4191</t>
  </si>
  <si>
    <t>502617</t>
  </si>
  <si>
    <t>1007915</t>
  </si>
  <si>
    <t>521737</t>
  </si>
  <si>
    <t>51032/1</t>
  </si>
  <si>
    <t>KHI/HO/D/MO/PC COMP/C/96721/20/09/2024</t>
  </si>
  <si>
    <t xml:space="preserve">Muhammad Fawad Shuja
</t>
  </si>
  <si>
    <t>AFL-290</t>
  </si>
  <si>
    <t>6R184475</t>
  </si>
  <si>
    <t>NF1AET306H1084460</t>
  </si>
  <si>
    <t>545543</t>
  </si>
  <si>
    <t>51068/1</t>
  </si>
  <si>
    <t>KHI/HO/D/MO/PC COMP/C/96721/21/09/2024</t>
  </si>
  <si>
    <t xml:space="preserve"> Ishtiaq Ahmad
</t>
  </si>
  <si>
    <t>10120</t>
  </si>
  <si>
    <t>MT00120</t>
  </si>
  <si>
    <t>543142</t>
  </si>
  <si>
    <t>48421/1</t>
  </si>
  <si>
    <t>KHI/HO/D/MO/PC COMP/C/96721/22/09/2024</t>
  </si>
  <si>
    <t xml:space="preserve"> Nadeem Zafar              
</t>
  </si>
  <si>
    <t>AEV-549</t>
  </si>
  <si>
    <t>217318</t>
  </si>
  <si>
    <t>10117322</t>
  </si>
  <si>
    <t>528700</t>
  </si>
  <si>
    <t>47885/1</t>
  </si>
  <si>
    <t>KHI/HO/D/MO/PC COMP/C/96721/23/09/2024</t>
  </si>
  <si>
    <t xml:space="preserve"> Shoiab Ayub                     
</t>
  </si>
  <si>
    <t>KIA SORENTO</t>
  </si>
  <si>
    <t>AFC-166</t>
  </si>
  <si>
    <t>626651</t>
  </si>
  <si>
    <t>300303</t>
  </si>
  <si>
    <t>530655</t>
  </si>
  <si>
    <t>49655/1</t>
  </si>
  <si>
    <t>KHI/HO/D/MO/PC COMP/C/96721/24/09/2024</t>
  </si>
  <si>
    <t xml:space="preserve"> Habibullah 
</t>
  </si>
  <si>
    <t>4220172945871</t>
  </si>
  <si>
    <t>HYUNDAI SONATA</t>
  </si>
  <si>
    <t>BUQ-223</t>
  </si>
  <si>
    <t>G4NAMU124590</t>
  </si>
  <si>
    <t>PMHL3416MMN400445</t>
  </si>
  <si>
    <t>542326</t>
  </si>
  <si>
    <t>50986/1</t>
  </si>
  <si>
    <t>KHI/HO/D/MO/PC COMP/C/96721/25/09/2024</t>
  </si>
  <si>
    <t xml:space="preserve"> Shehzad Bashir
</t>
  </si>
  <si>
    <t>BQD-638</t>
  </si>
  <si>
    <t>Q340947</t>
  </si>
  <si>
    <t>7040085</t>
  </si>
  <si>
    <t>463249</t>
  </si>
  <si>
    <t>51317/1</t>
  </si>
  <si>
    <t>KHI/HO/D/MO/PC COMP/C/96721/27/09/2024</t>
  </si>
  <si>
    <t xml:space="preserve"> Muhammad Abdul Rehman Malik      
</t>
  </si>
  <si>
    <t>AFH-415</t>
  </si>
  <si>
    <t>220729</t>
  </si>
  <si>
    <t>10120729</t>
  </si>
  <si>
    <t>547610</t>
  </si>
  <si>
    <t>51151/1</t>
  </si>
  <si>
    <t>KHI/HO/D/MO/PC COMP/C/96721/28/09/2024</t>
  </si>
  <si>
    <t xml:space="preserve"> Muhammad Usman Khalid        
</t>
  </si>
  <si>
    <t>ABT-578</t>
  </si>
  <si>
    <t>6R139517</t>
  </si>
  <si>
    <t>H1039534</t>
  </si>
  <si>
    <t>542872</t>
  </si>
  <si>
    <t>50376/2</t>
  </si>
  <si>
    <t>KHI/HO/D/MO/PC COMP/C/96721/29/09/2024</t>
  </si>
  <si>
    <t xml:space="preserve"> Ahsan Ali 
</t>
  </si>
  <si>
    <t>AW-349</t>
  </si>
  <si>
    <t>877386</t>
  </si>
  <si>
    <t>301682</t>
  </si>
  <si>
    <t>466182</t>
  </si>
  <si>
    <t>46666/1</t>
  </si>
  <si>
    <t>KHI/HO/D/MO/PC COMP/C/96721/3/09/2024</t>
  </si>
  <si>
    <t xml:space="preserve"> Abdul Aziz 
</t>
  </si>
  <si>
    <t>AER-582</t>
  </si>
  <si>
    <t>502318</t>
  </si>
  <si>
    <t>1000409</t>
  </si>
  <si>
    <t>266417</t>
  </si>
  <si>
    <t>51232/1</t>
  </si>
  <si>
    <t>KHI/HO/D/MO/PC COMP/C/96721/30/09/2024</t>
  </si>
  <si>
    <t xml:space="preserve"> Ali Asghar  
</t>
  </si>
  <si>
    <t>TOYOTA FORTUNER 4X4 SEGMA</t>
  </si>
  <si>
    <t>AGR-118</t>
  </si>
  <si>
    <t>921947</t>
  </si>
  <si>
    <t>1094452</t>
  </si>
  <si>
    <t>0405</t>
  </si>
  <si>
    <t>181997</t>
  </si>
  <si>
    <t>51353/1</t>
  </si>
  <si>
    <t>KHI/HO/D/MO/PC COMP/C/96721/31/09/2024</t>
  </si>
  <si>
    <t xml:space="preserve"> Muhammad Iqbal   
</t>
  </si>
  <si>
    <t>AFG-971</t>
  </si>
  <si>
    <t>221217</t>
  </si>
  <si>
    <t>10121195</t>
  </si>
  <si>
    <t>522440</t>
  </si>
  <si>
    <t>51247/2</t>
  </si>
  <si>
    <t>KHI/HO/D/MO/PC COMP/C/96721/32/09/2024</t>
  </si>
  <si>
    <t xml:space="preserve"> Rana Shahid Mehmood    
</t>
  </si>
  <si>
    <t>TOYOTA PASSO</t>
  </si>
  <si>
    <t>LEH-19-995</t>
  </si>
  <si>
    <t>1KR1545907</t>
  </si>
  <si>
    <t>KGC300220074</t>
  </si>
  <si>
    <t>389481</t>
  </si>
  <si>
    <t>51226/1</t>
  </si>
  <si>
    <t>KHI/HO/D/MO/PC COMP/C/96721/33/09/2024</t>
  </si>
  <si>
    <t xml:space="preserve"> Usama Bin Saad        
</t>
  </si>
  <si>
    <t>185320</t>
  </si>
  <si>
    <t>1085325</t>
  </si>
  <si>
    <t>547455</t>
  </si>
  <si>
    <t>51294/2</t>
  </si>
  <si>
    <t>KHI/HO/D/MO/PC COMP/C/96721/34/09/2024</t>
  </si>
  <si>
    <t xml:space="preserve">Ms.Wajeeha  Salah Uddin          
</t>
  </si>
  <si>
    <t>185531</t>
  </si>
  <si>
    <t>1085581</t>
  </si>
  <si>
    <t>541580</t>
  </si>
  <si>
    <t>51355/1</t>
  </si>
  <si>
    <t>KHI/HO/D/MO/PC COMP/C/96721/35/09/2024</t>
  </si>
  <si>
    <t xml:space="preserve">Ms.Nida Sahar 
</t>
  </si>
  <si>
    <t>LEE-17-8091</t>
  </si>
  <si>
    <t>PKB688862</t>
  </si>
  <si>
    <t>01227419</t>
  </si>
  <si>
    <t>495641</t>
  </si>
  <si>
    <t>51293/2</t>
  </si>
  <si>
    <t>KHI/HO/D/MO/PC COMP/C/96721/36/09/2024</t>
  </si>
  <si>
    <t xml:space="preserve"> Ehsan Ali 
</t>
  </si>
  <si>
    <t>LE-19A-8146</t>
  </si>
  <si>
    <t>6R113663</t>
  </si>
  <si>
    <t>306H1013648</t>
  </si>
  <si>
    <t>523587</t>
  </si>
  <si>
    <t>49727/1</t>
  </si>
  <si>
    <t>KHI/HO/D/MO/PC COMP/C/96721/37/09/2024</t>
  </si>
  <si>
    <t xml:space="preserve">Ayesha Bibi  
</t>
  </si>
  <si>
    <t>AFA-343</t>
  </si>
  <si>
    <t>186457</t>
  </si>
  <si>
    <t>10086450</t>
  </si>
  <si>
    <t>0568</t>
  </si>
  <si>
    <t>534757</t>
  </si>
  <si>
    <t>51299/1</t>
  </si>
  <si>
    <t>KHI/HO/D/MO/PC COMP/C/96721/39/09/2024</t>
  </si>
  <si>
    <t xml:space="preserve"> Muhammad Nadeem    
</t>
  </si>
  <si>
    <t>SUZUKI CULTUS VXL AGS EUR</t>
  </si>
  <si>
    <t>K168958</t>
  </si>
  <si>
    <t>H10068941</t>
  </si>
  <si>
    <t>545034</t>
  </si>
  <si>
    <t>49696/1</t>
  </si>
  <si>
    <t>KHI/HO/D/MO/PC COMP/C/96721/4/09/2024</t>
  </si>
  <si>
    <t xml:space="preserve"> Dilshad Hussain  
</t>
  </si>
  <si>
    <t>AEV-672</t>
  </si>
  <si>
    <t>219848</t>
  </si>
  <si>
    <t>10119798</t>
  </si>
  <si>
    <t>0313</t>
  </si>
  <si>
    <t>347591</t>
  </si>
  <si>
    <t>50711/2</t>
  </si>
  <si>
    <t>KHI/HO/D/MO/PC COMP/C/96721/5/09/2024</t>
  </si>
  <si>
    <t xml:space="preserve"> Muhammad Aleem    
</t>
  </si>
  <si>
    <t>ARG-014</t>
  </si>
  <si>
    <t>2A10600</t>
  </si>
  <si>
    <t>R7006102</t>
  </si>
  <si>
    <t>538240</t>
  </si>
  <si>
    <t>50696/2</t>
  </si>
  <si>
    <t>KHI/HO/D/MO/PC COMP/C/96721/6/09/2024</t>
  </si>
  <si>
    <t xml:space="preserve"> Abdul Sattar Atif     
</t>
  </si>
  <si>
    <t>3310503023411</t>
  </si>
  <si>
    <t>6R182605</t>
  </si>
  <si>
    <t>NF1AET306H1082595</t>
  </si>
  <si>
    <t>0426</t>
  </si>
  <si>
    <t>257574</t>
  </si>
  <si>
    <t>50637/1</t>
  </si>
  <si>
    <t>KHI/HO/D/MO/PC COMP/C/96721/8/09/2024</t>
  </si>
  <si>
    <t>Saba Rizwan</t>
  </si>
  <si>
    <t>PROTON X70 EXECUTIVE AWD</t>
  </si>
  <si>
    <t>A3100978</t>
  </si>
  <si>
    <t>G026108</t>
  </si>
  <si>
    <t>0154</t>
  </si>
  <si>
    <t>546362</t>
  </si>
  <si>
    <t>50763/1</t>
  </si>
  <si>
    <t>KHI/HO/D/MO/PC COMP/C/96721/9/09/2024</t>
  </si>
  <si>
    <t xml:space="preserve"> Muhammad Aamir Rizwan       
</t>
  </si>
  <si>
    <t>ABE-361</t>
  </si>
  <si>
    <t>16916115</t>
  </si>
  <si>
    <t>068160</t>
  </si>
  <si>
    <t>0322</t>
  </si>
  <si>
    <t>506054</t>
  </si>
  <si>
    <t>41649/1</t>
  </si>
  <si>
    <t>KHI/HO/D/MO/PC COMP/C/96726/1/09/2024</t>
  </si>
  <si>
    <t xml:space="preserve"> Mujaddad Ahsan  
</t>
  </si>
  <si>
    <t>Q344865</t>
  </si>
  <si>
    <t>7044030</t>
  </si>
  <si>
    <t>183566</t>
  </si>
  <si>
    <t>43517/1</t>
  </si>
  <si>
    <t>KHI/HO/D/MO/PC COMP/C/96726/10/09/2024</t>
  </si>
  <si>
    <t xml:space="preserve"> Muhammad Ashraf        
</t>
  </si>
  <si>
    <t>3840310812375</t>
  </si>
  <si>
    <t>AAV-137</t>
  </si>
  <si>
    <t>16913408</t>
  </si>
  <si>
    <t>R065215</t>
  </si>
  <si>
    <t>500494</t>
  </si>
  <si>
    <t>43547/1</t>
  </si>
  <si>
    <t>KHI/HO/D/MO/PC COMP/C/96726/11/09/2024</t>
  </si>
  <si>
    <t>ACJ-249</t>
  </si>
  <si>
    <t>Z473141</t>
  </si>
  <si>
    <t>4100290</t>
  </si>
  <si>
    <t>497897</t>
  </si>
  <si>
    <t>43613/1</t>
  </si>
  <si>
    <t>KHI/HO/D/MO/PC COMP/C/96726/12/09/2024</t>
  </si>
  <si>
    <t xml:space="preserve"> Wassam Ashraf         
</t>
  </si>
  <si>
    <t>16913356</t>
  </si>
  <si>
    <t>LR065162</t>
  </si>
  <si>
    <t>500263</t>
  </si>
  <si>
    <t>43725/1</t>
  </si>
  <si>
    <t>KHI/HO/D/MO/PC COMP/C/96726/13/09/2024</t>
  </si>
  <si>
    <t xml:space="preserve"> Hassan Jaleel          
</t>
  </si>
  <si>
    <t>ARS-923</t>
  </si>
  <si>
    <t>16912985</t>
  </si>
  <si>
    <t>LR064898</t>
  </si>
  <si>
    <t>330531</t>
  </si>
  <si>
    <t>43718/1</t>
  </si>
  <si>
    <t>KHI/HO/D/MO/PC COMP/C/96726/15/09/2024</t>
  </si>
  <si>
    <t xml:space="preserve"> Bashir Ahmad            
</t>
  </si>
  <si>
    <t>MNC-16-99</t>
  </si>
  <si>
    <t>Z425787</t>
  </si>
  <si>
    <t>4071803</t>
  </si>
  <si>
    <t>504303</t>
  </si>
  <si>
    <t>43660/2</t>
  </si>
  <si>
    <t>KHI/HO/D/MO/PC COMP/C/96726/16/09/2024</t>
  </si>
  <si>
    <t xml:space="preserve"> Muhammad Usman              
</t>
  </si>
  <si>
    <t>LEE-17-655</t>
  </si>
  <si>
    <t>R18Z12914365</t>
  </si>
  <si>
    <t>NFBFC6667HR017637</t>
  </si>
  <si>
    <t>495463</t>
  </si>
  <si>
    <t>43719/1</t>
  </si>
  <si>
    <t>KHI/HO/D/MO/PC COMP/C/96726/17/09/2024</t>
  </si>
  <si>
    <t xml:space="preserve"> Muhammad Sarwar              
</t>
  </si>
  <si>
    <t>MNC-18-259</t>
  </si>
  <si>
    <t>116986</t>
  </si>
  <si>
    <t>10016897</t>
  </si>
  <si>
    <t>0553</t>
  </si>
  <si>
    <t>499712</t>
  </si>
  <si>
    <t>42486/1</t>
  </si>
  <si>
    <t>KHI/HO/D/MO/PC COMP/C/96726/18/09/2024</t>
  </si>
  <si>
    <t xml:space="preserve"> Hafiz Muhamad Asif                 
</t>
  </si>
  <si>
    <t>ARU-456</t>
  </si>
  <si>
    <t>16913352</t>
  </si>
  <si>
    <t>LR065157</t>
  </si>
  <si>
    <t>0558</t>
  </si>
  <si>
    <t>497372</t>
  </si>
  <si>
    <t>43682/1</t>
  </si>
  <si>
    <t>KHI/HO/D/MO/PC COMP/C/96726/19/09/2024</t>
  </si>
  <si>
    <t xml:space="preserve"> Muhammad Akram                 
</t>
  </si>
  <si>
    <t>204137</t>
  </si>
  <si>
    <t>10104115</t>
  </si>
  <si>
    <t>499473</t>
  </si>
  <si>
    <t>43221/1</t>
  </si>
  <si>
    <t>KHI/HO/D/MO/PC COMP/C/96726/2/09/2024</t>
  </si>
  <si>
    <t xml:space="preserve"> Asif Mehmood   
</t>
  </si>
  <si>
    <t>NISSAN NOTE HYBRID</t>
  </si>
  <si>
    <t>ARG-435</t>
  </si>
  <si>
    <t>HR12-EM57</t>
  </si>
  <si>
    <t>HE12-028433</t>
  </si>
  <si>
    <t>497410</t>
  </si>
  <si>
    <t>43656/1</t>
  </si>
  <si>
    <t>KHI/HO/D/MO/PC COMP/C/96726/20/09/2024</t>
  </si>
  <si>
    <t xml:space="preserve"> Talha Bin Aman                 
</t>
  </si>
  <si>
    <t>HONDA VEZEL HYBRID A/T.</t>
  </si>
  <si>
    <t>5911183</t>
  </si>
  <si>
    <t>1211175</t>
  </si>
  <si>
    <t>323592</t>
  </si>
  <si>
    <t>41490/1</t>
  </si>
  <si>
    <t>KHI/HO/D/MO/PC COMP/C/96726/21/09/2024</t>
  </si>
  <si>
    <t xml:space="preserve"> Malik Majid Sarwar                
</t>
  </si>
  <si>
    <t>TOYOTA YARIS GLI MT</t>
  </si>
  <si>
    <t>AAL-498</t>
  </si>
  <si>
    <t>2A07639	7004346</t>
  </si>
  <si>
    <t>7004346</t>
  </si>
  <si>
    <t>491323</t>
  </si>
  <si>
    <t>42269/1</t>
  </si>
  <si>
    <t>KHI/HO/D/MO/PC COMP/C/96726/22/09/2024</t>
  </si>
  <si>
    <t xml:space="preserve"> Azhar Waqar Ali                
</t>
  </si>
  <si>
    <t>AAM-716</t>
  </si>
  <si>
    <t>206367</t>
  </si>
  <si>
    <t>10106367</t>
  </si>
  <si>
    <t>492577</t>
  </si>
  <si>
    <t>43797/1</t>
  </si>
  <si>
    <t>KHI/HO/D/MO/PC COMP/C/96726/23/09/2024</t>
  </si>
  <si>
    <t xml:space="preserve">Hafiza Shakila                  
</t>
  </si>
  <si>
    <t>500597</t>
  </si>
  <si>
    <t>1002503</t>
  </si>
  <si>
    <t>503252</t>
  </si>
  <si>
    <t>43645/1</t>
  </si>
  <si>
    <t>KHI/HO/D/MO/PC COMP/C/96726/24/09/2024</t>
  </si>
  <si>
    <t xml:space="preserve"> Shahid Iqbal                     
</t>
  </si>
  <si>
    <t>ARK-693</t>
  </si>
  <si>
    <t>140413</t>
  </si>
  <si>
    <t>1040678</t>
  </si>
  <si>
    <t>503814</t>
  </si>
  <si>
    <t>43825/1</t>
  </si>
  <si>
    <t>KHI/HO/D/MO/PC COMP/C/96726/25/09/2024</t>
  </si>
  <si>
    <t xml:space="preserve"> Muhammad Hassan                
</t>
  </si>
  <si>
    <t>AAR-803</t>
  </si>
  <si>
    <t>1122467</t>
  </si>
  <si>
    <t>1005945</t>
  </si>
  <si>
    <t>503395</t>
  </si>
  <si>
    <t>43838/1</t>
  </si>
  <si>
    <t>KHI/HO/D/MO/PC COMP/C/96726/26/09/2024</t>
  </si>
  <si>
    <t xml:space="preserve"> Rizwan Amanat                
</t>
  </si>
  <si>
    <t>AAV-788</t>
  </si>
  <si>
    <t>162049</t>
  </si>
  <si>
    <t>10062044</t>
  </si>
  <si>
    <t>503397</t>
  </si>
  <si>
    <t>43736/1</t>
  </si>
  <si>
    <t>KHI/HO/D/MO/PC COMP/C/96726/27/09/2024</t>
  </si>
  <si>
    <t xml:space="preserve"> Muhammad Abbas                
</t>
  </si>
  <si>
    <t>R139920</t>
  </si>
  <si>
    <t>H1039904</t>
  </si>
  <si>
    <t>495069</t>
  </si>
  <si>
    <t>43791/1</t>
  </si>
  <si>
    <t>KHI/HO/D/MO/PC COMP/C/96726/28/09/2024</t>
  </si>
  <si>
    <t xml:space="preserve"> Muhammad Ramzan                
</t>
  </si>
  <si>
    <t>ARK-968</t>
  </si>
  <si>
    <t>6913560</t>
  </si>
  <si>
    <t>R065370</t>
  </si>
  <si>
    <t>447286</t>
  </si>
  <si>
    <t>43785/1</t>
  </si>
  <si>
    <t>KHI/HO/D/MO/PC COMP/C/96726/29/09/2024</t>
  </si>
  <si>
    <t xml:space="preserve"> Muhammad Amir                  
</t>
  </si>
  <si>
    <t>305901</t>
  </si>
  <si>
    <t>502955</t>
  </si>
  <si>
    <t>504515</t>
  </si>
  <si>
    <t>43225/1</t>
  </si>
  <si>
    <t>KHI/HO/D/MO/PC COMP/C/96726/3/09/2024</t>
  </si>
  <si>
    <t xml:space="preserve"> Najeeb Afridi    
</t>
  </si>
  <si>
    <t>AQE-407</t>
  </si>
  <si>
    <t>2934111</t>
  </si>
  <si>
    <t>037538</t>
  </si>
  <si>
    <t>0602</t>
  </si>
  <si>
    <t>500256</t>
  </si>
  <si>
    <t>43784/1</t>
  </si>
  <si>
    <t>KHI/HO/D/MO/PC COMP/C/96726/30/09/2024</t>
  </si>
  <si>
    <t xml:space="preserve"> Muhammad Nasir                  
</t>
  </si>
  <si>
    <t>ARW-407</t>
  </si>
  <si>
    <t>6R140331</t>
  </si>
  <si>
    <t>NF1AET306H1040314</t>
  </si>
  <si>
    <t>503874</t>
  </si>
  <si>
    <t>43764/1</t>
  </si>
  <si>
    <t>KHI/HO/D/MO/PC COMP/C/96726/31/09/2024</t>
  </si>
  <si>
    <t xml:space="preserve"> Taimoor Khalid                   
</t>
  </si>
  <si>
    <t>AAP-192</t>
  </si>
  <si>
    <t>141189</t>
  </si>
  <si>
    <t>1041169</t>
  </si>
  <si>
    <t>505123</t>
  </si>
  <si>
    <t>43780/1</t>
  </si>
  <si>
    <t>KHI/HO/D/MO/PC COMP/C/96726/32/09/2024</t>
  </si>
  <si>
    <t xml:space="preserve"> Shoaib Malik                   
</t>
  </si>
  <si>
    <t>LEC-18A-7178</t>
  </si>
  <si>
    <t>Z542686</t>
  </si>
  <si>
    <t>R4168368</t>
  </si>
  <si>
    <t>505256</t>
  </si>
  <si>
    <t>43747/1</t>
  </si>
  <si>
    <t>KHI/HO/D/MO/PC COMP/C/96726/33/09/2024</t>
  </si>
  <si>
    <t xml:space="preserve"> Muhammad Shahbaz                   
</t>
  </si>
  <si>
    <t>AAN-191</t>
  </si>
  <si>
    <t>6913644</t>
  </si>
  <si>
    <t>LR065445</t>
  </si>
  <si>
    <t>504305</t>
  </si>
  <si>
    <t>43824/1</t>
  </si>
  <si>
    <t>KHI/HO/D/MO/PC COMP/C/96726/34/09/2024</t>
  </si>
  <si>
    <t xml:space="preserve"> Muhammad Asif                
</t>
  </si>
  <si>
    <t>141201</t>
  </si>
  <si>
    <t>1041175</t>
  </si>
  <si>
    <t>452088</t>
  </si>
  <si>
    <t>43741/1</t>
  </si>
  <si>
    <t>KHI/HO/D/MO/PC COMP/C/96726/35/09/2024</t>
  </si>
  <si>
    <t xml:space="preserve"> Subhan Ahmed                 
</t>
  </si>
  <si>
    <t>ARS-552</t>
  </si>
  <si>
    <t>133857</t>
  </si>
  <si>
    <t>1033886</t>
  </si>
  <si>
    <t>503142</t>
  </si>
  <si>
    <t>43802/1</t>
  </si>
  <si>
    <t>KHI/HO/D/MO/PC COMP/C/96726/36/09/2024</t>
  </si>
  <si>
    <t xml:space="preserve"> Ali Raza                 
</t>
  </si>
  <si>
    <t>LEE-19-1728</t>
  </si>
  <si>
    <t>17530827</t>
  </si>
  <si>
    <t>KR249455</t>
  </si>
  <si>
    <t>0551</t>
  </si>
  <si>
    <t>224083</t>
  </si>
  <si>
    <t>43817/1</t>
  </si>
  <si>
    <t>KHI/HO/D/MO/PC COMP/C/96726/37/09/2024</t>
  </si>
  <si>
    <t xml:space="preserve"> Waqas Ali                   
</t>
  </si>
  <si>
    <t>316549</t>
  </si>
  <si>
    <t>303206</t>
  </si>
  <si>
    <t>503861</t>
  </si>
  <si>
    <t>43732/1</t>
  </si>
  <si>
    <t>KHI/HO/D/MO/PC COMP/C/96726/38/09/2024</t>
  </si>
  <si>
    <t xml:space="preserve"> Nasir Khan                    
</t>
  </si>
  <si>
    <t>ARS-675</t>
  </si>
  <si>
    <t>140443</t>
  </si>
  <si>
    <t>1040399</t>
  </si>
  <si>
    <t>504807</t>
  </si>
  <si>
    <t>43813/1</t>
  </si>
  <si>
    <t>KHI/HO/D/MO/PC COMP/C/96726/39/09/2024</t>
  </si>
  <si>
    <t xml:space="preserve"> Ghulam Mohsan                   
</t>
  </si>
  <si>
    <t>AAQ-407</t>
  </si>
  <si>
    <t>Z575175</t>
  </si>
  <si>
    <t>4200756</t>
  </si>
  <si>
    <t>503156</t>
  </si>
  <si>
    <t>43287/1</t>
  </si>
  <si>
    <t>KHI/HO/D/MO/PC COMP/C/96726/4/09/2024</t>
  </si>
  <si>
    <t xml:space="preserve"> Baz Muhammad    
</t>
  </si>
  <si>
    <t>ARK-977</t>
  </si>
  <si>
    <t>204000</t>
  </si>
  <si>
    <t>10103994</t>
  </si>
  <si>
    <t>364157</t>
  </si>
  <si>
    <t>43792/1</t>
  </si>
  <si>
    <t>KHI/HO/D/MO/PC COMP/C/96726/40/09/2024</t>
  </si>
  <si>
    <t xml:space="preserve"> Husnain Javed                   
</t>
  </si>
  <si>
    <t>AAS-614</t>
  </si>
  <si>
    <t>6R141115</t>
  </si>
  <si>
    <t>1041086</t>
  </si>
  <si>
    <t>505462</t>
  </si>
  <si>
    <t>43815/1</t>
  </si>
  <si>
    <t>KHI/HO/D/MO/PC COMP/C/96726/41/09/2024</t>
  </si>
  <si>
    <t xml:space="preserve"> Faisal Aziz
</t>
  </si>
  <si>
    <t>322784</t>
  </si>
  <si>
    <t>505013</t>
  </si>
  <si>
    <t>503085</t>
  </si>
  <si>
    <t>43823/1</t>
  </si>
  <si>
    <t>KHI/HO/D/MO/PC COMP/C/96726/42/09/2024</t>
  </si>
  <si>
    <t xml:space="preserve"> Haseeb 
</t>
  </si>
  <si>
    <t>AAS-156</t>
  </si>
  <si>
    <t>200283</t>
  </si>
  <si>
    <t>10400273</t>
  </si>
  <si>
    <t>505192</t>
  </si>
  <si>
    <t>43828/1</t>
  </si>
  <si>
    <t>KHI/HO/D/MO/PC COMP/C/96726/43/09/2024</t>
  </si>
  <si>
    <t xml:space="preserve"> Ahmed Raza 
</t>
  </si>
  <si>
    <t>AFB-483</t>
  </si>
  <si>
    <t>13502996</t>
  </si>
  <si>
    <t>HR002979</t>
  </si>
  <si>
    <t>467184</t>
  </si>
  <si>
    <t>43684/1</t>
  </si>
  <si>
    <t>KHI/HO/D/MO/PC COMP/C/96726/44/09/2024</t>
  </si>
  <si>
    <t xml:space="preserve"> Rizwan Ali Malik 
</t>
  </si>
  <si>
    <t>130087</t>
  </si>
  <si>
    <t>1030202</t>
  </si>
  <si>
    <t>501099</t>
  </si>
  <si>
    <t>43256/1</t>
  </si>
  <si>
    <t>KHI/HO/D/MO/PC COMP/C/96726/5/09/2024</t>
  </si>
  <si>
    <t xml:space="preserve"> Amir Kasani
</t>
  </si>
  <si>
    <t>133689</t>
  </si>
  <si>
    <t>1033704</t>
  </si>
  <si>
    <t>501538</t>
  </si>
  <si>
    <t>43443/1</t>
  </si>
  <si>
    <t>KHI/HO/D/MO/PC COMP/C/96726/7/09/2024</t>
  </si>
  <si>
    <t xml:space="preserve"> Nasir Razzaq    
</t>
  </si>
  <si>
    <t>AAU-658</t>
  </si>
  <si>
    <t>128960</t>
  </si>
  <si>
    <t>1028962</t>
  </si>
  <si>
    <t>0406</t>
  </si>
  <si>
    <t>405928</t>
  </si>
  <si>
    <t>43508/1</t>
  </si>
  <si>
    <t>KHI/HO/D/MO/PC COMP/C/96726/8/09/2024</t>
  </si>
  <si>
    <t xml:space="preserve"> Zeeshan Aslam      
</t>
  </si>
  <si>
    <t>AAK-552</t>
  </si>
  <si>
    <t>121011</t>
  </si>
  <si>
    <t>1020974</t>
  </si>
  <si>
    <t>499288</t>
  </si>
  <si>
    <t>43137/1</t>
  </si>
  <si>
    <t>KHI/HO/D/MO/PC COMP/C/96726/9/09/2024</t>
  </si>
  <si>
    <t xml:space="preserve"> Muhammad Imran     
</t>
  </si>
  <si>
    <t>L15Z14802618</t>
  </si>
  <si>
    <t>NFBDG1838LR019262</t>
  </si>
  <si>
    <t>497570</t>
  </si>
  <si>
    <t>58009/1</t>
  </si>
  <si>
    <t>KHI/HO/D/MO/PC COMP/C/96729/10/09/2024</t>
  </si>
  <si>
    <t xml:space="preserve"> Mirza Ghulam Shabbir
</t>
  </si>
  <si>
    <t>HYUNDAI TUCSON FWD</t>
  </si>
  <si>
    <t>218897</t>
  </si>
  <si>
    <t>210270</t>
  </si>
  <si>
    <t>571036</t>
  </si>
  <si>
    <t>59611/1</t>
  </si>
  <si>
    <t>KHI/HO/D/MO/PC COMP/C/96729/11/09/2024</t>
  </si>
  <si>
    <t xml:space="preserve">Hina Umer
</t>
  </si>
  <si>
    <t>1025610</t>
  </si>
  <si>
    <t>1142112</t>
  </si>
  <si>
    <t>570678</t>
  </si>
  <si>
    <t>59949/1</t>
  </si>
  <si>
    <t>KHI/HO/D/MO/PC COMP/C/96729/12/09/2024</t>
  </si>
  <si>
    <t xml:space="preserve"> Imran Nazir
</t>
  </si>
  <si>
    <t>LEB-18A-1791</t>
  </si>
  <si>
    <t>K127389</t>
  </si>
  <si>
    <t>H10027372</t>
  </si>
  <si>
    <t>583329</t>
  </si>
  <si>
    <t>58081/1</t>
  </si>
  <si>
    <t>KHI/HO/D/MO/PC COMP/C/96729/14/09/2024</t>
  </si>
  <si>
    <t xml:space="preserve"> Muhammad Waseem
</t>
  </si>
  <si>
    <t>239210</t>
  </si>
  <si>
    <t>10139220</t>
  </si>
  <si>
    <t>577231</t>
  </si>
  <si>
    <t>59972/1</t>
  </si>
  <si>
    <t>KHI/HO/D/MO/PC COMP/C/96729/15/09/2024</t>
  </si>
  <si>
    <t xml:space="preserve"> Faisal Haroon 
</t>
  </si>
  <si>
    <t>B239323</t>
  </si>
  <si>
    <t>10139319</t>
  </si>
  <si>
    <t>578698</t>
  </si>
  <si>
    <t>59940/1</t>
  </si>
  <si>
    <t>KHI/HO/D/MO/PC COMP/C/96729/16/09/2024</t>
  </si>
  <si>
    <t xml:space="preserve"> Muhammad Khuram Sharaz
</t>
  </si>
  <si>
    <t>SUZUKI Cultus AGS</t>
  </si>
  <si>
    <t>ACU-542</t>
  </si>
  <si>
    <t>171319</t>
  </si>
  <si>
    <t>10071317</t>
  </si>
  <si>
    <t>586548</t>
  </si>
  <si>
    <t>59988/1</t>
  </si>
  <si>
    <t>KHI/HO/D/MO/PC COMP/C/96729/17/09/2024</t>
  </si>
  <si>
    <t xml:space="preserve"> Rana Shoaib Ali Basharat
</t>
  </si>
  <si>
    <t>LEA-5703</t>
  </si>
  <si>
    <t>PK10B172073</t>
  </si>
  <si>
    <t>A1J310PK10072054</t>
  </si>
  <si>
    <t>586062</t>
  </si>
  <si>
    <t>58681/1</t>
  </si>
  <si>
    <t>KHI/HO/D/MO/PC COMP/C/96729/18/09/2024</t>
  </si>
  <si>
    <t xml:space="preserve"> Salman Ahmad Saleem
</t>
  </si>
  <si>
    <t>BAG-539</t>
  </si>
  <si>
    <t>503585</t>
  </si>
  <si>
    <t>1016504</t>
  </si>
  <si>
    <t>30522</t>
  </si>
  <si>
    <t>60090/1</t>
  </si>
  <si>
    <t>KHI/HO/D/MO/PC COMP/C/96729/19/09/2024</t>
  </si>
  <si>
    <t xml:space="preserve"> Anees Rehman 
</t>
  </si>
  <si>
    <t>HONDA CITY ASPIRE I VTEC</t>
  </si>
  <si>
    <t>LEB-18-7507</t>
  </si>
  <si>
    <t>7505411</t>
  </si>
  <si>
    <t>216889</t>
  </si>
  <si>
    <t>583634</t>
  </si>
  <si>
    <t>59756/1</t>
  </si>
  <si>
    <t>KHI/HO/D/MO/PC COMP/C/96729/2/09/2024</t>
  </si>
  <si>
    <t xml:space="preserve">  Muhammad Adnan Yousaf
</t>
  </si>
  <si>
    <t>200894</t>
  </si>
  <si>
    <t>10100893</t>
  </si>
  <si>
    <t>580111</t>
  </si>
  <si>
    <t>59982/1</t>
  </si>
  <si>
    <t>KHI/HO/D/MO/PC COMP/C/96729/20/09/2024</t>
  </si>
  <si>
    <t xml:space="preserve"> Adrish Hamid  
</t>
  </si>
  <si>
    <t>LEA-19A-9031</t>
  </si>
  <si>
    <t>103806</t>
  </si>
  <si>
    <t>1003777</t>
  </si>
  <si>
    <t>499942</t>
  </si>
  <si>
    <t>59882/1</t>
  </si>
  <si>
    <t>KHI/HO/D/MO/PC COMP/C/96729/21/09/2024</t>
  </si>
  <si>
    <t xml:space="preserve"> Muhammad Ali Shahzad    
</t>
  </si>
  <si>
    <t>BLF-262</t>
  </si>
  <si>
    <t>2925710</t>
  </si>
  <si>
    <t>029018</t>
  </si>
  <si>
    <t>584887</t>
  </si>
  <si>
    <t>60194/1</t>
  </si>
  <si>
    <t>KHI/HO/D/MO/PC COMP/C/96729/22/09/2024</t>
  </si>
  <si>
    <t xml:space="preserve"> Azeem Shahid
</t>
  </si>
  <si>
    <t>AJD-771</t>
  </si>
  <si>
    <t>JL473QFM3CAD518304</t>
  </si>
  <si>
    <t>NKM2ASE5M1004046</t>
  </si>
  <si>
    <t>444402</t>
  </si>
  <si>
    <t>60100/1</t>
  </si>
  <si>
    <t>KHI/HO/D/MO/PC COMP/C/96729/23/09/2024</t>
  </si>
  <si>
    <t xml:space="preserve"> Ahsan Ullah
</t>
  </si>
  <si>
    <t>ALY-105</t>
  </si>
  <si>
    <t>133013</t>
  </si>
  <si>
    <t>10032991</t>
  </si>
  <si>
    <t>585273</t>
  </si>
  <si>
    <t>60099/1</t>
  </si>
  <si>
    <t>KHI/HO/D/MO/PC COMP/C/96729/24/09/2024</t>
  </si>
  <si>
    <t xml:space="preserve"> Shujaat Ali
</t>
  </si>
  <si>
    <t>TOYOTA COROLLA ALTIS</t>
  </si>
  <si>
    <t>AFN 202</t>
  </si>
  <si>
    <t>Q083583</t>
  </si>
  <si>
    <t>R6061063</t>
  </si>
  <si>
    <t>585057</t>
  </si>
  <si>
    <t>60079/1</t>
  </si>
  <si>
    <t>KHI/HO/D/MO/PC COMP/C/96729/25/09/2024</t>
  </si>
  <si>
    <t xml:space="preserve"> Ali Raza
</t>
  </si>
  <si>
    <t>LED-18-1867</t>
  </si>
  <si>
    <t>154155</t>
  </si>
  <si>
    <t>10054128</t>
  </si>
  <si>
    <t>296201</t>
  </si>
  <si>
    <t>60094/1</t>
  </si>
  <si>
    <t>KHI/HO/D/MO/PC COMP/C/96729/26/09/2024</t>
  </si>
  <si>
    <t xml:space="preserve"> Muhammad Waqas
</t>
  </si>
  <si>
    <t>HYUNDAI ELANTRA A/T SUNRO</t>
  </si>
  <si>
    <t>817028</t>
  </si>
  <si>
    <t>300721</t>
  </si>
  <si>
    <t>586511</t>
  </si>
  <si>
    <t>60111/1</t>
  </si>
  <si>
    <t>KHI/HO/D/MO/PC COMP/C/96729/27/09/2024</t>
  </si>
  <si>
    <t xml:space="preserve"> Faisal Zaman
</t>
  </si>
  <si>
    <t>BAS-196</t>
  </si>
  <si>
    <t>201412</t>
  </si>
  <si>
    <t>10101397</t>
  </si>
  <si>
    <t>586645</t>
  </si>
  <si>
    <t>60113/1</t>
  </si>
  <si>
    <t>KHI/HO/D/MO/PC COMP/C/96729/29/09/2024</t>
  </si>
  <si>
    <t xml:space="preserve"> Ayaz Ahmad 
</t>
  </si>
  <si>
    <t>4210168844325</t>
  </si>
  <si>
    <t>BLP-282</t>
  </si>
  <si>
    <t>Q042043</t>
  </si>
  <si>
    <t>6019546</t>
  </si>
  <si>
    <t>583169</t>
  </si>
  <si>
    <t>60114/1</t>
  </si>
  <si>
    <t>KHI/HO/D/MO/PC COMP/C/96729/31/09/2024</t>
  </si>
  <si>
    <t xml:space="preserve"> Fawad Atif 
</t>
  </si>
  <si>
    <t>BMA-382</t>
  </si>
  <si>
    <t>155403</t>
  </si>
  <si>
    <t>10056020</t>
  </si>
  <si>
    <t>586122</t>
  </si>
  <si>
    <t>53988/1</t>
  </si>
  <si>
    <t>KHI/HO/D/MO/PC COMP/C/96729/32/09/2024</t>
  </si>
  <si>
    <t xml:space="preserve"> Muhammad Jamil
</t>
  </si>
  <si>
    <t>ALZ-041</t>
  </si>
  <si>
    <t>507616</t>
  </si>
  <si>
    <t>1015924</t>
  </si>
  <si>
    <t>559980</t>
  </si>
  <si>
    <t>50840/1</t>
  </si>
  <si>
    <t>KHI/HO/D/MO/PC COMP/C/96729/33/09/2024</t>
  </si>
  <si>
    <t xml:space="preserve"> Muhammad Noman Zafar 
</t>
  </si>
  <si>
    <t>PROTON PROTON X70 FWD Pre</t>
  </si>
  <si>
    <t>3109886</t>
  </si>
  <si>
    <t>EVRN000476</t>
  </si>
  <si>
    <t>547314</t>
  </si>
  <si>
    <t>60082/1</t>
  </si>
  <si>
    <t>KHI/HO/D/MO/PC COMP/C/96729/34/09/2024</t>
  </si>
  <si>
    <t xml:space="preserve"> Muhammad Mohsin
</t>
  </si>
  <si>
    <t>AMC-416</t>
  </si>
  <si>
    <t>240509</t>
  </si>
  <si>
    <t>10140508</t>
  </si>
  <si>
    <t>586514</t>
  </si>
  <si>
    <t>60190/1</t>
  </si>
  <si>
    <t>KHI/HO/D/MO/PC COMP/C/96729/36/09/2024</t>
  </si>
  <si>
    <t xml:space="preserve"> Muhammad Zubair
</t>
  </si>
  <si>
    <t>1014583</t>
  </si>
  <si>
    <t>R026220</t>
  </si>
  <si>
    <t>68112</t>
  </si>
  <si>
    <t>60192/1</t>
  </si>
  <si>
    <t>KHI/HO/D/MO/PC COMP/C/96729/37/09/2024</t>
  </si>
  <si>
    <t xml:space="preserve"> Syed Azeem  Ahmed
</t>
  </si>
  <si>
    <t>CHANGAN OSHAN X7 COMFORT</t>
  </si>
  <si>
    <t>121758</t>
  </si>
  <si>
    <t>1001219</t>
  </si>
  <si>
    <t>0820</t>
  </si>
  <si>
    <t>52293</t>
  </si>
  <si>
    <t>60191/2</t>
  </si>
  <si>
    <t>KHI/HO/D/MO/PC COMP/C/96729/38/09/2024</t>
  </si>
  <si>
    <t xml:space="preserve"> Syed Aamir Hussain Shah 
</t>
  </si>
  <si>
    <t>BAK-441</t>
  </si>
  <si>
    <t>241527</t>
  </si>
  <si>
    <t>10141521</t>
  </si>
  <si>
    <t>587961</t>
  </si>
  <si>
    <t>60238/1</t>
  </si>
  <si>
    <t>KHI/HO/D/MO/PC COMP/C/96729/39/09/2024</t>
  </si>
  <si>
    <t xml:space="preserve"> Muhammad Luqman  
</t>
  </si>
  <si>
    <t>AXJ-806</t>
  </si>
  <si>
    <t>L12B51006431</t>
  </si>
  <si>
    <t>NFBGN8621NR010170</t>
  </si>
  <si>
    <t>587191</t>
  </si>
  <si>
    <t>59835/1</t>
  </si>
  <si>
    <t>KHI/HO/D/MO/PC COMP/C/96729/4/09/2024</t>
  </si>
  <si>
    <t xml:space="preserve"> Muhammad Shakeel Ahmed 
</t>
  </si>
  <si>
    <t>190415</t>
  </si>
  <si>
    <t>10090403</t>
  </si>
  <si>
    <t>451445</t>
  </si>
  <si>
    <t>60259/1</t>
  </si>
  <si>
    <t>KHI/HO/D/MO/PC COMP/C/96729/40/09/2024</t>
  </si>
  <si>
    <t xml:space="preserve"> Muhammad Saqib
</t>
  </si>
  <si>
    <t>LEB-18A-9714</t>
  </si>
  <si>
    <t>172003</t>
  </si>
  <si>
    <t>10071972</t>
  </si>
  <si>
    <t>575638</t>
  </si>
  <si>
    <t>60210/1</t>
  </si>
  <si>
    <t>KHI/HO/D/MO/PC COMP/C/96729/41/09/2024</t>
  </si>
  <si>
    <t xml:space="preserve"> Muhammad Kashif
</t>
  </si>
  <si>
    <t>BWM-356</t>
  </si>
  <si>
    <t>195857</t>
  </si>
  <si>
    <t>10095858</t>
  </si>
  <si>
    <t>346936</t>
  </si>
  <si>
    <t>60193/1</t>
  </si>
  <si>
    <t>KHI/HO/D/MO/PC COMP/C/96729/42/09/2024</t>
  </si>
  <si>
    <t xml:space="preserve"> Muhammad Waqas 
</t>
  </si>
  <si>
    <t>BQM-274</t>
  </si>
  <si>
    <t>Q-057673</t>
  </si>
  <si>
    <t>R-6035176</t>
  </si>
  <si>
    <t>587051</t>
  </si>
  <si>
    <t>60265/1</t>
  </si>
  <si>
    <t>KHI/HO/D/MO/PC COMP/C/96729/43/09/2024</t>
  </si>
  <si>
    <t xml:space="preserve"> Rana Shahid Mahmood
</t>
  </si>
  <si>
    <t>PRINCE GLORY 580 PRO TURB</t>
  </si>
  <si>
    <t>AGQ -526</t>
  </si>
  <si>
    <t>20755646</t>
  </si>
  <si>
    <t>21C0347</t>
  </si>
  <si>
    <t>582848</t>
  </si>
  <si>
    <t>60270/1</t>
  </si>
  <si>
    <t>KHI/HO/D/MO/PC COMP/C/96729/44/09/2024</t>
  </si>
  <si>
    <t xml:space="preserve"> Mujahid Ali Malik 
</t>
  </si>
  <si>
    <t>HONDA CITY A/T</t>
  </si>
  <si>
    <t>AET-469</t>
  </si>
  <si>
    <t>17464759</t>
  </si>
  <si>
    <t>208131</t>
  </si>
  <si>
    <t>586933</t>
  </si>
  <si>
    <t>60269/1</t>
  </si>
  <si>
    <t>KHI/HO/D/MO/PC COMP/C/96729/45/09/2024</t>
  </si>
  <si>
    <t xml:space="preserve"> Misbah Iftikhar
</t>
  </si>
  <si>
    <t>SUZUKI MEHRAN</t>
  </si>
  <si>
    <t>AFX-263</t>
  </si>
  <si>
    <t>706123</t>
  </si>
  <si>
    <t>PK01244575</t>
  </si>
  <si>
    <t>580913</t>
  </si>
  <si>
    <t>60248/1</t>
  </si>
  <si>
    <t>KHI/HO/D/MO/PC COMP/C/96729/46/09/2024</t>
  </si>
  <si>
    <t xml:space="preserve"> Muhammad Naeem Qureshi
</t>
  </si>
  <si>
    <t>503787</t>
  </si>
  <si>
    <t>1016639</t>
  </si>
  <si>
    <t>356466</t>
  </si>
  <si>
    <t>60287/1</t>
  </si>
  <si>
    <t>KHI/HO/D/MO/PC COMP/C/96729/47/09/2024</t>
  </si>
  <si>
    <t xml:space="preserve"> Asad Ali 
</t>
  </si>
  <si>
    <t>1025808</t>
  </si>
  <si>
    <t>1142307</t>
  </si>
  <si>
    <t>583683</t>
  </si>
  <si>
    <t>60261/1</t>
  </si>
  <si>
    <t>KHI/HO/D/MO/PC COMP/C/96729/48/09/2024</t>
  </si>
  <si>
    <t xml:space="preserve"> Muhammad Usama
</t>
  </si>
  <si>
    <t>AHX-772</t>
  </si>
  <si>
    <t>157589</t>
  </si>
  <si>
    <t>10057583</t>
  </si>
  <si>
    <t>587336</t>
  </si>
  <si>
    <t>59830/2</t>
  </si>
  <si>
    <t>KHI/HO/D/MO/PC COMP/C/96729/5/09/2024</t>
  </si>
  <si>
    <t xml:space="preserve"> Irfan Rafiq
</t>
  </si>
  <si>
    <t>503616</t>
  </si>
  <si>
    <t>1016477</t>
  </si>
  <si>
    <t>510713</t>
  </si>
  <si>
    <t>59837/1</t>
  </si>
  <si>
    <t>KHI/HO/D/MO/PC COMP/C/96729/6/09/2024</t>
  </si>
  <si>
    <t xml:space="preserve">Tanya Hamid Sheikh
</t>
  </si>
  <si>
    <t>ALX-273</t>
  </si>
  <si>
    <t>4810151</t>
  </si>
  <si>
    <t>NR026827</t>
  </si>
  <si>
    <t>585027</t>
  </si>
  <si>
    <t>54908/1</t>
  </si>
  <si>
    <t>KHI/HO/D/MO/PC COMP/C/96729/7/09/2024</t>
  </si>
  <si>
    <t xml:space="preserve"> Zahid Ahmed Khan 
</t>
  </si>
  <si>
    <t>N69U503732</t>
  </si>
  <si>
    <t>N1016372</t>
  </si>
  <si>
    <t>567276</t>
  </si>
  <si>
    <t>56051/1</t>
  </si>
  <si>
    <t>KHI/HO/D/MO/PC COMP/C/96729/8/09/2024</t>
  </si>
  <si>
    <t xml:space="preserve"> Sarwar Aijaz Siddiqui 
</t>
  </si>
  <si>
    <t>TOYOTA Yaris ATIV X 1.5 (</t>
  </si>
  <si>
    <t>2A56247</t>
  </si>
  <si>
    <t>7035542</t>
  </si>
  <si>
    <t>0113</t>
  </si>
  <si>
    <t>423859</t>
  </si>
  <si>
    <t>55133/1</t>
  </si>
  <si>
    <t>KHI/HO/D/MO/PC COMP/C/96729/9/09/2024</t>
  </si>
  <si>
    <t xml:space="preserve"> Muhammad Mujahid Iqbal
</t>
  </si>
  <si>
    <t>BAH-469</t>
  </si>
  <si>
    <t>249075</t>
  </si>
  <si>
    <t>1149070</t>
  </si>
  <si>
    <t>38830/1</t>
  </si>
  <si>
    <t>KHI/HO/D/MO/PC COMP/C/96731/2/09/2024</t>
  </si>
  <si>
    <t xml:space="preserve"> Hassan Raza   
</t>
  </si>
  <si>
    <t>APJ-462</t>
  </si>
  <si>
    <t>2953230</t>
  </si>
  <si>
    <t>KR056656</t>
  </si>
  <si>
    <t>0330</t>
  </si>
  <si>
    <t>392310</t>
  </si>
  <si>
    <t>38835/1</t>
  </si>
  <si>
    <t>KHI/HO/D/MO/PC COMP/C/96731/3/09/2024</t>
  </si>
  <si>
    <t xml:space="preserve"> Tariq Mahmood
</t>
  </si>
  <si>
    <t>LE-19A-8897</t>
  </si>
  <si>
    <t>147331</t>
  </si>
  <si>
    <t>10047312</t>
  </si>
  <si>
    <t>393349</t>
  </si>
  <si>
    <t>60277/1</t>
  </si>
  <si>
    <t>KHI/HO/D/MO/PC COMP/P/96733/09/2024</t>
  </si>
  <si>
    <t>Falak Naz</t>
  </si>
  <si>
    <t>TOYOTA LAND CRUISER ZX V8</t>
  </si>
  <si>
    <t>ALA-223</t>
  </si>
  <si>
    <t>1109988</t>
  </si>
  <si>
    <t>0023113</t>
  </si>
  <si>
    <t>0677</t>
  </si>
  <si>
    <t>262082</t>
  </si>
  <si>
    <t>33066/1</t>
  </si>
  <si>
    <t>KHI/HO/D/MO/PC COMP/C/96790/1/09/2024</t>
  </si>
  <si>
    <t xml:space="preserve"> Mohsin Jamal
</t>
  </si>
  <si>
    <t>HONDA CITY PROSMATEC STD</t>
  </si>
  <si>
    <t>AKX-656</t>
  </si>
  <si>
    <t>L13Z17517727</t>
  </si>
  <si>
    <t>NFBGM1646JR233004</t>
  </si>
  <si>
    <t>423313</t>
  </si>
  <si>
    <t>33336/1</t>
  </si>
  <si>
    <t>KHI/HO/D/MO/PC COMP/C/96790/2/09/2024</t>
  </si>
  <si>
    <t xml:space="preserve">Saman Tabassum  </t>
  </si>
  <si>
    <t>LEB-18A-6536</t>
  </si>
  <si>
    <t>742875</t>
  </si>
  <si>
    <t>01281375</t>
  </si>
  <si>
    <t>0570</t>
  </si>
  <si>
    <t>423692</t>
  </si>
  <si>
    <t>57554/1</t>
  </si>
  <si>
    <t>KHI/HO/D/MO/PC COMP/C/93460/8/07/2024</t>
  </si>
  <si>
    <t>OMAIS  MUNIR</t>
  </si>
  <si>
    <t>BAA-295</t>
  </si>
  <si>
    <t>G4FGNU202221</t>
  </si>
  <si>
    <t>PMHD841CMNN304404</t>
  </si>
  <si>
    <t>576956</t>
  </si>
  <si>
    <t>65885/1</t>
  </si>
  <si>
    <t>KHI/HO/D/MO/CV/C/95145/1/08/2024</t>
  </si>
  <si>
    <t>NAWAIZ   MASIH</t>
  </si>
  <si>
    <t>TAC-699</t>
  </si>
  <si>
    <t>389892</t>
  </si>
  <si>
    <t>494560</t>
  </si>
  <si>
    <t>542849</t>
  </si>
  <si>
    <t>58842/1</t>
  </si>
  <si>
    <t>KHI/HO/D/MO/PC COMP/C/95230/15/08/2024</t>
  </si>
  <si>
    <t>MUHAMMAD  SABIR</t>
  </si>
  <si>
    <t>BAG-835</t>
  </si>
  <si>
    <t>1025380</t>
  </si>
  <si>
    <t>01141897</t>
  </si>
  <si>
    <t>580359</t>
  </si>
  <si>
    <t>57493/1</t>
  </si>
  <si>
    <t>KHI/HO/D/MO/PC COMP/C/95230/53/08/2024</t>
  </si>
  <si>
    <t>MUHAMMAD IRFAN  .</t>
  </si>
  <si>
    <t>ALT-246</t>
  </si>
  <si>
    <t>200171</t>
  </si>
  <si>
    <t>10100147</t>
  </si>
  <si>
    <t>375967</t>
  </si>
  <si>
    <t>65815/1</t>
  </si>
  <si>
    <t>KHI/HO/D/MO/PC COMP/C/93461/14/07/2024</t>
  </si>
  <si>
    <t>HINA  KOKAB</t>
  </si>
  <si>
    <t>LEA-16A-8344</t>
  </si>
  <si>
    <t>B122860</t>
  </si>
  <si>
    <t>PK10022836</t>
  </si>
  <si>
    <t>620873</t>
  </si>
  <si>
    <t>65705/1</t>
  </si>
  <si>
    <t>KHI/HO/D/MO/PC COMP/C/93461/16/07/2024</t>
  </si>
  <si>
    <t>SOHAIL  KHAN</t>
  </si>
  <si>
    <t>BCC-627</t>
  </si>
  <si>
    <t>278030</t>
  </si>
  <si>
    <t>1177879</t>
  </si>
  <si>
    <t>395579</t>
  </si>
  <si>
    <t>65159/1</t>
  </si>
  <si>
    <t>KHI/HO/D/MO/PC COMP/C/93461/3/07/2024</t>
  </si>
  <si>
    <t>DILAWAR   HUSSAIN</t>
  </si>
  <si>
    <t>AGY-776</t>
  </si>
  <si>
    <t>716185</t>
  </si>
  <si>
    <t>1254677</t>
  </si>
  <si>
    <t>617789</t>
  </si>
  <si>
    <t>41773/1</t>
  </si>
  <si>
    <t>KHI/HO/D/MO/PC COMP/C/90920/150/06/2024</t>
  </si>
  <si>
    <t>MUHAMMAD  SHAHID</t>
  </si>
  <si>
    <t>3520014747439</t>
  </si>
  <si>
    <t>AAB-215</t>
  </si>
  <si>
    <t>157712</t>
  </si>
  <si>
    <t>10057731</t>
  </si>
  <si>
    <t>491240</t>
  </si>
  <si>
    <t>65215/1</t>
  </si>
  <si>
    <t>KHI/HO/D/MO/PC COMP/C/90920/181/06/2024</t>
  </si>
  <si>
    <t>RAO HAMMAD HUSSAIN</t>
  </si>
  <si>
    <t>4220135820235</t>
  </si>
  <si>
    <t>BWS-510</t>
  </si>
  <si>
    <t>R230783</t>
  </si>
  <si>
    <t>1130742</t>
  </si>
  <si>
    <t>618162</t>
  </si>
  <si>
    <t>54256/1</t>
  </si>
  <si>
    <t>KHI/HO/D/MO/PC COMP/C/90920/90/06/2024</t>
  </si>
  <si>
    <t>MUHAMMAD HASSAN KASANA</t>
  </si>
  <si>
    <t>3310278836475</t>
  </si>
  <si>
    <t>ALB-216</t>
  </si>
  <si>
    <t>239937</t>
  </si>
  <si>
    <t>1139953</t>
  </si>
  <si>
    <t>509973</t>
  </si>
  <si>
    <t>49042/1</t>
  </si>
  <si>
    <t>KHI/HO/D/MO/PC COMP/C/90920/95/06/2024</t>
  </si>
  <si>
    <t>WAQAS  AKRAM</t>
  </si>
  <si>
    <t>3130352730201</t>
  </si>
  <si>
    <t>PROTON SAGA  A/T ACE (CKD)</t>
  </si>
  <si>
    <t>BBW-772</t>
  </si>
  <si>
    <t>S4PEWU3988</t>
  </si>
  <si>
    <t>NP001320</t>
  </si>
  <si>
    <t>215855</t>
  </si>
  <si>
    <t>REN</t>
  </si>
  <si>
    <t>KHI/HO/D/MO/PC COMP/P/75216/09/2023</t>
  </si>
  <si>
    <t>End. #</t>
  </si>
  <si>
    <t xml:space="preserve">KHI/HO/D/MO/PC COMP/E/48372/00009/10/2024 </t>
  </si>
  <si>
    <t>-09-2024</t>
  </si>
  <si>
    <t>-09-2023</t>
  </si>
  <si>
    <t>-07-2024</t>
  </si>
  <si>
    <t>-08-2024</t>
  </si>
  <si>
    <t>-06-2024</t>
  </si>
  <si>
    <t>00001</t>
  </si>
  <si>
    <t>00002</t>
  </si>
  <si>
    <t>00004</t>
  </si>
  <si>
    <t>00005</t>
  </si>
  <si>
    <t>00010</t>
  </si>
  <si>
    <t>00011</t>
  </si>
  <si>
    <t>00013</t>
  </si>
  <si>
    <t>00014</t>
  </si>
  <si>
    <t>00015</t>
  </si>
  <si>
    <t>00016</t>
  </si>
  <si>
    <t>00017</t>
  </si>
  <si>
    <t>00018</t>
  </si>
  <si>
    <t>00020</t>
  </si>
  <si>
    <t>00021</t>
  </si>
  <si>
    <t>00003</t>
  </si>
  <si>
    <t>00006</t>
  </si>
  <si>
    <t>00007</t>
  </si>
  <si>
    <t>00008</t>
  </si>
  <si>
    <t>00009</t>
  </si>
  <si>
    <t>00012</t>
  </si>
  <si>
    <t>00019</t>
  </si>
  <si>
    <t>00022</t>
  </si>
  <si>
    <t>00023</t>
  </si>
  <si>
    <t>00024</t>
  </si>
  <si>
    <t>00025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</si>
  <si>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</si>
  <si>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</si>
  <si>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</si>
  <si>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</si>
  <si>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</si>
  <si>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</si>
  <si>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</si>
  <si>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</si>
  <si>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</si>
  <si>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</si>
  <si>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</si>
  <si>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00039</t>
  </si>
  <si>
    <t>00026</t>
  </si>
  <si>
    <t>00038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</si>
  <si>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</si>
  <si>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</si>
  <si>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</si>
  <si>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</si>
  <si>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</si>
  <si>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</si>
  <si>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</si>
  <si>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</si>
  <si>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</si>
  <si>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00053</t>
  </si>
  <si>
    <t>00150</t>
  </si>
  <si>
    <t>00181</t>
  </si>
  <si>
    <t>00090</t>
  </si>
  <si>
    <t>00095</t>
  </si>
  <si>
    <t xml:space="preserve">   </t>
  </si>
  <si>
    <t>FUNC_ASSORTED_STRING(IA.ASSORTED_CODE)</t>
  </si>
  <si>
    <t>ASSORTED_CODE</t>
  </si>
  <si>
    <t>040000152682</t>
  </si>
  <si>
    <t>070000163778</t>
  </si>
  <si>
    <t>070000163906</t>
  </si>
  <si>
    <t>070000165239</t>
  </si>
  <si>
    <t>070000165240</t>
  </si>
  <si>
    <t>070000165072</t>
  </si>
  <si>
    <t>070000165130</t>
  </si>
  <si>
    <t>070000165150</t>
  </si>
  <si>
    <t>070000165078</t>
  </si>
  <si>
    <t>070000165095</t>
  </si>
  <si>
    <t>070000165101</t>
  </si>
  <si>
    <t>070000165105</t>
  </si>
  <si>
    <t>070000165057</t>
  </si>
  <si>
    <t>070000165058</t>
  </si>
  <si>
    <t>070000165060</t>
  </si>
  <si>
    <t>070000165061</t>
  </si>
  <si>
    <t>070000165062</t>
  </si>
  <si>
    <t>070000165063</t>
  </si>
  <si>
    <t>070000165065</t>
  </si>
  <si>
    <t>070000165066</t>
  </si>
  <si>
    <t>070000165068</t>
  </si>
  <si>
    <t>070000165070</t>
  </si>
  <si>
    <t>070000165071</t>
  </si>
  <si>
    <t>070000165073</t>
  </si>
  <si>
    <t>070000165075</t>
  </si>
  <si>
    <t>070000165076</t>
  </si>
  <si>
    <t>070000165079</t>
  </si>
  <si>
    <t>070000165081</t>
  </si>
  <si>
    <t>070000165082</t>
  </si>
  <si>
    <t>070000165083</t>
  </si>
  <si>
    <t>070000165084</t>
  </si>
  <si>
    <t>070000165085</t>
  </si>
  <si>
    <t>070000165086</t>
  </si>
  <si>
    <t>070000165087</t>
  </si>
  <si>
    <t>070000165092</t>
  </si>
  <si>
    <t>070000165093</t>
  </si>
  <si>
    <t>070000165094</t>
  </si>
  <si>
    <t>070000165096</t>
  </si>
  <si>
    <t>070000165097</t>
  </si>
  <si>
    <t>070000165099</t>
  </si>
  <si>
    <t>070000165100</t>
  </si>
  <si>
    <t>070000165102</t>
  </si>
  <si>
    <t>070000165103</t>
  </si>
  <si>
    <t>070000165112</t>
  </si>
  <si>
    <t>070000165113</t>
  </si>
  <si>
    <t>070000165114</t>
  </si>
  <si>
    <t>070000165115</t>
  </si>
  <si>
    <t>070000165116</t>
  </si>
  <si>
    <t>070000165118</t>
  </si>
  <si>
    <t>070000165120</t>
  </si>
  <si>
    <t>070000165121</t>
  </si>
  <si>
    <t>070000165124</t>
  </si>
  <si>
    <t>070000165125</t>
  </si>
  <si>
    <t>070000165126</t>
  </si>
  <si>
    <t>070000165127</t>
  </si>
  <si>
    <t>070000165129</t>
  </si>
  <si>
    <t>070000165131</t>
  </si>
  <si>
    <t>070000165133</t>
  </si>
  <si>
    <t>070000165134</t>
  </si>
  <si>
    <t>070000165135</t>
  </si>
  <si>
    <t>070000165136</t>
  </si>
  <si>
    <t>070000165137</t>
  </si>
  <si>
    <t>070000165139</t>
  </si>
  <si>
    <t>070000165141</t>
  </si>
  <si>
    <t>070000165142</t>
  </si>
  <si>
    <t>070000165143</t>
  </si>
  <si>
    <t>070000165144</t>
  </si>
  <si>
    <t>070000165145</t>
  </si>
  <si>
    <t>070000165146</t>
  </si>
  <si>
    <t>070000165147</t>
  </si>
  <si>
    <t>070000165148</t>
  </si>
  <si>
    <t>070000165149</t>
  </si>
  <si>
    <t>070000165152</t>
  </si>
  <si>
    <t>070000165153</t>
  </si>
  <si>
    <t>070000165154</t>
  </si>
  <si>
    <t>070000165155</t>
  </si>
  <si>
    <t>070000165157</t>
  </si>
  <si>
    <t>070000165159</t>
  </si>
  <si>
    <t>070000165160</t>
  </si>
  <si>
    <t>070000165161</t>
  </si>
  <si>
    <t>070000165162</t>
  </si>
  <si>
    <t>070000165163</t>
  </si>
  <si>
    <t>070000165164</t>
  </si>
  <si>
    <t>070000165213</t>
  </si>
  <si>
    <t>070000165214</t>
  </si>
  <si>
    <t>070000165217</t>
  </si>
  <si>
    <t>070000165218</t>
  </si>
  <si>
    <t>070000165219</t>
  </si>
  <si>
    <t>070000165222</t>
  </si>
  <si>
    <t>070000165223</t>
  </si>
  <si>
    <t>070000165224</t>
  </si>
  <si>
    <t>070000165184</t>
  </si>
  <si>
    <t>070000165168</t>
  </si>
  <si>
    <t>070000165171</t>
  </si>
  <si>
    <t>070000165172</t>
  </si>
  <si>
    <t>070000165173</t>
  </si>
  <si>
    <t>070000165175</t>
  </si>
  <si>
    <t>070000165176</t>
  </si>
  <si>
    <t>070000165177</t>
  </si>
  <si>
    <t>070000165179</t>
  </si>
  <si>
    <t>070000165180</t>
  </si>
  <si>
    <t>070000165182</t>
  </si>
  <si>
    <t>070000165185</t>
  </si>
  <si>
    <t>070000165186</t>
  </si>
  <si>
    <t>070000165187</t>
  </si>
  <si>
    <t>070000165188</t>
  </si>
  <si>
    <t>070000165211</t>
  </si>
  <si>
    <t>070000165189</t>
  </si>
  <si>
    <t>070000165190</t>
  </si>
  <si>
    <t>070000165191</t>
  </si>
  <si>
    <t>070000165192</t>
  </si>
  <si>
    <t>070000165193</t>
  </si>
  <si>
    <t>070000165194</t>
  </si>
  <si>
    <t>070000165195</t>
  </si>
  <si>
    <t>070000165196</t>
  </si>
  <si>
    <t>070000165197</t>
  </si>
  <si>
    <t>070000165201</t>
  </si>
  <si>
    <t>070000165202</t>
  </si>
  <si>
    <t>070000165203</t>
  </si>
  <si>
    <t>070000165205</t>
  </si>
  <si>
    <t>070000165207</t>
  </si>
  <si>
    <t>070000165208</t>
  </si>
  <si>
    <t>070000165209</t>
  </si>
  <si>
    <t>070000165212</t>
  </si>
  <si>
    <t>070000165264</t>
  </si>
  <si>
    <t>070000165268</t>
  </si>
  <si>
    <t>070000165016</t>
  </si>
  <si>
    <t>070000165017</t>
  </si>
  <si>
    <t>070000165019</t>
  </si>
  <si>
    <t>070000165020</t>
  </si>
  <si>
    <t>070000165022</t>
  </si>
  <si>
    <t>070000165024</t>
  </si>
  <si>
    <t>070000165029</t>
  </si>
  <si>
    <t>070000165032</t>
  </si>
  <si>
    <t>070000165033</t>
  </si>
  <si>
    <t>070000165034</t>
  </si>
  <si>
    <t>070000165035</t>
  </si>
  <si>
    <t>070000165037</t>
  </si>
  <si>
    <t>070000165039</t>
  </si>
  <si>
    <t>070000165040</t>
  </si>
  <si>
    <t>070000165041</t>
  </si>
  <si>
    <t>070000165042</t>
  </si>
  <si>
    <t>070000165043</t>
  </si>
  <si>
    <t>070000165045</t>
  </si>
  <si>
    <t>070000165046</t>
  </si>
  <si>
    <t>070000165047</t>
  </si>
  <si>
    <t>070000165048</t>
  </si>
  <si>
    <t>070000165049</t>
  </si>
  <si>
    <t>070000165050</t>
  </si>
  <si>
    <t>070000165052</t>
  </si>
  <si>
    <t>070000165054</t>
  </si>
  <si>
    <t>070000162606</t>
  </si>
  <si>
    <t>070000161475</t>
  </si>
  <si>
    <t>070000161384</t>
  </si>
  <si>
    <t>070000161444</t>
  </si>
  <si>
    <t>070000161389</t>
  </si>
  <si>
    <t>070000162627</t>
  </si>
  <si>
    <t>070000162624</t>
  </si>
  <si>
    <t>070000162613</t>
  </si>
  <si>
    <t>070000165026</t>
  </si>
  <si>
    <t>070000165027</t>
  </si>
  <si>
    <t>070000163864</t>
  </si>
  <si>
    <t>POLICY NO.</t>
  </si>
  <si>
    <t>Assorted_code</t>
  </si>
  <si>
    <t>Premium</t>
  </si>
  <si>
    <t>040000183298</t>
  </si>
  <si>
    <t>28Oct240058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</si>
</sst>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[$-409]d\-mmm\-yyyy;@"/>
    <numFmt numFmtId="165" formatCode="[$-409]d\-mmm\-yy;@"/>
    <numFmt numFmtId="166" formatCode="_(* #,##0_);_(* \(#,##0\);_(* &quot;-&quot;??_);_(@_)"/>
    <numFmt numFmtId="167" formatCode="[$-409]dd\-mmm\-yy;@"/>
    <numFmt numFmtId="168" formatCode="_-* #,##0_-;\-* #,##0_-;_-* &quot;-&quot;??_-;_-@_-"/>
    <numFmt numFmtId="169" formatCode="0;[Red]0"/>
    <numFmt numFmtId="170" formatCode="#,##0_);\(#,##0\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8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indexed="8"/>
      <name val="Aptos Narrow"/>
      <family val="2"/>
      <scheme val="minor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>
      <alignment vertical="top"/>
    </xf>
    <xf numFmtId="43" fontId="3" fillId="0" borderId="0" applyFont="0" applyFill="0" applyBorder="0" applyAlignment="0" applyProtection="0">
      <alignment vertical="top"/>
    </xf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4" fillId="2" borderId="1" xfId="2" applyFont="1" applyFill="1" applyBorder="1" applyAlignment="1">
      <alignment horizontal="center" vertical="center" wrapText="1"/>
    </xf>
    <xf numFmtId="164" fontId="4" fillId="3" borderId="1" xfId="3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>
      <alignment horizontal="center" vertical="center" wrapText="1"/>
    </xf>
    <xf numFmtId="165" fontId="4" fillId="2" borderId="1" xfId="3" applyNumberFormat="1" applyFont="1" applyFill="1" applyBorder="1" applyAlignment="1">
      <alignment horizontal="center" vertical="center" wrapText="1"/>
    </xf>
    <xf numFmtId="166" fontId="4" fillId="2" borderId="1" xfId="3" applyNumberFormat="1" applyFont="1" applyFill="1" applyBorder="1" applyAlignment="1">
      <alignment horizontal="center" vertical="center" wrapText="1"/>
    </xf>
    <xf numFmtId="9" fontId="4" fillId="2" borderId="1" xfId="4" applyFont="1" applyFill="1" applyBorder="1" applyAlignment="1">
      <alignment horizontal="center" vertical="center" wrapText="1"/>
    </xf>
    <xf numFmtId="166" fontId="4" fillId="4" borderId="1" xfId="3" applyNumberFormat="1" applyFont="1" applyFill="1" applyBorder="1" applyAlignment="1">
      <alignment horizontal="center" vertical="center" wrapText="1"/>
    </xf>
    <xf numFmtId="43" fontId="4" fillId="4" borderId="1" xfId="3" applyFont="1" applyFill="1" applyBorder="1" applyAlignment="1">
      <alignment horizontal="center" vertical="center" wrapText="1"/>
    </xf>
    <xf numFmtId="166" fontId="4" fillId="5" borderId="1" xfId="3" applyNumberFormat="1" applyFont="1" applyFill="1" applyBorder="1" applyAlignment="1">
      <alignment horizontal="center" vertical="center" wrapText="1"/>
    </xf>
    <xf numFmtId="166" fontId="6" fillId="2" borderId="1" xfId="3" applyNumberFormat="1" applyFont="1" applyFill="1" applyBorder="1" applyAlignment="1">
      <alignment horizontal="center" vertical="center" wrapText="1"/>
    </xf>
    <xf numFmtId="166" fontId="7" fillId="2" borderId="1" xfId="3" applyNumberFormat="1" applyFont="1" applyFill="1" applyBorder="1" applyAlignment="1">
      <alignment horizontal="center"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166" fontId="4" fillId="3" borderId="1" xfId="3" applyNumberFormat="1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/>
    </xf>
    <xf numFmtId="168" fontId="10" fillId="0" borderId="2" xfId="3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top"/>
    </xf>
    <xf numFmtId="168" fontId="11" fillId="0" borderId="2" xfId="3" applyNumberFormat="1" applyFont="1" applyBorder="1">
      <alignment vertical="top"/>
    </xf>
    <xf numFmtId="168" fontId="11" fillId="0" borderId="2" xfId="0" applyNumberFormat="1" applyFont="1" applyBorder="1" applyAlignment="1">
      <alignment vertical="top"/>
    </xf>
    <xf numFmtId="0" fontId="8" fillId="4" borderId="2" xfId="0" applyFont="1" applyFill="1" applyBorder="1" applyAlignment="1">
      <alignment vertical="top"/>
    </xf>
    <xf numFmtId="168" fontId="11" fillId="4" borderId="2" xfId="0" applyNumberFormat="1" applyFont="1" applyFill="1" applyBorder="1" applyAlignment="1">
      <alignment vertical="top"/>
    </xf>
    <xf numFmtId="165" fontId="10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vertical="top"/>
    </xf>
    <xf numFmtId="170" fontId="11" fillId="0" borderId="2" xfId="0" applyNumberFormat="1" applyFont="1" applyBorder="1" applyAlignment="1">
      <alignment vertical="top"/>
    </xf>
    <xf numFmtId="168" fontId="2" fillId="4" borderId="2" xfId="1" applyNumberFormat="1" applyFont="1" applyFill="1" applyBorder="1" applyAlignment="1">
      <alignment vertical="top"/>
    </xf>
    <xf numFmtId="0" fontId="11" fillId="4" borderId="2" xfId="0" applyFont="1" applyFill="1" applyBorder="1" applyAlignment="1">
      <alignment vertical="top"/>
    </xf>
    <xf numFmtId="0" fontId="14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5" fillId="0" borderId="0" xfId="0" applyFont="1"/>
    <xf numFmtId="166" fontId="16" fillId="0" borderId="0" xfId="1" applyNumberFormat="1" applyFont="1" applyAlignment="1">
      <alignment vertical="top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4" borderId="0" xfId="0" applyFill="1" applyAlignment="1">
      <alignment wrapText="1"/>
    </xf>
    <xf numFmtId="49" fontId="0" fillId="0" borderId="0" xfId="0" applyNumberFormat="1" applyAlignment="1">
      <alignment vertical="top"/>
    </xf>
    <xf numFmtId="168" fontId="0" fillId="0" borderId="0" xfId="0" applyNumberFormat="1" applyAlignment="1">
      <alignment vertical="top"/>
    </xf>
    <xf numFmtId="168" fontId="0" fillId="0" borderId="0" xfId="0" applyNumberFormat="1"/>
  </cellXfs>
  <cellStyles count="5">
    <cellStyle name="Comma" xfId="1" builtinId="3"/>
    <cellStyle name="Comma 2" xfId="3" xr:uid="{46319027-0F9C-4FCE-B11F-CD2A09D716B1}"/>
    <cellStyle name="Normal" xfId="0" builtinId="0"/>
    <cellStyle name="Normal 2 2 2" xfId="2" xr:uid="{245B35D4-03D3-440E-8D5B-5075854BF750}"/>
    <cellStyle name="Percent 2" xfId="4" xr:uid="{E9202507-B749-4A18-B765-D047DCF871F8}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baid.gulraiz\Downloads\Contr.%20reg%20Jan-Oct%2007.xlsx" TargetMode="External"/><Relationship Id="rId1" Type="http://schemas.openxmlformats.org/officeDocument/2006/relationships/externalLinkPath" Target="file:///C:\Users\obaid.gulraiz\Downloads\Contr.%20reg%20Jan-Oct%200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L~1.HAS\AppData\Local\Temp\tmp001.xlsx" TargetMode="External"/><Relationship Id="rId1" Type="http://schemas.openxmlformats.org/officeDocument/2006/relationships/externalLinkPath" Target="file:///C:\Users\ADIL~1.HAS\AppData\Local\Temp\tmp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3"/>
      <sheetName val="Sheet2"/>
    </sheetNames>
    <sheetDataSet>
      <sheetData sheetId="0">
        <row r="3">
          <cell r="B3" t="str">
            <v>KHI/HO/D/MO/PC COMP/P/72076/04/2024</v>
          </cell>
        </row>
      </sheetData>
      <sheetData sheetId="1"/>
      <sheetData sheetId="2">
        <row r="2">
          <cell r="B2" t="str">
            <v>KHI/HO/D/MO/CV/P/81061/01/2024</v>
          </cell>
          <cell r="D2" t="str">
            <v>FRE</v>
          </cell>
        </row>
        <row r="3">
          <cell r="B3" t="str">
            <v>KHI/HO/D/MO/CV/P/81982/01/2024</v>
          </cell>
          <cell r="D3" t="str">
            <v>FRE</v>
          </cell>
        </row>
        <row r="4">
          <cell r="B4" t="str">
            <v>KHI/HO/D/MO/CV/P/82984/02/2024</v>
          </cell>
          <cell r="D4" t="str">
            <v>FRE</v>
          </cell>
        </row>
        <row r="5">
          <cell r="B5" t="str">
            <v>KHI/HO/D/MO/CV/P/82987/02/2024</v>
          </cell>
          <cell r="D5" t="str">
            <v>FRE</v>
          </cell>
        </row>
        <row r="6">
          <cell r="B6" t="str">
            <v>KHI/HO/D/MO/CV/P/83072/02/2024</v>
          </cell>
          <cell r="D6" t="str">
            <v>FRE</v>
          </cell>
        </row>
        <row r="7">
          <cell r="B7" t="str">
            <v>KHI/HO/D/MO/CV/P/83085/02/2024</v>
          </cell>
          <cell r="D7" t="str">
            <v>FRE</v>
          </cell>
        </row>
        <row r="8">
          <cell r="B8" t="str">
            <v>KHI/HO/D/MO/CV/P/83093/02/2024</v>
          </cell>
          <cell r="D8" t="str">
            <v>FRE</v>
          </cell>
        </row>
        <row r="9">
          <cell r="B9" t="str">
            <v>KHI/HO/D/MO/CV/P/83211/02/2024</v>
          </cell>
          <cell r="D9" t="str">
            <v>FRE</v>
          </cell>
        </row>
        <row r="10">
          <cell r="B10" t="str">
            <v>KHI/HO/D/MO/CV/P/83216/02/2024</v>
          </cell>
          <cell r="D10" t="str">
            <v>FRE</v>
          </cell>
        </row>
        <row r="11">
          <cell r="B11" t="str">
            <v>KHI/HO/D/MO/CV/P/83767/02/2024</v>
          </cell>
          <cell r="D11" t="str">
            <v>FRE</v>
          </cell>
        </row>
        <row r="12">
          <cell r="B12" t="str">
            <v>KHI/HO/D/MO/CV/P/83773/02/2024</v>
          </cell>
          <cell r="D12" t="str">
            <v>FRE</v>
          </cell>
        </row>
        <row r="13">
          <cell r="B13" t="str">
            <v>KHI/HO/D/MO/CV/P/83774/02/2024</v>
          </cell>
          <cell r="D13" t="str">
            <v>FRE</v>
          </cell>
        </row>
        <row r="14">
          <cell r="B14" t="str">
            <v>KHI/HO/D/MO/CV/P/83781/02/2024</v>
          </cell>
          <cell r="D14" t="str">
            <v>FRE</v>
          </cell>
        </row>
        <row r="15">
          <cell r="B15" t="str">
            <v>KHI/HO/D/MO/CV/P/83821/02/2024</v>
          </cell>
          <cell r="D15" t="str">
            <v>FRE</v>
          </cell>
        </row>
        <row r="16">
          <cell r="B16" t="str">
            <v>KHI/HO/D/MO/CV/P/83823/02/2024</v>
          </cell>
          <cell r="D16" t="str">
            <v>FRE</v>
          </cell>
        </row>
        <row r="17">
          <cell r="B17" t="str">
            <v>KHI/HO/D/MO/CV/P/86492/04/2024</v>
          </cell>
          <cell r="D17" t="str">
            <v>FRE</v>
          </cell>
        </row>
        <row r="18">
          <cell r="B18" t="str">
            <v>KHI/HO/D/MO/CV/P/86495/04/2024</v>
          </cell>
          <cell r="D18" t="str">
            <v>FRE</v>
          </cell>
        </row>
        <row r="19">
          <cell r="B19" t="str">
            <v>KHI/HO/D/MO/CV/P/86585/04/2024</v>
          </cell>
          <cell r="D19" t="str">
            <v>FRE</v>
          </cell>
        </row>
        <row r="20">
          <cell r="B20" t="str">
            <v>KHI/HO/D/MO/CV/P/87539/04/2024</v>
          </cell>
          <cell r="D20" t="str">
            <v>FRE</v>
          </cell>
        </row>
        <row r="21">
          <cell r="B21" t="str">
            <v>KHI/HO/D/MO/CV/P/87792/04/2024</v>
          </cell>
          <cell r="D21" t="str">
            <v>FRE</v>
          </cell>
        </row>
        <row r="22">
          <cell r="B22" t="str">
            <v>KHI/HO/D/MO/CV/P/87805/04/2024</v>
          </cell>
          <cell r="D22" t="str">
            <v>FRE</v>
          </cell>
        </row>
        <row r="23">
          <cell r="B23" t="str">
            <v>KHI/HO/D/MO/PC COMP/P/89849/05/2024</v>
          </cell>
          <cell r="D23" t="str">
            <v>FRE</v>
          </cell>
        </row>
        <row r="24">
          <cell r="B24" t="str">
            <v>KHI/HO/D/MO/PC COMP/P/93572/07/2024</v>
          </cell>
          <cell r="D24" t="str">
            <v>REN</v>
          </cell>
        </row>
        <row r="25">
          <cell r="B25" t="str">
            <v>KHI/HO/D/MO/PC COMP/P/95296/08/2024</v>
          </cell>
          <cell r="D25" t="str">
            <v>REN</v>
          </cell>
        </row>
        <row r="26">
          <cell r="B26" t="str">
            <v>KHI/HO/D/MO/PC COMP/P/96733/09/2024</v>
          </cell>
          <cell r="D26" t="str">
            <v>REN</v>
          </cell>
        </row>
        <row r="27">
          <cell r="B27" t="str">
            <v>KHI/HO/D/MO/PC COMP/P/76437/10/2023</v>
          </cell>
          <cell r="C27" t="str">
            <v>KHI/HO/D/MO/PC COMP/E/35882/00005/01/2024</v>
          </cell>
          <cell r="D27" t="str">
            <v>REN</v>
          </cell>
        </row>
        <row r="28">
          <cell r="B28" t="str">
            <v>KHI/HO/D/MO/PC COMP/P/80156/12/2023</v>
          </cell>
          <cell r="C28" t="str">
            <v>KHI/HO/D/MO/PC COMP/E/35907/00048/01/2024</v>
          </cell>
          <cell r="D28" t="str">
            <v>REN</v>
          </cell>
        </row>
        <row r="29">
          <cell r="B29" t="str">
            <v>KHI/HO/D/MO/PC COMP/P/80156/12/2023</v>
          </cell>
          <cell r="C29" t="str">
            <v>KHI/HO/D/MO/PC COMP/E/35907/00014/01/2024</v>
          </cell>
          <cell r="D29" t="str">
            <v>REN</v>
          </cell>
        </row>
        <row r="30">
          <cell r="B30" t="str">
            <v>KHI/HO/D/MO/PC COMP/P/80156/12/2023</v>
          </cell>
          <cell r="C30" t="str">
            <v>KHI/HO/D/MO/PC COMP/E/35907/00023/01/2024</v>
          </cell>
          <cell r="D30" t="str">
            <v>REN</v>
          </cell>
        </row>
        <row r="31">
          <cell r="B31" t="str">
            <v>KHI/HO/D/MO/PC COMP/P/66572/01/2023</v>
          </cell>
          <cell r="C31" t="str">
            <v>KHI/HO/D/MO/PC COMP/E/35909/00018/01/2024</v>
          </cell>
          <cell r="D31" t="str">
            <v>REN</v>
          </cell>
        </row>
        <row r="32">
          <cell r="B32" t="str">
            <v>KHI/HO/D/MO/PC COMP/P/72871/07/2023</v>
          </cell>
          <cell r="C32" t="str">
            <v>KHI/HO/D/MO/PC COMP/E/35927/00045/01/2024</v>
          </cell>
          <cell r="D32" t="str">
            <v>REN</v>
          </cell>
        </row>
        <row r="33">
          <cell r="B33" t="str">
            <v>KHI/HO/D/MO/PC COMP/P/78104/11/2023</v>
          </cell>
          <cell r="C33" t="str">
            <v>KHI/HO/D/MO/PC COMP/E/35933/00030/01/2024</v>
          </cell>
          <cell r="D33" t="str">
            <v>REN</v>
          </cell>
        </row>
        <row r="34">
          <cell r="B34" t="str">
            <v>KHI/HO/D/MO/PC COMP/P/73778/08/2023</v>
          </cell>
          <cell r="C34" t="str">
            <v>KHI/HO/D/MO/PC COMP/E/35945/00014/01/2024</v>
          </cell>
          <cell r="D34" t="str">
            <v>REN</v>
          </cell>
        </row>
        <row r="35">
          <cell r="B35" t="str">
            <v>KHI/HO/D/MO/PC COMP/P/73778/08/2023</v>
          </cell>
          <cell r="C35" t="str">
            <v>KHI/HO/D/MO/PC COMP/E/35945/00018/01/2024</v>
          </cell>
          <cell r="D35" t="str">
            <v>REN</v>
          </cell>
        </row>
        <row r="36">
          <cell r="B36" t="str">
            <v>KHI/HO/D/MO/PC COMP/P/73784/08/2023</v>
          </cell>
          <cell r="C36" t="str">
            <v>KHI/HO/D/MO/PC COMP/E/36042/00009/01/2024</v>
          </cell>
          <cell r="D36" t="str">
            <v>REN</v>
          </cell>
        </row>
        <row r="37">
          <cell r="B37" t="str">
            <v>KHI/HO/D/MO/PC COMP/P/76438/10/2023</v>
          </cell>
          <cell r="C37" t="str">
            <v>KHI/HO/D/MO/PC COMP/E/36121/00010/01/2024</v>
          </cell>
          <cell r="D37" t="str">
            <v>REN</v>
          </cell>
        </row>
        <row r="38">
          <cell r="B38" t="str">
            <v>KHI/HO/D/MO/PC COMP/P/73769/08/2023</v>
          </cell>
          <cell r="C38" t="str">
            <v>KHI/HO/D/MO/PC COMP/E/36122/00004/01/2024</v>
          </cell>
          <cell r="D38" t="str">
            <v>REN</v>
          </cell>
        </row>
        <row r="39">
          <cell r="B39" t="str">
            <v>KHI/HO/D/MO/PC COMP/P/76394/10/2023</v>
          </cell>
          <cell r="C39" t="str">
            <v>KHI/HO/D/MO/PC COMP/E/36123/00060/01/2024</v>
          </cell>
          <cell r="D39" t="str">
            <v>REN</v>
          </cell>
        </row>
        <row r="40">
          <cell r="B40" t="str">
            <v>KHI/HO/D/MO/PC COMP/P/80337/12/2023</v>
          </cell>
          <cell r="C40" t="str">
            <v>KHI/HO/D/MO/PC COMP/E/36248/00043/01/2024</v>
          </cell>
          <cell r="D40" t="str">
            <v>REN</v>
          </cell>
        </row>
        <row r="41">
          <cell r="B41" t="str">
            <v>KHI/HO/D/MO/PC COMP/P/80337/12/2023</v>
          </cell>
          <cell r="C41" t="str">
            <v>KHI/HO/D/MO/PC COMP/E/36248/00047/01/2024</v>
          </cell>
          <cell r="D41" t="str">
            <v>REN</v>
          </cell>
        </row>
        <row r="42">
          <cell r="B42" t="str">
            <v>KHI/HO/D/MO/PC COMP/P/71722/06/2023</v>
          </cell>
          <cell r="C42" t="str">
            <v>KHI/HO/D/MO/PC COMP/E/36313/00018/01/2024</v>
          </cell>
          <cell r="D42" t="str">
            <v>REN</v>
          </cell>
        </row>
        <row r="43">
          <cell r="B43" t="str">
            <v>KHI/HO/D/MO/PC COMP/P/75211/09/2023</v>
          </cell>
          <cell r="C43" t="str">
            <v>KHI/HO/D/MO/PC COMP/E/36316/00003/01/2024</v>
          </cell>
          <cell r="D43" t="str">
            <v>REN</v>
          </cell>
        </row>
        <row r="44">
          <cell r="B44" t="str">
            <v>KHI/HO/D/MO/PC COMP/P/80156/12/2023</v>
          </cell>
          <cell r="C44" t="str">
            <v>KHI/HO/D/MO/PC COMP/E/36379/00050/01/2024</v>
          </cell>
          <cell r="D44" t="str">
            <v>REN</v>
          </cell>
        </row>
        <row r="45">
          <cell r="B45" t="str">
            <v>KHI/HO/D/MO/PC COMP/P/77479/11/2023</v>
          </cell>
          <cell r="C45" t="str">
            <v>KHI/HO/D/MO/PC COMP/E/36422/00004/01/2024</v>
          </cell>
          <cell r="D45" t="str">
            <v>FRE</v>
          </cell>
        </row>
        <row r="46">
          <cell r="B46" t="str">
            <v>KHI/HO/D/MO/PC COMP/P/72878/07/2023</v>
          </cell>
          <cell r="C46" t="str">
            <v>KHI/HO/D/MO/PC COMP/E/36426/00025/01/2024</v>
          </cell>
          <cell r="D46" t="str">
            <v>REN</v>
          </cell>
        </row>
        <row r="47">
          <cell r="B47" t="str">
            <v>KHI/HO/D/MO/PC COMP/P/77949/11/2023</v>
          </cell>
          <cell r="C47" t="str">
            <v>KHI/HO/D/MO/PC COMP/E/36427/00024/01/2024</v>
          </cell>
          <cell r="D47" t="str">
            <v>REN</v>
          </cell>
        </row>
        <row r="48">
          <cell r="B48" t="str">
            <v>KHI/HO/D/MO/PC COMP/P/79251/12/2023</v>
          </cell>
          <cell r="C48" t="str">
            <v>KHI/HO/D/MO/PC COMP/E/36530/00027/01/2024</v>
          </cell>
          <cell r="D48" t="str">
            <v>FRE</v>
          </cell>
        </row>
        <row r="49">
          <cell r="B49" t="str">
            <v>KHI/HO/D/MO/PC COMP/P/79251/12/2023</v>
          </cell>
          <cell r="C49" t="str">
            <v>KHI/HO/D/MO/PC COMP/E/36530/00033/01/2024</v>
          </cell>
          <cell r="D49" t="str">
            <v>FRE</v>
          </cell>
        </row>
        <row r="50">
          <cell r="B50" t="str">
            <v>KHI/HO/D/MO/PC COMP/P/80156/12/2023</v>
          </cell>
          <cell r="C50" t="str">
            <v>KHI/HO/D/MO/PC COMP/E/36581/00011/01/2024</v>
          </cell>
          <cell r="D50" t="str">
            <v>REN</v>
          </cell>
        </row>
        <row r="51">
          <cell r="B51" t="str">
            <v>KHI/HO/D/MO/PC COMP/P/73779/08/2023</v>
          </cell>
          <cell r="C51" t="str">
            <v>KHI/HO/D/MO/PC COMP/E/36623/00003/01/2024</v>
          </cell>
          <cell r="D51" t="str">
            <v>REN</v>
          </cell>
        </row>
        <row r="52">
          <cell r="B52" t="str">
            <v>KHI/HO/D/MO/PC COMP/P/73778/08/2023</v>
          </cell>
          <cell r="C52" t="str">
            <v>KHI/HO/D/MO/PC COMP/E/36788/00025/02/2024</v>
          </cell>
          <cell r="D52" t="str">
            <v>REN</v>
          </cell>
        </row>
        <row r="53">
          <cell r="B53" t="str">
            <v>KHI/HO/D/MO/PC COMP/P/73778/08/2023</v>
          </cell>
          <cell r="C53" t="str">
            <v>KHI/HO/D/MO/PC COMP/E/36788/00054/02/2024</v>
          </cell>
          <cell r="D53" t="str">
            <v>REN</v>
          </cell>
        </row>
        <row r="54">
          <cell r="B54" t="str">
            <v>KHI/HO/D/MO/PC COMP/P/71697/06/2023</v>
          </cell>
          <cell r="C54" t="str">
            <v>KHI/HO/D/MO/PC COMP/E/36821/00100/02/2024</v>
          </cell>
          <cell r="D54" t="str">
            <v>REN</v>
          </cell>
        </row>
        <row r="55">
          <cell r="B55" t="str">
            <v>KHI/HO/D/MO/PC COMP/P/82384/01/2024</v>
          </cell>
          <cell r="C55" t="str">
            <v>KHI/HO/D/MO/PC COMP/E/36994/00008/02/2024</v>
          </cell>
          <cell r="D55" t="str">
            <v>REN</v>
          </cell>
        </row>
        <row r="56">
          <cell r="B56" t="str">
            <v>KHI/HO/D/MO/PC COMP/P/82384/01/2024</v>
          </cell>
          <cell r="C56" t="str">
            <v>KHI/HO/D/MO/PC COMP/E/36994/00012/02/2024</v>
          </cell>
          <cell r="D56" t="str">
            <v>REN</v>
          </cell>
        </row>
        <row r="57">
          <cell r="B57" t="str">
            <v>KHI/HO/D/MO/PC COMP/P/82384/01/2024</v>
          </cell>
          <cell r="C57" t="str">
            <v>KHI/HO/D/MO/PC COMP/E/36994/00015/02/2024</v>
          </cell>
          <cell r="D57" t="str">
            <v>REN</v>
          </cell>
        </row>
        <row r="58">
          <cell r="B58" t="str">
            <v>KHI/HO/D/MO/PC COMP/P/82384/01/2024</v>
          </cell>
          <cell r="C58" t="str">
            <v>KHI/HO/D/MO/PC COMP/E/36994/00048/02/2024</v>
          </cell>
          <cell r="D58" t="str">
            <v>REN</v>
          </cell>
        </row>
        <row r="59">
          <cell r="B59" t="str">
            <v>KHI/HO/D/MO/CV/P/82176/01/2024</v>
          </cell>
          <cell r="C59" t="str">
            <v>KHI/HO/D/MO/CV/E/36997/00007/02/2024</v>
          </cell>
          <cell r="D59" t="str">
            <v>REN</v>
          </cell>
        </row>
        <row r="60">
          <cell r="B60" t="str">
            <v>KHI/HO/D/MO/PC COMP/P/80156/12/2023</v>
          </cell>
          <cell r="C60" t="str">
            <v>KHI/HO/D/MO/PC COMP/E/37005/00004/02/2024</v>
          </cell>
          <cell r="D60" t="str">
            <v>REN</v>
          </cell>
        </row>
        <row r="61">
          <cell r="B61" t="str">
            <v>KHI/HO/D/MO/PC COMP/P/82186/01/2024</v>
          </cell>
          <cell r="C61" t="str">
            <v>KHI/HO/D/MO/PC COMP/E/37130/00035/02/2024</v>
          </cell>
          <cell r="D61" t="str">
            <v>REN</v>
          </cell>
        </row>
        <row r="62">
          <cell r="B62" t="str">
            <v>KHI/HO/D/MO/PC COMP/P/73783/08/2023</v>
          </cell>
          <cell r="C62" t="str">
            <v>KHI/HO/D/MO/PC COMP/E/37159/00003/02/2024</v>
          </cell>
          <cell r="D62" t="str">
            <v>REN</v>
          </cell>
        </row>
        <row r="63">
          <cell r="B63" t="str">
            <v>KHI/HO/D/MO/PC COMP/P/72882/07/2023</v>
          </cell>
          <cell r="C63" t="str">
            <v>KHI/HO/D/MO/PC COMP/E/37304/00006/02/2024</v>
          </cell>
          <cell r="D63" t="str">
            <v>REN</v>
          </cell>
        </row>
        <row r="64">
          <cell r="B64" t="str">
            <v>KHI/HO/D/MO/PC COMP/P/72899/07/2023</v>
          </cell>
          <cell r="C64" t="str">
            <v>KHI/HO/D/MO/PC COMP/E/37478/02/2024</v>
          </cell>
          <cell r="D64" t="str">
            <v>REN</v>
          </cell>
        </row>
        <row r="65">
          <cell r="B65" t="str">
            <v>KHI/HO/D/MO/PC COMP/P/76438/10/2023</v>
          </cell>
          <cell r="C65" t="str">
            <v>KHI/HO/D/MO/PC COMP/E/37487/00007/02/2024</v>
          </cell>
          <cell r="D65" t="str">
            <v>REN</v>
          </cell>
        </row>
        <row r="66">
          <cell r="B66" t="str">
            <v>KHI/HO/D/MO/PC COMP/P/79251/12/2023</v>
          </cell>
          <cell r="C66" t="str">
            <v>KHI/HO/D/MO/PC COMP/E/37499/00019/02/2024</v>
          </cell>
          <cell r="D66" t="str">
            <v>FRE</v>
          </cell>
        </row>
        <row r="67">
          <cell r="B67" t="str">
            <v>KHI/HO/D/MO/PC COMP/P/82371/01/2024</v>
          </cell>
          <cell r="C67" t="str">
            <v>KHI/HO/D/MO/PC COMP/E/37500/00035/02/2024</v>
          </cell>
          <cell r="D67" t="str">
            <v>REN</v>
          </cell>
        </row>
        <row r="68">
          <cell r="B68" t="str">
            <v>KHI/HO/D/MO/PC COMP/P/82371/01/2024</v>
          </cell>
          <cell r="C68" t="str">
            <v>KHI/HO/D/MO/PC COMP/E/37500/00046/02/2024</v>
          </cell>
          <cell r="D68" t="str">
            <v>REN</v>
          </cell>
        </row>
        <row r="69">
          <cell r="B69" t="str">
            <v>KHI/HO/D/MO/PC COMP/P/82371/01/2024</v>
          </cell>
          <cell r="C69" t="str">
            <v>KHI/HO/D/MO/PC COMP/E/37500/00022/02/2024</v>
          </cell>
          <cell r="D69" t="str">
            <v>REN</v>
          </cell>
        </row>
        <row r="70">
          <cell r="B70" t="str">
            <v>KHI/HO/D/MO/PC COMP/P/82371/01/2024</v>
          </cell>
          <cell r="C70" t="str">
            <v>KHI/HO/D/MO/PC COMP/E/37500/00023/02/2024</v>
          </cell>
          <cell r="D70" t="str">
            <v>REN</v>
          </cell>
        </row>
        <row r="71">
          <cell r="B71" t="str">
            <v>KHI/HO/D/MO/CV/P/79892/12/2023</v>
          </cell>
          <cell r="C71" t="str">
            <v>KHI/HO/D/MO/CV/E/37501/00002/02/2024</v>
          </cell>
          <cell r="D71" t="str">
            <v>REN</v>
          </cell>
        </row>
        <row r="72">
          <cell r="B72" t="str">
            <v>KHI/HO/D/MO/PC COMP/P/80156/12/2023</v>
          </cell>
          <cell r="C72" t="str">
            <v>KHI/HO/D/MO/PC COMP/E/37502/00055/02/2024</v>
          </cell>
          <cell r="D72" t="str">
            <v>REN</v>
          </cell>
        </row>
        <row r="73">
          <cell r="B73" t="str">
            <v>KHI/HO/D/MO/PC COMP/P/80354/12/2023</v>
          </cell>
          <cell r="C73" t="str">
            <v>KHI/HO/D/MO/PC COMP/E/37503/00007/02/2024</v>
          </cell>
          <cell r="D73" t="str">
            <v>REN</v>
          </cell>
        </row>
        <row r="74">
          <cell r="B74" t="str">
            <v>KHI/HO/D/MO/PC COMP/P/80360/12/2023</v>
          </cell>
          <cell r="C74" t="str">
            <v>KHI/HO/D/MO/PC COMP/E/37505/00006/02/2024</v>
          </cell>
          <cell r="D74" t="str">
            <v>REN</v>
          </cell>
        </row>
        <row r="75">
          <cell r="B75" t="str">
            <v>KHI/HO/D/MO/PC COMP/P/77949/11/2023</v>
          </cell>
          <cell r="C75" t="str">
            <v>KHI/HO/D/MO/PC COMP/E/37506/00009/02/2024</v>
          </cell>
          <cell r="D75" t="str">
            <v>REN</v>
          </cell>
        </row>
        <row r="76">
          <cell r="B76" t="str">
            <v>KHI/HO/D/MO/PC COMP/P/77949/11/2023</v>
          </cell>
          <cell r="C76" t="str">
            <v>KHI/HO/D/MO/PC COMP/E/37506/00012/02/2024</v>
          </cell>
          <cell r="D76" t="str">
            <v>REN</v>
          </cell>
        </row>
        <row r="77">
          <cell r="B77" t="str">
            <v>KHI/HO/D/MO/PC COMP/P/77949/11/2023</v>
          </cell>
          <cell r="C77" t="str">
            <v>KHI/HO/D/MO/PC COMP/E/37506/00023/02/2024</v>
          </cell>
          <cell r="D77" t="str">
            <v>REN</v>
          </cell>
        </row>
        <row r="78">
          <cell r="B78" t="str">
            <v>KHI/HO/D/MO/PC COMP/P/80337/12/2023</v>
          </cell>
          <cell r="C78" t="str">
            <v>KHI/HO/D/MO/PC COMP/E/37508/00028/02/2024</v>
          </cell>
          <cell r="D78" t="str">
            <v>REN</v>
          </cell>
        </row>
        <row r="79">
          <cell r="B79" t="str">
            <v>KHI/HO/D/MO/PC COMP/P/80963/01/2024</v>
          </cell>
          <cell r="C79" t="str">
            <v>KHI/HO/D/MO/PC COMP/E/37510/00019/02/2024</v>
          </cell>
          <cell r="D79" t="str">
            <v>FRE</v>
          </cell>
        </row>
        <row r="80">
          <cell r="B80" t="str">
            <v>KHI/HO/D/MO/PC COMP/P/80963/01/2024</v>
          </cell>
          <cell r="C80" t="str">
            <v>KHI/HO/D/MO/PC COMP/E/37510/00001/02/2024</v>
          </cell>
          <cell r="D80" t="str">
            <v>FRE</v>
          </cell>
        </row>
        <row r="81">
          <cell r="B81" t="str">
            <v>KHI/HO/D/MO/PC COMP/P/77479/11/2023</v>
          </cell>
          <cell r="C81" t="str">
            <v>KHI/HO/D/MO/PC COMP/E/37562/00011/02/2024</v>
          </cell>
          <cell r="D81" t="str">
            <v>FRE</v>
          </cell>
        </row>
        <row r="82">
          <cell r="B82" t="str">
            <v>KHI/HO/D/MO/PC COMP/P/72864/07/2023</v>
          </cell>
          <cell r="C82" t="str">
            <v>KHI/HO/D/MO/PC COMP/E/37647/00025/03/2024</v>
          </cell>
          <cell r="D82" t="str">
            <v>REN</v>
          </cell>
        </row>
        <row r="83">
          <cell r="B83" t="str">
            <v>KHI/HO/D/MO/PC COMP/P/72864/07/2023</v>
          </cell>
          <cell r="C83" t="str">
            <v>KHI/HO/D/MO/PC COMP/E/37647/00027/03/2024</v>
          </cell>
          <cell r="D83" t="str">
            <v>REN</v>
          </cell>
        </row>
        <row r="84">
          <cell r="B84" t="str">
            <v>KHI/HO/D/MO/PC COMP/P/82384/01/2024</v>
          </cell>
          <cell r="C84" t="str">
            <v>KHI/HO/D/MO/PC COMP/E/37656/00036/03/2024</v>
          </cell>
          <cell r="D84" t="str">
            <v>REN</v>
          </cell>
        </row>
        <row r="85">
          <cell r="B85" t="str">
            <v>KHI/HO/D/MO/PC COMP/P/80963/01/2024</v>
          </cell>
          <cell r="C85" t="str">
            <v>KHI/HO/D/MO/PC COMP/E/37658/00014/03/2024</v>
          </cell>
          <cell r="D85" t="str">
            <v>FRE</v>
          </cell>
        </row>
        <row r="86">
          <cell r="B86" t="str">
            <v>KHI/HO/D/MO/PC COMP/P/75216/09/2023</v>
          </cell>
          <cell r="C86" t="str">
            <v>KHI/HO/D/MO/PC COMP/E/37779/00014/03/2024</v>
          </cell>
          <cell r="D86" t="str">
            <v>REN</v>
          </cell>
        </row>
        <row r="87">
          <cell r="B87" t="str">
            <v>KHI/HO/D/MO/PC COMP/P/75216/09/2023</v>
          </cell>
          <cell r="C87" t="str">
            <v>KHI/HO/D/MO/PC COMP/E/37779/00046/03/2024</v>
          </cell>
          <cell r="D87" t="str">
            <v>REN</v>
          </cell>
        </row>
        <row r="88">
          <cell r="B88" t="str">
            <v>KHI/HO/D/MO/PC COMP/P/75216/09/2023</v>
          </cell>
          <cell r="C88" t="str">
            <v>KHI/HO/D/MO/PC COMP/E/37779/00051/03/2024</v>
          </cell>
          <cell r="D88" t="str">
            <v>REN</v>
          </cell>
        </row>
        <row r="89">
          <cell r="B89" t="str">
            <v>KHI/HO/D/MO/PC COMP/P/84011/02/2024</v>
          </cell>
          <cell r="C89" t="str">
            <v>KHI/HO/D/MO/PC COMP/E/37810/00008/03/2024</v>
          </cell>
          <cell r="D89" t="str">
            <v>REN</v>
          </cell>
        </row>
        <row r="90">
          <cell r="B90" t="str">
            <v>KHI/HO/D/MO/PC COMP/P/83022/02/2024</v>
          </cell>
          <cell r="C90" t="str">
            <v>KHI/HO/D/MO/PC COMP/E/37835/00049/03/2024</v>
          </cell>
          <cell r="D90" t="str">
            <v>FRE</v>
          </cell>
        </row>
        <row r="91">
          <cell r="B91" t="str">
            <v>KHI/HO/D/MO/PC COMP/P/83022/02/2024</v>
          </cell>
          <cell r="C91" t="str">
            <v>KHI/HO/D/MO/PC COMP/E/37835/00015/03/2024</v>
          </cell>
          <cell r="D91" t="str">
            <v>FRE</v>
          </cell>
        </row>
        <row r="92">
          <cell r="B92" t="str">
            <v>KHI/HO/D/MO/PC COMP/P/83022/02/2024</v>
          </cell>
          <cell r="C92" t="str">
            <v>KHI/HO/D/MO/PC COMP/E/37835/00035/03/2024</v>
          </cell>
          <cell r="D92" t="str">
            <v>FRE</v>
          </cell>
        </row>
        <row r="93">
          <cell r="B93" t="str">
            <v>KHI/HO/D/MO/PC COMP/P/83022/02/2024</v>
          </cell>
          <cell r="C93" t="str">
            <v>KHI/HO/D/MO/PC COMP/E/37835/00054/03/2024</v>
          </cell>
          <cell r="D93" t="str">
            <v>FRE</v>
          </cell>
        </row>
        <row r="94">
          <cell r="B94" t="str">
            <v>KHI/HO/D/MO/PC COMP/P/83022/02/2024</v>
          </cell>
          <cell r="C94" t="str">
            <v>KHI/HO/D/MO/PC COMP/E/37835/00038/03/2024</v>
          </cell>
          <cell r="D94" t="str">
            <v>FRE</v>
          </cell>
        </row>
        <row r="95">
          <cell r="B95" t="str">
            <v>KHI/HO/D/MO/PC COMP/P/83022/02/2024</v>
          </cell>
          <cell r="C95" t="str">
            <v>KHI/HO/D/MO/PC COMP/E/37835/00039/03/2024</v>
          </cell>
          <cell r="D95" t="str">
            <v>FRE</v>
          </cell>
        </row>
        <row r="96">
          <cell r="B96" t="str">
            <v>KHI/HO/D/MO/PC COMP/P/83022/02/2024</v>
          </cell>
          <cell r="C96" t="str">
            <v>KHI/HO/D/MO/PC COMP/E/37835/00036/03/2024</v>
          </cell>
          <cell r="D96" t="str">
            <v>FRE</v>
          </cell>
        </row>
        <row r="97">
          <cell r="B97" t="str">
            <v>KHI/HO/D/MO/PC COMP/P/83022/02/2024</v>
          </cell>
          <cell r="C97" t="str">
            <v>KHI/HO/D/MO/PC COMP/E/37835/00058/03/2024</v>
          </cell>
          <cell r="D97" t="str">
            <v>FRE</v>
          </cell>
        </row>
        <row r="98">
          <cell r="B98" t="str">
            <v>KHI/HO/D/MO/PC COMP/P/83022/02/2024</v>
          </cell>
          <cell r="C98" t="str">
            <v>KHI/HO/D/MO/PC COMP/E/37835/00012/03/2024</v>
          </cell>
          <cell r="D98" t="str">
            <v>FRE</v>
          </cell>
        </row>
        <row r="99">
          <cell r="B99" t="str">
            <v>KHI/HO/D/MO/PC COMP/P/83022/02/2024</v>
          </cell>
          <cell r="C99" t="str">
            <v>KHI/HO/D/MO/PC COMP/E/37835/00051/03/2024</v>
          </cell>
          <cell r="D99" t="str">
            <v>FRE</v>
          </cell>
        </row>
        <row r="100">
          <cell r="B100" t="str">
            <v>KHI/HO/D/MO/PC COMP/P/73769/08/2023</v>
          </cell>
          <cell r="C100" t="str">
            <v>KHI/HO/D/MO/PC COMP/E/37856/00013/03/2024</v>
          </cell>
          <cell r="D100" t="str">
            <v>REN</v>
          </cell>
        </row>
        <row r="101">
          <cell r="B101" t="str">
            <v>KHI/HO/D/MO/PC COMP/P/80156/12/2023</v>
          </cell>
          <cell r="C101" t="str">
            <v>KHI/HO/D/MO/PC COMP/E/37918/00019/03/2024</v>
          </cell>
          <cell r="D101" t="str">
            <v>REN</v>
          </cell>
        </row>
        <row r="102">
          <cell r="B102" t="str">
            <v>KHI/HO/D/MO/PC COMP/P/82371/01/2024</v>
          </cell>
          <cell r="C102" t="str">
            <v>KHI/HO/D/MO/PC COMP/E/37941/00033/03/2024</v>
          </cell>
          <cell r="D102" t="str">
            <v>REN</v>
          </cell>
        </row>
        <row r="103">
          <cell r="B103" t="str">
            <v>KHI/HO/D/MO/PC COMP/P/82371/01/2024</v>
          </cell>
          <cell r="C103" t="str">
            <v>KHI/HO/D/MO/PC COMP/E/37941/00046/03/2024</v>
          </cell>
          <cell r="D103" t="str">
            <v>REN</v>
          </cell>
        </row>
        <row r="104">
          <cell r="B104" t="str">
            <v>KHI/HO/D/MO/PC COMP/P/76394/10/2023</v>
          </cell>
          <cell r="C104" t="str">
            <v>KHI/HO/D/MO/PC COMP/E/37963/00038/03/2024</v>
          </cell>
          <cell r="D104" t="str">
            <v>REN</v>
          </cell>
        </row>
        <row r="105">
          <cell r="B105" t="str">
            <v>KHI/HO/D/MO/PC COMP/P/76394/10/2023</v>
          </cell>
          <cell r="C105" t="str">
            <v>KHI/HO/D/MO/PC COMP/E/37963/00056/03/2024</v>
          </cell>
          <cell r="D105" t="str">
            <v>REN</v>
          </cell>
        </row>
        <row r="106">
          <cell r="B106" t="str">
            <v>KHI/HO/D/MO/PC COMP/P/82368/01/2024</v>
          </cell>
          <cell r="C106" t="str">
            <v>KHI/HO/D/MO/PC COMP/E/38069/00005/03/2024</v>
          </cell>
          <cell r="D106" t="str">
            <v>REN</v>
          </cell>
        </row>
        <row r="107">
          <cell r="B107" t="str">
            <v>KHI/HO/D/MO/PC COMP/P/76430/10/2023</v>
          </cell>
          <cell r="C107" t="str">
            <v>KHI/HO/D/MO/PC COMP/E/38102/00014/03/2024</v>
          </cell>
          <cell r="D107" t="str">
            <v>REN</v>
          </cell>
        </row>
        <row r="108">
          <cell r="B108" t="str">
            <v>KHI/HO/D/MO/PC COMP/P/84011/02/2024</v>
          </cell>
          <cell r="C108" t="str">
            <v>KHI/HO/D/MO/PC COMP/E/38222/00010/03/2024</v>
          </cell>
          <cell r="D108" t="str">
            <v>REN</v>
          </cell>
        </row>
        <row r="109">
          <cell r="B109" t="str">
            <v>KHI/HO/D/MO/PC COMP/P/84011/02/2024</v>
          </cell>
          <cell r="C109" t="str">
            <v>KHI/HO/D/MO/PC COMP/E/38222/00047/03/2024</v>
          </cell>
          <cell r="D109" t="str">
            <v>REN</v>
          </cell>
        </row>
        <row r="110">
          <cell r="B110" t="str">
            <v>KHI/HO/D/MO/PC COMP/P/84011/02/2024</v>
          </cell>
          <cell r="C110" t="str">
            <v>KHI/HO/D/MO/PC COMP/E/38222/00075/03/2024</v>
          </cell>
          <cell r="D110" t="str">
            <v>REN</v>
          </cell>
        </row>
        <row r="111">
          <cell r="B111" t="str">
            <v>KHI/HO/D/MO/PC COMP/P/84011/02/2024</v>
          </cell>
          <cell r="C111" t="str">
            <v>KHI/HO/D/MO/PC COMP/E/38222/00082/03/2024</v>
          </cell>
          <cell r="D111" t="str">
            <v>REN</v>
          </cell>
        </row>
        <row r="112">
          <cell r="B112" t="str">
            <v>KHI/HO/D/MO/PC COMP/P/85019/03/2024</v>
          </cell>
          <cell r="C112" t="str">
            <v>KHI/HO/D/MO/PC COMP/E/38271/00022/03/2024</v>
          </cell>
          <cell r="D112" t="str">
            <v>REN</v>
          </cell>
        </row>
        <row r="113">
          <cell r="B113" t="str">
            <v>KHI/HO/D/MO/PC COMP/P/71697/06/2023</v>
          </cell>
          <cell r="C113" t="str">
            <v>KHI/HO/D/MO/PC COMP/E/38337/00106/03/2024</v>
          </cell>
          <cell r="D113" t="str">
            <v>REN</v>
          </cell>
        </row>
        <row r="114">
          <cell r="B114" t="str">
            <v>KHI/HO/D/MO/PC COMP/P/79251/12/2023</v>
          </cell>
          <cell r="C114" t="str">
            <v>KHI/HO/D/MO/PC COMP/E/38338/00002/03/2024</v>
          </cell>
          <cell r="D114" t="str">
            <v>FRE</v>
          </cell>
        </row>
        <row r="115">
          <cell r="B115" t="str">
            <v>KHI/HO/D/MO/CV/P/71691/06/2023</v>
          </cell>
          <cell r="C115" t="str">
            <v>KHI/HO/D/MO/CV/E/38382/00004/03/2024</v>
          </cell>
          <cell r="D115" t="str">
            <v>REN</v>
          </cell>
        </row>
        <row r="116">
          <cell r="B116" t="str">
            <v>KHI/HO/D/MO/PC COMP/P/84285/02/2024</v>
          </cell>
          <cell r="C116" t="str">
            <v>KHI/HO/D/MO/PC COMP/E/38383/00001/03/2024</v>
          </cell>
          <cell r="D116" t="str">
            <v>REN</v>
          </cell>
        </row>
        <row r="117">
          <cell r="B117" t="str">
            <v>KHI/HO/D/MO/PC COMP/P/84285/02/2024</v>
          </cell>
          <cell r="C117" t="str">
            <v>KHI/HO/D/MO/PC COMP/E/38383/00053/03/2024</v>
          </cell>
          <cell r="D117" t="str">
            <v>REN</v>
          </cell>
        </row>
        <row r="118">
          <cell r="B118" t="str">
            <v>KHI/HO/D/MO/PC COMP/P/74804/09/2023</v>
          </cell>
          <cell r="C118" t="str">
            <v>KHI/HO/D/MO/PC COMP/E/38386/00024/03/2024</v>
          </cell>
          <cell r="D118" t="str">
            <v>FRE</v>
          </cell>
        </row>
        <row r="119">
          <cell r="B119" t="str">
            <v>KHI/HO/D/MO/PC COMP/P/84849/03/2024</v>
          </cell>
          <cell r="C119" t="str">
            <v>KHI/HO/D/MO/PC COMP/E/38479/00044/04/2024</v>
          </cell>
          <cell r="D119" t="str">
            <v>FRE</v>
          </cell>
        </row>
        <row r="120">
          <cell r="B120" t="str">
            <v>KHI/HO/D/MO/PC COMP/P/76096/10/2023</v>
          </cell>
          <cell r="C120" t="str">
            <v>KHI/HO/D/MO/PC COMP/E/38529/00006/04/2024</v>
          </cell>
          <cell r="D120" t="str">
            <v>FRE</v>
          </cell>
        </row>
        <row r="121">
          <cell r="B121" t="str">
            <v>KHI/HO/D/MO/PC COMP/P/73769/08/2023</v>
          </cell>
          <cell r="C121" t="str">
            <v>KHI/HO/D/MO/PC COMP/E/38530/00035/04/2024</v>
          </cell>
          <cell r="D121" t="str">
            <v>REN</v>
          </cell>
        </row>
        <row r="122">
          <cell r="B122" t="str">
            <v>KHI/HO/D/MO/PC COMP/P/84688/02/2024</v>
          </cell>
          <cell r="C122" t="str">
            <v>KHI/HO/D/MO/PC COMP/E/40535/00002/04/2024</v>
          </cell>
          <cell r="D122" t="str">
            <v>REN</v>
          </cell>
        </row>
        <row r="123">
          <cell r="B123" t="str">
            <v>KHI/HO/D/MO/PC COMP/P/84011/02/2024</v>
          </cell>
          <cell r="C123" t="str">
            <v>KHI/HO/D/MO/PC COMP/E/40539/00063/04/2024</v>
          </cell>
          <cell r="D123" t="str">
            <v>REN</v>
          </cell>
        </row>
        <row r="124">
          <cell r="B124" t="str">
            <v>KHI/HO/D/MO/PC COMP/P/71698/06/2023</v>
          </cell>
          <cell r="C124" t="str">
            <v>KHI/HO/D/MO/PC COMP/E/40800/00051/04/2024</v>
          </cell>
          <cell r="D124" t="str">
            <v>REN</v>
          </cell>
        </row>
        <row r="125">
          <cell r="B125" t="str">
            <v>KHI/HO/D/MO/PC COMP/P/82371/01/2024</v>
          </cell>
          <cell r="C125" t="str">
            <v>KHI/HO/D/MO/PC COMP/E/41021/00003/04/2024</v>
          </cell>
          <cell r="D125" t="str">
            <v>REN</v>
          </cell>
        </row>
        <row r="126">
          <cell r="B126" t="str">
            <v>KHI/HO/D/MO/PC COMP/P/76430/10/2023</v>
          </cell>
          <cell r="C126" t="str">
            <v>KHI/HO/D/MO/PC COMP/E/41106/00001/04/2024</v>
          </cell>
          <cell r="D126" t="str">
            <v>REN</v>
          </cell>
        </row>
        <row r="127">
          <cell r="B127" t="str">
            <v>KHI/HO/D/MO/PC COMP/P/77944/11/2023</v>
          </cell>
          <cell r="C127" t="str">
            <v>KHI/HO/D/MO/PC COMP/E/41107/00016/04/2024</v>
          </cell>
          <cell r="D127" t="str">
            <v>REN</v>
          </cell>
        </row>
        <row r="128">
          <cell r="B128" t="str">
            <v>KHI/HO/D/MO/PC COMP/P/75212/09/2023</v>
          </cell>
          <cell r="C128" t="str">
            <v>KHI/HO/D/MO/PC COMP/E/41151/00012/04/2024</v>
          </cell>
          <cell r="D128" t="str">
            <v>REN</v>
          </cell>
        </row>
        <row r="129">
          <cell r="B129" t="str">
            <v>KHI/HO/D/MO/PC COMP/P/82186/01/2024</v>
          </cell>
          <cell r="C129" t="str">
            <v>KHI/HO/D/MO/PC COMP/E/41154/00017/04/2024</v>
          </cell>
          <cell r="D129" t="str">
            <v>REN</v>
          </cell>
        </row>
        <row r="130">
          <cell r="B130" t="str">
            <v>KHI/HO/D/MO/PC COMP/P/82186/01/2024</v>
          </cell>
          <cell r="C130" t="str">
            <v>KHI/HO/D/MO/PC COMP/E/41154/00045/04/2024</v>
          </cell>
          <cell r="D130" t="str">
            <v>REN</v>
          </cell>
        </row>
        <row r="131">
          <cell r="B131" t="str">
            <v>KHI/HO/D/MO/PC COMP/P/80963/01/2024</v>
          </cell>
          <cell r="C131" t="str">
            <v>KHI/HO/D/MO/PC COMP/E/41155/00050/04/2024</v>
          </cell>
          <cell r="D131" t="str">
            <v>FRE</v>
          </cell>
        </row>
        <row r="132">
          <cell r="B132" t="str">
            <v>KHI/HO/D/MO/PC COMP/P/74804/09/2023</v>
          </cell>
          <cell r="C132" t="str">
            <v>KHI/HO/D/MO/PC COMP/E/41177/00009/04/2024</v>
          </cell>
          <cell r="D132" t="str">
            <v>FRE</v>
          </cell>
        </row>
        <row r="133">
          <cell r="B133" t="str">
            <v>KHI/HO/D/MO/PC COMP/P/75211/09/2023</v>
          </cell>
          <cell r="C133" t="str">
            <v>KHI/HO/D/MO/PC COMP/E/41179/00013/04/2024</v>
          </cell>
          <cell r="D133" t="str">
            <v>REN</v>
          </cell>
        </row>
        <row r="134">
          <cell r="B134" t="str">
            <v>KHI/HO/D/MO/CV/P/83216/02/2024</v>
          </cell>
          <cell r="C134" t="str">
            <v>KHI/HO/D/MO/CV/E/41295/07/2024</v>
          </cell>
          <cell r="D134" t="str">
            <v>FRE</v>
          </cell>
        </row>
        <row r="135">
          <cell r="B135" t="str">
            <v>KHI/HO/D/MO/PC COMP/P/86550/04/2024</v>
          </cell>
          <cell r="C135" t="str">
            <v>KHI/HO/D/MO/PC COMP/E/41296/00005/05/2024</v>
          </cell>
          <cell r="D135" t="str">
            <v>FRE</v>
          </cell>
        </row>
        <row r="136">
          <cell r="B136" t="str">
            <v>KHI/HO/D/MO/PC COMP/P/86550/04/2024</v>
          </cell>
          <cell r="C136" t="str">
            <v>KHI/HO/D/MO/PC COMP/E/41296/00018/05/2024</v>
          </cell>
          <cell r="D136" t="str">
            <v>FRE</v>
          </cell>
        </row>
        <row r="137">
          <cell r="B137" t="str">
            <v>KHI/HO/D/MO/PC COMP/P/86550/04/2024</v>
          </cell>
          <cell r="C137" t="str">
            <v>KHI/HO/D/MO/PC COMP/E/41296/00043/05/2024</v>
          </cell>
          <cell r="D137" t="str">
            <v>FRE</v>
          </cell>
        </row>
        <row r="138">
          <cell r="B138" t="str">
            <v>KHI/HO/D/MO/PC COMP/P/74804/09/2023</v>
          </cell>
          <cell r="C138" t="str">
            <v>KHI/HO/D/MO/PC COMP/E/41327/00009/05/2024</v>
          </cell>
          <cell r="D138" t="str">
            <v>FRE</v>
          </cell>
        </row>
        <row r="139">
          <cell r="B139" t="str">
            <v>KHI/HO/D/MO/PC COMP/P/82371/01/2024</v>
          </cell>
          <cell r="C139" t="str">
            <v>KHI/HO/D/MO/PC COMP/E/41389/00004/05/2024</v>
          </cell>
          <cell r="D139" t="str">
            <v>REN</v>
          </cell>
        </row>
        <row r="140">
          <cell r="B140" t="str">
            <v>KHI/HO/D/MO/PC COMP/P/82371/01/2024</v>
          </cell>
          <cell r="C140" t="str">
            <v>KHI/HO/D/MO/PC COMP/E/41389/00010/05/2024</v>
          </cell>
          <cell r="D140" t="str">
            <v>REN</v>
          </cell>
        </row>
        <row r="141">
          <cell r="B141" t="str">
            <v>KHI/HO/D/MO/PC COMP/P/77949/11/2023</v>
          </cell>
          <cell r="C141" t="str">
            <v>KHI/HO/D/MO/PC COMP/E/41399/00025/05/2024</v>
          </cell>
          <cell r="D141" t="str">
            <v>REN</v>
          </cell>
        </row>
        <row r="142">
          <cell r="B142" t="str">
            <v>KHI/HO/D/MO/PC COMP/P/82186/01/2024</v>
          </cell>
          <cell r="C142" t="str">
            <v>KHI/HO/D/MO/PC COMP/E/41560/00047/05/2024</v>
          </cell>
          <cell r="D142" t="str">
            <v>REN</v>
          </cell>
        </row>
        <row r="143">
          <cell r="B143" t="str">
            <v>KHI/HO/D/MO/PC COMP/P/75212/09/2023</v>
          </cell>
          <cell r="C143" t="str">
            <v>KHI/HO/D/MO/PC COMP/E/41624/00047/05/2024</v>
          </cell>
          <cell r="D143" t="str">
            <v>REN</v>
          </cell>
        </row>
        <row r="144">
          <cell r="B144" t="str">
            <v>KHI/HO/D/MO/PC COMP/P/85047/03/2024</v>
          </cell>
          <cell r="C144" t="str">
            <v>KHI/HO/D/MO/PC COMP/E/41739/00007/05/2024</v>
          </cell>
          <cell r="D144" t="str">
            <v>REN</v>
          </cell>
        </row>
        <row r="145">
          <cell r="B145" t="str">
            <v>KHI/HO/D/MO/PC COMP/P/85047/03/2024</v>
          </cell>
          <cell r="C145" t="str">
            <v>KHI/HO/D/MO/PC COMP/E/41739/00085/05/2024</v>
          </cell>
          <cell r="D145" t="str">
            <v>REN</v>
          </cell>
        </row>
        <row r="146">
          <cell r="B146" t="str">
            <v>KHI/HO/D/MO/PC COMP/P/86646/04/2024</v>
          </cell>
          <cell r="C146" t="str">
            <v>KHI/HO/D/MO/PC COMP/E/41795/00031/05/2024</v>
          </cell>
          <cell r="D146" t="str">
            <v>REN</v>
          </cell>
        </row>
        <row r="147">
          <cell r="B147" t="str">
            <v>KHI/HO/D/MO/PC COMP/P/84849/03/2024</v>
          </cell>
          <cell r="C147" t="str">
            <v>KHI/HO/D/MO/PC COMP/E/41883/00022/05/2024</v>
          </cell>
          <cell r="D147" t="str">
            <v>FRE</v>
          </cell>
        </row>
        <row r="148">
          <cell r="B148" t="str">
            <v>KHI/HO/D/MO/PC COMP/P/76437/10/2023</v>
          </cell>
          <cell r="C148" t="str">
            <v>KHI/HO/D/MO/PC COMP/E/41888/00019/05/2024</v>
          </cell>
          <cell r="D148" t="str">
            <v>REN</v>
          </cell>
        </row>
        <row r="149">
          <cell r="B149" t="str">
            <v>KHI/HO/D/MO/PC COMP/P/79251/12/2023</v>
          </cell>
          <cell r="C149" t="str">
            <v>KHI/HO/D/MO/PC COMP/E/41895/00015/05/2024</v>
          </cell>
          <cell r="D149" t="str">
            <v>FRE</v>
          </cell>
        </row>
        <row r="150">
          <cell r="B150" t="str">
            <v>KHI/HO/D/MO/PC COMP/P/78104/11/2023</v>
          </cell>
          <cell r="C150" t="str">
            <v>KHI/HO/D/MO/PC COMP/E/41896/00007/05/2024</v>
          </cell>
          <cell r="D150" t="str">
            <v>REN</v>
          </cell>
        </row>
        <row r="151">
          <cell r="B151" t="str">
            <v>KHI/HO/D/MO/PC COMP/P/65500/12/2022</v>
          </cell>
          <cell r="C151" t="str">
            <v>KHI/HO/D/MO/PC COMP/E/41969/00044/05/2024</v>
          </cell>
          <cell r="D151" t="str">
            <v>FRE</v>
          </cell>
        </row>
        <row r="152">
          <cell r="B152" t="str">
            <v>KHI/HO/D/MO/PC COMP/P/76429/10/2023</v>
          </cell>
          <cell r="C152" t="str">
            <v>KHI/HO/D/MO/PC COMP/E/42107/00038/05/2024</v>
          </cell>
          <cell r="D152" t="str">
            <v>REN</v>
          </cell>
        </row>
        <row r="153">
          <cell r="B153" t="str">
            <v>KHI/HO/D/MO/PC COMP/P/80337/12/2023</v>
          </cell>
          <cell r="C153" t="str">
            <v>KHI/HO/D/MO/PC COMP/E/42115/00001/05/2024</v>
          </cell>
          <cell r="D153" t="str">
            <v>REN</v>
          </cell>
        </row>
        <row r="154">
          <cell r="B154" t="str">
            <v>KHI/HO/D/MO/PC COMP/P/86646/04/2024</v>
          </cell>
          <cell r="C154" t="str">
            <v>KHI/HO/D/MO/PC COMP/E/42173/00048/06/2024</v>
          </cell>
          <cell r="D154" t="str">
            <v>REN</v>
          </cell>
        </row>
        <row r="155">
          <cell r="B155" t="str">
            <v>KHI/HO/D/MO/PC COMP/P/80337/12/2023</v>
          </cell>
          <cell r="C155" t="str">
            <v>KHI/HO/D/MO/PC COMP/E/42225/00053/06/2024</v>
          </cell>
          <cell r="D155" t="str">
            <v>REN</v>
          </cell>
        </row>
        <row r="156">
          <cell r="B156" t="str">
            <v>KHI/HO/D/MO/PC COMP/P/82371/01/2024</v>
          </cell>
          <cell r="C156" t="str">
            <v>KHI/HO/D/MO/PC COMP/E/42393/00027/06/2024</v>
          </cell>
          <cell r="D156" t="str">
            <v>REN</v>
          </cell>
        </row>
        <row r="157">
          <cell r="B157" t="str">
            <v>KHI/HO/D/MO/PC COMP/P/82368/01/2024</v>
          </cell>
          <cell r="C157" t="str">
            <v>KHI/HO/D/MO/PC COMP/E/42468/00013/06/2024</v>
          </cell>
          <cell r="D157" t="str">
            <v>REN</v>
          </cell>
        </row>
        <row r="158">
          <cell r="B158" t="str">
            <v>KHI/HO/D/MO/PC COMP/P/88249/05/2024</v>
          </cell>
          <cell r="C158" t="str">
            <v>KHI/HO/D/MO/PC COMP/E/42472/00063/06/2024</v>
          </cell>
          <cell r="D158" t="str">
            <v>FRE</v>
          </cell>
        </row>
        <row r="159">
          <cell r="B159" t="str">
            <v>KHI/HO/D/MO/PC COMP/P/86550/04/2024</v>
          </cell>
          <cell r="C159" t="str">
            <v>KHI/HO/D/MO/PC COMP/E/42476/00005/06/2024</v>
          </cell>
          <cell r="D159" t="str">
            <v>FRE</v>
          </cell>
        </row>
        <row r="160">
          <cell r="B160" t="str">
            <v>KHI/HO/D/MO/PC COMP/P/84683/02/2024</v>
          </cell>
          <cell r="C160" t="str">
            <v>KHI/HO/D/MO/PC COMP/E/42553/00015/06/2024</v>
          </cell>
          <cell r="D160" t="str">
            <v>REN</v>
          </cell>
        </row>
        <row r="161">
          <cell r="B161" t="str">
            <v>KHI/HO/D/MO/PC COMP/P/77949/11/2023</v>
          </cell>
          <cell r="C161" t="str">
            <v>KHI/HO/D/MO/PC COMP/E/42568/00013/06/2024</v>
          </cell>
          <cell r="D161" t="str">
            <v>REN</v>
          </cell>
        </row>
        <row r="162">
          <cell r="B162" t="str">
            <v>KHI/HO/D/MO/PC COMP/P/84849/03/2024</v>
          </cell>
          <cell r="C162" t="str">
            <v>KHI/HO/D/MO/PC COMP/E/42949/00009/06/2024</v>
          </cell>
          <cell r="D162" t="str">
            <v>FRE</v>
          </cell>
        </row>
        <row r="163">
          <cell r="B163" t="str">
            <v>KHI/HO/D/MO/PC COMP/P/84011/02/2024</v>
          </cell>
          <cell r="C163" t="str">
            <v>KHI/HO/D/MO/PC COMP/E/43212/00016/07/2024</v>
          </cell>
          <cell r="D163" t="str">
            <v>REN</v>
          </cell>
        </row>
        <row r="164">
          <cell r="B164" t="str">
            <v>KHI/HO/D/MO/PC COMP/P/84011/02/2024</v>
          </cell>
          <cell r="C164" t="str">
            <v>KHI/HO/D/MO/PC COMP/E/43212/00082/07/2024</v>
          </cell>
          <cell r="D164" t="str">
            <v>REN</v>
          </cell>
        </row>
        <row r="165">
          <cell r="B165" t="str">
            <v>KHI/HO/D/MO/PC COMP/P/88249/05/2024</v>
          </cell>
          <cell r="C165" t="str">
            <v>KHI/HO/D/MO/PC COMP/E/43413/00019/07/2024</v>
          </cell>
          <cell r="D165" t="str">
            <v>FRE</v>
          </cell>
        </row>
        <row r="166">
          <cell r="B166" t="str">
            <v>KHI/HO/D/MO/PC COMP/P/88626/05/2024</v>
          </cell>
          <cell r="C166" t="str">
            <v>KHI/HO/D/MO/PC COMP/E/43793/00135/07/2024</v>
          </cell>
          <cell r="D166" t="str">
            <v>REN</v>
          </cell>
        </row>
        <row r="167">
          <cell r="B167" t="str">
            <v>KHI/HO/D/MO/PC COMP/P/88626/05/2024</v>
          </cell>
          <cell r="C167" t="str">
            <v>KHI/HO/D/MO/PC COMP/E/43793/00074/07/2024</v>
          </cell>
          <cell r="D167" t="str">
            <v>REN</v>
          </cell>
        </row>
        <row r="168">
          <cell r="B168" t="str">
            <v>KHI/HO/D/MO/PC COMP/P/70036/04/2023</v>
          </cell>
          <cell r="C168" t="str">
            <v>KHI/HO/D/MO/PC COMP/E/44390/00033/08/2024</v>
          </cell>
          <cell r="D168" t="str">
            <v>REN</v>
          </cell>
        </row>
        <row r="169">
          <cell r="B169" t="str">
            <v>KHI/HO/D/MO/CV/P/85008/03/2024</v>
          </cell>
          <cell r="C169" t="str">
            <v>KHI/HO/D/MO/CV/E/44394/00001/08/2024</v>
          </cell>
          <cell r="D169" t="str">
            <v>REN</v>
          </cell>
        </row>
        <row r="170">
          <cell r="B170" t="str">
            <v>KHI/HO/D/MO/PC COMP/P/88626/05/2024</v>
          </cell>
          <cell r="C170" t="str">
            <v>KHI/HO/D/MO/PC COMP/E/44395/00051/08/2024</v>
          </cell>
          <cell r="D170" t="str">
            <v>REN</v>
          </cell>
        </row>
        <row r="171">
          <cell r="B171" t="str">
            <v>KHI/HO/D/MO/PC COMP/P/88626/05/2024</v>
          </cell>
          <cell r="C171" t="str">
            <v>KHI/HO/D/MO/PC COMP/E/44395/00038/08/2024</v>
          </cell>
          <cell r="D171" t="str">
            <v>REN</v>
          </cell>
        </row>
        <row r="172">
          <cell r="B172" t="str">
            <v>KHI/HO/D/MO/PC COMP/P/88626/05/2024</v>
          </cell>
          <cell r="C172" t="str">
            <v>KHI/HO/D/MO/PC COMP/E/44395/00137/08/2024</v>
          </cell>
          <cell r="D172" t="str">
            <v>REN</v>
          </cell>
        </row>
        <row r="173">
          <cell r="B173" t="str">
            <v>KHI/HO/D/MO/PC COMP/P/88626/05/2024</v>
          </cell>
          <cell r="C173" t="str">
            <v>KHI/HO/D/MO/PC COMP/E/44395/00076/08/2024</v>
          </cell>
          <cell r="D173" t="str">
            <v>REN</v>
          </cell>
        </row>
        <row r="174">
          <cell r="B174" t="str">
            <v>KHI/HO/D/MO/PC COMP/P/88407/05/2024</v>
          </cell>
          <cell r="C174" t="str">
            <v>KHI/HO/D/MO/PC COMP/E/44399/00004/08/2024</v>
          </cell>
          <cell r="D174" t="str">
            <v>REN</v>
          </cell>
        </row>
        <row r="175">
          <cell r="B175" t="str">
            <v>KHI/HO/D/MO/PC COMP/P/86646/04/2024</v>
          </cell>
          <cell r="C175" t="str">
            <v>KHI/HO/D/MO/PC COMP/E/44401/00051/08/2024</v>
          </cell>
          <cell r="D175" t="str">
            <v>REN</v>
          </cell>
        </row>
        <row r="176">
          <cell r="B176" t="str">
            <v>KHI/HO/D/MO/PC COMP/P/83400/02/2024</v>
          </cell>
          <cell r="C176" t="str">
            <v>KHI/HO/D/MO/PC COMP/E/44402/00001/08/2024</v>
          </cell>
          <cell r="D176" t="str">
            <v>REN</v>
          </cell>
        </row>
        <row r="177">
          <cell r="B177" t="str">
            <v>KHI/HO/D/MO/PC COMP/P/90920/06/2024</v>
          </cell>
          <cell r="C177" t="str">
            <v>KHI/HO/D/MO/PC COMP/E/44427/00005/08/2024</v>
          </cell>
          <cell r="D177" t="str">
            <v>FRE</v>
          </cell>
        </row>
        <row r="178">
          <cell r="B178" t="str">
            <v>KHI/HO/D/MO/PC COMP/P/90920/06/2024</v>
          </cell>
          <cell r="C178" t="str">
            <v>KHI/HO/D/MO/PC COMP/E/44427/00075/08/2024</v>
          </cell>
          <cell r="D178" t="str">
            <v>REN</v>
          </cell>
        </row>
        <row r="179">
          <cell r="B179" t="str">
            <v>KHI/HO/D/MO/PC COMP/P/75216/09/2023</v>
          </cell>
          <cell r="C179" t="str">
            <v>KHI/HO/D/MO/PC COMP/E/44431/00035/08/2024</v>
          </cell>
          <cell r="D179" t="str">
            <v>REN</v>
          </cell>
        </row>
        <row r="180">
          <cell r="B180" t="str">
            <v>KHI/HO/D/MO/PC COMP/P/82384/01/2024</v>
          </cell>
          <cell r="C180" t="str">
            <v>KHI/HO/D/MO/PC COMP/E/44436/00033/08/2024</v>
          </cell>
          <cell r="D180" t="str">
            <v>REN</v>
          </cell>
        </row>
        <row r="181">
          <cell r="B181" t="str">
            <v>KHI/HO/D/MO/PC COMP/P/93457/07/2024</v>
          </cell>
          <cell r="C181" t="str">
            <v>KHI/HO/D/MO/PC COMP/E/44561/00025/08/2024</v>
          </cell>
          <cell r="D181" t="str">
            <v>REN</v>
          </cell>
        </row>
        <row r="182">
          <cell r="B182" t="str">
            <v>KHI/HO/D/MO/CV/P/88993/05/2024</v>
          </cell>
          <cell r="C182" t="str">
            <v>KHI/HO/D/MO/CV/E/44836/00003/08/2024</v>
          </cell>
          <cell r="D182" t="str">
            <v>REN</v>
          </cell>
        </row>
        <row r="183">
          <cell r="B183" t="str">
            <v>KHI/HO/D/MO/PC COMP/P/76438/10/2023</v>
          </cell>
          <cell r="C183" t="str">
            <v>KHI/HO/D/MO/PC COMP/E/44875/00013/08/2024</v>
          </cell>
          <cell r="D183" t="str">
            <v>REN</v>
          </cell>
        </row>
        <row r="184">
          <cell r="B184" t="str">
            <v>KHI/HO/D/MO/PC COMP/P/76429/10/2023</v>
          </cell>
          <cell r="C184" t="str">
            <v>KHI/HO/D/MO/PC COMP/E/44879/00033/08/2024</v>
          </cell>
          <cell r="D184" t="str">
            <v>REN</v>
          </cell>
        </row>
        <row r="185">
          <cell r="B185" t="str">
            <v>KHI/HO/D/MO/PC COMP/P/80337/12/2023</v>
          </cell>
          <cell r="C185" t="str">
            <v>KHI/HO/D/MO/PC COMP/E/44931/00065/08/2024</v>
          </cell>
          <cell r="D185" t="str">
            <v>REN</v>
          </cell>
        </row>
        <row r="186">
          <cell r="B186" t="str">
            <v>KHI/HO/D/MO/PC COMP/P/84011/02/2024</v>
          </cell>
          <cell r="C186" t="str">
            <v>KHI/HO/D/MO/PC COMP/E/44932/00099/08/2024</v>
          </cell>
          <cell r="D186" t="str">
            <v>REN</v>
          </cell>
        </row>
        <row r="187">
          <cell r="B187" t="str">
            <v>KHI/HO/D/MO/PC COMP/P/93458/07/2024</v>
          </cell>
          <cell r="C187" t="str">
            <v>KHI/HO/D/MO/PC COMP/E/44933/00030/08/2024</v>
          </cell>
          <cell r="D187" t="str">
            <v>REN</v>
          </cell>
        </row>
        <row r="188">
          <cell r="B188" t="str">
            <v>KHI/HO/D/MO/PC COMP/P/82186/01/2024</v>
          </cell>
          <cell r="C188" t="str">
            <v>KHI/HO/D/MO/PC COMP/E/45159/00012/08/2024</v>
          </cell>
          <cell r="D188" t="str">
            <v>REN</v>
          </cell>
        </row>
        <row r="189">
          <cell r="B189" t="str">
            <v>KHI/HO/D/MO/CV/P/85010/03/2024</v>
          </cell>
          <cell r="C189" t="str">
            <v>KHI/HO/D/MO/CV/E/45233/00007/08/2024</v>
          </cell>
          <cell r="D189" t="str">
            <v>REN</v>
          </cell>
        </row>
        <row r="190">
          <cell r="B190" t="str">
            <v>KHI/HO/D/MO/PC COMP/P/83022/02/2024</v>
          </cell>
          <cell r="C190" t="str">
            <v>KHI/HO/D/MO/PC COMP/E/45278/00014/08/2024</v>
          </cell>
          <cell r="D190" t="str">
            <v>FRE</v>
          </cell>
        </row>
        <row r="191">
          <cell r="B191" t="str">
            <v>KHI/HO/D/MO/PC COMP/P/83022/02/2024</v>
          </cell>
          <cell r="C191" t="str">
            <v>KHI/HO/D/MO/PC COMP/E/45278/00015/08/2024</v>
          </cell>
          <cell r="D191" t="str">
            <v>FRE</v>
          </cell>
        </row>
        <row r="192">
          <cell r="B192" t="str">
            <v>KHI/HO/D/MO/PC COMP/P/76429/10/2023</v>
          </cell>
          <cell r="C192" t="str">
            <v>KHI/HO/D/MO/PC COMP/E/45474/00009/09/2024</v>
          </cell>
          <cell r="D192" t="str">
            <v>REN</v>
          </cell>
        </row>
        <row r="193">
          <cell r="B193" t="str">
            <v>KHI/HO/D/MO/PC COMP/P/94819/08/2024</v>
          </cell>
          <cell r="C193" t="str">
            <v>KHI/HO/D/MO/PC COMP/E/45573/00008/09/2024</v>
          </cell>
          <cell r="D193" t="str">
            <v>FRE</v>
          </cell>
        </row>
        <row r="194">
          <cell r="B194" t="str">
            <v>KHI/HO/D/MO/PC COMP/P/92394/07/2024</v>
          </cell>
          <cell r="C194" t="str">
            <v>KHI/HO/D/MO/PC COMP/E/45576/00042/09/2024</v>
          </cell>
          <cell r="D194" t="str">
            <v>FRE</v>
          </cell>
        </row>
        <row r="195">
          <cell r="B195" t="str">
            <v>KHI/HO/D/MO/PC COMP/P/92394/07/2024</v>
          </cell>
          <cell r="C195" t="str">
            <v>KHI/HO/D/MO/PC COMP/E/45576/00010/09/2024</v>
          </cell>
          <cell r="D195" t="str">
            <v>FRE</v>
          </cell>
        </row>
        <row r="196">
          <cell r="B196" t="str">
            <v>KHI/HO/D/MO/PC COMP/P/92394/07/2024</v>
          </cell>
          <cell r="C196" t="str">
            <v>KHI/HO/D/MO/PC COMP/E/45576/00011/09/2024</v>
          </cell>
          <cell r="D196" t="str">
            <v>FRE</v>
          </cell>
        </row>
        <row r="197">
          <cell r="B197" t="str">
            <v>KHI/HO/D/MO/PC COMP/P/92394/07/2024</v>
          </cell>
          <cell r="C197" t="str">
            <v>KHI/HO/D/MO/PC COMP/E/45576/00009/09/2024</v>
          </cell>
          <cell r="D197" t="str">
            <v>FRE</v>
          </cell>
        </row>
        <row r="198">
          <cell r="B198" t="str">
            <v>KHI/HO/D/MO/PC COMP/P/85019/03/2024</v>
          </cell>
          <cell r="C198" t="str">
            <v>KHI/HO/D/MO/PC COMP/E/45643/00030/09/2024</v>
          </cell>
          <cell r="D198" t="str">
            <v>REN</v>
          </cell>
        </row>
        <row r="199">
          <cell r="B199" t="str">
            <v>KHI/HO/D/MO/PC COMP/P/88626/05/2024</v>
          </cell>
          <cell r="C199" t="str">
            <v>KHI/HO/D/MO/PC COMP/E/45806/00137/09/2024</v>
          </cell>
          <cell r="D199" t="str">
            <v>REN</v>
          </cell>
        </row>
        <row r="200">
          <cell r="B200" t="str">
            <v>KHI/HO/D/MO/PC COMP/P/88626/05/2024</v>
          </cell>
          <cell r="C200" t="str">
            <v>KHI/HO/D/MO/PC COMP/E/45806/00038/09/2024</v>
          </cell>
          <cell r="D200" t="str">
            <v>REN</v>
          </cell>
        </row>
        <row r="201">
          <cell r="B201" t="str">
            <v>KHI/HO/D/MO/PC COMP/P/88626/05/2024</v>
          </cell>
          <cell r="C201" t="str">
            <v>KHI/HO/D/MO/PC COMP/E/45806/00005/09/2024</v>
          </cell>
          <cell r="D201" t="str">
            <v>REN</v>
          </cell>
        </row>
        <row r="202">
          <cell r="B202" t="str">
            <v>KHI/HO/D/MO/PC COMP/P/88626/05/2024</v>
          </cell>
          <cell r="C202" t="str">
            <v>KHI/HO/D/MO/PC COMP/E/45806/00076/09/2024</v>
          </cell>
          <cell r="D202" t="str">
            <v>REN</v>
          </cell>
        </row>
        <row r="203">
          <cell r="B203" t="str">
            <v>KHI/HO/D/MO/PC COMP/P/90920/06/2024</v>
          </cell>
          <cell r="C203" t="str">
            <v>KHI/HO/D/MO/PC COMP/E/45811/00133/09/2024</v>
          </cell>
          <cell r="D203" t="str">
            <v>REN</v>
          </cell>
        </row>
        <row r="204">
          <cell r="B204" t="str">
            <v>KHI/HO/D/MO/PC COMP/P/84849/03/2024</v>
          </cell>
          <cell r="C204" t="str">
            <v>KHI/HO/D/MO/PC COMP/E/45815/00030/09/2024</v>
          </cell>
          <cell r="D204" t="str">
            <v>FRE</v>
          </cell>
        </row>
        <row r="205">
          <cell r="B205" t="str">
            <v>KHI/HO/D/MO/PC COMP/P/85047/03/2024</v>
          </cell>
          <cell r="C205" t="str">
            <v>KHI/HO/D/MO/PC COMP/E/45867/00058/09/2024</v>
          </cell>
          <cell r="D205" t="str">
            <v>REN</v>
          </cell>
        </row>
        <row r="206">
          <cell r="B206" t="str">
            <v>KHI/HO/D/MO/PC COMP/P/84688/02/2024</v>
          </cell>
          <cell r="C206" t="str">
            <v>KHI/HO/D/MO/PC COMP/E/45936/00002/09/2024</v>
          </cell>
          <cell r="D206" t="str">
            <v>REN</v>
          </cell>
        </row>
        <row r="207">
          <cell r="B207" t="str">
            <v>KHI/HO/D/MO/PC COMP/P/84285/02/2024</v>
          </cell>
          <cell r="C207" t="str">
            <v>KHI/HO/D/MO/PC COMP/E/45960/00013/09/2024</v>
          </cell>
          <cell r="D207" t="str">
            <v>REN</v>
          </cell>
        </row>
        <row r="208">
          <cell r="B208" t="str">
            <v>KHI/HO/D/MO/PC COMP/P/84285/02/2024</v>
          </cell>
          <cell r="C208" t="str">
            <v>KHI/HO/D/MO/PC COMP/E/46386/00025/10/2024</v>
          </cell>
          <cell r="D208" t="str">
            <v>REN</v>
          </cell>
        </row>
        <row r="209">
          <cell r="B209" t="str">
            <v>KHI/HO/D/MO/PC COMP/P/86662/04/2024</v>
          </cell>
          <cell r="C209" t="str">
            <v>KHI/HO/D/MO/PC COMP/E/46414/00003/10/2024</v>
          </cell>
          <cell r="D209" t="str">
            <v>REN</v>
          </cell>
        </row>
        <row r="210">
          <cell r="B210" t="str">
            <v>KHI/HO/D/MO/PC COMP/P/93460/07/2024</v>
          </cell>
          <cell r="C210" t="str">
            <v>KHI/HO/D/MO/PC COMP/E/46419/00007/10/2024</v>
          </cell>
          <cell r="D210" t="str">
            <v>REN</v>
          </cell>
        </row>
        <row r="211">
          <cell r="B211" t="str">
            <v>KHI/HO/D/MO/PC COMP/P/88626/05/2024</v>
          </cell>
          <cell r="C211" t="str">
            <v>KHI/HO/D/MO/PC COMP/E/46432/00050/10/2024</v>
          </cell>
          <cell r="D211" t="str">
            <v>REN</v>
          </cell>
        </row>
        <row r="212">
          <cell r="B212" t="str">
            <v>KHI/HO/D/MO/PC COMP/P/88626/05/2024</v>
          </cell>
          <cell r="C212" t="str">
            <v>KHI/HO/D/MO/PC COMP/E/46432/00066/10/2024</v>
          </cell>
          <cell r="D212" t="str">
            <v>REN</v>
          </cell>
        </row>
        <row r="213">
          <cell r="B213" t="str">
            <v>KHI/HO/D/MO/PC COMP/C/80963/1/01/2024</v>
          </cell>
          <cell r="D213" t="str">
            <v>FRE</v>
          </cell>
        </row>
        <row r="214">
          <cell r="B214" t="str">
            <v>KHI/HO/D/MO/PC COMP/C/80963/2/01/2024</v>
          </cell>
          <cell r="D214" t="str">
            <v>FRE</v>
          </cell>
        </row>
        <row r="215">
          <cell r="B215" t="str">
            <v>KHI/HO/D/MO/PC COMP/C/80963/3/01/2024</v>
          </cell>
          <cell r="D215" t="str">
            <v>FRE</v>
          </cell>
        </row>
        <row r="216">
          <cell r="B216" t="str">
            <v>KHI/HO/D/MO/PC COMP/C/80963/4/01/2024</v>
          </cell>
          <cell r="D216" t="str">
            <v>FRE</v>
          </cell>
        </row>
        <row r="217">
          <cell r="B217" t="str">
            <v>KHI/HO/D/MO/PC COMP/C/80963/5/01/2024</v>
          </cell>
          <cell r="D217" t="str">
            <v>FRE</v>
          </cell>
        </row>
        <row r="218">
          <cell r="B218" t="str">
            <v>KHI/HO/D/MO/PC COMP/C/80963/6/01/2024</v>
          </cell>
          <cell r="D218" t="str">
            <v>FRE</v>
          </cell>
        </row>
        <row r="219">
          <cell r="B219" t="str">
            <v>KHI/HO/D/MO/PC COMP/C/80963/7/01/2024</v>
          </cell>
          <cell r="D219" t="str">
            <v>FRE</v>
          </cell>
        </row>
        <row r="220">
          <cell r="B220" t="str">
            <v>KHI/HO/D/MO/PC COMP/C/80963/8/01/2024</v>
          </cell>
          <cell r="D220" t="str">
            <v>FRE</v>
          </cell>
        </row>
        <row r="221">
          <cell r="B221" t="str">
            <v>KHI/HO/D/MO/PC COMP/C/80963/9/01/2024</v>
          </cell>
          <cell r="D221" t="str">
            <v>FRE</v>
          </cell>
        </row>
        <row r="222">
          <cell r="B222" t="str">
            <v>KHI/HO/D/MO/PC COMP/C/80963/10/01/2024</v>
          </cell>
          <cell r="D222" t="str">
            <v>FRE</v>
          </cell>
        </row>
        <row r="223">
          <cell r="B223" t="str">
            <v>KHI/HO/D/MO/PC COMP/C/80963/11/01/2024</v>
          </cell>
          <cell r="D223" t="str">
            <v>FRE</v>
          </cell>
        </row>
        <row r="224">
          <cell r="B224" t="str">
            <v>KHI/HO/D/MO/PC COMP/C/80963/12/01/2024</v>
          </cell>
          <cell r="D224" t="str">
            <v>FRE</v>
          </cell>
        </row>
        <row r="225">
          <cell r="B225" t="str">
            <v>KHI/HO/D/MO/PC COMP/C/80963/13/01/2024</v>
          </cell>
          <cell r="D225" t="str">
            <v>FRE</v>
          </cell>
        </row>
        <row r="226">
          <cell r="B226" t="str">
            <v>KHI/HO/D/MO/PC COMP/C/80963/14/01/2024</v>
          </cell>
          <cell r="D226" t="str">
            <v>FRE</v>
          </cell>
        </row>
        <row r="227">
          <cell r="B227" t="str">
            <v>KHI/HO/D/MO/PC COMP/C/80963/15/01/2024</v>
          </cell>
          <cell r="D227" t="str">
            <v>FRE</v>
          </cell>
        </row>
        <row r="228">
          <cell r="B228" t="str">
            <v>KHI/HO/D/MO/PC COMP/C/80963/16/01/2024</v>
          </cell>
          <cell r="D228" t="str">
            <v>FRE</v>
          </cell>
        </row>
        <row r="229">
          <cell r="B229" t="str">
            <v>KHI/HO/D/MO/PC COMP/C/80963/17/01/2024</v>
          </cell>
          <cell r="D229" t="str">
            <v>FRE</v>
          </cell>
        </row>
        <row r="230">
          <cell r="B230" t="str">
            <v>KHI/HO/D/MO/PC COMP/C/80963/18/01/2024</v>
          </cell>
          <cell r="D230" t="str">
            <v>FRE</v>
          </cell>
        </row>
        <row r="231">
          <cell r="B231" t="str">
            <v>KHI/HO/D/MO/PC COMP/C/80963/19/01/2024</v>
          </cell>
          <cell r="D231" t="str">
            <v>FRE</v>
          </cell>
        </row>
        <row r="232">
          <cell r="B232" t="str">
            <v>KHI/HO/D/MO/CV/C/82176/1/01/2024</v>
          </cell>
          <cell r="D232" t="str">
            <v>REN</v>
          </cell>
        </row>
        <row r="233">
          <cell r="B233" t="str">
            <v>KHI/HO/D/MO/CV/C/82176/2/01/2024</v>
          </cell>
          <cell r="D233" t="str">
            <v>REN</v>
          </cell>
        </row>
        <row r="234">
          <cell r="B234" t="str">
            <v>KHI/HO/D/MO/CV/C/82176/3/01/2024</v>
          </cell>
          <cell r="D234" t="str">
            <v>REN</v>
          </cell>
        </row>
        <row r="235">
          <cell r="B235" t="str">
            <v>KHI/HO/D/MO/CV/C/82176/4/01/2024</v>
          </cell>
          <cell r="D235" t="str">
            <v>REN</v>
          </cell>
        </row>
        <row r="236">
          <cell r="B236" t="str">
            <v>KHI/HO/D/MO/CV/C/82176/5/01/2024</v>
          </cell>
          <cell r="D236" t="str">
            <v>REN</v>
          </cell>
        </row>
        <row r="237">
          <cell r="B237" t="str">
            <v>KHI/HO/D/MO/CV/C/82176/6/01/2024</v>
          </cell>
          <cell r="D237" t="str">
            <v>REN</v>
          </cell>
        </row>
        <row r="238">
          <cell r="B238" t="str">
            <v>KHI/HO/D/MO/CV/C/82176/7/01/2024</v>
          </cell>
          <cell r="D238" t="str">
            <v>REN</v>
          </cell>
        </row>
        <row r="239">
          <cell r="B239" t="str">
            <v>KHI/HO/D/MO/CV/C/82176/8/01/2024</v>
          </cell>
          <cell r="D239" t="str">
            <v>REN</v>
          </cell>
        </row>
        <row r="240">
          <cell r="B240" t="str">
            <v>KHI/HO/D/MO/CV/C/82176/9/01/2024</v>
          </cell>
          <cell r="D240" t="str">
            <v>REN</v>
          </cell>
        </row>
        <row r="241">
          <cell r="B241" t="str">
            <v>KHI/HO/D/MO/CV/C/82176/10/01/2024</v>
          </cell>
          <cell r="D241" t="str">
            <v>REN</v>
          </cell>
        </row>
        <row r="242">
          <cell r="B242" t="str">
            <v>KHI/HO/D/MO/CV/C/82176/11/01/2024</v>
          </cell>
          <cell r="D242" t="str">
            <v>REN</v>
          </cell>
        </row>
        <row r="243">
          <cell r="B243" t="str">
            <v>KHI/HO/D/MO/PC COMP/C/82186/1/01/2024</v>
          </cell>
          <cell r="D243" t="str">
            <v>REN</v>
          </cell>
        </row>
        <row r="244">
          <cell r="B244" t="str">
            <v>KHI/HO/D/MO/PC COMP/C/82186/2/01/2024</v>
          </cell>
          <cell r="D244" t="str">
            <v>REN</v>
          </cell>
        </row>
        <row r="245">
          <cell r="B245" t="str">
            <v>KHI/HO/D/MO/PC COMP/C/82186/3/01/2024</v>
          </cell>
          <cell r="D245" t="str">
            <v>REN</v>
          </cell>
        </row>
        <row r="246">
          <cell r="B246" t="str">
            <v>KHI/HO/D/MO/PC COMP/C/82186/4/01/2024</v>
          </cell>
          <cell r="D246" t="str">
            <v>REN</v>
          </cell>
        </row>
        <row r="247">
          <cell r="B247" t="str">
            <v>KHI/HO/D/MO/PC COMP/C/82186/5/01/2024</v>
          </cell>
          <cell r="D247" t="str">
            <v>REN</v>
          </cell>
        </row>
        <row r="248">
          <cell r="B248" t="str">
            <v>KHI/HO/D/MO/PC COMP/C/82186/6/01/2024</v>
          </cell>
          <cell r="D248" t="str">
            <v>REN</v>
          </cell>
        </row>
        <row r="249">
          <cell r="B249" t="str">
            <v>KHI/HO/D/MO/PC COMP/C/82186/7/01/2024</v>
          </cell>
          <cell r="D249" t="str">
            <v>REN</v>
          </cell>
        </row>
        <row r="250">
          <cell r="B250" t="str">
            <v>KHI/HO/D/MO/PC COMP/C/82186/8/01/2024</v>
          </cell>
          <cell r="D250" t="str">
            <v>REN</v>
          </cell>
        </row>
        <row r="251">
          <cell r="B251" t="str">
            <v>KHI/HO/D/MO/PC COMP/C/82186/9/01/2024</v>
          </cell>
          <cell r="D251" t="str">
            <v>REN</v>
          </cell>
        </row>
        <row r="252">
          <cell r="B252" t="str">
            <v>KHI/HO/D/MO/PC COMP/C/82186/10/01/2024</v>
          </cell>
          <cell r="D252" t="str">
            <v>REN</v>
          </cell>
        </row>
        <row r="253">
          <cell r="B253" t="str">
            <v>KHI/HO/D/MO/PC COMP/C/82186/11/01/2024</v>
          </cell>
          <cell r="D253" t="str">
            <v>REN</v>
          </cell>
        </row>
        <row r="254">
          <cell r="B254" t="str">
            <v>KHI/HO/D/MO/PC COMP/C/82186/12/01/2024</v>
          </cell>
          <cell r="D254" t="str">
            <v>REN</v>
          </cell>
        </row>
        <row r="255">
          <cell r="B255" t="str">
            <v>KHI/HO/D/MO/PC COMP/C/82186/13/01/2024</v>
          </cell>
          <cell r="D255" t="str">
            <v>REN</v>
          </cell>
        </row>
        <row r="256">
          <cell r="B256" t="str">
            <v>KHI/HO/D/MO/PC COMP/C/82186/14/01/2024</v>
          </cell>
          <cell r="D256" t="str">
            <v>REN</v>
          </cell>
        </row>
        <row r="257">
          <cell r="B257" t="str">
            <v>KHI/HO/D/MO/PC COMP/C/82186/15/01/2024</v>
          </cell>
          <cell r="D257" t="str">
            <v>REN</v>
          </cell>
        </row>
        <row r="258">
          <cell r="B258" t="str">
            <v>KHI/HO/D/MO/PC COMP/C/82186/16/01/2024</v>
          </cell>
          <cell r="D258" t="str">
            <v>REN</v>
          </cell>
        </row>
        <row r="259">
          <cell r="B259" t="str">
            <v>KHI/HO/D/MO/PC COMP/C/82186/17/01/2024</v>
          </cell>
          <cell r="D259" t="str">
            <v>REN</v>
          </cell>
        </row>
        <row r="260">
          <cell r="B260" t="str">
            <v>KHI/HO/D/MO/PC COMP/C/82186/18/01/2024</v>
          </cell>
          <cell r="D260" t="str">
            <v>REN</v>
          </cell>
        </row>
        <row r="261">
          <cell r="B261" t="str">
            <v>KHI/HO/D/MO/PC COMP/C/82186/19/01/2024</v>
          </cell>
          <cell r="D261" t="str">
            <v>REN</v>
          </cell>
        </row>
        <row r="262">
          <cell r="B262" t="str">
            <v>KHI/HO/D/MO/PC COMP/C/82186/20/01/2024</v>
          </cell>
          <cell r="D262" t="str">
            <v>REN</v>
          </cell>
        </row>
        <row r="263">
          <cell r="B263" t="str">
            <v>KHI/HO/D/MO/PC COMP/C/82186/21/01/2024</v>
          </cell>
          <cell r="D263" t="str">
            <v>REN</v>
          </cell>
        </row>
        <row r="264">
          <cell r="B264" t="str">
            <v>KHI/HO/D/MO/PC COMP/C/82186/22/01/2024</v>
          </cell>
          <cell r="D264" t="str">
            <v>REN</v>
          </cell>
        </row>
        <row r="265">
          <cell r="B265" t="str">
            <v>KHI/HO/D/MO/PC COMP/C/82186/23/01/2024</v>
          </cell>
          <cell r="D265" t="str">
            <v>REN</v>
          </cell>
        </row>
        <row r="266">
          <cell r="B266" t="str">
            <v>KHI/HO/D/MO/PC COMP/C/82186/24/01/2024</v>
          </cell>
          <cell r="D266" t="str">
            <v>REN</v>
          </cell>
        </row>
        <row r="267">
          <cell r="B267" t="str">
            <v>KHI/HO/D/MO/PC COMP/C/82186/25/01/2024</v>
          </cell>
          <cell r="D267" t="str">
            <v>REN</v>
          </cell>
        </row>
        <row r="268">
          <cell r="B268" t="str">
            <v>KHI/HO/D/MO/PC COMP/C/82186/26/01/2024</v>
          </cell>
          <cell r="D268" t="str">
            <v>REN</v>
          </cell>
        </row>
        <row r="269">
          <cell r="B269" t="str">
            <v>KHI/HO/D/MO/PC COMP/C/82186/27/01/2024</v>
          </cell>
          <cell r="D269" t="str">
            <v>REN</v>
          </cell>
        </row>
        <row r="270">
          <cell r="B270" t="str">
            <v>KHI/HO/D/MO/PC COMP/C/82186/28/01/2024</v>
          </cell>
          <cell r="D270" t="str">
            <v>REN</v>
          </cell>
        </row>
        <row r="271">
          <cell r="B271" t="str">
            <v>KHI/HO/D/MO/PC COMP/C/82186/29/01/2024</v>
          </cell>
          <cell r="D271" t="str">
            <v>REN</v>
          </cell>
        </row>
        <row r="272">
          <cell r="B272" t="str">
            <v>KHI/HO/D/MO/PC COMP/C/82186/30/01/2024</v>
          </cell>
          <cell r="D272" t="str">
            <v>REN</v>
          </cell>
        </row>
        <row r="273">
          <cell r="B273" t="str">
            <v>KHI/HO/D/MO/PC COMP/C/82186/31/01/2024</v>
          </cell>
          <cell r="D273" t="str">
            <v>REN</v>
          </cell>
        </row>
        <row r="274">
          <cell r="B274" t="str">
            <v>KHI/HO/D/MO/PC COMP/C/82186/32/01/2024</v>
          </cell>
          <cell r="D274" t="str">
            <v>REN</v>
          </cell>
        </row>
        <row r="275">
          <cell r="B275" t="str">
            <v>KHI/HO/D/MO/PC COMP/C/82186/33/01/2024</v>
          </cell>
          <cell r="D275" t="str">
            <v>REN</v>
          </cell>
        </row>
        <row r="276">
          <cell r="B276" t="str">
            <v>KHI/HO/D/MO/PC COMP/C/82186/34/01/2024</v>
          </cell>
          <cell r="D276" t="str">
            <v>REN</v>
          </cell>
        </row>
        <row r="277">
          <cell r="B277" t="str">
            <v>KHI/HO/D/MO/PC COMP/C/82186/35/01/2024</v>
          </cell>
          <cell r="D277" t="str">
            <v>REN</v>
          </cell>
        </row>
        <row r="278">
          <cell r="B278" t="str">
            <v>KHI/HO/D/MO/PC COMP/C/82186/36/01/2024</v>
          </cell>
          <cell r="D278" t="str">
            <v>REN</v>
          </cell>
        </row>
        <row r="279">
          <cell r="B279" t="str">
            <v>KHI/HO/D/MO/PC COMP/C/82186/37/01/2024</v>
          </cell>
          <cell r="D279" t="str">
            <v>REN</v>
          </cell>
        </row>
        <row r="280">
          <cell r="B280" t="str">
            <v>KHI/HO/D/MO/PC COMP/C/82186/38/01/2024</v>
          </cell>
          <cell r="D280" t="str">
            <v>REN</v>
          </cell>
        </row>
        <row r="281">
          <cell r="B281" t="str">
            <v>KHI/HO/D/MO/PC COMP/C/82186/39/01/2024</v>
          </cell>
          <cell r="D281" t="str">
            <v>REN</v>
          </cell>
        </row>
        <row r="282">
          <cell r="B282" t="str">
            <v>KHI/HO/D/MO/PC COMP/C/82186/40/01/2024</v>
          </cell>
          <cell r="D282" t="str">
            <v>REN</v>
          </cell>
        </row>
        <row r="283">
          <cell r="B283" t="str">
            <v>KHI/HO/D/MO/PC COMP/C/82186/41/01/2024</v>
          </cell>
          <cell r="D283" t="str">
            <v>REN</v>
          </cell>
        </row>
        <row r="284">
          <cell r="B284" t="str">
            <v>KHI/HO/D/MO/PC COMP/C/82186/42/01/2024</v>
          </cell>
          <cell r="D284" t="str">
            <v>REN</v>
          </cell>
        </row>
        <row r="285">
          <cell r="B285" t="str">
            <v>KHI/HO/D/MO/PC COMP/C/82186/43/01/2024</v>
          </cell>
          <cell r="D285" t="str">
            <v>REN</v>
          </cell>
        </row>
        <row r="286">
          <cell r="B286" t="str">
            <v>KHI/HO/D/MO/PC COMP/C/82186/44/01/2024</v>
          </cell>
          <cell r="D286" t="str">
            <v>REN</v>
          </cell>
        </row>
        <row r="287">
          <cell r="B287" t="str">
            <v>KHI/HO/D/MO/PC COMP/C/82186/45/01/2024</v>
          </cell>
          <cell r="D287" t="str">
            <v>REN</v>
          </cell>
        </row>
        <row r="288">
          <cell r="B288" t="str">
            <v>KHI/HO/D/MO/PC COMP/C/82186/46/01/2024</v>
          </cell>
          <cell r="D288" t="str">
            <v>REN</v>
          </cell>
        </row>
        <row r="289">
          <cell r="B289" t="str">
            <v>KHI/HO/D/MO/PC COMP/C/82186/47/01/2024</v>
          </cell>
          <cell r="D289" t="str">
            <v>REN</v>
          </cell>
        </row>
        <row r="290">
          <cell r="B290" t="str">
            <v>KHI/HO/D/MO/PC COMP/C/82186/48/01/2024</v>
          </cell>
          <cell r="D290" t="str">
            <v>REN</v>
          </cell>
        </row>
        <row r="291">
          <cell r="B291" t="str">
            <v>KHI/HO/D/MO/PC COMP/C/80963/20/01/2024</v>
          </cell>
          <cell r="D291" t="str">
            <v>FRE</v>
          </cell>
        </row>
        <row r="292">
          <cell r="B292" t="str">
            <v>KHI/HO/D/MO/PC COMP/C/80963/21/01/2024</v>
          </cell>
          <cell r="D292" t="str">
            <v>FRE</v>
          </cell>
        </row>
        <row r="293">
          <cell r="B293" t="str">
            <v>KHI/HO/D/MO/PC COMP/C/80963/22/01/2024</v>
          </cell>
          <cell r="D293" t="str">
            <v>FRE</v>
          </cell>
        </row>
        <row r="294">
          <cell r="B294" t="str">
            <v>KHI/HO/D/MO/PC COMP/C/82368/1/01/2024</v>
          </cell>
          <cell r="D294" t="str">
            <v>REN</v>
          </cell>
        </row>
        <row r="295">
          <cell r="B295" t="str">
            <v>KHI/HO/D/MO/PC COMP/C/82368/2/01/2024</v>
          </cell>
          <cell r="D295" t="str">
            <v>REN</v>
          </cell>
        </row>
        <row r="296">
          <cell r="B296" t="str">
            <v>KHI/HO/D/MO/PC COMP/C/82368/3/01/2024</v>
          </cell>
          <cell r="D296" t="str">
            <v>REN</v>
          </cell>
        </row>
        <row r="297">
          <cell r="B297" t="str">
            <v>KHI/HO/D/MO/PC COMP/C/82368/4/01/2024</v>
          </cell>
          <cell r="D297" t="str">
            <v>REN</v>
          </cell>
        </row>
        <row r="298">
          <cell r="B298" t="str">
            <v>KHI/HO/D/MO/PC COMP/C/82368/5/01/2024</v>
          </cell>
          <cell r="D298" t="str">
            <v>REN</v>
          </cell>
        </row>
        <row r="299">
          <cell r="B299" t="str">
            <v>KHI/HO/D/MO/PC COMP/C/82368/6/01/2024</v>
          </cell>
          <cell r="D299" t="str">
            <v>REN</v>
          </cell>
        </row>
        <row r="300">
          <cell r="B300" t="str">
            <v>KHI/HO/D/MO/PC COMP/C/82368/7/01/2024</v>
          </cell>
          <cell r="D300" t="str">
            <v>REN</v>
          </cell>
        </row>
        <row r="301">
          <cell r="B301" t="str">
            <v>KHI/HO/D/MO/PC COMP/C/82368/8/01/2024</v>
          </cell>
          <cell r="D301" t="str">
            <v>REN</v>
          </cell>
        </row>
        <row r="302">
          <cell r="B302" t="str">
            <v>KHI/HO/D/MO/PC COMP/C/82368/9/01/2024</v>
          </cell>
          <cell r="D302" t="str">
            <v>REN</v>
          </cell>
        </row>
        <row r="303">
          <cell r="B303" t="str">
            <v>KHI/HO/D/MO/PC COMP/C/82368/10/01/2024</v>
          </cell>
          <cell r="D303" t="str">
            <v>REN</v>
          </cell>
        </row>
        <row r="304">
          <cell r="B304" t="str">
            <v>KHI/HO/D/MO/PC COMP/C/82368/11/01/2024</v>
          </cell>
          <cell r="D304" t="str">
            <v>REN</v>
          </cell>
        </row>
        <row r="305">
          <cell r="B305" t="str">
            <v>KHI/HO/D/MO/PC COMP/C/82368/12/01/2024</v>
          </cell>
          <cell r="D305" t="str">
            <v>REN</v>
          </cell>
        </row>
        <row r="306">
          <cell r="B306" t="str">
            <v>KHI/HO/D/MO/PC COMP/C/82368/13/01/2024</v>
          </cell>
          <cell r="D306" t="str">
            <v>REN</v>
          </cell>
        </row>
        <row r="307">
          <cell r="B307" t="str">
            <v>KHI/HO/D/MO/PC COMP/C/82368/14/01/2024</v>
          </cell>
          <cell r="D307" t="str">
            <v>REN</v>
          </cell>
        </row>
        <row r="308">
          <cell r="B308" t="str">
            <v>KHI/HO/D/MO/PC COMP/C/82368/15/01/2024</v>
          </cell>
          <cell r="D308" t="str">
            <v>REN</v>
          </cell>
        </row>
        <row r="309">
          <cell r="B309" t="str">
            <v>KHI/HO/D/MO/PC COMP/C/82368/16/01/2024</v>
          </cell>
          <cell r="D309" t="str">
            <v>REN</v>
          </cell>
        </row>
        <row r="310">
          <cell r="B310" t="str">
            <v>KHI/HO/D/MO/PC COMP/C/82368/17/01/2024</v>
          </cell>
          <cell r="D310" t="str">
            <v>REN</v>
          </cell>
        </row>
        <row r="311">
          <cell r="B311" t="str">
            <v>KHI/HO/D/MO/PC COMP/C/82368/18/01/2024</v>
          </cell>
          <cell r="D311" t="str">
            <v>REN</v>
          </cell>
        </row>
        <row r="312">
          <cell r="B312" t="str">
            <v>KHI/HO/D/MO/PC COMP/C/82368/19/01/2024</v>
          </cell>
          <cell r="D312" t="str">
            <v>REN</v>
          </cell>
        </row>
        <row r="313">
          <cell r="B313" t="str">
            <v>KHI/HO/D/MO/PC COMP/C/82368/20/01/2024</v>
          </cell>
          <cell r="D313" t="str">
            <v>REN</v>
          </cell>
        </row>
        <row r="314">
          <cell r="B314" t="str">
            <v>KHI/HO/D/MO/PC COMP/C/82370/1/01/2024</v>
          </cell>
          <cell r="D314" t="str">
            <v>REN</v>
          </cell>
        </row>
        <row r="315">
          <cell r="B315" t="str">
            <v>KHI/HO/D/MO/PC COMP/C/82370/2/01/2024</v>
          </cell>
          <cell r="D315" t="str">
            <v>REN</v>
          </cell>
        </row>
        <row r="316">
          <cell r="B316" t="str">
            <v>KHI/HO/D/MO/PC COMP/C/82370/3/01/2024</v>
          </cell>
          <cell r="D316" t="str">
            <v>REN</v>
          </cell>
        </row>
        <row r="317">
          <cell r="B317" t="str">
            <v>KHI/HO/D/MO/PC COMP/C/82370/4/01/2024</v>
          </cell>
          <cell r="D317" t="str">
            <v>REN</v>
          </cell>
        </row>
        <row r="318">
          <cell r="B318" t="str">
            <v>KHI/HO/D/MO/PC COMP/C/82371/1/01/2024</v>
          </cell>
          <cell r="D318" t="str">
            <v>REN</v>
          </cell>
        </row>
        <row r="319">
          <cell r="B319" t="str">
            <v>KHI/HO/D/MO/PC COMP/C/82371/2/01/2024</v>
          </cell>
          <cell r="D319" t="str">
            <v>REN</v>
          </cell>
        </row>
        <row r="320">
          <cell r="B320" t="str">
            <v>KHI/HO/D/MO/PC COMP/C/82371/3/01/2024</v>
          </cell>
          <cell r="D320" t="str">
            <v>REN</v>
          </cell>
        </row>
        <row r="321">
          <cell r="B321" t="str">
            <v>KHI/HO/D/MO/PC COMP/C/82371/4/01/2024</v>
          </cell>
          <cell r="D321" t="str">
            <v>REN</v>
          </cell>
        </row>
        <row r="322">
          <cell r="B322" t="str">
            <v>KHI/HO/D/MO/PC COMP/C/82371/5/01/2024</v>
          </cell>
          <cell r="D322" t="str">
            <v>REN</v>
          </cell>
        </row>
        <row r="323">
          <cell r="B323" t="str">
            <v>KHI/HO/D/MO/PC COMP/C/82371/6/01/2024</v>
          </cell>
          <cell r="D323" t="str">
            <v>REN</v>
          </cell>
        </row>
        <row r="324">
          <cell r="B324" t="str">
            <v>KHI/HO/D/MO/PC COMP/C/82371/7/01/2024</v>
          </cell>
          <cell r="D324" t="str">
            <v>REN</v>
          </cell>
        </row>
        <row r="325">
          <cell r="B325" t="str">
            <v>KHI/HO/D/MO/PC COMP/C/82371/8/01/2024</v>
          </cell>
          <cell r="D325" t="str">
            <v>REN</v>
          </cell>
        </row>
        <row r="326">
          <cell r="B326" t="str">
            <v>KHI/HO/D/MO/PC COMP/C/82371/9/01/2024</v>
          </cell>
          <cell r="D326" t="str">
            <v>REN</v>
          </cell>
        </row>
        <row r="327">
          <cell r="B327" t="str">
            <v>KHI/HO/D/MO/PC COMP/C/82371/10/01/2024</v>
          </cell>
          <cell r="D327" t="str">
            <v>REN</v>
          </cell>
        </row>
        <row r="328">
          <cell r="B328" t="str">
            <v>KHI/HO/D/MO/PC COMP/C/82371/11/01/2024</v>
          </cell>
          <cell r="D328" t="str">
            <v>REN</v>
          </cell>
        </row>
        <row r="329">
          <cell r="B329" t="str">
            <v>KHI/HO/D/MO/PC COMP/C/82371/12/01/2024</v>
          </cell>
          <cell r="D329" t="str">
            <v>REN</v>
          </cell>
        </row>
        <row r="330">
          <cell r="B330" t="str">
            <v>KHI/HO/D/MO/PC COMP/C/82371/13/01/2024</v>
          </cell>
          <cell r="D330" t="str">
            <v>REN</v>
          </cell>
        </row>
        <row r="331">
          <cell r="B331" t="str">
            <v>KHI/HO/D/MO/PC COMP/C/82371/14/01/2024</v>
          </cell>
          <cell r="D331" t="str">
            <v>REN</v>
          </cell>
        </row>
        <row r="332">
          <cell r="B332" t="str">
            <v>KHI/HO/D/MO/PC COMP/C/82371/15/01/2024</v>
          </cell>
          <cell r="D332" t="str">
            <v>REN</v>
          </cell>
        </row>
        <row r="333">
          <cell r="B333" t="str">
            <v>KHI/HO/D/MO/PC COMP/C/82371/16/01/2024</v>
          </cell>
          <cell r="D333" t="str">
            <v>REN</v>
          </cell>
        </row>
        <row r="334">
          <cell r="B334" t="str">
            <v>KHI/HO/D/MO/PC COMP/C/82371/17/01/2024</v>
          </cell>
          <cell r="D334" t="str">
            <v>REN</v>
          </cell>
        </row>
        <row r="335">
          <cell r="B335" t="str">
            <v>KHI/HO/D/MO/PC COMP/C/82371/18/01/2024</v>
          </cell>
          <cell r="D335" t="str">
            <v>REN</v>
          </cell>
        </row>
        <row r="336">
          <cell r="B336" t="str">
            <v>KHI/HO/D/MO/PC COMP/C/82371/19/01/2024</v>
          </cell>
          <cell r="D336" t="str">
            <v>REN</v>
          </cell>
        </row>
        <row r="337">
          <cell r="B337" t="str">
            <v>KHI/HO/D/MO/PC COMP/C/82371/20/01/2024</v>
          </cell>
          <cell r="D337" t="str">
            <v>REN</v>
          </cell>
        </row>
        <row r="338">
          <cell r="B338" t="str">
            <v>KHI/HO/D/MO/PC COMP/C/82371/21/01/2024</v>
          </cell>
          <cell r="D338" t="str">
            <v>REN</v>
          </cell>
        </row>
        <row r="339">
          <cell r="B339" t="str">
            <v>KHI/HO/D/MO/PC COMP/C/82371/22/01/2024</v>
          </cell>
          <cell r="D339" t="str">
            <v>REN</v>
          </cell>
        </row>
        <row r="340">
          <cell r="B340" t="str">
            <v>KHI/HO/D/MO/PC COMP/C/82371/23/01/2024</v>
          </cell>
          <cell r="D340" t="str">
            <v>REN</v>
          </cell>
        </row>
        <row r="341">
          <cell r="B341" t="str">
            <v>KHI/HO/D/MO/PC COMP/C/82371/24/01/2024</v>
          </cell>
          <cell r="D341" t="str">
            <v>REN</v>
          </cell>
        </row>
        <row r="342">
          <cell r="B342" t="str">
            <v>KHI/HO/D/MO/PC COMP/C/82371/25/01/2024</v>
          </cell>
          <cell r="D342" t="str">
            <v>REN</v>
          </cell>
        </row>
        <row r="343">
          <cell r="B343" t="str">
            <v>KHI/HO/D/MO/PC COMP/C/82371/26/01/2024</v>
          </cell>
          <cell r="D343" t="str">
            <v>REN</v>
          </cell>
        </row>
        <row r="344">
          <cell r="B344" t="str">
            <v>KHI/HO/D/MO/PC COMP/C/82371/27/01/2024</v>
          </cell>
          <cell r="D344" t="str">
            <v>REN</v>
          </cell>
        </row>
        <row r="345">
          <cell r="B345" t="str">
            <v>KHI/HO/D/MO/PC COMP/C/82371/28/01/2024</v>
          </cell>
          <cell r="D345" t="str">
            <v>REN</v>
          </cell>
        </row>
        <row r="346">
          <cell r="B346" t="str">
            <v>KHI/HO/D/MO/PC COMP/C/82371/29/01/2024</v>
          </cell>
          <cell r="D346" t="str">
            <v>REN</v>
          </cell>
        </row>
        <row r="347">
          <cell r="B347" t="str">
            <v>KHI/HO/D/MO/PC COMP/C/82371/30/01/2024</v>
          </cell>
          <cell r="D347" t="str">
            <v>REN</v>
          </cell>
        </row>
        <row r="348">
          <cell r="B348" t="str">
            <v>KHI/HO/D/MO/PC COMP/C/82371/31/01/2024</v>
          </cell>
          <cell r="D348" t="str">
            <v>REN</v>
          </cell>
        </row>
        <row r="349">
          <cell r="B349" t="str">
            <v>KHI/HO/D/MO/PC COMP/C/82371/32/01/2024</v>
          </cell>
          <cell r="D349" t="str">
            <v>REN</v>
          </cell>
        </row>
        <row r="350">
          <cell r="B350" t="str">
            <v>KHI/HO/D/MO/PC COMP/C/82371/33/01/2024</v>
          </cell>
          <cell r="D350" t="str">
            <v>REN</v>
          </cell>
        </row>
        <row r="351">
          <cell r="B351" t="str">
            <v>KHI/HO/D/MO/PC COMP/C/82371/34/01/2024</v>
          </cell>
          <cell r="D351" t="str">
            <v>REN</v>
          </cell>
        </row>
        <row r="352">
          <cell r="B352" t="str">
            <v>KHI/HO/D/MO/PC COMP/C/82371/35/01/2024</v>
          </cell>
          <cell r="D352" t="str">
            <v>REN</v>
          </cell>
        </row>
        <row r="353">
          <cell r="B353" t="str">
            <v>KHI/HO/D/MO/PC COMP/C/82371/36/01/2024</v>
          </cell>
          <cell r="D353" t="str">
            <v>REN</v>
          </cell>
        </row>
        <row r="354">
          <cell r="B354" t="str">
            <v>KHI/HO/D/MO/PC COMP/C/82371/37/01/2024</v>
          </cell>
          <cell r="D354" t="str">
            <v>REN</v>
          </cell>
        </row>
        <row r="355">
          <cell r="B355" t="str">
            <v>KHI/HO/D/MO/PC COMP/C/82371/38/01/2024</v>
          </cell>
          <cell r="D355" t="str">
            <v>REN</v>
          </cell>
        </row>
        <row r="356">
          <cell r="B356" t="str">
            <v>KHI/HO/D/MO/PC COMP/C/82371/39/01/2024</v>
          </cell>
          <cell r="D356" t="str">
            <v>REN</v>
          </cell>
        </row>
        <row r="357">
          <cell r="B357" t="str">
            <v>KHI/HO/D/MO/PC COMP/C/82371/40/01/2024</v>
          </cell>
          <cell r="D357" t="str">
            <v>REN</v>
          </cell>
        </row>
        <row r="358">
          <cell r="B358" t="str">
            <v>KHI/HO/D/MO/PC COMP/C/82371/41/01/2024</v>
          </cell>
          <cell r="D358" t="str">
            <v>REN</v>
          </cell>
        </row>
        <row r="359">
          <cell r="B359" t="str">
            <v>KHI/HO/D/MO/PC COMP/C/82371/42/01/2024</v>
          </cell>
          <cell r="D359" t="str">
            <v>REN</v>
          </cell>
        </row>
        <row r="360">
          <cell r="B360" t="str">
            <v>KHI/HO/D/MO/PC COMP/C/82371/43/01/2024</v>
          </cell>
          <cell r="D360" t="str">
            <v>REN</v>
          </cell>
        </row>
        <row r="361">
          <cell r="B361" t="str">
            <v>KHI/HO/D/MO/PC COMP/C/82371/44/01/2024</v>
          </cell>
          <cell r="D361" t="str">
            <v>REN</v>
          </cell>
        </row>
        <row r="362">
          <cell r="B362" t="str">
            <v>KHI/HO/D/MO/PC COMP/C/82371/45/01/2024</v>
          </cell>
          <cell r="D362" t="str">
            <v>REN</v>
          </cell>
        </row>
        <row r="363">
          <cell r="B363" t="str">
            <v>KHI/HO/D/MO/PC COMP/C/82371/46/01/2024</v>
          </cell>
          <cell r="D363" t="str">
            <v>REN</v>
          </cell>
        </row>
        <row r="364">
          <cell r="B364" t="str">
            <v>KHI/HO/D/MO/PC COMP/C/82371/47/01/2024</v>
          </cell>
          <cell r="D364" t="str">
            <v>REN</v>
          </cell>
        </row>
        <row r="365">
          <cell r="B365" t="str">
            <v>KHI/HO/D/MO/PC COMP/C/82371/48/01/2024</v>
          </cell>
          <cell r="D365" t="str">
            <v>REN</v>
          </cell>
        </row>
        <row r="366">
          <cell r="B366" t="str">
            <v>KHI/HO/D/MO/PC COMP/C/80963/23/01/2024</v>
          </cell>
          <cell r="D366" t="str">
            <v>FRE</v>
          </cell>
        </row>
        <row r="367">
          <cell r="B367" t="str">
            <v>KHI/HO/D/MO/PC COMP/C/82384/1/01/2024</v>
          </cell>
          <cell r="D367" t="str">
            <v>REN</v>
          </cell>
        </row>
        <row r="368">
          <cell r="B368" t="str">
            <v>KHI/HO/D/MO/PC COMP/C/82384/2/01/2024</v>
          </cell>
          <cell r="D368" t="str">
            <v>REN</v>
          </cell>
        </row>
        <row r="369">
          <cell r="B369" t="str">
            <v>KHI/HO/D/MO/PC COMP/C/82384/3/01/2024</v>
          </cell>
          <cell r="D369" t="str">
            <v>REN</v>
          </cell>
        </row>
        <row r="370">
          <cell r="B370" t="str">
            <v>KHI/HO/D/MO/PC COMP/C/82384/4/01/2024</v>
          </cell>
          <cell r="D370" t="str">
            <v>REN</v>
          </cell>
        </row>
        <row r="371">
          <cell r="B371" t="str">
            <v>KHI/HO/D/MO/PC COMP/C/82384/5/01/2024</v>
          </cell>
          <cell r="D371" t="str">
            <v>REN</v>
          </cell>
        </row>
        <row r="372">
          <cell r="B372" t="str">
            <v>KHI/HO/D/MO/PC COMP/C/82384/6/01/2024</v>
          </cell>
          <cell r="D372" t="str">
            <v>REN</v>
          </cell>
        </row>
        <row r="373">
          <cell r="B373" t="str">
            <v>KHI/HO/D/MO/PC COMP/C/82384/7/01/2024</v>
          </cell>
          <cell r="D373" t="str">
            <v>REN</v>
          </cell>
        </row>
        <row r="374">
          <cell r="B374" t="str">
            <v>KHI/HO/D/MO/PC COMP/C/82384/8/01/2024</v>
          </cell>
          <cell r="D374" t="str">
            <v>REN</v>
          </cell>
        </row>
        <row r="375">
          <cell r="B375" t="str">
            <v>KHI/HO/D/MO/PC COMP/C/82384/9/01/2024</v>
          </cell>
          <cell r="D375" t="str">
            <v>REN</v>
          </cell>
        </row>
        <row r="376">
          <cell r="B376" t="str">
            <v>KHI/HO/D/MO/PC COMP/C/82384/10/01/2024</v>
          </cell>
          <cell r="D376" t="str">
            <v>REN</v>
          </cell>
        </row>
        <row r="377">
          <cell r="B377" t="str">
            <v>KHI/HO/D/MO/PC COMP/C/82384/11/01/2024</v>
          </cell>
          <cell r="D377" t="str">
            <v>REN</v>
          </cell>
        </row>
        <row r="378">
          <cell r="B378" t="str">
            <v>KHI/HO/D/MO/PC COMP/C/82384/12/01/2024</v>
          </cell>
          <cell r="D378" t="str">
            <v>REN</v>
          </cell>
        </row>
        <row r="379">
          <cell r="B379" t="str">
            <v>KHI/HO/D/MO/PC COMP/C/82384/13/01/2024</v>
          </cell>
          <cell r="D379" t="str">
            <v>REN</v>
          </cell>
        </row>
        <row r="380">
          <cell r="B380" t="str">
            <v>KHI/HO/D/MO/PC COMP/C/82384/14/01/2024</v>
          </cell>
          <cell r="D380" t="str">
            <v>REN</v>
          </cell>
        </row>
        <row r="381">
          <cell r="B381" t="str">
            <v>KHI/HO/D/MO/PC COMP/C/82384/15/01/2024</v>
          </cell>
          <cell r="D381" t="str">
            <v>REN</v>
          </cell>
        </row>
        <row r="382">
          <cell r="B382" t="str">
            <v>KHI/HO/D/MO/PC COMP/C/82384/16/01/2024</v>
          </cell>
          <cell r="D382" t="str">
            <v>REN</v>
          </cell>
        </row>
        <row r="383">
          <cell r="B383" t="str">
            <v>KHI/HO/D/MO/PC COMP/C/82384/17/01/2024</v>
          </cell>
          <cell r="D383" t="str">
            <v>REN</v>
          </cell>
        </row>
        <row r="384">
          <cell r="B384" t="str">
            <v>KHI/HO/D/MO/PC COMP/C/82384/18/01/2024</v>
          </cell>
          <cell r="D384" t="str">
            <v>REN</v>
          </cell>
        </row>
        <row r="385">
          <cell r="B385" t="str">
            <v>KHI/HO/D/MO/PC COMP/C/82384/19/01/2024</v>
          </cell>
          <cell r="D385" t="str">
            <v>REN</v>
          </cell>
        </row>
        <row r="386">
          <cell r="B386" t="str">
            <v>KHI/HO/D/MO/PC COMP/C/82384/20/01/2024</v>
          </cell>
          <cell r="D386" t="str">
            <v>REN</v>
          </cell>
        </row>
        <row r="387">
          <cell r="B387" t="str">
            <v>KHI/HO/D/MO/PC COMP/C/82384/21/01/2024</v>
          </cell>
          <cell r="D387" t="str">
            <v>REN</v>
          </cell>
        </row>
        <row r="388">
          <cell r="B388" t="str">
            <v>KHI/HO/D/MO/PC COMP/C/82384/22/01/2024</v>
          </cell>
          <cell r="D388" t="str">
            <v>REN</v>
          </cell>
        </row>
        <row r="389">
          <cell r="B389" t="str">
            <v>KHI/HO/D/MO/PC COMP/C/82384/23/01/2024</v>
          </cell>
          <cell r="D389" t="str">
            <v>REN</v>
          </cell>
        </row>
        <row r="390">
          <cell r="B390" t="str">
            <v>KHI/HO/D/MO/PC COMP/C/82384/24/01/2024</v>
          </cell>
          <cell r="D390" t="str">
            <v>REN</v>
          </cell>
        </row>
        <row r="391">
          <cell r="B391" t="str">
            <v>KHI/HO/D/MO/PC COMP/C/82384/25/01/2024</v>
          </cell>
          <cell r="D391" t="str">
            <v>REN</v>
          </cell>
        </row>
        <row r="392">
          <cell r="B392" t="str">
            <v>KHI/HO/D/MO/PC COMP/C/82384/26/01/2024</v>
          </cell>
          <cell r="D392" t="str">
            <v>REN</v>
          </cell>
        </row>
        <row r="393">
          <cell r="B393" t="str">
            <v>KHI/HO/D/MO/PC COMP/C/82384/27/01/2024</v>
          </cell>
          <cell r="D393" t="str">
            <v>REN</v>
          </cell>
        </row>
        <row r="394">
          <cell r="B394" t="str">
            <v>KHI/HO/D/MO/PC COMP/C/82384/28/01/2024</v>
          </cell>
          <cell r="D394" t="str">
            <v>REN</v>
          </cell>
        </row>
        <row r="395">
          <cell r="B395" t="str">
            <v>KHI/HO/D/MO/PC COMP/C/82384/29/01/2024</v>
          </cell>
          <cell r="D395" t="str">
            <v>REN</v>
          </cell>
        </row>
        <row r="396">
          <cell r="B396" t="str">
            <v>KHI/HO/D/MO/PC COMP/C/82384/30/01/2024</v>
          </cell>
          <cell r="D396" t="str">
            <v>REN</v>
          </cell>
        </row>
        <row r="397">
          <cell r="B397" t="str">
            <v>KHI/HO/D/MO/PC COMP/C/82384/31/01/2024</v>
          </cell>
          <cell r="D397" t="str">
            <v>REN</v>
          </cell>
        </row>
        <row r="398">
          <cell r="B398" t="str">
            <v>KHI/HO/D/MO/PC COMP/C/82384/32/01/2024</v>
          </cell>
          <cell r="D398" t="str">
            <v>REN</v>
          </cell>
        </row>
        <row r="399">
          <cell r="B399" t="str">
            <v>KHI/HO/D/MO/PC COMP/C/82384/33/01/2024</v>
          </cell>
          <cell r="D399" t="str">
            <v>REN</v>
          </cell>
        </row>
        <row r="400">
          <cell r="B400" t="str">
            <v>KHI/HO/D/MO/PC COMP/C/82384/34/01/2024</v>
          </cell>
          <cell r="D400" t="str">
            <v>REN</v>
          </cell>
        </row>
        <row r="401">
          <cell r="B401" t="str">
            <v>KHI/HO/D/MO/PC COMP/C/82384/35/01/2024</v>
          </cell>
          <cell r="D401" t="str">
            <v>REN</v>
          </cell>
        </row>
        <row r="402">
          <cell r="B402" t="str">
            <v>KHI/HO/D/MO/PC COMP/C/82384/36/01/2024</v>
          </cell>
          <cell r="D402" t="str">
            <v>REN</v>
          </cell>
        </row>
        <row r="403">
          <cell r="B403" t="str">
            <v>KHI/HO/D/MO/PC COMP/C/82384/37/01/2024</v>
          </cell>
          <cell r="D403" t="str">
            <v>REN</v>
          </cell>
        </row>
        <row r="404">
          <cell r="B404" t="str">
            <v>KHI/HO/D/MO/PC COMP/C/82384/38/01/2024</v>
          </cell>
          <cell r="D404" t="str">
            <v>REN</v>
          </cell>
        </row>
        <row r="405">
          <cell r="B405" t="str">
            <v>KHI/HO/D/MO/PC COMP/C/82384/39/01/2024</v>
          </cell>
          <cell r="D405" t="str">
            <v>REN</v>
          </cell>
        </row>
        <row r="406">
          <cell r="B406" t="str">
            <v>KHI/HO/D/MO/PC COMP/C/82384/40/01/2024</v>
          </cell>
          <cell r="D406" t="str">
            <v>REN</v>
          </cell>
        </row>
        <row r="407">
          <cell r="B407" t="str">
            <v>KHI/HO/D/MO/PC COMP/C/82384/41/01/2024</v>
          </cell>
          <cell r="D407" t="str">
            <v>REN</v>
          </cell>
        </row>
        <row r="408">
          <cell r="B408" t="str">
            <v>KHI/HO/D/MO/PC COMP/C/82384/42/01/2024</v>
          </cell>
          <cell r="D408" t="str">
            <v>REN</v>
          </cell>
        </row>
        <row r="409">
          <cell r="B409" t="str">
            <v>KHI/HO/D/MO/PC COMP/C/82384/43/01/2024</v>
          </cell>
          <cell r="D409" t="str">
            <v>REN</v>
          </cell>
        </row>
        <row r="410">
          <cell r="B410" t="str">
            <v>KHI/HO/D/MO/PC COMP/C/82384/44/01/2024</v>
          </cell>
          <cell r="D410" t="str">
            <v>REN</v>
          </cell>
        </row>
        <row r="411">
          <cell r="B411" t="str">
            <v>KHI/HO/D/MO/PC COMP/C/82384/45/01/2024</v>
          </cell>
          <cell r="D411" t="str">
            <v>REN</v>
          </cell>
        </row>
        <row r="412">
          <cell r="B412" t="str">
            <v>KHI/HO/D/MO/PC COMP/C/82384/46/01/2024</v>
          </cell>
          <cell r="D412" t="str">
            <v>REN</v>
          </cell>
        </row>
        <row r="413">
          <cell r="B413" t="str">
            <v>KHI/HO/D/MO/PC COMP/C/82384/47/01/2024</v>
          </cell>
          <cell r="D413" t="str">
            <v>REN</v>
          </cell>
        </row>
        <row r="414">
          <cell r="B414" t="str">
            <v>KHI/HO/D/MO/PC COMP/C/82384/48/01/2024</v>
          </cell>
          <cell r="D414" t="str">
            <v>REN</v>
          </cell>
        </row>
        <row r="415">
          <cell r="B415" t="str">
            <v>KHI/HO/D/MO/PC COMP/C/82384/49/01/2024</v>
          </cell>
          <cell r="D415" t="str">
            <v>REN</v>
          </cell>
        </row>
        <row r="416">
          <cell r="B416" t="str">
            <v>KHI/HO/D/MO/PC COMP/C/82384/50/01/2024</v>
          </cell>
          <cell r="D416" t="str">
            <v>REN</v>
          </cell>
        </row>
        <row r="417">
          <cell r="B417" t="str">
            <v>KHI/HO/D/MO/PC COMP/C/82384/51/01/2024</v>
          </cell>
          <cell r="D417" t="str">
            <v>REN</v>
          </cell>
        </row>
        <row r="418">
          <cell r="B418" t="str">
            <v>KHI/HO/D/MO/PC COMP/C/82384/52/01/2024</v>
          </cell>
          <cell r="D418" t="str">
            <v>REN</v>
          </cell>
        </row>
        <row r="419">
          <cell r="B419" t="str">
            <v>KHI/HO/D/MO/PC COMP/C/82384/53/01/2024</v>
          </cell>
          <cell r="D419" t="str">
            <v>REN</v>
          </cell>
        </row>
        <row r="420">
          <cell r="B420" t="str">
            <v>KHI/HO/D/MO/PC COMP/C/82384/54/01/2024</v>
          </cell>
          <cell r="D420" t="str">
            <v>REN</v>
          </cell>
        </row>
        <row r="421">
          <cell r="B421" t="str">
            <v>KHI/HO/D/MO/PC COMP/C/82384/55/01/2024</v>
          </cell>
          <cell r="D421" t="str">
            <v>REN</v>
          </cell>
        </row>
        <row r="422">
          <cell r="B422" t="str">
            <v>KHI/HO/D/MO/PC COMP/C/82384/56/01/2024</v>
          </cell>
          <cell r="D422" t="str">
            <v>REN</v>
          </cell>
        </row>
        <row r="423">
          <cell r="B423" t="str">
            <v>KHI/HO/D/MO/PC COMP/C/82384/57/01/2024</v>
          </cell>
          <cell r="D423" t="str">
            <v>REN</v>
          </cell>
        </row>
        <row r="424">
          <cell r="B424" t="str">
            <v>KHI/HO/D/MO/PC COMP/C/82384/58/01/2024</v>
          </cell>
          <cell r="D424" t="str">
            <v>REN</v>
          </cell>
        </row>
        <row r="425">
          <cell r="B425" t="str">
            <v>KHI/HO/D/MO/PC COMP/C/82384/59/01/2024</v>
          </cell>
          <cell r="D425" t="str">
            <v>REN</v>
          </cell>
        </row>
        <row r="426">
          <cell r="B426" t="str">
            <v>KHI/HO/D/MO/PC COMP/C/82384/60/01/2024</v>
          </cell>
          <cell r="D426" t="str">
            <v>REN</v>
          </cell>
        </row>
        <row r="427">
          <cell r="B427" t="str">
            <v>KHI/HO/D/MO/PC COMP/C/82384/61/01/2024</v>
          </cell>
          <cell r="D427" t="str">
            <v>REN</v>
          </cell>
        </row>
        <row r="428">
          <cell r="B428" t="str">
            <v>KHI/HO/D/MO/PC COMP/C/82384/62/01/2024</v>
          </cell>
          <cell r="D428" t="str">
            <v>REN</v>
          </cell>
        </row>
        <row r="429">
          <cell r="B429" t="str">
            <v>KHI/HO/D/MO/PC COMP/C/82384/63/01/2024</v>
          </cell>
          <cell r="D429" t="str">
            <v>REN</v>
          </cell>
        </row>
        <row r="430">
          <cell r="B430" t="str">
            <v>KHI/HO/D/MO/PC COMP/C/82384/64/01/2024</v>
          </cell>
          <cell r="D430" t="str">
            <v>REN</v>
          </cell>
        </row>
        <row r="431">
          <cell r="B431" t="str">
            <v>KHI/HO/D/MO/PC COMP/C/82384/65/01/2024</v>
          </cell>
          <cell r="D431" t="str">
            <v>REN</v>
          </cell>
        </row>
        <row r="432">
          <cell r="B432" t="str">
            <v>KHI/HO/D/MO/PC COMP/C/82384/66/01/2024</v>
          </cell>
          <cell r="D432" t="str">
            <v>REN</v>
          </cell>
        </row>
        <row r="433">
          <cell r="B433" t="str">
            <v>KHI/HO/D/MO/PC COMP/C/82384/67/01/2024</v>
          </cell>
          <cell r="D433" t="str">
            <v>REN</v>
          </cell>
        </row>
        <row r="434">
          <cell r="B434" t="str">
            <v>KHI/HO/D/MO/PC COMP/C/82384/68/01/2024</v>
          </cell>
          <cell r="D434" t="str">
            <v>REN</v>
          </cell>
        </row>
        <row r="435">
          <cell r="B435" t="str">
            <v>KHI/HO/D/MO/PC COMP/C/82384/69/01/2024</v>
          </cell>
          <cell r="D435" t="str">
            <v>REN</v>
          </cell>
        </row>
        <row r="436">
          <cell r="B436" t="str">
            <v>KHI/HO/D/MO/PC COMP/C/82384/70/01/2024</v>
          </cell>
          <cell r="D436" t="str">
            <v>REN</v>
          </cell>
        </row>
        <row r="437">
          <cell r="B437" t="str">
            <v>KHI/HO/D/MO/PC COMP/C/82384/71/01/2024</v>
          </cell>
          <cell r="D437" t="str">
            <v>REN</v>
          </cell>
        </row>
        <row r="438">
          <cell r="B438" t="str">
            <v>KHI/HO/D/MO/PC COMP/C/82384/72/01/2024</v>
          </cell>
          <cell r="D438" t="str">
            <v>REN</v>
          </cell>
        </row>
        <row r="439">
          <cell r="B439" t="str">
            <v>KHI/HO/D/MO/PC COMP/C/82384/73/01/2024</v>
          </cell>
          <cell r="D439" t="str">
            <v>REN</v>
          </cell>
        </row>
        <row r="440">
          <cell r="B440" t="str">
            <v>KHI/HO/D/MO/PC COMP/C/82384/74/01/2024</v>
          </cell>
          <cell r="D440" t="str">
            <v>REN</v>
          </cell>
        </row>
        <row r="441">
          <cell r="B441" t="str">
            <v>KHI/HO/D/MO/PC COMP/C/80963/24/01/2024</v>
          </cell>
          <cell r="D441" t="str">
            <v>FRE</v>
          </cell>
        </row>
        <row r="442">
          <cell r="B442" t="str">
            <v>KHI/HO/D/MO/PC COMP/C/82384/75/01/2024</v>
          </cell>
          <cell r="D442" t="str">
            <v>REN</v>
          </cell>
        </row>
        <row r="443">
          <cell r="B443" t="str">
            <v>KHI/HO/D/MO/PC COMP/C/82384/76/01/2024</v>
          </cell>
          <cell r="D443" t="str">
            <v>REN</v>
          </cell>
        </row>
        <row r="444">
          <cell r="B444" t="str">
            <v>KHI/HO/D/MO/PC COMP/C/80963/25/01/2024</v>
          </cell>
          <cell r="D444" t="str">
            <v>FRE</v>
          </cell>
        </row>
        <row r="445">
          <cell r="B445" t="str">
            <v>KHI/HO/D/MO/PC COMP/C/80963/26/01/2024</v>
          </cell>
          <cell r="D445" t="str">
            <v>FRE</v>
          </cell>
        </row>
        <row r="446">
          <cell r="B446" t="str">
            <v>KHI/HO/D/MO/PC COMP/C/80963/27/01/2024</v>
          </cell>
          <cell r="D446" t="str">
            <v>FRE</v>
          </cell>
        </row>
        <row r="447">
          <cell r="B447" t="str">
            <v>KHI/HO/D/MO/PC COMP/C/80963/28/01/2024</v>
          </cell>
          <cell r="D447" t="str">
            <v>FRE</v>
          </cell>
        </row>
        <row r="448">
          <cell r="B448" t="str">
            <v>KHI/HO/D/MO/PC COMP/C/80963/29/01/2024</v>
          </cell>
          <cell r="D448" t="str">
            <v>FRE</v>
          </cell>
        </row>
        <row r="449">
          <cell r="B449" t="str">
            <v>KHI/HO/D/MO/PC COMP/C/80963/30/01/2024</v>
          </cell>
          <cell r="D449" t="str">
            <v>FRE</v>
          </cell>
        </row>
        <row r="450">
          <cell r="B450" t="str">
            <v>KHI/HO/D/MO/PC COMP/C/80963/31/01/2024</v>
          </cell>
          <cell r="D450" t="str">
            <v>FRE</v>
          </cell>
        </row>
        <row r="451">
          <cell r="B451" t="str">
            <v>KHI/HO/D/MO/PC COMP/C/80963/32/01/2024</v>
          </cell>
          <cell r="D451" t="str">
            <v>FRE</v>
          </cell>
        </row>
        <row r="452">
          <cell r="B452" t="str">
            <v>KHI/HO/D/MO/PC COMP/C/80963/33/01/2024</v>
          </cell>
          <cell r="D452" t="str">
            <v>FRE</v>
          </cell>
        </row>
        <row r="453">
          <cell r="B453" t="str">
            <v>KHI/HO/D/MO/PC COMP/C/80963/34/01/2024</v>
          </cell>
          <cell r="D453" t="str">
            <v>FRE</v>
          </cell>
        </row>
        <row r="454">
          <cell r="B454" t="str">
            <v>KHI/HO/D/MO/PC COMP/C/80963/35/01/2024</v>
          </cell>
          <cell r="D454" t="str">
            <v>FRE</v>
          </cell>
        </row>
        <row r="455">
          <cell r="B455" t="str">
            <v>KHI/HO/D/MO/PC COMP/C/80963/36/01/2024</v>
          </cell>
          <cell r="D455" t="str">
            <v>FRE</v>
          </cell>
        </row>
        <row r="456">
          <cell r="B456" t="str">
            <v>KHI/HO/D/MO/PC COMP/C/80963/37/01/2024</v>
          </cell>
          <cell r="D456" t="str">
            <v>FRE</v>
          </cell>
        </row>
        <row r="457">
          <cell r="B457" t="str">
            <v>KHI/HO/D/MO/PC COMP/C/80963/38/01/2024</v>
          </cell>
          <cell r="D457" t="str">
            <v>FRE</v>
          </cell>
        </row>
        <row r="458">
          <cell r="B458" t="str">
            <v>KHI/HO/D/MO/PC COMP/C/80963/39/01/2024</v>
          </cell>
          <cell r="D458" t="str">
            <v>FRE</v>
          </cell>
        </row>
        <row r="459">
          <cell r="B459" t="str">
            <v>KHI/HO/D/MO/PC COMP/C/80963/40/01/2024</v>
          </cell>
          <cell r="D459" t="str">
            <v>FRE</v>
          </cell>
        </row>
        <row r="460">
          <cell r="B460" t="str">
            <v>KHI/HO/D/MO/PC COMP/C/80963/41/01/2024</v>
          </cell>
          <cell r="D460" t="str">
            <v>FRE</v>
          </cell>
        </row>
        <row r="461">
          <cell r="B461" t="str">
            <v>KHI/HO/D/MO/PC COMP/C/80963/42/01/2024</v>
          </cell>
          <cell r="D461" t="str">
            <v>FRE</v>
          </cell>
        </row>
        <row r="462">
          <cell r="B462" t="str">
            <v>KHI/HO/D/MO/PC COMP/C/80963/43/01/2024</v>
          </cell>
          <cell r="D462" t="str">
            <v>FRE</v>
          </cell>
        </row>
        <row r="463">
          <cell r="B463" t="str">
            <v>KHI/HO/D/MO/PC COMP/C/80963/44/01/2024</v>
          </cell>
          <cell r="D463" t="str">
            <v>FRE</v>
          </cell>
        </row>
        <row r="464">
          <cell r="B464" t="str">
            <v>KHI/HO/D/MO/PC COMP/C/80963/45/01/2024</v>
          </cell>
          <cell r="D464" t="str">
            <v>FRE</v>
          </cell>
        </row>
        <row r="465">
          <cell r="B465" t="str">
            <v>KHI/HO/D/MO/PC COMP/C/80963/46/01/2024</v>
          </cell>
          <cell r="D465" t="str">
            <v>FRE</v>
          </cell>
        </row>
        <row r="466">
          <cell r="B466" t="str">
            <v>KHI/HO/D/MO/PC COMP/C/80963/47/01/2024</v>
          </cell>
          <cell r="D466" t="str">
            <v>FRE</v>
          </cell>
        </row>
        <row r="467">
          <cell r="B467" t="str">
            <v>KHI/HO/D/MO/PC COMP/C/80963/48/01/2024</v>
          </cell>
          <cell r="D467" t="str">
            <v>FRE</v>
          </cell>
        </row>
        <row r="468">
          <cell r="B468" t="str">
            <v>KHI/HO/D/MO/PC COMP/C/80963/49/01/2024</v>
          </cell>
          <cell r="D468" t="str">
            <v>FRE</v>
          </cell>
        </row>
        <row r="469">
          <cell r="B469" t="str">
            <v>KHI/HO/D/MO/PC COMP/C/80963/50/01/2024</v>
          </cell>
          <cell r="D469" t="str">
            <v>FRE</v>
          </cell>
        </row>
        <row r="470">
          <cell r="B470" t="str">
            <v>KHI/HO/D/MO/PC COMP/C/80963/51/01/2024</v>
          </cell>
          <cell r="D470" t="str">
            <v>FRE</v>
          </cell>
        </row>
        <row r="471">
          <cell r="B471" t="str">
            <v>KHI/HO/D/MO/PC COMP/C/80963/52/01/2024</v>
          </cell>
          <cell r="D471" t="str">
            <v>FRE</v>
          </cell>
        </row>
        <row r="472">
          <cell r="B472" t="str">
            <v>KHI/HO/D/MO/PC COMP/C/80963/53/01/2024</v>
          </cell>
          <cell r="D472" t="str">
            <v>FRE</v>
          </cell>
        </row>
        <row r="473">
          <cell r="B473" t="str">
            <v>KHI/HO/D/MO/PC COMP/C/80963/54/01/2024</v>
          </cell>
          <cell r="D473" t="str">
            <v>FRE</v>
          </cell>
        </row>
        <row r="474">
          <cell r="B474" t="str">
            <v>KHI/HO/D/MO/PC COMP/C/80963/55/01/2024</v>
          </cell>
          <cell r="D474" t="str">
            <v>FRE</v>
          </cell>
        </row>
        <row r="475">
          <cell r="B475" t="str">
            <v>KHI/HO/D/MO/PC COMP/C/80963/56/01/2024</v>
          </cell>
          <cell r="D475" t="str">
            <v>FRE</v>
          </cell>
        </row>
        <row r="476">
          <cell r="B476" t="str">
            <v>KHI/HO/D/MO/PC COMP/C/83022/1/02/2024</v>
          </cell>
          <cell r="D476" t="str">
            <v>FRE</v>
          </cell>
        </row>
        <row r="477">
          <cell r="B477" t="str">
            <v>KHI/HO/D/MO/PC COMP/C/83022/2/02/2024</v>
          </cell>
          <cell r="D477" t="str">
            <v>FRE</v>
          </cell>
        </row>
        <row r="478">
          <cell r="B478" t="str">
            <v>KHI/HO/D/MO/PC COMP/C/83022/3/02/2024</v>
          </cell>
          <cell r="D478" t="str">
            <v>FRE</v>
          </cell>
        </row>
        <row r="479">
          <cell r="B479" t="str">
            <v>KHI/HO/D/MO/PC COMP/C/83022/4/02/2024</v>
          </cell>
          <cell r="D479" t="str">
            <v>FRE</v>
          </cell>
        </row>
        <row r="480">
          <cell r="B480" t="str">
            <v>KHI/HO/D/MO/PC COMP/C/83022/5/02/2024</v>
          </cell>
          <cell r="D480" t="str">
            <v>FRE</v>
          </cell>
        </row>
        <row r="481">
          <cell r="B481" t="str">
            <v>KHI/HO/D/MO/PC COMP/C/83022/6/02/2024</v>
          </cell>
          <cell r="D481" t="str">
            <v>FRE</v>
          </cell>
        </row>
        <row r="482">
          <cell r="B482" t="str">
            <v>KHI/HO/D/MO/PC COMP/C/83022/7/02/2024</v>
          </cell>
          <cell r="D482" t="str">
            <v>FRE</v>
          </cell>
        </row>
        <row r="483">
          <cell r="B483" t="str">
            <v>KHI/HO/D/MO/PC COMP/C/83400/1/02/2024</v>
          </cell>
          <cell r="D483" t="str">
            <v>REN</v>
          </cell>
        </row>
        <row r="484">
          <cell r="B484" t="str">
            <v>KHI/HO/D/MO/PC COMP/C/83400/2/02/2024</v>
          </cell>
          <cell r="D484" t="str">
            <v>REN</v>
          </cell>
        </row>
        <row r="485">
          <cell r="B485" t="str">
            <v>KHI/HO/D/MO/PC COMP/C/83022/8/02/2024</v>
          </cell>
          <cell r="D485" t="str">
            <v>FRE</v>
          </cell>
        </row>
        <row r="486">
          <cell r="B486" t="str">
            <v>KHI/HO/D/MO/PC COMP/C/83022/9/02/2024</v>
          </cell>
          <cell r="D486" t="str">
            <v>FRE</v>
          </cell>
        </row>
        <row r="487">
          <cell r="B487" t="str">
            <v>KHI/HO/D/MO/PC COMP/C/83022/10/02/2024</v>
          </cell>
          <cell r="D487" t="str">
            <v>FRE</v>
          </cell>
        </row>
        <row r="488">
          <cell r="B488" t="str">
            <v>KHI/HO/D/MO/PC COMP/C/83022/11/02/2024</v>
          </cell>
          <cell r="D488" t="str">
            <v>FRE</v>
          </cell>
        </row>
        <row r="489">
          <cell r="B489" t="str">
            <v>KHI/HO/D/MO/PC COMP/C/83022/12/02/2024</v>
          </cell>
          <cell r="D489" t="str">
            <v>FRE</v>
          </cell>
        </row>
        <row r="490">
          <cell r="B490" t="str">
            <v>KHI/HO/D/MO/PC COMP/C/83022/13/02/2024</v>
          </cell>
          <cell r="D490" t="str">
            <v>FRE</v>
          </cell>
        </row>
        <row r="491">
          <cell r="B491" t="str">
            <v>KHI/HO/D/MO/PC COMP/C/83022/14/02/2024</v>
          </cell>
          <cell r="D491" t="str">
            <v>FRE</v>
          </cell>
        </row>
        <row r="492">
          <cell r="B492" t="str">
            <v>KHI/HO/D/MO/PC COMP/C/83022/15/02/2024</v>
          </cell>
          <cell r="D492" t="str">
            <v>REN</v>
          </cell>
        </row>
        <row r="493">
          <cell r="B493" t="str">
            <v>KHI/HO/D/MO/PC COMP/C/83022/16/02/2024</v>
          </cell>
          <cell r="D493" t="str">
            <v>FRE</v>
          </cell>
        </row>
        <row r="494">
          <cell r="B494" t="str">
            <v>KHI/HO/D/MO/CV/C/83820/1/02/2024</v>
          </cell>
          <cell r="D494" t="str">
            <v>REN</v>
          </cell>
        </row>
        <row r="495">
          <cell r="B495" t="str">
            <v>KHI/HO/D/MO/CV/C/83820/2/02/2024</v>
          </cell>
          <cell r="D495" t="str">
            <v>REN</v>
          </cell>
        </row>
        <row r="496">
          <cell r="B496" t="str">
            <v>KHI/HO/D/MO/CV/C/83820/3/02/2024</v>
          </cell>
          <cell r="D496" t="str">
            <v>REN</v>
          </cell>
        </row>
        <row r="497">
          <cell r="B497" t="str">
            <v>KHI/HO/D/MO/CV/C/83820/4/02/2024</v>
          </cell>
          <cell r="D497" t="str">
            <v>REN</v>
          </cell>
        </row>
        <row r="498">
          <cell r="B498" t="str">
            <v>KHI/HO/D/MO/CV/C/83818/1/02/2024</v>
          </cell>
          <cell r="D498" t="str">
            <v>REN</v>
          </cell>
        </row>
        <row r="499">
          <cell r="B499" t="str">
            <v>KHI/HO/D/MO/CV/C/83818/2/02/2024</v>
          </cell>
          <cell r="D499" t="str">
            <v>REN</v>
          </cell>
        </row>
        <row r="500">
          <cell r="B500" t="str">
            <v>KHI/HO/D/MO/CV/C/83818/3/02/2024</v>
          </cell>
          <cell r="D500" t="str">
            <v>REN</v>
          </cell>
        </row>
        <row r="501">
          <cell r="B501" t="str">
            <v>KHI/HO/D/MO/CV/C/83818/4/02/2024</v>
          </cell>
          <cell r="D501" t="str">
            <v>REN</v>
          </cell>
        </row>
        <row r="502">
          <cell r="B502" t="str">
            <v>KHI/HO/D/MO/CV/C/83818/5/02/2024</v>
          </cell>
          <cell r="D502" t="str">
            <v>REN</v>
          </cell>
        </row>
        <row r="503">
          <cell r="B503" t="str">
            <v>KHI/HO/D/MO/CV/C/83818/6/02/2024</v>
          </cell>
          <cell r="D503" t="str">
            <v>REN</v>
          </cell>
        </row>
        <row r="504">
          <cell r="B504" t="str">
            <v>KHI/HO/D/MO/CV/C/83818/7/02/2024</v>
          </cell>
          <cell r="D504" t="str">
            <v>REN</v>
          </cell>
        </row>
        <row r="505">
          <cell r="B505" t="str">
            <v>KHI/HO/D/MO/CV/C/83818/8/02/2024</v>
          </cell>
          <cell r="D505" t="str">
            <v>REN</v>
          </cell>
        </row>
        <row r="506">
          <cell r="B506" t="str">
            <v>KHI/HO/D/MO/PC COMP/C/83022/17/02/2024</v>
          </cell>
          <cell r="D506" t="str">
            <v>FRE</v>
          </cell>
        </row>
        <row r="507">
          <cell r="B507" t="str">
            <v>KHI/HO/D/MO/PC COMP/C/83022/18/02/2024</v>
          </cell>
          <cell r="D507" t="str">
            <v>FRE</v>
          </cell>
        </row>
        <row r="508">
          <cell r="B508" t="str">
            <v>KHI/HO/D/MO/PC COMP/C/83022/19/02/2024</v>
          </cell>
          <cell r="D508" t="str">
            <v>FRE</v>
          </cell>
        </row>
        <row r="509">
          <cell r="B509" t="str">
            <v>KHI/HO/D/MO/PC COMP/C/83022/20/02/2024</v>
          </cell>
          <cell r="D509" t="str">
            <v>FRE</v>
          </cell>
        </row>
        <row r="510">
          <cell r="B510" t="str">
            <v>KHI/HO/D/MO/PC COMP/C/83022/21/02/2024</v>
          </cell>
          <cell r="D510" t="str">
            <v>FRE</v>
          </cell>
        </row>
        <row r="511">
          <cell r="B511" t="str">
            <v>KHI/HO/D/MO/PC COMP/C/83022/22/02/2024</v>
          </cell>
          <cell r="D511" t="str">
            <v>FRE</v>
          </cell>
        </row>
        <row r="512">
          <cell r="B512" t="str">
            <v>KHI/HO/D/MO/PC COMP/C/83022/23/02/2024</v>
          </cell>
          <cell r="D512" t="str">
            <v>FRE</v>
          </cell>
        </row>
        <row r="513">
          <cell r="B513" t="str">
            <v>KHI/HO/D/MO/PC COMP/C/83022/24/02/2024</v>
          </cell>
          <cell r="D513" t="str">
            <v>FRE</v>
          </cell>
        </row>
        <row r="514">
          <cell r="B514" t="str">
            <v>KHI/HO/D/MO/PC COMP/C/83022/25/02/2024</v>
          </cell>
          <cell r="D514" t="str">
            <v>FRE</v>
          </cell>
        </row>
        <row r="515">
          <cell r="B515" t="str">
            <v>KHI/HO/D/MO/PC COMP/C/83824/1/02/2024</v>
          </cell>
          <cell r="D515" t="str">
            <v>REN</v>
          </cell>
        </row>
        <row r="516">
          <cell r="B516" t="str">
            <v>KHI/HO/D/MO/PC COMP/C/83824/2/02/2024</v>
          </cell>
          <cell r="D516" t="str">
            <v>REN</v>
          </cell>
        </row>
        <row r="517">
          <cell r="B517" t="str">
            <v>KHI/HO/D/MO/PC COMP/C/83824/3/02/2024</v>
          </cell>
          <cell r="D517" t="str">
            <v>REN</v>
          </cell>
        </row>
        <row r="518">
          <cell r="B518" t="str">
            <v>KHI/HO/D/MO/PC COMP/C/83824/4/02/2024</v>
          </cell>
          <cell r="D518" t="str">
            <v>REN</v>
          </cell>
        </row>
        <row r="519">
          <cell r="B519" t="str">
            <v>KHI/HO/D/MO/PC COMP/C/83824/5/02/2024</v>
          </cell>
          <cell r="D519" t="str">
            <v>REN</v>
          </cell>
        </row>
        <row r="520">
          <cell r="B520" t="str">
            <v>KHI/HO/D/MO/PC COMP/C/83824/6/02/2024</v>
          </cell>
          <cell r="D520" t="str">
            <v>REN</v>
          </cell>
        </row>
        <row r="521">
          <cell r="B521" t="str">
            <v>KHI/HO/D/MO/PC COMP/C/83824/7/02/2024</v>
          </cell>
          <cell r="D521" t="str">
            <v>REN</v>
          </cell>
        </row>
        <row r="522">
          <cell r="B522" t="str">
            <v>KHI/HO/D/MO/PC COMP/C/83824/8/02/2024</v>
          </cell>
          <cell r="D522" t="str">
            <v>REN</v>
          </cell>
        </row>
        <row r="523">
          <cell r="B523" t="str">
            <v>KHI/HO/D/MO/PC COMP/C/83824/9/02/2024</v>
          </cell>
          <cell r="D523" t="str">
            <v>REN</v>
          </cell>
        </row>
        <row r="524">
          <cell r="B524" t="str">
            <v>KHI/HO/D/MO/PC COMP/C/83824/10/02/2024</v>
          </cell>
          <cell r="D524" t="str">
            <v>REN</v>
          </cell>
        </row>
        <row r="525">
          <cell r="B525" t="str">
            <v>KHI/HO/D/MO/PC COMP/C/83824/11/02/2024</v>
          </cell>
          <cell r="D525" t="str">
            <v>REN</v>
          </cell>
        </row>
        <row r="526">
          <cell r="B526" t="str">
            <v>KHI/HO/D/MO/PC COMP/C/83824/12/02/2024</v>
          </cell>
          <cell r="D526" t="str">
            <v>REN</v>
          </cell>
        </row>
        <row r="527">
          <cell r="B527" t="str">
            <v>KHI/HO/D/MO/PC COMP/C/83824/13/02/2024</v>
          </cell>
          <cell r="D527" t="str">
            <v>REN</v>
          </cell>
        </row>
        <row r="528">
          <cell r="B528" t="str">
            <v>KHI/HO/D/MO/PC COMP/C/83824/14/02/2024</v>
          </cell>
          <cell r="D528" t="str">
            <v>REN</v>
          </cell>
        </row>
        <row r="529">
          <cell r="B529" t="str">
            <v>KHI/HO/D/MO/PC COMP/C/83824/15/02/2024</v>
          </cell>
          <cell r="D529" t="str">
            <v>REN</v>
          </cell>
        </row>
        <row r="530">
          <cell r="B530" t="str">
            <v>KHI/HO/D/MO/PC COMP/C/83824/16/02/2024</v>
          </cell>
          <cell r="D530" t="str">
            <v>REN</v>
          </cell>
        </row>
        <row r="531">
          <cell r="B531" t="str">
            <v>KHI/HO/D/MO/PC COMP/C/83824/17/02/2024</v>
          </cell>
          <cell r="D531" t="str">
            <v>REN</v>
          </cell>
        </row>
        <row r="532">
          <cell r="B532" t="str">
            <v>KHI/HO/D/MO/PC COMP/C/83824/18/02/2024</v>
          </cell>
          <cell r="D532" t="str">
            <v>REN</v>
          </cell>
        </row>
        <row r="533">
          <cell r="B533" t="str">
            <v>KHI/HO/D/MO/PC COMP/C/83824/19/02/2024</v>
          </cell>
          <cell r="D533" t="str">
            <v>REN</v>
          </cell>
        </row>
        <row r="534">
          <cell r="B534" t="str">
            <v>KHI/HO/D/MO/PC COMP/C/83824/20/02/2024</v>
          </cell>
          <cell r="D534" t="str">
            <v>REN</v>
          </cell>
        </row>
        <row r="535">
          <cell r="B535" t="str">
            <v>KHI/HO/D/MO/PC COMP/C/83824/21/02/2024</v>
          </cell>
          <cell r="D535" t="str">
            <v>REN</v>
          </cell>
        </row>
        <row r="536">
          <cell r="B536" t="str">
            <v>KHI/HO/D/MO/PC COMP/C/83824/22/02/2024</v>
          </cell>
          <cell r="D536" t="str">
            <v>REN</v>
          </cell>
        </row>
        <row r="537">
          <cell r="B537" t="str">
            <v>KHI/HO/D/MO/PC COMP/C/83824/23/02/2024</v>
          </cell>
          <cell r="D537" t="str">
            <v>REN</v>
          </cell>
        </row>
        <row r="538">
          <cell r="B538" t="str">
            <v>KHI/HO/D/MO/PC COMP/C/83824/24/02/2024</v>
          </cell>
          <cell r="D538" t="str">
            <v>REN</v>
          </cell>
        </row>
        <row r="539">
          <cell r="B539" t="str">
            <v>KHI/HO/D/MO/PC COMP/C/83824/25/02/2024</v>
          </cell>
          <cell r="D539" t="str">
            <v>REN</v>
          </cell>
        </row>
        <row r="540">
          <cell r="B540" t="str">
            <v>KHI/HO/D/MO/PC COMP/C/83824/26/02/2024</v>
          </cell>
          <cell r="D540" t="str">
            <v>REN</v>
          </cell>
        </row>
        <row r="541">
          <cell r="B541" t="str">
            <v>KHI/HO/D/MO/PC COMP/C/83824/27/02/2024</v>
          </cell>
          <cell r="D541" t="str">
            <v>REN</v>
          </cell>
        </row>
        <row r="542">
          <cell r="B542" t="str">
            <v>KHI/HO/D/MO/PC COMP/C/83824/28/02/2024</v>
          </cell>
          <cell r="D542" t="str">
            <v>REN</v>
          </cell>
        </row>
        <row r="543">
          <cell r="B543" t="str">
            <v>KHI/HO/D/MO/PC COMP/C/83824/29/02/2024</v>
          </cell>
          <cell r="D543" t="str">
            <v>REN</v>
          </cell>
        </row>
        <row r="544">
          <cell r="B544" t="str">
            <v>KHI/HO/D/MO/PC COMP/C/83824/30/02/2024</v>
          </cell>
          <cell r="D544" t="str">
            <v>REN</v>
          </cell>
        </row>
        <row r="545">
          <cell r="B545" t="str">
            <v>KHI/HO/D/MO/PC COMP/C/83824/31/02/2024</v>
          </cell>
          <cell r="D545" t="str">
            <v>REN</v>
          </cell>
        </row>
        <row r="546">
          <cell r="B546" t="str">
            <v>KHI/HO/D/MO/PC COMP/C/83824/32/02/2024</v>
          </cell>
          <cell r="D546" t="str">
            <v>REN</v>
          </cell>
        </row>
        <row r="547">
          <cell r="B547" t="str">
            <v>KHI/HO/D/MO/PC COMP/C/83824/33/02/2024</v>
          </cell>
          <cell r="D547" t="str">
            <v>REN</v>
          </cell>
        </row>
        <row r="548">
          <cell r="B548" t="str">
            <v>KHI/HO/D/MO/PC COMP/C/83824/34/02/2024</v>
          </cell>
          <cell r="D548" t="str">
            <v>REN</v>
          </cell>
        </row>
        <row r="549">
          <cell r="B549" t="str">
            <v>KHI/HO/D/MO/PC COMP/C/83824/35/02/2024</v>
          </cell>
          <cell r="D549" t="str">
            <v>REN</v>
          </cell>
        </row>
        <row r="550">
          <cell r="B550" t="str">
            <v>KHI/HO/D/MO/PC COMP/C/83824/36/02/2024</v>
          </cell>
          <cell r="D550" t="str">
            <v>REN</v>
          </cell>
        </row>
        <row r="551">
          <cell r="B551" t="str">
            <v>KHI/HO/D/MO/PC COMP/C/83824/37/02/2024</v>
          </cell>
          <cell r="D551" t="str">
            <v>REN</v>
          </cell>
        </row>
        <row r="552">
          <cell r="B552" t="str">
            <v>KHI/HO/D/MO/PC COMP/C/83824/38/02/2024</v>
          </cell>
          <cell r="D552" t="str">
            <v>REN</v>
          </cell>
        </row>
        <row r="553">
          <cell r="B553" t="str">
            <v>KHI/HO/D/MO/PC COMP/C/83022/26/02/2024</v>
          </cell>
          <cell r="D553" t="str">
            <v>FRE</v>
          </cell>
        </row>
        <row r="554">
          <cell r="B554" t="str">
            <v>KHI/HO/D/MO/PC COMP/C/83022/27/02/2024</v>
          </cell>
          <cell r="D554" t="str">
            <v>FRE</v>
          </cell>
        </row>
        <row r="555">
          <cell r="B555" t="str">
            <v>KHI/HO/D/MO/PC COMP/C/83022/28/02/2024</v>
          </cell>
          <cell r="D555" t="str">
            <v>FRE</v>
          </cell>
        </row>
        <row r="556">
          <cell r="B556" t="str">
            <v>KHI/HO/D/MO/PC COMP/C/83022/29/02/2024</v>
          </cell>
          <cell r="D556" t="str">
            <v>FRE</v>
          </cell>
        </row>
        <row r="557">
          <cell r="B557" t="str">
            <v>KHI/HO/D/MO/PC COMP/C/83022/30/02/2024</v>
          </cell>
          <cell r="D557" t="str">
            <v>FRE</v>
          </cell>
        </row>
        <row r="558">
          <cell r="B558" t="str">
            <v>KHI/HO/D/MO/PC COMP/C/83022/31/02/2024</v>
          </cell>
          <cell r="D558" t="str">
            <v>FRE</v>
          </cell>
        </row>
        <row r="559">
          <cell r="B559" t="str">
            <v>KHI/HO/D/MO/PC COMP/C/83022/32/02/2024</v>
          </cell>
          <cell r="D559" t="str">
            <v>FRE</v>
          </cell>
        </row>
        <row r="560">
          <cell r="B560" t="str">
            <v>KHI/HO/D/MO/PC COMP/C/83022/33/02/2024</v>
          </cell>
          <cell r="D560" t="str">
            <v>FRE</v>
          </cell>
        </row>
        <row r="561">
          <cell r="B561" t="str">
            <v>KHI/HO/D/MO/PC COMP/C/83022/34/02/2024</v>
          </cell>
          <cell r="D561" t="str">
            <v>FRE</v>
          </cell>
        </row>
        <row r="562">
          <cell r="B562" t="str">
            <v>KHI/HO/D/MO/PC COMP/C/83022/35/02/2024</v>
          </cell>
          <cell r="D562" t="str">
            <v>FRE</v>
          </cell>
        </row>
        <row r="563">
          <cell r="B563" t="str">
            <v>KHI/HO/D/MO/PC COMP/C/83022/36/02/2024</v>
          </cell>
          <cell r="D563" t="str">
            <v>FRE</v>
          </cell>
        </row>
        <row r="564">
          <cell r="B564" t="str">
            <v>KHI/HO/D/MO/PC COMP/C/84285/1/02/2024</v>
          </cell>
          <cell r="D564" t="str">
            <v>REN</v>
          </cell>
        </row>
        <row r="565">
          <cell r="B565" t="str">
            <v>KHI/HO/D/MO/PC COMP/C/84285/2/02/2024</v>
          </cell>
          <cell r="D565" t="str">
            <v>REN</v>
          </cell>
        </row>
        <row r="566">
          <cell r="B566" t="str">
            <v>KHI/HO/D/MO/PC COMP/C/84285/3/02/2024</v>
          </cell>
          <cell r="D566" t="str">
            <v>REN</v>
          </cell>
        </row>
        <row r="567">
          <cell r="B567" t="str">
            <v>KHI/HO/D/MO/PC COMP/C/84285/4/02/2024</v>
          </cell>
          <cell r="D567" t="str">
            <v>REN</v>
          </cell>
        </row>
        <row r="568">
          <cell r="B568" t="str">
            <v>KHI/HO/D/MO/PC COMP/C/84285/5/02/2024</v>
          </cell>
          <cell r="D568" t="str">
            <v>REN</v>
          </cell>
        </row>
        <row r="569">
          <cell r="B569" t="str">
            <v>KHI/HO/D/MO/PC COMP/C/84285/6/02/2024</v>
          </cell>
          <cell r="D569" t="str">
            <v>REN</v>
          </cell>
        </row>
        <row r="570">
          <cell r="B570" t="str">
            <v>KHI/HO/D/MO/PC COMP/C/84285/7/02/2024</v>
          </cell>
          <cell r="D570" t="str">
            <v>REN</v>
          </cell>
        </row>
        <row r="571">
          <cell r="B571" t="str">
            <v>KHI/HO/D/MO/PC COMP/C/84285/8/02/2024</v>
          </cell>
          <cell r="D571" t="str">
            <v>REN</v>
          </cell>
        </row>
        <row r="572">
          <cell r="B572" t="str">
            <v>KHI/HO/D/MO/PC COMP/C/84285/9/02/2024</v>
          </cell>
          <cell r="D572" t="str">
            <v>REN</v>
          </cell>
        </row>
        <row r="573">
          <cell r="B573" t="str">
            <v>KHI/HO/D/MO/PC COMP/C/84285/10/02/2024</v>
          </cell>
          <cell r="D573" t="str">
            <v>REN</v>
          </cell>
        </row>
        <row r="574">
          <cell r="B574" t="str">
            <v>KHI/HO/D/MO/PC COMP/C/84285/11/02/2024</v>
          </cell>
          <cell r="D574" t="str">
            <v>REN</v>
          </cell>
        </row>
        <row r="575">
          <cell r="B575" t="str">
            <v>KHI/HO/D/MO/PC COMP/C/84285/12/02/2024</v>
          </cell>
          <cell r="D575" t="str">
            <v>REN</v>
          </cell>
        </row>
        <row r="576">
          <cell r="B576" t="str">
            <v>KHI/HO/D/MO/PC COMP/C/84285/13/02/2024</v>
          </cell>
          <cell r="D576" t="str">
            <v>REN</v>
          </cell>
        </row>
        <row r="577">
          <cell r="B577" t="str">
            <v>KHI/HO/D/MO/PC COMP/C/84285/14/02/2024</v>
          </cell>
          <cell r="D577" t="str">
            <v>REN</v>
          </cell>
        </row>
        <row r="578">
          <cell r="B578" t="str">
            <v>KHI/HO/D/MO/PC COMP/C/84285/15/02/2024</v>
          </cell>
          <cell r="D578" t="str">
            <v>REN</v>
          </cell>
        </row>
        <row r="579">
          <cell r="B579" t="str">
            <v>KHI/HO/D/MO/PC COMP/C/84285/16/02/2024</v>
          </cell>
          <cell r="D579" t="str">
            <v>REN</v>
          </cell>
        </row>
        <row r="580">
          <cell r="B580" t="str">
            <v>KHI/HO/D/MO/PC COMP/C/84285/17/02/2024</v>
          </cell>
          <cell r="D580" t="str">
            <v>REN</v>
          </cell>
        </row>
        <row r="581">
          <cell r="B581" t="str">
            <v>KHI/HO/D/MO/PC COMP/C/84285/18/02/2024</v>
          </cell>
          <cell r="D581" t="str">
            <v>REN</v>
          </cell>
        </row>
        <row r="582">
          <cell r="B582" t="str">
            <v>KHI/HO/D/MO/PC COMP/C/84285/19/02/2024</v>
          </cell>
          <cell r="D582" t="str">
            <v>REN</v>
          </cell>
        </row>
        <row r="583">
          <cell r="B583" t="str">
            <v>KHI/HO/D/MO/PC COMP/C/84285/20/02/2024</v>
          </cell>
          <cell r="D583" t="str">
            <v>REN</v>
          </cell>
        </row>
        <row r="584">
          <cell r="B584" t="str">
            <v>KHI/HO/D/MO/PC COMP/C/84285/21/02/2024</v>
          </cell>
          <cell r="D584" t="str">
            <v>REN</v>
          </cell>
        </row>
        <row r="585">
          <cell r="B585" t="str">
            <v>KHI/HO/D/MO/PC COMP/C/84285/22/02/2024</v>
          </cell>
          <cell r="D585" t="str">
            <v>REN</v>
          </cell>
        </row>
        <row r="586">
          <cell r="B586" t="str">
            <v>KHI/HO/D/MO/PC COMP/C/84285/23/02/2024</v>
          </cell>
          <cell r="D586" t="str">
            <v>REN</v>
          </cell>
        </row>
        <row r="587">
          <cell r="B587" t="str">
            <v>KHI/HO/D/MO/PC COMP/C/84285/24/02/2024</v>
          </cell>
          <cell r="D587" t="str">
            <v>REN</v>
          </cell>
        </row>
        <row r="588">
          <cell r="B588" t="str">
            <v>KHI/HO/D/MO/PC COMP/C/84285/25/02/2024</v>
          </cell>
          <cell r="D588" t="str">
            <v>REN</v>
          </cell>
        </row>
        <row r="589">
          <cell r="B589" t="str">
            <v>KHI/HO/D/MO/PC COMP/C/84285/26/02/2024</v>
          </cell>
          <cell r="D589" t="str">
            <v>REN</v>
          </cell>
        </row>
        <row r="590">
          <cell r="B590" t="str">
            <v>KHI/HO/D/MO/PC COMP/C/84285/27/02/2024</v>
          </cell>
          <cell r="D590" t="str">
            <v>REN</v>
          </cell>
        </row>
        <row r="591">
          <cell r="B591" t="str">
            <v>KHI/HO/D/MO/PC COMP/C/84285/28/02/2024</v>
          </cell>
          <cell r="D591" t="str">
            <v>REN</v>
          </cell>
        </row>
        <row r="592">
          <cell r="B592" t="str">
            <v>KHI/HO/D/MO/PC COMP/C/84285/29/02/2024</v>
          </cell>
          <cell r="D592" t="str">
            <v>REN</v>
          </cell>
        </row>
        <row r="593">
          <cell r="B593" t="str">
            <v>KHI/HO/D/MO/PC COMP/C/84285/30/02/2024</v>
          </cell>
          <cell r="D593" t="str">
            <v>REN</v>
          </cell>
        </row>
        <row r="594">
          <cell r="B594" t="str">
            <v>KHI/HO/D/MO/PC COMP/C/84285/31/02/2024</v>
          </cell>
          <cell r="D594" t="str">
            <v>REN</v>
          </cell>
        </row>
        <row r="595">
          <cell r="B595" t="str">
            <v>KHI/HO/D/MO/PC COMP/C/84285/32/02/2024</v>
          </cell>
          <cell r="D595" t="str">
            <v>REN</v>
          </cell>
        </row>
        <row r="596">
          <cell r="B596" t="str">
            <v>KHI/HO/D/MO/PC COMP/C/84285/33/02/2024</v>
          </cell>
          <cell r="D596" t="str">
            <v>REN</v>
          </cell>
        </row>
        <row r="597">
          <cell r="B597" t="str">
            <v>KHI/HO/D/MO/PC COMP/C/84285/34/02/2024</v>
          </cell>
          <cell r="D597" t="str">
            <v>REN</v>
          </cell>
        </row>
        <row r="598">
          <cell r="B598" t="str">
            <v>KHI/HO/D/MO/PC COMP/C/84285/35/02/2024</v>
          </cell>
          <cell r="D598" t="str">
            <v>REN</v>
          </cell>
        </row>
        <row r="599">
          <cell r="B599" t="str">
            <v>KHI/HO/D/MO/PC COMP/C/84285/36/02/2024</v>
          </cell>
          <cell r="D599" t="str">
            <v>REN</v>
          </cell>
        </row>
        <row r="600">
          <cell r="B600" t="str">
            <v>KHI/HO/D/MO/PC COMP/C/84285/37/02/2024</v>
          </cell>
          <cell r="D600" t="str">
            <v>REN</v>
          </cell>
        </row>
        <row r="601">
          <cell r="B601" t="str">
            <v>KHI/HO/D/MO/PC COMP/C/84285/38/02/2024</v>
          </cell>
          <cell r="D601" t="str">
            <v>REN</v>
          </cell>
        </row>
        <row r="602">
          <cell r="B602" t="str">
            <v>KHI/HO/D/MO/PC COMP/C/84285/39/02/2024</v>
          </cell>
          <cell r="D602" t="str">
            <v>REN</v>
          </cell>
        </row>
        <row r="603">
          <cell r="B603" t="str">
            <v>KHI/HO/D/MO/PC COMP/C/84285/40/02/2024</v>
          </cell>
          <cell r="D603" t="str">
            <v>REN</v>
          </cell>
        </row>
        <row r="604">
          <cell r="B604" t="str">
            <v>KHI/HO/D/MO/PC COMP/C/84285/41/02/2024</v>
          </cell>
          <cell r="D604" t="str">
            <v>REN</v>
          </cell>
        </row>
        <row r="605">
          <cell r="B605" t="str">
            <v>KHI/HO/D/MO/PC COMP/C/84285/42/02/2024</v>
          </cell>
          <cell r="D605" t="str">
            <v>REN</v>
          </cell>
        </row>
        <row r="606">
          <cell r="B606" t="str">
            <v>KHI/HO/D/MO/PC COMP/C/84285/43/02/2024</v>
          </cell>
          <cell r="D606" t="str">
            <v>REN</v>
          </cell>
        </row>
        <row r="607">
          <cell r="B607" t="str">
            <v>KHI/HO/D/MO/PC COMP/C/84285/44/02/2024</v>
          </cell>
          <cell r="D607" t="str">
            <v>REN</v>
          </cell>
        </row>
        <row r="608">
          <cell r="B608" t="str">
            <v>KHI/HO/D/MO/PC COMP/C/84285/45/02/2024</v>
          </cell>
          <cell r="D608" t="str">
            <v>REN</v>
          </cell>
        </row>
        <row r="609">
          <cell r="B609" t="str">
            <v>KHI/HO/D/MO/PC COMP/C/84285/46/02/2024</v>
          </cell>
          <cell r="D609" t="str">
            <v>REN</v>
          </cell>
        </row>
        <row r="610">
          <cell r="B610" t="str">
            <v>KHI/HO/D/MO/PC COMP/C/84285/47/02/2024</v>
          </cell>
          <cell r="D610" t="str">
            <v>REN</v>
          </cell>
        </row>
        <row r="611">
          <cell r="B611" t="str">
            <v>KHI/HO/D/MO/PC COMP/C/84285/48/02/2024</v>
          </cell>
          <cell r="D611" t="str">
            <v>REN</v>
          </cell>
        </row>
        <row r="612">
          <cell r="B612" t="str">
            <v>KHI/HO/D/MO/PC COMP/C/84285/49/02/2024</v>
          </cell>
          <cell r="D612" t="str">
            <v>REN</v>
          </cell>
        </row>
        <row r="613">
          <cell r="B613" t="str">
            <v>KHI/HO/D/MO/PC COMP/C/84285/50/02/2024</v>
          </cell>
          <cell r="D613" t="str">
            <v>REN</v>
          </cell>
        </row>
        <row r="614">
          <cell r="B614" t="str">
            <v>KHI/HO/D/MO/PC COMP/C/84285/51/02/2024</v>
          </cell>
          <cell r="D614" t="str">
            <v>REN</v>
          </cell>
        </row>
        <row r="615">
          <cell r="B615" t="str">
            <v>KHI/HO/D/MO/PC COMP/C/84285/52/02/2024</v>
          </cell>
          <cell r="D615" t="str">
            <v>REN</v>
          </cell>
        </row>
        <row r="616">
          <cell r="B616" t="str">
            <v>KHI/HO/D/MO/PC COMP/C/84285/53/02/2024</v>
          </cell>
          <cell r="D616" t="str">
            <v>REN</v>
          </cell>
        </row>
        <row r="617">
          <cell r="B617" t="str">
            <v>KHI/HO/D/MO/PC COMP/C/84285/54/02/2024</v>
          </cell>
          <cell r="D617" t="str">
            <v>REN</v>
          </cell>
        </row>
        <row r="618">
          <cell r="B618" t="str">
            <v>KHI/HO/D/MO/PC COMP/C/84285/55/02/2024</v>
          </cell>
          <cell r="D618" t="str">
            <v>REN</v>
          </cell>
        </row>
        <row r="619">
          <cell r="B619" t="str">
            <v>KHI/HO/D/MO/PC COMP/C/84285/56/02/2024</v>
          </cell>
          <cell r="D619" t="str">
            <v>REN</v>
          </cell>
        </row>
        <row r="620">
          <cell r="B620" t="str">
            <v>KHI/HO/D/MO/PC COMP/C/84285/57/02/2024</v>
          </cell>
          <cell r="D620" t="str">
            <v>REN</v>
          </cell>
        </row>
        <row r="621">
          <cell r="B621" t="str">
            <v>KHI/HO/D/MO/PC COMP/C/84011/1/02/2024</v>
          </cell>
          <cell r="D621" t="str">
            <v>REN</v>
          </cell>
        </row>
        <row r="622">
          <cell r="B622" t="str">
            <v>KHI/HO/D/MO/PC COMP/C/84011/2/02/2024</v>
          </cell>
          <cell r="D622" t="str">
            <v>REN</v>
          </cell>
        </row>
        <row r="623">
          <cell r="B623" t="str">
            <v>KHI/HO/D/MO/PC COMP/C/84011/3/02/2024</v>
          </cell>
          <cell r="D623" t="str">
            <v>REN</v>
          </cell>
        </row>
        <row r="624">
          <cell r="B624" t="str">
            <v>KHI/HO/D/MO/PC COMP/C/84011/4/02/2024</v>
          </cell>
          <cell r="D624" t="str">
            <v>REN</v>
          </cell>
        </row>
        <row r="625">
          <cell r="B625" t="str">
            <v>KHI/HO/D/MO/PC COMP/C/84011/5/02/2024</v>
          </cell>
          <cell r="D625" t="str">
            <v>REN</v>
          </cell>
        </row>
        <row r="626">
          <cell r="B626" t="str">
            <v>KHI/HO/D/MO/PC COMP/C/84011/6/02/2024</v>
          </cell>
          <cell r="D626" t="str">
            <v>REN</v>
          </cell>
        </row>
        <row r="627">
          <cell r="B627" t="str">
            <v>KHI/HO/D/MO/PC COMP/C/84011/7/02/2024</v>
          </cell>
          <cell r="D627" t="str">
            <v>REN</v>
          </cell>
        </row>
        <row r="628">
          <cell r="B628" t="str">
            <v>KHI/HO/D/MO/PC COMP/C/84011/8/02/2024</v>
          </cell>
          <cell r="D628" t="str">
            <v>REN</v>
          </cell>
        </row>
        <row r="629">
          <cell r="B629" t="str">
            <v>KHI/HO/D/MO/PC COMP/C/84011/9/02/2024</v>
          </cell>
          <cell r="D629" t="str">
            <v>REN</v>
          </cell>
        </row>
        <row r="630">
          <cell r="B630" t="str">
            <v>KHI/HO/D/MO/PC COMP/C/84011/10/02/2024</v>
          </cell>
          <cell r="D630" t="str">
            <v>REN</v>
          </cell>
        </row>
        <row r="631">
          <cell r="B631" t="str">
            <v>KHI/HO/D/MO/PC COMP/C/84011/11/02/2024</v>
          </cell>
          <cell r="D631" t="str">
            <v>REN</v>
          </cell>
        </row>
        <row r="632">
          <cell r="B632" t="str">
            <v>KHI/HO/D/MO/PC COMP/C/84011/12/02/2024</v>
          </cell>
          <cell r="D632" t="str">
            <v>REN</v>
          </cell>
        </row>
        <row r="633">
          <cell r="B633" t="str">
            <v>KHI/HO/D/MO/PC COMP/C/84011/13/02/2024</v>
          </cell>
          <cell r="D633" t="str">
            <v>REN</v>
          </cell>
        </row>
        <row r="634">
          <cell r="B634" t="str">
            <v>KHI/HO/D/MO/PC COMP/C/84011/14/02/2024</v>
          </cell>
          <cell r="D634" t="str">
            <v>REN</v>
          </cell>
        </row>
        <row r="635">
          <cell r="B635" t="str">
            <v>KHI/HO/D/MO/PC COMP/C/84011/15/02/2024</v>
          </cell>
          <cell r="D635" t="str">
            <v>REN</v>
          </cell>
        </row>
        <row r="636">
          <cell r="B636" t="str">
            <v>KHI/HO/D/MO/PC COMP/C/84011/16/02/2024</v>
          </cell>
          <cell r="D636" t="str">
            <v>REN</v>
          </cell>
        </row>
        <row r="637">
          <cell r="B637" t="str">
            <v>KHI/HO/D/MO/PC COMP/C/84011/17/02/2024</v>
          </cell>
          <cell r="D637" t="str">
            <v>REN</v>
          </cell>
        </row>
        <row r="638">
          <cell r="B638" t="str">
            <v>KHI/HO/D/MO/PC COMP/C/84011/18/02/2024</v>
          </cell>
          <cell r="D638" t="str">
            <v>REN</v>
          </cell>
        </row>
        <row r="639">
          <cell r="B639" t="str">
            <v>KHI/HO/D/MO/PC COMP/C/84011/19/02/2024</v>
          </cell>
          <cell r="D639" t="str">
            <v>REN</v>
          </cell>
        </row>
        <row r="640">
          <cell r="B640" t="str">
            <v>KHI/HO/D/MO/PC COMP/C/84011/20/02/2024</v>
          </cell>
          <cell r="D640" t="str">
            <v>REN</v>
          </cell>
        </row>
        <row r="641">
          <cell r="B641" t="str">
            <v>KHI/HO/D/MO/PC COMP/C/84011/21/02/2024</v>
          </cell>
          <cell r="D641" t="str">
            <v>REN</v>
          </cell>
        </row>
        <row r="642">
          <cell r="B642" t="str">
            <v>KHI/HO/D/MO/PC COMP/C/84011/22/02/2024</v>
          </cell>
          <cell r="D642" t="str">
            <v>REN</v>
          </cell>
        </row>
        <row r="643">
          <cell r="B643" t="str">
            <v>KHI/HO/D/MO/PC COMP/C/84011/23/02/2024</v>
          </cell>
          <cell r="D643" t="str">
            <v>REN</v>
          </cell>
        </row>
        <row r="644">
          <cell r="B644" t="str">
            <v>KHI/HO/D/MO/PC COMP/C/84011/24/02/2024</v>
          </cell>
          <cell r="D644" t="str">
            <v>REN</v>
          </cell>
        </row>
        <row r="645">
          <cell r="B645" t="str">
            <v>KHI/HO/D/MO/PC COMP/C/84011/25/02/2024</v>
          </cell>
          <cell r="D645" t="str">
            <v>REN</v>
          </cell>
        </row>
        <row r="646">
          <cell r="B646" t="str">
            <v>KHI/HO/D/MO/PC COMP/C/84011/26/02/2024</v>
          </cell>
          <cell r="D646" t="str">
            <v>REN</v>
          </cell>
        </row>
        <row r="647">
          <cell r="B647" t="str">
            <v>KHI/HO/D/MO/PC COMP/C/84011/27/02/2024</v>
          </cell>
          <cell r="D647" t="str">
            <v>REN</v>
          </cell>
        </row>
        <row r="648">
          <cell r="B648" t="str">
            <v>KHI/HO/D/MO/PC COMP/C/84011/28/02/2024</v>
          </cell>
          <cell r="D648" t="str">
            <v>REN</v>
          </cell>
        </row>
        <row r="649">
          <cell r="B649" t="str">
            <v>KHI/HO/D/MO/PC COMP/C/84011/29/02/2024</v>
          </cell>
          <cell r="D649" t="str">
            <v>REN</v>
          </cell>
        </row>
        <row r="650">
          <cell r="B650" t="str">
            <v>KHI/HO/D/MO/PC COMP/C/84011/30/02/2024</v>
          </cell>
          <cell r="D650" t="str">
            <v>REN</v>
          </cell>
        </row>
        <row r="651">
          <cell r="B651" t="str">
            <v>KHI/HO/D/MO/PC COMP/C/84011/31/02/2024</v>
          </cell>
          <cell r="D651" t="str">
            <v>REN</v>
          </cell>
        </row>
        <row r="652">
          <cell r="B652" t="str">
            <v>KHI/HO/D/MO/PC COMP/C/84011/32/02/2024</v>
          </cell>
          <cell r="D652" t="str">
            <v>REN</v>
          </cell>
        </row>
        <row r="653">
          <cell r="B653" t="str">
            <v>KHI/HO/D/MO/PC COMP/C/84011/33/02/2024</v>
          </cell>
          <cell r="D653" t="str">
            <v>REN</v>
          </cell>
        </row>
        <row r="654">
          <cell r="B654" t="str">
            <v>KHI/HO/D/MO/PC COMP/C/84011/34/02/2024</v>
          </cell>
          <cell r="D654" t="str">
            <v>REN</v>
          </cell>
        </row>
        <row r="655">
          <cell r="B655" t="str">
            <v>KHI/HO/D/MO/PC COMP/C/84011/35/02/2024</v>
          </cell>
          <cell r="D655" t="str">
            <v>REN</v>
          </cell>
        </row>
        <row r="656">
          <cell r="B656" t="str">
            <v>KHI/HO/D/MO/PC COMP/C/84011/36/02/2024</v>
          </cell>
          <cell r="D656" t="str">
            <v>REN</v>
          </cell>
        </row>
        <row r="657">
          <cell r="B657" t="str">
            <v>KHI/HO/D/MO/PC COMP/C/84011/37/02/2024</v>
          </cell>
          <cell r="D657" t="str">
            <v>REN</v>
          </cell>
        </row>
        <row r="658">
          <cell r="B658" t="str">
            <v>KHI/HO/D/MO/PC COMP/C/84011/38/02/2024</v>
          </cell>
          <cell r="D658" t="str">
            <v>REN</v>
          </cell>
        </row>
        <row r="659">
          <cell r="B659" t="str">
            <v>KHI/HO/D/MO/PC COMP/C/84011/39/02/2024</v>
          </cell>
          <cell r="D659" t="str">
            <v>REN</v>
          </cell>
        </row>
        <row r="660">
          <cell r="B660" t="str">
            <v>KHI/HO/D/MO/PC COMP/C/84011/40/02/2024</v>
          </cell>
          <cell r="D660" t="str">
            <v>REN</v>
          </cell>
        </row>
        <row r="661">
          <cell r="B661" t="str">
            <v>KHI/HO/D/MO/PC COMP/C/84011/41/02/2024</v>
          </cell>
          <cell r="D661" t="str">
            <v>REN</v>
          </cell>
        </row>
        <row r="662">
          <cell r="B662" t="str">
            <v>KHI/HO/D/MO/PC COMP/C/84011/42/02/2024</v>
          </cell>
          <cell r="D662" t="str">
            <v>REN</v>
          </cell>
        </row>
        <row r="663">
          <cell r="B663" t="str">
            <v>KHI/HO/D/MO/PC COMP/C/84011/43/02/2024</v>
          </cell>
          <cell r="D663" t="str">
            <v>REN</v>
          </cell>
        </row>
        <row r="664">
          <cell r="B664" t="str">
            <v>KHI/HO/D/MO/PC COMP/C/84011/44/02/2024</v>
          </cell>
          <cell r="D664" t="str">
            <v>REN</v>
          </cell>
        </row>
        <row r="665">
          <cell r="B665" t="str">
            <v>KHI/HO/D/MO/PC COMP/C/84011/45/02/2024</v>
          </cell>
          <cell r="D665" t="str">
            <v>REN</v>
          </cell>
        </row>
        <row r="666">
          <cell r="B666" t="str">
            <v>KHI/HO/D/MO/PC COMP/C/84011/46/02/2024</v>
          </cell>
          <cell r="D666" t="str">
            <v>REN</v>
          </cell>
        </row>
        <row r="667">
          <cell r="B667" t="str">
            <v>KHI/HO/D/MO/PC COMP/C/84011/47/02/2024</v>
          </cell>
          <cell r="D667" t="str">
            <v>REN</v>
          </cell>
        </row>
        <row r="668">
          <cell r="B668" t="str">
            <v>KHI/HO/D/MO/PC COMP/C/84011/48/02/2024</v>
          </cell>
          <cell r="D668" t="str">
            <v>REN</v>
          </cell>
        </row>
        <row r="669">
          <cell r="B669" t="str">
            <v>KHI/HO/D/MO/PC COMP/C/84011/49/02/2024</v>
          </cell>
          <cell r="D669" t="str">
            <v>REN</v>
          </cell>
        </row>
        <row r="670">
          <cell r="B670" t="str">
            <v>KHI/HO/D/MO/PC COMP/C/84011/50/02/2024</v>
          </cell>
          <cell r="D670" t="str">
            <v>REN</v>
          </cell>
        </row>
        <row r="671">
          <cell r="B671" t="str">
            <v>KHI/HO/D/MO/PC COMP/C/84011/51/02/2024</v>
          </cell>
          <cell r="D671" t="str">
            <v>REN</v>
          </cell>
        </row>
        <row r="672">
          <cell r="B672" t="str">
            <v>KHI/HO/D/MO/PC COMP/C/84011/52/02/2024</v>
          </cell>
          <cell r="D672" t="str">
            <v>REN</v>
          </cell>
        </row>
        <row r="673">
          <cell r="B673" t="str">
            <v>KHI/HO/D/MO/PC COMP/C/84011/53/02/2024</v>
          </cell>
          <cell r="D673" t="str">
            <v>REN</v>
          </cell>
        </row>
        <row r="674">
          <cell r="B674" t="str">
            <v>KHI/HO/D/MO/PC COMP/C/84011/54/02/2024</v>
          </cell>
          <cell r="D674" t="str">
            <v>REN</v>
          </cell>
        </row>
        <row r="675">
          <cell r="B675" t="str">
            <v>KHI/HO/D/MO/PC COMP/C/84011/55/02/2024</v>
          </cell>
          <cell r="D675" t="str">
            <v>REN</v>
          </cell>
        </row>
        <row r="676">
          <cell r="B676" t="str">
            <v>KHI/HO/D/MO/PC COMP/C/84011/56/02/2024</v>
          </cell>
          <cell r="D676" t="str">
            <v>REN</v>
          </cell>
        </row>
        <row r="677">
          <cell r="B677" t="str">
            <v>KHI/HO/D/MO/PC COMP/C/84011/57/02/2024</v>
          </cell>
          <cell r="D677" t="str">
            <v>REN</v>
          </cell>
        </row>
        <row r="678">
          <cell r="B678" t="str">
            <v>KHI/HO/D/MO/PC COMP/C/84011/58/02/2024</v>
          </cell>
          <cell r="D678" t="str">
            <v>REN</v>
          </cell>
        </row>
        <row r="679">
          <cell r="B679" t="str">
            <v>KHI/HO/D/MO/PC COMP/C/84011/59/02/2024</v>
          </cell>
          <cell r="D679" t="str">
            <v>REN</v>
          </cell>
        </row>
        <row r="680">
          <cell r="B680" t="str">
            <v>KHI/HO/D/MO/PC COMP/C/84011/60/02/2024</v>
          </cell>
          <cell r="D680" t="str">
            <v>REN</v>
          </cell>
        </row>
        <row r="681">
          <cell r="B681" t="str">
            <v>KHI/HO/D/MO/PC COMP/C/84011/61/02/2024</v>
          </cell>
          <cell r="D681" t="str">
            <v>REN</v>
          </cell>
        </row>
        <row r="682">
          <cell r="B682" t="str">
            <v>KHI/HO/D/MO/PC COMP/C/84011/62/02/2024</v>
          </cell>
          <cell r="D682" t="str">
            <v>REN</v>
          </cell>
        </row>
        <row r="683">
          <cell r="B683" t="str">
            <v>KHI/HO/D/MO/PC COMP/C/84011/63/02/2024</v>
          </cell>
          <cell r="D683" t="str">
            <v>REN</v>
          </cell>
        </row>
        <row r="684">
          <cell r="B684" t="str">
            <v>KHI/HO/D/MO/PC COMP/C/84011/64/02/2024</v>
          </cell>
          <cell r="D684" t="str">
            <v>REN</v>
          </cell>
        </row>
        <row r="685">
          <cell r="B685" t="str">
            <v>KHI/HO/D/MO/PC COMP/C/84011/65/02/2024</v>
          </cell>
          <cell r="D685" t="str">
            <v>REN</v>
          </cell>
        </row>
        <row r="686">
          <cell r="B686" t="str">
            <v>KHI/HO/D/MO/PC COMP/C/84011/66/02/2024</v>
          </cell>
          <cell r="D686" t="str">
            <v>REN</v>
          </cell>
        </row>
        <row r="687">
          <cell r="B687" t="str">
            <v>KHI/HO/D/MO/PC COMP/C/84011/67/02/2024</v>
          </cell>
          <cell r="D687" t="str">
            <v>REN</v>
          </cell>
        </row>
        <row r="688">
          <cell r="B688" t="str">
            <v>KHI/HO/D/MO/PC COMP/C/84011/68/02/2024</v>
          </cell>
          <cell r="D688" t="str">
            <v>REN</v>
          </cell>
        </row>
        <row r="689">
          <cell r="B689" t="str">
            <v>KHI/HO/D/MO/PC COMP/C/84011/69/02/2024</v>
          </cell>
          <cell r="D689" t="str">
            <v>REN</v>
          </cell>
        </row>
        <row r="690">
          <cell r="B690" t="str">
            <v>KHI/HO/D/MO/PC COMP/C/84011/70/02/2024</v>
          </cell>
          <cell r="D690" t="str">
            <v>REN</v>
          </cell>
        </row>
        <row r="691">
          <cell r="B691" t="str">
            <v>KHI/HO/D/MO/PC COMP/C/84011/71/02/2024</v>
          </cell>
          <cell r="D691" t="str">
            <v>REN</v>
          </cell>
        </row>
        <row r="692">
          <cell r="B692" t="str">
            <v>KHI/HO/D/MO/PC COMP/C/84011/72/02/2024</v>
          </cell>
          <cell r="D692" t="str">
            <v>REN</v>
          </cell>
        </row>
        <row r="693">
          <cell r="B693" t="str">
            <v>KHI/HO/D/MO/PC COMP/C/84011/73/02/2024</v>
          </cell>
          <cell r="D693" t="str">
            <v>REN</v>
          </cell>
        </row>
        <row r="694">
          <cell r="B694" t="str">
            <v>KHI/HO/D/MO/PC COMP/C/84011/74/02/2024</v>
          </cell>
          <cell r="D694" t="str">
            <v>REN</v>
          </cell>
        </row>
        <row r="695">
          <cell r="B695" t="str">
            <v>KHI/HO/D/MO/PC COMP/C/84011/75/02/2024</v>
          </cell>
          <cell r="D695" t="str">
            <v>REN</v>
          </cell>
        </row>
        <row r="696">
          <cell r="B696" t="str">
            <v>KHI/HO/D/MO/PC COMP/C/84011/76/02/2024</v>
          </cell>
          <cell r="D696" t="str">
            <v>REN</v>
          </cell>
        </row>
        <row r="697">
          <cell r="B697" t="str">
            <v>KHI/HO/D/MO/PC COMP/C/84011/77/02/2024</v>
          </cell>
          <cell r="D697" t="str">
            <v>REN</v>
          </cell>
        </row>
        <row r="698">
          <cell r="B698" t="str">
            <v>KHI/HO/D/MO/PC COMP/C/84011/78/02/2024</v>
          </cell>
          <cell r="D698" t="str">
            <v>REN</v>
          </cell>
        </row>
        <row r="699">
          <cell r="B699" t="str">
            <v>KHI/HO/D/MO/PC COMP/C/84011/79/02/2024</v>
          </cell>
          <cell r="D699" t="str">
            <v>REN</v>
          </cell>
        </row>
        <row r="700">
          <cell r="B700" t="str">
            <v>KHI/HO/D/MO/PC COMP/C/84011/80/02/2024</v>
          </cell>
          <cell r="D700" t="str">
            <v>REN</v>
          </cell>
        </row>
        <row r="701">
          <cell r="B701" t="str">
            <v>KHI/HO/D/MO/PC COMP/C/84011/81/02/2024</v>
          </cell>
          <cell r="D701" t="str">
            <v>REN</v>
          </cell>
        </row>
        <row r="702">
          <cell r="B702" t="str">
            <v>KHI/HO/D/MO/PC COMP/C/84011/82/02/2024</v>
          </cell>
          <cell r="D702" t="str">
            <v>REN</v>
          </cell>
        </row>
        <row r="703">
          <cell r="B703" t="str">
            <v>KHI/HO/D/MO/PC COMP/C/84011/83/02/2024</v>
          </cell>
          <cell r="D703" t="str">
            <v>REN</v>
          </cell>
        </row>
        <row r="704">
          <cell r="B704" t="str">
            <v>KHI/HO/D/MO/PC COMP/C/84011/84/02/2024</v>
          </cell>
          <cell r="D704" t="str">
            <v>REN</v>
          </cell>
        </row>
        <row r="705">
          <cell r="B705" t="str">
            <v>KHI/HO/D/MO/PC COMP/C/84011/85/02/2024</v>
          </cell>
          <cell r="D705" t="str">
            <v>REN</v>
          </cell>
        </row>
        <row r="706">
          <cell r="B706" t="str">
            <v>KHI/HO/D/MO/PC COMP/C/84011/86/02/2024</v>
          </cell>
          <cell r="D706" t="str">
            <v>REN</v>
          </cell>
        </row>
        <row r="707">
          <cell r="B707" t="str">
            <v>KHI/HO/D/MO/PC COMP/C/84011/87/02/2024</v>
          </cell>
          <cell r="D707" t="str">
            <v>REN</v>
          </cell>
        </row>
        <row r="708">
          <cell r="B708" t="str">
            <v>KHI/HO/D/MO/PC COMP/C/84011/88/02/2024</v>
          </cell>
          <cell r="D708" t="str">
            <v>REN</v>
          </cell>
        </row>
        <row r="709">
          <cell r="B709" t="str">
            <v>KHI/HO/D/MO/PC COMP/C/84011/89/02/2024</v>
          </cell>
          <cell r="D709" t="str">
            <v>REN</v>
          </cell>
        </row>
        <row r="710">
          <cell r="B710" t="str">
            <v>KHI/HO/D/MO/PC COMP/C/84011/90/02/2024</v>
          </cell>
          <cell r="D710" t="str">
            <v>REN</v>
          </cell>
        </row>
        <row r="711">
          <cell r="B711" t="str">
            <v>KHI/HO/D/MO/PC COMP/C/84011/91/02/2024</v>
          </cell>
          <cell r="D711" t="str">
            <v>REN</v>
          </cell>
        </row>
        <row r="712">
          <cell r="B712" t="str">
            <v>KHI/HO/D/MO/PC COMP/C/84011/92/02/2024</v>
          </cell>
          <cell r="D712" t="str">
            <v>REN</v>
          </cell>
        </row>
        <row r="713">
          <cell r="B713" t="str">
            <v>KHI/HO/D/MO/PC COMP/C/84011/93/02/2024</v>
          </cell>
          <cell r="D713" t="str">
            <v>REN</v>
          </cell>
        </row>
        <row r="714">
          <cell r="B714" t="str">
            <v>KHI/HO/D/MO/PC COMP/C/84011/94/02/2024</v>
          </cell>
          <cell r="D714" t="str">
            <v>REN</v>
          </cell>
        </row>
        <row r="715">
          <cell r="B715" t="str">
            <v>KHI/HO/D/MO/PC COMP/C/84011/95/02/2024</v>
          </cell>
          <cell r="D715" t="str">
            <v>REN</v>
          </cell>
        </row>
        <row r="716">
          <cell r="B716" t="str">
            <v>KHI/HO/D/MO/PC COMP/C/84011/96/02/2024</v>
          </cell>
          <cell r="D716" t="str">
            <v>REN</v>
          </cell>
        </row>
        <row r="717">
          <cell r="B717" t="str">
            <v>KHI/HO/D/MO/PC COMP/C/84011/97/02/2024</v>
          </cell>
          <cell r="D717" t="str">
            <v>REN</v>
          </cell>
        </row>
        <row r="718">
          <cell r="B718" t="str">
            <v>KHI/HO/D/MO/PC COMP/C/84011/98/02/2024</v>
          </cell>
          <cell r="D718" t="str">
            <v>REN</v>
          </cell>
        </row>
        <row r="719">
          <cell r="B719" t="str">
            <v>KHI/HO/D/MO/PC COMP/C/84011/99/02/2024</v>
          </cell>
          <cell r="D719" t="str">
            <v>REN</v>
          </cell>
        </row>
        <row r="720">
          <cell r="B720" t="str">
            <v>KHI/HO/D/MO/PC COMP/C/83022/37/02/2024</v>
          </cell>
          <cell r="D720" t="str">
            <v>FRE</v>
          </cell>
        </row>
        <row r="721">
          <cell r="B721" t="str">
            <v>KHI/HO/D/MO/PC COMP/C/83022/38/02/2024</v>
          </cell>
          <cell r="D721" t="str">
            <v>FRE</v>
          </cell>
        </row>
        <row r="722">
          <cell r="B722" t="str">
            <v>KHI/HO/D/MO/PC COMP/C/83022/39/02/2024</v>
          </cell>
          <cell r="D722" t="str">
            <v>FRE</v>
          </cell>
        </row>
        <row r="723">
          <cell r="B723" t="str">
            <v>KHI/HO/D/MO/PC COMP/C/83022/40/02/2024</v>
          </cell>
          <cell r="D723" t="str">
            <v>FRE</v>
          </cell>
        </row>
        <row r="724">
          <cell r="B724" t="str">
            <v>KHI/HO/D/MO/PC COMP/C/83022/41/02/2024</v>
          </cell>
          <cell r="D724" t="str">
            <v>FRE</v>
          </cell>
        </row>
        <row r="725">
          <cell r="B725" t="str">
            <v>KHI/HO/D/MO/PC COMP/C/83022/42/02/2024</v>
          </cell>
          <cell r="D725" t="str">
            <v>FRE</v>
          </cell>
        </row>
        <row r="726">
          <cell r="B726" t="str">
            <v>KHI/HO/D/MO/PC COMP/C/83022/43/02/2024</v>
          </cell>
          <cell r="D726" t="str">
            <v>FRE</v>
          </cell>
        </row>
        <row r="727">
          <cell r="B727" t="str">
            <v>KHI/HO/D/MO/PC COMP/C/83022/44/02/2024</v>
          </cell>
          <cell r="D727" t="str">
            <v>FRE</v>
          </cell>
        </row>
        <row r="728">
          <cell r="B728" t="str">
            <v>KHI/HO/D/MO/PC COMP/C/83022/45/02/2024</v>
          </cell>
          <cell r="D728" t="str">
            <v>FRE</v>
          </cell>
        </row>
        <row r="729">
          <cell r="B729" t="str">
            <v>KHI/HO/D/MO/PC COMP/C/83022/46/02/2024</v>
          </cell>
          <cell r="D729" t="str">
            <v>FRE</v>
          </cell>
        </row>
        <row r="730">
          <cell r="B730" t="str">
            <v>KHI/HO/D/MO/PC COMP/C/83022/47/02/2024</v>
          </cell>
          <cell r="D730" t="str">
            <v>FRE</v>
          </cell>
        </row>
        <row r="731">
          <cell r="B731" t="str">
            <v>KHI/HO/D/MO/PC COMP/C/83022/48/02/2024</v>
          </cell>
          <cell r="D731" t="str">
            <v>FRE</v>
          </cell>
        </row>
        <row r="732">
          <cell r="B732" t="str">
            <v>KHI/HO/D/MO/PC COMP/C/83022/49/02/2024</v>
          </cell>
          <cell r="D732" t="str">
            <v>FRE</v>
          </cell>
        </row>
        <row r="733">
          <cell r="B733" t="str">
            <v>KHI/HO/D/MO/PC COMP/C/83022/50/02/2024</v>
          </cell>
          <cell r="D733" t="str">
            <v>FRE</v>
          </cell>
        </row>
        <row r="734">
          <cell r="B734" t="str">
            <v>KHI/HO/D/MO/PC COMP/C/83022/51/02/2024</v>
          </cell>
          <cell r="D734" t="str">
            <v>FRE</v>
          </cell>
        </row>
        <row r="735">
          <cell r="B735" t="str">
            <v>KHI/HO/D/MO/PC COMP/C/83022/52/02/2024</v>
          </cell>
          <cell r="D735" t="str">
            <v>FRE</v>
          </cell>
        </row>
        <row r="736">
          <cell r="B736" t="str">
            <v>KHI/HO/D/MO/PC COMP/C/83022/53/02/2024</v>
          </cell>
          <cell r="D736" t="str">
            <v>FRE</v>
          </cell>
        </row>
        <row r="737">
          <cell r="B737" t="str">
            <v>KHI/HO/D/MO/PC COMP/C/83022/54/02/2024</v>
          </cell>
          <cell r="D737" t="str">
            <v>FRE</v>
          </cell>
        </row>
        <row r="738">
          <cell r="B738" t="str">
            <v>KHI/HO/D/MO/PC COMP/C/83022/55/02/2024</v>
          </cell>
          <cell r="D738" t="str">
            <v>FRE</v>
          </cell>
        </row>
        <row r="739">
          <cell r="B739" t="str">
            <v>KHI/HO/D/MO/PC COMP/C/84683/1/02/2024</v>
          </cell>
          <cell r="D739" t="str">
            <v>REN</v>
          </cell>
        </row>
        <row r="740">
          <cell r="B740" t="str">
            <v>KHI/HO/D/MO/PC COMP/C/84683/2/02/2024</v>
          </cell>
          <cell r="D740" t="str">
            <v>REN</v>
          </cell>
        </row>
        <row r="741">
          <cell r="B741" t="str">
            <v>KHI/HO/D/MO/PC COMP/C/84683/3/02/2024</v>
          </cell>
          <cell r="D741" t="str">
            <v>REN</v>
          </cell>
        </row>
        <row r="742">
          <cell r="B742" t="str">
            <v>KHI/HO/D/MO/PC COMP/C/84683/4/02/2024</v>
          </cell>
          <cell r="D742" t="str">
            <v>REN</v>
          </cell>
        </row>
        <row r="743">
          <cell r="B743" t="str">
            <v>KHI/HO/D/MO/PC COMP/C/84683/5/02/2024</v>
          </cell>
          <cell r="D743" t="str">
            <v>REN</v>
          </cell>
        </row>
        <row r="744">
          <cell r="B744" t="str">
            <v>KHI/HO/D/MO/PC COMP/C/84683/6/02/2024</v>
          </cell>
          <cell r="D744" t="str">
            <v>REN</v>
          </cell>
        </row>
        <row r="745">
          <cell r="B745" t="str">
            <v>KHI/HO/D/MO/PC COMP/C/84683/7/02/2024</v>
          </cell>
          <cell r="D745" t="str">
            <v>REN</v>
          </cell>
        </row>
        <row r="746">
          <cell r="B746" t="str">
            <v>KHI/HO/D/MO/PC COMP/C/84683/8/02/2024</v>
          </cell>
          <cell r="D746" t="str">
            <v>REN</v>
          </cell>
        </row>
        <row r="747">
          <cell r="B747" t="str">
            <v>KHI/HO/D/MO/PC COMP/C/84683/9/02/2024</v>
          </cell>
          <cell r="D747" t="str">
            <v>REN</v>
          </cell>
        </row>
        <row r="748">
          <cell r="B748" t="str">
            <v>KHI/HO/D/MO/PC COMP/C/84683/10/02/2024</v>
          </cell>
          <cell r="D748" t="str">
            <v>REN</v>
          </cell>
        </row>
        <row r="749">
          <cell r="B749" t="str">
            <v>KHI/HO/D/MO/PC COMP/C/84683/11/02/2024</v>
          </cell>
          <cell r="D749" t="str">
            <v>REN</v>
          </cell>
        </row>
        <row r="750">
          <cell r="B750" t="str">
            <v>KHI/HO/D/MO/PC COMP/C/84683/12/02/2024</v>
          </cell>
          <cell r="D750" t="str">
            <v>REN</v>
          </cell>
        </row>
        <row r="751">
          <cell r="B751" t="str">
            <v>KHI/HO/D/MO/PC COMP/C/84683/13/02/2024</v>
          </cell>
          <cell r="D751" t="str">
            <v>REN</v>
          </cell>
        </row>
        <row r="752">
          <cell r="B752" t="str">
            <v>KHI/HO/D/MO/PC COMP/C/84683/14/02/2024</v>
          </cell>
          <cell r="D752" t="str">
            <v>REN</v>
          </cell>
        </row>
        <row r="753">
          <cell r="B753" t="str">
            <v>KHI/HO/D/MO/PC COMP/C/84683/15/02/2024</v>
          </cell>
          <cell r="D753" t="str">
            <v>REN</v>
          </cell>
        </row>
        <row r="754">
          <cell r="B754" t="str">
            <v>KHI/HO/D/MO/PC COMP/C/84683/16/02/2024</v>
          </cell>
          <cell r="D754" t="str">
            <v>REN</v>
          </cell>
        </row>
        <row r="755">
          <cell r="B755" t="str">
            <v>KHI/HO/D/MO/PC COMP/C/84685/1/02/2024</v>
          </cell>
          <cell r="D755" t="str">
            <v>REN</v>
          </cell>
        </row>
        <row r="756">
          <cell r="B756" t="str">
            <v>KHI/HO/D/MO/PC COMP/C/84685/2/02/2024</v>
          </cell>
          <cell r="D756" t="str">
            <v>REN</v>
          </cell>
        </row>
        <row r="757">
          <cell r="B757" t="str">
            <v>KHI/HO/D/MO/PC COMP/C/84685/3/02/2024</v>
          </cell>
          <cell r="D757" t="str">
            <v>REN</v>
          </cell>
        </row>
        <row r="758">
          <cell r="B758" t="str">
            <v>KHI/HO/D/MO/PC COMP/C/84685/4/02/2024</v>
          </cell>
          <cell r="D758" t="str">
            <v>REN</v>
          </cell>
        </row>
        <row r="759">
          <cell r="B759" t="str">
            <v>KHI/HO/D/MO/PC COMP/C/84687/1/02/2024</v>
          </cell>
          <cell r="D759" t="str">
            <v>REN</v>
          </cell>
        </row>
        <row r="760">
          <cell r="B760" t="str">
            <v>KHI/HO/D/MO/PC COMP/C/84687/2/02/2024</v>
          </cell>
          <cell r="D760" t="str">
            <v>REN</v>
          </cell>
        </row>
        <row r="761">
          <cell r="B761" t="str">
            <v>KHI/HO/D/MO/PC COMP/C/84687/3/02/2024</v>
          </cell>
          <cell r="D761" t="str">
            <v>REN</v>
          </cell>
        </row>
        <row r="762">
          <cell r="B762" t="str">
            <v>KHI/HO/D/MO/PC COMP/C/84687/4/02/2024</v>
          </cell>
          <cell r="D762" t="str">
            <v>REN</v>
          </cell>
        </row>
        <row r="763">
          <cell r="B763" t="str">
            <v>KHI/HO/D/MO/PC COMP/C/84687/5/02/2024</v>
          </cell>
          <cell r="D763" t="str">
            <v>REN</v>
          </cell>
        </row>
        <row r="764">
          <cell r="B764" t="str">
            <v>KHI/HO/D/MO/PC COMP/C/84687/6/02/2024</v>
          </cell>
          <cell r="D764" t="str">
            <v>REN</v>
          </cell>
        </row>
        <row r="765">
          <cell r="B765" t="str">
            <v>KHI/HO/D/MO/PC COMP/C/84687/7/02/2024</v>
          </cell>
          <cell r="D765" t="str">
            <v>REN</v>
          </cell>
        </row>
        <row r="766">
          <cell r="B766" t="str">
            <v>KHI/HO/D/MO/PC COMP/C/84687/8/02/2024</v>
          </cell>
          <cell r="D766" t="str">
            <v>REN</v>
          </cell>
        </row>
        <row r="767">
          <cell r="B767" t="str">
            <v>KHI/HO/D/MO/PC COMP/C/83022/56/02/2024</v>
          </cell>
          <cell r="D767" t="str">
            <v>FRE</v>
          </cell>
        </row>
        <row r="768">
          <cell r="B768" t="str">
            <v>KHI/HO/D/MO/PC COMP/C/84688/1/02/2024</v>
          </cell>
          <cell r="D768" t="str">
            <v>REN</v>
          </cell>
        </row>
        <row r="769">
          <cell r="B769" t="str">
            <v>KHI/HO/D/MO/PC COMP/C/84688/2/02/2024</v>
          </cell>
          <cell r="D769" t="str">
            <v>REN</v>
          </cell>
        </row>
        <row r="770">
          <cell r="B770" t="str">
            <v>KHI/HO/D/MO/PC COMP/C/84688/3/02/2024</v>
          </cell>
          <cell r="D770" t="str">
            <v>REN</v>
          </cell>
        </row>
        <row r="771">
          <cell r="B771" t="str">
            <v>KHI/HO/D/MO/PC COMP/C/83022/57/02/2024</v>
          </cell>
          <cell r="D771" t="str">
            <v>FRE</v>
          </cell>
        </row>
        <row r="772">
          <cell r="B772" t="str">
            <v>KHI/HO/D/MO/PC COMP/C/83022/58/02/2024</v>
          </cell>
          <cell r="D772" t="str">
            <v>FRE</v>
          </cell>
        </row>
        <row r="773">
          <cell r="B773" t="str">
            <v>KHI/HO/D/MO/PC COMP/C/83022/59/02/2024</v>
          </cell>
          <cell r="D773" t="str">
            <v>FRE</v>
          </cell>
        </row>
        <row r="774">
          <cell r="B774" t="str">
            <v>KHI/HO/D/MO/PC COMP/C/83022/60/02/2024</v>
          </cell>
          <cell r="D774" t="str">
            <v>FRE</v>
          </cell>
        </row>
        <row r="775">
          <cell r="B775" t="str">
            <v>KHI/HO/D/MO/PC COMP/C/83022/61/02/2024</v>
          </cell>
          <cell r="D775" t="str">
            <v>FRE</v>
          </cell>
        </row>
        <row r="776">
          <cell r="B776" t="str">
            <v>KHI/HO/D/MO/PC COMP/C/84849/1/03/2024</v>
          </cell>
          <cell r="D776" t="str">
            <v>FRE</v>
          </cell>
        </row>
        <row r="777">
          <cell r="B777" t="str">
            <v>KHI/HO/D/MO/PC COMP/C/84849/2/03/2024</v>
          </cell>
          <cell r="D777" t="str">
            <v>FRE</v>
          </cell>
        </row>
        <row r="778">
          <cell r="B778" t="str">
            <v>KHI/HO/D/MO/PC COMP/C/84849/3/03/2024</v>
          </cell>
          <cell r="D778" t="str">
            <v>FRE</v>
          </cell>
        </row>
        <row r="779">
          <cell r="B779" t="str">
            <v>KHI/HO/D/MO/PC COMP/C/84849/4/03/2024</v>
          </cell>
          <cell r="D779" t="str">
            <v>FRE</v>
          </cell>
        </row>
        <row r="780">
          <cell r="B780" t="str">
            <v>KHI/HO/D/MO/CV/C/85011/1/03/2024</v>
          </cell>
          <cell r="D780" t="str">
            <v>REN</v>
          </cell>
        </row>
        <row r="781">
          <cell r="B781" t="str">
            <v>KHI/HO/D/MO/CV/C/85010/1/03/2024</v>
          </cell>
          <cell r="D781" t="str">
            <v>REN</v>
          </cell>
        </row>
        <row r="782">
          <cell r="B782" t="str">
            <v>KHI/HO/D/MO/CV/C/85010/2/03/2024</v>
          </cell>
          <cell r="D782" t="str">
            <v>REN</v>
          </cell>
        </row>
        <row r="783">
          <cell r="B783" t="str">
            <v>KHI/HO/D/MO/CV/C/85010/3/03/2024</v>
          </cell>
          <cell r="D783" t="str">
            <v>REN</v>
          </cell>
        </row>
        <row r="784">
          <cell r="B784" t="str">
            <v>KHI/HO/D/MO/CV/C/85010/4/03/2024</v>
          </cell>
          <cell r="D784" t="str">
            <v>REN</v>
          </cell>
        </row>
        <row r="785">
          <cell r="B785" t="str">
            <v>KHI/HO/D/MO/CV/C/85010/5/03/2024</v>
          </cell>
          <cell r="D785" t="str">
            <v>REN</v>
          </cell>
        </row>
        <row r="786">
          <cell r="B786" t="str">
            <v>KHI/HO/D/MO/CV/C/85010/6/03/2024</v>
          </cell>
          <cell r="D786" t="str">
            <v>REN</v>
          </cell>
        </row>
        <row r="787">
          <cell r="B787" t="str">
            <v>KHI/HO/D/MO/CV/C/85010/7/03/2024</v>
          </cell>
          <cell r="D787" t="str">
            <v>REN</v>
          </cell>
        </row>
        <row r="788">
          <cell r="B788" t="str">
            <v>KHI/HO/D/MO/CV/C/85008/1/03/2024</v>
          </cell>
          <cell r="D788" t="str">
            <v>REN</v>
          </cell>
        </row>
        <row r="789">
          <cell r="B789" t="str">
            <v>KHI/HO/D/MO/PC COMP/C/85019/1/03/2024</v>
          </cell>
          <cell r="D789" t="str">
            <v>REN</v>
          </cell>
        </row>
        <row r="790">
          <cell r="B790" t="str">
            <v>KHI/HO/D/MO/PC COMP/C/85019/2/03/2024</v>
          </cell>
          <cell r="D790" t="str">
            <v>REN</v>
          </cell>
        </row>
        <row r="791">
          <cell r="B791" t="str">
            <v>KHI/HO/D/MO/PC COMP/C/85019/3/03/2024</v>
          </cell>
          <cell r="D791" t="str">
            <v>REN</v>
          </cell>
        </row>
        <row r="792">
          <cell r="B792" t="str">
            <v>KHI/HO/D/MO/PC COMP/C/85019/4/03/2024</v>
          </cell>
          <cell r="D792" t="str">
            <v>REN</v>
          </cell>
        </row>
        <row r="793">
          <cell r="B793" t="str">
            <v>KHI/HO/D/MO/PC COMP/C/85019/5/03/2024</v>
          </cell>
          <cell r="D793" t="str">
            <v>REN</v>
          </cell>
        </row>
        <row r="794">
          <cell r="B794" t="str">
            <v>KHI/HO/D/MO/PC COMP/C/85019/6/03/2024</v>
          </cell>
          <cell r="D794" t="str">
            <v>REN</v>
          </cell>
        </row>
        <row r="795">
          <cell r="B795" t="str">
            <v>KHI/HO/D/MO/PC COMP/C/85019/7/03/2024</v>
          </cell>
          <cell r="D795" t="str">
            <v>REN</v>
          </cell>
        </row>
        <row r="796">
          <cell r="B796" t="str">
            <v>KHI/HO/D/MO/PC COMP/C/85019/8/03/2024</v>
          </cell>
          <cell r="D796" t="str">
            <v>REN</v>
          </cell>
        </row>
        <row r="797">
          <cell r="B797" t="str">
            <v>KHI/HO/D/MO/PC COMP/C/85019/9/03/2024</v>
          </cell>
          <cell r="D797" t="str">
            <v>REN</v>
          </cell>
        </row>
        <row r="798">
          <cell r="B798" t="str">
            <v>KHI/HO/D/MO/PC COMP/C/85019/10/03/2024</v>
          </cell>
          <cell r="D798" t="str">
            <v>REN</v>
          </cell>
        </row>
        <row r="799">
          <cell r="B799" t="str">
            <v>KHI/HO/D/MO/PC COMP/C/85019/11/03/2024</v>
          </cell>
          <cell r="D799" t="str">
            <v>REN</v>
          </cell>
        </row>
        <row r="800">
          <cell r="B800" t="str">
            <v>KHI/HO/D/MO/PC COMP/C/85019/12/03/2024</v>
          </cell>
          <cell r="D800" t="str">
            <v>REN</v>
          </cell>
        </row>
        <row r="801">
          <cell r="B801" t="str">
            <v>KHI/HO/D/MO/PC COMP/C/85019/13/03/2024</v>
          </cell>
          <cell r="D801" t="str">
            <v>REN</v>
          </cell>
        </row>
        <row r="802">
          <cell r="B802" t="str">
            <v>KHI/HO/D/MO/PC COMP/C/85019/14/03/2024</v>
          </cell>
          <cell r="D802" t="str">
            <v>REN</v>
          </cell>
        </row>
        <row r="803">
          <cell r="B803" t="str">
            <v>KHI/HO/D/MO/PC COMP/C/85019/15/03/2024</v>
          </cell>
          <cell r="D803" t="str">
            <v>REN</v>
          </cell>
        </row>
        <row r="804">
          <cell r="B804" t="str">
            <v>KHI/HO/D/MO/PC COMP/C/85019/16/03/2024</v>
          </cell>
          <cell r="D804" t="str">
            <v>REN</v>
          </cell>
        </row>
        <row r="805">
          <cell r="B805" t="str">
            <v>KHI/HO/D/MO/PC COMP/C/85019/17/03/2024</v>
          </cell>
          <cell r="D805" t="str">
            <v>REN</v>
          </cell>
        </row>
        <row r="806">
          <cell r="B806" t="str">
            <v>KHI/HO/D/MO/PC COMP/C/85019/18/03/2024</v>
          </cell>
          <cell r="D806" t="str">
            <v>REN</v>
          </cell>
        </row>
        <row r="807">
          <cell r="B807" t="str">
            <v>KHI/HO/D/MO/PC COMP/C/85019/19/03/2024</v>
          </cell>
          <cell r="D807" t="str">
            <v>REN</v>
          </cell>
        </row>
        <row r="808">
          <cell r="B808" t="str">
            <v>KHI/HO/D/MO/PC COMP/C/85019/20/03/2024</v>
          </cell>
          <cell r="D808" t="str">
            <v>REN</v>
          </cell>
        </row>
        <row r="809">
          <cell r="B809" t="str">
            <v>KHI/HO/D/MO/PC COMP/C/85019/21/03/2024</v>
          </cell>
          <cell r="D809" t="str">
            <v>REN</v>
          </cell>
        </row>
        <row r="810">
          <cell r="B810" t="str">
            <v>KHI/HO/D/MO/PC COMP/C/85019/22/03/2024</v>
          </cell>
          <cell r="D810" t="str">
            <v>REN</v>
          </cell>
        </row>
        <row r="811">
          <cell r="B811" t="str">
            <v>KHI/HO/D/MO/PC COMP/C/85019/23/03/2024</v>
          </cell>
          <cell r="D811" t="str">
            <v>REN</v>
          </cell>
        </row>
        <row r="812">
          <cell r="B812" t="str">
            <v>KHI/HO/D/MO/PC COMP/C/85019/24/03/2024</v>
          </cell>
          <cell r="D812" t="str">
            <v>REN</v>
          </cell>
        </row>
        <row r="813">
          <cell r="B813" t="str">
            <v>KHI/HO/D/MO/PC COMP/C/85019/25/03/2024</v>
          </cell>
          <cell r="D813" t="str">
            <v>REN</v>
          </cell>
        </row>
        <row r="814">
          <cell r="B814" t="str">
            <v>KHI/HO/D/MO/PC COMP/C/85019/26/03/2024</v>
          </cell>
          <cell r="D814" t="str">
            <v>REN</v>
          </cell>
        </row>
        <row r="815">
          <cell r="B815" t="str">
            <v>KHI/HO/D/MO/PC COMP/C/85019/27/03/2024</v>
          </cell>
          <cell r="D815" t="str">
            <v>REN</v>
          </cell>
        </row>
        <row r="816">
          <cell r="B816" t="str">
            <v>KHI/HO/D/MO/PC COMP/C/85019/28/03/2024</v>
          </cell>
          <cell r="D816" t="str">
            <v>REN</v>
          </cell>
        </row>
        <row r="817">
          <cell r="B817" t="str">
            <v>KHI/HO/D/MO/PC COMP/C/85019/29/03/2024</v>
          </cell>
          <cell r="D817" t="str">
            <v>REN</v>
          </cell>
        </row>
        <row r="818">
          <cell r="B818" t="str">
            <v>KHI/HO/D/MO/PC COMP/C/85019/30/03/2024</v>
          </cell>
          <cell r="D818" t="str">
            <v>REN</v>
          </cell>
        </row>
        <row r="819">
          <cell r="B819" t="str">
            <v>KHI/HO/D/MO/PC COMP/C/85019/31/03/2024</v>
          </cell>
          <cell r="D819" t="str">
            <v>REN</v>
          </cell>
        </row>
        <row r="820">
          <cell r="B820" t="str">
            <v>KHI/HO/D/MO/PC COMP/C/85019/32/03/2024</v>
          </cell>
          <cell r="D820" t="str">
            <v>REN</v>
          </cell>
        </row>
        <row r="821">
          <cell r="B821" t="str">
            <v>KHI/HO/D/MO/PC COMP/C/84849/5/03/2024</v>
          </cell>
          <cell r="D821" t="str">
            <v>FRE</v>
          </cell>
        </row>
        <row r="822">
          <cell r="B822" t="str">
            <v>KHI/HO/D/MO/PC COMP/C/85047/1/03/2024</v>
          </cell>
          <cell r="D822" t="str">
            <v>REN</v>
          </cell>
        </row>
        <row r="823">
          <cell r="B823" t="str">
            <v>KHI/HO/D/MO/PC COMP/C/85047/2/03/2024</v>
          </cell>
          <cell r="D823" t="str">
            <v>REN</v>
          </cell>
        </row>
        <row r="824">
          <cell r="B824" t="str">
            <v>KHI/HO/D/MO/PC COMP/C/85047/3/03/2024</v>
          </cell>
          <cell r="D824" t="str">
            <v>REN</v>
          </cell>
        </row>
        <row r="825">
          <cell r="B825" t="str">
            <v>KHI/HO/D/MO/PC COMP/C/85047/4/03/2024</v>
          </cell>
          <cell r="D825" t="str">
            <v>REN</v>
          </cell>
        </row>
        <row r="826">
          <cell r="B826" t="str">
            <v>KHI/HO/D/MO/PC COMP/C/85047/5/03/2024</v>
          </cell>
          <cell r="D826" t="str">
            <v>REN</v>
          </cell>
        </row>
        <row r="827">
          <cell r="B827" t="str">
            <v>KHI/HO/D/MO/PC COMP/C/85047/6/03/2024</v>
          </cell>
          <cell r="D827" t="str">
            <v>REN</v>
          </cell>
        </row>
        <row r="828">
          <cell r="B828" t="str">
            <v>KHI/HO/D/MO/PC COMP/C/85047/7/03/2024</v>
          </cell>
          <cell r="D828" t="str">
            <v>REN</v>
          </cell>
        </row>
        <row r="829">
          <cell r="B829" t="str">
            <v>KHI/HO/D/MO/PC COMP/C/85047/8/03/2024</v>
          </cell>
          <cell r="D829" t="str">
            <v>REN</v>
          </cell>
        </row>
        <row r="830">
          <cell r="B830" t="str">
            <v>KHI/HO/D/MO/PC COMP/C/85047/9/03/2024</v>
          </cell>
          <cell r="D830" t="str">
            <v>REN</v>
          </cell>
        </row>
        <row r="831">
          <cell r="B831" t="str">
            <v>KHI/HO/D/MO/PC COMP/C/85047/10/03/2024</v>
          </cell>
          <cell r="D831" t="str">
            <v>REN</v>
          </cell>
        </row>
        <row r="832">
          <cell r="B832" t="str">
            <v>KHI/HO/D/MO/PC COMP/C/85047/11/03/2024</v>
          </cell>
          <cell r="D832" t="str">
            <v>REN</v>
          </cell>
        </row>
        <row r="833">
          <cell r="B833" t="str">
            <v>KHI/HO/D/MO/PC COMP/C/85047/12/03/2024</v>
          </cell>
          <cell r="D833" t="str">
            <v>REN</v>
          </cell>
        </row>
        <row r="834">
          <cell r="B834" t="str">
            <v>KHI/HO/D/MO/PC COMP/C/85047/13/03/2024</v>
          </cell>
          <cell r="D834" t="str">
            <v>REN</v>
          </cell>
        </row>
        <row r="835">
          <cell r="B835" t="str">
            <v>KHI/HO/D/MO/PC COMP/C/85047/14/03/2024</v>
          </cell>
          <cell r="D835" t="str">
            <v>REN</v>
          </cell>
        </row>
        <row r="836">
          <cell r="B836" t="str">
            <v>KHI/HO/D/MO/PC COMP/C/85047/15/03/2024</v>
          </cell>
          <cell r="D836" t="str">
            <v>REN</v>
          </cell>
        </row>
        <row r="837">
          <cell r="B837" t="str">
            <v>KHI/HO/D/MO/PC COMP/C/85047/16/03/2024</v>
          </cell>
          <cell r="D837" t="str">
            <v>REN</v>
          </cell>
        </row>
        <row r="838">
          <cell r="B838" t="str">
            <v>KHI/HO/D/MO/PC COMP/C/85047/17/03/2024</v>
          </cell>
          <cell r="D838" t="str">
            <v>REN</v>
          </cell>
        </row>
        <row r="839">
          <cell r="B839" t="str">
            <v>KHI/HO/D/MO/PC COMP/C/85047/18/03/2024</v>
          </cell>
          <cell r="D839" t="str">
            <v>REN</v>
          </cell>
        </row>
        <row r="840">
          <cell r="B840" t="str">
            <v>KHI/HO/D/MO/PC COMP/C/85047/19/03/2024</v>
          </cell>
          <cell r="D840" t="str">
            <v>REN</v>
          </cell>
        </row>
        <row r="841">
          <cell r="B841" t="str">
            <v>KHI/HO/D/MO/PC COMP/C/85047/20/03/2024</v>
          </cell>
          <cell r="D841" t="str">
            <v>REN</v>
          </cell>
        </row>
        <row r="842">
          <cell r="B842" t="str">
            <v>KHI/HO/D/MO/PC COMP/C/85047/21/03/2024</v>
          </cell>
          <cell r="D842" t="str">
            <v>REN</v>
          </cell>
        </row>
        <row r="843">
          <cell r="B843" t="str">
            <v>KHI/HO/D/MO/PC COMP/C/85047/22/03/2024</v>
          </cell>
          <cell r="D843" t="str">
            <v>REN</v>
          </cell>
        </row>
        <row r="844">
          <cell r="B844" t="str">
            <v>KHI/HO/D/MO/PC COMP/C/85047/23/03/2024</v>
          </cell>
          <cell r="D844" t="str">
            <v>REN</v>
          </cell>
        </row>
        <row r="845">
          <cell r="B845" t="str">
            <v>KHI/HO/D/MO/PC COMP/C/85047/24/03/2024</v>
          </cell>
          <cell r="D845" t="str">
            <v>REN</v>
          </cell>
        </row>
        <row r="846">
          <cell r="B846" t="str">
            <v>KHI/HO/D/MO/PC COMP/C/85047/25/03/2024</v>
          </cell>
          <cell r="D846" t="str">
            <v>REN</v>
          </cell>
        </row>
        <row r="847">
          <cell r="B847" t="str">
            <v>KHI/HO/D/MO/PC COMP/C/85047/26/03/2024</v>
          </cell>
          <cell r="D847" t="str">
            <v>REN</v>
          </cell>
        </row>
        <row r="848">
          <cell r="B848" t="str">
            <v>KHI/HO/D/MO/PC COMP/C/85047/27/03/2024</v>
          </cell>
          <cell r="D848" t="str">
            <v>REN</v>
          </cell>
        </row>
        <row r="849">
          <cell r="B849" t="str">
            <v>KHI/HO/D/MO/PC COMP/C/85047/28/03/2024</v>
          </cell>
          <cell r="D849" t="str">
            <v>REN</v>
          </cell>
        </row>
        <row r="850">
          <cell r="B850" t="str">
            <v>KHI/HO/D/MO/PC COMP/C/85047/29/03/2024</v>
          </cell>
          <cell r="D850" t="str">
            <v>REN</v>
          </cell>
        </row>
        <row r="851">
          <cell r="B851" t="str">
            <v>KHI/HO/D/MO/PC COMP/C/85047/30/03/2024</v>
          </cell>
          <cell r="D851" t="str">
            <v>REN</v>
          </cell>
        </row>
        <row r="852">
          <cell r="B852" t="str">
            <v>KHI/HO/D/MO/PC COMP/C/85047/31/03/2024</v>
          </cell>
          <cell r="D852" t="str">
            <v>REN</v>
          </cell>
        </row>
        <row r="853">
          <cell r="B853" t="str">
            <v>KHI/HO/D/MO/PC COMP/C/85047/32/03/2024</v>
          </cell>
          <cell r="D853" t="str">
            <v>REN</v>
          </cell>
        </row>
        <row r="854">
          <cell r="B854" t="str">
            <v>KHI/HO/D/MO/PC COMP/C/85047/33/03/2024</v>
          </cell>
          <cell r="D854" t="str">
            <v>REN</v>
          </cell>
        </row>
        <row r="855">
          <cell r="B855" t="str">
            <v>KHI/HO/D/MO/PC COMP/C/85047/34/03/2024</v>
          </cell>
          <cell r="D855" t="str">
            <v>REN</v>
          </cell>
        </row>
        <row r="856">
          <cell r="B856" t="str">
            <v>KHI/HO/D/MO/PC COMP/C/85047/35/03/2024</v>
          </cell>
          <cell r="D856" t="str">
            <v>REN</v>
          </cell>
        </row>
        <row r="857">
          <cell r="B857" t="str">
            <v>KHI/HO/D/MO/PC COMP/C/85047/36/03/2024</v>
          </cell>
          <cell r="D857" t="str">
            <v>REN</v>
          </cell>
        </row>
        <row r="858">
          <cell r="B858" t="str">
            <v>KHI/HO/D/MO/PC COMP/C/85047/37/03/2024</v>
          </cell>
          <cell r="D858" t="str">
            <v>REN</v>
          </cell>
        </row>
        <row r="859">
          <cell r="B859" t="str">
            <v>KHI/HO/D/MO/PC COMP/C/85047/38/03/2024</v>
          </cell>
          <cell r="D859" t="str">
            <v>REN</v>
          </cell>
        </row>
        <row r="860">
          <cell r="B860" t="str">
            <v>KHI/HO/D/MO/PC COMP/C/85047/39/03/2024</v>
          </cell>
          <cell r="D860" t="str">
            <v>REN</v>
          </cell>
        </row>
        <row r="861">
          <cell r="B861" t="str">
            <v>KHI/HO/D/MO/PC COMP/C/85047/40/03/2024</v>
          </cell>
          <cell r="D861" t="str">
            <v>REN</v>
          </cell>
        </row>
        <row r="862">
          <cell r="B862" t="str">
            <v>KHI/HO/D/MO/PC COMP/C/85047/41/03/2024</v>
          </cell>
          <cell r="D862" t="str">
            <v>REN</v>
          </cell>
        </row>
        <row r="863">
          <cell r="B863" t="str">
            <v>KHI/HO/D/MO/PC COMP/C/85047/42/03/2024</v>
          </cell>
          <cell r="D863" t="str">
            <v>REN</v>
          </cell>
        </row>
        <row r="864">
          <cell r="B864" t="str">
            <v>KHI/HO/D/MO/PC COMP/C/85047/43/03/2024</v>
          </cell>
          <cell r="D864" t="str">
            <v>REN</v>
          </cell>
        </row>
        <row r="865">
          <cell r="B865" t="str">
            <v>KHI/HO/D/MO/PC COMP/C/85047/44/03/2024</v>
          </cell>
          <cell r="D865" t="str">
            <v>REN</v>
          </cell>
        </row>
        <row r="866">
          <cell r="B866" t="str">
            <v>KHI/HO/D/MO/PC COMP/C/85047/45/03/2024</v>
          </cell>
          <cell r="D866" t="str">
            <v>REN</v>
          </cell>
        </row>
        <row r="867">
          <cell r="B867" t="str">
            <v>KHI/HO/D/MO/PC COMP/C/85047/46/03/2024</v>
          </cell>
          <cell r="D867" t="str">
            <v>REN</v>
          </cell>
        </row>
        <row r="868">
          <cell r="B868" t="str">
            <v>KHI/HO/D/MO/PC COMP/C/85047/47/03/2024</v>
          </cell>
          <cell r="D868" t="str">
            <v>REN</v>
          </cell>
        </row>
        <row r="869">
          <cell r="B869" t="str">
            <v>KHI/HO/D/MO/PC COMP/C/85047/48/03/2024</v>
          </cell>
          <cell r="D869" t="str">
            <v>REN</v>
          </cell>
        </row>
        <row r="870">
          <cell r="B870" t="str">
            <v>KHI/HO/D/MO/PC COMP/C/85047/49/03/2024</v>
          </cell>
          <cell r="D870" t="str">
            <v>REN</v>
          </cell>
        </row>
        <row r="871">
          <cell r="B871" t="str">
            <v>KHI/HO/D/MO/PC COMP/C/85047/50/03/2024</v>
          </cell>
          <cell r="D871" t="str">
            <v>REN</v>
          </cell>
        </row>
        <row r="872">
          <cell r="B872" t="str">
            <v>KHI/HO/D/MO/PC COMP/C/85047/51/03/2024</v>
          </cell>
          <cell r="D872" t="str">
            <v>REN</v>
          </cell>
        </row>
        <row r="873">
          <cell r="B873" t="str">
            <v>KHI/HO/D/MO/PC COMP/C/85047/52/03/2024</v>
          </cell>
          <cell r="D873" t="str">
            <v>REN</v>
          </cell>
        </row>
        <row r="874">
          <cell r="B874" t="str">
            <v>KHI/HO/D/MO/PC COMP/C/85047/53/03/2024</v>
          </cell>
          <cell r="D874" t="str">
            <v>REN</v>
          </cell>
        </row>
        <row r="875">
          <cell r="B875" t="str">
            <v>KHI/HO/D/MO/PC COMP/C/85047/54/03/2024</v>
          </cell>
          <cell r="D875" t="str">
            <v>REN</v>
          </cell>
        </row>
        <row r="876">
          <cell r="B876" t="str">
            <v>KHI/HO/D/MO/PC COMP/C/85047/55/03/2024</v>
          </cell>
          <cell r="D876" t="str">
            <v>REN</v>
          </cell>
        </row>
        <row r="877">
          <cell r="B877" t="str">
            <v>KHI/HO/D/MO/PC COMP/C/85047/56/03/2024</v>
          </cell>
          <cell r="D877" t="str">
            <v>REN</v>
          </cell>
        </row>
        <row r="878">
          <cell r="B878" t="str">
            <v>KHI/HO/D/MO/PC COMP/C/85047/57/03/2024</v>
          </cell>
          <cell r="D878" t="str">
            <v>REN</v>
          </cell>
        </row>
        <row r="879">
          <cell r="B879" t="str">
            <v>KHI/HO/D/MO/PC COMP/C/85047/58/03/2024</v>
          </cell>
          <cell r="D879" t="str">
            <v>REN</v>
          </cell>
        </row>
        <row r="880">
          <cell r="B880" t="str">
            <v>KHI/HO/D/MO/PC COMP/C/85047/59/03/2024</v>
          </cell>
          <cell r="D880" t="str">
            <v>REN</v>
          </cell>
        </row>
        <row r="881">
          <cell r="B881" t="str">
            <v>KHI/HO/D/MO/PC COMP/C/85047/60/03/2024</v>
          </cell>
          <cell r="D881" t="str">
            <v>REN</v>
          </cell>
        </row>
        <row r="882">
          <cell r="B882" t="str">
            <v>KHI/HO/D/MO/PC COMP/C/85047/61/03/2024</v>
          </cell>
          <cell r="D882" t="str">
            <v>REN</v>
          </cell>
        </row>
        <row r="883">
          <cell r="B883" t="str">
            <v>KHI/HO/D/MO/PC COMP/C/85047/62/03/2024</v>
          </cell>
          <cell r="D883" t="str">
            <v>REN</v>
          </cell>
        </row>
        <row r="884">
          <cell r="B884" t="str">
            <v>KHI/HO/D/MO/PC COMP/C/85047/63/03/2024</v>
          </cell>
          <cell r="D884" t="str">
            <v>REN</v>
          </cell>
        </row>
        <row r="885">
          <cell r="B885" t="str">
            <v>KHI/HO/D/MO/PC COMP/C/85047/64/03/2024</v>
          </cell>
          <cell r="D885" t="str">
            <v>REN</v>
          </cell>
        </row>
        <row r="886">
          <cell r="B886" t="str">
            <v>KHI/HO/D/MO/PC COMP/C/85047/65/03/2024</v>
          </cell>
          <cell r="D886" t="str">
            <v>REN</v>
          </cell>
        </row>
        <row r="887">
          <cell r="B887" t="str">
            <v>KHI/HO/D/MO/PC COMP/C/85047/66/03/2024</v>
          </cell>
          <cell r="D887" t="str">
            <v>REN</v>
          </cell>
        </row>
        <row r="888">
          <cell r="B888" t="str">
            <v>KHI/HO/D/MO/PC COMP/C/85047/67/03/2024</v>
          </cell>
          <cell r="D888" t="str">
            <v>REN</v>
          </cell>
        </row>
        <row r="889">
          <cell r="B889" t="str">
            <v>KHI/HO/D/MO/PC COMP/C/85047/68/03/2024</v>
          </cell>
          <cell r="D889" t="str">
            <v>REN</v>
          </cell>
        </row>
        <row r="890">
          <cell r="B890" t="str">
            <v>KHI/HO/D/MO/PC COMP/C/85047/69/03/2024</v>
          </cell>
          <cell r="D890" t="str">
            <v>REN</v>
          </cell>
        </row>
        <row r="891">
          <cell r="B891" t="str">
            <v>KHI/HO/D/MO/PC COMP/C/85047/70/03/2024</v>
          </cell>
          <cell r="D891" t="str">
            <v>REN</v>
          </cell>
        </row>
        <row r="892">
          <cell r="B892" t="str">
            <v>KHI/HO/D/MO/PC COMP/C/85047/71/03/2024</v>
          </cell>
          <cell r="D892" t="str">
            <v>REN</v>
          </cell>
        </row>
        <row r="893">
          <cell r="B893" t="str">
            <v>KHI/HO/D/MO/PC COMP/C/85047/72/03/2024</v>
          </cell>
          <cell r="D893" t="str">
            <v>REN</v>
          </cell>
        </row>
        <row r="894">
          <cell r="B894" t="str">
            <v>KHI/HO/D/MO/PC COMP/C/85047/73/03/2024</v>
          </cell>
          <cell r="D894" t="str">
            <v>REN</v>
          </cell>
        </row>
        <row r="895">
          <cell r="B895" t="str">
            <v>KHI/HO/D/MO/PC COMP/C/85047/74/03/2024</v>
          </cell>
          <cell r="D895" t="str">
            <v>REN</v>
          </cell>
        </row>
        <row r="896">
          <cell r="B896" t="str">
            <v>KHI/HO/D/MO/PC COMP/C/85047/75/03/2024</v>
          </cell>
          <cell r="D896" t="str">
            <v>REN</v>
          </cell>
        </row>
        <row r="897">
          <cell r="B897" t="str">
            <v>KHI/HO/D/MO/PC COMP/C/85047/76/03/2024</v>
          </cell>
          <cell r="D897" t="str">
            <v>REN</v>
          </cell>
        </row>
        <row r="898">
          <cell r="B898" t="str">
            <v>KHI/HO/D/MO/PC COMP/C/85047/77/03/2024</v>
          </cell>
          <cell r="D898" t="str">
            <v>REN</v>
          </cell>
        </row>
        <row r="899">
          <cell r="B899" t="str">
            <v>KHI/HO/D/MO/PC COMP/C/85047/78/03/2024</v>
          </cell>
          <cell r="D899" t="str">
            <v>REN</v>
          </cell>
        </row>
        <row r="900">
          <cell r="B900" t="str">
            <v>KHI/HO/D/MO/PC COMP/C/85047/79/03/2024</v>
          </cell>
          <cell r="D900" t="str">
            <v>REN</v>
          </cell>
        </row>
        <row r="901">
          <cell r="B901" t="str">
            <v>KHI/HO/D/MO/PC COMP/C/85047/80/03/2024</v>
          </cell>
          <cell r="D901" t="str">
            <v>REN</v>
          </cell>
        </row>
        <row r="902">
          <cell r="B902" t="str">
            <v>KHI/HO/D/MO/PC COMP/C/85047/81/03/2024</v>
          </cell>
          <cell r="D902" t="str">
            <v>REN</v>
          </cell>
        </row>
        <row r="903">
          <cell r="B903" t="str">
            <v>KHI/HO/D/MO/PC COMP/C/85047/82/03/2024</v>
          </cell>
          <cell r="D903" t="str">
            <v>REN</v>
          </cell>
        </row>
        <row r="904">
          <cell r="B904" t="str">
            <v>KHI/HO/D/MO/PC COMP/C/85047/83/03/2024</v>
          </cell>
          <cell r="D904" t="str">
            <v>REN</v>
          </cell>
        </row>
        <row r="905">
          <cell r="B905" t="str">
            <v>KHI/HO/D/MO/PC COMP/C/85047/84/03/2024</v>
          </cell>
          <cell r="D905" t="str">
            <v>REN</v>
          </cell>
        </row>
        <row r="906">
          <cell r="B906" t="str">
            <v>KHI/HO/D/MO/PC COMP/C/85047/85/03/2024</v>
          </cell>
          <cell r="D906" t="str">
            <v>REN</v>
          </cell>
        </row>
        <row r="907">
          <cell r="B907" t="str">
            <v>KHI/HO/D/MO/PC COMP/C/85047/86/03/2024</v>
          </cell>
          <cell r="D907" t="str">
            <v>REN</v>
          </cell>
        </row>
        <row r="908">
          <cell r="B908" t="str">
            <v>KHI/HO/D/MO/PC COMP/C/85047/87/03/2024</v>
          </cell>
          <cell r="D908" t="str">
            <v>REN</v>
          </cell>
        </row>
        <row r="909">
          <cell r="B909" t="str">
            <v>KHI/HO/D/MO/PC COMP/C/85047/88/03/2024</v>
          </cell>
          <cell r="D909" t="str">
            <v>REN</v>
          </cell>
        </row>
        <row r="910">
          <cell r="B910" t="str">
            <v>KHI/HO/D/MO/PC COMP/C/85047/89/03/2024</v>
          </cell>
          <cell r="D910" t="str">
            <v>REN</v>
          </cell>
        </row>
        <row r="911">
          <cell r="B911" t="str">
            <v>KHI/HO/D/MO/PC COMP/C/85047/90/03/2024</v>
          </cell>
          <cell r="D911" t="str">
            <v>REN</v>
          </cell>
        </row>
        <row r="912">
          <cell r="B912" t="str">
            <v>KHI/HO/D/MO/PC COMP/C/85047/91/03/2024</v>
          </cell>
          <cell r="D912" t="str">
            <v>REN</v>
          </cell>
        </row>
        <row r="913">
          <cell r="B913" t="str">
            <v>KHI/HO/D/MO/PC COMP/C/85047/92/03/2024</v>
          </cell>
          <cell r="D913" t="str">
            <v>REN</v>
          </cell>
        </row>
        <row r="914">
          <cell r="B914" t="str">
            <v>KHI/HO/D/MO/PC COMP/C/85047/93/03/2024</v>
          </cell>
          <cell r="D914" t="str">
            <v>REN</v>
          </cell>
        </row>
        <row r="915">
          <cell r="B915" t="str">
            <v>KHI/HO/D/MO/PC COMP/C/85047/94/03/2024</v>
          </cell>
          <cell r="D915" t="str">
            <v>REN</v>
          </cell>
        </row>
        <row r="916">
          <cell r="B916" t="str">
            <v>KHI/HO/D/MO/PC COMP/C/85065/1/03/2024</v>
          </cell>
          <cell r="D916" t="str">
            <v>REN</v>
          </cell>
        </row>
        <row r="917">
          <cell r="B917" t="str">
            <v>KHI/HO/D/MO/PC COMP/C/85065/2/03/2024</v>
          </cell>
          <cell r="D917" t="str">
            <v>REN</v>
          </cell>
        </row>
        <row r="918">
          <cell r="B918" t="str">
            <v>KHI/HO/D/MO/PC COMP/C/85065/3/03/2024</v>
          </cell>
          <cell r="D918" t="str">
            <v>REN</v>
          </cell>
        </row>
        <row r="919">
          <cell r="B919" t="str">
            <v>KHI/HO/D/MO/PC COMP/C/85065/4/03/2024</v>
          </cell>
          <cell r="D919" t="str">
            <v>REN</v>
          </cell>
        </row>
        <row r="920">
          <cell r="B920" t="str">
            <v>KHI/HO/D/MO/PC COMP/C/85065/5/03/2024</v>
          </cell>
          <cell r="D920" t="str">
            <v>REN</v>
          </cell>
        </row>
        <row r="921">
          <cell r="B921" t="str">
            <v>KHI/HO/D/MO/PC COMP/C/85065/6/03/2024</v>
          </cell>
          <cell r="D921" t="str">
            <v>REN</v>
          </cell>
        </row>
        <row r="922">
          <cell r="B922" t="str">
            <v>KHI/HO/D/MO/PC COMP/C/85065/7/03/2024</v>
          </cell>
          <cell r="D922" t="str">
            <v>REN</v>
          </cell>
        </row>
        <row r="923">
          <cell r="B923" t="str">
            <v>KHI/HO/D/MO/PC COMP/C/85065/8/03/2024</v>
          </cell>
          <cell r="D923" t="str">
            <v>REN</v>
          </cell>
        </row>
        <row r="924">
          <cell r="B924" t="str">
            <v>KHI/HO/D/MO/PC COMP/C/85065/9/03/2024</v>
          </cell>
          <cell r="D924" t="str">
            <v>REN</v>
          </cell>
        </row>
        <row r="925">
          <cell r="B925" t="str">
            <v>KHI/HO/D/MO/PC COMP/C/85065/10/03/2024</v>
          </cell>
          <cell r="D925" t="str">
            <v>REN</v>
          </cell>
        </row>
        <row r="926">
          <cell r="B926" t="str">
            <v>KHI/HO/D/MO/PC COMP/C/85065/11/03/2024</v>
          </cell>
          <cell r="D926" t="str">
            <v>REN</v>
          </cell>
        </row>
        <row r="927">
          <cell r="B927" t="str">
            <v>KHI/HO/D/MO/PC COMP/C/85065/12/03/2024</v>
          </cell>
          <cell r="D927" t="str">
            <v>REN</v>
          </cell>
        </row>
        <row r="928">
          <cell r="B928" t="str">
            <v>KHI/HO/D/MO/PC COMP/C/85065/13/03/2024</v>
          </cell>
          <cell r="D928" t="str">
            <v>REN</v>
          </cell>
        </row>
        <row r="929">
          <cell r="B929" t="str">
            <v>KHI/HO/D/MO/PC COMP/C/85065/14/03/2024</v>
          </cell>
          <cell r="D929" t="str">
            <v>REN</v>
          </cell>
        </row>
        <row r="930">
          <cell r="B930" t="str">
            <v>KHI/HO/D/MO/PC COMP/C/85065/15/03/2024</v>
          </cell>
          <cell r="D930" t="str">
            <v>REN</v>
          </cell>
        </row>
        <row r="931">
          <cell r="B931" t="str">
            <v>KHI/HO/D/MO/PC COMP/C/85065/16/03/2024</v>
          </cell>
          <cell r="D931" t="str">
            <v>REN</v>
          </cell>
        </row>
        <row r="932">
          <cell r="B932" t="str">
            <v>KHI/HO/D/MO/PC COMP/C/85065/17/03/2024</v>
          </cell>
          <cell r="D932" t="str">
            <v>REN</v>
          </cell>
        </row>
        <row r="933">
          <cell r="B933" t="str">
            <v>KHI/HO/D/MO/PC COMP/C/85065/18/03/2024</v>
          </cell>
          <cell r="D933" t="str">
            <v>REN</v>
          </cell>
        </row>
        <row r="934">
          <cell r="B934" t="str">
            <v>KHI/HO/D/MO/PC COMP/C/85065/19/03/2024</v>
          </cell>
          <cell r="D934" t="str">
            <v>REN</v>
          </cell>
        </row>
        <row r="935">
          <cell r="B935" t="str">
            <v>KHI/HO/D/MO/PC COMP/C/85065/20/03/2024</v>
          </cell>
          <cell r="D935" t="str">
            <v>REN</v>
          </cell>
        </row>
        <row r="936">
          <cell r="B936" t="str">
            <v>KHI/HO/D/MO/PC COMP/C/85065/21/03/2024</v>
          </cell>
          <cell r="D936" t="str">
            <v>REN</v>
          </cell>
        </row>
        <row r="937">
          <cell r="B937" t="str">
            <v>KHI/HO/D/MO/PC COMP/C/85065/22/03/2024</v>
          </cell>
          <cell r="D937" t="str">
            <v>REN</v>
          </cell>
        </row>
        <row r="938">
          <cell r="B938" t="str">
            <v>KHI/HO/D/MO/PC COMP/C/85065/23/03/2024</v>
          </cell>
          <cell r="D938" t="str">
            <v>REN</v>
          </cell>
        </row>
        <row r="939">
          <cell r="B939" t="str">
            <v>KHI/HO/D/MO/PC COMP/C/85065/24/03/2024</v>
          </cell>
          <cell r="D939" t="str">
            <v>REN</v>
          </cell>
        </row>
        <row r="940">
          <cell r="B940" t="str">
            <v>KHI/HO/D/MO/PC COMP/C/85065/25/03/2024</v>
          </cell>
          <cell r="D940" t="str">
            <v>REN</v>
          </cell>
        </row>
        <row r="941">
          <cell r="B941" t="str">
            <v>KHI/HO/D/MO/PC COMP/C/85065/26/03/2024</v>
          </cell>
          <cell r="D941" t="str">
            <v>REN</v>
          </cell>
        </row>
        <row r="942">
          <cell r="B942" t="str">
            <v>KHI/HO/D/MO/PC COMP/C/85065/27/03/2024</v>
          </cell>
          <cell r="D942" t="str">
            <v>REN</v>
          </cell>
        </row>
        <row r="943">
          <cell r="B943" t="str">
            <v>KHI/HO/D/MO/PC COMP/C/85065/28/03/2024</v>
          </cell>
          <cell r="D943" t="str">
            <v>REN</v>
          </cell>
        </row>
        <row r="944">
          <cell r="B944" t="str">
            <v>KHI/HO/D/MO/PC COMP/C/85065/29/03/2024</v>
          </cell>
          <cell r="D944" t="str">
            <v>REN</v>
          </cell>
        </row>
        <row r="945">
          <cell r="B945" t="str">
            <v>KHI/HO/D/MO/PC COMP/C/85065/30/03/2024</v>
          </cell>
          <cell r="D945" t="str">
            <v>REN</v>
          </cell>
        </row>
        <row r="946">
          <cell r="B946" t="str">
            <v>KHI/HO/D/MO/PC COMP/C/85065/31/03/2024</v>
          </cell>
          <cell r="D946" t="str">
            <v>REN</v>
          </cell>
        </row>
        <row r="947">
          <cell r="B947" t="str">
            <v>KHI/HO/D/MO/PC COMP/C/85065/32/03/2024</v>
          </cell>
          <cell r="D947" t="str">
            <v>REN</v>
          </cell>
        </row>
        <row r="948">
          <cell r="B948" t="str">
            <v>KHI/HO/D/MO/PC COMP/C/85065/33/03/2024</v>
          </cell>
          <cell r="D948" t="str">
            <v>REN</v>
          </cell>
        </row>
        <row r="949">
          <cell r="B949" t="str">
            <v>KHI/HO/D/MO/PC COMP/C/85065/34/03/2024</v>
          </cell>
          <cell r="D949" t="str">
            <v>REN</v>
          </cell>
        </row>
        <row r="950">
          <cell r="B950" t="str">
            <v>KHI/HO/D/MO/PC COMP/C/85077/1/03/2024</v>
          </cell>
          <cell r="D950" t="str">
            <v>REN</v>
          </cell>
        </row>
        <row r="951">
          <cell r="B951" t="str">
            <v>KHI/HO/D/MO/PC COMP/C/85077/2/03/2024</v>
          </cell>
          <cell r="D951" t="str">
            <v>REN</v>
          </cell>
        </row>
        <row r="952">
          <cell r="B952" t="str">
            <v>KHI/HO/D/MO/PC COMP/C/85077/3/03/2024</v>
          </cell>
          <cell r="D952" t="str">
            <v>REN</v>
          </cell>
        </row>
        <row r="953">
          <cell r="B953" t="str">
            <v>KHI/HO/D/MO/PC COMP/C/85077/4/03/2024</v>
          </cell>
          <cell r="D953" t="str">
            <v>REN</v>
          </cell>
        </row>
        <row r="954">
          <cell r="B954" t="str">
            <v>KHI/HO/D/MO/PC COMP/C/85077/5/03/2024</v>
          </cell>
          <cell r="D954" t="str">
            <v>REN</v>
          </cell>
        </row>
        <row r="955">
          <cell r="B955" t="str">
            <v>KHI/HO/D/MO/PC COMP/C/85077/6/03/2024</v>
          </cell>
          <cell r="D955" t="str">
            <v>REN</v>
          </cell>
        </row>
        <row r="956">
          <cell r="B956" t="str">
            <v>KHI/HO/D/MO/PC COMP/C/84849/6/03/2024</v>
          </cell>
          <cell r="D956" t="str">
            <v>FRE</v>
          </cell>
        </row>
        <row r="957">
          <cell r="B957" t="str">
            <v>KHI/HO/D/MO/PC COMP/C/84849/7/03/2024</v>
          </cell>
          <cell r="D957" t="str">
            <v>FRE</v>
          </cell>
        </row>
        <row r="958">
          <cell r="B958" t="str">
            <v>KHI/HO/D/MO/PC COMP/C/84849/8/03/2024</v>
          </cell>
          <cell r="D958" t="str">
            <v>FRE</v>
          </cell>
        </row>
        <row r="959">
          <cell r="B959" t="str">
            <v>KHI/HO/D/MO/PC COMP/C/84849/9/03/2024</v>
          </cell>
          <cell r="D959" t="str">
            <v>FRE</v>
          </cell>
        </row>
        <row r="960">
          <cell r="B960" t="str">
            <v>KHI/HO/D/MO/PC COMP/C/84849/10/03/2024</v>
          </cell>
          <cell r="D960" t="str">
            <v>FRE</v>
          </cell>
        </row>
        <row r="961">
          <cell r="B961" t="str">
            <v>KHI/HO/D/MO/PC COMP/C/84849/11/03/2024</v>
          </cell>
          <cell r="D961" t="str">
            <v>FRE</v>
          </cell>
        </row>
        <row r="962">
          <cell r="B962" t="str">
            <v>KHI/HO/D/MO/PC COMP/C/84849/12/03/2024</v>
          </cell>
          <cell r="D962" t="str">
            <v>FRE</v>
          </cell>
        </row>
        <row r="963">
          <cell r="B963" t="str">
            <v>KHI/HO/D/MO/PC COMP/C/84849/13/03/2024</v>
          </cell>
          <cell r="D963" t="str">
            <v>FRE</v>
          </cell>
        </row>
        <row r="964">
          <cell r="B964" t="str">
            <v>KHI/HO/D/MO/PC COMP/C/84849/14/03/2024</v>
          </cell>
          <cell r="D964" t="str">
            <v>FRE</v>
          </cell>
        </row>
        <row r="965">
          <cell r="B965" t="str">
            <v>KHI/HO/D/MO/PC COMP/C/84849/15/03/2024</v>
          </cell>
          <cell r="D965" t="str">
            <v>FRE</v>
          </cell>
        </row>
        <row r="966">
          <cell r="B966" t="str">
            <v>KHI/HO/D/MO/PC COMP/C/84849/16/03/2024</v>
          </cell>
          <cell r="D966" t="str">
            <v>FRE</v>
          </cell>
        </row>
        <row r="967">
          <cell r="B967" t="str">
            <v>KHI/HO/D/MO/PC COMP/C/84849/17/03/2024</v>
          </cell>
          <cell r="D967" t="str">
            <v>FRE</v>
          </cell>
        </row>
        <row r="968">
          <cell r="B968" t="str">
            <v>KHI/HO/D/MO/PC COMP/C/84849/18/03/2024</v>
          </cell>
          <cell r="D968" t="str">
            <v>FRE</v>
          </cell>
        </row>
        <row r="969">
          <cell r="B969" t="str">
            <v>KHI/HO/D/MO/PC COMP/C/84849/19/03/2024</v>
          </cell>
          <cell r="D969" t="str">
            <v>FRE</v>
          </cell>
        </row>
        <row r="970">
          <cell r="B970" t="str">
            <v>KHI/HO/D/MO/PC COMP/C/84849/20/03/2024</v>
          </cell>
          <cell r="D970" t="str">
            <v>FRE</v>
          </cell>
        </row>
        <row r="971">
          <cell r="B971" t="str">
            <v>KHI/HO/D/MO/PC COMP/C/84849/21/03/2024</v>
          </cell>
          <cell r="D971" t="str">
            <v>FRE</v>
          </cell>
        </row>
        <row r="972">
          <cell r="B972" t="str">
            <v>KHI/HO/D/MO/PC COMP/C/84849/22/03/2024</v>
          </cell>
          <cell r="D972" t="str">
            <v>FRE</v>
          </cell>
        </row>
        <row r="973">
          <cell r="B973" t="str">
            <v>KHI/HO/D/MO/CV/C/86139/1/03/2024</v>
          </cell>
          <cell r="D973" t="str">
            <v>FRE</v>
          </cell>
        </row>
        <row r="974">
          <cell r="B974" t="str">
            <v>KHI/HO/D/MO/PC COMP/C/84849/23/03/2024</v>
          </cell>
          <cell r="D974" t="str">
            <v>FRE</v>
          </cell>
        </row>
        <row r="975">
          <cell r="B975" t="str">
            <v>KHI/HO/D/MO/PC COMP/C/84849/24/03/2024</v>
          </cell>
          <cell r="D975" t="str">
            <v>FRE</v>
          </cell>
        </row>
        <row r="976">
          <cell r="B976" t="str">
            <v>KHI/HO/D/MO/PC COMP/C/84849/25/03/2024</v>
          </cell>
          <cell r="D976" t="str">
            <v>FRE</v>
          </cell>
        </row>
        <row r="977">
          <cell r="B977" t="str">
            <v>KHI/HO/D/MO/PC COMP/C/84849/26/03/2024</v>
          </cell>
          <cell r="D977" t="str">
            <v>FRE</v>
          </cell>
        </row>
        <row r="978">
          <cell r="B978" t="str">
            <v>KHI/HO/D/MO/PC COMP/C/84849/27/03/2024</v>
          </cell>
          <cell r="D978" t="str">
            <v>FRE</v>
          </cell>
        </row>
        <row r="979">
          <cell r="B979" t="str">
            <v>KHI/HO/D/MO/PC COMP/C/84849/28/03/2024</v>
          </cell>
          <cell r="D979" t="str">
            <v>FRE</v>
          </cell>
        </row>
        <row r="980">
          <cell r="B980" t="str">
            <v>KHI/HO/D/MO/PC COMP/C/84849/29/03/2024</v>
          </cell>
          <cell r="D980" t="str">
            <v>FRE</v>
          </cell>
        </row>
        <row r="981">
          <cell r="B981" t="str">
            <v>KHI/HO/D/MO/PC COMP/C/84849/30/03/2024</v>
          </cell>
          <cell r="D981" t="str">
            <v>FRE</v>
          </cell>
        </row>
        <row r="982">
          <cell r="B982" t="str">
            <v>KHI/HO/D/MO/CV/C/86139/2/03/2024</v>
          </cell>
          <cell r="D982" t="str">
            <v>FRE</v>
          </cell>
        </row>
        <row r="983">
          <cell r="B983" t="str">
            <v>KHI/HO/D/MO/PC COMP/C/84849/31/03/2024</v>
          </cell>
          <cell r="D983" t="str">
            <v>FRE</v>
          </cell>
        </row>
        <row r="984">
          <cell r="B984" t="str">
            <v>KHI/HO/D/MO/PC COMP/C/84849/32/03/2024</v>
          </cell>
          <cell r="D984" t="str">
            <v>FRE</v>
          </cell>
        </row>
        <row r="985">
          <cell r="B985" t="str">
            <v>KHI/HO/D/MO/PC COMP/C/84849/33/03/2024</v>
          </cell>
          <cell r="D985" t="str">
            <v>FRE</v>
          </cell>
        </row>
        <row r="986">
          <cell r="B986" t="str">
            <v>KHI/HO/D/MO/PC COMP/C/84849/34/03/2024</v>
          </cell>
          <cell r="D986" t="str">
            <v>FRE</v>
          </cell>
        </row>
        <row r="987">
          <cell r="B987" t="str">
            <v>KHI/HO/D/MO/PC COMP/C/84849/35/03/2024</v>
          </cell>
          <cell r="D987" t="str">
            <v>FRE</v>
          </cell>
        </row>
        <row r="988">
          <cell r="B988" t="str">
            <v>KHI/HO/D/MO/PC COMP/C/84849/36/03/2024</v>
          </cell>
          <cell r="D988" t="str">
            <v>FRE</v>
          </cell>
        </row>
        <row r="989">
          <cell r="B989" t="str">
            <v>KHI/HO/D/MO/PC COMP/C/84849/37/03/2024</v>
          </cell>
          <cell r="D989" t="str">
            <v>FRE</v>
          </cell>
        </row>
        <row r="990">
          <cell r="B990" t="str">
            <v>KHI/HO/D/MO/PC COMP/C/84849/38/03/2024</v>
          </cell>
          <cell r="D990" t="str">
            <v>FRE</v>
          </cell>
        </row>
        <row r="991">
          <cell r="B991" t="str">
            <v>KHI/HO/D/MO/PC COMP/C/84849/39/03/2024</v>
          </cell>
          <cell r="D991" t="str">
            <v>FRE</v>
          </cell>
        </row>
        <row r="992">
          <cell r="B992" t="str">
            <v>KHI/HO/D/MO/PC COMP/C/84849/40/03/2024</v>
          </cell>
          <cell r="D992" t="str">
            <v>FRE</v>
          </cell>
        </row>
        <row r="993">
          <cell r="B993" t="str">
            <v>KHI/HO/D/MO/PC COMP/C/84849/41/03/2024</v>
          </cell>
          <cell r="D993" t="str">
            <v>FRE</v>
          </cell>
        </row>
        <row r="994">
          <cell r="B994" t="str">
            <v>KHI/HO/D/MO/PC COMP/C/84849/42/03/2024</v>
          </cell>
          <cell r="D994" t="str">
            <v>FRE</v>
          </cell>
        </row>
        <row r="995">
          <cell r="B995" t="str">
            <v>KHI/HO/D/MO/PC COMP/C/84849/43/03/2024</v>
          </cell>
          <cell r="D995" t="str">
            <v>FRE</v>
          </cell>
        </row>
        <row r="996">
          <cell r="B996" t="str">
            <v>KHI/HO/D/MO/PC COMP/C/84849/44/03/2024</v>
          </cell>
          <cell r="D996" t="str">
            <v>FRE</v>
          </cell>
        </row>
        <row r="997">
          <cell r="B997" t="str">
            <v>KHI/HO/D/MO/PC COMP/C/84849/45/03/2024</v>
          </cell>
          <cell r="D997" t="str">
            <v>FRE</v>
          </cell>
        </row>
        <row r="998">
          <cell r="B998" t="str">
            <v>KHI/HO/D/MO/PC COMP/C/84849/46/03/2024</v>
          </cell>
          <cell r="D998" t="str">
            <v>FRE</v>
          </cell>
        </row>
        <row r="999">
          <cell r="B999" t="str">
            <v>KHI/HO/D/MO/PC COMP/C/84849/47/03/2024</v>
          </cell>
          <cell r="D999" t="str">
            <v>FRE</v>
          </cell>
        </row>
        <row r="1000">
          <cell r="B1000" t="str">
            <v>KHI/HO/D/MO/PC COMP/C/84849/48/03/2024</v>
          </cell>
          <cell r="D1000" t="str">
            <v>FRE</v>
          </cell>
        </row>
        <row r="1001">
          <cell r="B1001" t="str">
            <v>KHI/HO/D/MO/PC COMP/C/84849/49/03/2024</v>
          </cell>
          <cell r="D1001" t="str">
            <v>FRE</v>
          </cell>
        </row>
        <row r="1002">
          <cell r="B1002" t="str">
            <v>KHI/HO/D/MO/PC COMP/C/84849/50/03/2024</v>
          </cell>
          <cell r="D1002" t="str">
            <v>FRE</v>
          </cell>
        </row>
        <row r="1003">
          <cell r="B1003" t="str">
            <v>KHI/HO/D/MO/PC COMP/C/84849/51/03/2024</v>
          </cell>
          <cell r="D1003" t="str">
            <v>FRE</v>
          </cell>
        </row>
        <row r="1004">
          <cell r="B1004" t="str">
            <v>KHI/HO/D/MO/PC COMP/C/86550/1/04/2024</v>
          </cell>
          <cell r="D1004" t="str">
            <v>FRE</v>
          </cell>
        </row>
        <row r="1005">
          <cell r="B1005" t="str">
            <v>KHI/HO/D/MO/CV/C/86620/1/04/2024</v>
          </cell>
          <cell r="D1005" t="str">
            <v>REN</v>
          </cell>
        </row>
        <row r="1006">
          <cell r="B1006" t="str">
            <v>KHI/HO/D/MO/CV/C/86620/2/04/2024</v>
          </cell>
          <cell r="D1006" t="str">
            <v>REN</v>
          </cell>
        </row>
        <row r="1007">
          <cell r="B1007" t="str">
            <v>KHI/HO/D/MO/CV/C/86620/3/04/2024</v>
          </cell>
          <cell r="D1007" t="str">
            <v>REN</v>
          </cell>
        </row>
        <row r="1008">
          <cell r="B1008" t="str">
            <v>KHI/HO/D/MO/CV/C/86620/4/04/2024</v>
          </cell>
          <cell r="D1008" t="str">
            <v>REN</v>
          </cell>
        </row>
        <row r="1009">
          <cell r="B1009" t="str">
            <v>KHI/HO/D/MO/CV/C/86620/5/04/2024</v>
          </cell>
          <cell r="D1009" t="str">
            <v>REN</v>
          </cell>
        </row>
        <row r="1010">
          <cell r="B1010" t="str">
            <v>KHI/HO/D/MO/CV/C/86620/6/04/2024</v>
          </cell>
          <cell r="D1010" t="str">
            <v>REN</v>
          </cell>
        </row>
        <row r="1011">
          <cell r="B1011" t="str">
            <v>KHI/HO/D/MO/CV/C/86620/7/04/2024</v>
          </cell>
          <cell r="D1011" t="str">
            <v>REN</v>
          </cell>
        </row>
        <row r="1012">
          <cell r="B1012" t="str">
            <v>KHI/HO/D/MO/CV/C/86620/8/04/2024</v>
          </cell>
          <cell r="D1012" t="str">
            <v>REN</v>
          </cell>
        </row>
        <row r="1013">
          <cell r="B1013" t="str">
            <v>KHI/HO/D/MO/CV/C/86620/9/04/2024</v>
          </cell>
          <cell r="D1013" t="str">
            <v>REN</v>
          </cell>
        </row>
        <row r="1014">
          <cell r="B1014" t="str">
            <v>KHI/HO/D/MO/CV/C/86626/1/04/2024</v>
          </cell>
          <cell r="D1014" t="str">
            <v>REN</v>
          </cell>
        </row>
        <row r="1015">
          <cell r="B1015" t="str">
            <v>KHI/HO/D/MO/CV/C/86626/2/04/2024</v>
          </cell>
          <cell r="D1015" t="str">
            <v>REN</v>
          </cell>
        </row>
        <row r="1016">
          <cell r="B1016" t="str">
            <v>KHI/HO/D/MO/CV/C/86626/3/04/2024</v>
          </cell>
          <cell r="D1016" t="str">
            <v>REN</v>
          </cell>
        </row>
        <row r="1017">
          <cell r="B1017" t="str">
            <v>KHI/HO/D/MO/CV/C/86626/4/04/2024</v>
          </cell>
          <cell r="D1017" t="str">
            <v>REN</v>
          </cell>
        </row>
        <row r="1018">
          <cell r="B1018" t="str">
            <v>KHI/HO/D/MO/CV/C/86626/5/04/2024</v>
          </cell>
          <cell r="D1018" t="str">
            <v>REN</v>
          </cell>
        </row>
        <row r="1019">
          <cell r="B1019" t="str">
            <v>KHI/HO/D/MO/PC COMP/C/86635/1/04/2024</v>
          </cell>
          <cell r="D1019" t="str">
            <v>REN</v>
          </cell>
        </row>
        <row r="1020">
          <cell r="B1020" t="str">
            <v>KHI/HO/D/MO/PC COMP/C/86635/2/04/2024</v>
          </cell>
          <cell r="D1020" t="str">
            <v>REN</v>
          </cell>
        </row>
        <row r="1021">
          <cell r="B1021" t="str">
            <v>KHI/HO/D/MO/PC COMP/C/86635/3/04/2024</v>
          </cell>
          <cell r="D1021" t="str">
            <v>REN</v>
          </cell>
        </row>
        <row r="1022">
          <cell r="B1022" t="str">
            <v>KHI/HO/D/MO/PC COMP/C/86635/4/04/2024</v>
          </cell>
          <cell r="D1022" t="str">
            <v>REN</v>
          </cell>
        </row>
        <row r="1023">
          <cell r="B1023" t="str">
            <v>KHI/HO/D/MO/PC COMP/C/86635/5/04/2024</v>
          </cell>
          <cell r="D1023" t="str">
            <v>REN</v>
          </cell>
        </row>
        <row r="1024">
          <cell r="B1024" t="str">
            <v>KHI/HO/D/MO/PC COMP/C/86635/6/04/2024</v>
          </cell>
          <cell r="D1024" t="str">
            <v>REN</v>
          </cell>
        </row>
        <row r="1025">
          <cell r="B1025" t="str">
            <v>KHI/HO/D/MO/PC COMP/C/86635/7/04/2024</v>
          </cell>
          <cell r="D1025" t="str">
            <v>REN</v>
          </cell>
        </row>
        <row r="1026">
          <cell r="B1026" t="str">
            <v>KHI/HO/D/MO/PC COMP/C/86635/8/04/2024</v>
          </cell>
          <cell r="D1026" t="str">
            <v>REN</v>
          </cell>
        </row>
        <row r="1027">
          <cell r="B1027" t="str">
            <v>KHI/HO/D/MO/PC COMP/C/86635/9/04/2024</v>
          </cell>
          <cell r="D1027" t="str">
            <v>REN</v>
          </cell>
        </row>
        <row r="1028">
          <cell r="B1028" t="str">
            <v>KHI/HO/D/MO/PC COMP/C/86635/10/04/2024</v>
          </cell>
          <cell r="D1028" t="str">
            <v>REN</v>
          </cell>
        </row>
        <row r="1029">
          <cell r="B1029" t="str">
            <v>KHI/HO/D/MO/PC COMP/C/86635/11/04/2024</v>
          </cell>
          <cell r="D1029" t="str">
            <v>REN</v>
          </cell>
        </row>
        <row r="1030">
          <cell r="B1030" t="str">
            <v>KHI/HO/D/MO/PC COMP/C/86635/12/04/2024</v>
          </cell>
          <cell r="D1030" t="str">
            <v>REN</v>
          </cell>
        </row>
        <row r="1031">
          <cell r="B1031" t="str">
            <v>KHI/HO/D/MO/PC COMP/C/86635/13/04/2024</v>
          </cell>
          <cell r="D1031" t="str">
            <v>REN</v>
          </cell>
        </row>
        <row r="1032">
          <cell r="B1032" t="str">
            <v>KHI/HO/D/MO/PC COMP/C/86635/14/04/2024</v>
          </cell>
          <cell r="D1032" t="str">
            <v>REN</v>
          </cell>
        </row>
        <row r="1033">
          <cell r="B1033" t="str">
            <v>KHI/HO/D/MO/PC COMP/C/86635/15/04/2024</v>
          </cell>
          <cell r="D1033" t="str">
            <v>REN</v>
          </cell>
        </row>
        <row r="1034">
          <cell r="B1034" t="str">
            <v>KHI/HO/D/MO/PC COMP/C/86635/16/04/2024</v>
          </cell>
          <cell r="D1034" t="str">
            <v>REN</v>
          </cell>
        </row>
        <row r="1035">
          <cell r="B1035" t="str">
            <v>KHI/HO/D/MO/PC COMP/C/86635/17/04/2024</v>
          </cell>
          <cell r="D1035" t="str">
            <v>REN</v>
          </cell>
        </row>
        <row r="1036">
          <cell r="B1036" t="str">
            <v>KHI/HO/D/MO/PC COMP/C/86635/18/04/2024</v>
          </cell>
          <cell r="D1036" t="str">
            <v>REN</v>
          </cell>
        </row>
        <row r="1037">
          <cell r="B1037" t="str">
            <v>KHI/HO/D/MO/PC COMP/C/86635/19/04/2024</v>
          </cell>
          <cell r="D1037" t="str">
            <v>REN</v>
          </cell>
        </row>
        <row r="1038">
          <cell r="B1038" t="str">
            <v>KHI/HO/D/MO/PC COMP/C/86635/20/04/2024</v>
          </cell>
          <cell r="D1038" t="str">
            <v>REN</v>
          </cell>
        </row>
        <row r="1039">
          <cell r="B1039" t="str">
            <v>KHI/HO/D/MO/PC COMP/C/86635/21/04/2024</v>
          </cell>
          <cell r="D1039" t="str">
            <v>REN</v>
          </cell>
        </row>
        <row r="1040">
          <cell r="B1040" t="str">
            <v>KHI/HO/D/MO/PC COMP/C/86635/22/04/2024</v>
          </cell>
          <cell r="D1040" t="str">
            <v>REN</v>
          </cell>
        </row>
        <row r="1041">
          <cell r="B1041" t="str">
            <v>KHI/HO/D/MO/PC COMP/C/86635/23/04/2024</v>
          </cell>
          <cell r="D1041" t="str">
            <v>REN</v>
          </cell>
        </row>
        <row r="1042">
          <cell r="B1042" t="str">
            <v>KHI/HO/D/MO/PC COMP/C/86635/24/04/2024</v>
          </cell>
          <cell r="D1042" t="str">
            <v>REN</v>
          </cell>
        </row>
        <row r="1043">
          <cell r="B1043" t="str">
            <v>KHI/HO/D/MO/PC COMP/C/86635/25/04/2024</v>
          </cell>
          <cell r="D1043" t="str">
            <v>REN</v>
          </cell>
        </row>
        <row r="1044">
          <cell r="B1044" t="str">
            <v>KHI/HO/D/MO/PC COMP/C/86635/26/04/2024</v>
          </cell>
          <cell r="D1044" t="str">
            <v>REN</v>
          </cell>
        </row>
        <row r="1045">
          <cell r="B1045" t="str">
            <v>KHI/HO/D/MO/PC COMP/C/86646/1/04/2024</v>
          </cell>
          <cell r="D1045" t="str">
            <v>REN</v>
          </cell>
        </row>
        <row r="1046">
          <cell r="B1046" t="str">
            <v>KHI/HO/D/MO/PC COMP/C/86646/2/04/2024</v>
          </cell>
          <cell r="D1046" t="str">
            <v>REN</v>
          </cell>
        </row>
        <row r="1047">
          <cell r="B1047" t="str">
            <v>KHI/HO/D/MO/PC COMP/C/86646/3/04/2024</v>
          </cell>
          <cell r="D1047" t="str">
            <v>REN</v>
          </cell>
        </row>
        <row r="1048">
          <cell r="B1048" t="str">
            <v>KHI/HO/D/MO/PC COMP/C/86646/4/04/2024</v>
          </cell>
          <cell r="D1048" t="str">
            <v>REN</v>
          </cell>
        </row>
        <row r="1049">
          <cell r="B1049" t="str">
            <v>KHI/HO/D/MO/PC COMP/C/86646/5/04/2024</v>
          </cell>
          <cell r="D1049" t="str">
            <v>REN</v>
          </cell>
        </row>
        <row r="1050">
          <cell r="B1050" t="str">
            <v>KHI/HO/D/MO/PC COMP/C/86646/6/04/2024</v>
          </cell>
          <cell r="D1050" t="str">
            <v>REN</v>
          </cell>
        </row>
        <row r="1051">
          <cell r="B1051" t="str">
            <v>KHI/HO/D/MO/PC COMP/C/86646/7/04/2024</v>
          </cell>
          <cell r="D1051" t="str">
            <v>REN</v>
          </cell>
        </row>
        <row r="1052">
          <cell r="B1052" t="str">
            <v>KHI/HO/D/MO/PC COMP/C/86646/8/04/2024</v>
          </cell>
          <cell r="D1052" t="str">
            <v>REN</v>
          </cell>
        </row>
        <row r="1053">
          <cell r="B1053" t="str">
            <v>KHI/HO/D/MO/PC COMP/C/86646/9/04/2024</v>
          </cell>
          <cell r="D1053" t="str">
            <v>REN</v>
          </cell>
        </row>
        <row r="1054">
          <cell r="B1054" t="str">
            <v>KHI/HO/D/MO/PC COMP/C/86646/10/04/2024</v>
          </cell>
          <cell r="D1054" t="str">
            <v>REN</v>
          </cell>
        </row>
        <row r="1055">
          <cell r="B1055" t="str">
            <v>KHI/HO/D/MO/PC COMP/C/86646/11/04/2024</v>
          </cell>
          <cell r="D1055" t="str">
            <v>REN</v>
          </cell>
        </row>
        <row r="1056">
          <cell r="B1056" t="str">
            <v>KHI/HO/D/MO/PC COMP/C/86646/12/04/2024</v>
          </cell>
          <cell r="D1056" t="str">
            <v>REN</v>
          </cell>
        </row>
        <row r="1057">
          <cell r="B1057" t="str">
            <v>KHI/HO/D/MO/PC COMP/C/86646/13/04/2024</v>
          </cell>
          <cell r="D1057" t="str">
            <v>REN</v>
          </cell>
        </row>
        <row r="1058">
          <cell r="B1058" t="str">
            <v>KHI/HO/D/MO/PC COMP/C/86646/14/04/2024</v>
          </cell>
          <cell r="D1058" t="str">
            <v>REN</v>
          </cell>
        </row>
        <row r="1059">
          <cell r="B1059" t="str">
            <v>KHI/HO/D/MO/PC COMP/C/86646/15/04/2024</v>
          </cell>
          <cell r="D1059" t="str">
            <v>REN</v>
          </cell>
        </row>
        <row r="1060">
          <cell r="B1060" t="str">
            <v>KHI/HO/D/MO/PC COMP/C/86646/16/04/2024</v>
          </cell>
          <cell r="D1060" t="str">
            <v>REN</v>
          </cell>
        </row>
        <row r="1061">
          <cell r="B1061" t="str">
            <v>KHI/HO/D/MO/PC COMP/C/86646/17/04/2024</v>
          </cell>
          <cell r="D1061" t="str">
            <v>REN</v>
          </cell>
        </row>
        <row r="1062">
          <cell r="B1062" t="str">
            <v>KHI/HO/D/MO/PC COMP/C/86646/18/04/2024</v>
          </cell>
          <cell r="D1062" t="str">
            <v>REN</v>
          </cell>
        </row>
        <row r="1063">
          <cell r="B1063" t="str">
            <v>KHI/HO/D/MO/PC COMP/C/86646/19/04/2024</v>
          </cell>
          <cell r="D1063" t="str">
            <v>REN</v>
          </cell>
        </row>
        <row r="1064">
          <cell r="B1064" t="str">
            <v>KHI/HO/D/MO/PC COMP/C/86646/20/04/2024</v>
          </cell>
          <cell r="D1064" t="str">
            <v>REN</v>
          </cell>
        </row>
        <row r="1065">
          <cell r="B1065" t="str">
            <v>KHI/HO/D/MO/PC COMP/C/86646/21/04/2024</v>
          </cell>
          <cell r="D1065" t="str">
            <v>REN</v>
          </cell>
        </row>
        <row r="1066">
          <cell r="B1066" t="str">
            <v>KHI/HO/D/MO/PC COMP/C/86646/22/04/2024</v>
          </cell>
          <cell r="D1066" t="str">
            <v>REN</v>
          </cell>
        </row>
        <row r="1067">
          <cell r="B1067" t="str">
            <v>KHI/HO/D/MO/PC COMP/C/86646/23/04/2024</v>
          </cell>
          <cell r="D1067" t="str">
            <v>REN</v>
          </cell>
        </row>
        <row r="1068">
          <cell r="B1068" t="str">
            <v>KHI/HO/D/MO/PC COMP/C/86646/24/04/2024</v>
          </cell>
          <cell r="D1068" t="str">
            <v>REN</v>
          </cell>
        </row>
        <row r="1069">
          <cell r="B1069" t="str">
            <v>KHI/HO/D/MO/PC COMP/C/86646/25/04/2024</v>
          </cell>
          <cell r="D1069" t="str">
            <v>REN</v>
          </cell>
        </row>
        <row r="1070">
          <cell r="B1070" t="str">
            <v>KHI/HO/D/MO/PC COMP/C/86646/26/04/2024</v>
          </cell>
          <cell r="D1070" t="str">
            <v>REN</v>
          </cell>
        </row>
        <row r="1071">
          <cell r="B1071" t="str">
            <v>KHI/HO/D/MO/PC COMP/C/86646/27/04/2024</v>
          </cell>
          <cell r="D1071" t="str">
            <v>REN</v>
          </cell>
        </row>
        <row r="1072">
          <cell r="B1072" t="str">
            <v>KHI/HO/D/MO/PC COMP/C/86646/28/04/2024</v>
          </cell>
          <cell r="D1072" t="str">
            <v>REN</v>
          </cell>
        </row>
        <row r="1073">
          <cell r="B1073" t="str">
            <v>KHI/HO/D/MO/PC COMP/C/86646/29/04/2024</v>
          </cell>
          <cell r="D1073" t="str">
            <v>REN</v>
          </cell>
        </row>
        <row r="1074">
          <cell r="B1074" t="str">
            <v>KHI/HO/D/MO/PC COMP/C/86646/30/04/2024</v>
          </cell>
          <cell r="D1074" t="str">
            <v>REN</v>
          </cell>
        </row>
        <row r="1075">
          <cell r="B1075" t="str">
            <v>KHI/HO/D/MO/PC COMP/C/86646/31/04/2024</v>
          </cell>
          <cell r="D1075" t="str">
            <v>REN</v>
          </cell>
        </row>
        <row r="1076">
          <cell r="B1076" t="str">
            <v>KHI/HO/D/MO/PC COMP/C/86646/32/04/2024</v>
          </cell>
          <cell r="D1076" t="str">
            <v>REN</v>
          </cell>
        </row>
        <row r="1077">
          <cell r="B1077" t="str">
            <v>KHI/HO/D/MO/PC COMP/C/86646/33/04/2024</v>
          </cell>
          <cell r="D1077" t="str">
            <v>REN</v>
          </cell>
        </row>
        <row r="1078">
          <cell r="B1078" t="str">
            <v>KHI/HO/D/MO/PC COMP/C/86646/34/04/2024</v>
          </cell>
          <cell r="D1078" t="str">
            <v>REN</v>
          </cell>
        </row>
        <row r="1079">
          <cell r="B1079" t="str">
            <v>KHI/HO/D/MO/PC COMP/C/86646/35/04/2024</v>
          </cell>
          <cell r="D1079" t="str">
            <v>REN</v>
          </cell>
        </row>
        <row r="1080">
          <cell r="B1080" t="str">
            <v>KHI/HO/D/MO/PC COMP/C/86646/36/04/2024</v>
          </cell>
          <cell r="D1080" t="str">
            <v>REN</v>
          </cell>
        </row>
        <row r="1081">
          <cell r="B1081" t="str">
            <v>KHI/HO/D/MO/PC COMP/C/86646/37/04/2024</v>
          </cell>
          <cell r="D1081" t="str">
            <v>REN</v>
          </cell>
        </row>
        <row r="1082">
          <cell r="B1082" t="str">
            <v>KHI/HO/D/MO/PC COMP/C/86646/38/04/2024</v>
          </cell>
          <cell r="D1082" t="str">
            <v>REN</v>
          </cell>
        </row>
        <row r="1083">
          <cell r="B1083" t="str">
            <v>KHI/HO/D/MO/PC COMP/C/86646/39/04/2024</v>
          </cell>
          <cell r="D1083" t="str">
            <v>REN</v>
          </cell>
        </row>
        <row r="1084">
          <cell r="B1084" t="str">
            <v>KHI/HO/D/MO/PC COMP/C/86646/40/04/2024</v>
          </cell>
          <cell r="D1084" t="str">
            <v>REN</v>
          </cell>
        </row>
        <row r="1085">
          <cell r="B1085" t="str">
            <v>KHI/HO/D/MO/PC COMP/C/86646/41/04/2024</v>
          </cell>
          <cell r="D1085" t="str">
            <v>REN</v>
          </cell>
        </row>
        <row r="1086">
          <cell r="B1086" t="str">
            <v>KHI/HO/D/MO/PC COMP/C/86646/42/04/2024</v>
          </cell>
          <cell r="D1086" t="str">
            <v>REN</v>
          </cell>
        </row>
        <row r="1087">
          <cell r="B1087" t="str">
            <v>KHI/HO/D/MO/PC COMP/C/86646/43/04/2024</v>
          </cell>
          <cell r="D1087" t="str">
            <v>REN</v>
          </cell>
        </row>
        <row r="1088">
          <cell r="B1088" t="str">
            <v>KHI/HO/D/MO/PC COMP/C/86646/44/04/2024</v>
          </cell>
          <cell r="D1088" t="str">
            <v>REN</v>
          </cell>
        </row>
        <row r="1089">
          <cell r="B1089" t="str">
            <v>KHI/HO/D/MO/PC COMP/C/86646/45/04/2024</v>
          </cell>
          <cell r="D1089" t="str">
            <v>REN</v>
          </cell>
        </row>
        <row r="1090">
          <cell r="B1090" t="str">
            <v>KHI/HO/D/MO/PC COMP/C/86646/46/04/2024</v>
          </cell>
          <cell r="D1090" t="str">
            <v>REN</v>
          </cell>
        </row>
        <row r="1091">
          <cell r="B1091" t="str">
            <v>KHI/HO/D/MO/PC COMP/C/86646/47/04/2024</v>
          </cell>
          <cell r="D1091" t="str">
            <v>REN</v>
          </cell>
        </row>
        <row r="1092">
          <cell r="B1092" t="str">
            <v>KHI/HO/D/MO/PC COMP/C/86646/48/04/2024</v>
          </cell>
          <cell r="D1092" t="str">
            <v>REN</v>
          </cell>
        </row>
        <row r="1093">
          <cell r="B1093" t="str">
            <v>KHI/HO/D/MO/PC COMP/C/86646/49/04/2024</v>
          </cell>
          <cell r="D1093" t="str">
            <v>REN</v>
          </cell>
        </row>
        <row r="1094">
          <cell r="B1094" t="str">
            <v>KHI/HO/D/MO/PC COMP/C/86646/50/04/2024</v>
          </cell>
          <cell r="D1094" t="str">
            <v>REN</v>
          </cell>
        </row>
        <row r="1095">
          <cell r="B1095" t="str">
            <v>KHI/HO/D/MO/PC COMP/C/86646/51/04/2024</v>
          </cell>
          <cell r="D1095" t="str">
            <v>REN</v>
          </cell>
        </row>
        <row r="1096">
          <cell r="B1096" t="str">
            <v>KHI/HO/D/MO/PC COMP/C/86646/52/04/2024</v>
          </cell>
          <cell r="D1096" t="str">
            <v>REN</v>
          </cell>
        </row>
        <row r="1097">
          <cell r="B1097" t="str">
            <v>KHI/HO/D/MO/PC COMP/C/86646/53/04/2024</v>
          </cell>
          <cell r="D1097" t="str">
            <v>REN</v>
          </cell>
        </row>
        <row r="1098">
          <cell r="B1098" t="str">
            <v>KHI/HO/D/MO/PC COMP/C/86646/54/04/2024</v>
          </cell>
          <cell r="D1098" t="str">
            <v>REN</v>
          </cell>
        </row>
        <row r="1099">
          <cell r="B1099" t="str">
            <v>KHI/HO/D/MO/PC COMP/C/86646/55/04/2024</v>
          </cell>
          <cell r="D1099" t="str">
            <v>REN</v>
          </cell>
        </row>
        <row r="1100">
          <cell r="B1100" t="str">
            <v>KHI/HO/D/MO/PC COMP/C/86646/56/04/2024</v>
          </cell>
          <cell r="D1100" t="str">
            <v>REN</v>
          </cell>
        </row>
        <row r="1101">
          <cell r="B1101" t="str">
            <v>KHI/HO/D/MO/PC COMP/C/86646/57/04/2024</v>
          </cell>
          <cell r="D1101" t="str">
            <v>REN</v>
          </cell>
        </row>
        <row r="1102">
          <cell r="B1102" t="str">
            <v>KHI/HO/D/MO/PC COMP/C/86646/58/04/2024</v>
          </cell>
          <cell r="D1102" t="str">
            <v>REN</v>
          </cell>
        </row>
        <row r="1103">
          <cell r="B1103" t="str">
            <v>KHI/HO/D/MO/PC COMP/C/86646/59/04/2024</v>
          </cell>
          <cell r="D1103" t="str">
            <v>REN</v>
          </cell>
        </row>
        <row r="1104">
          <cell r="B1104" t="str">
            <v>KHI/HO/D/MO/PC COMP/C/86646/60/04/2024</v>
          </cell>
          <cell r="D1104" t="str">
            <v>REN</v>
          </cell>
        </row>
        <row r="1105">
          <cell r="B1105" t="str">
            <v>KHI/HO/D/MO/PC COMP/C/86646/61/04/2024</v>
          </cell>
          <cell r="D1105" t="str">
            <v>REN</v>
          </cell>
        </row>
        <row r="1106">
          <cell r="B1106" t="str">
            <v>KHI/HO/D/MO/PC COMP/C/86646/62/04/2024</v>
          </cell>
          <cell r="D1106" t="str">
            <v>REN</v>
          </cell>
        </row>
        <row r="1107">
          <cell r="B1107" t="str">
            <v>KHI/HO/D/MO/PC COMP/C/86646/63/04/2024</v>
          </cell>
          <cell r="D1107" t="str">
            <v>REN</v>
          </cell>
        </row>
        <row r="1108">
          <cell r="B1108" t="str">
            <v>KHI/HO/D/MO/PC COMP/C/86646/64/04/2024</v>
          </cell>
          <cell r="D1108" t="str">
            <v>REN</v>
          </cell>
        </row>
        <row r="1109">
          <cell r="B1109" t="str">
            <v>KHI/HO/D/MO/PC COMP/C/86646/65/04/2024</v>
          </cell>
          <cell r="D1109" t="str">
            <v>REN</v>
          </cell>
        </row>
        <row r="1110">
          <cell r="B1110" t="str">
            <v>KHI/HO/D/MO/PC COMP/C/86646/66/04/2024</v>
          </cell>
          <cell r="D1110" t="str">
            <v>REN</v>
          </cell>
        </row>
        <row r="1111">
          <cell r="B1111" t="str">
            <v>KHI/HO/D/MO/PC COMP/C/86646/67/04/2024</v>
          </cell>
          <cell r="D1111" t="str">
            <v>REN</v>
          </cell>
        </row>
        <row r="1112">
          <cell r="B1112" t="str">
            <v>KHI/HO/D/MO/PC COMP/C/86646/68/04/2024</v>
          </cell>
          <cell r="D1112" t="str">
            <v>REN</v>
          </cell>
        </row>
        <row r="1113">
          <cell r="B1113" t="str">
            <v>KHI/HO/D/MO/PC COMP/C/86646/69/04/2024</v>
          </cell>
          <cell r="D1113" t="str">
            <v>REN</v>
          </cell>
        </row>
        <row r="1114">
          <cell r="B1114" t="str">
            <v>KHI/HO/D/MO/PC COMP/C/86646/70/04/2024</v>
          </cell>
          <cell r="D1114" t="str">
            <v>REN</v>
          </cell>
        </row>
        <row r="1115">
          <cell r="B1115" t="str">
            <v>KHI/HO/D/MO/PC COMP/C/86646/71/04/2024</v>
          </cell>
          <cell r="D1115" t="str">
            <v>REN</v>
          </cell>
        </row>
        <row r="1116">
          <cell r="B1116" t="str">
            <v>KHI/HO/D/MO/PC COMP/C/86646/72/04/2024</v>
          </cell>
          <cell r="D1116" t="str">
            <v>REN</v>
          </cell>
        </row>
        <row r="1117">
          <cell r="B1117" t="str">
            <v>KHI/HO/D/MO/PC COMP/C/86646/73/04/2024</v>
          </cell>
          <cell r="D1117" t="str">
            <v>REN</v>
          </cell>
        </row>
        <row r="1118">
          <cell r="B1118" t="str">
            <v>KHI/HO/D/MO/PC COMP/C/86646/74/04/2024</v>
          </cell>
          <cell r="D1118" t="str">
            <v>REN</v>
          </cell>
        </row>
        <row r="1119">
          <cell r="B1119" t="str">
            <v>KHI/HO/D/MO/PC COMP/C/86646/75/04/2024</v>
          </cell>
          <cell r="D1119" t="str">
            <v>REN</v>
          </cell>
        </row>
        <row r="1120">
          <cell r="B1120" t="str">
            <v>KHI/HO/D/MO/PC COMP/C/86646/76/04/2024</v>
          </cell>
          <cell r="D1120" t="str">
            <v>REN</v>
          </cell>
        </row>
        <row r="1121">
          <cell r="B1121" t="str">
            <v>KHI/HO/D/MO/PC COMP/C/86646/77/04/2024</v>
          </cell>
          <cell r="D1121" t="str">
            <v>REN</v>
          </cell>
        </row>
        <row r="1122">
          <cell r="B1122" t="str">
            <v>KHI/HO/D/MO/PC COMP/C/86646/78/04/2024</v>
          </cell>
          <cell r="D1122" t="str">
            <v>REN</v>
          </cell>
        </row>
        <row r="1123">
          <cell r="B1123" t="str">
            <v>KHI/HO/D/MO/PC COMP/C/86646/79/04/2024</v>
          </cell>
          <cell r="D1123" t="str">
            <v>REN</v>
          </cell>
        </row>
        <row r="1124">
          <cell r="B1124" t="str">
            <v>KHI/HO/D/MO/PC COMP/C/86646/80/04/2024</v>
          </cell>
          <cell r="D1124" t="str">
            <v>REN</v>
          </cell>
        </row>
        <row r="1125">
          <cell r="B1125" t="str">
            <v>KHI/HO/D/MO/PC COMP/C/86646/81/04/2024</v>
          </cell>
          <cell r="D1125" t="str">
            <v>REN</v>
          </cell>
        </row>
        <row r="1126">
          <cell r="B1126" t="str">
            <v>KHI/HO/D/MO/PC COMP/C/86646/82/04/2024</v>
          </cell>
          <cell r="D1126" t="str">
            <v>REN</v>
          </cell>
        </row>
        <row r="1127">
          <cell r="B1127" t="str">
            <v>KHI/HO/D/MO/PC COMP/C/86646/83/04/2024</v>
          </cell>
          <cell r="D1127" t="str">
            <v>REN</v>
          </cell>
        </row>
        <row r="1128">
          <cell r="B1128" t="str">
            <v>KHI/HO/D/MO/PC COMP/C/86646/84/04/2024</v>
          </cell>
          <cell r="D1128" t="str">
            <v>REN</v>
          </cell>
        </row>
        <row r="1129">
          <cell r="B1129" t="str">
            <v>KHI/HO/D/MO/PC COMP/C/86646/85/04/2024</v>
          </cell>
          <cell r="D1129" t="str">
            <v>REN</v>
          </cell>
        </row>
        <row r="1130">
          <cell r="B1130" t="str">
            <v>KHI/HO/D/MO/PC COMP/C/86646/86/04/2024</v>
          </cell>
          <cell r="D1130" t="str">
            <v>REN</v>
          </cell>
        </row>
        <row r="1131">
          <cell r="B1131" t="str">
            <v>KHI/HO/D/MO/PC COMP/C/86646/87/04/2024</v>
          </cell>
          <cell r="D1131" t="str">
            <v>REN</v>
          </cell>
        </row>
        <row r="1132">
          <cell r="B1132" t="str">
            <v>KHI/HO/D/MO/PC COMP/C/86646/88/04/2024</v>
          </cell>
          <cell r="D1132" t="str">
            <v>REN</v>
          </cell>
        </row>
        <row r="1133">
          <cell r="B1133" t="str">
            <v>KHI/HO/D/MO/PC COMP/C/86646/89/04/2024</v>
          </cell>
          <cell r="D1133" t="str">
            <v>REN</v>
          </cell>
        </row>
        <row r="1134">
          <cell r="B1134" t="str">
            <v>KHI/HO/D/MO/PC COMP/C/86646/90/04/2024</v>
          </cell>
          <cell r="D1134" t="str">
            <v>REN</v>
          </cell>
        </row>
        <row r="1135">
          <cell r="B1135" t="str">
            <v>KHI/HO/D/MO/PC COMP/C/86646/91/04/2024</v>
          </cell>
          <cell r="D1135" t="str">
            <v>REN</v>
          </cell>
        </row>
        <row r="1136">
          <cell r="B1136" t="str">
            <v>KHI/HO/D/MO/PC COMP/C/86646/92/04/2024</v>
          </cell>
          <cell r="D1136" t="str">
            <v>REN</v>
          </cell>
        </row>
        <row r="1137">
          <cell r="B1137" t="str">
            <v>KHI/HO/D/MO/PC COMP/C/86646/93/04/2024</v>
          </cell>
          <cell r="D1137" t="str">
            <v>REN</v>
          </cell>
        </row>
        <row r="1138">
          <cell r="B1138" t="str">
            <v>KHI/HO/D/MO/PC COMP/C/86646/94/04/2024</v>
          </cell>
          <cell r="D1138" t="str">
            <v>REN</v>
          </cell>
        </row>
        <row r="1139">
          <cell r="B1139" t="str">
            <v>KHI/HO/D/MO/PC COMP/C/86662/1/04/2024</v>
          </cell>
          <cell r="D1139" t="str">
            <v>REN</v>
          </cell>
        </row>
        <row r="1140">
          <cell r="B1140" t="str">
            <v>KHI/HO/D/MO/PC COMP/C/86662/2/04/2024</v>
          </cell>
          <cell r="D1140" t="str">
            <v>REN</v>
          </cell>
        </row>
        <row r="1141">
          <cell r="B1141" t="str">
            <v>KHI/HO/D/MO/PC COMP/C/86662/3/04/2024</v>
          </cell>
          <cell r="D1141" t="str">
            <v>REN</v>
          </cell>
        </row>
        <row r="1142">
          <cell r="B1142" t="str">
            <v>KHI/HO/D/MO/PC COMP/C/86662/4/04/2024</v>
          </cell>
          <cell r="D1142" t="str">
            <v>REN</v>
          </cell>
        </row>
        <row r="1143">
          <cell r="B1143" t="str">
            <v>KHI/HO/D/MO/PC COMP/C/86667/1/04/2024</v>
          </cell>
          <cell r="D1143" t="str">
            <v>REN</v>
          </cell>
        </row>
        <row r="1144">
          <cell r="B1144" t="str">
            <v>KHI/HO/D/MO/PC COMP/C/86667/2/04/2024</v>
          </cell>
          <cell r="D1144" t="str">
            <v>REN</v>
          </cell>
        </row>
        <row r="1145">
          <cell r="B1145" t="str">
            <v>KHI/HO/D/MO/PC COMP/C/86676/1/04/2024</v>
          </cell>
          <cell r="D1145" t="str">
            <v>REN</v>
          </cell>
        </row>
        <row r="1146">
          <cell r="B1146" t="str">
            <v>KHI/HO/D/MO/PC COMP/C/86676/2/04/2024</v>
          </cell>
          <cell r="D1146" t="str">
            <v>REN</v>
          </cell>
        </row>
        <row r="1147">
          <cell r="B1147" t="str">
            <v>KHI/HO/D/MO/PC COMP/C/86676/3/04/2024</v>
          </cell>
          <cell r="D1147" t="str">
            <v>REN</v>
          </cell>
        </row>
        <row r="1148">
          <cell r="B1148" t="str">
            <v>KHI/HO/D/MO/PC COMP/C/86676/4/04/2024</v>
          </cell>
          <cell r="D1148" t="str">
            <v>REN</v>
          </cell>
        </row>
        <row r="1149">
          <cell r="B1149" t="str">
            <v>KHI/HO/D/MO/PC COMP/C/86676/5/04/2024</v>
          </cell>
          <cell r="D1149" t="str">
            <v>REN</v>
          </cell>
        </row>
        <row r="1150">
          <cell r="B1150" t="str">
            <v>KHI/HO/D/MO/PC COMP/C/86676/6/04/2024</v>
          </cell>
          <cell r="D1150" t="str">
            <v>REN</v>
          </cell>
        </row>
        <row r="1151">
          <cell r="B1151" t="str">
            <v>KHI/HO/D/MO/PC COMP/C/86676/7/04/2024</v>
          </cell>
          <cell r="D1151" t="str">
            <v>REN</v>
          </cell>
        </row>
        <row r="1152">
          <cell r="B1152" t="str">
            <v>KHI/HO/D/MO/PC COMP/C/86676/8/04/2024</v>
          </cell>
          <cell r="D1152" t="str">
            <v>REN</v>
          </cell>
        </row>
        <row r="1153">
          <cell r="B1153" t="str">
            <v>KHI/HO/D/MO/PC COMP/C/86676/9/04/2024</v>
          </cell>
          <cell r="D1153" t="str">
            <v>REN</v>
          </cell>
        </row>
        <row r="1154">
          <cell r="B1154" t="str">
            <v>KHI/HO/D/MO/PC COMP/C/86676/10/04/2024</v>
          </cell>
          <cell r="D1154" t="str">
            <v>REN</v>
          </cell>
        </row>
        <row r="1155">
          <cell r="B1155" t="str">
            <v>KHI/HO/D/MO/PC COMP/C/86676/11/04/2024</v>
          </cell>
          <cell r="D1155" t="str">
            <v>REN</v>
          </cell>
        </row>
        <row r="1156">
          <cell r="B1156" t="str">
            <v>KHI/HO/D/MO/PC COMP/C/86676/12/04/2024</v>
          </cell>
          <cell r="D1156" t="str">
            <v>REN</v>
          </cell>
        </row>
        <row r="1157">
          <cell r="B1157" t="str">
            <v>KHI/HO/D/MO/PC COMP/C/86676/13/04/2024</v>
          </cell>
          <cell r="D1157" t="str">
            <v>REN</v>
          </cell>
        </row>
        <row r="1158">
          <cell r="B1158" t="str">
            <v>KHI/HO/D/MO/PC COMP/C/86676/14/04/2024</v>
          </cell>
          <cell r="D1158" t="str">
            <v>REN</v>
          </cell>
        </row>
        <row r="1159">
          <cell r="B1159" t="str">
            <v>KHI/HO/D/MO/PC COMP/C/86676/15/04/2024</v>
          </cell>
          <cell r="D1159" t="str">
            <v>REN</v>
          </cell>
        </row>
        <row r="1160">
          <cell r="B1160" t="str">
            <v>KHI/HO/D/MO/PC COMP/C/86676/16/04/2024</v>
          </cell>
          <cell r="D1160" t="str">
            <v>REN</v>
          </cell>
        </row>
        <row r="1161">
          <cell r="B1161" t="str">
            <v>KHI/HO/D/MO/PC COMP/C/86676/17/04/2024</v>
          </cell>
          <cell r="D1161" t="str">
            <v>REN</v>
          </cell>
        </row>
        <row r="1162">
          <cell r="B1162" t="str">
            <v>KHI/HO/D/MO/PC COMP/C/86676/18/04/2024</v>
          </cell>
          <cell r="D1162" t="str">
            <v>REN</v>
          </cell>
        </row>
        <row r="1163">
          <cell r="B1163" t="str">
            <v>KHI/HO/D/MO/PC COMP/C/86676/19/04/2024</v>
          </cell>
          <cell r="D1163" t="str">
            <v>REN</v>
          </cell>
        </row>
        <row r="1164">
          <cell r="B1164" t="str">
            <v>KHI/HO/D/MO/PC COMP/C/86676/20/04/2024</v>
          </cell>
          <cell r="D1164" t="str">
            <v>REN</v>
          </cell>
        </row>
        <row r="1165">
          <cell r="B1165" t="str">
            <v>KHI/HO/D/MO/PC COMP/C/86676/21/04/2024</v>
          </cell>
          <cell r="D1165" t="str">
            <v>REN</v>
          </cell>
        </row>
        <row r="1166">
          <cell r="B1166" t="str">
            <v>KHI/HO/D/MO/PC COMP/C/86676/22/04/2024</v>
          </cell>
          <cell r="D1166" t="str">
            <v>REN</v>
          </cell>
        </row>
        <row r="1167">
          <cell r="B1167" t="str">
            <v>KHI/HO/D/MO/PC COMP/C/86676/23/04/2024</v>
          </cell>
          <cell r="D1167" t="str">
            <v>REN</v>
          </cell>
        </row>
        <row r="1168">
          <cell r="B1168" t="str">
            <v>KHI/HO/D/MO/PC COMP/C/86676/24/04/2024</v>
          </cell>
          <cell r="D1168" t="str">
            <v>REN</v>
          </cell>
        </row>
        <row r="1169">
          <cell r="B1169" t="str">
            <v>KHI/HO/D/MO/PC COMP/C/86676/25/04/2024</v>
          </cell>
          <cell r="D1169" t="str">
            <v>REN</v>
          </cell>
        </row>
        <row r="1170">
          <cell r="B1170" t="str">
            <v>KHI/HO/D/MO/PC COMP/C/86676/26/04/2024</v>
          </cell>
          <cell r="D1170" t="str">
            <v>REN</v>
          </cell>
        </row>
        <row r="1171">
          <cell r="B1171" t="str">
            <v>KHI/HO/D/MO/PC COMP/C/86676/27/04/2024</v>
          </cell>
          <cell r="D1171" t="str">
            <v>REN</v>
          </cell>
        </row>
        <row r="1172">
          <cell r="B1172" t="str">
            <v>KHI/HO/D/MO/PC COMP/C/86676/28/04/2024</v>
          </cell>
          <cell r="D1172" t="str">
            <v>REN</v>
          </cell>
        </row>
        <row r="1173">
          <cell r="B1173" t="str">
            <v>KHI/HO/D/MO/PC COMP/C/86676/29/04/2024</v>
          </cell>
          <cell r="D1173" t="str">
            <v>REN</v>
          </cell>
        </row>
        <row r="1174">
          <cell r="B1174" t="str">
            <v>KHI/HO/D/MO/PC COMP/C/86676/30/04/2024</v>
          </cell>
          <cell r="D1174" t="str">
            <v>REN</v>
          </cell>
        </row>
        <row r="1175">
          <cell r="B1175" t="str">
            <v>KHI/HO/D/MO/PC COMP/C/86676/31/04/2024</v>
          </cell>
          <cell r="D1175" t="str">
            <v>REN</v>
          </cell>
        </row>
        <row r="1176">
          <cell r="B1176" t="str">
            <v>KHI/HO/D/MO/PC COMP/C/86676/32/04/2024</v>
          </cell>
          <cell r="D1176" t="str">
            <v>REN</v>
          </cell>
        </row>
        <row r="1177">
          <cell r="B1177" t="str">
            <v>KHI/HO/D/MO/PC COMP/C/86676/33/04/2024</v>
          </cell>
          <cell r="D1177" t="str">
            <v>REN</v>
          </cell>
        </row>
        <row r="1178">
          <cell r="B1178" t="str">
            <v>KHI/HO/D/MO/PC COMP/C/86676/34/04/2024</v>
          </cell>
          <cell r="D1178" t="str">
            <v>REN</v>
          </cell>
        </row>
        <row r="1179">
          <cell r="B1179" t="str">
            <v>KHI/HO/D/MO/PC COMP/C/86676/35/04/2024</v>
          </cell>
          <cell r="D1179" t="str">
            <v>REN</v>
          </cell>
        </row>
        <row r="1180">
          <cell r="B1180" t="str">
            <v>KHI/HO/D/MO/PC COMP/C/86676/36/04/2024</v>
          </cell>
          <cell r="D1180" t="str">
            <v>REN</v>
          </cell>
        </row>
        <row r="1181">
          <cell r="B1181" t="str">
            <v>KHI/HO/D/MO/PC COMP/C/86676/37/04/2024</v>
          </cell>
          <cell r="D1181" t="str">
            <v>REN</v>
          </cell>
        </row>
        <row r="1182">
          <cell r="B1182" t="str">
            <v>KHI/HO/D/MO/PC COMP/C/86676/38/04/2024</v>
          </cell>
          <cell r="D1182" t="str">
            <v>REN</v>
          </cell>
        </row>
        <row r="1183">
          <cell r="B1183" t="str">
            <v>KHI/HO/D/MO/PC COMP/C/86676/39/04/2024</v>
          </cell>
          <cell r="D1183" t="str">
            <v>REN</v>
          </cell>
        </row>
        <row r="1184">
          <cell r="B1184" t="str">
            <v>KHI/HO/D/MO/PC COMP/C/86676/40/04/2024</v>
          </cell>
          <cell r="D1184" t="str">
            <v>REN</v>
          </cell>
        </row>
        <row r="1185">
          <cell r="B1185" t="str">
            <v>KHI/HO/D/MO/PC COMP/C/86676/41/04/2024</v>
          </cell>
          <cell r="D1185" t="str">
            <v>REN</v>
          </cell>
        </row>
        <row r="1186">
          <cell r="B1186" t="str">
            <v>KHI/HO/D/MO/PC COMP/C/86676/42/04/2024</v>
          </cell>
          <cell r="D1186" t="str">
            <v>REN</v>
          </cell>
        </row>
        <row r="1187">
          <cell r="B1187" t="str">
            <v>KHI/HO/D/MO/PC COMP/C/86676/43/04/2024</v>
          </cell>
          <cell r="D1187" t="str">
            <v>REN</v>
          </cell>
        </row>
        <row r="1188">
          <cell r="B1188" t="str">
            <v>KHI/HO/D/MO/PC COMP/C/86676/44/04/2024</v>
          </cell>
          <cell r="D1188" t="str">
            <v>REN</v>
          </cell>
        </row>
        <row r="1189">
          <cell r="B1189" t="str">
            <v>KHI/HO/D/MO/PC COMP/C/86676/45/04/2024</v>
          </cell>
          <cell r="D1189" t="str">
            <v>REN</v>
          </cell>
        </row>
        <row r="1190">
          <cell r="B1190" t="str">
            <v>KHI/HO/D/MO/PC COMP/C/86676/46/04/2024</v>
          </cell>
          <cell r="D1190" t="str">
            <v>REN</v>
          </cell>
        </row>
        <row r="1191">
          <cell r="B1191" t="str">
            <v>KHI/HO/D/MO/PC COMP/C/86550/2/04/2024</v>
          </cell>
          <cell r="D1191" t="str">
            <v>FRE</v>
          </cell>
        </row>
        <row r="1192">
          <cell r="B1192" t="str">
            <v>KHI/HO/D/MO/PC COMP/C/86646/95/04/2024</v>
          </cell>
          <cell r="D1192" t="str">
            <v>REN</v>
          </cell>
        </row>
        <row r="1193">
          <cell r="B1193" t="str">
            <v>KHI/HO/D/MO/PC COMP/C/86646/96/04/2024</v>
          </cell>
          <cell r="D1193" t="str">
            <v>REN</v>
          </cell>
        </row>
        <row r="1194">
          <cell r="B1194" t="str">
            <v>KHI/HO/D/MO/PC COMP/C/86646/97/04/2024</v>
          </cell>
          <cell r="D1194" t="str">
            <v>REN</v>
          </cell>
        </row>
        <row r="1195">
          <cell r="B1195" t="str">
            <v>KHI/HO/D/MO/PC COMP/C/86662/5/04/2024</v>
          </cell>
          <cell r="D1195" t="str">
            <v>REN</v>
          </cell>
        </row>
        <row r="1196">
          <cell r="B1196" t="str">
            <v>KHI/HO/D/MO/PC COMP/C/86662/6/04/2024</v>
          </cell>
          <cell r="D1196" t="str">
            <v>REN</v>
          </cell>
        </row>
        <row r="1197">
          <cell r="B1197" t="str">
            <v>KHI/HO/D/MO/PC COMP/C/86550/3/04/2024</v>
          </cell>
          <cell r="D1197" t="str">
            <v>FRE</v>
          </cell>
        </row>
        <row r="1198">
          <cell r="B1198" t="str">
            <v>KHI/HO/D/MO/PC COMP/C/86550/4/04/2024</v>
          </cell>
          <cell r="D1198" t="str">
            <v>FRE</v>
          </cell>
        </row>
        <row r="1199">
          <cell r="B1199" t="str">
            <v>KHI/HO/D/MO/PC COMP/C/86550/5/04/2024</v>
          </cell>
          <cell r="D1199" t="str">
            <v>FRE</v>
          </cell>
        </row>
        <row r="1200">
          <cell r="B1200" t="str">
            <v>KHI/HO/D/MO/PC COMP/C/86550/6/04/2024</v>
          </cell>
          <cell r="D1200" t="str">
            <v>FRE</v>
          </cell>
        </row>
        <row r="1201">
          <cell r="B1201" t="str">
            <v>KHI/HO/D/MO/PC COMP/C/86550/7/04/2024</v>
          </cell>
          <cell r="D1201" t="str">
            <v>FRE</v>
          </cell>
        </row>
        <row r="1202">
          <cell r="B1202" t="str">
            <v>KHI/HO/D/MO/PC COMP/C/86550/8/04/2024</v>
          </cell>
          <cell r="D1202" t="str">
            <v>FRE</v>
          </cell>
        </row>
        <row r="1203">
          <cell r="B1203" t="str">
            <v>KHI/HO/D/MO/PC COMP/C/86550/9/04/2024</v>
          </cell>
          <cell r="D1203" t="str">
            <v>FRE</v>
          </cell>
        </row>
        <row r="1204">
          <cell r="B1204" t="str">
            <v>KHI/HO/D/MO/PC COMP/C/86550/10/04/2024</v>
          </cell>
          <cell r="D1204" t="str">
            <v>FRE</v>
          </cell>
        </row>
        <row r="1205">
          <cell r="B1205" t="str">
            <v>KHI/HO/D/MO/PC COMP/C/86550/11/04/2024</v>
          </cell>
          <cell r="D1205" t="str">
            <v>FRE</v>
          </cell>
        </row>
        <row r="1206">
          <cell r="B1206" t="str">
            <v>KHI/HO/D/MO/PC COMP/C/86550/12/04/2024</v>
          </cell>
          <cell r="D1206" t="str">
            <v>FRE</v>
          </cell>
        </row>
        <row r="1207">
          <cell r="B1207" t="str">
            <v>KHI/HO/D/MO/PC COMP/C/86550/13/04/2024</v>
          </cell>
          <cell r="D1207" t="str">
            <v>FRE</v>
          </cell>
        </row>
        <row r="1208">
          <cell r="B1208" t="str">
            <v>KHI/HO/D/MO/PC COMP/C/86550/14/04/2024</v>
          </cell>
          <cell r="D1208" t="str">
            <v>FRE</v>
          </cell>
        </row>
        <row r="1209">
          <cell r="B1209" t="str">
            <v>KHI/HO/D/MO/PC COMP/C/86550/15/04/2024</v>
          </cell>
          <cell r="D1209" t="str">
            <v>FRE</v>
          </cell>
        </row>
        <row r="1210">
          <cell r="B1210" t="str">
            <v>KHI/HO/D/MO/PC COMP/C/86550/16/04/2024</v>
          </cell>
          <cell r="D1210" t="str">
            <v>FRE</v>
          </cell>
        </row>
        <row r="1211">
          <cell r="B1211" t="str">
            <v>KHI/HO/D/MO/PC COMP/C/86550/17/04/2024</v>
          </cell>
          <cell r="D1211" t="str">
            <v>FRE</v>
          </cell>
        </row>
        <row r="1212">
          <cell r="B1212" t="str">
            <v>KHI/HO/D/MO/PC COMP/C/86550/18/04/2024</v>
          </cell>
          <cell r="D1212" t="str">
            <v>FRE</v>
          </cell>
        </row>
        <row r="1213">
          <cell r="B1213" t="str">
            <v>KHI/HO/D/MO/PC COMP/C/86550/19/04/2024</v>
          </cell>
          <cell r="D1213" t="str">
            <v>FRE</v>
          </cell>
        </row>
        <row r="1214">
          <cell r="B1214" t="str">
            <v>KHI/HO/D/MO/PC COMP/C/86550/20/04/2024</v>
          </cell>
          <cell r="D1214" t="str">
            <v>FRE</v>
          </cell>
        </row>
        <row r="1215">
          <cell r="B1215" t="str">
            <v>KHI/HO/D/MO/PC COMP/C/86550/21/04/2024</v>
          </cell>
          <cell r="D1215" t="str">
            <v>FRE</v>
          </cell>
        </row>
        <row r="1216">
          <cell r="B1216" t="str">
            <v>KHI/HO/D/MO/PC COMP/C/86550/22/04/2024</v>
          </cell>
          <cell r="D1216" t="str">
            <v>FRE</v>
          </cell>
        </row>
        <row r="1217">
          <cell r="B1217" t="str">
            <v>KHI/HO/D/MO/PC COMP/C/86550/23/04/2024</v>
          </cell>
          <cell r="D1217" t="str">
            <v>FRE</v>
          </cell>
        </row>
        <row r="1218">
          <cell r="B1218" t="str">
            <v>KHI/HO/D/MO/PC COMP/C/86550/24/04/2024</v>
          </cell>
          <cell r="D1218" t="str">
            <v>FRE</v>
          </cell>
        </row>
        <row r="1219">
          <cell r="B1219" t="str">
            <v>KHI/HO/D/MO/PC COMP/C/86550/25/04/2024</v>
          </cell>
          <cell r="D1219" t="str">
            <v>FRE</v>
          </cell>
        </row>
        <row r="1220">
          <cell r="B1220" t="str">
            <v>KHI/HO/D/MO/PC COMP/C/86550/26/04/2024</v>
          </cell>
          <cell r="D1220" t="str">
            <v>FRE</v>
          </cell>
        </row>
        <row r="1221">
          <cell r="B1221" t="str">
            <v>KHI/HO/D/MO/PC COMP/C/86550/27/04/2024</v>
          </cell>
          <cell r="D1221" t="str">
            <v>FRE</v>
          </cell>
        </row>
        <row r="1222">
          <cell r="B1222" t="str">
            <v>KHI/HO/D/MO/PC COMP/C/86550/28/04/2024</v>
          </cell>
          <cell r="D1222" t="str">
            <v>FRE</v>
          </cell>
        </row>
        <row r="1223">
          <cell r="B1223" t="str">
            <v>KHI/HO/D/MO/PC COMP/C/86550/29/04/2024</v>
          </cell>
          <cell r="D1223" t="str">
            <v>FRE</v>
          </cell>
        </row>
        <row r="1224">
          <cell r="B1224" t="str">
            <v>KHI/HO/D/MO/PC COMP/C/86550/30/04/2024</v>
          </cell>
          <cell r="D1224" t="str">
            <v>FRE</v>
          </cell>
        </row>
        <row r="1225">
          <cell r="B1225" t="str">
            <v>KHI/HO/D/MO/PC COMP/C/86550/31/04/2024</v>
          </cell>
          <cell r="D1225" t="str">
            <v>FRE</v>
          </cell>
        </row>
        <row r="1226">
          <cell r="B1226" t="str">
            <v>KHI/HO/D/MO/PC COMP/C/86550/32/04/2024</v>
          </cell>
          <cell r="D1226" t="str">
            <v>FRE</v>
          </cell>
        </row>
        <row r="1227">
          <cell r="B1227" t="str">
            <v>KHI/HO/D/MO/PC COMP/C/86550/33/04/2024</v>
          </cell>
          <cell r="D1227" t="str">
            <v>FRE</v>
          </cell>
        </row>
        <row r="1228">
          <cell r="B1228" t="str">
            <v>KHI/HO/D/MO/PC COMP/C/86550/34/04/2024</v>
          </cell>
          <cell r="D1228" t="str">
            <v>FRE</v>
          </cell>
        </row>
        <row r="1229">
          <cell r="B1229" t="str">
            <v>KHI/HO/D/MO/PC COMP/C/86550/35/04/2024</v>
          </cell>
          <cell r="D1229" t="str">
            <v>FRE</v>
          </cell>
        </row>
        <row r="1230">
          <cell r="B1230" t="str">
            <v>KHI/HO/D/MO/PC COMP/C/86550/36/04/2024</v>
          </cell>
          <cell r="D1230" t="str">
            <v>FRE</v>
          </cell>
        </row>
        <row r="1231">
          <cell r="B1231" t="str">
            <v>KHI/HO/D/MO/PC COMP/C/86550/37/04/2024</v>
          </cell>
          <cell r="D1231" t="str">
            <v>FRE</v>
          </cell>
        </row>
        <row r="1232">
          <cell r="B1232" t="str">
            <v>KHI/HO/D/MO/PC COMP/C/86550/38/04/2024</v>
          </cell>
          <cell r="D1232" t="str">
            <v>FRE</v>
          </cell>
        </row>
        <row r="1233">
          <cell r="B1233" t="str">
            <v>KHI/HO/D/MO/PC COMP/C/86550/39/04/2024</v>
          </cell>
          <cell r="D1233" t="str">
            <v>FRE</v>
          </cell>
        </row>
        <row r="1234">
          <cell r="B1234" t="str">
            <v>KHI/HO/D/MO/PC COMP/C/86550/40/04/2024</v>
          </cell>
          <cell r="D1234" t="str">
            <v>FRE</v>
          </cell>
        </row>
        <row r="1235">
          <cell r="B1235" t="str">
            <v>KHI/HO/D/MO/PC COMP/C/86550/41/04/2024</v>
          </cell>
          <cell r="D1235" t="str">
            <v>FRE</v>
          </cell>
        </row>
        <row r="1236">
          <cell r="B1236" t="str">
            <v>KHI/HO/D/MO/PC COMP/C/86550/42/04/2024</v>
          </cell>
          <cell r="D1236" t="str">
            <v>FRE</v>
          </cell>
        </row>
        <row r="1237">
          <cell r="B1237" t="str">
            <v>KHI/HO/D/MO/PC COMP/C/86550/43/04/2024</v>
          </cell>
          <cell r="D1237" t="str">
            <v>FRE</v>
          </cell>
        </row>
        <row r="1238">
          <cell r="B1238" t="str">
            <v>KHI/HO/D/MO/PC COMP/C/86550/44/04/2024</v>
          </cell>
          <cell r="D1238" t="str">
            <v>FRE</v>
          </cell>
        </row>
        <row r="1239">
          <cell r="B1239" t="str">
            <v>KHI/HO/D/MO/PC COMP/C/86550/45/04/2024</v>
          </cell>
          <cell r="D1239" t="str">
            <v>FRE</v>
          </cell>
        </row>
        <row r="1240">
          <cell r="B1240" t="str">
            <v>KHI/HO/D/MO/PC COMP/C/86550/46/04/2024</v>
          </cell>
          <cell r="D1240" t="str">
            <v>FRE</v>
          </cell>
        </row>
        <row r="1241">
          <cell r="B1241" t="str">
            <v>KHI/HO/D/MO/PC COMP/C/86550/47/04/2024</v>
          </cell>
          <cell r="D1241" t="str">
            <v>FRE</v>
          </cell>
        </row>
        <row r="1242">
          <cell r="B1242" t="str">
            <v>KHI/HO/D/MO/PC COMP/C/86550/48/04/2024</v>
          </cell>
          <cell r="D1242" t="str">
            <v>FRE</v>
          </cell>
        </row>
        <row r="1243">
          <cell r="B1243" t="str">
            <v>KHI/HO/D/MO/PC COMP/C/86550/49/04/2024</v>
          </cell>
          <cell r="D1243" t="str">
            <v>FRE</v>
          </cell>
        </row>
        <row r="1244">
          <cell r="B1244" t="str">
            <v>KHI/HO/D/MO/PC COMP/C/86550/50/04/2024</v>
          </cell>
          <cell r="D1244" t="str">
            <v>FRE</v>
          </cell>
        </row>
        <row r="1245">
          <cell r="B1245" t="str">
            <v>KHI/HO/D/MO/PC COMP/C/86550/51/04/2024</v>
          </cell>
          <cell r="D1245" t="str">
            <v>FRE</v>
          </cell>
        </row>
        <row r="1246">
          <cell r="B1246" t="str">
            <v>KHI/HO/D/MO/PC COMP/C/86550/52/04/2024</v>
          </cell>
          <cell r="D1246" t="str">
            <v>FRE</v>
          </cell>
        </row>
        <row r="1247">
          <cell r="B1247" t="str">
            <v>KHI/HO/D/MO/PC COMP/C/86550/53/04/2024</v>
          </cell>
          <cell r="D1247" t="str">
            <v>FRE</v>
          </cell>
        </row>
        <row r="1248">
          <cell r="B1248" t="str">
            <v>KHI/HO/D/MO/PC COMP/C/86550/54/04/2024</v>
          </cell>
          <cell r="D1248" t="str">
            <v>FRE</v>
          </cell>
        </row>
        <row r="1249">
          <cell r="B1249" t="str">
            <v>KHI/HO/D/MO/PC COMP/C/86550/55/04/2024</v>
          </cell>
          <cell r="D1249" t="str">
            <v>FRE</v>
          </cell>
        </row>
        <row r="1250">
          <cell r="B1250" t="str">
            <v>KHI/HO/D/MO/PC COMP/C/86550/56/04/2024</v>
          </cell>
          <cell r="D1250" t="str">
            <v>FRE</v>
          </cell>
        </row>
        <row r="1251">
          <cell r="B1251" t="str">
            <v>KHI/HO/D/MO/PC COMP/C/86550/57/04/2024</v>
          </cell>
          <cell r="D1251" t="str">
            <v>FRE</v>
          </cell>
        </row>
        <row r="1252">
          <cell r="B1252" t="str">
            <v>KHI/HO/D/MO/PC COMP/C/86550/58/04/2024</v>
          </cell>
          <cell r="D1252" t="str">
            <v>FRE</v>
          </cell>
        </row>
        <row r="1253">
          <cell r="B1253" t="str">
            <v>KHI/HO/D/MO/PC COMP/C/86550/59/04/2024</v>
          </cell>
          <cell r="D1253" t="str">
            <v>FRE</v>
          </cell>
        </row>
        <row r="1254">
          <cell r="B1254" t="str">
            <v>KHI/HO/D/MO/PC COMP/C/86550/60/04/2024</v>
          </cell>
          <cell r="D1254" t="str">
            <v>FRE</v>
          </cell>
        </row>
        <row r="1255">
          <cell r="B1255" t="str">
            <v>KHI/HO/D/MO/PC COMP/C/86550/61/04/2024</v>
          </cell>
          <cell r="D1255" t="str">
            <v>FRE</v>
          </cell>
        </row>
        <row r="1256">
          <cell r="B1256" t="str">
            <v>KHI/HO/D/MO/PC COMP/C/86550/62/04/2024</v>
          </cell>
          <cell r="D1256" t="str">
            <v>FRE</v>
          </cell>
        </row>
        <row r="1257">
          <cell r="B1257" t="str">
            <v>KHI/HO/D/MO/PC COMP/C/86550/63/04/2024</v>
          </cell>
          <cell r="D1257" t="str">
            <v>FRE</v>
          </cell>
        </row>
        <row r="1258">
          <cell r="B1258" t="str">
            <v>KHI/HO/D/MO/PC COMP/C/86550/64/04/2024</v>
          </cell>
          <cell r="D1258" t="str">
            <v>FRE</v>
          </cell>
        </row>
        <row r="1259">
          <cell r="B1259" t="str">
            <v>KHI/HO/D/MO/PC COMP/C/88249/1/05/2024</v>
          </cell>
          <cell r="D1259" t="str">
            <v>FRE</v>
          </cell>
        </row>
        <row r="1260">
          <cell r="B1260" t="str">
            <v>KHI/HO/D/MO/PC COMP/C/88407/1/05/2024</v>
          </cell>
          <cell r="D1260" t="str">
            <v>REN</v>
          </cell>
        </row>
        <row r="1261">
          <cell r="B1261" t="str">
            <v>KHI/HO/D/MO/PC COMP/C/88407/2/05/2024</v>
          </cell>
          <cell r="D1261" t="str">
            <v>REN</v>
          </cell>
        </row>
        <row r="1262">
          <cell r="B1262" t="str">
            <v>KHI/HO/D/MO/PC COMP/C/88407/3/05/2024</v>
          </cell>
          <cell r="D1262" t="str">
            <v>REN</v>
          </cell>
        </row>
        <row r="1263">
          <cell r="B1263" t="str">
            <v>KHI/HO/D/MO/PC COMP/C/88407/4/05/2024</v>
          </cell>
          <cell r="D1263" t="str">
            <v>REN</v>
          </cell>
        </row>
        <row r="1264">
          <cell r="B1264" t="str">
            <v>KHI/HO/D/MO/PC COMP/C/88249/2/05/2024</v>
          </cell>
          <cell r="D1264" t="str">
            <v>FRE</v>
          </cell>
        </row>
        <row r="1265">
          <cell r="B1265" t="str">
            <v>KHI/HO/D/MO/PC COMP/C/88249/3/05/2024</v>
          </cell>
          <cell r="D1265" t="str">
            <v>FRE</v>
          </cell>
        </row>
        <row r="1266">
          <cell r="B1266" t="str">
            <v>KHI/HO/D/MO/PC COMP/C/88249/4/05/2024</v>
          </cell>
          <cell r="D1266" t="str">
            <v>FRE</v>
          </cell>
        </row>
        <row r="1267">
          <cell r="B1267" t="str">
            <v>KHI/HO/D/MO/PC COMP/C/88249/5/05/2024</v>
          </cell>
          <cell r="D1267" t="str">
            <v>FRE</v>
          </cell>
        </row>
        <row r="1268">
          <cell r="B1268" t="str">
            <v>KHI/HO/D/MO/PC COMP/C/88626/1/05/2024</v>
          </cell>
          <cell r="D1268" t="str">
            <v>REN</v>
          </cell>
        </row>
        <row r="1269">
          <cell r="B1269" t="str">
            <v>KHI/HO/D/MO/PC COMP/C/88249/6/05/2024</v>
          </cell>
          <cell r="D1269" t="str">
            <v>FRE</v>
          </cell>
        </row>
        <row r="1270">
          <cell r="B1270" t="str">
            <v>KHI/HO/D/MO/PC COMP/C/88249/7/05/2024</v>
          </cell>
          <cell r="D1270" t="str">
            <v>FRE</v>
          </cell>
        </row>
        <row r="1271">
          <cell r="B1271" t="str">
            <v>KHI/HO/D/MO/PC COMP/C/88249/8/05/2024</v>
          </cell>
          <cell r="D1271" t="str">
            <v>FRE</v>
          </cell>
        </row>
        <row r="1272">
          <cell r="B1272" t="str">
            <v>KHI/HO/D/MO/PC COMP/C/88249/9/05/2024</v>
          </cell>
          <cell r="D1272" t="str">
            <v>FRE</v>
          </cell>
        </row>
        <row r="1273">
          <cell r="B1273" t="str">
            <v>KHI/HO/D/MO/PC COMP/C/88249/10/05/2024</v>
          </cell>
          <cell r="D1273" t="str">
            <v>FRE</v>
          </cell>
        </row>
        <row r="1274">
          <cell r="B1274" t="str">
            <v>KHI/HO/D/MO/PC COMP/C/88249/11/05/2024</v>
          </cell>
          <cell r="D1274" t="str">
            <v>FRE</v>
          </cell>
        </row>
        <row r="1275">
          <cell r="B1275" t="str">
            <v>KHI/HO/D/MO/PC COMP/C/88249/12/05/2024</v>
          </cell>
          <cell r="D1275" t="str">
            <v>FRE</v>
          </cell>
        </row>
        <row r="1276">
          <cell r="B1276" t="str">
            <v>KHI/HO/D/MO/PC COMP/C/88249/13/05/2024</v>
          </cell>
          <cell r="D1276" t="str">
            <v>FRE</v>
          </cell>
        </row>
        <row r="1277">
          <cell r="B1277" t="str">
            <v>KHI/HO/D/MO/PC COMP/C/88249/14/05/2024</v>
          </cell>
          <cell r="D1277" t="str">
            <v>FRE</v>
          </cell>
        </row>
        <row r="1278">
          <cell r="B1278" t="str">
            <v>KHI/HO/D/MO/PC COMP/C/88249/15/05/2024</v>
          </cell>
          <cell r="D1278" t="str">
            <v>FRE</v>
          </cell>
        </row>
        <row r="1279">
          <cell r="B1279" t="str">
            <v>KHI/HO/D/MO/PC COMP/C/88249/16/05/2024</v>
          </cell>
          <cell r="D1279" t="str">
            <v>FRE</v>
          </cell>
        </row>
        <row r="1280">
          <cell r="B1280" t="str">
            <v>HO/D/MO/CV/C/88993/1/05/2024</v>
          </cell>
          <cell r="D1280" t="str">
            <v>REN</v>
          </cell>
        </row>
        <row r="1281">
          <cell r="B1281" t="str">
            <v>HO/D/MO/CV/C/88993/2/05/2024</v>
          </cell>
          <cell r="D1281" t="str">
            <v>REN</v>
          </cell>
        </row>
        <row r="1282">
          <cell r="B1282" t="str">
            <v>KHI/HO/D/MO/CV/C/88993/3/05/2024</v>
          </cell>
          <cell r="D1282" t="str">
            <v>REN</v>
          </cell>
        </row>
        <row r="1283">
          <cell r="B1283" t="str">
            <v>KHI/HO/D/MO/CV/C/88993/4/05/2024</v>
          </cell>
          <cell r="D1283" t="str">
            <v>REN</v>
          </cell>
        </row>
        <row r="1284">
          <cell r="B1284" t="str">
            <v>KHI/HO/D/MO/CV/C/88993/5/05/2024</v>
          </cell>
          <cell r="D1284" t="str">
            <v>REN</v>
          </cell>
        </row>
        <row r="1285">
          <cell r="B1285" t="str">
            <v>KHI/HO/D/MO/CV/C/88999/1/05/2024</v>
          </cell>
          <cell r="D1285" t="str">
            <v>REN</v>
          </cell>
        </row>
        <row r="1286">
          <cell r="B1286" t="str">
            <v>KHI/HO/D/MO/CV/C/88999/2/05/2024</v>
          </cell>
          <cell r="D1286" t="str">
            <v>REN</v>
          </cell>
        </row>
        <row r="1287">
          <cell r="B1287" t="str">
            <v>KHI/HO/D/MO/CV/C/89001/1/05/2024</v>
          </cell>
          <cell r="D1287" t="str">
            <v>REN</v>
          </cell>
        </row>
        <row r="1288">
          <cell r="B1288" t="str">
            <v>KHI/HO/D/MO/PC COMP/C/88249/17/05/2024</v>
          </cell>
          <cell r="D1288" t="str">
            <v>FRE</v>
          </cell>
        </row>
        <row r="1289">
          <cell r="B1289" t="str">
            <v>KHI/HO/D/MO/PC COMP/C/88249/18/05/2024</v>
          </cell>
          <cell r="D1289" t="str">
            <v>FRE</v>
          </cell>
        </row>
        <row r="1290">
          <cell r="B1290" t="str">
            <v>KHI/HO/D/MO/PC COMP/C/88249/19/05/2024</v>
          </cell>
          <cell r="D1290" t="str">
            <v>FRE</v>
          </cell>
        </row>
        <row r="1291">
          <cell r="B1291" t="str">
            <v>KHI/HO/D/MO/CV/C/89000/1/05/2024</v>
          </cell>
          <cell r="D1291" t="str">
            <v>FRE</v>
          </cell>
        </row>
        <row r="1292">
          <cell r="B1292" t="str">
            <v>KHI/HO/D/MO/PC COMP/C/88249/20/05/2024</v>
          </cell>
          <cell r="D1292" t="str">
            <v>FRE</v>
          </cell>
        </row>
        <row r="1293">
          <cell r="B1293" t="str">
            <v>KHI/HO/D/MO/PC COMP/C/88249/21/05/2024</v>
          </cell>
          <cell r="D1293" t="str">
            <v>FRE</v>
          </cell>
        </row>
        <row r="1294">
          <cell r="B1294" t="str">
            <v>KHI/HO/D/MO/PC COMP/C/88249/22/05/2024</v>
          </cell>
          <cell r="D1294" t="str">
            <v>FRE</v>
          </cell>
        </row>
        <row r="1295">
          <cell r="B1295" t="str">
            <v>KHI/HO/D/MO/PC COMP/C/88249/23/05/2024</v>
          </cell>
          <cell r="D1295" t="str">
            <v>FRE</v>
          </cell>
        </row>
        <row r="1296">
          <cell r="B1296" t="str">
            <v>KHI/HO/D/MO/PC COMP/C/88249/24/05/2024</v>
          </cell>
          <cell r="D1296" t="str">
            <v>FRE</v>
          </cell>
        </row>
        <row r="1297">
          <cell r="B1297" t="str">
            <v>KHI/HO/D/MO/PC COMP/C/88249/25/05/2024</v>
          </cell>
          <cell r="D1297" t="str">
            <v>FRE</v>
          </cell>
        </row>
        <row r="1298">
          <cell r="B1298" t="str">
            <v>KHI/HO/D/MO/PC COMP/C/88249/26/05/2024</v>
          </cell>
          <cell r="D1298" t="str">
            <v>FRE</v>
          </cell>
        </row>
        <row r="1299">
          <cell r="B1299" t="str">
            <v>KHI/HO/D/MO/PC COMP/C/88249/27/05/2024</v>
          </cell>
          <cell r="D1299" t="str">
            <v>FRE</v>
          </cell>
        </row>
        <row r="1300">
          <cell r="B1300" t="str">
            <v>KHI/HO/D/MO/PC COMP/C/88249/28/05/2024</v>
          </cell>
          <cell r="D1300" t="str">
            <v>FRE</v>
          </cell>
        </row>
        <row r="1301">
          <cell r="B1301" t="str">
            <v>KHI/HO/D/MO/PC COMP/C/88249/29/05/2024</v>
          </cell>
          <cell r="D1301" t="str">
            <v>FRE</v>
          </cell>
        </row>
        <row r="1302">
          <cell r="B1302" t="str">
            <v>KHI/HO/D/MO/CV/C/89479/1/05/2024</v>
          </cell>
          <cell r="D1302" t="str">
            <v>FRE</v>
          </cell>
        </row>
        <row r="1303">
          <cell r="B1303" t="str">
            <v>KHI/HO/D/MO/PC COMP/C/88249/30/05/2024</v>
          </cell>
          <cell r="D1303" t="str">
            <v>FRE</v>
          </cell>
        </row>
        <row r="1304">
          <cell r="B1304" t="str">
            <v>KHI/HO/D/MO/PC COMP/C/88249/31/05/2024</v>
          </cell>
          <cell r="D1304" t="str">
            <v>FRE</v>
          </cell>
        </row>
        <row r="1305">
          <cell r="B1305" t="str">
            <v>KHI/HO/D/MO/PC COMP/C/88626/2/05/2024</v>
          </cell>
          <cell r="D1305" t="str">
            <v>REN</v>
          </cell>
        </row>
        <row r="1306">
          <cell r="B1306" t="str">
            <v>KHI/HO/D/MO/PC COMP/C/88626/3/05/2024</v>
          </cell>
          <cell r="D1306" t="str">
            <v>REN</v>
          </cell>
        </row>
        <row r="1307">
          <cell r="B1307" t="str">
            <v>KHI/HO/D/MO/PC COMP/C/88626/4/05/2024</v>
          </cell>
          <cell r="D1307" t="str">
            <v>REN</v>
          </cell>
        </row>
        <row r="1308">
          <cell r="B1308" t="str">
            <v>KHI/HO/D/MO/PC COMP/C/88626/5/05/2024</v>
          </cell>
          <cell r="D1308" t="str">
            <v>REN</v>
          </cell>
        </row>
        <row r="1309">
          <cell r="B1309" t="str">
            <v>KHI/HO/D/MO/PC COMP/C/88626/6/05/2024</v>
          </cell>
          <cell r="D1309" t="str">
            <v>REN</v>
          </cell>
        </row>
        <row r="1310">
          <cell r="B1310" t="str">
            <v>KHI/HO/D/MO/PC COMP/C/88626/7/05/2024</v>
          </cell>
          <cell r="D1310" t="str">
            <v>REN</v>
          </cell>
        </row>
        <row r="1311">
          <cell r="B1311" t="str">
            <v>KHI/HO/D/MO/PC COMP/C/88626/8/05/2024</v>
          </cell>
          <cell r="D1311" t="str">
            <v>REN</v>
          </cell>
        </row>
        <row r="1312">
          <cell r="B1312" t="str">
            <v>KHI/HO/D/MO/PC COMP/C/88626/9/05/2024</v>
          </cell>
          <cell r="D1312" t="str">
            <v>REN</v>
          </cell>
        </row>
        <row r="1313">
          <cell r="B1313" t="str">
            <v>KHI/HO/D/MO/PC COMP/C/88626/10/05/2024</v>
          </cell>
          <cell r="D1313" t="str">
            <v>REN</v>
          </cell>
        </row>
        <row r="1314">
          <cell r="B1314" t="str">
            <v>KHI/HO/D/MO/PC COMP/C/88626/11/05/2024</v>
          </cell>
          <cell r="D1314" t="str">
            <v>REN</v>
          </cell>
        </row>
        <row r="1315">
          <cell r="B1315" t="str">
            <v>KHI/HO/D/MO/PC COMP/C/88626/12/05/2024</v>
          </cell>
          <cell r="D1315" t="str">
            <v>REN</v>
          </cell>
        </row>
        <row r="1316">
          <cell r="B1316" t="str">
            <v>KHI/HO/D/MO/PC COMP/C/88626/13/05/2024</v>
          </cell>
          <cell r="D1316" t="str">
            <v>REN</v>
          </cell>
        </row>
        <row r="1317">
          <cell r="B1317" t="str">
            <v>KHI/HO/D/MO/PC COMP/C/88626/14/05/2024</v>
          </cell>
          <cell r="D1317" t="str">
            <v>REN</v>
          </cell>
        </row>
        <row r="1318">
          <cell r="B1318" t="str">
            <v>KHI/HO/D/MO/PC COMP/C/88626/15/05/2024</v>
          </cell>
          <cell r="D1318" t="str">
            <v>REN</v>
          </cell>
        </row>
        <row r="1319">
          <cell r="B1319" t="str">
            <v>KHI/HO/D/MO/PC COMP/C/88626/16/05/2024</v>
          </cell>
          <cell r="D1319" t="str">
            <v>REN</v>
          </cell>
        </row>
        <row r="1320">
          <cell r="B1320" t="str">
            <v>KHI/HO/D/MO/PC COMP/C/88626/17/05/2024</v>
          </cell>
          <cell r="D1320" t="str">
            <v>REN</v>
          </cell>
        </row>
        <row r="1321">
          <cell r="B1321" t="str">
            <v>KHI/HO/D/MO/PC COMP/C/88626/18/05/2024</v>
          </cell>
          <cell r="D1321" t="str">
            <v>REN</v>
          </cell>
        </row>
        <row r="1322">
          <cell r="B1322" t="str">
            <v>KHI/HO/D/MO/PC COMP/C/88626/19/05/2024</v>
          </cell>
          <cell r="D1322" t="str">
            <v>REN</v>
          </cell>
        </row>
        <row r="1323">
          <cell r="B1323" t="str">
            <v>KHI/HO/D/MO/PC COMP/C/88626/20/05/2024</v>
          </cell>
          <cell r="D1323" t="str">
            <v>REN</v>
          </cell>
        </row>
        <row r="1324">
          <cell r="B1324" t="str">
            <v>KHI/HO/D/MO/PC COMP/C/88626/21/05/2024</v>
          </cell>
          <cell r="D1324" t="str">
            <v>REN</v>
          </cell>
        </row>
        <row r="1325">
          <cell r="B1325" t="str">
            <v>KHI/HO/D/MO/PC COMP/C/88626/22/05/2024</v>
          </cell>
          <cell r="D1325" t="str">
            <v>REN</v>
          </cell>
        </row>
        <row r="1326">
          <cell r="B1326" t="str">
            <v>KHI/HO/D/MO/PC COMP/C/88626/23/05/2024</v>
          </cell>
          <cell r="D1326" t="str">
            <v>REN</v>
          </cell>
        </row>
        <row r="1327">
          <cell r="B1327" t="str">
            <v>KHI/HO/D/MO/PC COMP/C/88626/24/05/2024</v>
          </cell>
          <cell r="D1327" t="str">
            <v>REN</v>
          </cell>
        </row>
        <row r="1328">
          <cell r="B1328" t="str">
            <v>KHI/HO/D/MO/PC COMP/C/88626/25/05/2024</v>
          </cell>
          <cell r="D1328" t="str">
            <v>REN</v>
          </cell>
        </row>
        <row r="1329">
          <cell r="B1329" t="str">
            <v>KHI/HO/D/MO/PC COMP/C/88626/26/05/2024</v>
          </cell>
          <cell r="D1329" t="str">
            <v>REN</v>
          </cell>
        </row>
        <row r="1330">
          <cell r="B1330" t="str">
            <v>KHI/HO/D/MO/PC COMP/C/88626/27/05/2024</v>
          </cell>
          <cell r="D1330" t="str">
            <v>REN</v>
          </cell>
        </row>
        <row r="1331">
          <cell r="B1331" t="str">
            <v>KHI/HO/D/MO/PC COMP/C/88626/28/05/2024</v>
          </cell>
          <cell r="D1331" t="str">
            <v>REN</v>
          </cell>
        </row>
        <row r="1332">
          <cell r="B1332" t="str">
            <v>KHI/HO/D/MO/PC COMP/C/88626/29/05/2024</v>
          </cell>
          <cell r="D1332" t="str">
            <v>REN</v>
          </cell>
        </row>
        <row r="1333">
          <cell r="B1333" t="str">
            <v>KHI/HO/D/MO/PC COMP/C/88626/30/05/2024</v>
          </cell>
          <cell r="D1333" t="str">
            <v>REN</v>
          </cell>
        </row>
        <row r="1334">
          <cell r="B1334" t="str">
            <v>KHI/HO/D/MO/PC COMP/C/88626/31/05/2024</v>
          </cell>
          <cell r="D1334" t="str">
            <v>REN</v>
          </cell>
        </row>
        <row r="1335">
          <cell r="B1335" t="str">
            <v>KHI/HO/D/MO/PC COMP/C/88626/32/05/2024</v>
          </cell>
          <cell r="D1335" t="str">
            <v>REN</v>
          </cell>
        </row>
        <row r="1336">
          <cell r="B1336" t="str">
            <v>KHI/HO/D/MO/PC COMP/C/88626/33/05/2024</v>
          </cell>
          <cell r="D1336" t="str">
            <v>REN</v>
          </cell>
        </row>
        <row r="1337">
          <cell r="B1337" t="str">
            <v>KHI/HO/D/MO/PC COMP/C/88626/34/05/2024</v>
          </cell>
          <cell r="D1337" t="str">
            <v>REN</v>
          </cell>
        </row>
        <row r="1338">
          <cell r="B1338" t="str">
            <v>KHI/HO/D/MO/PC COMP/C/88626/35/05/2024</v>
          </cell>
          <cell r="D1338" t="str">
            <v>REN</v>
          </cell>
        </row>
        <row r="1339">
          <cell r="B1339" t="str">
            <v>KHI/HO/D/MO/PC COMP/C/88626/36/05/2024</v>
          </cell>
          <cell r="D1339" t="str">
            <v>REN</v>
          </cell>
        </row>
        <row r="1340">
          <cell r="B1340" t="str">
            <v>KHI/HO/D/MO/PC COMP/C/88626/37/05/2024</v>
          </cell>
          <cell r="D1340" t="str">
            <v>REN</v>
          </cell>
        </row>
        <row r="1341">
          <cell r="B1341" t="str">
            <v>KHI/HO/D/MO/PC COMP/C/88626/38/05/2024</v>
          </cell>
          <cell r="D1341" t="str">
            <v>REN</v>
          </cell>
        </row>
        <row r="1342">
          <cell r="B1342" t="str">
            <v>KHI/HO/D/MO/PC COMP/C/88626/39/05/2024</v>
          </cell>
          <cell r="D1342" t="str">
            <v>REN</v>
          </cell>
        </row>
        <row r="1343">
          <cell r="B1343" t="str">
            <v>KHI/HO/D/MO/PC COMP/C/88626/40/05/2024</v>
          </cell>
          <cell r="D1343" t="str">
            <v>REN</v>
          </cell>
        </row>
        <row r="1344">
          <cell r="B1344" t="str">
            <v>KHI/HO/D/MO/PC COMP/C/88626/41/05/2024</v>
          </cell>
          <cell r="D1344" t="str">
            <v>REN</v>
          </cell>
        </row>
        <row r="1345">
          <cell r="B1345" t="str">
            <v>KHI/HO/D/MO/PC COMP/C/88626/42/05/2024</v>
          </cell>
          <cell r="D1345" t="str">
            <v>REN</v>
          </cell>
        </row>
        <row r="1346">
          <cell r="B1346" t="str">
            <v>KHI/HO/D/MO/PC COMP/C/88626/43/05/2024</v>
          </cell>
          <cell r="D1346" t="str">
            <v>REN</v>
          </cell>
        </row>
        <row r="1347">
          <cell r="B1347" t="str">
            <v>KHI/HO/D/MO/PC COMP/C/88626/44/05/2024</v>
          </cell>
          <cell r="D1347" t="str">
            <v>REN</v>
          </cell>
        </row>
        <row r="1348">
          <cell r="B1348" t="str">
            <v>KHI/HO/D/MO/PC COMP/C/88626/45/05/2024</v>
          </cell>
          <cell r="D1348" t="str">
            <v>REN</v>
          </cell>
        </row>
        <row r="1349">
          <cell r="B1349" t="str">
            <v>KHI/HO/D/MO/PC COMP/C/88626/46/05/2024</v>
          </cell>
          <cell r="D1349" t="str">
            <v>REN</v>
          </cell>
        </row>
        <row r="1350">
          <cell r="B1350" t="str">
            <v>KHI/HO/D/MO/PC COMP/C/88626/47/05/2024</v>
          </cell>
          <cell r="D1350" t="str">
            <v>REN</v>
          </cell>
        </row>
        <row r="1351">
          <cell r="B1351" t="str">
            <v>KHI/HO/D/MO/PC COMP/C/88626/48/05/2024</v>
          </cell>
          <cell r="D1351" t="str">
            <v>REN</v>
          </cell>
        </row>
        <row r="1352">
          <cell r="B1352" t="str">
            <v>KHI/HO/D/MO/PC COMP/C/88626/49/05/2024</v>
          </cell>
          <cell r="D1352" t="str">
            <v>REN</v>
          </cell>
        </row>
        <row r="1353">
          <cell r="B1353" t="str">
            <v>KHI/HO/D/MO/PC COMP/C/88626/50/05/2024</v>
          </cell>
          <cell r="D1353" t="str">
            <v>REN</v>
          </cell>
        </row>
        <row r="1354">
          <cell r="B1354" t="str">
            <v>KHI/HO/D/MO/PC COMP/C/88626/51/05/2024</v>
          </cell>
          <cell r="D1354" t="str">
            <v>REN</v>
          </cell>
        </row>
        <row r="1355">
          <cell r="B1355" t="str">
            <v>KHI/HO/D/MO/PC COMP/C/88626/52/05/2024</v>
          </cell>
          <cell r="D1355" t="str">
            <v>REN</v>
          </cell>
        </row>
        <row r="1356">
          <cell r="B1356" t="str">
            <v>KHI/HO/D/MO/PC COMP/C/88626/53/05/2024</v>
          </cell>
          <cell r="D1356" t="str">
            <v>REN</v>
          </cell>
        </row>
        <row r="1357">
          <cell r="B1357" t="str">
            <v>KHI/HO/D/MO/PC COMP/C/88626/54/05/2024</v>
          </cell>
          <cell r="D1357" t="str">
            <v>REN</v>
          </cell>
        </row>
        <row r="1358">
          <cell r="B1358" t="str">
            <v>KHI/HO/D/MO/PC COMP/C/88626/55/05/2024</v>
          </cell>
          <cell r="D1358" t="str">
            <v>REN</v>
          </cell>
        </row>
        <row r="1359">
          <cell r="B1359" t="str">
            <v>KHI/HO/D/MO/PC COMP/C/88626/56/05/2024</v>
          </cell>
          <cell r="D1359" t="str">
            <v>REN</v>
          </cell>
        </row>
        <row r="1360">
          <cell r="B1360" t="str">
            <v>KHI/HO/D/MO/PC COMP/C/88626/57/05/2024</v>
          </cell>
          <cell r="D1360" t="str">
            <v>REN</v>
          </cell>
        </row>
        <row r="1361">
          <cell r="B1361" t="str">
            <v>KHI/HO/D/MO/PC COMP/C/88626/58/05/2024</v>
          </cell>
          <cell r="D1361" t="str">
            <v>REN</v>
          </cell>
        </row>
        <row r="1362">
          <cell r="B1362" t="str">
            <v>KHI/HO/D/MO/PC COMP/C/88626/59/05/2024</v>
          </cell>
          <cell r="D1362" t="str">
            <v>REN</v>
          </cell>
        </row>
        <row r="1363">
          <cell r="B1363" t="str">
            <v>KHI/HO/D/MO/PC COMP/C/88626/60/05/2024</v>
          </cell>
          <cell r="D1363" t="str">
            <v>REN</v>
          </cell>
        </row>
        <row r="1364">
          <cell r="B1364" t="str">
            <v>KHI/HO/D/MO/PC COMP/C/88626/61/05/2024</v>
          </cell>
          <cell r="D1364" t="str">
            <v>REN</v>
          </cell>
        </row>
        <row r="1365">
          <cell r="B1365" t="str">
            <v>KHI/HO/D/MO/PC COMP/C/88626/62/05/2024</v>
          </cell>
          <cell r="D1365" t="str">
            <v>REN</v>
          </cell>
        </row>
        <row r="1366">
          <cell r="B1366" t="str">
            <v>KHI/HO/D/MO/PC COMP/C/88626/63/05/2024</v>
          </cell>
          <cell r="D1366" t="str">
            <v>REN</v>
          </cell>
        </row>
        <row r="1367">
          <cell r="B1367" t="str">
            <v>KHI/HO/D/MO/PC COMP/C/88626/64/05/2024</v>
          </cell>
          <cell r="D1367" t="str">
            <v>REN</v>
          </cell>
        </row>
        <row r="1368">
          <cell r="B1368" t="str">
            <v>KHI/HO/D/MO/PC COMP/C/88626/65/05/2024</v>
          </cell>
          <cell r="D1368" t="str">
            <v>REN</v>
          </cell>
        </row>
        <row r="1369">
          <cell r="B1369" t="str">
            <v>KHI/HO/D/MO/PC COMP/C/88626/66/05/2024</v>
          </cell>
          <cell r="D1369" t="str">
            <v>REN</v>
          </cell>
        </row>
        <row r="1370">
          <cell r="B1370" t="str">
            <v>KHI/HO/D/MO/PC COMP/C/88626/67/05/2024</v>
          </cell>
          <cell r="D1370" t="str">
            <v>REN</v>
          </cell>
        </row>
        <row r="1371">
          <cell r="B1371" t="str">
            <v>KHI/HO/D/MO/PC COMP/C/88626/68/05/2024</v>
          </cell>
          <cell r="D1371" t="str">
            <v>REN</v>
          </cell>
        </row>
        <row r="1372">
          <cell r="B1372" t="str">
            <v>KHI/HO/D/MO/PC COMP/C/88626/69/05/2024</v>
          </cell>
          <cell r="D1372" t="str">
            <v>REN</v>
          </cell>
        </row>
        <row r="1373">
          <cell r="B1373" t="str">
            <v>KHI/HO/D/MO/PC COMP/C/88626/70/05/2024</v>
          </cell>
          <cell r="D1373" t="str">
            <v>REN</v>
          </cell>
        </row>
        <row r="1374">
          <cell r="B1374" t="str">
            <v>KHI/HO/D/MO/PC COMP/C/88626/71/05/2024</v>
          </cell>
          <cell r="D1374" t="str">
            <v>REN</v>
          </cell>
        </row>
        <row r="1375">
          <cell r="B1375" t="str">
            <v>KHI/HO/D/MO/PC COMP/C/88626/72/05/2024</v>
          </cell>
          <cell r="D1375" t="str">
            <v>REN</v>
          </cell>
        </row>
        <row r="1376">
          <cell r="B1376" t="str">
            <v>KHI/HO/D/MO/PC COMP/C/88626/73/05/2024</v>
          </cell>
          <cell r="D1376" t="str">
            <v>REN</v>
          </cell>
        </row>
        <row r="1377">
          <cell r="B1377" t="str">
            <v>KHI/HO/D/MO/PC COMP/C/88626/74/05/2024</v>
          </cell>
          <cell r="D1377" t="str">
            <v>REN</v>
          </cell>
        </row>
        <row r="1378">
          <cell r="B1378" t="str">
            <v>KHI/HO/D/MO/PC COMP/C/88626/75/05/2024</v>
          </cell>
          <cell r="D1378" t="str">
            <v>REN</v>
          </cell>
        </row>
        <row r="1379">
          <cell r="B1379" t="str">
            <v>KHI/HO/D/MO/PC COMP/C/88626/76/05/2024</v>
          </cell>
          <cell r="D1379" t="str">
            <v>REN</v>
          </cell>
        </row>
        <row r="1380">
          <cell r="B1380" t="str">
            <v>KHI/HO/D/MO/PC COMP/C/88626/77/05/2024</v>
          </cell>
          <cell r="D1380" t="str">
            <v>REN</v>
          </cell>
        </row>
        <row r="1381">
          <cell r="B1381" t="str">
            <v>KHI/HO/D/MO/PC COMP/C/88626/78/05/2024</v>
          </cell>
          <cell r="D1381" t="str">
            <v>REN</v>
          </cell>
        </row>
        <row r="1382">
          <cell r="B1382" t="str">
            <v>KHI/HO/D/MO/PC COMP/C/88626/79/05/2024</v>
          </cell>
          <cell r="D1382" t="str">
            <v>REN</v>
          </cell>
        </row>
        <row r="1383">
          <cell r="B1383" t="str">
            <v>KHI/HO/D/MO/PC COMP/C/88626/80/05/2024</v>
          </cell>
          <cell r="D1383" t="str">
            <v>REN</v>
          </cell>
        </row>
        <row r="1384">
          <cell r="B1384" t="str">
            <v>KHI/HO/D/MO/PC COMP/C/88626/81/05/2024</v>
          </cell>
          <cell r="D1384" t="str">
            <v>REN</v>
          </cell>
        </row>
        <row r="1385">
          <cell r="B1385" t="str">
            <v>KHI/HO/D/MO/PC COMP/C/88626/82/05/2024</v>
          </cell>
          <cell r="D1385" t="str">
            <v>REN</v>
          </cell>
        </row>
        <row r="1386">
          <cell r="B1386" t="str">
            <v>KHI/HO/D/MO/PC COMP/C/88626/83/05/2024</v>
          </cell>
          <cell r="D1386" t="str">
            <v>REN</v>
          </cell>
        </row>
        <row r="1387">
          <cell r="B1387" t="str">
            <v>KHI/HO/D/MO/PC COMP/C/88626/84/05/2024</v>
          </cell>
          <cell r="D1387" t="str">
            <v>REN</v>
          </cell>
        </row>
        <row r="1388">
          <cell r="B1388" t="str">
            <v>KHI/HO/D/MO/PC COMP/C/88626/85/05/2024</v>
          </cell>
          <cell r="D1388" t="str">
            <v>REN</v>
          </cell>
        </row>
        <row r="1389">
          <cell r="B1389" t="str">
            <v>KHI/HO/D/MO/PC COMP/C/88626/86/05/2024</v>
          </cell>
          <cell r="D1389" t="str">
            <v>REN</v>
          </cell>
        </row>
        <row r="1390">
          <cell r="B1390" t="str">
            <v>KHI/HO/D/MO/PC COMP/C/88626/87/05/2024</v>
          </cell>
          <cell r="D1390" t="str">
            <v>REN</v>
          </cell>
        </row>
        <row r="1391">
          <cell r="B1391" t="str">
            <v>KHI/HO/D/MO/PC COMP/C/88626/88/05/2024</v>
          </cell>
          <cell r="D1391" t="str">
            <v>REN</v>
          </cell>
        </row>
        <row r="1392">
          <cell r="B1392" t="str">
            <v>KHI/HO/D/MO/PC COMP/C/88626/89/05/2024</v>
          </cell>
          <cell r="D1392" t="str">
            <v>REN</v>
          </cell>
        </row>
        <row r="1393">
          <cell r="B1393" t="str">
            <v>KHI/HO/D/MO/PC COMP/C/88626/90/05/2024</v>
          </cell>
          <cell r="D1393" t="str">
            <v>REN</v>
          </cell>
        </row>
        <row r="1394">
          <cell r="B1394" t="str">
            <v>KHI/HO/D/MO/PC COMP/C/88626/91/05/2024</v>
          </cell>
          <cell r="D1394" t="str">
            <v>REN</v>
          </cell>
        </row>
        <row r="1395">
          <cell r="B1395" t="str">
            <v>KHI/HO/D/MO/PC COMP/C/88626/92/05/2024</v>
          </cell>
          <cell r="D1395" t="str">
            <v>REN</v>
          </cell>
        </row>
        <row r="1396">
          <cell r="B1396" t="str">
            <v>KHI/HO/D/MO/PC COMP/C/88626/93/05/2024</v>
          </cell>
          <cell r="D1396" t="str">
            <v>REN</v>
          </cell>
        </row>
        <row r="1397">
          <cell r="B1397" t="str">
            <v>KHI/HO/D/MO/PC COMP/C/88626/94/05/2024</v>
          </cell>
          <cell r="D1397" t="str">
            <v>REN</v>
          </cell>
        </row>
        <row r="1398">
          <cell r="B1398" t="str">
            <v>KHI/HO/D/MO/PC COMP/C/88626/95/05/2024</v>
          </cell>
          <cell r="D1398" t="str">
            <v>REN</v>
          </cell>
        </row>
        <row r="1399">
          <cell r="B1399" t="str">
            <v>KHI/HO/D/MO/PC COMP/C/88626/96/05/2024</v>
          </cell>
          <cell r="D1399" t="str">
            <v>REN</v>
          </cell>
        </row>
        <row r="1400">
          <cell r="B1400" t="str">
            <v>KHI/HO/D/MO/PC COMP/C/88626/97/05/2024</v>
          </cell>
          <cell r="D1400" t="str">
            <v>REN</v>
          </cell>
        </row>
        <row r="1401">
          <cell r="B1401" t="str">
            <v>KHI/HO/D/MO/PC COMP/C/88626/98/05/2024</v>
          </cell>
          <cell r="D1401" t="str">
            <v>REN</v>
          </cell>
        </row>
        <row r="1402">
          <cell r="B1402" t="str">
            <v>KHI/HO/D/MO/PC COMP/C/88626/99/05/2024</v>
          </cell>
          <cell r="D1402" t="str">
            <v>REN</v>
          </cell>
        </row>
        <row r="1403">
          <cell r="B1403" t="str">
            <v>KHI/HO/D/MO/PC COMP/C/88626/100/05/2024</v>
          </cell>
          <cell r="D1403" t="str">
            <v>REN</v>
          </cell>
        </row>
        <row r="1404">
          <cell r="B1404" t="str">
            <v>KHI/HO/D/MO/PC COMP/C/88626/101/05/2024</v>
          </cell>
          <cell r="D1404" t="str">
            <v>REN</v>
          </cell>
        </row>
        <row r="1405">
          <cell r="B1405" t="str">
            <v>KHI/HO/D/MO/PC COMP/C/88626/102/05/2024</v>
          </cell>
          <cell r="D1405" t="str">
            <v>REN</v>
          </cell>
        </row>
        <row r="1406">
          <cell r="B1406" t="str">
            <v>KHI/HO/D/MO/PC COMP/C/88626/103/05/2024</v>
          </cell>
          <cell r="D1406" t="str">
            <v>REN</v>
          </cell>
        </row>
        <row r="1407">
          <cell r="B1407" t="str">
            <v>KHI/HO/D/MO/PC COMP/C/88626/104/05/2024</v>
          </cell>
          <cell r="D1407" t="str">
            <v>REN</v>
          </cell>
        </row>
        <row r="1408">
          <cell r="B1408" t="str">
            <v>KHI/HO/D/MO/PC COMP/C/88626/105/05/2024</v>
          </cell>
          <cell r="D1408" t="str">
            <v>REN</v>
          </cell>
        </row>
        <row r="1409">
          <cell r="B1409" t="str">
            <v>KHI/HO/D/MO/PC COMP/C/88626/106/05/2024</v>
          </cell>
          <cell r="D1409" t="str">
            <v>REN</v>
          </cell>
        </row>
        <row r="1410">
          <cell r="B1410" t="str">
            <v>KHI/HO/D/MO/PC COMP/C/88626/107/05/2024</v>
          </cell>
          <cell r="D1410" t="str">
            <v>REN</v>
          </cell>
        </row>
        <row r="1411">
          <cell r="B1411" t="str">
            <v>KHI/HO/D/MO/PC COMP/C/88626/108/05/2024</v>
          </cell>
          <cell r="D1411" t="str">
            <v>REN</v>
          </cell>
        </row>
        <row r="1412">
          <cell r="B1412" t="str">
            <v>KHI/HO/D/MO/PC COMP/C/88626/109/05/2024</v>
          </cell>
          <cell r="D1412" t="str">
            <v>REN</v>
          </cell>
        </row>
        <row r="1413">
          <cell r="B1413" t="str">
            <v>KHI/HO/D/MO/PC COMP/C/88626/110/05/2024</v>
          </cell>
          <cell r="D1413" t="str">
            <v>REN</v>
          </cell>
        </row>
        <row r="1414">
          <cell r="B1414" t="str">
            <v>KHI/HO/D/MO/PC COMP/C/88626/111/05/2024</v>
          </cell>
          <cell r="D1414" t="str">
            <v>REN</v>
          </cell>
        </row>
        <row r="1415">
          <cell r="B1415" t="str">
            <v>KHI/HO/D/MO/PC COMP/C/88626/112/05/2024</v>
          </cell>
          <cell r="D1415" t="str">
            <v>REN</v>
          </cell>
        </row>
        <row r="1416">
          <cell r="B1416" t="str">
            <v>KHI/HO/D/MO/PC COMP/C/88626/113/05/2024</v>
          </cell>
          <cell r="D1416" t="str">
            <v>REN</v>
          </cell>
        </row>
        <row r="1417">
          <cell r="B1417" t="str">
            <v>KHI/HO/D/MO/PC COMP/C/88626/114/05/2024</v>
          </cell>
          <cell r="D1417" t="str">
            <v>REN</v>
          </cell>
        </row>
        <row r="1418">
          <cell r="B1418" t="str">
            <v>KHI/HO/D/MO/PC COMP/C/88626/115/05/2024</v>
          </cell>
          <cell r="D1418" t="str">
            <v>REN</v>
          </cell>
        </row>
        <row r="1419">
          <cell r="B1419" t="str">
            <v>KHI/HO/D/MO/PC COMP/C/88626/116/05/2024</v>
          </cell>
          <cell r="D1419" t="str">
            <v>REN</v>
          </cell>
        </row>
        <row r="1420">
          <cell r="B1420" t="str">
            <v>KHI/HO/D/MO/PC COMP/C/88626/117/05/2024</v>
          </cell>
          <cell r="D1420" t="str">
            <v>REN</v>
          </cell>
        </row>
        <row r="1421">
          <cell r="B1421" t="str">
            <v>KHI/HO/D/MO/PC COMP/C/88626/118/05/2024</v>
          </cell>
          <cell r="D1421" t="str">
            <v>REN</v>
          </cell>
        </row>
        <row r="1422">
          <cell r="B1422" t="str">
            <v>KHI/HO/D/MO/PC COMP/C/88626/119/05/2024</v>
          </cell>
          <cell r="D1422" t="str">
            <v>REN</v>
          </cell>
        </row>
        <row r="1423">
          <cell r="B1423" t="str">
            <v>KHI/HO/D/MO/PC COMP/C/88626/120/05/2024</v>
          </cell>
          <cell r="D1423" t="str">
            <v>REN</v>
          </cell>
        </row>
        <row r="1424">
          <cell r="B1424" t="str">
            <v>KHI/HO/D/MO/PC COMP/C/88626/121/05/2024</v>
          </cell>
          <cell r="D1424" t="str">
            <v>REN</v>
          </cell>
        </row>
        <row r="1425">
          <cell r="B1425" t="str">
            <v>KHI/HO/D/MO/PC COMP/C/88626/122/05/2024</v>
          </cell>
          <cell r="D1425" t="str">
            <v>REN</v>
          </cell>
        </row>
        <row r="1426">
          <cell r="B1426" t="str">
            <v>KHI/HO/D/MO/PC COMP/C/88626/123/05/2024</v>
          </cell>
          <cell r="D1426" t="str">
            <v>REN</v>
          </cell>
        </row>
        <row r="1427">
          <cell r="B1427" t="str">
            <v>KHI/HO/D/MO/PC COMP/C/88626/124/05/2024</v>
          </cell>
          <cell r="D1427" t="str">
            <v>REN</v>
          </cell>
        </row>
        <row r="1428">
          <cell r="B1428" t="str">
            <v>KHI/HO/D/MO/PC COMP/C/88626/125/05/2024</v>
          </cell>
          <cell r="D1428" t="str">
            <v>REN</v>
          </cell>
        </row>
        <row r="1429">
          <cell r="B1429" t="str">
            <v>KHI/HO/D/MO/PC COMP/C/88626/126/05/2024</v>
          </cell>
          <cell r="D1429" t="str">
            <v>REN</v>
          </cell>
        </row>
        <row r="1430">
          <cell r="B1430" t="str">
            <v>KHI/HO/D/MO/PC COMP/C/88626/127/05/2024</v>
          </cell>
          <cell r="D1430" t="str">
            <v>REN</v>
          </cell>
        </row>
        <row r="1431">
          <cell r="B1431" t="str">
            <v>KHI/HO/D/MO/PC COMP/C/88626/128/05/2024</v>
          </cell>
          <cell r="D1431" t="str">
            <v>REN</v>
          </cell>
        </row>
        <row r="1432">
          <cell r="B1432" t="str">
            <v>KHI/HO/D/MO/PC COMP/C/88626/129/05/2024</v>
          </cell>
          <cell r="D1432" t="str">
            <v>REN</v>
          </cell>
        </row>
        <row r="1433">
          <cell r="B1433" t="str">
            <v>KHI/HO/D/MO/PC COMP/C/88626/130/05/2024</v>
          </cell>
          <cell r="D1433" t="str">
            <v>REN</v>
          </cell>
        </row>
        <row r="1434">
          <cell r="B1434" t="str">
            <v>KHI/HO/D/MO/PC COMP/C/88626/131/05/2024</v>
          </cell>
          <cell r="D1434" t="str">
            <v>REN</v>
          </cell>
        </row>
        <row r="1435">
          <cell r="B1435" t="str">
            <v>KHI/HO/D/MO/PC COMP/C/88626/132/05/2024</v>
          </cell>
          <cell r="D1435" t="str">
            <v>REN</v>
          </cell>
        </row>
        <row r="1436">
          <cell r="B1436" t="str">
            <v>KHI/HO/D/MO/PC COMP/C/88626/133/05/2024</v>
          </cell>
          <cell r="D1436" t="str">
            <v>REN</v>
          </cell>
        </row>
        <row r="1437">
          <cell r="B1437" t="str">
            <v>KHI/HO/D/MO/PC COMP/C/88626/134/05/2024</v>
          </cell>
          <cell r="D1437" t="str">
            <v>REN</v>
          </cell>
        </row>
        <row r="1438">
          <cell r="B1438" t="str">
            <v>KHI/HO/D/MO/PC COMP/C/88626/135/05/2024</v>
          </cell>
          <cell r="D1438" t="str">
            <v>REN</v>
          </cell>
        </row>
        <row r="1439">
          <cell r="B1439" t="str">
            <v>KHI/HO/D/MO/PC COMP/C/88626/136/05/2024</v>
          </cell>
          <cell r="D1439" t="str">
            <v>REN</v>
          </cell>
        </row>
        <row r="1440">
          <cell r="B1440" t="str">
            <v>KHI/HO/D/MO/PC COMP/C/88626/137/05/2024</v>
          </cell>
          <cell r="D1440" t="str">
            <v>REN</v>
          </cell>
        </row>
        <row r="1441">
          <cell r="B1441" t="str">
            <v>KHI/HO/D/MO/PC COMP/C/88626/138/05/2024</v>
          </cell>
          <cell r="D1441" t="str">
            <v>REN</v>
          </cell>
        </row>
        <row r="1442">
          <cell r="B1442" t="str">
            <v>KHI/HO/D/MO/PC COMP/C/88626/139/05/2024</v>
          </cell>
          <cell r="D1442" t="str">
            <v>REN</v>
          </cell>
        </row>
        <row r="1443">
          <cell r="B1443" t="str">
            <v>KHI/HO/D/MO/PC COMP/C/88626/140/05/2024</v>
          </cell>
          <cell r="D1443" t="str">
            <v>REN</v>
          </cell>
        </row>
        <row r="1444">
          <cell r="B1444" t="str">
            <v>KHI/HO/D/MO/PC COMP/C/88626/141/05/2024</v>
          </cell>
          <cell r="D1444" t="str">
            <v>REN</v>
          </cell>
        </row>
        <row r="1445">
          <cell r="B1445" t="str">
            <v>KHI/HO/D/MO/PC COMP/C/88626/142/05/2024</v>
          </cell>
          <cell r="D1445" t="str">
            <v>REN</v>
          </cell>
        </row>
        <row r="1446">
          <cell r="B1446" t="str">
            <v>KHI/HO/D/MO/PC COMP/C/88249/32/05/2024</v>
          </cell>
          <cell r="D1446" t="str">
            <v>FRE</v>
          </cell>
        </row>
        <row r="1447">
          <cell r="B1447" t="str">
            <v>KHI/HO/D/MO/PC COMP/C/88249/33/05/2024</v>
          </cell>
          <cell r="D1447" t="str">
            <v>FRE</v>
          </cell>
        </row>
        <row r="1448">
          <cell r="B1448" t="str">
            <v>KHI/HO/D/MO/PC COMP/C/88249/34/05/2024</v>
          </cell>
          <cell r="D1448" t="str">
            <v>FRE</v>
          </cell>
        </row>
        <row r="1449">
          <cell r="B1449" t="str">
            <v>KHI/HO/D/MO/PC COMP/C/88249/35/05/2024</v>
          </cell>
          <cell r="D1449" t="str">
            <v>FRE</v>
          </cell>
        </row>
        <row r="1450">
          <cell r="B1450" t="str">
            <v>KHI/HO/D/MO/PC COMP/C/88249/36/05/2024</v>
          </cell>
          <cell r="D1450" t="str">
            <v>FRE</v>
          </cell>
        </row>
        <row r="1451">
          <cell r="B1451" t="str">
            <v>KHI/HO/D/MO/PC COMP/C/88249/37/05/2024</v>
          </cell>
          <cell r="D1451" t="str">
            <v>FRE</v>
          </cell>
        </row>
        <row r="1452">
          <cell r="B1452" t="str">
            <v>KHI/HO/D/MO/PC COMP/C/88249/38/05/2024</v>
          </cell>
          <cell r="D1452" t="str">
            <v>FRE</v>
          </cell>
        </row>
        <row r="1453">
          <cell r="B1453" t="str">
            <v>KHI/HO/D/MO/PC COMP/C/88249/39/05/2024</v>
          </cell>
          <cell r="D1453" t="str">
            <v>FRE</v>
          </cell>
        </row>
        <row r="1454">
          <cell r="B1454" t="str">
            <v>KHI/HO/D/MO/PC COMP/C/88249/40/05/2024</v>
          </cell>
          <cell r="D1454" t="str">
            <v>FRE</v>
          </cell>
        </row>
        <row r="1455">
          <cell r="B1455" t="str">
            <v>KHI/HO/D/MO/PC COMP/C/88249/41/05/2024</v>
          </cell>
          <cell r="D1455" t="str">
            <v>FRE</v>
          </cell>
        </row>
        <row r="1456">
          <cell r="B1456" t="str">
            <v>KHI/HO/D/MO/PC COMP/C/88249/42/05/2024</v>
          </cell>
          <cell r="D1456" t="str">
            <v>FRE</v>
          </cell>
        </row>
        <row r="1457">
          <cell r="B1457" t="str">
            <v>KHI/HO/D/MO/PC COMP/C/88249/43/05/2024</v>
          </cell>
          <cell r="D1457" t="str">
            <v>FRE</v>
          </cell>
        </row>
        <row r="1458">
          <cell r="B1458" t="str">
            <v>KHI/HO/D/MO/PC COMP/C/88249/44/05/2024</v>
          </cell>
          <cell r="D1458" t="str">
            <v>FRE</v>
          </cell>
        </row>
        <row r="1459">
          <cell r="B1459" t="str">
            <v>KHI/HO/D/MO/PC COMP/C/88249/45/05/2024</v>
          </cell>
          <cell r="D1459" t="str">
            <v>FRE</v>
          </cell>
        </row>
        <row r="1460">
          <cell r="B1460" t="str">
            <v>KHI/HO/D/MO/PC COMP/C/88249/46/05/2024</v>
          </cell>
          <cell r="D1460" t="str">
            <v>FRE</v>
          </cell>
        </row>
        <row r="1461">
          <cell r="B1461" t="str">
            <v>KHI/HO/D/MO/PC COMP/C/88249/47/05/2024</v>
          </cell>
          <cell r="D1461" t="str">
            <v>FRE</v>
          </cell>
        </row>
        <row r="1462">
          <cell r="B1462" t="str">
            <v>KHI/HO/D/MO/PC COMP/C/88249/48/05/2024</v>
          </cell>
          <cell r="D1462" t="str">
            <v>FRE</v>
          </cell>
        </row>
        <row r="1463">
          <cell r="B1463" t="str">
            <v>KHI/HO/D/MO/PC COMP/C/88249/49/05/2024</v>
          </cell>
          <cell r="D1463" t="str">
            <v>FRE</v>
          </cell>
        </row>
        <row r="1464">
          <cell r="B1464" t="str">
            <v>KHI/HO/D/MO/PC COMP/C/88249/50/05/2024</v>
          </cell>
          <cell r="D1464" t="str">
            <v>FRE</v>
          </cell>
        </row>
        <row r="1465">
          <cell r="B1465" t="str">
            <v>KHI/HO/D/MO/PC COMP/C/88249/51/05/2024</v>
          </cell>
          <cell r="D1465" t="str">
            <v>FRE</v>
          </cell>
        </row>
        <row r="1466">
          <cell r="B1466" t="str">
            <v>KHI/HO/D/MO/PC COMP/C/88249/52/05/2024</v>
          </cell>
          <cell r="D1466" t="str">
            <v>FRE</v>
          </cell>
        </row>
        <row r="1467">
          <cell r="B1467" t="str">
            <v>KHI/HO/D/MO/PC COMP/C/88249/53/05/2024</v>
          </cell>
          <cell r="D1467" t="str">
            <v>FRE</v>
          </cell>
        </row>
        <row r="1468">
          <cell r="B1468" t="str">
            <v>KHI/HO/D/MO/PC COMP/C/88249/54/05/2024</v>
          </cell>
          <cell r="D1468" t="str">
            <v>FRE</v>
          </cell>
        </row>
        <row r="1469">
          <cell r="B1469" t="str">
            <v>KHI/HO/D/MO/PC COMP/C/88249/55/05/2024</v>
          </cell>
          <cell r="D1469" t="str">
            <v>FRE</v>
          </cell>
        </row>
        <row r="1470">
          <cell r="B1470" t="str">
            <v>KHI/HO/D/MO/PC COMP/C/88249/56/05/2024</v>
          </cell>
          <cell r="D1470" t="str">
            <v>FRE</v>
          </cell>
        </row>
        <row r="1471">
          <cell r="B1471" t="str">
            <v>KHI/HO/D/MO/PC COMP/C/88249/57/05/2024</v>
          </cell>
          <cell r="D1471" t="str">
            <v>FRE</v>
          </cell>
        </row>
        <row r="1472">
          <cell r="B1472" t="str">
            <v>KHI/HO/D/MO/PC COMP/C/88249/58/05/2024</v>
          </cell>
          <cell r="D1472" t="str">
            <v>FRE</v>
          </cell>
        </row>
        <row r="1473">
          <cell r="B1473" t="str">
            <v>KHI/HO/D/MO/PC COMP/C/88249/59/05/2024</v>
          </cell>
          <cell r="D1473" t="str">
            <v>FRE</v>
          </cell>
        </row>
        <row r="1474">
          <cell r="B1474" t="str">
            <v>KHI/HO/D/MO/PC COMP/C/88249/60/05/2024</v>
          </cell>
          <cell r="D1474" t="str">
            <v>FRE</v>
          </cell>
        </row>
        <row r="1475">
          <cell r="B1475" t="str">
            <v>KHI/HO/D/MO/PC COMP/C/88249/61/05/2024</v>
          </cell>
          <cell r="D1475" t="str">
            <v>FRE</v>
          </cell>
        </row>
        <row r="1476">
          <cell r="B1476" t="str">
            <v>KHI/HO/D/MO/PC COMP/C/88249/62/05/2024</v>
          </cell>
          <cell r="D1476" t="str">
            <v>FRE</v>
          </cell>
        </row>
        <row r="1477">
          <cell r="B1477" t="str">
            <v>KHI/HO/D/MO/PC COMP/C/88249/63/05/2024</v>
          </cell>
          <cell r="D1477" t="str">
            <v>FRE</v>
          </cell>
        </row>
        <row r="1478">
          <cell r="B1478" t="str">
            <v>KHI/HO/D/MO/PC COMP/C/88249/64/05/2024</v>
          </cell>
          <cell r="D1478" t="str">
            <v>FRE</v>
          </cell>
        </row>
        <row r="1479">
          <cell r="B1479" t="str">
            <v>KHI/HO/D/MO/PC COMP/C/88249/65/05/2024</v>
          </cell>
          <cell r="D1479" t="str">
            <v>FRE</v>
          </cell>
        </row>
        <row r="1480">
          <cell r="B1480" t="str">
            <v>KHI/HO/D/MO/PC COMP/C/90321/1/06/2024</v>
          </cell>
          <cell r="D1480" t="str">
            <v>FRE</v>
          </cell>
        </row>
        <row r="1481">
          <cell r="B1481" t="str">
            <v>KHI/HO/D/MO/PC COMP/C/90321/2/06/2024</v>
          </cell>
          <cell r="D1481" t="str">
            <v>FRE</v>
          </cell>
        </row>
        <row r="1482">
          <cell r="B1482" t="str">
            <v>KHI/HO/D/MO/PC COMP/C/90321/3/06/2024</v>
          </cell>
          <cell r="D1482" t="str">
            <v>FRE</v>
          </cell>
        </row>
        <row r="1483">
          <cell r="B1483" t="str">
            <v>KHI/HO/D/MO/CV/C/90555/1/06/2024</v>
          </cell>
          <cell r="D1483" t="str">
            <v>FRE</v>
          </cell>
        </row>
        <row r="1484">
          <cell r="B1484" t="str">
            <v>KHI/HO/D/MO/PC COMP/C/90321/4/06/2024</v>
          </cell>
          <cell r="D1484" t="str">
            <v>FRE</v>
          </cell>
        </row>
        <row r="1485">
          <cell r="B1485" t="str">
            <v>KHI/HO/D/MO/PC COMP/C/90321/5/06/2024</v>
          </cell>
          <cell r="D1485" t="str">
            <v>FRE</v>
          </cell>
        </row>
        <row r="1486">
          <cell r="B1486" t="str">
            <v>KHI/HO/D/MO/PC COMP/C/90321/6/06/2024</v>
          </cell>
          <cell r="D1486" t="str">
            <v>FRE</v>
          </cell>
        </row>
        <row r="1487">
          <cell r="B1487" t="str">
            <v>KHI/HO/D/MO/PC COMP/C/90321/7/06/2024</v>
          </cell>
          <cell r="D1487" t="str">
            <v>FRE</v>
          </cell>
        </row>
        <row r="1488">
          <cell r="B1488" t="str">
            <v>KHI/HO/D/MO/PC COMP/C/90321/8/06/2024</v>
          </cell>
          <cell r="D1488" t="str">
            <v>FRE</v>
          </cell>
        </row>
        <row r="1489">
          <cell r="B1489" t="str">
            <v>KHI/HO/D/MO/PC COMP/C/90321/9/06/2024</v>
          </cell>
          <cell r="D1489" t="str">
            <v>FRE</v>
          </cell>
        </row>
        <row r="1490">
          <cell r="B1490" t="str">
            <v>KHI/HO/D/MO/PC COMP/C/90321/10/06/2024</v>
          </cell>
          <cell r="D1490" t="str">
            <v>FRE</v>
          </cell>
        </row>
        <row r="1491">
          <cell r="B1491" t="str">
            <v>KHI/HO/D/MO/PC COMP/C/90321/11/06/2024</v>
          </cell>
          <cell r="D1491" t="str">
            <v>FRE</v>
          </cell>
        </row>
        <row r="1492">
          <cell r="B1492" t="str">
            <v>KHI/HO/D/MO/PC COMP/C/90321/12/06/2024</v>
          </cell>
          <cell r="D1492" t="str">
            <v>FRE</v>
          </cell>
        </row>
        <row r="1493">
          <cell r="B1493" t="str">
            <v>KHI/HO/D/MO/PC COMP/C/90321/13/06/2024</v>
          </cell>
          <cell r="D1493" t="str">
            <v>FRE</v>
          </cell>
        </row>
        <row r="1494">
          <cell r="B1494" t="str">
            <v>KHI/HO/D/MO/PC COMP/C/90321/14/06/2024</v>
          </cell>
          <cell r="D1494" t="str">
            <v>FRE</v>
          </cell>
        </row>
        <row r="1495">
          <cell r="B1495" t="str">
            <v>KHI/HO/D/MO/PC COMP/C/90920/1/06/2024</v>
          </cell>
          <cell r="D1495" t="str">
            <v>REN</v>
          </cell>
        </row>
        <row r="1496">
          <cell r="B1496" t="str">
            <v>KHI/HO/D/MO/PC COMP/C/90920/2/06/2024</v>
          </cell>
          <cell r="D1496" t="str">
            <v>REN</v>
          </cell>
        </row>
        <row r="1497">
          <cell r="B1497" t="str">
            <v>KHI/HO/D/MO/PC COMP/C/90920/3/06/2024</v>
          </cell>
          <cell r="D1497" t="str">
            <v>REN</v>
          </cell>
        </row>
        <row r="1498">
          <cell r="B1498" t="str">
            <v>KHI/HO/D/MO/PC COMP/C/90920/4/06/2024</v>
          </cell>
          <cell r="D1498" t="str">
            <v>REN</v>
          </cell>
        </row>
        <row r="1499">
          <cell r="B1499" t="str">
            <v>KHI/HO/D/MO/PC COMP/C/90920/5/06/2024</v>
          </cell>
          <cell r="D1499" t="str">
            <v>REN</v>
          </cell>
        </row>
        <row r="1500">
          <cell r="B1500" t="str">
            <v>KHI/HO/D/MO/PC COMP/C/90920/6/06/2024</v>
          </cell>
          <cell r="D1500" t="str">
            <v>REN</v>
          </cell>
        </row>
        <row r="1501">
          <cell r="B1501" t="str">
            <v>KHI/HO/D/MO/PC COMP/C/90920/7/06/2024</v>
          </cell>
          <cell r="D1501" t="str">
            <v>REN</v>
          </cell>
        </row>
        <row r="1502">
          <cell r="B1502" t="str">
            <v>KHI/HO/D/MO/PC COMP/C/90920/8/06/2024</v>
          </cell>
          <cell r="D1502" t="str">
            <v>REN</v>
          </cell>
        </row>
        <row r="1503">
          <cell r="B1503" t="str">
            <v>KHI/HO/D/MO/PC COMP/C/90920/9/06/2024</v>
          </cell>
          <cell r="D1503" t="str">
            <v>REN</v>
          </cell>
        </row>
        <row r="1504">
          <cell r="B1504" t="str">
            <v>KHI/HO/D/MO/PC COMP/C/90920/10/06/2024</v>
          </cell>
          <cell r="D1504" t="str">
            <v>REN</v>
          </cell>
        </row>
        <row r="1505">
          <cell r="B1505" t="str">
            <v>KHI/HO/D/MO/PC COMP/C/90920/11/06/2024</v>
          </cell>
          <cell r="D1505" t="str">
            <v>REN</v>
          </cell>
        </row>
        <row r="1506">
          <cell r="B1506" t="str">
            <v>KHI/HO/D/MO/PC COMP/C/90920/12/06/2024</v>
          </cell>
          <cell r="D1506" t="str">
            <v>REN</v>
          </cell>
        </row>
        <row r="1507">
          <cell r="B1507" t="str">
            <v>KHI/HO/D/MO/PC COMP/C/90920/13/06/2024</v>
          </cell>
          <cell r="D1507" t="str">
            <v>REN</v>
          </cell>
        </row>
        <row r="1508">
          <cell r="B1508" t="str">
            <v>KHI/HO/D/MO/PC COMP/C/90920/14/06/2024</v>
          </cell>
          <cell r="D1508" t="str">
            <v>REN</v>
          </cell>
        </row>
        <row r="1509">
          <cell r="B1509" t="str">
            <v>KHI/HO/D/MO/PC COMP/C/90920/15/06/2024</v>
          </cell>
          <cell r="D1509" t="str">
            <v>REN</v>
          </cell>
        </row>
        <row r="1510">
          <cell r="B1510" t="str">
            <v>KHI/HO/D/MO/PC COMP/C/90920/16/06/2024</v>
          </cell>
          <cell r="D1510" t="str">
            <v>REN</v>
          </cell>
        </row>
        <row r="1511">
          <cell r="B1511" t="str">
            <v>KHI/HO/D/MO/PC COMP/C/90920/17/06/2024</v>
          </cell>
          <cell r="D1511" t="str">
            <v>REN</v>
          </cell>
        </row>
        <row r="1512">
          <cell r="B1512" t="str">
            <v>KHI/HO/D/MO/PC COMP/C/90920/18/06/2024</v>
          </cell>
          <cell r="D1512" t="str">
            <v>REN</v>
          </cell>
        </row>
        <row r="1513">
          <cell r="B1513" t="str">
            <v>KHI/HO/D/MO/PC COMP/C/90920/19/06/2024</v>
          </cell>
          <cell r="D1513" t="str">
            <v>REN</v>
          </cell>
        </row>
        <row r="1514">
          <cell r="B1514" t="str">
            <v>KHI/HO/D/MO/PC COMP/C/90920/20/06/2024</v>
          </cell>
          <cell r="D1514" t="str">
            <v>REN</v>
          </cell>
        </row>
        <row r="1515">
          <cell r="B1515" t="str">
            <v>KHI/HO/D/MO/PC COMP/C/90920/21/06/2024</v>
          </cell>
          <cell r="D1515" t="str">
            <v>REN</v>
          </cell>
        </row>
        <row r="1516">
          <cell r="B1516" t="str">
            <v>KHI/HO/D/MO/PC COMP/C/90920/22/06/2024</v>
          </cell>
          <cell r="D1516" t="str">
            <v>REN</v>
          </cell>
        </row>
        <row r="1517">
          <cell r="B1517" t="str">
            <v>KHI/HO/D/MO/PC COMP/C/90920/23/06/2024</v>
          </cell>
          <cell r="D1517" t="str">
            <v>REN</v>
          </cell>
        </row>
        <row r="1518">
          <cell r="B1518" t="str">
            <v>KHI/HO/D/MO/PC COMP/C/90920/24/06/2024</v>
          </cell>
          <cell r="D1518" t="str">
            <v>REN</v>
          </cell>
        </row>
        <row r="1519">
          <cell r="B1519" t="str">
            <v>KHI/HO/D/MO/PC COMP/C/90920/25/06/2024</v>
          </cell>
          <cell r="D1519" t="str">
            <v>REN</v>
          </cell>
        </row>
        <row r="1520">
          <cell r="B1520" t="str">
            <v>KHI/HO/D/MO/PC COMP/C/90920/26/06/2024</v>
          </cell>
          <cell r="D1520" t="str">
            <v>REN</v>
          </cell>
        </row>
        <row r="1521">
          <cell r="B1521" t="str">
            <v>KHI/HO/D/MO/PC COMP/C/90920/27/06/2024</v>
          </cell>
          <cell r="D1521" t="str">
            <v>REN</v>
          </cell>
        </row>
        <row r="1522">
          <cell r="B1522" t="str">
            <v>KHI/HO/D/MO/PC COMP/C/90920/28/06/2024</v>
          </cell>
          <cell r="D1522" t="str">
            <v>REN</v>
          </cell>
        </row>
        <row r="1523">
          <cell r="B1523" t="str">
            <v>KHI/HO/D/MO/PC COMP/C/90920/29/06/2024</v>
          </cell>
          <cell r="D1523" t="str">
            <v>REN</v>
          </cell>
        </row>
        <row r="1524">
          <cell r="B1524" t="str">
            <v>KHI/HO/D/MO/PC COMP/C/90920/30/06/2024</v>
          </cell>
          <cell r="D1524" t="str">
            <v>REN</v>
          </cell>
        </row>
        <row r="1525">
          <cell r="B1525" t="str">
            <v>KHI/HO/D/MO/PC COMP/C/90920/31/06/2024</v>
          </cell>
          <cell r="D1525" t="str">
            <v>REN</v>
          </cell>
        </row>
        <row r="1526">
          <cell r="B1526" t="str">
            <v>KHI/HO/D/MO/PC COMP/C/90920/32/06/2024</v>
          </cell>
          <cell r="D1526" t="str">
            <v>REN</v>
          </cell>
        </row>
        <row r="1527">
          <cell r="B1527" t="str">
            <v>KHI/HO/D/MO/PC COMP/C/90920/33/06/2024</v>
          </cell>
          <cell r="D1527" t="str">
            <v>REN</v>
          </cell>
        </row>
        <row r="1528">
          <cell r="B1528" t="str">
            <v>KHI/HO/D/MO/PC COMP/C/90920/34/06/2024</v>
          </cell>
          <cell r="D1528" t="str">
            <v>REN</v>
          </cell>
        </row>
        <row r="1529">
          <cell r="B1529" t="str">
            <v>KHI/HO/D/MO/PC COMP/C/90920/35/06/2024</v>
          </cell>
          <cell r="D1529" t="str">
            <v>REN</v>
          </cell>
        </row>
        <row r="1530">
          <cell r="B1530" t="str">
            <v>KHI/HO/D/MO/PC COMP/C/90920/36/06/2024</v>
          </cell>
          <cell r="D1530" t="str">
            <v>REN</v>
          </cell>
        </row>
        <row r="1531">
          <cell r="B1531" t="str">
            <v>KHI/HO/D/MO/PC COMP/C/90920/37/06/2024</v>
          </cell>
          <cell r="D1531" t="str">
            <v>REN</v>
          </cell>
        </row>
        <row r="1532">
          <cell r="B1532" t="str">
            <v>KHI/HO/D/MO/PC COMP/C/90920/38/06/2024</v>
          </cell>
          <cell r="D1532" t="str">
            <v>REN</v>
          </cell>
        </row>
        <row r="1533">
          <cell r="B1533" t="str">
            <v>KHI/HO/D/MO/PC COMP/C/90920/39/06/2024</v>
          </cell>
          <cell r="D1533" t="str">
            <v>REN</v>
          </cell>
        </row>
        <row r="1534">
          <cell r="B1534" t="str">
            <v>KHI/HO/D/MO/PC COMP/C/90920/40/06/2024</v>
          </cell>
          <cell r="D1534" t="str">
            <v>REN</v>
          </cell>
        </row>
        <row r="1535">
          <cell r="B1535" t="str">
            <v>KHI/HO/D/MO/PC COMP/C/90920/41/06/2024</v>
          </cell>
          <cell r="D1535" t="str">
            <v>REN</v>
          </cell>
        </row>
        <row r="1536">
          <cell r="B1536" t="str">
            <v>KHI/HO/D/MO/PC COMP/C/90920/42/06/2024</v>
          </cell>
          <cell r="D1536" t="str">
            <v>REN</v>
          </cell>
        </row>
        <row r="1537">
          <cell r="B1537" t="str">
            <v>KHI/HO/D/MO/PC COMP/C/90920/43/06/2024</v>
          </cell>
          <cell r="D1537" t="str">
            <v>REN</v>
          </cell>
        </row>
        <row r="1538">
          <cell r="B1538" t="str">
            <v>KHI/HO/D/MO/PC COMP/C/90920/44/06/2024</v>
          </cell>
          <cell r="D1538" t="str">
            <v>REN</v>
          </cell>
        </row>
        <row r="1539">
          <cell r="B1539" t="str">
            <v>KHI/HO/D/MO/PC COMP/C/90920/45/06/2024</v>
          </cell>
          <cell r="D1539" t="str">
            <v>REN</v>
          </cell>
        </row>
        <row r="1540">
          <cell r="B1540" t="str">
            <v>KHI/HO/D/MO/PC COMP/C/90920/46/06/2024</v>
          </cell>
          <cell r="D1540" t="str">
            <v>REN</v>
          </cell>
        </row>
        <row r="1541">
          <cell r="B1541" t="str">
            <v>KHI/HO/D/MO/PC COMP/C/90920/47/06/2024</v>
          </cell>
          <cell r="D1541" t="str">
            <v>REN</v>
          </cell>
        </row>
        <row r="1542">
          <cell r="B1542" t="str">
            <v>KHI/HO/D/MO/PC COMP/C/90920/48/06/2024</v>
          </cell>
          <cell r="D1542" t="str">
            <v>REN</v>
          </cell>
        </row>
        <row r="1543">
          <cell r="B1543" t="str">
            <v>KHI/HO/D/MO/PC COMP/C/90920/49/06/2024</v>
          </cell>
          <cell r="D1543" t="str">
            <v>REN</v>
          </cell>
        </row>
        <row r="1544">
          <cell r="B1544" t="str">
            <v>KHI/HO/D/MO/PC COMP/C/90920/50/06/2024</v>
          </cell>
          <cell r="D1544" t="str">
            <v>REN</v>
          </cell>
        </row>
        <row r="1545">
          <cell r="B1545" t="str">
            <v>KHI/HO/D/MO/PC COMP/C/90920/51/06/2024</v>
          </cell>
          <cell r="D1545" t="str">
            <v>REN</v>
          </cell>
        </row>
        <row r="1546">
          <cell r="B1546" t="str">
            <v>KHI/HO/D/MO/PC COMP/C/90920/52/06/2024</v>
          </cell>
          <cell r="D1546" t="str">
            <v>REN</v>
          </cell>
        </row>
        <row r="1547">
          <cell r="B1547" t="str">
            <v>KHI/HO/D/MO/PC COMP/C/90920/53/06/2024</v>
          </cell>
          <cell r="D1547" t="str">
            <v>REN</v>
          </cell>
        </row>
        <row r="1548">
          <cell r="B1548" t="str">
            <v>KHI/HO/D/MO/PC COMP/C/90920/54/06/2024</v>
          </cell>
          <cell r="D1548" t="str">
            <v>REN</v>
          </cell>
        </row>
        <row r="1549">
          <cell r="B1549" t="str">
            <v>KHI/HO/D/MO/PC COMP/C/90920/55/06/2024</v>
          </cell>
          <cell r="D1549" t="str">
            <v>REN</v>
          </cell>
        </row>
        <row r="1550">
          <cell r="B1550" t="str">
            <v>KHI/HO/D/MO/PC COMP/C/90920/56/06/2024</v>
          </cell>
          <cell r="D1550" t="str">
            <v>REN</v>
          </cell>
        </row>
        <row r="1551">
          <cell r="B1551" t="str">
            <v>KHI/HO/D/MO/PC COMP/C/90920/57/06/2024</v>
          </cell>
          <cell r="D1551" t="str">
            <v>REN</v>
          </cell>
        </row>
        <row r="1552">
          <cell r="B1552" t="str">
            <v>KHI/HO/D/MO/PC COMP/C/90920/58/06/2024</v>
          </cell>
          <cell r="D1552" t="str">
            <v>REN</v>
          </cell>
        </row>
        <row r="1553">
          <cell r="B1553" t="str">
            <v>KHI/HO/D/MO/PC COMP/C/90920/59/06/2024</v>
          </cell>
          <cell r="D1553" t="str">
            <v>REN</v>
          </cell>
        </row>
        <row r="1554">
          <cell r="B1554" t="str">
            <v>KHI/HO/D/MO/PC COMP/C/90920/60/06/2024</v>
          </cell>
          <cell r="D1554" t="str">
            <v>REN</v>
          </cell>
        </row>
        <row r="1555">
          <cell r="B1555" t="str">
            <v>KHI/HO/D/MO/PC COMP/C/90920/61/06/2024</v>
          </cell>
          <cell r="D1555" t="str">
            <v>REN</v>
          </cell>
        </row>
        <row r="1556">
          <cell r="B1556" t="str">
            <v>KHI/HO/D/MO/PC COMP/C/90920/62/06/2024</v>
          </cell>
          <cell r="D1556" t="str">
            <v>REN</v>
          </cell>
        </row>
        <row r="1557">
          <cell r="B1557" t="str">
            <v>KHI/HO/D/MO/PC COMP/C/90920/63/06/2024</v>
          </cell>
          <cell r="D1557" t="str">
            <v>REN</v>
          </cell>
        </row>
        <row r="1558">
          <cell r="B1558" t="str">
            <v>KHI/HO/D/MO/PC COMP/C/90920/64/06/2024</v>
          </cell>
          <cell r="D1558" t="str">
            <v>REN</v>
          </cell>
        </row>
        <row r="1559">
          <cell r="B1559" t="str">
            <v>KHI/HO/D/MO/PC COMP/C/90920/65/06/2024</v>
          </cell>
          <cell r="D1559" t="str">
            <v>REN</v>
          </cell>
        </row>
        <row r="1560">
          <cell r="B1560" t="str">
            <v>KHI/HO/D/MO/PC COMP/C/90920/66/06/2024</v>
          </cell>
          <cell r="D1560" t="str">
            <v>REN</v>
          </cell>
        </row>
        <row r="1561">
          <cell r="B1561" t="str">
            <v>KHI/HO/D/MO/PC COMP/C/90920/67/06/2024</v>
          </cell>
          <cell r="D1561" t="str">
            <v>REN</v>
          </cell>
        </row>
        <row r="1562">
          <cell r="B1562" t="str">
            <v>KHI/HO/D/MO/PC COMP/C/90920/68/06/2024</v>
          </cell>
          <cell r="D1562" t="str">
            <v>REN</v>
          </cell>
        </row>
        <row r="1563">
          <cell r="B1563" t="str">
            <v>KHI/HO/D/MO/PC COMP/C/90920/69/06/2024</v>
          </cell>
          <cell r="D1563" t="str">
            <v>REN</v>
          </cell>
        </row>
        <row r="1564">
          <cell r="B1564" t="str">
            <v>KHI/HO/D/MO/PC COMP/C/90920/70/06/2024</v>
          </cell>
          <cell r="D1564" t="str">
            <v>REN</v>
          </cell>
        </row>
        <row r="1565">
          <cell r="B1565" t="str">
            <v>KHI/HO/D/MO/PC COMP/C/90920/71/06/2024</v>
          </cell>
          <cell r="D1565" t="str">
            <v>REN</v>
          </cell>
        </row>
        <row r="1566">
          <cell r="B1566" t="str">
            <v>KHI/HO/D/MO/PC COMP/C/90920/72/06/2024</v>
          </cell>
          <cell r="D1566" t="str">
            <v>REN</v>
          </cell>
        </row>
        <row r="1567">
          <cell r="B1567" t="str">
            <v>KHI/HO/D/MO/PC COMP/C/90920/73/06/2024</v>
          </cell>
          <cell r="D1567" t="str">
            <v>REN</v>
          </cell>
        </row>
        <row r="1568">
          <cell r="B1568" t="str">
            <v>KHI/HO/D/MO/PC COMP/C/90920/74/06/2024</v>
          </cell>
          <cell r="D1568" t="str">
            <v>REN</v>
          </cell>
        </row>
        <row r="1569">
          <cell r="B1569" t="str">
            <v>KHI/HO/D/MO/PC COMP/C/90920/75/06/2024</v>
          </cell>
          <cell r="D1569" t="str">
            <v>REN</v>
          </cell>
        </row>
        <row r="1570">
          <cell r="B1570" t="str">
            <v>KHI/HO/D/MO/PC COMP/C/90920/76/06/2024</v>
          </cell>
          <cell r="D1570" t="str">
            <v>REN</v>
          </cell>
        </row>
        <row r="1571">
          <cell r="B1571" t="str">
            <v>KHI/HO/D/MO/PC COMP/C/90920/77/06/2024</v>
          </cell>
          <cell r="D1571" t="str">
            <v>REN</v>
          </cell>
        </row>
        <row r="1572">
          <cell r="B1572" t="str">
            <v>KHI/HO/D/MO/PC COMP/C/90920/78/06/2024</v>
          </cell>
          <cell r="D1572" t="str">
            <v>REN</v>
          </cell>
        </row>
        <row r="1573">
          <cell r="B1573" t="str">
            <v>KHI/HO/D/MO/PC COMP/C/90920/79/06/2024</v>
          </cell>
          <cell r="D1573" t="str">
            <v>REN</v>
          </cell>
        </row>
        <row r="1574">
          <cell r="B1574" t="str">
            <v>KHI/HO/D/MO/PC COMP/C/90920/80/06/2024</v>
          </cell>
          <cell r="D1574" t="str">
            <v>REN</v>
          </cell>
        </row>
        <row r="1575">
          <cell r="B1575" t="str">
            <v>KHI/HO/D/MO/PC COMP/C/90920/81/06/2024</v>
          </cell>
          <cell r="D1575" t="str">
            <v>REN</v>
          </cell>
        </row>
        <row r="1576">
          <cell r="B1576" t="str">
            <v>KHI/HO/D/MO/PC COMP/C/90920/82/06/2024</v>
          </cell>
          <cell r="D1576" t="str">
            <v>REN</v>
          </cell>
        </row>
        <row r="1577">
          <cell r="B1577" t="str">
            <v>KHI/HO/D/MO/PC COMP/C/90920/83/06/2024</v>
          </cell>
          <cell r="D1577" t="str">
            <v>REN</v>
          </cell>
        </row>
        <row r="1578">
          <cell r="B1578" t="str">
            <v>KHI/HO/D/MO/PC COMP/C/90920/84/06/2024</v>
          </cell>
          <cell r="D1578" t="str">
            <v>REN</v>
          </cell>
        </row>
        <row r="1579">
          <cell r="B1579" t="str">
            <v>KHI/HO/D/MO/PC COMP/C/90920/85/06/2024</v>
          </cell>
          <cell r="D1579" t="str">
            <v>REN</v>
          </cell>
        </row>
        <row r="1580">
          <cell r="B1580" t="str">
            <v>KHI/HO/D/MO/PC COMP/C/90920/86/06/2024</v>
          </cell>
          <cell r="D1580" t="str">
            <v>REN</v>
          </cell>
        </row>
        <row r="1581">
          <cell r="B1581" t="str">
            <v>KHI/HO/D/MO/PC COMP/C/90920/87/06/2024</v>
          </cell>
          <cell r="D1581" t="str">
            <v>REN</v>
          </cell>
        </row>
        <row r="1582">
          <cell r="B1582" t="str">
            <v>KHI/HO/D/MO/PC COMP/C/90920/88/06/2024</v>
          </cell>
          <cell r="D1582" t="str">
            <v>REN</v>
          </cell>
        </row>
        <row r="1583">
          <cell r="B1583" t="str">
            <v>KHI/HO/D/MO/PC COMP/C/90920/89/06/2024</v>
          </cell>
          <cell r="D1583" t="str">
            <v>REN</v>
          </cell>
        </row>
        <row r="1584">
          <cell r="B1584" t="str">
            <v>KHI/HO/D/MO/PC COMP/C/90920/90/06/2024</v>
          </cell>
          <cell r="D1584" t="str">
            <v>REN</v>
          </cell>
        </row>
        <row r="1585">
          <cell r="B1585" t="str">
            <v>KHI/HO/D/MO/PC COMP/C/90920/91/06/2024</v>
          </cell>
          <cell r="D1585" t="str">
            <v>REN</v>
          </cell>
        </row>
        <row r="1586">
          <cell r="B1586" t="str">
            <v>KHI/HO/D/MO/PC COMP/C/90920/92/06/2024</v>
          </cell>
          <cell r="D1586" t="str">
            <v>REN</v>
          </cell>
        </row>
        <row r="1587">
          <cell r="B1587" t="str">
            <v>KHI/HO/D/MO/PC COMP/C/90920/93/06/2024</v>
          </cell>
          <cell r="D1587" t="str">
            <v>REN</v>
          </cell>
        </row>
        <row r="1588">
          <cell r="B1588" t="str">
            <v>KHI/HO/D/MO/PC COMP/C/90920/94/06/2024</v>
          </cell>
          <cell r="D1588" t="str">
            <v>REN</v>
          </cell>
        </row>
        <row r="1589">
          <cell r="B1589" t="str">
            <v>KHI/HO/D/MO/PC COMP/C/90920/95/06/2024</v>
          </cell>
          <cell r="D1589" t="str">
            <v>REN</v>
          </cell>
        </row>
        <row r="1590">
          <cell r="B1590" t="str">
            <v>KHI/HO/D/MO/PC COMP/C/90920/96/06/2024</v>
          </cell>
          <cell r="D1590" t="str">
            <v>REN</v>
          </cell>
        </row>
        <row r="1591">
          <cell r="B1591" t="str">
            <v>KHI/HO/D/MO/PC COMP/C/90920/97/06/2024</v>
          </cell>
          <cell r="D1591" t="str">
            <v>REN</v>
          </cell>
        </row>
        <row r="1592">
          <cell r="B1592" t="str">
            <v>KHI/HO/D/MO/PC COMP/C/90920/98/06/2024</v>
          </cell>
          <cell r="D1592" t="str">
            <v>REN</v>
          </cell>
        </row>
        <row r="1593">
          <cell r="B1593" t="str">
            <v>KHI/HO/D/MO/PC COMP/C/90920/99/06/2024</v>
          </cell>
          <cell r="D1593" t="str">
            <v>REN</v>
          </cell>
        </row>
        <row r="1594">
          <cell r="B1594" t="str">
            <v>KHI/HO/D/MO/PC COMP/C/90920/100/06/2024</v>
          </cell>
          <cell r="D1594" t="str">
            <v>REN</v>
          </cell>
        </row>
        <row r="1595">
          <cell r="B1595" t="str">
            <v>KHI/HO/D/MO/PC COMP/C/90920/101/06/2024</v>
          </cell>
          <cell r="D1595" t="str">
            <v>REN</v>
          </cell>
        </row>
        <row r="1596">
          <cell r="B1596" t="str">
            <v>KHI/HO/D/MO/PC COMP/C/90920/102/06/2024</v>
          </cell>
          <cell r="D1596" t="str">
            <v>REN</v>
          </cell>
        </row>
        <row r="1597">
          <cell r="B1597" t="str">
            <v>KHI/HO/D/MO/PC COMP/C/90920/103/06/2024</v>
          </cell>
          <cell r="D1597" t="str">
            <v>REN</v>
          </cell>
        </row>
        <row r="1598">
          <cell r="B1598" t="str">
            <v>KHI/HO/D/MO/PC COMP/C/90920/104/06/2024</v>
          </cell>
          <cell r="D1598" t="str">
            <v>REN</v>
          </cell>
        </row>
        <row r="1599">
          <cell r="B1599" t="str">
            <v>KHI/HO/D/MO/PC COMP/C/90920/105/06/2024</v>
          </cell>
          <cell r="D1599" t="str">
            <v>REN</v>
          </cell>
        </row>
        <row r="1600">
          <cell r="B1600" t="str">
            <v>KHI/HO/D/MO/PC COMP/C/90920/106/06/2024</v>
          </cell>
          <cell r="D1600" t="str">
            <v>REN</v>
          </cell>
        </row>
        <row r="1601">
          <cell r="B1601" t="str">
            <v>KHI/HO/D/MO/PC COMP/C/90920/107/06/2024</v>
          </cell>
          <cell r="D1601" t="str">
            <v>REN</v>
          </cell>
        </row>
        <row r="1602">
          <cell r="B1602" t="str">
            <v>KHI/HO/D/MO/PC COMP/C/90920/108/06/2024</v>
          </cell>
          <cell r="D1602" t="str">
            <v>REN</v>
          </cell>
        </row>
        <row r="1603">
          <cell r="B1603" t="str">
            <v>KHI/HO/D/MO/PC COMP/C/90920/109/06/2024</v>
          </cell>
          <cell r="D1603" t="str">
            <v>REN</v>
          </cell>
        </row>
        <row r="1604">
          <cell r="B1604" t="str">
            <v>KHI/HO/D/MO/PC COMP/C/90920/110/06/2024</v>
          </cell>
          <cell r="D1604" t="str">
            <v>REN</v>
          </cell>
        </row>
        <row r="1605">
          <cell r="B1605" t="str">
            <v>KHI/HO/D/MO/PC COMP/C/90920/111/06/2024</v>
          </cell>
          <cell r="D1605" t="str">
            <v>REN</v>
          </cell>
        </row>
        <row r="1606">
          <cell r="B1606" t="str">
            <v>KHI/HO/D/MO/PC COMP/C/90920/112/06/2024</v>
          </cell>
          <cell r="D1606" t="str">
            <v>REN</v>
          </cell>
        </row>
        <row r="1607">
          <cell r="B1607" t="str">
            <v>KHI/HO/D/MO/PC COMP/C/90920/113/06/2024</v>
          </cell>
          <cell r="D1607" t="str">
            <v>REN</v>
          </cell>
        </row>
        <row r="1608">
          <cell r="B1608" t="str">
            <v>KHI/HO/D/MO/PC COMP/C/90920/114/06/2024</v>
          </cell>
          <cell r="D1608" t="str">
            <v>REN</v>
          </cell>
        </row>
        <row r="1609">
          <cell r="B1609" t="str">
            <v>KHI/HO/D/MO/PC COMP/C/90920/115/06/2024</v>
          </cell>
          <cell r="D1609" t="str">
            <v>REN</v>
          </cell>
        </row>
        <row r="1610">
          <cell r="B1610" t="str">
            <v>KHI/HO/D/MO/PC COMP/C/90920/116/06/2024</v>
          </cell>
          <cell r="D1610" t="str">
            <v>REN</v>
          </cell>
        </row>
        <row r="1611">
          <cell r="B1611" t="str">
            <v>KHI/HO/D/MO/PC COMP/C/90920/117/06/2024</v>
          </cell>
          <cell r="D1611" t="str">
            <v>REN</v>
          </cell>
        </row>
        <row r="1612">
          <cell r="B1612" t="str">
            <v>KHI/HO/D/MO/PC COMP/C/90920/118/06/2024</v>
          </cell>
          <cell r="D1612" t="str">
            <v>REN</v>
          </cell>
        </row>
        <row r="1613">
          <cell r="B1613" t="str">
            <v>KHI/HO/D/MO/PC COMP/C/90920/119/06/2024</v>
          </cell>
          <cell r="D1613" t="str">
            <v>REN</v>
          </cell>
        </row>
        <row r="1614">
          <cell r="B1614" t="str">
            <v>KHI/HO/D/MO/PC COMP/C/90920/120/06/2024</v>
          </cell>
          <cell r="D1614" t="str">
            <v>REN</v>
          </cell>
        </row>
        <row r="1615">
          <cell r="B1615" t="str">
            <v>KHI/HO/D/MO/PC COMP/C/90920/121/06/2024</v>
          </cell>
          <cell r="D1615" t="str">
            <v>REN</v>
          </cell>
        </row>
        <row r="1616">
          <cell r="B1616" t="str">
            <v>KHI/HO/D/MO/PC COMP/C/90920/122/06/2024</v>
          </cell>
          <cell r="D1616" t="str">
            <v>REN</v>
          </cell>
        </row>
        <row r="1617">
          <cell r="B1617" t="str">
            <v>KHI/HO/D/MO/PC COMP/C/90920/123/06/2024</v>
          </cell>
          <cell r="D1617" t="str">
            <v>REN</v>
          </cell>
        </row>
        <row r="1618">
          <cell r="B1618" t="str">
            <v>KHI/HO/D/MO/PC COMP/C/90920/124/06/2024</v>
          </cell>
          <cell r="D1618" t="str">
            <v>REN</v>
          </cell>
        </row>
        <row r="1619">
          <cell r="B1619" t="str">
            <v>KHI/HO/D/MO/PC COMP/C/90920/125/06/2024</v>
          </cell>
          <cell r="D1619" t="str">
            <v>REN</v>
          </cell>
        </row>
        <row r="1620">
          <cell r="B1620" t="str">
            <v>KHI/HO/D/MO/PC COMP/C/90920/126/06/2024</v>
          </cell>
          <cell r="D1620" t="str">
            <v>REN</v>
          </cell>
        </row>
        <row r="1621">
          <cell r="B1621" t="str">
            <v>KHI/HO/D/MO/PC COMP/C/90920/127/06/2024</v>
          </cell>
          <cell r="D1621" t="str">
            <v>REN</v>
          </cell>
        </row>
        <row r="1622">
          <cell r="B1622" t="str">
            <v>KHI/HO/D/MO/PC COMP/C/90920/128/06/2024</v>
          </cell>
          <cell r="D1622" t="str">
            <v>REN</v>
          </cell>
        </row>
        <row r="1623">
          <cell r="B1623" t="str">
            <v>KHI/HO/D/MO/PC COMP/C/90920/129/06/2024</v>
          </cell>
          <cell r="D1623" t="str">
            <v>REN</v>
          </cell>
        </row>
        <row r="1624">
          <cell r="B1624" t="str">
            <v>KHI/HO/D/MO/PC COMP/C/90920/130/06/2024</v>
          </cell>
          <cell r="D1624" t="str">
            <v>REN</v>
          </cell>
        </row>
        <row r="1625">
          <cell r="B1625" t="str">
            <v>KHI/HO/D/MO/PC COMP/C/90920/131/06/2024</v>
          </cell>
          <cell r="D1625" t="str">
            <v>REN</v>
          </cell>
        </row>
        <row r="1626">
          <cell r="B1626" t="str">
            <v>KHI/HO/D/MO/PC COMP/C/90920/132/06/2024</v>
          </cell>
          <cell r="D1626" t="str">
            <v>REN</v>
          </cell>
        </row>
        <row r="1627">
          <cell r="B1627" t="str">
            <v>KHI/HO/D/MO/PC COMP/C/90920/133/06/2024</v>
          </cell>
          <cell r="D1627" t="str">
            <v>REN</v>
          </cell>
        </row>
        <row r="1628">
          <cell r="B1628" t="str">
            <v>KHI/HO/D/MO/PC COMP/C/90920/134/06/2024</v>
          </cell>
          <cell r="D1628" t="str">
            <v>REN</v>
          </cell>
        </row>
        <row r="1629">
          <cell r="B1629" t="str">
            <v>KHI/HO/D/MO/PC COMP/C/90920/135/06/2024</v>
          </cell>
          <cell r="D1629" t="str">
            <v>REN</v>
          </cell>
        </row>
        <row r="1630">
          <cell r="B1630" t="str">
            <v>KHI/HO/D/MO/PC COMP/C/90920/136/06/2024</v>
          </cell>
          <cell r="D1630" t="str">
            <v>REN</v>
          </cell>
        </row>
        <row r="1631">
          <cell r="B1631" t="str">
            <v>KHI/HO/D/MO/PC COMP/C/90920/137/06/2024</v>
          </cell>
          <cell r="D1631" t="str">
            <v>REN</v>
          </cell>
        </row>
        <row r="1632">
          <cell r="B1632" t="str">
            <v>KHI/HO/D/MO/PC COMP/C/90920/138/06/2024</v>
          </cell>
          <cell r="D1632" t="str">
            <v>REN</v>
          </cell>
        </row>
        <row r="1633">
          <cell r="B1633" t="str">
            <v>KHI/HO/D/MO/PC COMP/C/90920/139/06/2024</v>
          </cell>
          <cell r="D1633" t="str">
            <v>REN</v>
          </cell>
        </row>
        <row r="1634">
          <cell r="B1634" t="str">
            <v>KHI/HO/D/MO/PC COMP/C/90920/140/06/2024</v>
          </cell>
          <cell r="D1634" t="str">
            <v>REN</v>
          </cell>
        </row>
        <row r="1635">
          <cell r="B1635" t="str">
            <v>KHI/HO/D/MO/PC COMP/C/90920/141/06/2024</v>
          </cell>
          <cell r="D1635" t="str">
            <v>REN</v>
          </cell>
        </row>
        <row r="1636">
          <cell r="B1636" t="str">
            <v>KHI/HO/D/MO/PC COMP/C/90920/142/06/2024</v>
          </cell>
          <cell r="D1636" t="str">
            <v>REN</v>
          </cell>
        </row>
        <row r="1637">
          <cell r="B1637" t="str">
            <v>KHI/HO/D/MO/PC COMP/C/90920/143/06/2024</v>
          </cell>
          <cell r="D1637" t="str">
            <v>REN</v>
          </cell>
        </row>
        <row r="1638">
          <cell r="B1638" t="str">
            <v>KHI/HO/D/MO/PC COMP/C/90920/144/06/2024</v>
          </cell>
          <cell r="D1638" t="str">
            <v>REN</v>
          </cell>
        </row>
        <row r="1639">
          <cell r="B1639" t="str">
            <v>KHI/HO/D/MO/PC COMP/C/90920/145/06/2024</v>
          </cell>
          <cell r="D1639" t="str">
            <v>REN</v>
          </cell>
        </row>
        <row r="1640">
          <cell r="B1640" t="str">
            <v>KHI/HO/D/MO/PC COMP/C/90920/146/06/2024</v>
          </cell>
          <cell r="D1640" t="str">
            <v>REN</v>
          </cell>
        </row>
        <row r="1641">
          <cell r="B1641" t="str">
            <v>KHI/HO/D/MO/PC COMP/C/90920/147/06/2024</v>
          </cell>
          <cell r="D1641" t="str">
            <v>REN</v>
          </cell>
        </row>
        <row r="1642">
          <cell r="B1642" t="str">
            <v>KHI/HO/D/MO/PC COMP/C/90920/148/06/2024</v>
          </cell>
          <cell r="D1642" t="str">
            <v>REN</v>
          </cell>
        </row>
        <row r="1643">
          <cell r="B1643" t="str">
            <v>KHI/HO/D/MO/PC COMP/C/90920/149/06/2024</v>
          </cell>
          <cell r="D1643" t="str">
            <v>REN</v>
          </cell>
        </row>
        <row r="1644">
          <cell r="B1644" t="str">
            <v>KHI/HO/D/MO/PC COMP/C/90920/150/06/2024</v>
          </cell>
          <cell r="D1644" t="str">
            <v>REN</v>
          </cell>
        </row>
        <row r="1645">
          <cell r="B1645" t="str">
            <v>KHI/HO/D/MO/PC COMP/C/90920/151/06/2024</v>
          </cell>
          <cell r="D1645" t="str">
            <v>REN</v>
          </cell>
        </row>
        <row r="1646">
          <cell r="B1646" t="str">
            <v>KHI/HO/D/MO/PC COMP/C/90920/152/06/2024</v>
          </cell>
          <cell r="D1646" t="str">
            <v>REN</v>
          </cell>
        </row>
        <row r="1647">
          <cell r="B1647" t="str">
            <v>KHI/HO/D/MO/PC COMP/C/90920/153/06/2024</v>
          </cell>
          <cell r="D1647" t="str">
            <v>REN</v>
          </cell>
        </row>
        <row r="1648">
          <cell r="B1648" t="str">
            <v>KHI/HO/D/MO/PC COMP/C/90920/154/06/2024</v>
          </cell>
          <cell r="D1648" t="str">
            <v>REN</v>
          </cell>
        </row>
        <row r="1649">
          <cell r="B1649" t="str">
            <v>KHI/HO/D/MO/PC COMP/C/90920/155/06/2024</v>
          </cell>
          <cell r="D1649" t="str">
            <v>REN</v>
          </cell>
        </row>
        <row r="1650">
          <cell r="B1650" t="str">
            <v>KHI/HO/D/MO/PC COMP/C/90920/156/06/2024</v>
          </cell>
          <cell r="D1650" t="str">
            <v>REN</v>
          </cell>
        </row>
        <row r="1651">
          <cell r="B1651" t="str">
            <v>KHI/HO/D/MO/PC COMP/C/90920/157/06/2024</v>
          </cell>
          <cell r="D1651" t="str">
            <v>REN</v>
          </cell>
        </row>
        <row r="1652">
          <cell r="B1652" t="str">
            <v>KHI/HO/D/MO/PC COMP/C/90920/158/06/2024</v>
          </cell>
          <cell r="D1652" t="str">
            <v>REN</v>
          </cell>
        </row>
        <row r="1653">
          <cell r="B1653" t="str">
            <v>KHI/HO/D/MO/PC COMP/C/90920/159/06/2024</v>
          </cell>
          <cell r="D1653" t="str">
            <v>REN</v>
          </cell>
        </row>
        <row r="1654">
          <cell r="B1654" t="str">
            <v>KHI/HO/D/MO/PC COMP/C/90920/160/06/2024</v>
          </cell>
          <cell r="D1654" t="str">
            <v>REN</v>
          </cell>
        </row>
        <row r="1655">
          <cell r="B1655" t="str">
            <v>KHI/HO/D/MO/PC COMP/C/90920/161/06/2024</v>
          </cell>
          <cell r="D1655" t="str">
            <v>REN</v>
          </cell>
        </row>
        <row r="1656">
          <cell r="B1656" t="str">
            <v>KHI/HO/D/MO/PC COMP/C/90920/162/06/2024</v>
          </cell>
          <cell r="D1656" t="str">
            <v>REN</v>
          </cell>
        </row>
        <row r="1657">
          <cell r="B1657" t="str">
            <v>KHI/HO/D/MO/PC COMP/C/90920/163/06/2024</v>
          </cell>
          <cell r="D1657" t="str">
            <v>REN</v>
          </cell>
        </row>
        <row r="1658">
          <cell r="B1658" t="str">
            <v>KHI/HO/D/MO/PC COMP/C/90920/164/06/2024</v>
          </cell>
          <cell r="D1658" t="str">
            <v>REN</v>
          </cell>
        </row>
        <row r="1659">
          <cell r="B1659" t="str">
            <v>KHI/HO/D/MO/PC COMP/C/90920/165/06/2024</v>
          </cell>
          <cell r="D1659" t="str">
            <v>REN</v>
          </cell>
        </row>
        <row r="1660">
          <cell r="B1660" t="str">
            <v>KHI/HO/D/MO/PC COMP/C/90920/166/06/2024</v>
          </cell>
          <cell r="D1660" t="str">
            <v>REN</v>
          </cell>
        </row>
        <row r="1661">
          <cell r="B1661" t="str">
            <v>KHI/HO/D/MO/PC COMP/C/90920/167/06/2024</v>
          </cell>
          <cell r="D1661" t="str">
            <v>REN</v>
          </cell>
        </row>
        <row r="1662">
          <cell r="B1662" t="str">
            <v>KHI/HO/D/MO/PC COMP/C/90920/168/06/2024</v>
          </cell>
          <cell r="D1662" t="str">
            <v>REN</v>
          </cell>
        </row>
        <row r="1663">
          <cell r="B1663" t="str">
            <v>KHI/HO/D/MO/PC COMP/C/90920/169/06/2024</v>
          </cell>
          <cell r="D1663" t="str">
            <v>REN</v>
          </cell>
        </row>
        <row r="1664">
          <cell r="B1664" t="str">
            <v>KHI/HO/D/MO/PC COMP/C/90920/170/06/2024</v>
          </cell>
          <cell r="D1664" t="str">
            <v>REN</v>
          </cell>
        </row>
        <row r="1665">
          <cell r="B1665" t="str">
            <v>KHI/HO/D/MO/PC COMP/C/90920/171/06/2024</v>
          </cell>
          <cell r="D1665" t="str">
            <v>REN</v>
          </cell>
        </row>
        <row r="1666">
          <cell r="B1666" t="str">
            <v>KHI/HO/D/MO/PC COMP/C/90920/172/06/2024</v>
          </cell>
          <cell r="D1666" t="str">
            <v>REN</v>
          </cell>
        </row>
        <row r="1667">
          <cell r="B1667" t="str">
            <v>KHI/HO/D/MO/PC COMP/C/90920/173/06/2024</v>
          </cell>
          <cell r="D1667" t="str">
            <v>REN</v>
          </cell>
        </row>
        <row r="1668">
          <cell r="B1668" t="str">
            <v>KHI/HO/D/MO/PC COMP/C/90920/174/06/2024</v>
          </cell>
          <cell r="D1668" t="str">
            <v>REN</v>
          </cell>
        </row>
        <row r="1669">
          <cell r="B1669" t="str">
            <v>KHI/HO/D/MO/PC COMP/C/90920/175/06/2024</v>
          </cell>
          <cell r="D1669" t="str">
            <v>REN</v>
          </cell>
        </row>
        <row r="1670">
          <cell r="B1670" t="str">
            <v>KHI/HO/D/MO/PC COMP/C/90920/176/06/2024</v>
          </cell>
          <cell r="D1670" t="str">
            <v>REN</v>
          </cell>
        </row>
        <row r="1671">
          <cell r="B1671" t="str">
            <v>KHI/HO/D/MO/PC COMP/C/90920/177/06/2024</v>
          </cell>
          <cell r="D1671" t="str">
            <v>REN</v>
          </cell>
        </row>
        <row r="1672">
          <cell r="B1672" t="str">
            <v>KHI/HO/D/MO/PC COMP/C/90920/178/06/2024</v>
          </cell>
          <cell r="D1672" t="str">
            <v>REN</v>
          </cell>
        </row>
        <row r="1673">
          <cell r="B1673" t="str">
            <v>KHI/HO/D/MO/PC COMP/C/90920/179/06/2024</v>
          </cell>
          <cell r="D1673" t="str">
            <v>REN</v>
          </cell>
        </row>
        <row r="1674">
          <cell r="B1674" t="str">
            <v>KHI/HO/D/MO/PC COMP/C/90920/180/06/2024</v>
          </cell>
          <cell r="D1674" t="str">
            <v>REN</v>
          </cell>
        </row>
        <row r="1675">
          <cell r="B1675" t="str">
            <v>KHI/HO/D/MO/PC COMP/C/90920/181/06/2024</v>
          </cell>
          <cell r="D1675" t="str">
            <v>REN</v>
          </cell>
        </row>
        <row r="1676">
          <cell r="B1676" t="str">
            <v>KHI/HO/D/MO/PC COMP/C/90920/182/06/2024</v>
          </cell>
          <cell r="D1676" t="str">
            <v>REN</v>
          </cell>
        </row>
        <row r="1677">
          <cell r="B1677" t="str">
            <v>KHI/HO/D/MO/PC COMP/C/90920/183/06/2024</v>
          </cell>
          <cell r="D1677" t="str">
            <v>REN</v>
          </cell>
        </row>
        <row r="1678">
          <cell r="B1678" t="str">
            <v>KHI/HO/D/MO/PC COMP/C/90920/184/06/2024</v>
          </cell>
          <cell r="D1678" t="str">
            <v>REN</v>
          </cell>
        </row>
        <row r="1679">
          <cell r="B1679" t="str">
            <v>KHI/HO/D/MO/PC COMP/C/90920/185/06/2024</v>
          </cell>
          <cell r="D1679" t="str">
            <v>REN</v>
          </cell>
        </row>
        <row r="1680">
          <cell r="B1680" t="str">
            <v>KHI/HO/D/MO/PC COMP/C/90920/186/06/2024</v>
          </cell>
          <cell r="D1680" t="str">
            <v>REN</v>
          </cell>
        </row>
        <row r="1681">
          <cell r="B1681" t="str">
            <v>KHI/HO/D/MO/PC COMP/C/90920/187/06/2024</v>
          </cell>
          <cell r="D1681" t="str">
            <v>REN</v>
          </cell>
        </row>
        <row r="1682">
          <cell r="B1682" t="str">
            <v>KHI/HO/D/MO/PC COMP/C/90920/188/06/2024</v>
          </cell>
          <cell r="D1682" t="str">
            <v>REN</v>
          </cell>
        </row>
        <row r="1683">
          <cell r="B1683" t="str">
            <v>KHI/HO/D/MO/PC COMP/C/90920/189/06/2024</v>
          </cell>
          <cell r="D1683" t="str">
            <v>REN</v>
          </cell>
        </row>
        <row r="1684">
          <cell r="B1684" t="str">
            <v>KHI/HO/D/MO/PC COMP/C/90920/190/06/2024</v>
          </cell>
          <cell r="D1684" t="str">
            <v>REN</v>
          </cell>
        </row>
        <row r="1685">
          <cell r="B1685" t="str">
            <v>KHI/HO/D/MO/PC COMP/C/90920/191/06/2024</v>
          </cell>
          <cell r="D1685" t="str">
            <v>REN</v>
          </cell>
        </row>
        <row r="1686">
          <cell r="B1686" t="str">
            <v>KHI/HO/D/MO/PC COMP/C/90920/192/06/2024</v>
          </cell>
          <cell r="D1686" t="str">
            <v>REN</v>
          </cell>
        </row>
        <row r="1687">
          <cell r="B1687" t="str">
            <v>KHI/HO/D/MO/PC COMP/C/90920/193/06/2024</v>
          </cell>
          <cell r="D1687" t="str">
            <v>REN</v>
          </cell>
        </row>
        <row r="1688">
          <cell r="B1688" t="str">
            <v>KHI/HO/D/MO/PC COMP/C/90920/194/06/2024</v>
          </cell>
          <cell r="D1688" t="str">
            <v>REN</v>
          </cell>
        </row>
        <row r="1689">
          <cell r="B1689" t="str">
            <v>KHI/HO/D/MO/PC COMP/C/90920/195/06/2024</v>
          </cell>
          <cell r="D1689" t="str">
            <v>REN</v>
          </cell>
        </row>
        <row r="1690">
          <cell r="B1690" t="str">
            <v>KHI/HO/D/MO/PC COMP/C/90920/196/06/2024</v>
          </cell>
          <cell r="D1690" t="str">
            <v>REN</v>
          </cell>
        </row>
        <row r="1691">
          <cell r="B1691" t="str">
            <v>KHI/HO/D/MO/PC COMP/C/90920/197/06/2024</v>
          </cell>
          <cell r="D1691" t="str">
            <v>REN</v>
          </cell>
        </row>
        <row r="1692">
          <cell r="B1692" t="str">
            <v>KHI/HO/D/MO/PC COMP/C/90321/15/06/2024</v>
          </cell>
          <cell r="D1692" t="str">
            <v>FRE</v>
          </cell>
        </row>
        <row r="1693">
          <cell r="B1693" t="str">
            <v>KHI/HO/D/MO/PC COMP/C/90321/16/06/2024</v>
          </cell>
          <cell r="D1693" t="str">
            <v>FRE</v>
          </cell>
        </row>
        <row r="1694">
          <cell r="B1694" t="str">
            <v>KHI/HO/D/MO/PC COMP/C/90321/17/06/2024</v>
          </cell>
          <cell r="D1694" t="str">
            <v>FRE</v>
          </cell>
        </row>
        <row r="1695">
          <cell r="B1695" t="str">
            <v>KHI/HO/D/MO/PC COMP/C/90321/18/06/2024</v>
          </cell>
          <cell r="D1695" t="str">
            <v>FRE</v>
          </cell>
        </row>
        <row r="1696">
          <cell r="B1696" t="str">
            <v>KHI/HO/D/MO/PC COMP/C/90321/19/06/2024</v>
          </cell>
          <cell r="D1696" t="str">
            <v>FRE</v>
          </cell>
        </row>
        <row r="1697">
          <cell r="B1697" t="str">
            <v>KHI/HO/D/MO/PC COMP/C/90321/20/06/2024</v>
          </cell>
          <cell r="D1697" t="str">
            <v>FRE</v>
          </cell>
        </row>
        <row r="1698">
          <cell r="B1698" t="str">
            <v>KHI/HO/D/MO/PC COMP/C/90321/21/06/2024</v>
          </cell>
          <cell r="D1698" t="str">
            <v>FRE</v>
          </cell>
        </row>
        <row r="1699">
          <cell r="B1699" t="str">
            <v>KHI/HO/D/MO/PC COMP/C/90321/22/06/2024</v>
          </cell>
          <cell r="D1699" t="str">
            <v>FRE</v>
          </cell>
        </row>
        <row r="1700">
          <cell r="B1700" t="str">
            <v>KHI/HO/D/MO/PC COMP/C/90321/23/06/2024</v>
          </cell>
          <cell r="D1700" t="str">
            <v>FRE</v>
          </cell>
        </row>
        <row r="1701">
          <cell r="B1701" t="str">
            <v>KHI/HO/D/MO/PC COMP/C/90321/24/06/2024</v>
          </cell>
          <cell r="D1701" t="str">
            <v>FRE</v>
          </cell>
        </row>
        <row r="1702">
          <cell r="B1702" t="str">
            <v>KHI/HO/D/MO/PC COMP/C/90321/25/06/2024</v>
          </cell>
          <cell r="D1702" t="str">
            <v>FRE</v>
          </cell>
        </row>
        <row r="1703">
          <cell r="B1703" t="str">
            <v>KHI/HO/D/MO/PC COMP/C/90321/26/06/2024</v>
          </cell>
          <cell r="D1703" t="str">
            <v>FRE</v>
          </cell>
        </row>
        <row r="1704">
          <cell r="B1704" t="str">
            <v>KHI/HO/D/MO/PC COMP/C/90321/27/06/2024</v>
          </cell>
          <cell r="D1704" t="str">
            <v>FRE</v>
          </cell>
        </row>
        <row r="1705">
          <cell r="B1705" t="str">
            <v>KHI/HO/D/MO/PC COMP/C/90321/28/06/2024</v>
          </cell>
          <cell r="D1705" t="str">
            <v>FRE</v>
          </cell>
        </row>
        <row r="1706">
          <cell r="B1706" t="str">
            <v>KHI/HO/D/MO/PC COMP/C/90321/29/06/2024</v>
          </cell>
          <cell r="D1706" t="str">
            <v>FRE</v>
          </cell>
        </row>
        <row r="1707">
          <cell r="B1707" t="str">
            <v>KHI/HO/D/MO/PC COMP/C/90321/30/06/2024</v>
          </cell>
          <cell r="D1707" t="str">
            <v>FRE</v>
          </cell>
        </row>
        <row r="1708">
          <cell r="B1708" t="str">
            <v>KHI/HO/D/MO/PC COMP/C/90321/31/06/2024</v>
          </cell>
          <cell r="D1708" t="str">
            <v>FRE</v>
          </cell>
        </row>
        <row r="1709">
          <cell r="B1709" t="str">
            <v>KHI/HO/D/MO/PC COMP/C/90321/32/06/2024</v>
          </cell>
          <cell r="D1709" t="str">
            <v>FRE</v>
          </cell>
        </row>
        <row r="1710">
          <cell r="B1710" t="str">
            <v>KHI/HO/D/MO/PC COMP/C/90321/33/06/2024</v>
          </cell>
          <cell r="D1710" t="str">
            <v>FRE</v>
          </cell>
        </row>
        <row r="1711">
          <cell r="B1711" t="str">
            <v>KHI/HO/D/MO/PC COMP/C/92394/1/07/2024</v>
          </cell>
          <cell r="D1711" t="str">
            <v>FRE</v>
          </cell>
        </row>
        <row r="1712">
          <cell r="B1712" t="str">
            <v>KHI/HO/D/MO/PC COMP/C/92394/2/07/2024</v>
          </cell>
          <cell r="D1712" t="str">
            <v>FRE</v>
          </cell>
        </row>
        <row r="1713">
          <cell r="B1713" t="str">
            <v>KHI/HO/D/MO/PC COMP/C/92394/3/07/2024</v>
          </cell>
          <cell r="D1713" t="str">
            <v>FRE</v>
          </cell>
        </row>
        <row r="1714">
          <cell r="B1714" t="str">
            <v>KHI/HO/D/MO/PC COMP/C/92394/4/07/2024</v>
          </cell>
          <cell r="D1714" t="str">
            <v>FRE</v>
          </cell>
        </row>
        <row r="1715">
          <cell r="B1715" t="str">
            <v>KHI/HO/D/MO/PC COMP/C/92394/5/07/2024</v>
          </cell>
          <cell r="D1715" t="str">
            <v>FRE</v>
          </cell>
        </row>
        <row r="1716">
          <cell r="B1716" t="str">
            <v>KHI/HO/D/MO/CV/C/92498/1/07/2024</v>
          </cell>
          <cell r="D1716" t="str">
            <v>FRE</v>
          </cell>
        </row>
        <row r="1717">
          <cell r="B1717" t="str">
            <v>KHI/HO/D/MO/PC COMP/C/92394/6/07/2024</v>
          </cell>
          <cell r="D1717" t="str">
            <v>FRE</v>
          </cell>
        </row>
        <row r="1718">
          <cell r="B1718" t="str">
            <v>KHI/HO/D/MO/PC COMP/C/92394/7/07/2024</v>
          </cell>
          <cell r="D1718" t="str">
            <v>FRE</v>
          </cell>
        </row>
        <row r="1719">
          <cell r="B1719" t="str">
            <v>KHI/HO/D/MO/PC COMP/C/92394/8/07/2024</v>
          </cell>
          <cell r="D1719" t="str">
            <v>FRE</v>
          </cell>
        </row>
        <row r="1720">
          <cell r="B1720" t="str">
            <v>KHI/HO/D/MO/PC COMP/C/92394/9/07/2024</v>
          </cell>
          <cell r="D1720" t="str">
            <v>FRE</v>
          </cell>
        </row>
        <row r="1721">
          <cell r="B1721" t="str">
            <v>KHI/HO/D/MO/PC COMP/C/92394/10/07/2024</v>
          </cell>
          <cell r="D1721" t="str">
            <v>FRE</v>
          </cell>
        </row>
        <row r="1722">
          <cell r="B1722" t="str">
            <v>KHI/HO/D/MO/PC COMP/C/92394/11/07/2024</v>
          </cell>
          <cell r="D1722" t="str">
            <v>FRE</v>
          </cell>
        </row>
        <row r="1723">
          <cell r="B1723" t="str">
            <v>KHI/HO/D/MO/PC COMP/C/92394/12/07/2024</v>
          </cell>
          <cell r="D1723" t="str">
            <v>FRE</v>
          </cell>
        </row>
        <row r="1724">
          <cell r="B1724" t="str">
            <v>KHI/HO/D/MO/PC COMP/C/92394/13/07/2024</v>
          </cell>
          <cell r="D1724" t="str">
            <v>FRE</v>
          </cell>
        </row>
        <row r="1725">
          <cell r="B1725" t="str">
            <v>KHI/HO/D/MO/PC COMP/C/92394/14/07/2024</v>
          </cell>
          <cell r="D1725" t="str">
            <v>FRE</v>
          </cell>
        </row>
        <row r="1726">
          <cell r="B1726" t="str">
            <v>KHI/HO/D/MO/PC COMP/C/92394/15/07/2024</v>
          </cell>
          <cell r="D1726" t="str">
            <v>FRE</v>
          </cell>
        </row>
        <row r="1727">
          <cell r="B1727" t="str">
            <v>KHI/HO/D/MO/PC COMP/C/92394/16/07/2024</v>
          </cell>
          <cell r="D1727" t="str">
            <v>FRE</v>
          </cell>
        </row>
        <row r="1728">
          <cell r="B1728" t="str">
            <v>KHI/HO/D/MO/PC COMP/C/92394/17/07/2024</v>
          </cell>
          <cell r="D1728" t="str">
            <v>FRE</v>
          </cell>
        </row>
        <row r="1729">
          <cell r="B1729" t="str">
            <v>KHI/HO/D/MO/PC COMP/C/92394/18/07/2024</v>
          </cell>
          <cell r="D1729" t="str">
            <v>FRE</v>
          </cell>
        </row>
        <row r="1730">
          <cell r="B1730" t="str">
            <v>KHI/HO/D/MO/PC COMP/C/92394/19/07/2024</v>
          </cell>
          <cell r="D1730" t="str">
            <v>FRE</v>
          </cell>
        </row>
        <row r="1731">
          <cell r="B1731" t="str">
            <v>KHI/HO/D/MO/PC COMP/C/92394/20/07/2024</v>
          </cell>
          <cell r="D1731" t="str">
            <v>FRE</v>
          </cell>
        </row>
        <row r="1732">
          <cell r="B1732" t="str">
            <v>KHI/HO/D/MO/PC COMP/C/92394/21/07/2024</v>
          </cell>
          <cell r="D1732" t="str">
            <v>FRE</v>
          </cell>
        </row>
        <row r="1733">
          <cell r="B1733" t="str">
            <v>KHI/HO/D/MO/PC COMP/C/92394/22/07/2024</v>
          </cell>
          <cell r="D1733" t="str">
            <v>FRE</v>
          </cell>
        </row>
        <row r="1734">
          <cell r="B1734" t="str">
            <v>KHI/HO/D/MO/CV/C/93454/1/07/2024</v>
          </cell>
          <cell r="D1734" t="str">
            <v>REN</v>
          </cell>
        </row>
        <row r="1735">
          <cell r="B1735" t="str">
            <v>KHI/HO/D/MO/CV/C/93454/2/07/2024</v>
          </cell>
          <cell r="D1735" t="str">
            <v>REN</v>
          </cell>
        </row>
        <row r="1736">
          <cell r="B1736" t="str">
            <v>KHI/HO/D/MO/CV/C/93454/3/07/2024</v>
          </cell>
          <cell r="D1736" t="str">
            <v>REN</v>
          </cell>
        </row>
        <row r="1737">
          <cell r="B1737" t="str">
            <v>KHI/HO/D/MO/PC COMP/C/93457/1/07/2024</v>
          </cell>
          <cell r="D1737" t="str">
            <v>REN</v>
          </cell>
        </row>
        <row r="1738">
          <cell r="B1738" t="str">
            <v>KHI/HO/D/MO/PC COMP/C/93457/2/07/2024</v>
          </cell>
          <cell r="D1738" t="str">
            <v>REN</v>
          </cell>
        </row>
        <row r="1739">
          <cell r="B1739" t="str">
            <v>KHI/HO/D/MO/PC COMP/C/93457/3/07/2024</v>
          </cell>
          <cell r="D1739" t="str">
            <v>REN</v>
          </cell>
        </row>
        <row r="1740">
          <cell r="B1740" t="str">
            <v>KHI/HO/D/MO/PC COMP/C/93457/4/07/2024</v>
          </cell>
          <cell r="D1740" t="str">
            <v>REN</v>
          </cell>
        </row>
        <row r="1741">
          <cell r="B1741" t="str">
            <v>KHI/HO/D/MO/PC COMP/C/93457/5/07/2024</v>
          </cell>
          <cell r="D1741" t="str">
            <v>REN</v>
          </cell>
        </row>
        <row r="1742">
          <cell r="B1742" t="str">
            <v>KHI/HO/D/MO/PC COMP/C/93457/6/07/2024</v>
          </cell>
          <cell r="D1742" t="str">
            <v>REN</v>
          </cell>
        </row>
        <row r="1743">
          <cell r="B1743" t="str">
            <v>KHI/HO/D/MO/PC COMP/C/93457/7/07/2024</v>
          </cell>
          <cell r="D1743" t="str">
            <v>REN</v>
          </cell>
        </row>
        <row r="1744">
          <cell r="B1744" t="str">
            <v>KHI/HO/D/MO/PC COMP/C/93457/8/07/2024</v>
          </cell>
          <cell r="D1744" t="str">
            <v>REN</v>
          </cell>
        </row>
        <row r="1745">
          <cell r="B1745" t="str">
            <v>KHI/HO/D/MO/PC COMP/C/93457/9/07/2024</v>
          </cell>
          <cell r="D1745" t="str">
            <v>REN</v>
          </cell>
        </row>
        <row r="1746">
          <cell r="B1746" t="str">
            <v>KHI/HO/D/MO/PC COMP/C/93457/10/07/2024</v>
          </cell>
          <cell r="D1746" t="str">
            <v>REN</v>
          </cell>
        </row>
        <row r="1747">
          <cell r="B1747" t="str">
            <v>KHI/HO/D/MO/PC COMP/C/93457/11/07/2024</v>
          </cell>
          <cell r="D1747" t="str">
            <v>REN</v>
          </cell>
        </row>
        <row r="1748">
          <cell r="B1748" t="str">
            <v>KHI/HO/D/MO/PC COMP/C/93457/12/07/2024</v>
          </cell>
          <cell r="D1748" t="str">
            <v>REN</v>
          </cell>
        </row>
        <row r="1749">
          <cell r="B1749" t="str">
            <v>KHI/HO/D/MO/PC COMP/C/93457/13/07/2024</v>
          </cell>
          <cell r="D1749" t="str">
            <v>REN</v>
          </cell>
        </row>
        <row r="1750">
          <cell r="B1750" t="str">
            <v>KHI/HO/D/MO/PC COMP/C/93457/14/07/2024</v>
          </cell>
          <cell r="D1750" t="str">
            <v>REN</v>
          </cell>
        </row>
        <row r="1751">
          <cell r="B1751" t="str">
            <v>KHI/HO/D/MO/PC COMP/C/93457/15/07/2024</v>
          </cell>
          <cell r="D1751" t="str">
            <v>REN</v>
          </cell>
        </row>
        <row r="1752">
          <cell r="B1752" t="str">
            <v>KHI/HO/D/MO/PC COMP/C/93457/16/07/2024</v>
          </cell>
          <cell r="D1752" t="str">
            <v>REN</v>
          </cell>
        </row>
        <row r="1753">
          <cell r="B1753" t="str">
            <v>KHI/HO/D/MO/PC COMP/C/93457/17/07/2024</v>
          </cell>
          <cell r="D1753" t="str">
            <v>REN</v>
          </cell>
        </row>
        <row r="1754">
          <cell r="B1754" t="str">
            <v>KHI/HO/D/MO/PC COMP/C/93457/18/07/2024</v>
          </cell>
          <cell r="D1754" t="str">
            <v>REN</v>
          </cell>
        </row>
        <row r="1755">
          <cell r="B1755" t="str">
            <v>KHI/HO/D/MO/PC COMP/C/93457/19/07/2024</v>
          </cell>
          <cell r="D1755" t="str">
            <v>REN</v>
          </cell>
        </row>
        <row r="1756">
          <cell r="B1756" t="str">
            <v>KHI/HO/D/MO/PC COMP/C/93457/20/07/2024</v>
          </cell>
          <cell r="D1756" t="str">
            <v>REN</v>
          </cell>
        </row>
        <row r="1757">
          <cell r="B1757" t="str">
            <v>KHI/HO/D/MO/PC COMP/C/93457/21/07/2024</v>
          </cell>
          <cell r="D1757" t="str">
            <v>REN</v>
          </cell>
        </row>
        <row r="1758">
          <cell r="B1758" t="str">
            <v>KHI/HO/D/MO/PC COMP/C/93457/22/07/2024</v>
          </cell>
          <cell r="D1758" t="str">
            <v>REN</v>
          </cell>
        </row>
        <row r="1759">
          <cell r="B1759" t="str">
            <v>KHI/HO/D/MO/PC COMP/C/93457/23/07/2024</v>
          </cell>
          <cell r="D1759" t="str">
            <v>REN</v>
          </cell>
        </row>
        <row r="1760">
          <cell r="B1760" t="str">
            <v>KHI/HO/D/MO/PC COMP/C/93457/24/07/2024</v>
          </cell>
          <cell r="D1760" t="str">
            <v>REN</v>
          </cell>
        </row>
        <row r="1761">
          <cell r="B1761" t="str">
            <v>KHI/HO/D/MO/PC COMP/C/93457/25/07/2024</v>
          </cell>
          <cell r="D1761" t="str">
            <v>REN</v>
          </cell>
        </row>
        <row r="1762">
          <cell r="B1762" t="str">
            <v>KHI/HO/D/MO/PC COMP/C/93457/26/07/2024</v>
          </cell>
          <cell r="D1762" t="str">
            <v>REN</v>
          </cell>
        </row>
        <row r="1763">
          <cell r="B1763" t="str">
            <v>KHI/HO/D/MO/PC COMP/C/93457/27/07/2024</v>
          </cell>
          <cell r="D1763" t="str">
            <v>REN</v>
          </cell>
        </row>
        <row r="1764">
          <cell r="B1764" t="str">
            <v>KHI/HO/D/MO/PC COMP/C/93457/28/07/2024</v>
          </cell>
          <cell r="D1764" t="str">
            <v>REN</v>
          </cell>
        </row>
        <row r="1765">
          <cell r="B1765" t="str">
            <v>KHI/HO/D/MO/PC COMP/C/93457/29/07/2024</v>
          </cell>
          <cell r="D1765" t="str">
            <v>REN</v>
          </cell>
        </row>
        <row r="1766">
          <cell r="B1766" t="str">
            <v>KHI/HO/D/MO/PC COMP/C/93457/30/07/2024</v>
          </cell>
          <cell r="D1766" t="str">
            <v>REN</v>
          </cell>
        </row>
        <row r="1767">
          <cell r="B1767" t="str">
            <v>KHI/HO/D/MO/PC COMP/C/93457/31/07/2024</v>
          </cell>
          <cell r="D1767" t="str">
            <v>REN</v>
          </cell>
        </row>
        <row r="1768">
          <cell r="B1768" t="str">
            <v>KHI/HO/D/MO/PC COMP/C/93457/32/07/2024</v>
          </cell>
          <cell r="D1768" t="str">
            <v>REN</v>
          </cell>
        </row>
        <row r="1769">
          <cell r="B1769" t="str">
            <v>KHI/HO/D/MO/PC COMP/C/93457/33/07/2024</v>
          </cell>
          <cell r="D1769" t="str">
            <v>REN</v>
          </cell>
        </row>
        <row r="1770">
          <cell r="B1770" t="str">
            <v>KHI/HO/D/MO/PC COMP/C/93457/34/07/2024</v>
          </cell>
          <cell r="D1770" t="str">
            <v>REN</v>
          </cell>
        </row>
        <row r="1771">
          <cell r="B1771" t="str">
            <v>KHI/HO/D/MO/PC COMP/C/93457/35/07/2024</v>
          </cell>
          <cell r="D1771" t="str">
            <v>REN</v>
          </cell>
        </row>
        <row r="1772">
          <cell r="B1772" t="str">
            <v>KHI/HO/D/MO/PC COMP/C/93457/36/07/2024</v>
          </cell>
          <cell r="D1772" t="str">
            <v>REN</v>
          </cell>
        </row>
        <row r="1773">
          <cell r="B1773" t="str">
            <v>KHI/HO/D/MO/PC COMP/C/93457/37/07/2024</v>
          </cell>
          <cell r="D1773" t="str">
            <v>REN</v>
          </cell>
        </row>
        <row r="1774">
          <cell r="B1774" t="str">
            <v>KHI/HO/D/MO/PC COMP/C/93457/38/07/2024</v>
          </cell>
          <cell r="D1774" t="str">
            <v>REN</v>
          </cell>
        </row>
        <row r="1775">
          <cell r="B1775" t="str">
            <v>KHI/HO/D/MO/PC COMP/C/93457/39/07/2024</v>
          </cell>
          <cell r="D1775" t="str">
            <v>REN</v>
          </cell>
        </row>
        <row r="1776">
          <cell r="B1776" t="str">
            <v>KHI/HO/D/MO/PC COMP/C/93457/40/07/2024</v>
          </cell>
          <cell r="D1776" t="str">
            <v>REN</v>
          </cell>
        </row>
        <row r="1777">
          <cell r="B1777" t="str">
            <v>KHI/HO/D/MO/PC COMP/C/93457/41/07/2024</v>
          </cell>
          <cell r="D1777" t="str">
            <v>REN</v>
          </cell>
        </row>
        <row r="1778">
          <cell r="B1778" t="str">
            <v>KHI/HO/D/MO/PC COMP/C/93457/42/07/2024</v>
          </cell>
          <cell r="D1778" t="str">
            <v>REN</v>
          </cell>
        </row>
        <row r="1779">
          <cell r="B1779" t="str">
            <v>KHI/HO/D/MO/PC COMP/C/93457/43/07/2024</v>
          </cell>
          <cell r="D1779" t="str">
            <v>REN</v>
          </cell>
        </row>
        <row r="1780">
          <cell r="B1780" t="str">
            <v>KHI/HO/D/MO/PC COMP/C/93457/44/07/2024</v>
          </cell>
          <cell r="D1780" t="str">
            <v>REN</v>
          </cell>
        </row>
        <row r="1781">
          <cell r="B1781" t="str">
            <v>KHI/HO/D/MO/PC COMP/C/93457/45/07/2024</v>
          </cell>
          <cell r="D1781" t="str">
            <v>REN</v>
          </cell>
        </row>
        <row r="1782">
          <cell r="B1782" t="str">
            <v>KHI/HO/D/MO/PC COMP/C/93457/46/07/2024</v>
          </cell>
          <cell r="D1782" t="str">
            <v>REN</v>
          </cell>
        </row>
        <row r="1783">
          <cell r="B1783" t="str">
            <v>KHI/HO/D/MO/PC COMP/C/93457/47/07/2024</v>
          </cell>
          <cell r="D1783" t="str">
            <v>REN</v>
          </cell>
        </row>
        <row r="1784">
          <cell r="B1784" t="str">
            <v>KHI/HO/D/MO/PC COMP/C/93457/48/07/2024</v>
          </cell>
          <cell r="D1784" t="str">
            <v>REN</v>
          </cell>
        </row>
        <row r="1785">
          <cell r="B1785" t="str">
            <v>KHI/HO/D/MO/PC COMP/C/93457/49/07/2024</v>
          </cell>
          <cell r="D1785" t="str">
            <v>REN</v>
          </cell>
        </row>
        <row r="1786">
          <cell r="B1786" t="str">
            <v>KHI/HO/D/MO/PC COMP/C/93457/50/07/2024</v>
          </cell>
          <cell r="D1786" t="str">
            <v>REN</v>
          </cell>
        </row>
        <row r="1787">
          <cell r="B1787" t="str">
            <v>KHI/HO/D/MO/PC COMP/C/93457/51/07/2024</v>
          </cell>
          <cell r="D1787" t="str">
            <v>REN</v>
          </cell>
        </row>
        <row r="1788">
          <cell r="B1788" t="str">
            <v>KHI/HO/D/MO/PC COMP/C/93457/52/07/2024</v>
          </cell>
          <cell r="D1788" t="str">
            <v>REN</v>
          </cell>
        </row>
        <row r="1789">
          <cell r="B1789" t="str">
            <v>KHI/HO/D/MO/PC COMP/C/93457/53/07/2024</v>
          </cell>
          <cell r="D1789" t="str">
            <v>REN</v>
          </cell>
        </row>
        <row r="1790">
          <cell r="B1790" t="str">
            <v>KHI/HO/D/MO/PC COMP/C/93458/1/07/2024</v>
          </cell>
          <cell r="D1790" t="str">
            <v>REN</v>
          </cell>
        </row>
        <row r="1791">
          <cell r="B1791" t="str">
            <v>KHI/HO/D/MO/PC COMP/C/93458/2/07/2024</v>
          </cell>
          <cell r="D1791" t="str">
            <v>REN</v>
          </cell>
        </row>
        <row r="1792">
          <cell r="B1792" t="str">
            <v>KHI/HO/D/MO/PC COMP/C/93458/3/07/2024</v>
          </cell>
          <cell r="D1792" t="str">
            <v>REN</v>
          </cell>
        </row>
        <row r="1793">
          <cell r="B1793" t="str">
            <v>KHI/HO/D/MO/PC COMP/C/93458/4/07/2024</v>
          </cell>
          <cell r="D1793" t="str">
            <v>REN</v>
          </cell>
        </row>
        <row r="1794">
          <cell r="B1794" t="str">
            <v>KHI/HO/D/MO/PC COMP/C/93458/5/07/2024</v>
          </cell>
          <cell r="D1794" t="str">
            <v>REN</v>
          </cell>
        </row>
        <row r="1795">
          <cell r="B1795" t="str">
            <v>KHI/HO/D/MO/PC COMP/C/93458/6/07/2024</v>
          </cell>
          <cell r="D1795" t="str">
            <v>REN</v>
          </cell>
        </row>
        <row r="1796">
          <cell r="B1796" t="str">
            <v>KHI/HO/D/MO/PC COMP/C/93458/7/07/2024</v>
          </cell>
          <cell r="D1796" t="str">
            <v>REN</v>
          </cell>
        </row>
        <row r="1797">
          <cell r="B1797" t="str">
            <v>KHI/HO/D/MO/PC COMP/C/93458/8/07/2024</v>
          </cell>
          <cell r="D1797" t="str">
            <v>REN</v>
          </cell>
        </row>
        <row r="1798">
          <cell r="B1798" t="str">
            <v>KHI/HO/D/MO/PC COMP/C/93458/9/07/2024</v>
          </cell>
          <cell r="D1798" t="str">
            <v>REN</v>
          </cell>
        </row>
        <row r="1799">
          <cell r="B1799" t="str">
            <v>KHI/HO/D/MO/PC COMP/C/93458/10/07/2024</v>
          </cell>
          <cell r="D1799" t="str">
            <v>REN</v>
          </cell>
        </row>
        <row r="1800">
          <cell r="B1800" t="str">
            <v>KHI/HO/D/MO/PC COMP/C/93458/11/07/2024</v>
          </cell>
          <cell r="D1800" t="str">
            <v>REN</v>
          </cell>
        </row>
        <row r="1801">
          <cell r="B1801" t="str">
            <v>KHI/HO/D/MO/PC COMP/C/93458/12/07/2024</v>
          </cell>
          <cell r="D1801" t="str">
            <v>REN</v>
          </cell>
        </row>
        <row r="1802">
          <cell r="B1802" t="str">
            <v>KHI/HO/D/MO/PC COMP/C/93458/13/07/2024</v>
          </cell>
          <cell r="D1802" t="str">
            <v>REN</v>
          </cell>
        </row>
        <row r="1803">
          <cell r="B1803" t="str">
            <v>KHI/HO/D/MO/PC COMP/C/93458/14/07/2024</v>
          </cell>
          <cell r="D1803" t="str">
            <v>REN</v>
          </cell>
        </row>
        <row r="1804">
          <cell r="B1804" t="str">
            <v>KHI/HO/D/MO/PC COMP/C/93458/15/07/2024</v>
          </cell>
          <cell r="D1804" t="str">
            <v>REN</v>
          </cell>
        </row>
        <row r="1805">
          <cell r="B1805" t="str">
            <v>KHI/HO/D/MO/PC COMP/C/93458/16/07/2024</v>
          </cell>
          <cell r="D1805" t="str">
            <v>REN</v>
          </cell>
        </row>
        <row r="1806">
          <cell r="B1806" t="str">
            <v>KHI/HO/D/MO/PC COMP/C/93458/17/07/2024</v>
          </cell>
          <cell r="D1806" t="str">
            <v>REN</v>
          </cell>
        </row>
        <row r="1807">
          <cell r="B1807" t="str">
            <v>KHI/HO/D/MO/PC COMP/C/93458/18/07/2024</v>
          </cell>
          <cell r="D1807" t="str">
            <v>REN</v>
          </cell>
        </row>
        <row r="1808">
          <cell r="B1808" t="str">
            <v>KHI/HO/D/MO/PC COMP/C/93458/19/07/2024</v>
          </cell>
          <cell r="D1808" t="str">
            <v>REN</v>
          </cell>
        </row>
        <row r="1809">
          <cell r="B1809" t="str">
            <v>KHI/HO/D/MO/PC COMP/C/93458/20/07/2024</v>
          </cell>
          <cell r="D1809" t="str">
            <v>REN</v>
          </cell>
        </row>
        <row r="1810">
          <cell r="B1810" t="str">
            <v>KHI/HO/D/MO/PC COMP/C/93458/21/07/2024</v>
          </cell>
          <cell r="D1810" t="str">
            <v>REN</v>
          </cell>
        </row>
        <row r="1811">
          <cell r="B1811" t="str">
            <v>KHI/HO/D/MO/PC COMP/C/93458/22/07/2024</v>
          </cell>
          <cell r="D1811" t="str">
            <v>REN</v>
          </cell>
        </row>
        <row r="1812">
          <cell r="B1812" t="str">
            <v>KHI/HO/D/MO/PC COMP/C/93458/23/07/2024</v>
          </cell>
          <cell r="D1812" t="str">
            <v>REN</v>
          </cell>
        </row>
        <row r="1813">
          <cell r="B1813" t="str">
            <v>KHI/HO/D/MO/PC COMP/C/93458/24/07/2024</v>
          </cell>
          <cell r="D1813" t="str">
            <v>REN</v>
          </cell>
        </row>
        <row r="1814">
          <cell r="B1814" t="str">
            <v>KHI/HO/D/MO/PC COMP/C/93458/25/07/2024</v>
          </cell>
          <cell r="D1814" t="str">
            <v>REN</v>
          </cell>
        </row>
        <row r="1815">
          <cell r="B1815" t="str">
            <v>KHI/HO/D/MO/PC COMP/C/93458/26/07/2024</v>
          </cell>
          <cell r="D1815" t="str">
            <v>REN</v>
          </cell>
        </row>
        <row r="1816">
          <cell r="B1816" t="str">
            <v>KHI/HO/D/MO/PC COMP/C/93458/27/07/2024</v>
          </cell>
          <cell r="D1816" t="str">
            <v>REN</v>
          </cell>
        </row>
        <row r="1817">
          <cell r="B1817" t="str">
            <v>KHI/HO/D/MO/PC COMP/C/93458/28/07/2024</v>
          </cell>
          <cell r="D1817" t="str">
            <v>REN</v>
          </cell>
        </row>
        <row r="1818">
          <cell r="B1818" t="str">
            <v>KHI/HO/D/MO/PC COMP/C/93458/29/07/2024</v>
          </cell>
          <cell r="D1818" t="str">
            <v>REN</v>
          </cell>
        </row>
        <row r="1819">
          <cell r="B1819" t="str">
            <v>KHI/HO/D/MO/PC COMP/C/93458/30/07/2024</v>
          </cell>
          <cell r="D1819" t="str">
            <v>REN</v>
          </cell>
        </row>
        <row r="1820">
          <cell r="B1820" t="str">
            <v>KHI/HO/D/MO/PC COMP/C/93458/31/07/2024</v>
          </cell>
          <cell r="D1820" t="str">
            <v>REN</v>
          </cell>
        </row>
        <row r="1821">
          <cell r="B1821" t="str">
            <v>KHI/HO/D/MO/PC COMP/C/93458/32/07/2024</v>
          </cell>
          <cell r="D1821" t="str">
            <v>REN</v>
          </cell>
        </row>
        <row r="1822">
          <cell r="B1822" t="str">
            <v>KHI/HO/D/MO/PC COMP/C/93458/33/07/2024</v>
          </cell>
          <cell r="D1822" t="str">
            <v>REN</v>
          </cell>
        </row>
        <row r="1823">
          <cell r="B1823" t="str">
            <v>KHI/HO/D/MO/PC COMP/C/93458/34/07/2024</v>
          </cell>
          <cell r="D1823" t="str">
            <v>REN</v>
          </cell>
        </row>
        <row r="1824">
          <cell r="B1824" t="str">
            <v>KHI/HO/D/MO/PC COMP/C/93458/35/07/2024</v>
          </cell>
          <cell r="D1824" t="str">
            <v>REN</v>
          </cell>
        </row>
        <row r="1825">
          <cell r="B1825" t="str">
            <v>KHI/HO/D/MO/PC COMP/C/93458/36/07/2024</v>
          </cell>
          <cell r="D1825" t="str">
            <v>REN</v>
          </cell>
        </row>
        <row r="1826">
          <cell r="B1826" t="str">
            <v>KHI/HO/D/MO/PC COMP/C/93458/37/07/2024</v>
          </cell>
          <cell r="D1826" t="str">
            <v>REN</v>
          </cell>
        </row>
        <row r="1827">
          <cell r="B1827" t="str">
            <v>KHI/HO/D/MO/PC COMP/C/93458/38/07/2024</v>
          </cell>
          <cell r="D1827" t="str">
            <v>REN</v>
          </cell>
        </row>
        <row r="1828">
          <cell r="B1828" t="str">
            <v>KHI/HO/D/MO/PC COMP/C/93458/39/07/2024</v>
          </cell>
          <cell r="D1828" t="str">
            <v>REN</v>
          </cell>
        </row>
        <row r="1829">
          <cell r="B1829" t="str">
            <v>KHI/HO/D/MO/PC COMP/C/93458/40/07/2024</v>
          </cell>
          <cell r="D1829" t="str">
            <v>REN</v>
          </cell>
        </row>
        <row r="1830">
          <cell r="B1830" t="str">
            <v>KHI/HO/D/MO/PC COMP/C/93459/1/07/2024</v>
          </cell>
          <cell r="D1830" t="str">
            <v>REN</v>
          </cell>
        </row>
        <row r="1831">
          <cell r="B1831" t="str">
            <v>KHI/HO/D/MO/PC COMP/C/93459/2/07/2024</v>
          </cell>
          <cell r="D1831" t="str">
            <v>REN</v>
          </cell>
        </row>
        <row r="1832">
          <cell r="B1832" t="str">
            <v>KHI/HO/D/MO/PC COMP/C/93459/3/07/2024</v>
          </cell>
          <cell r="D1832" t="str">
            <v>REN</v>
          </cell>
        </row>
        <row r="1833">
          <cell r="B1833" t="str">
            <v>KHI/HO/D/MO/PC COMP/C/93459/4/07/2024</v>
          </cell>
          <cell r="D1833" t="str">
            <v>REN</v>
          </cell>
        </row>
        <row r="1834">
          <cell r="B1834" t="str">
            <v>KHI/HO/D/MO/PC COMP/C/93459/5/07/2024</v>
          </cell>
          <cell r="D1834" t="str">
            <v>REN</v>
          </cell>
        </row>
        <row r="1835">
          <cell r="B1835" t="str">
            <v>KHI/HO/D/MO/PC COMP/C/93459/6/07/2024</v>
          </cell>
          <cell r="D1835" t="str">
            <v>REN</v>
          </cell>
        </row>
        <row r="1836">
          <cell r="B1836" t="str">
            <v>KHI/HO/D/MO/PC COMP/C/93459/7/07/2024</v>
          </cell>
          <cell r="D1836" t="str">
            <v>REN</v>
          </cell>
        </row>
        <row r="1837">
          <cell r="B1837" t="str">
            <v>KHI/HO/D/MO/PC COMP/C/93459/8/07/2024</v>
          </cell>
          <cell r="D1837" t="str">
            <v>REN</v>
          </cell>
        </row>
        <row r="1838">
          <cell r="B1838" t="str">
            <v>KHI/HO/D/MO/PC COMP/C/93459/9/07/2024</v>
          </cell>
          <cell r="D1838" t="str">
            <v>REN</v>
          </cell>
        </row>
        <row r="1839">
          <cell r="B1839" t="str">
            <v>KHI/HO/D/MO/PC COMP/C/93459/10/07/2024</v>
          </cell>
          <cell r="D1839" t="str">
            <v>REN</v>
          </cell>
        </row>
        <row r="1840">
          <cell r="B1840" t="str">
            <v>KHI/HO/D/MO/PC COMP/C/93459/11/07/2024</v>
          </cell>
          <cell r="D1840" t="str">
            <v>REN</v>
          </cell>
        </row>
        <row r="1841">
          <cell r="B1841" t="str">
            <v>KHI/HO/D/MO/PC COMP/C/93459/12/07/2024</v>
          </cell>
          <cell r="D1841" t="str">
            <v>REN</v>
          </cell>
        </row>
        <row r="1842">
          <cell r="B1842" t="str">
            <v>KHI/HO/D/MO/PC COMP/C/93459/13/07/2024</v>
          </cell>
          <cell r="D1842" t="str">
            <v>REN</v>
          </cell>
        </row>
        <row r="1843">
          <cell r="B1843" t="str">
            <v>KHI/HO/D/MO/PC COMP/C/93459/14/07/2024</v>
          </cell>
          <cell r="D1843" t="str">
            <v>REN</v>
          </cell>
        </row>
        <row r="1844">
          <cell r="B1844" t="str">
            <v>KHI/HO/D/MO/PC COMP/C/93459/15/07/2024</v>
          </cell>
          <cell r="D1844" t="str">
            <v>REN</v>
          </cell>
        </row>
        <row r="1845">
          <cell r="B1845" t="str">
            <v>KHI/HO/D/MO/PC COMP/C/93459/16/07/2024</v>
          </cell>
          <cell r="D1845" t="str">
            <v>REN</v>
          </cell>
        </row>
        <row r="1846">
          <cell r="B1846" t="str">
            <v>KHI/HO/D/MO/PC COMP/C/93459/17/07/2024</v>
          </cell>
          <cell r="D1846" t="str">
            <v>REN</v>
          </cell>
        </row>
        <row r="1847">
          <cell r="B1847" t="str">
            <v>KHI/HO/D/MO/PC COMP/C/93459/18/07/2024</v>
          </cell>
          <cell r="D1847" t="str">
            <v>REN</v>
          </cell>
        </row>
        <row r="1848">
          <cell r="B1848" t="str">
            <v>KHI/HO/D/MO/PC COMP/C/93459/19/07/2024</v>
          </cell>
          <cell r="D1848" t="str">
            <v>REN</v>
          </cell>
        </row>
        <row r="1849">
          <cell r="B1849" t="str">
            <v>KHI/HO/D/MO/PC COMP/C/93459/20/07/2024</v>
          </cell>
          <cell r="D1849" t="str">
            <v>REN</v>
          </cell>
        </row>
        <row r="1850">
          <cell r="B1850" t="str">
            <v>KHI/HO/D/MO/PC COMP/C/93459/21/07/2024</v>
          </cell>
          <cell r="D1850" t="str">
            <v>REN</v>
          </cell>
        </row>
        <row r="1851">
          <cell r="B1851" t="str">
            <v>KHI/HO/D/MO/PC COMP/C/93459/22/07/2024</v>
          </cell>
          <cell r="D1851" t="str">
            <v>REN</v>
          </cell>
        </row>
        <row r="1852">
          <cell r="B1852" t="str">
            <v>KHI/HO/D/MO/PC COMP/C/93459/23/07/2024</v>
          </cell>
          <cell r="D1852" t="str">
            <v>REN</v>
          </cell>
        </row>
        <row r="1853">
          <cell r="B1853" t="str">
            <v>KHI/HO/D/MO/PC COMP/C/93459/24/07/2024</v>
          </cell>
          <cell r="D1853" t="str">
            <v>REN</v>
          </cell>
        </row>
        <row r="1854">
          <cell r="B1854" t="str">
            <v>KHI/HO/D/MO/PC COMP/C/93459/25/07/2024</v>
          </cell>
          <cell r="D1854" t="str">
            <v>REN</v>
          </cell>
        </row>
        <row r="1855">
          <cell r="B1855" t="str">
            <v>KHI/HO/D/MO/PC COMP/C/93459/26/07/2024</v>
          </cell>
          <cell r="D1855" t="str">
            <v>REN</v>
          </cell>
        </row>
        <row r="1856">
          <cell r="B1856" t="str">
            <v>KHI/HO/D/MO/PC COMP/C/93459/27/07/2024</v>
          </cell>
          <cell r="D1856" t="str">
            <v>REN</v>
          </cell>
        </row>
        <row r="1857">
          <cell r="B1857" t="str">
            <v>KHI/HO/D/MO/PC COMP/C/93460/1/07/2024</v>
          </cell>
          <cell r="D1857" t="str">
            <v>REN</v>
          </cell>
        </row>
        <row r="1858">
          <cell r="B1858" t="str">
            <v>KHI/HO/D/MO/PC COMP/C/93460/2/07/2024</v>
          </cell>
          <cell r="D1858" t="str">
            <v>REN</v>
          </cell>
        </row>
        <row r="1859">
          <cell r="B1859" t="str">
            <v>KHI/HO/D/MO/PC COMP/C/93460/3/07/2024</v>
          </cell>
          <cell r="D1859" t="str">
            <v>REN</v>
          </cell>
        </row>
        <row r="1860">
          <cell r="B1860" t="str">
            <v>KHI/HO/D/MO/PC COMP/C/93460/4/07/2024</v>
          </cell>
          <cell r="D1860" t="str">
            <v>REN</v>
          </cell>
        </row>
        <row r="1861">
          <cell r="B1861" t="str">
            <v>KHI/HO/D/MO/PC COMP/C/93460/5/07/2024</v>
          </cell>
          <cell r="D1861" t="str">
            <v>REN</v>
          </cell>
        </row>
        <row r="1862">
          <cell r="B1862" t="str">
            <v>KHI/HO/D/MO/PC COMP/C/93460/6/07/2024</v>
          </cell>
          <cell r="D1862" t="str">
            <v>REN</v>
          </cell>
        </row>
        <row r="1863">
          <cell r="B1863" t="str">
            <v>KHI/HO/D/MO/PC COMP/C/93460/7/07/2024</v>
          </cell>
          <cell r="D1863" t="str">
            <v>REN</v>
          </cell>
        </row>
        <row r="1864">
          <cell r="B1864" t="str">
            <v>KHI/HO/D/MO/PC COMP/C/93460/8/07/2024</v>
          </cell>
          <cell r="D1864" t="str">
            <v>REN</v>
          </cell>
        </row>
        <row r="1865">
          <cell r="B1865" t="str">
            <v>KHI/HO/D/MO/PC COMP/C/93460/9/07/2024</v>
          </cell>
          <cell r="D1865" t="str">
            <v>REN</v>
          </cell>
        </row>
        <row r="1866">
          <cell r="B1866" t="str">
            <v>KHI/HO/D/MO/PC COMP/C/93460/10/07/2024</v>
          </cell>
          <cell r="D1866" t="str">
            <v>REN</v>
          </cell>
        </row>
        <row r="1867">
          <cell r="B1867" t="str">
            <v>KHI/HO/D/MO/PC COMP/C/93460/11/07/2024</v>
          </cell>
          <cell r="D1867" t="str">
            <v>REN</v>
          </cell>
        </row>
        <row r="1868">
          <cell r="B1868" t="str">
            <v>KHI/HO/D/MO/PC COMP/C/93460/12/07/2024</v>
          </cell>
          <cell r="D1868" t="str">
            <v>REN</v>
          </cell>
        </row>
        <row r="1869">
          <cell r="B1869" t="str">
            <v>KHI/HO/D/MO/PC COMP/C/93461/1/07/2024</v>
          </cell>
          <cell r="D1869" t="str">
            <v>REN</v>
          </cell>
        </row>
        <row r="1870">
          <cell r="B1870" t="str">
            <v>KHI/HO/D/MO/PC COMP/C/93461/2/07/2024</v>
          </cell>
          <cell r="D1870" t="str">
            <v>REN</v>
          </cell>
        </row>
        <row r="1871">
          <cell r="B1871" t="str">
            <v>KHI/HO/D/MO/PC COMP/C/93461/3/07/2024</v>
          </cell>
          <cell r="D1871" t="str">
            <v>REN</v>
          </cell>
        </row>
        <row r="1872">
          <cell r="B1872" t="str">
            <v>KHI/HO/D/MO/PC COMP/C/93461/4/07/2024</v>
          </cell>
          <cell r="D1872" t="str">
            <v>REN</v>
          </cell>
        </row>
        <row r="1873">
          <cell r="B1873" t="str">
            <v>KHI/HO/D/MO/PC COMP/C/93461/5/07/2024</v>
          </cell>
          <cell r="D1873" t="str">
            <v>REN</v>
          </cell>
        </row>
        <row r="1874">
          <cell r="B1874" t="str">
            <v>KHI/HO/D/MO/PC COMP/C/93461/6/07/2024</v>
          </cell>
          <cell r="D1874" t="str">
            <v>REN</v>
          </cell>
        </row>
        <row r="1875">
          <cell r="B1875" t="str">
            <v>KHI/HO/D/MO/PC COMP/C/93461/7/07/2024</v>
          </cell>
          <cell r="D1875" t="str">
            <v>REN</v>
          </cell>
        </row>
        <row r="1876">
          <cell r="B1876" t="str">
            <v>KHI/HO/D/MO/PC COMP/C/93461/8/07/2024</v>
          </cell>
          <cell r="D1876" t="str">
            <v>REN</v>
          </cell>
        </row>
        <row r="1877">
          <cell r="B1877" t="str">
            <v>KHI/HO/D/MO/PC COMP/C/93461/9/07/2024</v>
          </cell>
          <cell r="D1877" t="str">
            <v>REN</v>
          </cell>
        </row>
        <row r="1878">
          <cell r="B1878" t="str">
            <v>KHI/HO/D/MO/PC COMP/C/93461/10/07/2024</v>
          </cell>
          <cell r="D1878" t="str">
            <v>REN</v>
          </cell>
        </row>
        <row r="1879">
          <cell r="B1879" t="str">
            <v>KHI/HO/D/MO/PC COMP/C/93461/11/07/2024</v>
          </cell>
          <cell r="D1879" t="str">
            <v>REN</v>
          </cell>
        </row>
        <row r="1880">
          <cell r="B1880" t="str">
            <v>KHI/HO/D/MO/PC COMP/C/93461/12/07/2024</v>
          </cell>
          <cell r="D1880" t="str">
            <v>REN</v>
          </cell>
        </row>
        <row r="1881">
          <cell r="B1881" t="str">
            <v>KHI/HO/D/MO/PC COMP/C/93461/13/07/2024</v>
          </cell>
          <cell r="D1881" t="str">
            <v>REN</v>
          </cell>
        </row>
        <row r="1882">
          <cell r="B1882" t="str">
            <v>KHI/HO/D/MO/PC COMP/C/93461/14/07/2024</v>
          </cell>
          <cell r="D1882" t="str">
            <v>REN</v>
          </cell>
        </row>
        <row r="1883">
          <cell r="B1883" t="str">
            <v>KHI/HO/D/MO/PC COMP/C/93461/15/07/2024</v>
          </cell>
          <cell r="D1883" t="str">
            <v>REN</v>
          </cell>
        </row>
        <row r="1884">
          <cell r="B1884" t="str">
            <v>KHI/HO/D/MO/PC COMP/C/93461/16/07/2024</v>
          </cell>
          <cell r="D1884" t="str">
            <v>REN</v>
          </cell>
        </row>
        <row r="1885">
          <cell r="B1885" t="str">
            <v>KHI/HO/D/MO/PC COMP/C/92394/23/07/2024</v>
          </cell>
          <cell r="D1885" t="str">
            <v>FRE</v>
          </cell>
        </row>
        <row r="1886">
          <cell r="B1886" t="str">
            <v>KHI/HO/D/MO/PC COMP/C/92394/24/07/2024</v>
          </cell>
          <cell r="D1886" t="str">
            <v>FRE</v>
          </cell>
        </row>
        <row r="1887">
          <cell r="B1887" t="str">
            <v>KHI/HO/D/MO/PC COMP/C/93459/28/07/2024</v>
          </cell>
          <cell r="D1887" t="str">
            <v>REN</v>
          </cell>
        </row>
        <row r="1888">
          <cell r="B1888" t="str">
            <v>KHI/HO/D/MO/PC COMP/C/93459/29/07/2024</v>
          </cell>
          <cell r="D1888" t="str">
            <v>REN</v>
          </cell>
        </row>
        <row r="1889">
          <cell r="B1889" t="str">
            <v>KHI/HO/D/MO/PC COMP/C/93459/30/07/2024</v>
          </cell>
          <cell r="D1889" t="str">
            <v>REN</v>
          </cell>
        </row>
        <row r="1890">
          <cell r="B1890" t="str">
            <v>KHI/HO/D/MO/PC COMP/C/92394/25/07/2024</v>
          </cell>
          <cell r="D1890" t="str">
            <v>FRE</v>
          </cell>
        </row>
        <row r="1891">
          <cell r="B1891" t="str">
            <v>KHI/HO/D/MO/PC COMP/C/93459/31/07/2024</v>
          </cell>
          <cell r="D1891" t="str">
            <v>REN</v>
          </cell>
        </row>
        <row r="1892">
          <cell r="B1892" t="str">
            <v>KHI/HO/D/MO/PC COMP/C/92394/26/07/2024</v>
          </cell>
          <cell r="D1892" t="str">
            <v>FRE</v>
          </cell>
        </row>
        <row r="1893">
          <cell r="B1893" t="str">
            <v>KHI/HO/D/MO/PC COMP/C/92394/27/07/2024</v>
          </cell>
          <cell r="D1893" t="str">
            <v>FRE</v>
          </cell>
        </row>
        <row r="1894">
          <cell r="B1894" t="str">
            <v>KHI/HO/D/MO/PC COMP/C/92394/28/07/2024</v>
          </cell>
          <cell r="D1894" t="str">
            <v>FRE</v>
          </cell>
        </row>
        <row r="1895">
          <cell r="B1895" t="str">
            <v>KHI/HO/D/MO/PC COMP/C/92394/29/07/2024</v>
          </cell>
          <cell r="D1895" t="str">
            <v>FRE</v>
          </cell>
        </row>
        <row r="1896">
          <cell r="B1896" t="str">
            <v>KHI/HO/D/MO/PC COMP/C/92394/30/07/2024</v>
          </cell>
          <cell r="D1896" t="str">
            <v>FRE</v>
          </cell>
        </row>
        <row r="1897">
          <cell r="B1897" t="str">
            <v>KHI/HO/D/MO/PC COMP/C/92394/31/07/2024</v>
          </cell>
          <cell r="D1897" t="str">
            <v>FRE</v>
          </cell>
        </row>
        <row r="1898">
          <cell r="B1898" t="str">
            <v>KHI/HO/D/MO/PC COMP/C/92394/32/07/2024</v>
          </cell>
          <cell r="D1898" t="str">
            <v>FRE</v>
          </cell>
        </row>
        <row r="1899">
          <cell r="B1899" t="str">
            <v>KHI/HO/D/MO/PC COMP/C/92394/33/07/2024</v>
          </cell>
          <cell r="D1899" t="str">
            <v>FRE</v>
          </cell>
        </row>
        <row r="1900">
          <cell r="B1900" t="str">
            <v>KHI/HO/D/MO/PC COMP/C/92394/34/07/2024</v>
          </cell>
          <cell r="D1900" t="str">
            <v>FRE</v>
          </cell>
        </row>
        <row r="1901">
          <cell r="B1901" t="str">
            <v>KHI/HO/D/MO/PC COMP/C/92394/35/07/2024</v>
          </cell>
          <cell r="D1901" t="str">
            <v>FRE</v>
          </cell>
        </row>
        <row r="1902">
          <cell r="B1902" t="str">
            <v>KHI/HO/D/MO/PC COMP/C/92394/36/07/2024</v>
          </cell>
          <cell r="D1902" t="str">
            <v>FRE</v>
          </cell>
        </row>
        <row r="1903">
          <cell r="B1903" t="str">
            <v>KHI/HO/D/MO/PC COMP/C/92394/37/07/2024</v>
          </cell>
          <cell r="D1903" t="str">
            <v>FRE</v>
          </cell>
        </row>
        <row r="1904">
          <cell r="B1904" t="str">
            <v>KHI/HO/D/MO/PC COMP/C/92394/38/07/2024</v>
          </cell>
          <cell r="D1904" t="str">
            <v>FRE</v>
          </cell>
        </row>
        <row r="1905">
          <cell r="B1905" t="str">
            <v>KHI/HO/D/MO/PC COMP/C/92394/39/07/2024</v>
          </cell>
          <cell r="D1905" t="str">
            <v>FRE</v>
          </cell>
        </row>
        <row r="1906">
          <cell r="B1906" t="str">
            <v>KHI/HO/D/MO/PC COMP/C/92394/40/07/2024</v>
          </cell>
          <cell r="D1906" t="str">
            <v>FRE</v>
          </cell>
        </row>
        <row r="1907">
          <cell r="B1907" t="str">
            <v>KHI/HO/D/MO/PC COMP/C/92394/41/07/2024</v>
          </cell>
          <cell r="D1907" t="str">
            <v>FRE</v>
          </cell>
        </row>
        <row r="1908">
          <cell r="B1908" t="str">
            <v>KHI/HO/D/MO/PC COMP/C/92394/42/07/2024</v>
          </cell>
          <cell r="D1908" t="str">
            <v>FRE</v>
          </cell>
        </row>
        <row r="1909">
          <cell r="B1909" t="str">
            <v>KHI/HO/D/MO/PC COMP/C/92394/43/07/2024</v>
          </cell>
          <cell r="D1909" t="str">
            <v>FRE</v>
          </cell>
        </row>
        <row r="1910">
          <cell r="B1910" t="str">
            <v>KHI/HO/D/MO/PC COMP/C/92394/44/07/2024</v>
          </cell>
          <cell r="D1910" t="str">
            <v>FRE</v>
          </cell>
        </row>
        <row r="1911">
          <cell r="B1911" t="str">
            <v>KHI/HO/D/MO/PC COMP/C/92394/45/07/2024</v>
          </cell>
          <cell r="D1911" t="str">
            <v>FRE</v>
          </cell>
        </row>
        <row r="1912">
          <cell r="B1912" t="str">
            <v>KHI/HO/D/MO/PC COMP/C/92394/46/07/2024</v>
          </cell>
          <cell r="D1912" t="str">
            <v>FRE</v>
          </cell>
        </row>
        <row r="1913">
          <cell r="B1913" t="str">
            <v>KHI/HO/D/MO/PC COMP/C/92394/47/07/2024</v>
          </cell>
          <cell r="D1913" t="str">
            <v>FRE</v>
          </cell>
        </row>
        <row r="1914">
          <cell r="B1914" t="str">
            <v>KHI/HO/D/MO/PC COMP/C/92394/48/07/2024</v>
          </cell>
          <cell r="D1914" t="str">
            <v>FRE</v>
          </cell>
        </row>
        <row r="1915">
          <cell r="B1915" t="str">
            <v>KHI/HO/D/MO/PC COMP/C/92394/49/07/2024</v>
          </cell>
          <cell r="D1915" t="str">
            <v>FRE</v>
          </cell>
        </row>
        <row r="1916">
          <cell r="B1916" t="str">
            <v>KHI/HO/D/MO/PC COMP/C/92394/50/07/2024</v>
          </cell>
          <cell r="D1916" t="str">
            <v>FRE</v>
          </cell>
        </row>
        <row r="1917">
          <cell r="B1917" t="str">
            <v>KHI/HO/D/MO/PC COMP/C/92394/51/07/2024</v>
          </cell>
          <cell r="D1917" t="str">
            <v>FRE</v>
          </cell>
        </row>
        <row r="1918">
          <cell r="B1918" t="str">
            <v>KHI/HO/D/MO/PC COMP/C/92394/52/07/2024</v>
          </cell>
          <cell r="D1918" t="str">
            <v>FRE</v>
          </cell>
        </row>
        <row r="1919">
          <cell r="B1919" t="str">
            <v>KHI/HO/D/MO/PC COMP/C/92394/53/07/2024</v>
          </cell>
          <cell r="D1919" t="str">
            <v>FRE</v>
          </cell>
        </row>
        <row r="1920">
          <cell r="B1920" t="str">
            <v>KHI/HO/D/MO/PC COMP/C/92394/54/07/2024</v>
          </cell>
          <cell r="D1920" t="str">
            <v>FRE</v>
          </cell>
        </row>
        <row r="1921">
          <cell r="B1921" t="str">
            <v>KHI/HO/D/MO/PC COMP/C/92394/55/07/2024</v>
          </cell>
          <cell r="D1921" t="str">
            <v>FRE</v>
          </cell>
        </row>
        <row r="1922">
          <cell r="B1922" t="str">
            <v>KHI/HO/D/MO/PC COMP/C/92394/56/07/2024</v>
          </cell>
          <cell r="D1922" t="str">
            <v>FRE</v>
          </cell>
        </row>
        <row r="1923">
          <cell r="B1923" t="str">
            <v>KHI/HO/D/MO/PC COMP/C/92394/57/07/2024</v>
          </cell>
          <cell r="D1923" t="str">
            <v>FRE</v>
          </cell>
        </row>
        <row r="1924">
          <cell r="B1924" t="str">
            <v>KHI/HO/D/MO/PC COMP/C/92394/58/07/2024</v>
          </cell>
          <cell r="D1924" t="str">
            <v>FRE</v>
          </cell>
        </row>
        <row r="1925">
          <cell r="B1925" t="str">
            <v>KHI/HO/D/MO/PC COMP/C/92394/59/07/2024</v>
          </cell>
          <cell r="D1925" t="str">
            <v>FRE</v>
          </cell>
        </row>
        <row r="1926">
          <cell r="B1926" t="str">
            <v>KHI/HO/D/MO/PC COMP/C/92394/60/07/2024</v>
          </cell>
          <cell r="D1926" t="str">
            <v>FRE</v>
          </cell>
        </row>
        <row r="1927">
          <cell r="B1927" t="str">
            <v>KHI/HO/D/MO/PC COMP/C/92394/61/07/2024</v>
          </cell>
          <cell r="D1927" t="str">
            <v>FRE</v>
          </cell>
        </row>
        <row r="1928">
          <cell r="B1928" t="str">
            <v>KHI/HO/D/MO/PC COMP/C/94819/1/08/2024</v>
          </cell>
          <cell r="D1928" t="str">
            <v>FRE</v>
          </cell>
        </row>
        <row r="1929">
          <cell r="B1929" t="str">
            <v>KHI/HO/D/MO/PC COMP/C/94819/2/08/2024</v>
          </cell>
          <cell r="D1929" t="str">
            <v>FRE</v>
          </cell>
        </row>
        <row r="1930">
          <cell r="B1930" t="str">
            <v>KHI/HO/D/MO/PC COMP/C/94819/3/08/2024</v>
          </cell>
          <cell r="D1930" t="str">
            <v>FRE</v>
          </cell>
        </row>
        <row r="1931">
          <cell r="B1931" t="str">
            <v>KHI/HO/D/MO/PC COMP/C/94819/4/08/2024</v>
          </cell>
          <cell r="D1931" t="str">
            <v>FRE</v>
          </cell>
        </row>
        <row r="1932">
          <cell r="B1932" t="str">
            <v>KHI/HO/D/MO/PC COMP/C/94819/5/08/2024</v>
          </cell>
          <cell r="D1932" t="str">
            <v>FRE</v>
          </cell>
        </row>
        <row r="1933">
          <cell r="B1933" t="str">
            <v>KHI/HO/D/MO/CV/C/95145/1/08/2024</v>
          </cell>
          <cell r="D1933" t="str">
            <v>REN</v>
          </cell>
        </row>
        <row r="1934">
          <cell r="B1934" t="str">
            <v>KHI/HO/D/MO/CV/C/95146/1/08/2024</v>
          </cell>
          <cell r="D1934" t="str">
            <v>REN</v>
          </cell>
        </row>
        <row r="1935">
          <cell r="B1935" t="str">
            <v>KHI/HO/D/MO/CV/C/95146/2/08/2024</v>
          </cell>
          <cell r="D1935" t="str">
            <v>REN</v>
          </cell>
        </row>
        <row r="1936">
          <cell r="B1936" t="str">
            <v>KHI/HO/D/MO/CV/C/95146/3/08/2024</v>
          </cell>
          <cell r="D1936" t="str">
            <v>REN</v>
          </cell>
        </row>
        <row r="1937">
          <cell r="B1937" t="str">
            <v>KHI/HO/D/MO/CV/C/95148/1/08/2024</v>
          </cell>
          <cell r="D1937" t="str">
            <v>REN</v>
          </cell>
        </row>
        <row r="1938">
          <cell r="B1938" t="str">
            <v>KHI/HO/D/MO/CV/C/95148/2/08/2024</v>
          </cell>
          <cell r="D1938" t="str">
            <v>REN</v>
          </cell>
        </row>
        <row r="1939">
          <cell r="B1939" t="str">
            <v>KHI/HO/D/MO/PC COMP/C/94819/6/08/2024</v>
          </cell>
          <cell r="D1939" t="str">
            <v>FRE</v>
          </cell>
        </row>
        <row r="1940">
          <cell r="B1940" t="str">
            <v>KHI/HO/D/MO/CV/C/95148/3/08/2024</v>
          </cell>
          <cell r="D1940" t="str">
            <v>REN</v>
          </cell>
        </row>
        <row r="1941">
          <cell r="B1941" t="str">
            <v>KHI/HO/D/MO/PC COMP/C/94819/7/08/2024</v>
          </cell>
          <cell r="D1941" t="str">
            <v>FRE</v>
          </cell>
        </row>
        <row r="1942">
          <cell r="B1942" t="str">
            <v>KHI/HO/D/MO/PC COMP/C/95193/1/08/2024</v>
          </cell>
          <cell r="D1942" t="str">
            <v>REN</v>
          </cell>
        </row>
        <row r="1943">
          <cell r="B1943" t="str">
            <v>KHI/HO/D/MO/PC COMP/C/95193/2/08/2024</v>
          </cell>
          <cell r="D1943" t="str">
            <v>REN</v>
          </cell>
        </row>
        <row r="1944">
          <cell r="B1944" t="str">
            <v>KHI/HO/D/MO/PC COMP/C/95193/3/08/2024</v>
          </cell>
          <cell r="D1944" t="str">
            <v>REN</v>
          </cell>
        </row>
        <row r="1945">
          <cell r="B1945" t="str">
            <v>KHI/HO/D/MO/PC COMP/C/95193/4/08/2024</v>
          </cell>
          <cell r="D1945" t="str">
            <v>REN</v>
          </cell>
        </row>
        <row r="1946">
          <cell r="B1946" t="str">
            <v>KHI/HO/D/MO/PC COMP/C/95193/5/08/2024</v>
          </cell>
          <cell r="D1946" t="str">
            <v>REN</v>
          </cell>
        </row>
        <row r="1947">
          <cell r="B1947" t="str">
            <v>KHI/HO/D/MO/PC COMP/C/95193/6/08/2024</v>
          </cell>
          <cell r="D1947" t="str">
            <v>REN</v>
          </cell>
        </row>
        <row r="1948">
          <cell r="B1948" t="str">
            <v>KHI/HO/D/MO/PC COMP/C/95193/7/08/2024</v>
          </cell>
          <cell r="D1948" t="str">
            <v>REN</v>
          </cell>
        </row>
        <row r="1949">
          <cell r="B1949" t="str">
            <v>KHI/HO/D/MO/PC COMP/C/95193/8/08/2024</v>
          </cell>
          <cell r="D1949" t="str">
            <v>REN</v>
          </cell>
        </row>
        <row r="1950">
          <cell r="B1950" t="str">
            <v>KHI/HO/D/MO/PC COMP/C/95193/9/08/2024</v>
          </cell>
          <cell r="D1950" t="str">
            <v>REN</v>
          </cell>
        </row>
        <row r="1951">
          <cell r="B1951" t="str">
            <v>KHI/HO/D/MO/PC COMP/C/95193/10/08/2024</v>
          </cell>
          <cell r="D1951" t="str">
            <v>REN</v>
          </cell>
        </row>
        <row r="1952">
          <cell r="B1952" t="str">
            <v>KHI/HO/D/MO/PC COMP/C/95193/11/08/2024</v>
          </cell>
          <cell r="D1952" t="str">
            <v>REN</v>
          </cell>
        </row>
        <row r="1953">
          <cell r="B1953" t="str">
            <v>KHI/HO/D/MO/PC COMP/C/95193/12/08/2024</v>
          </cell>
          <cell r="D1953" t="str">
            <v>REN</v>
          </cell>
        </row>
        <row r="1954">
          <cell r="B1954" t="str">
            <v>KHI/HO/D/MO/PC COMP/C/95193/13/08/2024</v>
          </cell>
          <cell r="D1954" t="str">
            <v>REN</v>
          </cell>
        </row>
        <row r="1955">
          <cell r="B1955" t="str">
            <v>KHI/HO/D/MO/PC COMP/C/95193/14/08/2024</v>
          </cell>
          <cell r="D1955" t="str">
            <v>REN</v>
          </cell>
        </row>
        <row r="1956">
          <cell r="B1956" t="str">
            <v>KHI/HO/D/MO/PC COMP/C/95193/15/08/2024</v>
          </cell>
          <cell r="D1956" t="str">
            <v>REN</v>
          </cell>
        </row>
        <row r="1957">
          <cell r="B1957" t="str">
            <v>KHI/HO/D/MO/PC COMP/C/95193/16/08/2024</v>
          </cell>
          <cell r="D1957" t="str">
            <v>REN</v>
          </cell>
        </row>
        <row r="1958">
          <cell r="B1958" t="str">
            <v>KHI/HO/D/MO/PC COMP/C/95193/17/08/2024</v>
          </cell>
          <cell r="D1958" t="str">
            <v>REN</v>
          </cell>
        </row>
        <row r="1959">
          <cell r="B1959" t="str">
            <v>KHI/HO/D/MO/PC COMP/C/95193/18/08/2024</v>
          </cell>
          <cell r="D1959" t="str">
            <v>REN</v>
          </cell>
        </row>
        <row r="1960">
          <cell r="B1960" t="str">
            <v>KHI/HO/D/MO/PC COMP/C/95193/19/08/2024</v>
          </cell>
          <cell r="D1960" t="str">
            <v>REN</v>
          </cell>
        </row>
        <row r="1961">
          <cell r="B1961" t="str">
            <v>KHI/HO/D/MO/PC COMP/C/95193/20/08/2024</v>
          </cell>
          <cell r="D1961" t="str">
            <v>REN</v>
          </cell>
        </row>
        <row r="1962">
          <cell r="B1962" t="str">
            <v>KHI/HO/D/MO/PC COMP/C/95193/21/08/2024</v>
          </cell>
          <cell r="D1962" t="str">
            <v>REN</v>
          </cell>
        </row>
        <row r="1963">
          <cell r="B1963" t="str">
            <v>KHI/HO/D/MO/PC COMP/C/95193/22/08/2024</v>
          </cell>
          <cell r="D1963" t="str">
            <v>REN</v>
          </cell>
        </row>
        <row r="1964">
          <cell r="B1964" t="str">
            <v>KHI/HO/D/MO/PC COMP/C/95193/23/08/2024</v>
          </cell>
          <cell r="D1964" t="str">
            <v>REN</v>
          </cell>
        </row>
        <row r="1965">
          <cell r="B1965" t="str">
            <v>KHI/HO/D/MO/PC COMP/C/95193/24/08/2024</v>
          </cell>
          <cell r="D1965" t="str">
            <v>REN</v>
          </cell>
        </row>
        <row r="1966">
          <cell r="B1966" t="str">
            <v>KHI/HO/D/MO/PC COMP/C/95193/25/08/2024</v>
          </cell>
          <cell r="D1966" t="str">
            <v>REN</v>
          </cell>
        </row>
        <row r="1967">
          <cell r="B1967" t="str">
            <v>KHI/HO/D/MO/PC COMP/C/95193/26/08/2024</v>
          </cell>
          <cell r="D1967" t="str">
            <v>REN</v>
          </cell>
        </row>
        <row r="1968">
          <cell r="B1968" t="str">
            <v>KHI/HO/D/MO/PC COMP/C/95193/27/08/2024</v>
          </cell>
          <cell r="D1968" t="str">
            <v>REN</v>
          </cell>
        </row>
        <row r="1969">
          <cell r="B1969" t="str">
            <v>KHI/HO/D/MO/PC COMP/C/95193/28/08/2024</v>
          </cell>
          <cell r="D1969" t="str">
            <v>REN</v>
          </cell>
        </row>
        <row r="1970">
          <cell r="B1970" t="str">
            <v>KHI/HO/D/MO/PC COMP/C/95193/29/08/2024</v>
          </cell>
          <cell r="D1970" t="str">
            <v>REN</v>
          </cell>
        </row>
        <row r="1971">
          <cell r="B1971" t="str">
            <v>KHI/HO/D/MO/PC COMP/C/95193/30/08/2024</v>
          </cell>
          <cell r="D1971" t="str">
            <v>REN</v>
          </cell>
        </row>
        <row r="1972">
          <cell r="B1972" t="str">
            <v>KHI/HO/D/MO/PC COMP/C/95193/31/08/2024</v>
          </cell>
          <cell r="D1972" t="str">
            <v>REN</v>
          </cell>
        </row>
        <row r="1973">
          <cell r="B1973" t="str">
            <v>KHI/HO/D/MO/PC COMP/C/95193/32/08/2024</v>
          </cell>
          <cell r="D1973" t="str">
            <v>REN</v>
          </cell>
        </row>
        <row r="1974">
          <cell r="B1974" t="str">
            <v>KHI/HO/D/MO/PC COMP/C/95193/33/08/2024</v>
          </cell>
          <cell r="D1974" t="str">
            <v>REN</v>
          </cell>
        </row>
        <row r="1975">
          <cell r="B1975" t="str">
            <v>KHI/HO/D/MO/PC COMP/C/95193/34/08/2024</v>
          </cell>
          <cell r="D1975" t="str">
            <v>REN</v>
          </cell>
        </row>
        <row r="1976">
          <cell r="B1976" t="str">
            <v>KHI/HO/D/MO/PC COMP/C/95193/35/08/2024</v>
          </cell>
          <cell r="D1976" t="str">
            <v>REN</v>
          </cell>
        </row>
        <row r="1977">
          <cell r="B1977" t="str">
            <v>KHI/HO/D/MO/PC COMP/C/94819/8/08/2024</v>
          </cell>
          <cell r="D1977" t="str">
            <v>FRE</v>
          </cell>
        </row>
        <row r="1978">
          <cell r="B1978" t="str">
            <v>KHI/HO/D/MO/PC COMP/C/94819/9/08/2024</v>
          </cell>
          <cell r="D1978" t="str">
            <v>FRE</v>
          </cell>
        </row>
        <row r="1979">
          <cell r="B1979" t="str">
            <v>KHI/HO/D/MO/PC COMP/C/94819/10/08/2024</v>
          </cell>
          <cell r="D1979" t="str">
            <v>FRE</v>
          </cell>
        </row>
        <row r="1980">
          <cell r="B1980" t="str">
            <v>KHI/HO/D/MO/PC COMP/C/95230/1/08/2024</v>
          </cell>
          <cell r="D1980" t="str">
            <v>REN</v>
          </cell>
        </row>
        <row r="1981">
          <cell r="B1981" t="str">
            <v>KHI/HO/D/MO/PC COMP/C/95230/2/08/2024</v>
          </cell>
          <cell r="D1981" t="str">
            <v>REN</v>
          </cell>
        </row>
        <row r="1982">
          <cell r="B1982" t="str">
            <v>KHI/HO/D/MO/PC COMP/C/95230/3/08/2024</v>
          </cell>
          <cell r="D1982" t="str">
            <v>REN</v>
          </cell>
        </row>
        <row r="1983">
          <cell r="B1983" t="str">
            <v>KHI/HO/D/MO/PC COMP/C/95230/4/08/2024</v>
          </cell>
          <cell r="D1983" t="str">
            <v>REN</v>
          </cell>
        </row>
        <row r="1984">
          <cell r="B1984" t="str">
            <v>KHI/HO/D/MO/PC COMP/C/95230/5/08/2024</v>
          </cell>
          <cell r="D1984" t="str">
            <v>REN</v>
          </cell>
        </row>
        <row r="1985">
          <cell r="B1985" t="str">
            <v>KHI/HO/D/MO/PC COMP/C/95230/6/08/2024</v>
          </cell>
          <cell r="D1985" t="str">
            <v>REN</v>
          </cell>
        </row>
        <row r="1986">
          <cell r="B1986" t="str">
            <v>KHI/HO/D/MO/PC COMP/C/95230/7/08/2024</v>
          </cell>
          <cell r="D1986" t="str">
            <v>REN</v>
          </cell>
        </row>
        <row r="1987">
          <cell r="B1987" t="str">
            <v>KHI/HO/D/MO/PC COMP/C/95230/8/08/2024</v>
          </cell>
          <cell r="D1987" t="str">
            <v>REN</v>
          </cell>
        </row>
        <row r="1988">
          <cell r="B1988" t="str">
            <v>KHI/HO/D/MO/PC COMP/C/95230/9/08/2024</v>
          </cell>
          <cell r="D1988" t="str">
            <v>REN</v>
          </cell>
        </row>
        <row r="1989">
          <cell r="B1989" t="str">
            <v>KHI/HO/D/MO/PC COMP/C/95230/10/08/2024</v>
          </cell>
          <cell r="D1989" t="str">
            <v>REN</v>
          </cell>
        </row>
        <row r="1990">
          <cell r="B1990" t="str">
            <v>KHI/HO/D/MO/PC COMP/C/95230/11/08/2024</v>
          </cell>
          <cell r="D1990" t="str">
            <v>REN</v>
          </cell>
        </row>
        <row r="1991">
          <cell r="B1991" t="str">
            <v>KHI/HO/D/MO/PC COMP/C/95230/12/08/2024</v>
          </cell>
          <cell r="D1991" t="str">
            <v>REN</v>
          </cell>
        </row>
        <row r="1992">
          <cell r="B1992" t="str">
            <v>KHI/HO/D/MO/PC COMP/C/95230/13/08/2024</v>
          </cell>
          <cell r="D1992" t="str">
            <v>REN</v>
          </cell>
        </row>
        <row r="1993">
          <cell r="B1993" t="str">
            <v>KHI/HO/D/MO/PC COMP/C/95230/14/08/2024</v>
          </cell>
          <cell r="D1993" t="str">
            <v>REN</v>
          </cell>
        </row>
        <row r="1994">
          <cell r="B1994" t="str">
            <v>KHI/HO/D/MO/PC COMP/C/95230/15/08/2024</v>
          </cell>
          <cell r="D1994" t="str">
            <v>REN</v>
          </cell>
        </row>
        <row r="1995">
          <cell r="B1995" t="str">
            <v>KHI/HO/D/MO/PC COMP/C/95230/16/08/2024</v>
          </cell>
          <cell r="D1995" t="str">
            <v>REN</v>
          </cell>
        </row>
        <row r="1996">
          <cell r="B1996" t="str">
            <v>KHI/HO/D/MO/PC COMP/C/95230/17/08/2024</v>
          </cell>
          <cell r="D1996" t="str">
            <v>REN</v>
          </cell>
        </row>
        <row r="1997">
          <cell r="B1997" t="str">
            <v>KHI/HO/D/MO/PC COMP/C/95230/18/08/2024</v>
          </cell>
          <cell r="D1997" t="str">
            <v>REN</v>
          </cell>
        </row>
        <row r="1998">
          <cell r="B1998" t="str">
            <v>KHI/HO/D/MO/PC COMP/C/95230/19/08/2024</v>
          </cell>
          <cell r="D1998" t="str">
            <v>REN</v>
          </cell>
        </row>
        <row r="1999">
          <cell r="B1999" t="str">
            <v>KHI/HO/D/MO/PC COMP/C/95230/20/08/2024</v>
          </cell>
          <cell r="D1999" t="str">
            <v>REN</v>
          </cell>
        </row>
        <row r="2000">
          <cell r="B2000" t="str">
            <v>KHI/HO/D/MO/PC COMP/C/95230/21/08/2024</v>
          </cell>
          <cell r="D2000" t="str">
            <v>REN</v>
          </cell>
        </row>
        <row r="2001">
          <cell r="B2001" t="str">
            <v>KHI/HO/D/MO/PC COMP/C/95230/22/08/2024</v>
          </cell>
          <cell r="D2001" t="str">
            <v>REN</v>
          </cell>
        </row>
        <row r="2002">
          <cell r="B2002" t="str">
            <v>KHI/HO/D/MO/PC COMP/C/95230/23/08/2024</v>
          </cell>
          <cell r="D2002" t="str">
            <v>REN</v>
          </cell>
        </row>
        <row r="2003">
          <cell r="B2003" t="str">
            <v>KHI/HO/D/MO/PC COMP/C/95230/24/08/2024</v>
          </cell>
          <cell r="D2003" t="str">
            <v>REN</v>
          </cell>
        </row>
        <row r="2004">
          <cell r="B2004" t="str">
            <v>KHI/HO/D/MO/PC COMP/C/95230/25/08/2024</v>
          </cell>
          <cell r="D2004" t="str">
            <v>REN</v>
          </cell>
        </row>
        <row r="2005">
          <cell r="B2005" t="str">
            <v>KHI/HO/D/MO/PC COMP/C/95230/26/08/2024</v>
          </cell>
          <cell r="D2005" t="str">
            <v>REN</v>
          </cell>
        </row>
        <row r="2006">
          <cell r="B2006" t="str">
            <v>KHI/HO/D/MO/PC COMP/C/95230/27/08/2024</v>
          </cell>
          <cell r="D2006" t="str">
            <v>REN</v>
          </cell>
        </row>
        <row r="2007">
          <cell r="B2007" t="str">
            <v>KHI/HO/D/MO/PC COMP/C/95230/28/08/2024</v>
          </cell>
          <cell r="D2007" t="str">
            <v>REN</v>
          </cell>
        </row>
        <row r="2008">
          <cell r="B2008" t="str">
            <v>KHI/HO/D/MO/PC COMP/C/95230/29/08/2024</v>
          </cell>
          <cell r="D2008" t="str">
            <v>REN</v>
          </cell>
        </row>
        <row r="2009">
          <cell r="B2009" t="str">
            <v>KHI/HO/D/MO/PC COMP/C/95230/30/08/2024</v>
          </cell>
          <cell r="D2009" t="str">
            <v>REN</v>
          </cell>
        </row>
        <row r="2010">
          <cell r="B2010" t="str">
            <v>KHI/HO/D/MO/PC COMP/C/95230/31/08/2024</v>
          </cell>
          <cell r="D2010" t="str">
            <v>REN</v>
          </cell>
        </row>
        <row r="2011">
          <cell r="B2011" t="str">
            <v>KHI/HO/D/MO/PC COMP/C/95230/32/08/2024</v>
          </cell>
          <cell r="D2011" t="str">
            <v>REN</v>
          </cell>
        </row>
        <row r="2012">
          <cell r="B2012" t="str">
            <v>KHI/HO/D/MO/PC COMP/C/95230/33/08/2024</v>
          </cell>
          <cell r="D2012" t="str">
            <v>REN</v>
          </cell>
        </row>
        <row r="2013">
          <cell r="B2013" t="str">
            <v>KHI/HO/D/MO/PC COMP/C/95230/34/08/2024</v>
          </cell>
          <cell r="D2013" t="str">
            <v>REN</v>
          </cell>
        </row>
        <row r="2014">
          <cell r="B2014" t="str">
            <v>KHI/HO/D/MO/PC COMP/C/95230/35/08/2024</v>
          </cell>
          <cell r="D2014" t="str">
            <v>REN</v>
          </cell>
        </row>
        <row r="2015">
          <cell r="B2015" t="str">
            <v>KHI/HO/D/MO/PC COMP/C/95230/36/08/2024</v>
          </cell>
          <cell r="D2015" t="str">
            <v>REN</v>
          </cell>
        </row>
        <row r="2016">
          <cell r="B2016" t="str">
            <v>KHI/HO/D/MO/PC COMP/C/95230/37/08/2024</v>
          </cell>
          <cell r="D2016" t="str">
            <v>REN</v>
          </cell>
        </row>
        <row r="2017">
          <cell r="B2017" t="str">
            <v>KHI/HO/D/MO/PC COMP/C/95230/38/08/2024</v>
          </cell>
          <cell r="D2017" t="str">
            <v>REN</v>
          </cell>
        </row>
        <row r="2018">
          <cell r="B2018" t="str">
            <v>KHI/HO/D/MO/PC COMP/C/95230/39/08/2024</v>
          </cell>
          <cell r="D2018" t="str">
            <v>REN</v>
          </cell>
        </row>
        <row r="2019">
          <cell r="B2019" t="str">
            <v>KHI/HO/D/MO/PC COMP/C/95230/40/08/2024</v>
          </cell>
          <cell r="D2019" t="str">
            <v>REN</v>
          </cell>
        </row>
        <row r="2020">
          <cell r="B2020" t="str">
            <v>KHI/HO/D/MO/PC COMP/C/95230/41/08/2024</v>
          </cell>
          <cell r="D2020" t="str">
            <v>REN</v>
          </cell>
        </row>
        <row r="2021">
          <cell r="B2021" t="str">
            <v>KHI/HO/D/MO/PC COMP/C/95230/42/08/2024</v>
          </cell>
          <cell r="D2021" t="str">
            <v>REN</v>
          </cell>
        </row>
        <row r="2022">
          <cell r="B2022" t="str">
            <v>KHI/HO/D/MO/PC COMP/C/95230/43/08/2024</v>
          </cell>
          <cell r="D2022" t="str">
            <v>REN</v>
          </cell>
        </row>
        <row r="2023">
          <cell r="B2023" t="str">
            <v>KHI/HO/D/MO/PC COMP/C/95230/44/08/2024</v>
          </cell>
          <cell r="D2023" t="str">
            <v>REN</v>
          </cell>
        </row>
        <row r="2024">
          <cell r="B2024" t="str">
            <v>KHI/HO/D/MO/PC COMP/C/95230/45/08/2024</v>
          </cell>
          <cell r="D2024" t="str">
            <v>REN</v>
          </cell>
        </row>
        <row r="2025">
          <cell r="B2025" t="str">
            <v>KHI/HO/D/MO/PC COMP/C/95230/46/08/2024</v>
          </cell>
          <cell r="D2025" t="str">
            <v>REN</v>
          </cell>
        </row>
        <row r="2026">
          <cell r="B2026" t="str">
            <v>KHI/HO/D/MO/PC COMP/C/95230/47/08/2024</v>
          </cell>
          <cell r="D2026" t="str">
            <v>REN</v>
          </cell>
        </row>
        <row r="2027">
          <cell r="B2027" t="str">
            <v>KHI/HO/D/MO/PC COMP/C/95230/48/08/2024</v>
          </cell>
          <cell r="D2027" t="str">
            <v>REN</v>
          </cell>
        </row>
        <row r="2028">
          <cell r="B2028" t="str">
            <v>KHI/HO/D/MO/PC COMP/C/95230/49/08/2024</v>
          </cell>
          <cell r="D2028" t="str">
            <v>REN</v>
          </cell>
        </row>
        <row r="2029">
          <cell r="B2029" t="str">
            <v>KHI/HO/D/MO/PC COMP/C/95230/50/08/2024</v>
          </cell>
          <cell r="D2029" t="str">
            <v>REN</v>
          </cell>
        </row>
        <row r="2030">
          <cell r="B2030" t="str">
            <v>KHI/HO/D/MO/PC COMP/C/95230/51/08/2024</v>
          </cell>
          <cell r="D2030" t="str">
            <v>REN</v>
          </cell>
        </row>
        <row r="2031">
          <cell r="B2031" t="str">
            <v>KHI/HO/D/MO/PC COMP/C/95230/52/08/2024</v>
          </cell>
          <cell r="D2031" t="str">
            <v>REN</v>
          </cell>
        </row>
        <row r="2032">
          <cell r="B2032" t="str">
            <v>KHI/HO/D/MO/PC COMP/C/95230/53/08/2024</v>
          </cell>
          <cell r="D2032" t="str">
            <v>REN</v>
          </cell>
        </row>
        <row r="2033">
          <cell r="B2033" t="str">
            <v>KHI/HO/D/MO/PC COMP/C/95230/54/08/2024</v>
          </cell>
          <cell r="D2033" t="str">
            <v>REN</v>
          </cell>
        </row>
        <row r="2034">
          <cell r="B2034" t="str">
            <v>KHI/HO/D/MO/PC COMP/C/95230/55/08/2024</v>
          </cell>
          <cell r="D2034" t="str">
            <v>REN</v>
          </cell>
        </row>
        <row r="2035">
          <cell r="B2035" t="str">
            <v>KHI/HO/D/MO/PC COMP/C/95230/56/08/2024</v>
          </cell>
          <cell r="D2035" t="str">
            <v>REN</v>
          </cell>
        </row>
        <row r="2036">
          <cell r="B2036" t="str">
            <v>KHI/HO/D/MO/PC COMP/C/95230/57/08/2024</v>
          </cell>
          <cell r="D2036" t="str">
            <v>REN</v>
          </cell>
        </row>
        <row r="2037">
          <cell r="B2037" t="str">
            <v>KHI/HO/D/MO/PC COMP/C/95230/58/08/2024</v>
          </cell>
          <cell r="D2037" t="str">
            <v>REN</v>
          </cell>
        </row>
        <row r="2038">
          <cell r="B2038" t="str">
            <v>KHI/HO/D/MO/PC COMP/C/95230/59/08/2024</v>
          </cell>
          <cell r="D2038" t="str">
            <v>REN</v>
          </cell>
        </row>
        <row r="2039">
          <cell r="B2039" t="str">
            <v>KHI/HO/D/MO/PC COMP/C/95230/60/08/2024</v>
          </cell>
          <cell r="D2039" t="str">
            <v>REN</v>
          </cell>
        </row>
        <row r="2040">
          <cell r="B2040" t="str">
            <v>KHI/HO/D/MO/PC COMP/C/95230/61/08/2024</v>
          </cell>
          <cell r="D2040" t="str">
            <v>REN</v>
          </cell>
        </row>
        <row r="2041">
          <cell r="B2041" t="str">
            <v>KHI/HO/D/MO/PC COMP/C/95230/62/08/2024</v>
          </cell>
          <cell r="D2041" t="str">
            <v>REN</v>
          </cell>
        </row>
        <row r="2042">
          <cell r="B2042" t="str">
            <v>KHI/HO/D/MO/PC COMP/C/95230/63/08/2024</v>
          </cell>
          <cell r="D2042" t="str">
            <v>REN</v>
          </cell>
        </row>
        <row r="2043">
          <cell r="B2043" t="str">
            <v>KHI/HO/D/MO/PC COMP/C/95231/1/08/2024</v>
          </cell>
          <cell r="D2043" t="str">
            <v>REN</v>
          </cell>
        </row>
        <row r="2044">
          <cell r="B2044" t="str">
            <v>KHI/HO/D/MO/PC COMP/C/95231/2/08/2024</v>
          </cell>
          <cell r="D2044" t="str">
            <v>REN</v>
          </cell>
        </row>
        <row r="2045">
          <cell r="B2045" t="str">
            <v>KHI/HO/D/MO/PC COMP/C/95231/3/08/2024</v>
          </cell>
          <cell r="D2045" t="str">
            <v>REN</v>
          </cell>
        </row>
        <row r="2046">
          <cell r="B2046" t="str">
            <v>KHI/HO/D/MO/PC COMP/C/95231/4/08/2024</v>
          </cell>
          <cell r="D2046" t="str">
            <v>REN</v>
          </cell>
        </row>
        <row r="2047">
          <cell r="B2047" t="str">
            <v>KHI/HO/D/MO/PC COMP/C/95231/5/08/2024</v>
          </cell>
          <cell r="D2047" t="str">
            <v>REN</v>
          </cell>
        </row>
        <row r="2048">
          <cell r="B2048" t="str">
            <v>KHI/HO/D/MO/PC COMP/C/95231/6/08/2024</v>
          </cell>
          <cell r="D2048" t="str">
            <v>REN</v>
          </cell>
        </row>
        <row r="2049">
          <cell r="B2049" t="str">
            <v>KHI/HO/D/MO/PC COMP/C/95231/7/08/2024</v>
          </cell>
          <cell r="D2049" t="str">
            <v>REN</v>
          </cell>
        </row>
        <row r="2050">
          <cell r="B2050" t="str">
            <v>KHI/HO/D/MO/PC COMP/C/95231/8/08/2024</v>
          </cell>
          <cell r="D2050" t="str">
            <v>REN</v>
          </cell>
        </row>
        <row r="2051">
          <cell r="B2051" t="str">
            <v>KHI/HO/D/MO/PC COMP/C/95231/9/08/2024</v>
          </cell>
          <cell r="D2051" t="str">
            <v>REN</v>
          </cell>
        </row>
        <row r="2052">
          <cell r="B2052" t="str">
            <v>KHI/HO/D/MO/PC COMP/C/95231/10/08/2024</v>
          </cell>
          <cell r="D2052" t="str">
            <v>REN</v>
          </cell>
        </row>
        <row r="2053">
          <cell r="B2053" t="str">
            <v>KHI/HO/D/MO/PC COMP/C/95231/11/08/2024</v>
          </cell>
          <cell r="D2053" t="str">
            <v>REN</v>
          </cell>
        </row>
        <row r="2054">
          <cell r="B2054" t="str">
            <v>KHI/HO/D/MO/PC COMP/C/95231/12/08/2024</v>
          </cell>
          <cell r="D2054" t="str">
            <v>REN</v>
          </cell>
        </row>
        <row r="2055">
          <cell r="B2055" t="str">
            <v>KHI/HO/D/MO/PC COMP/C/95231/13/08/2024</v>
          </cell>
          <cell r="D2055" t="str">
            <v>REN</v>
          </cell>
        </row>
        <row r="2056">
          <cell r="B2056" t="str">
            <v>KHI/HO/D/MO/PC COMP/C/95231/14/08/2024</v>
          </cell>
          <cell r="D2056" t="str">
            <v>REN</v>
          </cell>
        </row>
        <row r="2057">
          <cell r="B2057" t="str">
            <v>KHI/HO/D/MO/PC COMP/C/95231/15/08/2024</v>
          </cell>
          <cell r="D2057" t="str">
            <v>REN</v>
          </cell>
        </row>
        <row r="2058">
          <cell r="B2058" t="str">
            <v>KHI/HO/D/MO/PC COMP/C/95231/16/08/2024</v>
          </cell>
          <cell r="D2058" t="str">
            <v>REN</v>
          </cell>
        </row>
        <row r="2059">
          <cell r="B2059" t="str">
            <v>KHI/HO/D/MO/PC COMP/C/95231/17/08/2024</v>
          </cell>
          <cell r="D2059" t="str">
            <v>REN</v>
          </cell>
        </row>
        <row r="2060">
          <cell r="B2060" t="str">
            <v>KHI/HO/D/MO/PC COMP/C/95231/18/08/2024</v>
          </cell>
          <cell r="D2060" t="str">
            <v>REN</v>
          </cell>
        </row>
        <row r="2061">
          <cell r="B2061" t="str">
            <v>KHI/HO/D/MO/PC COMP/C/95231/19/08/2024</v>
          </cell>
          <cell r="D2061" t="str">
            <v>REN</v>
          </cell>
        </row>
        <row r="2062">
          <cell r="B2062" t="str">
            <v>KHI/HO/D/MO/PC COMP/C/95231/20/08/2024</v>
          </cell>
          <cell r="D2062" t="str">
            <v>REN</v>
          </cell>
        </row>
        <row r="2063">
          <cell r="B2063" t="str">
            <v>KHI/HO/D/MO/PC COMP/C/95231/21/08/2024</v>
          </cell>
          <cell r="D2063" t="str">
            <v>REN</v>
          </cell>
        </row>
        <row r="2064">
          <cell r="B2064" t="str">
            <v>KHI/HO/D/MO/PC COMP/C/95231/22/08/2024</v>
          </cell>
          <cell r="D2064" t="str">
            <v>REN</v>
          </cell>
        </row>
        <row r="2065">
          <cell r="B2065" t="str">
            <v>KHI/HO/D/MO/PC COMP/C/95231/23/08/2024</v>
          </cell>
          <cell r="D2065" t="str">
            <v>REN</v>
          </cell>
        </row>
        <row r="2066">
          <cell r="B2066" t="str">
            <v>KHI/HO/D/MO/PC COMP/C/95231/24/08/2024</v>
          </cell>
          <cell r="D2066" t="str">
            <v>REN</v>
          </cell>
        </row>
        <row r="2067">
          <cell r="B2067" t="str">
            <v>KHI/HO/D/MO/PC COMP/C/95231/25/08/2024</v>
          </cell>
          <cell r="D2067" t="str">
            <v>REN</v>
          </cell>
        </row>
        <row r="2068">
          <cell r="B2068" t="str">
            <v>KHI/HO/D/MO/PC COMP/C/95231/26/08/2024</v>
          </cell>
          <cell r="D2068" t="str">
            <v>REN</v>
          </cell>
        </row>
        <row r="2069">
          <cell r="B2069" t="str">
            <v>KHI/HO/D/MO/PC COMP/C/95231/27/08/2024</v>
          </cell>
          <cell r="D2069" t="str">
            <v>REN</v>
          </cell>
        </row>
        <row r="2070">
          <cell r="B2070" t="str">
            <v>KHI/HO/D/MO/PC COMP/C/95231/28/08/2024</v>
          </cell>
          <cell r="D2070" t="str">
            <v>REN</v>
          </cell>
        </row>
        <row r="2071">
          <cell r="B2071" t="str">
            <v>KHI/HO/D/MO/PC COMP/C/95231/29/08/2024</v>
          </cell>
          <cell r="D2071" t="str">
            <v>REN</v>
          </cell>
        </row>
        <row r="2072">
          <cell r="B2072" t="str">
            <v>KHI/HO/D/MO/PC COMP/C/95231/30/08/2024</v>
          </cell>
          <cell r="D2072" t="str">
            <v>REN</v>
          </cell>
        </row>
        <row r="2073">
          <cell r="B2073" t="str">
            <v>KHI/HO/D/MO/PC COMP/C/95231/31/08/2024</v>
          </cell>
          <cell r="D2073" t="str">
            <v>REN</v>
          </cell>
        </row>
        <row r="2074">
          <cell r="B2074" t="str">
            <v>KHI/HO/D/MO/PC COMP/C/95231/32/08/2024</v>
          </cell>
          <cell r="D2074" t="str">
            <v>REN</v>
          </cell>
        </row>
        <row r="2075">
          <cell r="B2075" t="str">
            <v>KHI/HO/D/MO/PC COMP/C/95231/33/08/2024</v>
          </cell>
          <cell r="D2075" t="str">
            <v>REN</v>
          </cell>
        </row>
        <row r="2076">
          <cell r="B2076" t="str">
            <v>KHI/HO/D/MO/PC COMP/C/95231/34/08/2024</v>
          </cell>
          <cell r="D2076" t="str">
            <v>REN</v>
          </cell>
        </row>
        <row r="2077">
          <cell r="B2077" t="str">
            <v>KHI/HO/D/MO/PC COMP/C/95231/35/08/2024</v>
          </cell>
          <cell r="D2077" t="str">
            <v>REN</v>
          </cell>
        </row>
        <row r="2078">
          <cell r="B2078" t="str">
            <v>KHI/HO/D/MO/PC COMP/C/95231/36/08/2024</v>
          </cell>
          <cell r="D2078" t="str">
            <v>REN</v>
          </cell>
        </row>
        <row r="2079">
          <cell r="B2079" t="str">
            <v>KHI/HO/D/MO/PC COMP/C/95233/1/08/2024</v>
          </cell>
          <cell r="D2079" t="str">
            <v>REN</v>
          </cell>
        </row>
        <row r="2080">
          <cell r="B2080" t="str">
            <v>KHI/HO/D/MO/PC COMP/C/95233/2/08/2024</v>
          </cell>
          <cell r="D2080" t="str">
            <v>REN</v>
          </cell>
        </row>
        <row r="2081">
          <cell r="B2081" t="str">
            <v>KHI/HO/D/MO/PC COMP/C/95233/3/08/2024</v>
          </cell>
          <cell r="D2081" t="str">
            <v>REN</v>
          </cell>
        </row>
        <row r="2082">
          <cell r="B2082" t="str">
            <v>KHI/HO/D/MO/PC COMP/C/95233/4/08/2024</v>
          </cell>
          <cell r="D2082" t="str">
            <v>REN</v>
          </cell>
        </row>
        <row r="2083">
          <cell r="B2083" t="str">
            <v>KHI/HO/D/MO/PC COMP/C/95233/5/08/2024</v>
          </cell>
          <cell r="D2083" t="str">
            <v>REN</v>
          </cell>
        </row>
        <row r="2084">
          <cell r="B2084" t="str">
            <v>KHI/HO/D/MO/PC COMP/C/95233/6/08/2024</v>
          </cell>
          <cell r="D2084" t="str">
            <v>REN</v>
          </cell>
        </row>
        <row r="2085">
          <cell r="B2085" t="str">
            <v>KHI/HO/D/MO/PC COMP/C/95233/7/08/2024</v>
          </cell>
          <cell r="D2085" t="str">
            <v>REN</v>
          </cell>
        </row>
        <row r="2086">
          <cell r="B2086" t="str">
            <v>KHI/HO/D/MO/PC COMP/C/95233/8/08/2024</v>
          </cell>
          <cell r="D2086" t="str">
            <v>REN</v>
          </cell>
        </row>
        <row r="2087">
          <cell r="B2087" t="str">
            <v>KHI/HO/D/MO/PC COMP/C/95233/9/08/2024</v>
          </cell>
          <cell r="D2087" t="str">
            <v>REN</v>
          </cell>
        </row>
        <row r="2088">
          <cell r="B2088" t="str">
            <v>KHI/HO/D/MO/PC COMP/C/95233/10/08/2024</v>
          </cell>
          <cell r="D2088" t="str">
            <v>REN</v>
          </cell>
        </row>
        <row r="2089">
          <cell r="B2089" t="str">
            <v>KHI/HO/D/MO/PC COMP/C/95233/11/08/2024</v>
          </cell>
          <cell r="D2089" t="str">
            <v>REN</v>
          </cell>
        </row>
        <row r="2090">
          <cell r="B2090" t="str">
            <v>KHI/HO/D/MO/PC COMP/C/95233/12/08/2024</v>
          </cell>
          <cell r="D2090" t="str">
            <v>REN</v>
          </cell>
        </row>
        <row r="2091">
          <cell r="B2091" t="str">
            <v>KHI/HO/D/MO/PC COMP/C/95233/13/08/2024</v>
          </cell>
          <cell r="D2091" t="str">
            <v>REN</v>
          </cell>
        </row>
        <row r="2092">
          <cell r="B2092" t="str">
            <v>KHI/HO/D/MO/PC COMP/C/95233/14/08/2024</v>
          </cell>
          <cell r="D2092" t="str">
            <v>REN</v>
          </cell>
        </row>
        <row r="2093">
          <cell r="B2093" t="str">
            <v>KHI/HO/D/MO/PC COMP/C/95233/15/08/2024</v>
          </cell>
          <cell r="D2093" t="str">
            <v>REN</v>
          </cell>
        </row>
        <row r="2094">
          <cell r="B2094" t="str">
            <v>KHI/HO/D/MO/PC COMP/C/95233/16/08/2024</v>
          </cell>
          <cell r="D2094" t="str">
            <v>REN</v>
          </cell>
        </row>
        <row r="2095">
          <cell r="B2095" t="str">
            <v>KHI/HO/D/MO/PC COMP/C/95233/17/08/2024</v>
          </cell>
          <cell r="D2095" t="str">
            <v>REN</v>
          </cell>
        </row>
        <row r="2096">
          <cell r="B2096" t="str">
            <v>KHI/HO/D/MO/PC COMP/C/95233/18/08/2024</v>
          </cell>
          <cell r="D2096" t="str">
            <v>REN</v>
          </cell>
        </row>
        <row r="2097">
          <cell r="B2097" t="str">
            <v>KHI/HO/D/MO/PC COMP/C/95234/1/08/2024</v>
          </cell>
          <cell r="D2097" t="str">
            <v>REN</v>
          </cell>
        </row>
        <row r="2098">
          <cell r="B2098" t="str">
            <v>KHI/HO/D/MO/PC COMP/C/95234/2/08/2024</v>
          </cell>
          <cell r="D2098" t="str">
            <v>REN</v>
          </cell>
        </row>
        <row r="2099">
          <cell r="B2099" t="str">
            <v>KHI/HO/D/MO/PC COMP/C/95236/1/08/2024</v>
          </cell>
          <cell r="D2099" t="str">
            <v>REN</v>
          </cell>
        </row>
        <row r="2100">
          <cell r="B2100" t="str">
            <v>KHI/HO/D/MO/PC COMP/C/95236/2/08/2024</v>
          </cell>
          <cell r="D2100" t="str">
            <v>REN</v>
          </cell>
        </row>
        <row r="2101">
          <cell r="B2101" t="str">
            <v>KHI/HO/D/MO/PC COMP/C/95236/3/08/2024</v>
          </cell>
          <cell r="D2101" t="str">
            <v>REN</v>
          </cell>
        </row>
        <row r="2102">
          <cell r="B2102" t="str">
            <v>KHI/HO/D/MO/PC COMP/C/95236/4/08/2024</v>
          </cell>
          <cell r="D2102" t="str">
            <v>REN</v>
          </cell>
        </row>
        <row r="2103">
          <cell r="B2103" t="str">
            <v>KHI/HO/D/MO/PC COMP/C/95236/5/08/2024</v>
          </cell>
          <cell r="D2103" t="str">
            <v>REN</v>
          </cell>
        </row>
        <row r="2104">
          <cell r="B2104" t="str">
            <v>KHI/HO/D/MO/PC COMP/C/95236/6/08/2024</v>
          </cell>
          <cell r="D2104" t="str">
            <v>REN</v>
          </cell>
        </row>
        <row r="2105">
          <cell r="B2105" t="str">
            <v>KHI/HO/D/MO/PC COMP/C/95236/7/08/2024</v>
          </cell>
          <cell r="D2105" t="str">
            <v>REN</v>
          </cell>
        </row>
        <row r="2106">
          <cell r="B2106" t="str">
            <v>KHI/HO/D/MO/PC COMP/C/94819/11/08/2024</v>
          </cell>
          <cell r="D2106" t="str">
            <v>FRE</v>
          </cell>
        </row>
        <row r="2107">
          <cell r="B2107" t="str">
            <v>KHI/HO/D/MO/PC COMP/C/94819/12/08/2024</v>
          </cell>
          <cell r="D2107" t="str">
            <v>FRE</v>
          </cell>
        </row>
        <row r="2108">
          <cell r="B2108" t="str">
            <v>KHI/HO/D/MO/PC COMP/C/95236/8/08/2024</v>
          </cell>
          <cell r="D2108" t="str">
            <v>REN</v>
          </cell>
        </row>
        <row r="2109">
          <cell r="B2109" t="str">
            <v>KHI/HO/D/MO/PC COMP/C/94819/13/08/2024</v>
          </cell>
          <cell r="D2109" t="str">
            <v>FRE</v>
          </cell>
        </row>
        <row r="2110">
          <cell r="B2110" t="str">
            <v>KHI/HO/D/MO/PC COMP/C/94819/14/08/2024</v>
          </cell>
          <cell r="D2110" t="str">
            <v>FRE</v>
          </cell>
        </row>
        <row r="2111">
          <cell r="B2111" t="str">
            <v>KHI/HO/D/MO/PC COMP/C/94819/15/08/2024</v>
          </cell>
          <cell r="D2111" t="str">
            <v>FRE</v>
          </cell>
        </row>
        <row r="2112">
          <cell r="B2112" t="str">
            <v>KHI/HO/D/MO/PC COMP/C/94819/16/08/2024</v>
          </cell>
          <cell r="D2112" t="str">
            <v>FRE</v>
          </cell>
        </row>
        <row r="2113">
          <cell r="B2113" t="str">
            <v>KHI/HO/D/MO/PC COMP/C/94819/17/08/2024</v>
          </cell>
          <cell r="D2113" t="str">
            <v>FRE</v>
          </cell>
        </row>
        <row r="2114">
          <cell r="B2114" t="str">
            <v>KHI/HO/D/MO/PC COMP/C/94819/18/08/2024</v>
          </cell>
          <cell r="D2114" t="str">
            <v>FRE</v>
          </cell>
        </row>
        <row r="2115">
          <cell r="B2115" t="str">
            <v>KHI/HO/D/MO/PC COMP/C/94819/19/08/2024</v>
          </cell>
          <cell r="D2115" t="str">
            <v>FRE</v>
          </cell>
        </row>
        <row r="2116">
          <cell r="B2116" t="str">
            <v>KHI/HO/D/MO/PC COMP/C/94819/20/08/2024</v>
          </cell>
          <cell r="D2116" t="str">
            <v>FRE</v>
          </cell>
        </row>
        <row r="2117">
          <cell r="B2117" t="str">
            <v>KHI/HO/D/MO/PC COMP/C/94819/21/08/2024</v>
          </cell>
          <cell r="D2117" t="str">
            <v>FRE</v>
          </cell>
        </row>
        <row r="2118">
          <cell r="B2118" t="str">
            <v>KHI/HO/D/MO/PC COMP/C/94819/22/08/2024</v>
          </cell>
          <cell r="D2118" t="str">
            <v>FRE</v>
          </cell>
        </row>
        <row r="2119">
          <cell r="B2119" t="str">
            <v>KHI/HO/D/MO/PC COMP/C/94819/23/08/2024</v>
          </cell>
          <cell r="D2119" t="str">
            <v>FRE</v>
          </cell>
        </row>
        <row r="2120">
          <cell r="B2120" t="str">
            <v>KHI/HO/D/MO/PC COMP/C/94819/24/08/2024</v>
          </cell>
          <cell r="D2120" t="str">
            <v>FRE</v>
          </cell>
        </row>
        <row r="2121">
          <cell r="B2121" t="str">
            <v>KHI/HO/D/MO/PC COMP/C/94819/25/08/2024</v>
          </cell>
          <cell r="D2121" t="str">
            <v>FRE</v>
          </cell>
        </row>
        <row r="2122">
          <cell r="B2122" t="str">
            <v>KHI/HO/D/MO/PC COMP/C/94819/26/08/2024</v>
          </cell>
          <cell r="D2122" t="str">
            <v>FRE</v>
          </cell>
        </row>
        <row r="2123">
          <cell r="B2123" t="str">
            <v>KHI/HO/D/MO/PC COMP/C/94819/27/08/2024</v>
          </cell>
          <cell r="D2123" t="str">
            <v>FRE</v>
          </cell>
        </row>
        <row r="2124">
          <cell r="B2124" t="str">
            <v>KHI/HO/D/MO/PC COMP/C/94819/28/08/2024</v>
          </cell>
          <cell r="D2124" t="str">
            <v>FRE</v>
          </cell>
        </row>
        <row r="2125">
          <cell r="B2125" t="str">
            <v>KHI/HO/D/MO/PC COMP/C/94819/29/08/2024</v>
          </cell>
          <cell r="D2125" t="str">
            <v>FRE</v>
          </cell>
        </row>
        <row r="2126">
          <cell r="B2126" t="str">
            <v>KHI/HO/D/MO/PC COMP/C/95236/9/08/2024</v>
          </cell>
          <cell r="D2126" t="str">
            <v>REN</v>
          </cell>
        </row>
        <row r="2127">
          <cell r="B2127" t="str">
            <v>KHI/HO/D/MO/PC COMP/C/94819/30/08/2024</v>
          </cell>
          <cell r="D2127" t="str">
            <v>FRE</v>
          </cell>
        </row>
        <row r="2128">
          <cell r="B2128" t="str">
            <v>KHI/HO/D/MO/PC COMP/C/94819/31/08/2024</v>
          </cell>
          <cell r="D2128" t="str">
            <v>FRE</v>
          </cell>
        </row>
        <row r="2129">
          <cell r="B2129" t="str">
            <v>KHI/HO/D/MO/PC COMP/C/94819/32/08/2024</v>
          </cell>
          <cell r="D2129" t="str">
            <v>FRE</v>
          </cell>
        </row>
        <row r="2130">
          <cell r="B2130" t="str">
            <v>KHI/HO/D/MO/PC COMP/C/94819/33/08/2024</v>
          </cell>
          <cell r="D2130" t="str">
            <v>FRE</v>
          </cell>
        </row>
        <row r="2131">
          <cell r="B2131" t="str">
            <v>KHI/HO/D/MO/PC COMP/C/94819/34/08/2024</v>
          </cell>
          <cell r="D2131" t="str">
            <v>FRE</v>
          </cell>
        </row>
        <row r="2132">
          <cell r="B2132" t="str">
            <v>KHI/HO/D/MO/PC COMP/C/94819/35/08/2024</v>
          </cell>
          <cell r="D2132" t="str">
            <v>FRE</v>
          </cell>
        </row>
        <row r="2133">
          <cell r="B2133" t="str">
            <v>KHI/HO/D/MO/PC COMP/C/94819/36/08/2024</v>
          </cell>
          <cell r="D2133" t="str">
            <v>FRE</v>
          </cell>
        </row>
        <row r="2134">
          <cell r="B2134" t="str">
            <v>KHI/HO/D/MO/PC COMP/C/94819/37/08/2024</v>
          </cell>
          <cell r="D2134" t="str">
            <v>FRE</v>
          </cell>
        </row>
        <row r="2135">
          <cell r="B2135" t="str">
            <v>KHI/HO/D/MO/PC COMP/C/94819/38/08/2024</v>
          </cell>
          <cell r="D2135" t="str">
            <v>FRE</v>
          </cell>
        </row>
        <row r="2136">
          <cell r="B2136" t="str">
            <v>KHI/HO/D/MO/PC COMP/C/94819/39/08/2024</v>
          </cell>
          <cell r="D2136" t="str">
            <v>FRE</v>
          </cell>
        </row>
        <row r="2137">
          <cell r="B2137" t="str">
            <v>KHI/HO/D/MO/PC COMP/C/94819/40/08/2024</v>
          </cell>
          <cell r="D2137" t="str">
            <v>FRE</v>
          </cell>
        </row>
        <row r="2138">
          <cell r="B2138" t="str">
            <v>KHI/HO/D/MO/PC COMP/C/94819/41/08/2024</v>
          </cell>
          <cell r="D2138" t="str">
            <v>FRE</v>
          </cell>
        </row>
        <row r="2139">
          <cell r="B2139" t="str">
            <v>KHI/HO/D/MO/PC COMP/C/94819/42/08/2024</v>
          </cell>
          <cell r="D2139" t="str">
            <v>FRE</v>
          </cell>
        </row>
        <row r="2140">
          <cell r="B2140" t="str">
            <v>KHI/HO/D/MO/CV/C/96712/1/09/2024</v>
          </cell>
          <cell r="D2140" t="str">
            <v>REN</v>
          </cell>
        </row>
        <row r="2141">
          <cell r="B2141" t="str">
            <v>KHI/HO/D/MO/CV/C/96712/2/09/2024</v>
          </cell>
          <cell r="D2141" t="str">
            <v>REN</v>
          </cell>
        </row>
        <row r="2142">
          <cell r="B2142" t="str">
            <v>KHI/HO/D/MO/CV/C/96713/1/09/2024</v>
          </cell>
          <cell r="D2142" t="str">
            <v>REN</v>
          </cell>
        </row>
        <row r="2143">
          <cell r="B2143" t="str">
            <v>KHI/HO/D/MO/CV/C/96713/2/09/2024</v>
          </cell>
          <cell r="D2143" t="str">
            <v>REN</v>
          </cell>
        </row>
        <row r="2144">
          <cell r="B2144" t="str">
            <v>KHI/HO/D/MO/CV/C/96713/3/09/2024</v>
          </cell>
          <cell r="D2144" t="str">
            <v>REN</v>
          </cell>
        </row>
        <row r="2145">
          <cell r="B2145" t="str">
            <v>KHI/HO/D/MO/CV/C/96713/4/09/2024</v>
          </cell>
          <cell r="D2145" t="str">
            <v>REN</v>
          </cell>
        </row>
        <row r="2146">
          <cell r="B2146" t="str">
            <v>KHI/HO/D/MO/CV/C/96713/5/09/2024</v>
          </cell>
          <cell r="D2146" t="str">
            <v>REN</v>
          </cell>
        </row>
        <row r="2147">
          <cell r="B2147" t="str">
            <v>KHI/HO/D/MO/CV/C/96714/1/09/2024</v>
          </cell>
          <cell r="D2147" t="str">
            <v>REN</v>
          </cell>
        </row>
        <row r="2148">
          <cell r="B2148" t="str">
            <v>KHI/HO/D/MO/CV/C/96714/2/09/2024</v>
          </cell>
          <cell r="D2148" t="str">
            <v>REN</v>
          </cell>
        </row>
        <row r="2149">
          <cell r="B2149" t="str">
            <v>KHI/HO/D/MO/PC COMP/C/96715/1/09/2024</v>
          </cell>
          <cell r="D2149" t="str">
            <v>REN</v>
          </cell>
        </row>
        <row r="2150">
          <cell r="B2150" t="str">
            <v>KHI/HO/D/MO/PC COMP/C/96715/2/09/2024</v>
          </cell>
          <cell r="D2150" t="str">
            <v>REN</v>
          </cell>
        </row>
        <row r="2151">
          <cell r="B2151" t="str">
            <v>KHI/HO/D/MO/PC COMP/C/96715/3/09/2024</v>
          </cell>
          <cell r="D2151" t="str">
            <v>REN</v>
          </cell>
        </row>
        <row r="2152">
          <cell r="B2152" t="str">
            <v>KHI/HO/D/MO/PC COMP/C/96715/4/09/2024</v>
          </cell>
          <cell r="D2152" t="str">
            <v>REN</v>
          </cell>
        </row>
        <row r="2153">
          <cell r="B2153" t="str">
            <v>KHI/HO/D/MO/PC COMP/C/96715/5/09/2024</v>
          </cell>
          <cell r="D2153" t="str">
            <v>REN</v>
          </cell>
        </row>
        <row r="2154">
          <cell r="B2154" t="str">
            <v>KHI/HO/D/MO/PC COMP/C/96715/6/09/2024</v>
          </cell>
          <cell r="D2154" t="str">
            <v>REN</v>
          </cell>
        </row>
        <row r="2155">
          <cell r="B2155" t="str">
            <v>KHI/HO/D/MO/PC COMP/C/96715/7/09/2024</v>
          </cell>
          <cell r="D2155" t="str">
            <v>REN</v>
          </cell>
        </row>
        <row r="2156">
          <cell r="B2156" t="str">
            <v>KHI/HO/D/MO/PC COMP/C/96715/8/09/2024</v>
          </cell>
          <cell r="D2156" t="str">
            <v>REN</v>
          </cell>
        </row>
        <row r="2157">
          <cell r="B2157" t="str">
            <v>KHI/HO/D/MO/PC COMP/C/96715/9/09/2024</v>
          </cell>
          <cell r="D2157" t="str">
            <v>REN</v>
          </cell>
        </row>
        <row r="2158">
          <cell r="B2158" t="str">
            <v>KHI/HO/D/MO/PC COMP/C/96715/10/09/2024</v>
          </cell>
          <cell r="D2158" t="str">
            <v>REN</v>
          </cell>
        </row>
        <row r="2159">
          <cell r="B2159" t="str">
            <v>KHI/HO/D/MO/PC COMP/C/96715/11/09/2024</v>
          </cell>
          <cell r="D2159" t="str">
            <v>REN</v>
          </cell>
        </row>
        <row r="2160">
          <cell r="B2160" t="str">
            <v>KHI/HO/D/MO/PC COMP/C/96715/12/09/2024</v>
          </cell>
          <cell r="D2160" t="str">
            <v>REN</v>
          </cell>
        </row>
        <row r="2161">
          <cell r="B2161" t="str">
            <v>KHI/HO/D/MO/PC COMP/C/96715/13/09/2024</v>
          </cell>
          <cell r="D2161" t="str">
            <v>REN</v>
          </cell>
        </row>
        <row r="2162">
          <cell r="B2162" t="str">
            <v>KHI/HO/D/MO/PC COMP/C/96715/14/09/2024</v>
          </cell>
          <cell r="D2162" t="str">
            <v>REN</v>
          </cell>
        </row>
        <row r="2163">
          <cell r="B2163" t="str">
            <v>KHI/HO/D/MO/PC COMP/C/96715/15/09/2024</v>
          </cell>
          <cell r="D2163" t="str">
            <v>REN</v>
          </cell>
        </row>
        <row r="2164">
          <cell r="B2164" t="str">
            <v>KHI/HO/D/MO/PC COMP/C/96715/16/09/2024</v>
          </cell>
          <cell r="D2164" t="str">
            <v>REN</v>
          </cell>
        </row>
        <row r="2165">
          <cell r="B2165" t="str">
            <v>KHI/HO/D/MO/PC COMP/C/96715/17/09/2024</v>
          </cell>
          <cell r="D2165" t="str">
            <v>REN</v>
          </cell>
        </row>
        <row r="2166">
          <cell r="B2166" t="str">
            <v>KHI/HO/D/MO/PC COMP/C/96715/18/09/2024</v>
          </cell>
          <cell r="D2166" t="str">
            <v>REN</v>
          </cell>
        </row>
        <row r="2167">
          <cell r="B2167" t="str">
            <v>KHI/HO/D/MO/PC COMP/C/96715/19/09/2024</v>
          </cell>
          <cell r="D2167" t="str">
            <v>REN</v>
          </cell>
        </row>
        <row r="2168">
          <cell r="B2168" t="str">
            <v>KHI/HO/D/MO/PC COMP/C/96715/20/09/2024</v>
          </cell>
          <cell r="D2168" t="str">
            <v>REN</v>
          </cell>
        </row>
        <row r="2169">
          <cell r="B2169" t="str">
            <v>KHI/HO/D/MO/PC COMP/C/96715/21/09/2024</v>
          </cell>
          <cell r="D2169" t="str">
            <v>REN</v>
          </cell>
        </row>
        <row r="2170">
          <cell r="B2170" t="str">
            <v>KHI/HO/D/MO/PC COMP/C/96721/1/09/2024</v>
          </cell>
          <cell r="D2170" t="str">
            <v>REN</v>
          </cell>
        </row>
        <row r="2171">
          <cell r="B2171" t="str">
            <v>KHI/HO/D/MO/PC COMP/C/96721/2/09/2024</v>
          </cell>
          <cell r="D2171" t="str">
            <v>REN</v>
          </cell>
        </row>
        <row r="2172">
          <cell r="B2172" t="str">
            <v>KHI/HO/D/MO/PC COMP/C/96721/3/09/2024</v>
          </cell>
          <cell r="D2172" t="str">
            <v>REN</v>
          </cell>
        </row>
        <row r="2173">
          <cell r="B2173" t="str">
            <v>KHI/HO/D/MO/PC COMP/C/96721/4/09/2024</v>
          </cell>
          <cell r="D2173" t="str">
            <v>REN</v>
          </cell>
        </row>
        <row r="2174">
          <cell r="B2174" t="str">
            <v>KHI/HO/D/MO/PC COMP/C/96721/5/09/2024</v>
          </cell>
          <cell r="D2174" t="str">
            <v>REN</v>
          </cell>
        </row>
        <row r="2175">
          <cell r="B2175" t="str">
            <v>KHI/HO/D/MO/PC COMP/C/96721/6/09/2024</v>
          </cell>
          <cell r="D2175" t="str">
            <v>REN</v>
          </cell>
        </row>
        <row r="2176">
          <cell r="B2176" t="str">
            <v>KHI/HO/D/MO/PC COMP/C/96721/7/09/2024</v>
          </cell>
          <cell r="D2176" t="str">
            <v>REN</v>
          </cell>
        </row>
        <row r="2177">
          <cell r="B2177" t="str">
            <v>KHI/HO/D/MO/PC COMP/C/96721/8/09/2024</v>
          </cell>
          <cell r="D2177" t="str">
            <v>REN</v>
          </cell>
        </row>
        <row r="2178">
          <cell r="B2178" t="str">
            <v>KHI/HO/D/MO/PC COMP/C/96721/9/09/2024</v>
          </cell>
          <cell r="D2178" t="str">
            <v>REN</v>
          </cell>
        </row>
        <row r="2179">
          <cell r="B2179" t="str">
            <v>KHI/HO/D/MO/PC COMP/C/96721/10/09/2024</v>
          </cell>
          <cell r="D2179" t="str">
            <v>REN</v>
          </cell>
        </row>
        <row r="2180">
          <cell r="B2180" t="str">
            <v>KHI/HO/D/MO/PC COMP/C/96721/11/09/2024</v>
          </cell>
          <cell r="D2180" t="str">
            <v>REN</v>
          </cell>
        </row>
        <row r="2181">
          <cell r="B2181" t="str">
            <v>KHI/HO/D/MO/PC COMP/C/96721/12/09/2024</v>
          </cell>
          <cell r="D2181" t="str">
            <v>REN</v>
          </cell>
        </row>
        <row r="2182">
          <cell r="B2182" t="str">
            <v>KHI/HO/D/MO/PC COMP/C/96721/13/09/2024</v>
          </cell>
          <cell r="D2182" t="str">
            <v>REN</v>
          </cell>
        </row>
        <row r="2183">
          <cell r="B2183" t="str">
            <v>KHI/HO/D/MO/PC COMP/C/96721/14/09/2024</v>
          </cell>
          <cell r="D2183" t="str">
            <v>REN</v>
          </cell>
        </row>
        <row r="2184">
          <cell r="B2184" t="str">
            <v>KHI/HO/D/MO/PC COMP/C/96721/15/09/2024</v>
          </cell>
          <cell r="D2184" t="str">
            <v>REN</v>
          </cell>
        </row>
        <row r="2185">
          <cell r="B2185" t="str">
            <v>KHI/HO/D/MO/PC COMP/C/96721/16/09/2024</v>
          </cell>
          <cell r="D2185" t="str">
            <v>REN</v>
          </cell>
        </row>
        <row r="2186">
          <cell r="B2186" t="str">
            <v>KHI/HO/D/MO/PC COMP/C/96721/17/09/2024</v>
          </cell>
          <cell r="D2186" t="str">
            <v>REN</v>
          </cell>
        </row>
        <row r="2187">
          <cell r="B2187" t="str">
            <v>KHI/HO/D/MO/PC COMP/C/96721/18/09/2024</v>
          </cell>
          <cell r="D2187" t="str">
            <v>REN</v>
          </cell>
        </row>
        <row r="2188">
          <cell r="B2188" t="str">
            <v>KHI/HO/D/MO/PC COMP/C/96721/19/09/2024</v>
          </cell>
          <cell r="D2188" t="str">
            <v>REN</v>
          </cell>
        </row>
        <row r="2189">
          <cell r="B2189" t="str">
            <v>KHI/HO/D/MO/PC COMP/C/96721/20/09/2024</v>
          </cell>
          <cell r="D2189" t="str">
            <v>REN</v>
          </cell>
        </row>
        <row r="2190">
          <cell r="B2190" t="str">
            <v>KHI/HO/D/MO/PC COMP/C/96721/21/09/2024</v>
          </cell>
          <cell r="D2190" t="str">
            <v>REN</v>
          </cell>
        </row>
        <row r="2191">
          <cell r="B2191" t="str">
            <v>KHI/HO/D/MO/PC COMP/C/96721/22/09/2024</v>
          </cell>
          <cell r="D2191" t="str">
            <v>REN</v>
          </cell>
        </row>
        <row r="2192">
          <cell r="B2192" t="str">
            <v>KHI/HO/D/MO/PC COMP/C/96721/23/09/2024</v>
          </cell>
          <cell r="D2192" t="str">
            <v>REN</v>
          </cell>
        </row>
        <row r="2193">
          <cell r="B2193" t="str">
            <v>KHI/HO/D/MO/PC COMP/C/96721/24/09/2024</v>
          </cell>
          <cell r="D2193" t="str">
            <v>REN</v>
          </cell>
        </row>
        <row r="2194">
          <cell r="B2194" t="str">
            <v>KHI/HO/D/MO/PC COMP/C/96721/25/09/2024</v>
          </cell>
          <cell r="D2194" t="str">
            <v>REN</v>
          </cell>
        </row>
        <row r="2195">
          <cell r="B2195" t="str">
            <v>KHI/HO/D/MO/PC COMP/C/96721/26/09/2024</v>
          </cell>
          <cell r="D2195" t="str">
            <v>REN</v>
          </cell>
        </row>
        <row r="2196">
          <cell r="B2196" t="str">
            <v>KHI/HO/D/MO/PC COMP/C/96721/27/09/2024</v>
          </cell>
          <cell r="D2196" t="str">
            <v>REN</v>
          </cell>
        </row>
        <row r="2197">
          <cell r="B2197" t="str">
            <v>KHI/HO/D/MO/PC COMP/C/96721/28/09/2024</v>
          </cell>
          <cell r="D2197" t="str">
            <v>REN</v>
          </cell>
        </row>
        <row r="2198">
          <cell r="B2198" t="str">
            <v>KHI/HO/D/MO/PC COMP/C/96721/29/09/2024</v>
          </cell>
          <cell r="D2198" t="str">
            <v>REN</v>
          </cell>
        </row>
        <row r="2199">
          <cell r="B2199" t="str">
            <v>KHI/HO/D/MO/PC COMP/C/96721/30/09/2024</v>
          </cell>
          <cell r="D2199" t="str">
            <v>REN</v>
          </cell>
        </row>
        <row r="2200">
          <cell r="B2200" t="str">
            <v>KHI/HO/D/MO/PC COMP/C/96721/31/09/2024</v>
          </cell>
          <cell r="D2200" t="str">
            <v>REN</v>
          </cell>
        </row>
        <row r="2201">
          <cell r="B2201" t="str">
            <v>KHI/HO/D/MO/PC COMP/C/96721/32/09/2024</v>
          </cell>
          <cell r="D2201" t="str">
            <v>REN</v>
          </cell>
        </row>
        <row r="2202">
          <cell r="B2202" t="str">
            <v>KHI/HO/D/MO/PC COMP/C/96721/33/09/2024</v>
          </cell>
          <cell r="D2202" t="str">
            <v>REN</v>
          </cell>
        </row>
        <row r="2203">
          <cell r="B2203" t="str">
            <v>KHI/HO/D/MO/PC COMP/C/96721/34/09/2024</v>
          </cell>
          <cell r="D2203" t="str">
            <v>REN</v>
          </cell>
        </row>
        <row r="2204">
          <cell r="B2204" t="str">
            <v>KHI/HO/D/MO/PC COMP/C/96721/35/09/2024</v>
          </cell>
          <cell r="D2204" t="str">
            <v>REN</v>
          </cell>
        </row>
        <row r="2205">
          <cell r="B2205" t="str">
            <v>KHI/HO/D/MO/PC COMP/C/96721/36/09/2024</v>
          </cell>
          <cell r="D2205" t="str">
            <v>REN</v>
          </cell>
        </row>
        <row r="2206">
          <cell r="B2206" t="str">
            <v>KHI/HO/D/MO/PC COMP/C/96721/37/09/2024</v>
          </cell>
          <cell r="D2206" t="str">
            <v>REN</v>
          </cell>
        </row>
        <row r="2207">
          <cell r="B2207" t="str">
            <v>KHI/HO/D/MO/PC COMP/C/96721/38/09/2024</v>
          </cell>
          <cell r="D2207" t="str">
            <v>REN</v>
          </cell>
        </row>
        <row r="2208">
          <cell r="B2208" t="str">
            <v>KHI/HO/D/MO/PC COMP/C/96721/39/09/2024</v>
          </cell>
          <cell r="D2208" t="str">
            <v>REN</v>
          </cell>
        </row>
        <row r="2209">
          <cell r="B2209" t="str">
            <v>KHI/HO/D/MO/PC COMP/C/96726/1/09/2024</v>
          </cell>
          <cell r="D2209" t="str">
            <v>REN</v>
          </cell>
        </row>
        <row r="2210">
          <cell r="B2210" t="str">
            <v>KHI/HO/D/MO/PC COMP/C/96726/2/09/2024</v>
          </cell>
          <cell r="D2210" t="str">
            <v>REN</v>
          </cell>
        </row>
        <row r="2211">
          <cell r="B2211" t="str">
            <v>KHI/HO/D/MO/PC COMP/C/96726/3/09/2024</v>
          </cell>
          <cell r="D2211" t="str">
            <v>REN</v>
          </cell>
        </row>
        <row r="2212">
          <cell r="B2212" t="str">
            <v>KHI/HO/D/MO/PC COMP/C/96726/4/09/2024</v>
          </cell>
          <cell r="D2212" t="str">
            <v>REN</v>
          </cell>
        </row>
        <row r="2213">
          <cell r="B2213" t="str">
            <v>KHI/HO/D/MO/PC COMP/C/96726/5/09/2024</v>
          </cell>
          <cell r="D2213" t="str">
            <v>REN</v>
          </cell>
        </row>
        <row r="2214">
          <cell r="B2214" t="str">
            <v>KHI/HO/D/MO/PC COMP/C/96726/6/09/2024</v>
          </cell>
          <cell r="D2214" t="str">
            <v>REN</v>
          </cell>
        </row>
        <row r="2215">
          <cell r="B2215" t="str">
            <v>KHI/HO/D/MO/PC COMP/C/96726/7/09/2024</v>
          </cell>
          <cell r="D2215" t="str">
            <v>REN</v>
          </cell>
        </row>
        <row r="2216">
          <cell r="B2216" t="str">
            <v>KHI/HO/D/MO/PC COMP/C/96726/8/09/2024</v>
          </cell>
          <cell r="D2216" t="str">
            <v>REN</v>
          </cell>
        </row>
        <row r="2217">
          <cell r="B2217" t="str">
            <v>KHI/HO/D/MO/PC COMP/C/96726/9/09/2024</v>
          </cell>
          <cell r="D2217" t="str">
            <v>REN</v>
          </cell>
        </row>
        <row r="2218">
          <cell r="B2218" t="str">
            <v>KHI/HO/D/MO/PC COMP/C/96726/10/09/2024</v>
          </cell>
          <cell r="D2218" t="str">
            <v>REN</v>
          </cell>
        </row>
        <row r="2219">
          <cell r="B2219" t="str">
            <v>KHI/HO/D/MO/PC COMP/C/96726/11/09/2024</v>
          </cell>
          <cell r="D2219" t="str">
            <v>REN</v>
          </cell>
        </row>
        <row r="2220">
          <cell r="B2220" t="str">
            <v>KHI/HO/D/MO/PC COMP/C/96726/12/09/2024</v>
          </cell>
          <cell r="D2220" t="str">
            <v>REN</v>
          </cell>
        </row>
        <row r="2221">
          <cell r="B2221" t="str">
            <v>KHI/HO/D/MO/PC COMP/C/96726/13/09/2024</v>
          </cell>
          <cell r="D2221" t="str">
            <v>REN</v>
          </cell>
        </row>
        <row r="2222">
          <cell r="B2222" t="str">
            <v>KHI/HO/D/MO/PC COMP/C/96726/14/09/2024</v>
          </cell>
          <cell r="D2222" t="str">
            <v>REN</v>
          </cell>
        </row>
        <row r="2223">
          <cell r="B2223" t="str">
            <v>KHI/HO/D/MO/PC COMP/C/96726/15/09/2024</v>
          </cell>
          <cell r="D2223" t="str">
            <v>REN</v>
          </cell>
        </row>
        <row r="2224">
          <cell r="B2224" t="str">
            <v>KHI/HO/D/MO/PC COMP/C/96726/16/09/2024</v>
          </cell>
          <cell r="D2224" t="str">
            <v>REN</v>
          </cell>
        </row>
        <row r="2225">
          <cell r="B2225" t="str">
            <v>KHI/HO/D/MO/PC COMP/C/96726/17/09/2024</v>
          </cell>
          <cell r="D2225" t="str">
            <v>REN</v>
          </cell>
        </row>
        <row r="2226">
          <cell r="B2226" t="str">
            <v>KHI/HO/D/MO/PC COMP/C/96726/18/09/2024</v>
          </cell>
          <cell r="D2226" t="str">
            <v>REN</v>
          </cell>
        </row>
        <row r="2227">
          <cell r="B2227" t="str">
            <v>KHI/HO/D/MO/PC COMP/C/96726/19/09/2024</v>
          </cell>
          <cell r="D2227" t="str">
            <v>REN</v>
          </cell>
        </row>
        <row r="2228">
          <cell r="B2228" t="str">
            <v>KHI/HO/D/MO/PC COMP/C/96726/20/09/2024</v>
          </cell>
          <cell r="D2228" t="str">
            <v>REN</v>
          </cell>
        </row>
        <row r="2229">
          <cell r="B2229" t="str">
            <v>KHI/HO/D/MO/PC COMP/C/96726/21/09/2024</v>
          </cell>
          <cell r="D2229" t="str">
            <v>REN</v>
          </cell>
        </row>
        <row r="2230">
          <cell r="B2230" t="str">
            <v>KHI/HO/D/MO/PC COMP/C/96726/22/09/2024</v>
          </cell>
          <cell r="D2230" t="str">
            <v>REN</v>
          </cell>
        </row>
        <row r="2231">
          <cell r="B2231" t="str">
            <v>KHI/HO/D/MO/PC COMP/C/96726/23/09/2024</v>
          </cell>
          <cell r="D2231" t="str">
            <v>REN</v>
          </cell>
        </row>
        <row r="2232">
          <cell r="B2232" t="str">
            <v>KHI/HO/D/MO/PC COMP/C/96726/24/09/2024</v>
          </cell>
          <cell r="D2232" t="str">
            <v>REN</v>
          </cell>
        </row>
        <row r="2233">
          <cell r="B2233" t="str">
            <v>KHI/HO/D/MO/PC COMP/C/96726/25/09/2024</v>
          </cell>
          <cell r="D2233" t="str">
            <v>REN</v>
          </cell>
        </row>
        <row r="2234">
          <cell r="B2234" t="str">
            <v>KHI/HO/D/MO/PC COMP/C/96726/26/09/2024</v>
          </cell>
          <cell r="D2234" t="str">
            <v>REN</v>
          </cell>
        </row>
        <row r="2235">
          <cell r="B2235" t="str">
            <v>KHI/HO/D/MO/PC COMP/C/96726/27/09/2024</v>
          </cell>
          <cell r="D2235" t="str">
            <v>REN</v>
          </cell>
        </row>
        <row r="2236">
          <cell r="B2236" t="str">
            <v>KHI/HO/D/MO/PC COMP/C/96726/28/09/2024</v>
          </cell>
          <cell r="D2236" t="str">
            <v>REN</v>
          </cell>
        </row>
        <row r="2237">
          <cell r="B2237" t="str">
            <v>KHI/HO/D/MO/PC COMP/C/96726/29/09/2024</v>
          </cell>
          <cell r="D2237" t="str">
            <v>REN</v>
          </cell>
        </row>
        <row r="2238">
          <cell r="B2238" t="str">
            <v>KHI/HO/D/MO/PC COMP/C/96726/30/09/2024</v>
          </cell>
          <cell r="D2238" t="str">
            <v>REN</v>
          </cell>
        </row>
        <row r="2239">
          <cell r="B2239" t="str">
            <v>KHI/HO/D/MO/PC COMP/C/96726/31/09/2024</v>
          </cell>
          <cell r="D2239" t="str">
            <v>REN</v>
          </cell>
        </row>
        <row r="2240">
          <cell r="B2240" t="str">
            <v>KHI/HO/D/MO/PC COMP/C/96726/32/09/2024</v>
          </cell>
          <cell r="D2240" t="str">
            <v>REN</v>
          </cell>
        </row>
        <row r="2241">
          <cell r="B2241" t="str">
            <v>KHI/HO/D/MO/PC COMP/C/96726/33/09/2024</v>
          </cell>
          <cell r="D2241" t="str">
            <v>REN</v>
          </cell>
        </row>
        <row r="2242">
          <cell r="B2242" t="str">
            <v>KHI/HO/D/MO/PC COMP/C/96726/34/09/2024</v>
          </cell>
          <cell r="D2242" t="str">
            <v>REN</v>
          </cell>
        </row>
        <row r="2243">
          <cell r="B2243" t="str">
            <v>KHI/HO/D/MO/PC COMP/C/96726/35/09/2024</v>
          </cell>
          <cell r="D2243" t="str">
            <v>REN</v>
          </cell>
        </row>
        <row r="2244">
          <cell r="B2244" t="str">
            <v>KHI/HO/D/MO/PC COMP/C/96726/36/09/2024</v>
          </cell>
          <cell r="D2244" t="str">
            <v>REN</v>
          </cell>
        </row>
        <row r="2245">
          <cell r="B2245" t="str">
            <v>KHI/HO/D/MO/PC COMP/C/96726/37/09/2024</v>
          </cell>
          <cell r="D2245" t="str">
            <v>REN</v>
          </cell>
        </row>
        <row r="2246">
          <cell r="B2246" t="str">
            <v>KHI/HO/D/MO/PC COMP/C/96726/38/09/2024</v>
          </cell>
          <cell r="D2246" t="str">
            <v>REN</v>
          </cell>
        </row>
        <row r="2247">
          <cell r="B2247" t="str">
            <v>KHI/HO/D/MO/PC COMP/C/96726/39/09/2024</v>
          </cell>
          <cell r="D2247" t="str">
            <v>REN</v>
          </cell>
        </row>
        <row r="2248">
          <cell r="B2248" t="str">
            <v>KHI/HO/D/MO/PC COMP/C/96726/40/09/2024</v>
          </cell>
          <cell r="D2248" t="str">
            <v>REN</v>
          </cell>
        </row>
        <row r="2249">
          <cell r="B2249" t="str">
            <v>KHI/HO/D/MO/PC COMP/C/96726/41/09/2024</v>
          </cell>
          <cell r="D2249" t="str">
            <v>REN</v>
          </cell>
        </row>
        <row r="2250">
          <cell r="B2250" t="str">
            <v>KHI/HO/D/MO/PC COMP/C/96726/42/09/2024</v>
          </cell>
          <cell r="D2250" t="str">
            <v>REN</v>
          </cell>
        </row>
        <row r="2251">
          <cell r="B2251" t="str">
            <v>KHI/HO/D/MO/PC COMP/C/96726/43/09/2024</v>
          </cell>
          <cell r="D2251" t="str">
            <v>REN</v>
          </cell>
        </row>
        <row r="2252">
          <cell r="B2252" t="str">
            <v>KHI/HO/D/MO/PC COMP/C/96726/44/09/2024</v>
          </cell>
          <cell r="D2252" t="str">
            <v>REN</v>
          </cell>
        </row>
        <row r="2253">
          <cell r="B2253" t="str">
            <v>KHI/HO/D/MO/PC COMP/C/96729/1/09/2024</v>
          </cell>
          <cell r="D2253" t="str">
            <v>REN</v>
          </cell>
        </row>
        <row r="2254">
          <cell r="B2254" t="str">
            <v>KHI/HO/D/MO/PC COMP/C/96729/2/09/2024</v>
          </cell>
          <cell r="D2254" t="str">
            <v>REN</v>
          </cell>
        </row>
        <row r="2255">
          <cell r="B2255" t="str">
            <v>KHI/HO/D/MO/PC COMP/C/96729/3/09/2024</v>
          </cell>
          <cell r="D2255" t="str">
            <v>REN</v>
          </cell>
        </row>
        <row r="2256">
          <cell r="B2256" t="str">
            <v>KHI/HO/D/MO/PC COMP/C/96729/4/09/2024</v>
          </cell>
          <cell r="D2256" t="str">
            <v>REN</v>
          </cell>
        </row>
        <row r="2257">
          <cell r="B2257" t="str">
            <v>KHI/HO/D/MO/PC COMP/C/96729/5/09/2024</v>
          </cell>
          <cell r="D2257" t="str">
            <v>REN</v>
          </cell>
        </row>
        <row r="2258">
          <cell r="B2258" t="str">
            <v>KHI/HO/D/MO/PC COMP/C/96729/6/09/2024</v>
          </cell>
          <cell r="D2258" t="str">
            <v>REN</v>
          </cell>
        </row>
        <row r="2259">
          <cell r="B2259" t="str">
            <v>KHI/HO/D/MO/PC COMP/C/96729/7/09/2024</v>
          </cell>
          <cell r="D2259" t="str">
            <v>REN</v>
          </cell>
        </row>
        <row r="2260">
          <cell r="B2260" t="str">
            <v>KHI/HO/D/MO/PC COMP/C/96729/8/09/2024</v>
          </cell>
          <cell r="D2260" t="str">
            <v>REN</v>
          </cell>
        </row>
        <row r="2261">
          <cell r="B2261" t="str">
            <v>KHI/HO/D/MO/PC COMP/C/96729/9/09/2024</v>
          </cell>
          <cell r="D2261" t="str">
            <v>REN</v>
          </cell>
        </row>
        <row r="2262">
          <cell r="B2262" t="str">
            <v>KHI/HO/D/MO/PC COMP/C/96729/10/09/2024</v>
          </cell>
          <cell r="D2262" t="str">
            <v>REN</v>
          </cell>
        </row>
        <row r="2263">
          <cell r="B2263" t="str">
            <v>KHI/HO/D/MO/PC COMP/C/96729/11/09/2024</v>
          </cell>
          <cell r="D2263" t="str">
            <v>REN</v>
          </cell>
        </row>
        <row r="2264">
          <cell r="B2264" t="str">
            <v>KHI/HO/D/MO/PC COMP/C/96729/12/09/2024</v>
          </cell>
          <cell r="D2264" t="str">
            <v>REN</v>
          </cell>
        </row>
        <row r="2265">
          <cell r="B2265" t="str">
            <v>KHI/HO/D/MO/PC COMP/C/96729/13/09/2024</v>
          </cell>
          <cell r="D2265" t="str">
            <v>REN</v>
          </cell>
        </row>
        <row r="2266">
          <cell r="B2266" t="str">
            <v>KHI/HO/D/MO/PC COMP/C/96729/14/09/2024</v>
          </cell>
          <cell r="D2266" t="str">
            <v>REN</v>
          </cell>
        </row>
        <row r="2267">
          <cell r="B2267" t="str">
            <v>KHI/HO/D/MO/PC COMP/C/96729/15/09/2024</v>
          </cell>
          <cell r="D2267" t="str">
            <v>REN</v>
          </cell>
        </row>
        <row r="2268">
          <cell r="B2268" t="str">
            <v>KHI/HO/D/MO/PC COMP/C/96729/16/09/2024</v>
          </cell>
          <cell r="D2268" t="str">
            <v>REN</v>
          </cell>
        </row>
        <row r="2269">
          <cell r="B2269" t="str">
            <v>KHI/HO/D/MO/PC COMP/C/96729/17/09/2024</v>
          </cell>
          <cell r="D2269" t="str">
            <v>REN</v>
          </cell>
        </row>
        <row r="2270">
          <cell r="B2270" t="str">
            <v>KHI/HO/D/MO/PC COMP/C/96729/18/09/2024</v>
          </cell>
          <cell r="D2270" t="str">
            <v>REN</v>
          </cell>
        </row>
        <row r="2271">
          <cell r="B2271" t="str">
            <v>KHI/HO/D/MO/PC COMP/C/96729/19/09/2024</v>
          </cell>
          <cell r="D2271" t="str">
            <v>REN</v>
          </cell>
        </row>
        <row r="2272">
          <cell r="B2272" t="str">
            <v>KHI/HO/D/MO/PC COMP/C/96729/20/09/2024</v>
          </cell>
          <cell r="D2272" t="str">
            <v>REN</v>
          </cell>
        </row>
        <row r="2273">
          <cell r="B2273" t="str">
            <v>KHI/HO/D/MO/PC COMP/C/96729/21/09/2024</v>
          </cell>
          <cell r="D2273" t="str">
            <v>REN</v>
          </cell>
        </row>
        <row r="2274">
          <cell r="B2274" t="str">
            <v>KHI/HO/D/MO/PC COMP/C/96729/22/09/2024</v>
          </cell>
          <cell r="D2274" t="str">
            <v>REN</v>
          </cell>
        </row>
        <row r="2275">
          <cell r="B2275" t="str">
            <v>KHI/HO/D/MO/PC COMP/C/96729/23/09/2024</v>
          </cell>
          <cell r="D2275" t="str">
            <v>REN</v>
          </cell>
        </row>
        <row r="2276">
          <cell r="B2276" t="str">
            <v>KHI/HO/D/MO/PC COMP/C/96729/24/09/2024</v>
          </cell>
          <cell r="D2276" t="str">
            <v>REN</v>
          </cell>
        </row>
        <row r="2277">
          <cell r="B2277" t="str">
            <v>KHI/HO/D/MO/PC COMP/C/96729/25/09/2024</v>
          </cell>
          <cell r="D2277" t="str">
            <v>REN</v>
          </cell>
        </row>
        <row r="2278">
          <cell r="B2278" t="str">
            <v>KHI/HO/D/MO/PC COMP/C/96729/26/09/2024</v>
          </cell>
          <cell r="D2278" t="str">
            <v>REN</v>
          </cell>
        </row>
        <row r="2279">
          <cell r="B2279" t="str">
            <v>KHI/HO/D/MO/PC COMP/C/96729/27/09/2024</v>
          </cell>
          <cell r="D2279" t="str">
            <v>REN</v>
          </cell>
        </row>
        <row r="2280">
          <cell r="B2280" t="str">
            <v>KHI/HO/D/MO/PC COMP/C/96729/28/09/2024</v>
          </cell>
          <cell r="D2280" t="str">
            <v>REN</v>
          </cell>
        </row>
        <row r="2281">
          <cell r="B2281" t="str">
            <v>KHI/HO/D/MO/PC COMP/C/96729/29/09/2024</v>
          </cell>
          <cell r="D2281" t="str">
            <v>REN</v>
          </cell>
        </row>
        <row r="2282">
          <cell r="B2282" t="str">
            <v>KHI/HO/D/MO/PC COMP/C/96729/30/09/2024</v>
          </cell>
          <cell r="D2282" t="str">
            <v>REN</v>
          </cell>
        </row>
        <row r="2283">
          <cell r="B2283" t="str">
            <v>KHI/HO/D/MO/PC COMP/C/96729/31/09/2024</v>
          </cell>
          <cell r="D2283" t="str">
            <v>REN</v>
          </cell>
        </row>
        <row r="2284">
          <cell r="B2284" t="str">
            <v>KHI/HO/D/MO/PC COMP/C/96729/32/09/2024</v>
          </cell>
          <cell r="D2284" t="str">
            <v>REN</v>
          </cell>
        </row>
        <row r="2285">
          <cell r="B2285" t="str">
            <v>KHI/HO/D/MO/PC COMP/C/96729/33/09/2024</v>
          </cell>
          <cell r="D2285" t="str">
            <v>REN</v>
          </cell>
        </row>
        <row r="2286">
          <cell r="B2286" t="str">
            <v>KHI/HO/D/MO/PC COMP/C/96729/34/09/2024</v>
          </cell>
          <cell r="D2286" t="str">
            <v>REN</v>
          </cell>
        </row>
        <row r="2287">
          <cell r="B2287" t="str">
            <v>KHI/HO/D/MO/PC COMP/C/96729/35/09/2024</v>
          </cell>
          <cell r="D2287" t="str">
            <v>REN</v>
          </cell>
        </row>
        <row r="2288">
          <cell r="B2288" t="str">
            <v>KHI/HO/D/MO/PC COMP/C/96729/36/09/2024</v>
          </cell>
          <cell r="D2288" t="str">
            <v>REN</v>
          </cell>
        </row>
        <row r="2289">
          <cell r="B2289" t="str">
            <v>KHI/HO/D/MO/PC COMP/C/96729/37/09/2024</v>
          </cell>
          <cell r="D2289" t="str">
            <v>REN</v>
          </cell>
        </row>
        <row r="2290">
          <cell r="B2290" t="str">
            <v>KHI/HO/D/MO/PC COMP/C/96729/38/09/2024</v>
          </cell>
          <cell r="D2290" t="str">
            <v>REN</v>
          </cell>
        </row>
        <row r="2291">
          <cell r="B2291" t="str">
            <v>KHI/HO/D/MO/PC COMP/C/96729/39/09/2024</v>
          </cell>
          <cell r="D2291" t="str">
            <v>REN</v>
          </cell>
        </row>
        <row r="2292">
          <cell r="B2292" t="str">
            <v>KHI/HO/D/MO/PC COMP/C/96729/40/09/2024</v>
          </cell>
          <cell r="D2292" t="str">
            <v>REN</v>
          </cell>
        </row>
        <row r="2293">
          <cell r="B2293" t="str">
            <v>KHI/HO/D/MO/PC COMP/C/96729/41/09/2024</v>
          </cell>
          <cell r="D2293" t="str">
            <v>REN</v>
          </cell>
        </row>
        <row r="2294">
          <cell r="B2294" t="str">
            <v>KHI/HO/D/MO/PC COMP/C/96729/42/09/2024</v>
          </cell>
          <cell r="D2294" t="str">
            <v>REN</v>
          </cell>
        </row>
        <row r="2295">
          <cell r="B2295" t="str">
            <v>KHI/HO/D/MO/PC COMP/C/96729/43/09/2024</v>
          </cell>
          <cell r="D2295" t="str">
            <v>REN</v>
          </cell>
        </row>
        <row r="2296">
          <cell r="B2296" t="str">
            <v>KHI/HO/D/MO/PC COMP/C/96729/44/09/2024</v>
          </cell>
          <cell r="D2296" t="str">
            <v>REN</v>
          </cell>
        </row>
        <row r="2297">
          <cell r="B2297" t="str">
            <v>KHI/HO/D/MO/PC COMP/C/96729/45/09/2024</v>
          </cell>
          <cell r="D2297" t="str">
            <v>REN</v>
          </cell>
        </row>
        <row r="2298">
          <cell r="B2298" t="str">
            <v>KHI/HO/D/MO/PC COMP/C/96729/46/09/2024</v>
          </cell>
          <cell r="D2298" t="str">
            <v>REN</v>
          </cell>
        </row>
        <row r="2299">
          <cell r="B2299" t="str">
            <v>KHI/HO/D/MO/PC COMP/C/96729/47/09/2024</v>
          </cell>
          <cell r="D2299" t="str">
            <v>REN</v>
          </cell>
        </row>
        <row r="2300">
          <cell r="B2300" t="str">
            <v>KHI/HO/D/MO/PC COMP/C/96729/48/09/2024</v>
          </cell>
          <cell r="D2300" t="str">
            <v>REN</v>
          </cell>
        </row>
        <row r="2301">
          <cell r="B2301" t="str">
            <v>KHI/HO/D/MO/PC COMP/C/96729/49/09/2024</v>
          </cell>
          <cell r="D2301" t="str">
            <v>REN</v>
          </cell>
        </row>
        <row r="2302">
          <cell r="B2302" t="str">
            <v>KHI/HO/D/MO/PC COMP/C/96731/1/09/2024</v>
          </cell>
          <cell r="D2302" t="str">
            <v>REN</v>
          </cell>
        </row>
        <row r="2303">
          <cell r="B2303" t="str">
            <v>KHI/HO/D/MO/PC COMP/C/96731/2/09/2024</v>
          </cell>
          <cell r="D2303" t="str">
            <v>REN</v>
          </cell>
        </row>
        <row r="2304">
          <cell r="B2304" t="str">
            <v>KHI/HO/D/MO/PC COMP/C/96731/3/09/2024</v>
          </cell>
          <cell r="D2304" t="str">
            <v>REN</v>
          </cell>
        </row>
        <row r="2305">
          <cell r="B2305" t="str">
            <v>KHI/HO/D/MO/PC COMP/C/96731/4/09/2024</v>
          </cell>
          <cell r="D2305" t="str">
            <v>REN</v>
          </cell>
        </row>
        <row r="2306">
          <cell r="B2306" t="str">
            <v>KHI/HO/D/MO/PC COMP/C/96790/1/09/2024</v>
          </cell>
          <cell r="D2306" t="str">
            <v>REN</v>
          </cell>
        </row>
        <row r="2307">
          <cell r="B2307" t="str">
            <v>KHI/HO/D/MO/PC COMP/C/96790/2/09/2024</v>
          </cell>
          <cell r="D2307" t="str">
            <v>REN</v>
          </cell>
        </row>
        <row r="2308">
          <cell r="B2308" t="str">
            <v>KHI/HO/D/MO/PC COMP/C/96843/1/09/2024</v>
          </cell>
          <cell r="D2308" t="str">
            <v>FRE</v>
          </cell>
        </row>
        <row r="2309">
          <cell r="B2309" t="str">
            <v>KHI/HO/D/MO/PC COMP/C/96843/2/09/2024</v>
          </cell>
          <cell r="D2309" t="str">
            <v>FRE</v>
          </cell>
        </row>
        <row r="2310">
          <cell r="B2310" t="str">
            <v>KHI/HO/D/MO/PC COMP/C/96843/3/09/2024</v>
          </cell>
          <cell r="D2310" t="str">
            <v>FRE</v>
          </cell>
        </row>
        <row r="2311">
          <cell r="B2311" t="str">
            <v>KHI/HO/D/MO/PC COMP/C/96843/4/09/2024</v>
          </cell>
          <cell r="D2311" t="str">
            <v>FRE</v>
          </cell>
        </row>
        <row r="2312">
          <cell r="B2312" t="str">
            <v>KHI/HO/D/MO/PC COMP/C/96843/5/09/2024</v>
          </cell>
          <cell r="D2312" t="str">
            <v>FRE</v>
          </cell>
        </row>
        <row r="2313">
          <cell r="B2313" t="str">
            <v>KHI/HO/D/MO/PC COMP/C/96843/6/09/2024</v>
          </cell>
          <cell r="D2313" t="str">
            <v>FRE</v>
          </cell>
        </row>
        <row r="2314">
          <cell r="B2314" t="str">
            <v>KHI/HO/D/MO/PC COMP/C/96843/7/09/2024</v>
          </cell>
          <cell r="D2314" t="str">
            <v>FRE</v>
          </cell>
        </row>
        <row r="2315">
          <cell r="B2315" t="str">
            <v>KHI/HO/D/MO/PC COMP/C/96843/8/09/2024</v>
          </cell>
          <cell r="D2315" t="str">
            <v>FRE</v>
          </cell>
        </row>
        <row r="2316">
          <cell r="B2316" t="str">
            <v>KHI/HO/D/MO/PC COMP/C/96843/9/09/2024</v>
          </cell>
          <cell r="D2316" t="str">
            <v>FRE</v>
          </cell>
        </row>
        <row r="2317">
          <cell r="B2317" t="str">
            <v>KHI/HO/D/MO/PC COMP/C/96843/10/09/2024</v>
          </cell>
          <cell r="D2317" t="str">
            <v>FRE</v>
          </cell>
        </row>
        <row r="2318">
          <cell r="B2318" t="str">
            <v>KHI/HO/D/MO/PC COMP/C/96843/11/09/2024</v>
          </cell>
          <cell r="D2318" t="str">
            <v>FRE</v>
          </cell>
        </row>
        <row r="2319">
          <cell r="B2319" t="str">
            <v>KHI/HO/D/MO/PC COMP/C/96843/12/09/2024</v>
          </cell>
          <cell r="D2319" t="str">
            <v>FRE</v>
          </cell>
        </row>
        <row r="2320">
          <cell r="B2320" t="str">
            <v>KHI/HO/D/MO/PC COMP/C/96843/13/09/2024</v>
          </cell>
          <cell r="D2320" t="str">
            <v>FRE</v>
          </cell>
        </row>
        <row r="2321">
          <cell r="B2321" t="str">
            <v>KHI/HO/D/MO/PC COMP/C/96843/14/09/2024</v>
          </cell>
          <cell r="D2321" t="str">
            <v>FRE</v>
          </cell>
        </row>
        <row r="2322">
          <cell r="B2322" t="str">
            <v>KHI/HO/D/MO/PC COMP/C/96843/15/09/2024</v>
          </cell>
          <cell r="D2322" t="str">
            <v>FRE</v>
          </cell>
        </row>
        <row r="2323">
          <cell r="B2323" t="str">
            <v>KHI/HO/D/MO/PC COMP/C/96843/16/09/2024</v>
          </cell>
          <cell r="D2323" t="str">
            <v>FRE</v>
          </cell>
        </row>
        <row r="2324">
          <cell r="B2324" t="str">
            <v>KHI/HO/D/MO/PC COMP/C/96843/17/09/2024</v>
          </cell>
          <cell r="D2324" t="str">
            <v>FRE</v>
          </cell>
        </row>
        <row r="2325">
          <cell r="B2325" t="str">
            <v>KHI/HO/D/MO/PC COMP/C/96843/18/09/2024</v>
          </cell>
          <cell r="D2325" t="str">
            <v>FRE</v>
          </cell>
        </row>
        <row r="2326">
          <cell r="B2326" t="str">
            <v>KHI/HO/D/MO/PC COMP/C/96843/19/09/2024</v>
          </cell>
          <cell r="D2326" t="str">
            <v>FRE</v>
          </cell>
        </row>
        <row r="2327">
          <cell r="B2327" t="str">
            <v>KHI/HO/D/MO/PC COMP/C/96843/20/09/2024</v>
          </cell>
          <cell r="D2327" t="str">
            <v>FRE</v>
          </cell>
        </row>
        <row r="2328">
          <cell r="B2328" t="str">
            <v>KHI/HO/D/MO/PC COMP/C/96843/21/09/2024</v>
          </cell>
          <cell r="D2328" t="str">
            <v>FRE</v>
          </cell>
        </row>
        <row r="2329">
          <cell r="B2329" t="str">
            <v>KHI/HO/D/MO/PC COMP/C/96843/22/09/2024</v>
          </cell>
          <cell r="D2329" t="str">
            <v>FRE</v>
          </cell>
        </row>
        <row r="2330">
          <cell r="B2330" t="str">
            <v>KHI/HO/D/MO/PC COMP/C/96843/23/09/2024</v>
          </cell>
          <cell r="D2330" t="str">
            <v>FRE</v>
          </cell>
        </row>
        <row r="2331">
          <cell r="B2331" t="str">
            <v>KHI/HO/D/MO/PC COMP/C/96843/24/09/2024</v>
          </cell>
          <cell r="D2331" t="str">
            <v>FRE</v>
          </cell>
        </row>
        <row r="2332">
          <cell r="B2332" t="str">
            <v>KHI/HO/D/MO/PC COMP/C/96843/25/09/2024</v>
          </cell>
          <cell r="D2332" t="str">
            <v>FRE</v>
          </cell>
        </row>
        <row r="2333">
          <cell r="B2333" t="str">
            <v>KHI/HO/D/MO/PC COMP/C/96843/26/09/2024</v>
          </cell>
          <cell r="D2333" t="str">
            <v>FRE</v>
          </cell>
        </row>
        <row r="2334">
          <cell r="B2334" t="str">
            <v>KHI/HO/D/MO/PC COMP/C/96843/27/09/2024</v>
          </cell>
          <cell r="D2334" t="str">
            <v>FRE</v>
          </cell>
        </row>
        <row r="2335">
          <cell r="B2335" t="str">
            <v>KHI/HO/D/MO/PC COMP/C/96843/28/09/2024</v>
          </cell>
          <cell r="D2335" t="str">
            <v>FRE</v>
          </cell>
        </row>
        <row r="2336">
          <cell r="B2336" t="str">
            <v>KHI/HO/D/MO/PC COMP/C/96843/29/09/2024</v>
          </cell>
          <cell r="D2336" t="str">
            <v>FRE</v>
          </cell>
        </row>
        <row r="2337">
          <cell r="B2337" t="str">
            <v>KHI/HO/D/MO/PC COMP/C/96843/30/09/2024</v>
          </cell>
          <cell r="D2337" t="str">
            <v>FRE</v>
          </cell>
        </row>
        <row r="2338">
          <cell r="B2338" t="str">
            <v>KHI/HO/D/MO/PC COMP/C/96843/31/09/2024</v>
          </cell>
          <cell r="D2338" t="str">
            <v>FRE</v>
          </cell>
        </row>
        <row r="2339">
          <cell r="B2339" t="str">
            <v>KHI/HO/D/MO/PC COMP/C/96843/32/09/2024</v>
          </cell>
          <cell r="D2339" t="str">
            <v>FRE</v>
          </cell>
        </row>
        <row r="2340">
          <cell r="B2340" t="str">
            <v>KHI/HO/D/MO/PC COMP/C/96843/33/09/2024</v>
          </cell>
          <cell r="D2340" t="str">
            <v>FRE</v>
          </cell>
        </row>
        <row r="2341">
          <cell r="B2341" t="str">
            <v>KHI/HO/D/MO/PC COMP/C/96843/34/09/2024</v>
          </cell>
          <cell r="D2341" t="str">
            <v>FRE</v>
          </cell>
        </row>
        <row r="2342">
          <cell r="B2342" t="str">
            <v>KHI/HO/D/MO/PC COMP/C/96843/35/09/2024</v>
          </cell>
          <cell r="D2342" t="str">
            <v>FRE</v>
          </cell>
        </row>
        <row r="2343">
          <cell r="B2343" t="str">
            <v>KHI/HO/D/MO/PC COMP/C/96843/36/09/2024</v>
          </cell>
          <cell r="D2343" t="str">
            <v>FRE</v>
          </cell>
        </row>
        <row r="2344">
          <cell r="B2344" t="str">
            <v>KHI/HO/D/MO/PC COMP/C/96843/37/09/2024</v>
          </cell>
          <cell r="D2344" t="str">
            <v>FRE</v>
          </cell>
        </row>
        <row r="2345">
          <cell r="B2345" t="str">
            <v>KHI/HO/D/MO/PC COMP/C/96843/38/09/2024</v>
          </cell>
          <cell r="D2345" t="str">
            <v>FRE</v>
          </cell>
        </row>
        <row r="2346">
          <cell r="B2346" t="str">
            <v>KHI/HO/D/MO/PC COMP/C/96843/39/09/2024</v>
          </cell>
          <cell r="D2346" t="str">
            <v>FRE</v>
          </cell>
        </row>
        <row r="2347">
          <cell r="B2347" t="str">
            <v>KHI/HO/D/MO/PC COMP/C/96843/40/09/2024</v>
          </cell>
          <cell r="D2347" t="str">
            <v>FRE</v>
          </cell>
        </row>
        <row r="2348">
          <cell r="B2348" t="str">
            <v>KHI/HO/D/MO/PC COMP/C/96843/41/09/2024</v>
          </cell>
          <cell r="D2348" t="str">
            <v>FRE</v>
          </cell>
        </row>
        <row r="2349">
          <cell r="B2349" t="str">
            <v>KHI/HO/D/MO/PC COMP/C/96843/42/09/2024</v>
          </cell>
          <cell r="D2349" t="str">
            <v>FRE</v>
          </cell>
        </row>
        <row r="2350">
          <cell r="B2350" t="str">
            <v>KHI/HO/D/MO/PC COMP/C/96843/43/09/2024</v>
          </cell>
          <cell r="D2350" t="str">
            <v>FRE</v>
          </cell>
        </row>
        <row r="2351">
          <cell r="B2351" t="str">
            <v>KHI/HO/D/MO/PC COMP/C/96843/44/09/2024</v>
          </cell>
          <cell r="D2351" t="str">
            <v>FRE</v>
          </cell>
        </row>
        <row r="2352">
          <cell r="B2352" t="str">
            <v>KHI/HO/D/MO/PC COMP/C/96843/45/09/2024</v>
          </cell>
          <cell r="D2352" t="str">
            <v>FRE</v>
          </cell>
        </row>
        <row r="2353">
          <cell r="B2353" t="str">
            <v>KHI/HO/D/MO/PC COMP/C/96843/46/09/2024</v>
          </cell>
          <cell r="D2353" t="str">
            <v>FRE</v>
          </cell>
        </row>
        <row r="2354">
          <cell r="B2354" t="str">
            <v>KHI/HO/D/MO/PC COMP/C/96843/47/09/2024</v>
          </cell>
          <cell r="D2354" t="str">
            <v>FRE</v>
          </cell>
        </row>
        <row r="2355">
          <cell r="B2355" t="str">
            <v>KHI/HO/D/MO/PC COMP/C/96843/48/09/2024</v>
          </cell>
          <cell r="D2355" t="str">
            <v>FRE</v>
          </cell>
        </row>
        <row r="2356">
          <cell r="B2356" t="str">
            <v>KHI/HO/D/MO/PC COMP/C/98823/1/10/2024</v>
          </cell>
          <cell r="D2356" t="str">
            <v>FRE</v>
          </cell>
        </row>
        <row r="2357">
          <cell r="B2357" t="str">
            <v>KHI/HO/D/MO/PC COMP/C/98823/2/10/2024</v>
          </cell>
          <cell r="D2357" t="str">
            <v>FRE</v>
          </cell>
        </row>
        <row r="2358">
          <cell r="B2358" t="str">
            <v>KHI/HO/D/MO/PC COMP/C/98823/3/10/2024</v>
          </cell>
          <cell r="D2358" t="str">
            <v>FRE</v>
          </cell>
        </row>
        <row r="2359">
          <cell r="B2359" t="str">
            <v>KHI/HO/D/MO/PC COMP/C/98823/4/10/2024</v>
          </cell>
          <cell r="D2359" t="str">
            <v>FRE</v>
          </cell>
        </row>
        <row r="2360">
          <cell r="B2360" t="str">
            <v>KHI/HO/D/MO/PC COMP/C/98823/5/10/2024</v>
          </cell>
          <cell r="D2360" t="str">
            <v>FRE</v>
          </cell>
        </row>
        <row r="2361">
          <cell r="B2361" t="str">
            <v>KHI/HO/D/MO/PC COMP/C/98823/6/10/2024</v>
          </cell>
          <cell r="D2361" t="str">
            <v>FRE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 ins_assorted"/>
      <sheetName val="SQL Statement"/>
    </sheetNames>
    <sheetDataSet>
      <sheetData sheetId="0">
        <row r="1">
          <cell r="B1" t="str">
            <v>FUNC_ASSORTED_STRING(IA.ASSORTED_CODE)</v>
          </cell>
          <cell r="C1" t="str">
            <v>ASSORTED_CODE</v>
          </cell>
        </row>
        <row r="2">
          <cell r="B2" t="str">
            <v>KHI/HO/D/MO/PC COMP/C/96843/23/09/2024</v>
          </cell>
          <cell r="C2" t="str">
            <v>070000166159</v>
          </cell>
        </row>
        <row r="3">
          <cell r="B3" t="str">
            <v>KHI/HO/D/MO/PC COMP/C/96843/44/09/2024</v>
          </cell>
          <cell r="C3" t="str">
            <v>070000166900</v>
          </cell>
        </row>
        <row r="4">
          <cell r="B4" t="str">
            <v>KHI/HO/D/MO/PC COMP/C/96843/45/09/2024</v>
          </cell>
          <cell r="C4" t="str">
            <v>070000166901</v>
          </cell>
        </row>
        <row r="5">
          <cell r="B5" t="str">
            <v>KHI/HO/D/MO/PC COMP/C/96843/10/09/2024</v>
          </cell>
          <cell r="C5" t="str">
            <v>070000165528</v>
          </cell>
        </row>
        <row r="6">
          <cell r="B6" t="str">
            <v>KHI/HO/D/MO/PC COMP/C/96843/19/09/2024</v>
          </cell>
          <cell r="C6" t="str">
            <v>070000166126</v>
          </cell>
        </row>
        <row r="7">
          <cell r="B7" t="str">
            <v>KHI/HO/D/MO/PC COMP/C/96843/20/09/2024</v>
          </cell>
          <cell r="C7" t="str">
            <v>070000166127</v>
          </cell>
        </row>
        <row r="8">
          <cell r="B8" t="str">
            <v>KHI/HO/D/MO/PC COMP/C/96843/37/09/2024</v>
          </cell>
          <cell r="C8" t="str">
            <v>070000166870</v>
          </cell>
        </row>
        <row r="9">
          <cell r="B9" t="str">
            <v>KHI/HO/D/MO/PC COMP/C/96843/28/09/2024</v>
          </cell>
          <cell r="C9" t="str">
            <v>070000166741</v>
          </cell>
        </row>
        <row r="10">
          <cell r="B10" t="str">
            <v>KHI/HO/D/MO/PC COMP/C/96843/18/09/2024</v>
          </cell>
          <cell r="C10" t="str">
            <v>070000165704</v>
          </cell>
        </row>
        <row r="11">
          <cell r="B11" t="str">
            <v>KHI/HO/D/MO/PC COMP/C/96843/29/09/2024</v>
          </cell>
          <cell r="C11" t="str">
            <v>070000166751</v>
          </cell>
        </row>
        <row r="12">
          <cell r="B12" t="str">
            <v>KHI/HO/D/MO/PC COMP/C/96843/13/09/2024</v>
          </cell>
          <cell r="C12" t="str">
            <v>070000165649</v>
          </cell>
        </row>
        <row r="13">
          <cell r="B13" t="str">
            <v>KHI/HO/D/MO/PC COMP/C/96843/14/09/2024</v>
          </cell>
          <cell r="C13" t="str">
            <v>070000165650</v>
          </cell>
        </row>
        <row r="14">
          <cell r="B14" t="str">
            <v>KHI/HO/D/MO/PC COMP/C/96843/30/09/2024</v>
          </cell>
          <cell r="C14" t="str">
            <v>070000166814</v>
          </cell>
        </row>
        <row r="15">
          <cell r="B15" t="str">
            <v>KHI/HO/D/MO/PC COMP/C/96843/31/09/2024</v>
          </cell>
          <cell r="C15" t="str">
            <v>070000166821</v>
          </cell>
        </row>
        <row r="16">
          <cell r="B16" t="str">
            <v>KHI/HO/D/MO/PC COMP/C/96843/32/09/2024</v>
          </cell>
          <cell r="C16" t="str">
            <v>070000166827</v>
          </cell>
        </row>
        <row r="17">
          <cell r="B17" t="str">
            <v>KHI/HO/D/MO/PC COMP/C/96843/33/09/2024</v>
          </cell>
          <cell r="C17" t="str">
            <v>070000166840</v>
          </cell>
        </row>
        <row r="18">
          <cell r="B18" t="str">
            <v>KHI/HO/D/MO/PC COMP/C/96843/27/09/2024</v>
          </cell>
          <cell r="C18" t="str">
            <v>070000166665</v>
          </cell>
        </row>
        <row r="19">
          <cell r="B19" t="str">
            <v>KHI/HO/D/MO/PC COMP/C/96843/26/09/2024</v>
          </cell>
          <cell r="C19" t="str">
            <v>070000166628</v>
          </cell>
        </row>
        <row r="20">
          <cell r="B20" t="str">
            <v>KHI/HO/D/MO/PC COMP/C/96843/34/09/2024</v>
          </cell>
          <cell r="C20" t="str">
            <v>070000166849</v>
          </cell>
        </row>
        <row r="21">
          <cell r="B21" t="str">
            <v>KHI/HO/D/MO/PC COMP/C/96843/17/09/2024</v>
          </cell>
          <cell r="C21" t="str">
            <v>070000165702</v>
          </cell>
        </row>
        <row r="22">
          <cell r="B22" t="str">
            <v>KHI/HO/D/MO/PC COMP/C/96843/21/09/2024</v>
          </cell>
          <cell r="C22" t="str">
            <v>070000166136</v>
          </cell>
        </row>
        <row r="23">
          <cell r="B23" t="str">
            <v>KHI/HO/D/MO/PC COMP/C/96843/3/09/2024</v>
          </cell>
          <cell r="C23" t="str">
            <v>070000165318</v>
          </cell>
        </row>
        <row r="24">
          <cell r="B24" t="str">
            <v>KHI/HO/D/MO/PC COMP/C/96843/42/09/2024</v>
          </cell>
          <cell r="C24" t="str">
            <v>070000166898</v>
          </cell>
        </row>
        <row r="25">
          <cell r="B25" t="str">
            <v>KHI/HO/D/MO/PC COMP/C/96843/43/09/2024</v>
          </cell>
          <cell r="C25" t="str">
            <v>070000166899</v>
          </cell>
        </row>
        <row r="26">
          <cell r="B26" t="str">
            <v>KHI/HO/D/MO/PC COMP/C/96843/12/09/2024</v>
          </cell>
          <cell r="C26" t="str">
            <v>070000165599</v>
          </cell>
        </row>
        <row r="27">
          <cell r="B27" t="str">
            <v>KHI/HO/D/MO/PC COMP/C/96843/6/09/2024</v>
          </cell>
          <cell r="C27" t="str">
            <v>070000165436</v>
          </cell>
        </row>
        <row r="28">
          <cell r="B28" t="str">
            <v>KHI/HO/D/MO/PC COMP/C/96843/11/09/2024</v>
          </cell>
          <cell r="C28" t="str">
            <v>070000165584</v>
          </cell>
        </row>
        <row r="29">
          <cell r="B29" t="str">
            <v>KHI/HO/D/MO/PC COMP/C/96843/24/09/2024</v>
          </cell>
          <cell r="C29" t="str">
            <v>070000166169</v>
          </cell>
        </row>
        <row r="30">
          <cell r="B30" t="str">
            <v>KHI/HO/D/MO/PC COMP/C/96843/2/09/2024</v>
          </cell>
          <cell r="C30" t="str">
            <v>070000165294</v>
          </cell>
        </row>
        <row r="31">
          <cell r="B31" t="str">
            <v>KHI/HO/D/MO/PC COMP/C/96843/22/09/2024</v>
          </cell>
          <cell r="C31" t="str">
            <v>070000166145</v>
          </cell>
        </row>
        <row r="32">
          <cell r="B32" t="str">
            <v>KHI/HO/D/MO/PC COMP/C/96843/5/09/2024</v>
          </cell>
          <cell r="C32" t="str">
            <v>070000165427</v>
          </cell>
        </row>
        <row r="33">
          <cell r="B33" t="str">
            <v>KHI/HO/D/MO/PC COMP/C/96843/9/09/2024</v>
          </cell>
          <cell r="C33" t="str">
            <v>070000165516</v>
          </cell>
        </row>
        <row r="34">
          <cell r="B34" t="str">
            <v>KHI/HO/D/MO/PC COMP/C/96843/25/09/2024</v>
          </cell>
          <cell r="C34" t="str">
            <v>070000166426</v>
          </cell>
        </row>
        <row r="35">
          <cell r="B35" t="str">
            <v>KHI/HO/D/MO/PC COMP/C/96843/16/09/2024</v>
          </cell>
          <cell r="C35" t="str">
            <v>070000165657</v>
          </cell>
        </row>
        <row r="36">
          <cell r="B36" t="str">
            <v>KHI/HO/D/MO/PC COMP/C/96843/38/09/2024</v>
          </cell>
          <cell r="C36" t="str">
            <v>070000166892</v>
          </cell>
        </row>
        <row r="37">
          <cell r="B37" t="str">
            <v>KHI/HO/D/MO/PC COMP/C/96843/46/09/2024</v>
          </cell>
          <cell r="C37" t="str">
            <v>070000166904</v>
          </cell>
        </row>
        <row r="38">
          <cell r="B38" t="str">
            <v>KHI/HO/D/MO/PC COMP/C/96843/41/09/2024</v>
          </cell>
          <cell r="C38" t="str">
            <v>070000166897</v>
          </cell>
        </row>
        <row r="39">
          <cell r="B39" t="str">
            <v>KHI/HO/D/MO/PC COMP/C/96843/15/09/2024</v>
          </cell>
          <cell r="C39" t="str">
            <v>070000165654</v>
          </cell>
        </row>
        <row r="40">
          <cell r="B40" t="str">
            <v>KHI/HO/D/MO/PC COMP/C/96843/35/09/2024</v>
          </cell>
          <cell r="C40" t="str">
            <v>070000166862</v>
          </cell>
        </row>
        <row r="41">
          <cell r="B41" t="str">
            <v>KHI/HO/D/MO/PC COMP/C/96843/1/09/2024</v>
          </cell>
          <cell r="C41" t="str">
            <v>070000165274</v>
          </cell>
        </row>
        <row r="42">
          <cell r="B42" t="str">
            <v>KHI/HO/D/MO/PC COMP/C/96843/7/09/2024</v>
          </cell>
          <cell r="C42" t="str">
            <v>070000165439</v>
          </cell>
        </row>
        <row r="43">
          <cell r="B43" t="str">
            <v>KHI/HO/D/MO/PC COMP/C/96843/39/09/2024</v>
          </cell>
          <cell r="C43" t="str">
            <v>070000166895</v>
          </cell>
        </row>
        <row r="44">
          <cell r="B44" t="str">
            <v>KHI/HO/D/MO/PC COMP/C/96843/40/09/2024</v>
          </cell>
          <cell r="C44" t="str">
            <v>070000166896</v>
          </cell>
        </row>
        <row r="45">
          <cell r="B45" t="str">
            <v>KHI/HO/D/MO/PC COMP/C/96843/47/09/2024</v>
          </cell>
          <cell r="C45" t="str">
            <v>070000166905</v>
          </cell>
        </row>
        <row r="46">
          <cell r="B46" t="str">
            <v>KHI/HO/D/MO/PC COMP/C/96843/48/09/2024</v>
          </cell>
          <cell r="C46" t="str">
            <v>070000166906</v>
          </cell>
        </row>
        <row r="47">
          <cell r="B47" t="str">
            <v>KHI/HO/D/MO/PC COMP/C/96843/4/09/2024</v>
          </cell>
          <cell r="C47" t="str">
            <v>070000165322</v>
          </cell>
        </row>
        <row r="48">
          <cell r="B48" t="str">
            <v>KHI/HO/D/MO/PC COMP/C/96843/36/09/2024</v>
          </cell>
          <cell r="C48" t="str">
            <v>070000166864</v>
          </cell>
        </row>
        <row r="49">
          <cell r="B49" t="str">
            <v>KHI/HO/D/MO/PC COMP/C/96843/8/09/2024</v>
          </cell>
          <cell r="C49" t="str">
            <v>070000165478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3B85-CCDE-42B5-8405-9F381D6CC83A}">
  <dimension ref="A1:AK49"/>
  <sheetViews>
    <sheetView topLeftCell="AA29" workbookViewId="0">
      <selection activeCell="AF2" sqref="AF2:AF49"/>
    </sheetView>
  </sheetViews>
  <sheetFormatPr defaultColWidth="8.85546875" defaultRowHeight="15" x14ac:dyDescent="0.25"/>
  <cols>
    <col min="1" max="31" width="8.85546875" style="17"/>
    <col min="32" max="32" width="39.28515625" style="17" bestFit="1" customWidth="1"/>
    <col min="33" max="33" width="39.28515625" style="17" customWidth="1"/>
    <col min="34" max="34" width="11.42578125" style="17" bestFit="1" customWidth="1"/>
    <col min="35" max="35" width="9.28515625" style="17" customWidth="1"/>
    <col min="36" max="36" width="8.85546875" style="17"/>
    <col min="37" max="37" width="18.7109375" style="17" bestFit="1" customWidth="1"/>
    <col min="38" max="16384" width="8.85546875" style="17"/>
  </cols>
  <sheetData>
    <row r="1" spans="1:37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7" t="s">
        <v>20</v>
      </c>
      <c r="W1" s="9" t="s">
        <v>21</v>
      </c>
      <c r="X1" s="10" t="s">
        <v>22</v>
      </c>
      <c r="Y1" s="9" t="s">
        <v>23</v>
      </c>
      <c r="Z1" s="11" t="s">
        <v>24</v>
      </c>
      <c r="AA1" s="12" t="s">
        <v>25</v>
      </c>
      <c r="AB1" s="13" t="s">
        <v>26</v>
      </c>
      <c r="AC1" s="14" t="s">
        <v>27</v>
      </c>
      <c r="AD1" s="9" t="s">
        <v>28</v>
      </c>
      <c r="AE1" s="15" t="s">
        <v>29</v>
      </c>
      <c r="AF1" s="16" t="s">
        <v>30</v>
      </c>
      <c r="AG1" s="16" t="s">
        <v>1628</v>
      </c>
      <c r="AH1" s="16" t="s">
        <v>31</v>
      </c>
      <c r="AI1" s="16" t="s">
        <v>32</v>
      </c>
      <c r="AJ1" s="16" t="s">
        <v>33</v>
      </c>
      <c r="AK1" s="16" t="s">
        <v>34</v>
      </c>
    </row>
    <row r="2" spans="1:37" x14ac:dyDescent="0.25">
      <c r="A2" s="18" t="s">
        <v>35</v>
      </c>
      <c r="B2" s="19" t="s">
        <v>36</v>
      </c>
      <c r="C2" s="20">
        <v>45536</v>
      </c>
      <c r="D2" s="18" t="s">
        <v>37</v>
      </c>
      <c r="E2" s="19" t="s">
        <v>38</v>
      </c>
      <c r="F2" s="21">
        <v>45541</v>
      </c>
      <c r="G2" s="21">
        <v>45905</v>
      </c>
      <c r="H2" s="22" t="s">
        <v>39</v>
      </c>
      <c r="I2" s="23">
        <v>4230174899114</v>
      </c>
      <c r="J2" s="22" t="s">
        <v>40</v>
      </c>
      <c r="K2" s="19" t="s">
        <v>41</v>
      </c>
      <c r="L2" s="19" t="s">
        <v>42</v>
      </c>
      <c r="M2" s="19" t="s">
        <v>43</v>
      </c>
      <c r="N2" s="19" t="s">
        <v>36</v>
      </c>
      <c r="O2" s="19" t="s">
        <v>44</v>
      </c>
      <c r="P2" s="19" t="s">
        <v>45</v>
      </c>
      <c r="Q2" s="19" t="s">
        <v>46</v>
      </c>
      <c r="R2" s="21">
        <v>45546</v>
      </c>
      <c r="S2" s="21">
        <v>46636</v>
      </c>
      <c r="T2" s="24">
        <v>3100000</v>
      </c>
      <c r="U2" s="19"/>
      <c r="V2" s="19"/>
      <c r="W2" s="25">
        <v>3100000</v>
      </c>
      <c r="X2" s="26">
        <v>2</v>
      </c>
      <c r="Y2" s="25">
        <v>62000</v>
      </c>
      <c r="Z2" s="19"/>
      <c r="AA2" s="19" t="s">
        <v>47</v>
      </c>
      <c r="AB2" s="19">
        <v>1141070982</v>
      </c>
      <c r="AC2" s="27">
        <v>45586</v>
      </c>
      <c r="AD2" s="18" t="s">
        <v>48</v>
      </c>
      <c r="AE2" s="18">
        <v>0</v>
      </c>
      <c r="AF2" s="28" t="s">
        <v>38</v>
      </c>
      <c r="AG2" s="28"/>
      <c r="AH2" s="29">
        <v>62000</v>
      </c>
      <c r="AI2" s="30">
        <f>Y2-AH2</f>
        <v>0</v>
      </c>
      <c r="AJ2" s="28" t="str">
        <f>VLOOKUP(AF2,[1]Sheet3!$B$2:$D$2361,3,0)</f>
        <v>FRE</v>
      </c>
      <c r="AK2" s="28" t="s">
        <v>49</v>
      </c>
    </row>
    <row r="3" spans="1:37" x14ac:dyDescent="0.25">
      <c r="A3" s="18" t="s">
        <v>35</v>
      </c>
      <c r="B3" s="19" t="s">
        <v>50</v>
      </c>
      <c r="C3" s="20">
        <v>45536</v>
      </c>
      <c r="D3" s="18" t="s">
        <v>37</v>
      </c>
      <c r="E3" s="19" t="s">
        <v>51</v>
      </c>
      <c r="F3" s="21">
        <v>45551</v>
      </c>
      <c r="G3" s="21">
        <v>45915</v>
      </c>
      <c r="H3" s="22" t="s">
        <v>52</v>
      </c>
      <c r="I3" s="23">
        <v>3630201053933</v>
      </c>
      <c r="J3" s="22" t="s">
        <v>53</v>
      </c>
      <c r="K3" s="19" t="s">
        <v>54</v>
      </c>
      <c r="L3" s="19" t="s">
        <v>55</v>
      </c>
      <c r="M3" s="19" t="s">
        <v>56</v>
      </c>
      <c r="N3" s="19" t="s">
        <v>50</v>
      </c>
      <c r="O3" s="18" t="s">
        <v>57</v>
      </c>
      <c r="P3" s="19" t="s">
        <v>58</v>
      </c>
      <c r="Q3" s="19" t="s">
        <v>59</v>
      </c>
      <c r="R3" s="21">
        <v>45558</v>
      </c>
      <c r="S3" s="21">
        <v>47396</v>
      </c>
      <c r="T3" s="24">
        <v>2900000</v>
      </c>
      <c r="U3" s="19"/>
      <c r="V3" s="19"/>
      <c r="W3" s="25">
        <v>2900000</v>
      </c>
      <c r="X3" s="26">
        <v>2</v>
      </c>
      <c r="Y3" s="25">
        <v>58000</v>
      </c>
      <c r="Z3" s="19"/>
      <c r="AA3" s="19" t="s">
        <v>47</v>
      </c>
      <c r="AB3" s="19">
        <v>1141070982</v>
      </c>
      <c r="AC3" s="27">
        <v>45586</v>
      </c>
      <c r="AD3" s="18" t="s">
        <v>48</v>
      </c>
      <c r="AE3" s="18">
        <v>0</v>
      </c>
      <c r="AF3" s="28" t="s">
        <v>51</v>
      </c>
      <c r="AG3" s="28"/>
      <c r="AH3" s="29">
        <v>58000</v>
      </c>
      <c r="AI3" s="30">
        <f t="shared" ref="AI3:AI49" si="0">Y3-AH3</f>
        <v>0</v>
      </c>
      <c r="AJ3" s="28" t="str">
        <f>VLOOKUP(AF3,[1]Sheet3!$B$2:$D$2361,3,0)</f>
        <v>FRE</v>
      </c>
      <c r="AK3" s="28" t="s">
        <v>49</v>
      </c>
    </row>
    <row r="4" spans="1:37" x14ac:dyDescent="0.25">
      <c r="A4" s="18" t="s">
        <v>35</v>
      </c>
      <c r="B4" s="19" t="s">
        <v>60</v>
      </c>
      <c r="C4" s="20">
        <v>45536</v>
      </c>
      <c r="D4" s="18" t="s">
        <v>37</v>
      </c>
      <c r="E4" s="19" t="s">
        <v>61</v>
      </c>
      <c r="F4" s="21">
        <v>45553</v>
      </c>
      <c r="G4" s="21">
        <v>45917</v>
      </c>
      <c r="H4" s="22" t="s">
        <v>62</v>
      </c>
      <c r="I4" s="23">
        <v>1560703435961</v>
      </c>
      <c r="J4" s="22" t="s">
        <v>63</v>
      </c>
      <c r="K4" s="19" t="s">
        <v>64</v>
      </c>
      <c r="L4" s="19" t="s">
        <v>65</v>
      </c>
      <c r="M4" s="19" t="s">
        <v>66</v>
      </c>
      <c r="N4" s="19" t="s">
        <v>60</v>
      </c>
      <c r="O4" s="18" t="s">
        <v>57</v>
      </c>
      <c r="P4" s="19" t="s">
        <v>67</v>
      </c>
      <c r="Q4" s="19" t="s">
        <v>68</v>
      </c>
      <c r="R4" s="21">
        <v>45558</v>
      </c>
      <c r="S4" s="21">
        <v>47396</v>
      </c>
      <c r="T4" s="24">
        <v>2700000</v>
      </c>
      <c r="U4" s="19"/>
      <c r="V4" s="19"/>
      <c r="W4" s="25">
        <v>2700000</v>
      </c>
      <c r="X4" s="26">
        <v>2</v>
      </c>
      <c r="Y4" s="25">
        <v>54000</v>
      </c>
      <c r="Z4" s="19"/>
      <c r="AA4" s="19" t="s">
        <v>47</v>
      </c>
      <c r="AB4" s="19">
        <v>1141070982</v>
      </c>
      <c r="AC4" s="27">
        <v>45586</v>
      </c>
      <c r="AD4" s="18" t="s">
        <v>48</v>
      </c>
      <c r="AE4" s="18">
        <v>0</v>
      </c>
      <c r="AF4" s="28" t="s">
        <v>61</v>
      </c>
      <c r="AG4" s="28"/>
      <c r="AH4" s="29">
        <v>54000</v>
      </c>
      <c r="AI4" s="30">
        <f t="shared" si="0"/>
        <v>0</v>
      </c>
      <c r="AJ4" s="28" t="str">
        <f>VLOOKUP(AF4,[1]Sheet3!$B$2:$D$2361,3,0)</f>
        <v>FRE</v>
      </c>
      <c r="AK4" s="28" t="s">
        <v>49</v>
      </c>
    </row>
    <row r="5" spans="1:37" x14ac:dyDescent="0.25">
      <c r="A5" s="18" t="s">
        <v>35</v>
      </c>
      <c r="B5" s="19" t="s">
        <v>69</v>
      </c>
      <c r="C5" s="20">
        <v>45536</v>
      </c>
      <c r="D5" s="18" t="s">
        <v>37</v>
      </c>
      <c r="E5" s="19" t="s">
        <v>70</v>
      </c>
      <c r="F5" s="21">
        <v>45554</v>
      </c>
      <c r="G5" s="21">
        <v>45918</v>
      </c>
      <c r="H5" s="22" t="s">
        <v>71</v>
      </c>
      <c r="I5" s="23">
        <v>3520131115579</v>
      </c>
      <c r="J5" s="22" t="s">
        <v>72</v>
      </c>
      <c r="K5" s="19" t="s">
        <v>73</v>
      </c>
      <c r="L5" s="19" t="s">
        <v>74</v>
      </c>
      <c r="M5" s="19" t="s">
        <v>75</v>
      </c>
      <c r="N5" s="19" t="s">
        <v>69</v>
      </c>
      <c r="O5" s="18" t="s">
        <v>57</v>
      </c>
      <c r="P5" s="19" t="s">
        <v>76</v>
      </c>
      <c r="Q5" s="19" t="s">
        <v>77</v>
      </c>
      <c r="R5" s="21">
        <v>45555</v>
      </c>
      <c r="S5" s="21">
        <v>46665</v>
      </c>
      <c r="T5" s="24">
        <v>3000000</v>
      </c>
      <c r="U5" s="19"/>
      <c r="V5" s="19"/>
      <c r="W5" s="25">
        <v>3000000</v>
      </c>
      <c r="X5" s="26">
        <v>2</v>
      </c>
      <c r="Y5" s="25">
        <v>60000</v>
      </c>
      <c r="Z5" s="19"/>
      <c r="AA5" s="19" t="s">
        <v>47</v>
      </c>
      <c r="AB5" s="19">
        <v>1141070982</v>
      </c>
      <c r="AC5" s="27">
        <v>45586</v>
      </c>
      <c r="AD5" s="18" t="s">
        <v>48</v>
      </c>
      <c r="AE5" s="18">
        <v>0</v>
      </c>
      <c r="AF5" s="28" t="s">
        <v>70</v>
      </c>
      <c r="AG5" s="28"/>
      <c r="AH5" s="29">
        <v>60000</v>
      </c>
      <c r="AI5" s="30">
        <f t="shared" si="0"/>
        <v>0</v>
      </c>
      <c r="AJ5" s="28" t="str">
        <f>VLOOKUP(AF5,[1]Sheet3!$B$2:$D$2361,3,0)</f>
        <v>FRE</v>
      </c>
      <c r="AK5" s="28" t="s">
        <v>49</v>
      </c>
    </row>
    <row r="6" spans="1:37" x14ac:dyDescent="0.25">
      <c r="A6" s="18" t="s">
        <v>35</v>
      </c>
      <c r="B6" s="19" t="s">
        <v>78</v>
      </c>
      <c r="C6" s="20">
        <v>45536</v>
      </c>
      <c r="D6" s="18" t="s">
        <v>37</v>
      </c>
      <c r="E6" s="19" t="s">
        <v>79</v>
      </c>
      <c r="F6" s="21">
        <v>45554</v>
      </c>
      <c r="G6" s="21">
        <v>45918</v>
      </c>
      <c r="H6" s="22" t="s">
        <v>80</v>
      </c>
      <c r="I6" s="23">
        <v>3520298870751</v>
      </c>
      <c r="J6" s="22" t="s">
        <v>81</v>
      </c>
      <c r="K6" s="19" t="s">
        <v>82</v>
      </c>
      <c r="L6" s="19" t="s">
        <v>83</v>
      </c>
      <c r="M6" s="19" t="s">
        <v>84</v>
      </c>
      <c r="N6" s="19" t="s">
        <v>78</v>
      </c>
      <c r="O6" s="18" t="s">
        <v>57</v>
      </c>
      <c r="P6" s="19" t="s">
        <v>76</v>
      </c>
      <c r="Q6" s="19" t="s">
        <v>85</v>
      </c>
      <c r="R6" s="21">
        <v>45555</v>
      </c>
      <c r="S6" s="21">
        <v>46665</v>
      </c>
      <c r="T6" s="24">
        <v>4000000</v>
      </c>
      <c r="U6" s="19"/>
      <c r="V6" s="19"/>
      <c r="W6" s="25">
        <v>4000000</v>
      </c>
      <c r="X6" s="26">
        <v>1.5</v>
      </c>
      <c r="Y6" s="25">
        <v>60000</v>
      </c>
      <c r="Z6" s="19"/>
      <c r="AA6" s="19" t="s">
        <v>47</v>
      </c>
      <c r="AB6" s="19">
        <v>1141070982</v>
      </c>
      <c r="AC6" s="27">
        <v>45586</v>
      </c>
      <c r="AD6" s="18" t="s">
        <v>48</v>
      </c>
      <c r="AE6" s="18">
        <v>0</v>
      </c>
      <c r="AF6" s="28" t="s">
        <v>79</v>
      </c>
      <c r="AG6" s="28"/>
      <c r="AH6" s="29">
        <v>60000</v>
      </c>
      <c r="AI6" s="30">
        <f t="shared" si="0"/>
        <v>0</v>
      </c>
      <c r="AJ6" s="28" t="str">
        <f>VLOOKUP(AF6,[1]Sheet3!$B$2:$D$2361,3,0)</f>
        <v>FRE</v>
      </c>
      <c r="AK6" s="28" t="s">
        <v>49</v>
      </c>
    </row>
    <row r="7" spans="1:37" x14ac:dyDescent="0.25">
      <c r="A7" s="18" t="s">
        <v>35</v>
      </c>
      <c r="B7" s="19" t="s">
        <v>86</v>
      </c>
      <c r="C7" s="20">
        <v>45536</v>
      </c>
      <c r="D7" s="18" t="s">
        <v>37</v>
      </c>
      <c r="E7" s="19" t="s">
        <v>87</v>
      </c>
      <c r="F7" s="21">
        <v>45554</v>
      </c>
      <c r="G7" s="21">
        <v>45918</v>
      </c>
      <c r="H7" s="22" t="s">
        <v>88</v>
      </c>
      <c r="I7" s="23">
        <v>3130397947331</v>
      </c>
      <c r="J7" s="22" t="s">
        <v>89</v>
      </c>
      <c r="K7" s="19" t="s">
        <v>90</v>
      </c>
      <c r="L7" s="19" t="s">
        <v>91</v>
      </c>
      <c r="M7" s="19" t="s">
        <v>92</v>
      </c>
      <c r="N7" s="19" t="s">
        <v>86</v>
      </c>
      <c r="O7" s="18" t="s">
        <v>57</v>
      </c>
      <c r="P7" s="19" t="s">
        <v>93</v>
      </c>
      <c r="Q7" s="19" t="s">
        <v>94</v>
      </c>
      <c r="R7" s="21">
        <v>45558</v>
      </c>
      <c r="S7" s="21">
        <v>47396</v>
      </c>
      <c r="T7" s="24">
        <v>3000000</v>
      </c>
      <c r="U7" s="19"/>
      <c r="V7" s="19"/>
      <c r="W7" s="25">
        <v>3000000</v>
      </c>
      <c r="X7" s="26">
        <v>2</v>
      </c>
      <c r="Y7" s="25">
        <v>60000</v>
      </c>
      <c r="Z7" s="19"/>
      <c r="AA7" s="19" t="s">
        <v>47</v>
      </c>
      <c r="AB7" s="19">
        <v>1141070982</v>
      </c>
      <c r="AC7" s="27">
        <v>45586</v>
      </c>
      <c r="AD7" s="18" t="s">
        <v>48</v>
      </c>
      <c r="AE7" s="18">
        <v>0</v>
      </c>
      <c r="AF7" s="28" t="s">
        <v>87</v>
      </c>
      <c r="AG7" s="28"/>
      <c r="AH7" s="29">
        <v>60000</v>
      </c>
      <c r="AI7" s="30">
        <f t="shared" si="0"/>
        <v>0</v>
      </c>
      <c r="AJ7" s="28" t="str">
        <f>VLOOKUP(AF7,[1]Sheet3!$B$2:$D$2361,3,0)</f>
        <v>FRE</v>
      </c>
      <c r="AK7" s="28" t="s">
        <v>49</v>
      </c>
    </row>
    <row r="8" spans="1:37" x14ac:dyDescent="0.25">
      <c r="A8" s="18" t="s">
        <v>35</v>
      </c>
      <c r="B8" s="19" t="s">
        <v>95</v>
      </c>
      <c r="C8" s="20">
        <v>45536</v>
      </c>
      <c r="D8" s="18" t="s">
        <v>37</v>
      </c>
      <c r="E8" s="19" t="s">
        <v>96</v>
      </c>
      <c r="F8" s="21">
        <v>45554</v>
      </c>
      <c r="G8" s="21">
        <v>45918</v>
      </c>
      <c r="H8" s="22" t="s">
        <v>97</v>
      </c>
      <c r="I8" s="23">
        <v>3520256198050</v>
      </c>
      <c r="J8" s="22" t="s">
        <v>81</v>
      </c>
      <c r="K8" s="19" t="s">
        <v>98</v>
      </c>
      <c r="L8" s="19" t="s">
        <v>99</v>
      </c>
      <c r="M8" s="19" t="s">
        <v>100</v>
      </c>
      <c r="N8" s="19" t="s">
        <v>95</v>
      </c>
      <c r="O8" s="18" t="s">
        <v>57</v>
      </c>
      <c r="P8" s="19" t="s">
        <v>76</v>
      </c>
      <c r="Q8" s="19" t="s">
        <v>101</v>
      </c>
      <c r="R8" s="21">
        <v>45555</v>
      </c>
      <c r="S8" s="21">
        <v>46665</v>
      </c>
      <c r="T8" s="24">
        <v>3900000</v>
      </c>
      <c r="U8" s="19"/>
      <c r="V8" s="19"/>
      <c r="W8" s="25">
        <v>3900000</v>
      </c>
      <c r="X8" s="26">
        <v>1.5</v>
      </c>
      <c r="Y8" s="25">
        <v>58500</v>
      </c>
      <c r="Z8" s="19"/>
      <c r="AA8" s="19" t="s">
        <v>47</v>
      </c>
      <c r="AB8" s="19">
        <v>1141070982</v>
      </c>
      <c r="AC8" s="27">
        <v>45586</v>
      </c>
      <c r="AD8" s="18" t="s">
        <v>48</v>
      </c>
      <c r="AE8" s="18">
        <v>0</v>
      </c>
      <c r="AF8" s="28" t="s">
        <v>96</v>
      </c>
      <c r="AG8" s="28"/>
      <c r="AH8" s="29">
        <v>58500</v>
      </c>
      <c r="AI8" s="30">
        <f t="shared" si="0"/>
        <v>0</v>
      </c>
      <c r="AJ8" s="28" t="str">
        <f>VLOOKUP(AF8,[1]Sheet3!$B$2:$D$2361,3,0)</f>
        <v>FRE</v>
      </c>
      <c r="AK8" s="28" t="s">
        <v>49</v>
      </c>
    </row>
    <row r="9" spans="1:37" x14ac:dyDescent="0.25">
      <c r="A9" s="18" t="s">
        <v>35</v>
      </c>
      <c r="B9" s="19" t="s">
        <v>102</v>
      </c>
      <c r="C9" s="20">
        <v>45536</v>
      </c>
      <c r="D9" s="18" t="s">
        <v>37</v>
      </c>
      <c r="E9" s="19" t="s">
        <v>103</v>
      </c>
      <c r="F9" s="21">
        <v>45554</v>
      </c>
      <c r="G9" s="21">
        <v>45918</v>
      </c>
      <c r="H9" s="22" t="s">
        <v>104</v>
      </c>
      <c r="I9" s="23">
        <v>3520230821215</v>
      </c>
      <c r="J9" s="22" t="s">
        <v>105</v>
      </c>
      <c r="K9" s="19" t="s">
        <v>106</v>
      </c>
      <c r="L9" s="19" t="s">
        <v>107</v>
      </c>
      <c r="M9" s="19" t="s">
        <v>108</v>
      </c>
      <c r="N9" s="19" t="s">
        <v>102</v>
      </c>
      <c r="O9" s="18" t="s">
        <v>57</v>
      </c>
      <c r="P9" s="19" t="s">
        <v>76</v>
      </c>
      <c r="Q9" s="19" t="s">
        <v>109</v>
      </c>
      <c r="R9" s="21">
        <v>45559</v>
      </c>
      <c r="S9" s="21">
        <v>46665</v>
      </c>
      <c r="T9" s="24">
        <v>4700000</v>
      </c>
      <c r="U9" s="19"/>
      <c r="V9" s="19"/>
      <c r="W9" s="25">
        <v>4700000</v>
      </c>
      <c r="X9" s="26">
        <v>1.5</v>
      </c>
      <c r="Y9" s="25">
        <v>70500</v>
      </c>
      <c r="Z9" s="19"/>
      <c r="AA9" s="19" t="s">
        <v>47</v>
      </c>
      <c r="AB9" s="19">
        <v>1141070982</v>
      </c>
      <c r="AC9" s="27">
        <v>45586</v>
      </c>
      <c r="AD9" s="18" t="s">
        <v>48</v>
      </c>
      <c r="AE9" s="18">
        <v>0</v>
      </c>
      <c r="AF9" s="28" t="s">
        <v>103</v>
      </c>
      <c r="AG9" s="28"/>
      <c r="AH9" s="29">
        <v>70500</v>
      </c>
      <c r="AI9" s="30">
        <f t="shared" si="0"/>
        <v>0</v>
      </c>
      <c r="AJ9" s="28" t="str">
        <f>VLOOKUP(AF9,[1]Sheet3!$B$2:$D$2361,3,0)</f>
        <v>FRE</v>
      </c>
      <c r="AK9" s="28" t="s">
        <v>49</v>
      </c>
    </row>
    <row r="10" spans="1:37" x14ac:dyDescent="0.25">
      <c r="A10" s="18" t="s">
        <v>35</v>
      </c>
      <c r="B10" s="19" t="s">
        <v>110</v>
      </c>
      <c r="C10" s="20">
        <v>45536</v>
      </c>
      <c r="D10" s="18" t="s">
        <v>37</v>
      </c>
      <c r="E10" s="19" t="s">
        <v>111</v>
      </c>
      <c r="F10" s="21">
        <v>45555</v>
      </c>
      <c r="G10" s="21">
        <v>45919</v>
      </c>
      <c r="H10" s="22" t="s">
        <v>112</v>
      </c>
      <c r="I10" s="23">
        <v>3520224697617</v>
      </c>
      <c r="J10" s="22" t="s">
        <v>113</v>
      </c>
      <c r="K10" s="19"/>
      <c r="L10" s="19" t="s">
        <v>114</v>
      </c>
      <c r="M10" s="19" t="s">
        <v>115</v>
      </c>
      <c r="N10" s="19" t="s">
        <v>110</v>
      </c>
      <c r="O10" s="18" t="s">
        <v>57</v>
      </c>
      <c r="P10" s="19" t="s">
        <v>76</v>
      </c>
      <c r="Q10" s="19" t="s">
        <v>116</v>
      </c>
      <c r="R10" s="21">
        <v>45558</v>
      </c>
      <c r="S10" s="21">
        <v>46665</v>
      </c>
      <c r="T10" s="24">
        <v>4760000</v>
      </c>
      <c r="U10" s="19"/>
      <c r="V10" s="19"/>
      <c r="W10" s="25">
        <v>4760000</v>
      </c>
      <c r="X10" s="26">
        <v>1.5</v>
      </c>
      <c r="Y10" s="25">
        <v>71400</v>
      </c>
      <c r="Z10" s="19"/>
      <c r="AA10" s="19" t="s">
        <v>47</v>
      </c>
      <c r="AB10" s="19">
        <v>1141070982</v>
      </c>
      <c r="AC10" s="27">
        <v>45586</v>
      </c>
      <c r="AD10" s="18" t="s">
        <v>48</v>
      </c>
      <c r="AE10" s="18">
        <v>0</v>
      </c>
      <c r="AF10" s="28" t="s">
        <v>111</v>
      </c>
      <c r="AG10" s="28"/>
      <c r="AH10" s="29">
        <v>71400</v>
      </c>
      <c r="AI10" s="30">
        <f t="shared" si="0"/>
        <v>0</v>
      </c>
      <c r="AJ10" s="28" t="str">
        <f>VLOOKUP(AF10,[1]Sheet3!$B$2:$D$2361,3,0)</f>
        <v>FRE</v>
      </c>
      <c r="AK10" s="28" t="s">
        <v>49</v>
      </c>
    </row>
    <row r="11" spans="1:37" x14ac:dyDescent="0.25">
      <c r="A11" s="18" t="s">
        <v>35</v>
      </c>
      <c r="B11" s="19" t="s">
        <v>117</v>
      </c>
      <c r="C11" s="20">
        <v>45536</v>
      </c>
      <c r="D11" s="18" t="s">
        <v>37</v>
      </c>
      <c r="E11" s="19" t="s">
        <v>118</v>
      </c>
      <c r="F11" s="21">
        <v>45555</v>
      </c>
      <c r="G11" s="21">
        <v>45919</v>
      </c>
      <c r="H11" s="22" t="s">
        <v>119</v>
      </c>
      <c r="I11" s="23" t="s">
        <v>120</v>
      </c>
      <c r="J11" s="22" t="s">
        <v>121</v>
      </c>
      <c r="K11" s="19"/>
      <c r="L11" s="19" t="s">
        <v>122</v>
      </c>
      <c r="M11" s="19" t="s">
        <v>123</v>
      </c>
      <c r="N11" s="19" t="s">
        <v>117</v>
      </c>
      <c r="O11" s="18" t="s">
        <v>57</v>
      </c>
      <c r="P11" s="19" t="s">
        <v>67</v>
      </c>
      <c r="Q11" s="19" t="s">
        <v>124</v>
      </c>
      <c r="R11" s="21">
        <v>45558</v>
      </c>
      <c r="S11" s="21">
        <v>46300</v>
      </c>
      <c r="T11" s="24">
        <v>9428950</v>
      </c>
      <c r="U11" s="19"/>
      <c r="V11" s="19"/>
      <c r="W11" s="25">
        <v>9428950</v>
      </c>
      <c r="X11" s="26">
        <v>1.5</v>
      </c>
      <c r="Y11" s="25">
        <v>141434.25</v>
      </c>
      <c r="Z11" s="19"/>
      <c r="AA11" s="19" t="s">
        <v>47</v>
      </c>
      <c r="AB11" s="19">
        <v>1141070982</v>
      </c>
      <c r="AC11" s="27">
        <v>45586</v>
      </c>
      <c r="AD11" s="18" t="s">
        <v>48</v>
      </c>
      <c r="AE11" s="18">
        <v>0</v>
      </c>
      <c r="AF11" s="28" t="s">
        <v>118</v>
      </c>
      <c r="AG11" s="28"/>
      <c r="AH11" s="29">
        <v>141434</v>
      </c>
      <c r="AI11" s="30">
        <f t="shared" si="0"/>
        <v>0.25</v>
      </c>
      <c r="AJ11" s="28" t="str">
        <f>VLOOKUP(AF11,[1]Sheet3!$B$2:$D$2361,3,0)</f>
        <v>FRE</v>
      </c>
      <c r="AK11" s="28" t="s">
        <v>49</v>
      </c>
    </row>
    <row r="12" spans="1:37" x14ac:dyDescent="0.25">
      <c r="A12" s="18" t="s">
        <v>35</v>
      </c>
      <c r="B12" s="19" t="s">
        <v>125</v>
      </c>
      <c r="C12" s="20">
        <v>45536</v>
      </c>
      <c r="D12" s="18" t="s">
        <v>37</v>
      </c>
      <c r="E12" s="19" t="s">
        <v>126</v>
      </c>
      <c r="F12" s="21">
        <v>45558</v>
      </c>
      <c r="G12" s="21">
        <v>45922</v>
      </c>
      <c r="H12" s="22" t="s">
        <v>127</v>
      </c>
      <c r="I12" s="23">
        <v>6110131920715</v>
      </c>
      <c r="J12" s="22" t="s">
        <v>128</v>
      </c>
      <c r="K12" s="19" t="s">
        <v>129</v>
      </c>
      <c r="L12" s="19" t="s">
        <v>130</v>
      </c>
      <c r="M12" s="19" t="s">
        <v>131</v>
      </c>
      <c r="N12" s="19" t="s">
        <v>125</v>
      </c>
      <c r="O12" s="19" t="s">
        <v>132</v>
      </c>
      <c r="P12" s="19" t="s">
        <v>133</v>
      </c>
      <c r="Q12" s="19" t="s">
        <v>134</v>
      </c>
      <c r="R12" s="21">
        <v>45565</v>
      </c>
      <c r="S12" s="21">
        <v>45936</v>
      </c>
      <c r="T12" s="24">
        <v>6404000</v>
      </c>
      <c r="U12" s="19"/>
      <c r="V12" s="19"/>
      <c r="W12" s="25">
        <v>6404000</v>
      </c>
      <c r="X12" s="26">
        <v>1.5</v>
      </c>
      <c r="Y12" s="25">
        <v>96060</v>
      </c>
      <c r="Z12" s="19"/>
      <c r="AA12" s="19" t="s">
        <v>47</v>
      </c>
      <c r="AB12" s="19">
        <v>1141070982</v>
      </c>
      <c r="AC12" s="27">
        <v>45586</v>
      </c>
      <c r="AD12" s="18" t="s">
        <v>48</v>
      </c>
      <c r="AE12" s="18">
        <v>0</v>
      </c>
      <c r="AF12" s="28" t="s">
        <v>126</v>
      </c>
      <c r="AG12" s="28"/>
      <c r="AH12" s="29">
        <v>96060</v>
      </c>
      <c r="AI12" s="30">
        <f t="shared" si="0"/>
        <v>0</v>
      </c>
      <c r="AJ12" s="28" t="str">
        <f>VLOOKUP(AF12,[1]Sheet3!$B$2:$D$2361,3,0)</f>
        <v>FRE</v>
      </c>
      <c r="AK12" s="28" t="s">
        <v>49</v>
      </c>
    </row>
    <row r="13" spans="1:37" x14ac:dyDescent="0.25">
      <c r="A13" s="18" t="s">
        <v>35</v>
      </c>
      <c r="B13" s="19" t="s">
        <v>135</v>
      </c>
      <c r="C13" s="20">
        <v>45536</v>
      </c>
      <c r="D13" s="18" t="s">
        <v>37</v>
      </c>
      <c r="E13" s="19" t="s">
        <v>136</v>
      </c>
      <c r="F13" s="21">
        <v>45541</v>
      </c>
      <c r="G13" s="21">
        <v>45905</v>
      </c>
      <c r="H13" s="22" t="s">
        <v>137</v>
      </c>
      <c r="I13" s="23">
        <v>3310236731289</v>
      </c>
      <c r="J13" s="22" t="s">
        <v>138</v>
      </c>
      <c r="K13" s="19" t="s">
        <v>139</v>
      </c>
      <c r="L13" s="19" t="s">
        <v>140</v>
      </c>
      <c r="M13" s="19" t="s">
        <v>141</v>
      </c>
      <c r="N13" s="19" t="s">
        <v>135</v>
      </c>
      <c r="O13" s="18" t="s">
        <v>57</v>
      </c>
      <c r="P13" s="19" t="s">
        <v>67</v>
      </c>
      <c r="Q13" s="19" t="s">
        <v>142</v>
      </c>
      <c r="R13" s="21">
        <v>45546</v>
      </c>
      <c r="S13" s="21">
        <v>47366</v>
      </c>
      <c r="T13" s="24">
        <v>2475000</v>
      </c>
      <c r="U13" s="19"/>
      <c r="V13" s="19"/>
      <c r="W13" s="25">
        <v>2475000</v>
      </c>
      <c r="X13" s="26">
        <v>2</v>
      </c>
      <c r="Y13" s="25">
        <v>49500</v>
      </c>
      <c r="Z13" s="19"/>
      <c r="AA13" s="19" t="s">
        <v>47</v>
      </c>
      <c r="AB13" s="19">
        <v>1141070982</v>
      </c>
      <c r="AC13" s="27">
        <v>45586</v>
      </c>
      <c r="AD13" s="18" t="s">
        <v>48</v>
      </c>
      <c r="AE13" s="18">
        <v>9</v>
      </c>
      <c r="AF13" s="28" t="s">
        <v>136</v>
      </c>
      <c r="AG13" s="28"/>
      <c r="AH13" s="29">
        <v>49500</v>
      </c>
      <c r="AI13" s="30">
        <f t="shared" si="0"/>
        <v>0</v>
      </c>
      <c r="AJ13" s="28" t="str">
        <f>VLOOKUP(AF13,[1]Sheet3!$B$2:$D$2361,3,0)</f>
        <v>FRE</v>
      </c>
      <c r="AK13" s="28" t="s">
        <v>49</v>
      </c>
    </row>
    <row r="14" spans="1:37" x14ac:dyDescent="0.25">
      <c r="A14" s="18" t="s">
        <v>35</v>
      </c>
      <c r="B14" s="19" t="s">
        <v>143</v>
      </c>
      <c r="C14" s="20">
        <v>45536</v>
      </c>
      <c r="D14" s="18" t="s">
        <v>37</v>
      </c>
      <c r="E14" s="19" t="s">
        <v>144</v>
      </c>
      <c r="F14" s="21">
        <v>45558</v>
      </c>
      <c r="G14" s="21">
        <v>45922</v>
      </c>
      <c r="H14" s="22" t="s">
        <v>145</v>
      </c>
      <c r="I14" s="23">
        <v>3520112664041</v>
      </c>
      <c r="J14" s="22" t="s">
        <v>146</v>
      </c>
      <c r="K14" s="19" t="s">
        <v>147</v>
      </c>
      <c r="L14" s="19" t="s">
        <v>148</v>
      </c>
      <c r="M14" s="19" t="s">
        <v>149</v>
      </c>
      <c r="N14" s="19" t="s">
        <v>143</v>
      </c>
      <c r="O14" s="18" t="s">
        <v>57</v>
      </c>
      <c r="P14" s="19" t="s">
        <v>76</v>
      </c>
      <c r="Q14" s="19" t="s">
        <v>150</v>
      </c>
      <c r="R14" s="21">
        <v>45561</v>
      </c>
      <c r="S14" s="21">
        <v>46665</v>
      </c>
      <c r="T14" s="24">
        <v>5700000</v>
      </c>
      <c r="U14" s="19"/>
      <c r="V14" s="19"/>
      <c r="W14" s="25">
        <v>5700000</v>
      </c>
      <c r="X14" s="26">
        <v>1.5</v>
      </c>
      <c r="Y14" s="25">
        <v>85500</v>
      </c>
      <c r="Z14" s="19"/>
      <c r="AA14" s="19" t="s">
        <v>47</v>
      </c>
      <c r="AB14" s="19">
        <v>1141070982</v>
      </c>
      <c r="AC14" s="27">
        <v>45586</v>
      </c>
      <c r="AD14" s="18" t="s">
        <v>48</v>
      </c>
      <c r="AE14" s="18">
        <v>0</v>
      </c>
      <c r="AF14" s="28" t="s">
        <v>144</v>
      </c>
      <c r="AG14" s="28"/>
      <c r="AH14" s="29">
        <v>85500</v>
      </c>
      <c r="AI14" s="30">
        <f t="shared" si="0"/>
        <v>0</v>
      </c>
      <c r="AJ14" s="28" t="str">
        <f>VLOOKUP(AF14,[1]Sheet3!$B$2:$D$2361,3,0)</f>
        <v>FRE</v>
      </c>
      <c r="AK14" s="28" t="s">
        <v>49</v>
      </c>
    </row>
    <row r="15" spans="1:37" x14ac:dyDescent="0.25">
      <c r="A15" s="18" t="s">
        <v>35</v>
      </c>
      <c r="B15" s="19" t="s">
        <v>151</v>
      </c>
      <c r="C15" s="20">
        <v>45536</v>
      </c>
      <c r="D15" s="18" t="s">
        <v>37</v>
      </c>
      <c r="E15" s="19" t="s">
        <v>152</v>
      </c>
      <c r="F15" s="21">
        <v>45559</v>
      </c>
      <c r="G15" s="21">
        <v>45923</v>
      </c>
      <c r="H15" s="22" t="s">
        <v>153</v>
      </c>
      <c r="I15" s="23">
        <v>3520224976297</v>
      </c>
      <c r="J15" s="22" t="s">
        <v>154</v>
      </c>
      <c r="K15" s="19" t="s">
        <v>155</v>
      </c>
      <c r="L15" s="19" t="s">
        <v>156</v>
      </c>
      <c r="M15" s="19" t="s">
        <v>157</v>
      </c>
      <c r="N15" s="19" t="s">
        <v>151</v>
      </c>
      <c r="O15" s="18" t="s">
        <v>57</v>
      </c>
      <c r="P15" s="19" t="s">
        <v>76</v>
      </c>
      <c r="Q15" s="19" t="s">
        <v>158</v>
      </c>
      <c r="R15" s="21">
        <v>45560</v>
      </c>
      <c r="S15" s="21">
        <v>46665</v>
      </c>
      <c r="T15" s="24">
        <v>4500000</v>
      </c>
      <c r="U15" s="19"/>
      <c r="V15" s="19"/>
      <c r="W15" s="25">
        <v>4500000</v>
      </c>
      <c r="X15" s="26">
        <v>1.5</v>
      </c>
      <c r="Y15" s="25">
        <v>67500</v>
      </c>
      <c r="Z15" s="19"/>
      <c r="AA15" s="19" t="s">
        <v>47</v>
      </c>
      <c r="AB15" s="19">
        <v>1141070982</v>
      </c>
      <c r="AC15" s="27">
        <v>45586</v>
      </c>
      <c r="AD15" s="18" t="s">
        <v>48</v>
      </c>
      <c r="AE15" s="18">
        <v>0</v>
      </c>
      <c r="AF15" s="28" t="s">
        <v>152</v>
      </c>
      <c r="AG15" s="28"/>
      <c r="AH15" s="29">
        <v>67500</v>
      </c>
      <c r="AI15" s="30">
        <f t="shared" si="0"/>
        <v>0</v>
      </c>
      <c r="AJ15" s="28" t="str">
        <f>VLOOKUP(AF15,[1]Sheet3!$B$2:$D$2361,3,0)</f>
        <v>FRE</v>
      </c>
      <c r="AK15" s="28" t="s">
        <v>49</v>
      </c>
    </row>
    <row r="16" spans="1:37" x14ac:dyDescent="0.25">
      <c r="A16" s="18" t="s">
        <v>35</v>
      </c>
      <c r="B16" s="19" t="s">
        <v>159</v>
      </c>
      <c r="C16" s="20">
        <v>45536</v>
      </c>
      <c r="D16" s="18" t="s">
        <v>37</v>
      </c>
      <c r="E16" s="19" t="s">
        <v>160</v>
      </c>
      <c r="F16" s="21">
        <v>45559</v>
      </c>
      <c r="G16" s="21">
        <v>45923</v>
      </c>
      <c r="H16" s="22" t="s">
        <v>161</v>
      </c>
      <c r="I16" s="23">
        <v>3520227891005</v>
      </c>
      <c r="J16" s="22" t="s">
        <v>162</v>
      </c>
      <c r="K16" s="19"/>
      <c r="L16" s="19" t="s">
        <v>163</v>
      </c>
      <c r="M16" s="19" t="s">
        <v>164</v>
      </c>
      <c r="N16" s="19" t="s">
        <v>159</v>
      </c>
      <c r="O16" s="18" t="s">
        <v>57</v>
      </c>
      <c r="P16" s="19" t="s">
        <v>76</v>
      </c>
      <c r="Q16" s="19" t="s">
        <v>165</v>
      </c>
      <c r="R16" s="21">
        <v>45560</v>
      </c>
      <c r="S16" s="21">
        <v>46300</v>
      </c>
      <c r="T16" s="24">
        <v>4719000</v>
      </c>
      <c r="U16" s="19"/>
      <c r="V16" s="19"/>
      <c r="W16" s="25">
        <v>4719000</v>
      </c>
      <c r="X16" s="26">
        <v>1.5</v>
      </c>
      <c r="Y16" s="25">
        <v>70785</v>
      </c>
      <c r="Z16" s="19"/>
      <c r="AA16" s="19" t="s">
        <v>47</v>
      </c>
      <c r="AB16" s="19">
        <v>1141070982</v>
      </c>
      <c r="AC16" s="27">
        <v>45586</v>
      </c>
      <c r="AD16" s="18" t="s">
        <v>48</v>
      </c>
      <c r="AE16" s="18">
        <v>0</v>
      </c>
      <c r="AF16" s="28" t="s">
        <v>160</v>
      </c>
      <c r="AG16" s="28"/>
      <c r="AH16" s="29">
        <v>70785</v>
      </c>
      <c r="AI16" s="30">
        <f t="shared" si="0"/>
        <v>0</v>
      </c>
      <c r="AJ16" s="28" t="str">
        <f>VLOOKUP(AF16,[1]Sheet3!$B$2:$D$2361,3,0)</f>
        <v>FRE</v>
      </c>
      <c r="AK16" s="28" t="s">
        <v>49</v>
      </c>
    </row>
    <row r="17" spans="1:37" x14ac:dyDescent="0.25">
      <c r="A17" s="18" t="s">
        <v>35</v>
      </c>
      <c r="B17" s="19" t="s">
        <v>166</v>
      </c>
      <c r="C17" s="20">
        <v>45536</v>
      </c>
      <c r="D17" s="18" t="s">
        <v>37</v>
      </c>
      <c r="E17" s="19" t="s">
        <v>167</v>
      </c>
      <c r="F17" s="21">
        <v>45559</v>
      </c>
      <c r="G17" s="21">
        <v>45923</v>
      </c>
      <c r="H17" s="22" t="s">
        <v>168</v>
      </c>
      <c r="I17" s="23">
        <v>4210118063795</v>
      </c>
      <c r="J17" s="22" t="s">
        <v>169</v>
      </c>
      <c r="K17" s="19" t="s">
        <v>170</v>
      </c>
      <c r="L17" s="19" t="s">
        <v>171</v>
      </c>
      <c r="M17" s="19" t="s">
        <v>172</v>
      </c>
      <c r="N17" s="19" t="s">
        <v>166</v>
      </c>
      <c r="O17" s="19" t="s">
        <v>44</v>
      </c>
      <c r="P17" s="19" t="s">
        <v>173</v>
      </c>
      <c r="Q17" s="19" t="s">
        <v>174</v>
      </c>
      <c r="R17" s="21">
        <v>45568</v>
      </c>
      <c r="S17" s="21">
        <v>46300</v>
      </c>
      <c r="T17" s="24">
        <v>4700000</v>
      </c>
      <c r="U17" s="19"/>
      <c r="V17" s="19"/>
      <c r="W17" s="25">
        <v>4700000</v>
      </c>
      <c r="X17" s="26">
        <v>1.5</v>
      </c>
      <c r="Y17" s="25">
        <v>70500</v>
      </c>
      <c r="Z17" s="19"/>
      <c r="AA17" s="19" t="s">
        <v>47</v>
      </c>
      <c r="AB17" s="19">
        <v>1141070982</v>
      </c>
      <c r="AC17" s="27">
        <v>45586</v>
      </c>
      <c r="AD17" s="18" t="s">
        <v>48</v>
      </c>
      <c r="AE17" s="18">
        <v>0</v>
      </c>
      <c r="AF17" s="28" t="s">
        <v>167</v>
      </c>
      <c r="AG17" s="28"/>
      <c r="AH17" s="29">
        <v>70500</v>
      </c>
      <c r="AI17" s="30">
        <f t="shared" si="0"/>
        <v>0</v>
      </c>
      <c r="AJ17" s="28" t="str">
        <f>VLOOKUP(AF17,[1]Sheet3!$B$2:$D$2361,3,0)</f>
        <v>FRE</v>
      </c>
      <c r="AK17" s="31" t="s">
        <v>175</v>
      </c>
    </row>
    <row r="18" spans="1:37" x14ac:dyDescent="0.25">
      <c r="A18" s="18" t="s">
        <v>35</v>
      </c>
      <c r="B18" s="19" t="s">
        <v>176</v>
      </c>
      <c r="C18" s="20">
        <v>45536</v>
      </c>
      <c r="D18" s="18" t="s">
        <v>37</v>
      </c>
      <c r="E18" s="19" t="s">
        <v>177</v>
      </c>
      <c r="F18" s="21">
        <v>45559</v>
      </c>
      <c r="G18" s="21">
        <v>45923</v>
      </c>
      <c r="H18" s="22" t="s">
        <v>178</v>
      </c>
      <c r="I18" s="23">
        <v>3520113938293</v>
      </c>
      <c r="J18" s="22" t="s">
        <v>179</v>
      </c>
      <c r="K18" s="19" t="s">
        <v>180</v>
      </c>
      <c r="L18" s="19" t="s">
        <v>181</v>
      </c>
      <c r="M18" s="19" t="s">
        <v>182</v>
      </c>
      <c r="N18" s="19" t="s">
        <v>176</v>
      </c>
      <c r="O18" s="18" t="s">
        <v>57</v>
      </c>
      <c r="P18" s="19" t="s">
        <v>76</v>
      </c>
      <c r="Q18" s="19" t="s">
        <v>183</v>
      </c>
      <c r="R18" s="21">
        <v>45560</v>
      </c>
      <c r="S18" s="21">
        <v>46665</v>
      </c>
      <c r="T18" s="24">
        <v>4610000</v>
      </c>
      <c r="U18" s="19"/>
      <c r="V18" s="19"/>
      <c r="W18" s="25">
        <v>4610000</v>
      </c>
      <c r="X18" s="26">
        <v>1.5</v>
      </c>
      <c r="Y18" s="25">
        <v>69150</v>
      </c>
      <c r="Z18" s="19"/>
      <c r="AA18" s="19" t="s">
        <v>47</v>
      </c>
      <c r="AB18" s="19">
        <v>1141070982</v>
      </c>
      <c r="AC18" s="27">
        <v>45586</v>
      </c>
      <c r="AD18" s="18" t="s">
        <v>48</v>
      </c>
      <c r="AE18" s="18">
        <v>0</v>
      </c>
      <c r="AF18" s="28" t="s">
        <v>177</v>
      </c>
      <c r="AG18" s="28"/>
      <c r="AH18" s="29">
        <v>69150</v>
      </c>
      <c r="AI18" s="30">
        <f t="shared" si="0"/>
        <v>0</v>
      </c>
      <c r="AJ18" s="28" t="str">
        <f>VLOOKUP(AF18,[1]Sheet3!$B$2:$D$2361,3,0)</f>
        <v>FRE</v>
      </c>
      <c r="AK18" s="28" t="s">
        <v>49</v>
      </c>
    </row>
    <row r="19" spans="1:37" x14ac:dyDescent="0.25">
      <c r="A19" s="18" t="s">
        <v>35</v>
      </c>
      <c r="B19" s="19" t="s">
        <v>184</v>
      </c>
      <c r="C19" s="20">
        <v>45536</v>
      </c>
      <c r="D19" s="18" t="s">
        <v>37</v>
      </c>
      <c r="E19" s="19" t="s">
        <v>185</v>
      </c>
      <c r="F19" s="21">
        <v>45560</v>
      </c>
      <c r="G19" s="21">
        <v>45924</v>
      </c>
      <c r="H19" s="22" t="s">
        <v>186</v>
      </c>
      <c r="I19" s="23">
        <v>3520251341519</v>
      </c>
      <c r="J19" s="22" t="s">
        <v>53</v>
      </c>
      <c r="K19" s="19" t="s">
        <v>187</v>
      </c>
      <c r="L19" s="19" t="s">
        <v>188</v>
      </c>
      <c r="M19" s="19" t="s">
        <v>189</v>
      </c>
      <c r="N19" s="19" t="s">
        <v>184</v>
      </c>
      <c r="O19" s="18" t="s">
        <v>57</v>
      </c>
      <c r="P19" s="19" t="s">
        <v>76</v>
      </c>
      <c r="Q19" s="19" t="s">
        <v>190</v>
      </c>
      <c r="R19" s="21">
        <v>45561</v>
      </c>
      <c r="S19" s="21">
        <v>47396</v>
      </c>
      <c r="T19" s="24">
        <v>2930000</v>
      </c>
      <c r="U19" s="19"/>
      <c r="V19" s="19"/>
      <c r="W19" s="25">
        <v>2930000</v>
      </c>
      <c r="X19" s="26">
        <v>2</v>
      </c>
      <c r="Y19" s="25">
        <v>58600</v>
      </c>
      <c r="Z19" s="19"/>
      <c r="AA19" s="19" t="s">
        <v>47</v>
      </c>
      <c r="AB19" s="19">
        <v>1141070982</v>
      </c>
      <c r="AC19" s="27">
        <v>45586</v>
      </c>
      <c r="AD19" s="18" t="s">
        <v>48</v>
      </c>
      <c r="AE19" s="18">
        <v>0</v>
      </c>
      <c r="AF19" s="28" t="s">
        <v>185</v>
      </c>
      <c r="AG19" s="28"/>
      <c r="AH19" s="29">
        <v>58600</v>
      </c>
      <c r="AI19" s="30">
        <f t="shared" si="0"/>
        <v>0</v>
      </c>
      <c r="AJ19" s="28" t="str">
        <f>VLOOKUP(AF19,[1]Sheet3!$B$2:$D$2361,3,0)</f>
        <v>FRE</v>
      </c>
      <c r="AK19" s="28" t="s">
        <v>49</v>
      </c>
    </row>
    <row r="20" spans="1:37" x14ac:dyDescent="0.25">
      <c r="A20" s="18" t="s">
        <v>35</v>
      </c>
      <c r="B20" s="19" t="s">
        <v>191</v>
      </c>
      <c r="C20" s="20">
        <v>45536</v>
      </c>
      <c r="D20" s="18" t="s">
        <v>37</v>
      </c>
      <c r="E20" s="19" t="s">
        <v>192</v>
      </c>
      <c r="F20" s="21">
        <v>45561</v>
      </c>
      <c r="G20" s="21">
        <v>45925</v>
      </c>
      <c r="H20" s="22" t="s">
        <v>193</v>
      </c>
      <c r="I20" s="23">
        <v>3310279085003</v>
      </c>
      <c r="J20" s="22" t="s">
        <v>194</v>
      </c>
      <c r="K20" s="19" t="s">
        <v>195</v>
      </c>
      <c r="L20" s="19" t="s">
        <v>196</v>
      </c>
      <c r="M20" s="19" t="s">
        <v>197</v>
      </c>
      <c r="N20" s="19" t="s">
        <v>191</v>
      </c>
      <c r="O20" s="18" t="s">
        <v>57</v>
      </c>
      <c r="P20" s="19" t="s">
        <v>76</v>
      </c>
      <c r="Q20" s="19" t="s">
        <v>198</v>
      </c>
      <c r="R20" s="21">
        <v>45565</v>
      </c>
      <c r="S20" s="21">
        <v>46665</v>
      </c>
      <c r="T20" s="24">
        <v>3850000</v>
      </c>
      <c r="U20" s="19"/>
      <c r="V20" s="19"/>
      <c r="W20" s="25">
        <v>3850000</v>
      </c>
      <c r="X20" s="26">
        <v>1.5</v>
      </c>
      <c r="Y20" s="25">
        <v>57750</v>
      </c>
      <c r="Z20" s="19"/>
      <c r="AA20" s="19" t="s">
        <v>47</v>
      </c>
      <c r="AB20" s="19">
        <v>1141070982</v>
      </c>
      <c r="AC20" s="27">
        <v>45586</v>
      </c>
      <c r="AD20" s="18" t="s">
        <v>48</v>
      </c>
      <c r="AE20" s="18">
        <v>0</v>
      </c>
      <c r="AF20" s="28" t="s">
        <v>192</v>
      </c>
      <c r="AG20" s="28"/>
      <c r="AH20" s="29">
        <v>57750</v>
      </c>
      <c r="AI20" s="30">
        <f t="shared" si="0"/>
        <v>0</v>
      </c>
      <c r="AJ20" s="28" t="str">
        <f>VLOOKUP(AF20,[1]Sheet3!$B$2:$D$2361,3,0)</f>
        <v>FRE</v>
      </c>
      <c r="AK20" s="28" t="s">
        <v>49</v>
      </c>
    </row>
    <row r="21" spans="1:37" x14ac:dyDescent="0.25">
      <c r="A21" s="18" t="s">
        <v>35</v>
      </c>
      <c r="B21" s="19" t="s">
        <v>199</v>
      </c>
      <c r="C21" s="20">
        <v>45536</v>
      </c>
      <c r="D21" s="18" t="s">
        <v>37</v>
      </c>
      <c r="E21" s="19" t="s">
        <v>200</v>
      </c>
      <c r="F21" s="21">
        <v>45561</v>
      </c>
      <c r="G21" s="21">
        <v>45925</v>
      </c>
      <c r="H21" s="22" t="s">
        <v>201</v>
      </c>
      <c r="I21" s="23">
        <v>3520235703927</v>
      </c>
      <c r="J21" s="22" t="s">
        <v>202</v>
      </c>
      <c r="K21" s="19"/>
      <c r="L21" s="19" t="s">
        <v>203</v>
      </c>
      <c r="M21" s="19" t="s">
        <v>204</v>
      </c>
      <c r="N21" s="19" t="s">
        <v>199</v>
      </c>
      <c r="O21" s="18" t="s">
        <v>57</v>
      </c>
      <c r="P21" s="19" t="s">
        <v>76</v>
      </c>
      <c r="Q21" s="19" t="s">
        <v>205</v>
      </c>
      <c r="R21" s="21">
        <v>45565</v>
      </c>
      <c r="S21" s="21">
        <v>46665</v>
      </c>
      <c r="T21" s="24">
        <v>2707000</v>
      </c>
      <c r="U21" s="19"/>
      <c r="V21" s="19"/>
      <c r="W21" s="25">
        <v>2707000</v>
      </c>
      <c r="X21" s="26">
        <v>2</v>
      </c>
      <c r="Y21" s="25">
        <v>54140</v>
      </c>
      <c r="Z21" s="19"/>
      <c r="AA21" s="19" t="s">
        <v>47</v>
      </c>
      <c r="AB21" s="19">
        <v>1141070982</v>
      </c>
      <c r="AC21" s="27">
        <v>45586</v>
      </c>
      <c r="AD21" s="18" t="s">
        <v>48</v>
      </c>
      <c r="AE21" s="18">
        <v>0</v>
      </c>
      <c r="AF21" s="28" t="s">
        <v>200</v>
      </c>
      <c r="AG21" s="28"/>
      <c r="AH21" s="29">
        <v>54140</v>
      </c>
      <c r="AI21" s="30">
        <f t="shared" si="0"/>
        <v>0</v>
      </c>
      <c r="AJ21" s="28" t="str">
        <f>VLOOKUP(AF21,[1]Sheet3!$B$2:$D$2361,3,0)</f>
        <v>FRE</v>
      </c>
      <c r="AK21" s="28" t="s">
        <v>49</v>
      </c>
    </row>
    <row r="22" spans="1:37" x14ac:dyDescent="0.25">
      <c r="A22" s="18" t="s">
        <v>35</v>
      </c>
      <c r="B22" s="19" t="s">
        <v>206</v>
      </c>
      <c r="C22" s="20">
        <v>45536</v>
      </c>
      <c r="D22" s="18" t="s">
        <v>37</v>
      </c>
      <c r="E22" s="19" t="s">
        <v>207</v>
      </c>
      <c r="F22" s="21">
        <v>45562</v>
      </c>
      <c r="G22" s="21">
        <v>45926</v>
      </c>
      <c r="H22" s="22" t="s">
        <v>208</v>
      </c>
      <c r="I22" s="23">
        <v>3120273822093</v>
      </c>
      <c r="J22" s="22" t="s">
        <v>202</v>
      </c>
      <c r="K22" s="19"/>
      <c r="L22" s="19" t="s">
        <v>209</v>
      </c>
      <c r="M22" s="19" t="s">
        <v>210</v>
      </c>
      <c r="N22" s="19" t="s">
        <v>206</v>
      </c>
      <c r="O22" s="18" t="s">
        <v>57</v>
      </c>
      <c r="P22" s="19" t="s">
        <v>211</v>
      </c>
      <c r="Q22" s="19" t="s">
        <v>212</v>
      </c>
      <c r="R22" s="21">
        <v>45562</v>
      </c>
      <c r="S22" s="21">
        <v>46665</v>
      </c>
      <c r="T22" s="24">
        <v>2707000</v>
      </c>
      <c r="U22" s="19"/>
      <c r="V22" s="19"/>
      <c r="W22" s="25">
        <v>2707000</v>
      </c>
      <c r="X22" s="26">
        <v>2</v>
      </c>
      <c r="Y22" s="25">
        <v>54140</v>
      </c>
      <c r="Z22" s="19"/>
      <c r="AA22" s="19" t="s">
        <v>47</v>
      </c>
      <c r="AB22" s="19">
        <v>1141070982</v>
      </c>
      <c r="AC22" s="27">
        <v>45586</v>
      </c>
      <c r="AD22" s="18" t="s">
        <v>48</v>
      </c>
      <c r="AE22" s="18">
        <v>0</v>
      </c>
      <c r="AF22" s="28" t="s">
        <v>207</v>
      </c>
      <c r="AG22" s="28"/>
      <c r="AH22" s="29">
        <v>54140</v>
      </c>
      <c r="AI22" s="30">
        <f t="shared" si="0"/>
        <v>0</v>
      </c>
      <c r="AJ22" s="28" t="str">
        <f>VLOOKUP(AF22,[1]Sheet3!$B$2:$D$2361,3,0)</f>
        <v>FRE</v>
      </c>
      <c r="AK22" s="28" t="s">
        <v>49</v>
      </c>
    </row>
    <row r="23" spans="1:37" x14ac:dyDescent="0.25">
      <c r="A23" s="18" t="s">
        <v>35</v>
      </c>
      <c r="B23" s="19" t="s">
        <v>213</v>
      </c>
      <c r="C23" s="20">
        <v>45536</v>
      </c>
      <c r="D23" s="18" t="s">
        <v>37</v>
      </c>
      <c r="E23" s="19" t="s">
        <v>214</v>
      </c>
      <c r="F23" s="21">
        <v>45562</v>
      </c>
      <c r="G23" s="21">
        <v>45926</v>
      </c>
      <c r="H23" s="22" t="s">
        <v>215</v>
      </c>
      <c r="I23" s="23">
        <v>3740505478375</v>
      </c>
      <c r="J23" s="22" t="s">
        <v>216</v>
      </c>
      <c r="K23" s="19" t="s">
        <v>217</v>
      </c>
      <c r="L23" s="19" t="s">
        <v>218</v>
      </c>
      <c r="M23" s="19" t="s">
        <v>219</v>
      </c>
      <c r="N23" s="19" t="s">
        <v>213</v>
      </c>
      <c r="O23" s="19" t="s">
        <v>132</v>
      </c>
      <c r="P23" s="19" t="s">
        <v>133</v>
      </c>
      <c r="Q23" s="19" t="s">
        <v>220</v>
      </c>
      <c r="R23" s="21">
        <v>45565</v>
      </c>
      <c r="S23" s="21">
        <v>47031</v>
      </c>
      <c r="T23" s="24">
        <v>4000000</v>
      </c>
      <c r="U23" s="19"/>
      <c r="V23" s="19"/>
      <c r="W23" s="25">
        <v>4000000</v>
      </c>
      <c r="X23" s="26">
        <v>1.5</v>
      </c>
      <c r="Y23" s="25">
        <v>60000</v>
      </c>
      <c r="Z23" s="19"/>
      <c r="AA23" s="19" t="s">
        <v>47</v>
      </c>
      <c r="AB23" s="19">
        <v>1141070982</v>
      </c>
      <c r="AC23" s="27">
        <v>45586</v>
      </c>
      <c r="AD23" s="18" t="s">
        <v>48</v>
      </c>
      <c r="AE23" s="18">
        <v>0</v>
      </c>
      <c r="AF23" s="28" t="s">
        <v>214</v>
      </c>
      <c r="AG23" s="28"/>
      <c r="AH23" s="29">
        <v>60000</v>
      </c>
      <c r="AI23" s="30">
        <f t="shared" si="0"/>
        <v>0</v>
      </c>
      <c r="AJ23" s="28" t="str">
        <f>VLOOKUP(AF23,[1]Sheet3!$B$2:$D$2361,3,0)</f>
        <v>FRE</v>
      </c>
      <c r="AK23" s="28" t="s">
        <v>49</v>
      </c>
    </row>
    <row r="24" spans="1:37" x14ac:dyDescent="0.25">
      <c r="A24" s="18" t="s">
        <v>35</v>
      </c>
      <c r="B24" s="19" t="s">
        <v>221</v>
      </c>
      <c r="C24" s="20">
        <v>45536</v>
      </c>
      <c r="D24" s="18" t="s">
        <v>37</v>
      </c>
      <c r="E24" s="19" t="s">
        <v>222</v>
      </c>
      <c r="F24" s="21">
        <v>45545</v>
      </c>
      <c r="G24" s="21">
        <v>45909</v>
      </c>
      <c r="H24" s="22" t="s">
        <v>223</v>
      </c>
      <c r="I24" s="23">
        <v>3210232085597</v>
      </c>
      <c r="J24" s="22" t="s">
        <v>224</v>
      </c>
      <c r="K24" s="19"/>
      <c r="L24" s="19" t="s">
        <v>225</v>
      </c>
      <c r="M24" s="19" t="s">
        <v>226</v>
      </c>
      <c r="N24" s="19" t="s">
        <v>221</v>
      </c>
      <c r="O24" s="18" t="s">
        <v>57</v>
      </c>
      <c r="P24" s="19" t="s">
        <v>227</v>
      </c>
      <c r="Q24" s="19" t="s">
        <v>228</v>
      </c>
      <c r="R24" s="21">
        <v>45562</v>
      </c>
      <c r="S24" s="21">
        <v>46665</v>
      </c>
      <c r="T24" s="24">
        <v>3412000</v>
      </c>
      <c r="U24" s="19"/>
      <c r="V24" s="19"/>
      <c r="W24" s="25">
        <v>3412000</v>
      </c>
      <c r="X24" s="26">
        <v>2</v>
      </c>
      <c r="Y24" s="25">
        <v>68240</v>
      </c>
      <c r="Z24" s="19"/>
      <c r="AA24" s="19" t="s">
        <v>47</v>
      </c>
      <c r="AB24" s="19">
        <v>1141070982</v>
      </c>
      <c r="AC24" s="27">
        <v>45586</v>
      </c>
      <c r="AD24" s="18" t="s">
        <v>48</v>
      </c>
      <c r="AE24" s="18">
        <v>0</v>
      </c>
      <c r="AF24" s="28" t="s">
        <v>222</v>
      </c>
      <c r="AG24" s="28"/>
      <c r="AH24" s="29">
        <v>68240</v>
      </c>
      <c r="AI24" s="30">
        <f t="shared" si="0"/>
        <v>0</v>
      </c>
      <c r="AJ24" s="28" t="str">
        <f>VLOOKUP(AF24,[1]Sheet3!$B$2:$D$2361,3,0)</f>
        <v>FRE</v>
      </c>
      <c r="AK24" s="28" t="s">
        <v>49</v>
      </c>
    </row>
    <row r="25" spans="1:37" x14ac:dyDescent="0.25">
      <c r="A25" s="18" t="s">
        <v>35</v>
      </c>
      <c r="B25" s="19" t="s">
        <v>229</v>
      </c>
      <c r="C25" s="20">
        <v>45536</v>
      </c>
      <c r="D25" s="18" t="s">
        <v>37</v>
      </c>
      <c r="E25" s="19" t="s">
        <v>230</v>
      </c>
      <c r="F25" s="21">
        <v>45562</v>
      </c>
      <c r="G25" s="21">
        <v>45926</v>
      </c>
      <c r="H25" s="22" t="s">
        <v>231</v>
      </c>
      <c r="I25" s="23">
        <v>3520014737597</v>
      </c>
      <c r="J25" s="22" t="s">
        <v>232</v>
      </c>
      <c r="K25" s="19" t="s">
        <v>233</v>
      </c>
      <c r="L25" s="19" t="s">
        <v>234</v>
      </c>
      <c r="M25" s="19" t="s">
        <v>235</v>
      </c>
      <c r="N25" s="19" t="s">
        <v>229</v>
      </c>
      <c r="O25" s="18" t="s">
        <v>57</v>
      </c>
      <c r="P25" s="19" t="s">
        <v>76</v>
      </c>
      <c r="Q25" s="19" t="s">
        <v>236</v>
      </c>
      <c r="R25" s="21">
        <v>45565</v>
      </c>
      <c r="S25" s="21">
        <v>47396</v>
      </c>
      <c r="T25" s="24">
        <v>2400000</v>
      </c>
      <c r="U25" s="19"/>
      <c r="V25" s="19"/>
      <c r="W25" s="25">
        <v>2400000</v>
      </c>
      <c r="X25" s="26">
        <v>2</v>
      </c>
      <c r="Y25" s="25">
        <v>48000</v>
      </c>
      <c r="Z25" s="19"/>
      <c r="AA25" s="19" t="s">
        <v>47</v>
      </c>
      <c r="AB25" s="19">
        <v>1141070982</v>
      </c>
      <c r="AC25" s="27">
        <v>45586</v>
      </c>
      <c r="AD25" s="18" t="s">
        <v>48</v>
      </c>
      <c r="AE25" s="18">
        <v>0</v>
      </c>
      <c r="AF25" s="28" t="s">
        <v>230</v>
      </c>
      <c r="AG25" s="28"/>
      <c r="AH25" s="29">
        <v>48000</v>
      </c>
      <c r="AI25" s="30">
        <f t="shared" si="0"/>
        <v>0</v>
      </c>
      <c r="AJ25" s="28" t="str">
        <f>VLOOKUP(AF25,[1]Sheet3!$B$2:$D$2361,3,0)</f>
        <v>FRE</v>
      </c>
      <c r="AK25" s="28" t="s">
        <v>49</v>
      </c>
    </row>
    <row r="26" spans="1:37" x14ac:dyDescent="0.25">
      <c r="A26" s="18" t="s">
        <v>35</v>
      </c>
      <c r="B26" s="19" t="s">
        <v>237</v>
      </c>
      <c r="C26" s="20">
        <v>45536</v>
      </c>
      <c r="D26" s="18" t="s">
        <v>37</v>
      </c>
      <c r="E26" s="19" t="s">
        <v>238</v>
      </c>
      <c r="F26" s="21">
        <v>45562</v>
      </c>
      <c r="G26" s="21">
        <v>45926</v>
      </c>
      <c r="H26" s="22" t="s">
        <v>239</v>
      </c>
      <c r="I26" s="23">
        <v>3520223629410</v>
      </c>
      <c r="J26" s="22" t="s">
        <v>240</v>
      </c>
      <c r="K26" s="19" t="s">
        <v>241</v>
      </c>
      <c r="L26" s="19" t="s">
        <v>242</v>
      </c>
      <c r="M26" s="19" t="s">
        <v>243</v>
      </c>
      <c r="N26" s="19" t="s">
        <v>237</v>
      </c>
      <c r="O26" s="18" t="s">
        <v>57</v>
      </c>
      <c r="P26" s="19" t="s">
        <v>76</v>
      </c>
      <c r="Q26" s="19" t="s">
        <v>244</v>
      </c>
      <c r="R26" s="21">
        <v>45565</v>
      </c>
      <c r="S26" s="21">
        <v>47031</v>
      </c>
      <c r="T26" s="24">
        <v>3600000</v>
      </c>
      <c r="U26" s="19"/>
      <c r="V26" s="19"/>
      <c r="W26" s="25">
        <v>3600000</v>
      </c>
      <c r="X26" s="26">
        <v>1.5</v>
      </c>
      <c r="Y26" s="25">
        <v>54000</v>
      </c>
      <c r="Z26" s="19"/>
      <c r="AA26" s="19" t="s">
        <v>47</v>
      </c>
      <c r="AB26" s="19">
        <v>1141070982</v>
      </c>
      <c r="AC26" s="27">
        <v>45586</v>
      </c>
      <c r="AD26" s="18" t="s">
        <v>48</v>
      </c>
      <c r="AE26" s="18">
        <v>0</v>
      </c>
      <c r="AF26" s="28" t="s">
        <v>238</v>
      </c>
      <c r="AG26" s="28"/>
      <c r="AH26" s="29">
        <v>54000</v>
      </c>
      <c r="AI26" s="30">
        <f t="shared" si="0"/>
        <v>0</v>
      </c>
      <c r="AJ26" s="28" t="str">
        <f>VLOOKUP(AF26,[1]Sheet3!$B$2:$D$2361,3,0)</f>
        <v>FRE</v>
      </c>
      <c r="AK26" s="28" t="s">
        <v>49</v>
      </c>
    </row>
    <row r="27" spans="1:37" x14ac:dyDescent="0.25">
      <c r="A27" s="18" t="s">
        <v>35</v>
      </c>
      <c r="B27" s="19" t="s">
        <v>245</v>
      </c>
      <c r="C27" s="20">
        <v>45536</v>
      </c>
      <c r="D27" s="18" t="s">
        <v>37</v>
      </c>
      <c r="E27" s="19" t="s">
        <v>246</v>
      </c>
      <c r="F27" s="21">
        <v>45562</v>
      </c>
      <c r="G27" s="21">
        <v>45926</v>
      </c>
      <c r="H27" s="22" t="s">
        <v>247</v>
      </c>
      <c r="I27" s="23">
        <v>3520209281025</v>
      </c>
      <c r="J27" s="22" t="s">
        <v>138</v>
      </c>
      <c r="K27" s="19" t="s">
        <v>248</v>
      </c>
      <c r="L27" s="19" t="s">
        <v>249</v>
      </c>
      <c r="M27" s="19" t="s">
        <v>250</v>
      </c>
      <c r="N27" s="19" t="s">
        <v>245</v>
      </c>
      <c r="O27" s="18" t="s">
        <v>57</v>
      </c>
      <c r="P27" s="19" t="s">
        <v>76</v>
      </c>
      <c r="Q27" s="19" t="s">
        <v>251</v>
      </c>
      <c r="R27" s="21">
        <v>45566</v>
      </c>
      <c r="S27" s="21">
        <v>47031</v>
      </c>
      <c r="T27" s="24">
        <v>1225000</v>
      </c>
      <c r="U27" s="19"/>
      <c r="V27" s="19"/>
      <c r="W27" s="25">
        <v>1225000</v>
      </c>
      <c r="X27" s="26">
        <v>2</v>
      </c>
      <c r="Y27" s="25">
        <v>24500</v>
      </c>
      <c r="Z27" s="19"/>
      <c r="AA27" s="19" t="s">
        <v>47</v>
      </c>
      <c r="AB27" s="19">
        <v>1141070982</v>
      </c>
      <c r="AC27" s="27">
        <v>45586</v>
      </c>
      <c r="AD27" s="18" t="s">
        <v>48</v>
      </c>
      <c r="AE27" s="18">
        <v>0</v>
      </c>
      <c r="AF27" s="28" t="s">
        <v>246</v>
      </c>
      <c r="AG27" s="28"/>
      <c r="AH27" s="29">
        <v>24500</v>
      </c>
      <c r="AI27" s="30">
        <f t="shared" si="0"/>
        <v>0</v>
      </c>
      <c r="AJ27" s="28" t="str">
        <f>VLOOKUP(AF27,[1]Sheet3!$B$2:$D$2361,3,0)</f>
        <v>FRE</v>
      </c>
      <c r="AK27" s="28" t="s">
        <v>49</v>
      </c>
    </row>
    <row r="28" spans="1:37" x14ac:dyDescent="0.25">
      <c r="A28" s="18" t="s">
        <v>35</v>
      </c>
      <c r="B28" s="19" t="s">
        <v>252</v>
      </c>
      <c r="C28" s="20">
        <v>45536</v>
      </c>
      <c r="D28" s="18" t="s">
        <v>37</v>
      </c>
      <c r="E28" s="19" t="s">
        <v>253</v>
      </c>
      <c r="F28" s="21">
        <v>45562</v>
      </c>
      <c r="G28" s="21">
        <v>45926</v>
      </c>
      <c r="H28" s="22" t="s">
        <v>254</v>
      </c>
      <c r="I28" s="23">
        <v>4220182491477</v>
      </c>
      <c r="J28" s="22" t="s">
        <v>255</v>
      </c>
      <c r="K28" s="19" t="s">
        <v>256</v>
      </c>
      <c r="L28" s="19" t="s">
        <v>257</v>
      </c>
      <c r="M28" s="19" t="s">
        <v>258</v>
      </c>
      <c r="N28" s="19" t="s">
        <v>252</v>
      </c>
      <c r="O28" s="19" t="s">
        <v>44</v>
      </c>
      <c r="P28" s="19" t="s">
        <v>45</v>
      </c>
      <c r="Q28" s="19" t="s">
        <v>259</v>
      </c>
      <c r="R28" s="21">
        <v>45566</v>
      </c>
      <c r="S28" s="21">
        <v>46665</v>
      </c>
      <c r="T28" s="24">
        <v>2280000</v>
      </c>
      <c r="U28" s="19"/>
      <c r="V28" s="19"/>
      <c r="W28" s="25">
        <v>2280000</v>
      </c>
      <c r="X28" s="26">
        <v>2</v>
      </c>
      <c r="Y28" s="25">
        <v>45600</v>
      </c>
      <c r="Z28" s="19"/>
      <c r="AA28" s="19" t="s">
        <v>47</v>
      </c>
      <c r="AB28" s="19">
        <v>1141070982</v>
      </c>
      <c r="AC28" s="27">
        <v>45586</v>
      </c>
      <c r="AD28" s="18" t="s">
        <v>48</v>
      </c>
      <c r="AE28" s="18">
        <v>0</v>
      </c>
      <c r="AF28" s="28" t="s">
        <v>253</v>
      </c>
      <c r="AG28" s="28"/>
      <c r="AH28" s="29">
        <v>45600</v>
      </c>
      <c r="AI28" s="30">
        <f t="shared" si="0"/>
        <v>0</v>
      </c>
      <c r="AJ28" s="28" t="str">
        <f>VLOOKUP(AF28,[1]Sheet3!$B$2:$D$2361,3,0)</f>
        <v>FRE</v>
      </c>
      <c r="AK28" s="28" t="s">
        <v>49</v>
      </c>
    </row>
    <row r="29" spans="1:37" x14ac:dyDescent="0.25">
      <c r="A29" s="18" t="s">
        <v>35</v>
      </c>
      <c r="B29" s="19" t="s">
        <v>260</v>
      </c>
      <c r="C29" s="20">
        <v>45536</v>
      </c>
      <c r="D29" s="18" t="s">
        <v>37</v>
      </c>
      <c r="E29" s="19" t="s">
        <v>261</v>
      </c>
      <c r="F29" s="21">
        <v>45565</v>
      </c>
      <c r="G29" s="21">
        <v>45929</v>
      </c>
      <c r="H29" s="22" t="s">
        <v>262</v>
      </c>
      <c r="I29" s="23">
        <v>3230361108491</v>
      </c>
      <c r="J29" s="22" t="s">
        <v>263</v>
      </c>
      <c r="K29" s="19" t="s">
        <v>264</v>
      </c>
      <c r="L29" s="19"/>
      <c r="M29" s="19" t="s">
        <v>265</v>
      </c>
      <c r="N29" s="19" t="s">
        <v>260</v>
      </c>
      <c r="O29" s="18" t="s">
        <v>57</v>
      </c>
      <c r="P29" s="19" t="s">
        <v>58</v>
      </c>
      <c r="Q29" s="19" t="s">
        <v>266</v>
      </c>
      <c r="R29" s="21">
        <v>45566</v>
      </c>
      <c r="S29" s="21">
        <v>47031</v>
      </c>
      <c r="T29" s="24">
        <v>5200000</v>
      </c>
      <c r="U29" s="19"/>
      <c r="V29" s="19"/>
      <c r="W29" s="25">
        <v>5200000</v>
      </c>
      <c r="X29" s="26">
        <v>1.5</v>
      </c>
      <c r="Y29" s="25">
        <v>78000</v>
      </c>
      <c r="Z29" s="19"/>
      <c r="AA29" s="19" t="s">
        <v>47</v>
      </c>
      <c r="AB29" s="19">
        <v>1141070982</v>
      </c>
      <c r="AC29" s="27">
        <v>45586</v>
      </c>
      <c r="AD29" s="18" t="s">
        <v>48</v>
      </c>
      <c r="AE29" s="18">
        <v>0</v>
      </c>
      <c r="AF29" s="28" t="s">
        <v>261</v>
      </c>
      <c r="AG29" s="28"/>
      <c r="AH29" s="29">
        <v>78000</v>
      </c>
      <c r="AI29" s="30">
        <f t="shared" si="0"/>
        <v>0</v>
      </c>
      <c r="AJ29" s="28" t="str">
        <f>VLOOKUP(AF29,[1]Sheet3!$B$2:$D$2361,3,0)</f>
        <v>FRE</v>
      </c>
      <c r="AK29" s="28" t="s">
        <v>49</v>
      </c>
    </row>
    <row r="30" spans="1:37" x14ac:dyDescent="0.25">
      <c r="A30" s="18" t="s">
        <v>35</v>
      </c>
      <c r="B30" s="19" t="s">
        <v>267</v>
      </c>
      <c r="C30" s="20">
        <v>45536</v>
      </c>
      <c r="D30" s="18" t="s">
        <v>37</v>
      </c>
      <c r="E30" s="19" t="s">
        <v>268</v>
      </c>
      <c r="F30" s="21">
        <v>45565</v>
      </c>
      <c r="G30" s="21">
        <v>45929</v>
      </c>
      <c r="H30" s="22" t="s">
        <v>269</v>
      </c>
      <c r="I30" s="23">
        <v>3410123970261</v>
      </c>
      <c r="J30" s="22" t="s">
        <v>270</v>
      </c>
      <c r="K30" s="19"/>
      <c r="L30" s="19" t="s">
        <v>271</v>
      </c>
      <c r="M30" s="19" t="s">
        <v>272</v>
      </c>
      <c r="N30" s="19" t="s">
        <v>267</v>
      </c>
      <c r="O30" s="18" t="s">
        <v>57</v>
      </c>
      <c r="P30" s="19" t="s">
        <v>76</v>
      </c>
      <c r="Q30" s="19" t="s">
        <v>273</v>
      </c>
      <c r="R30" s="21">
        <v>45565</v>
      </c>
      <c r="S30" s="21">
        <v>45936</v>
      </c>
      <c r="T30" s="24">
        <v>3045000</v>
      </c>
      <c r="U30" s="19"/>
      <c r="V30" s="19"/>
      <c r="W30" s="25">
        <v>3045000</v>
      </c>
      <c r="X30" s="26">
        <v>2</v>
      </c>
      <c r="Y30" s="25">
        <v>60900</v>
      </c>
      <c r="Z30" s="19"/>
      <c r="AA30" s="19" t="s">
        <v>47</v>
      </c>
      <c r="AB30" s="19">
        <v>1141070982</v>
      </c>
      <c r="AC30" s="27">
        <v>45586</v>
      </c>
      <c r="AD30" s="18" t="s">
        <v>48</v>
      </c>
      <c r="AE30" s="18">
        <v>0</v>
      </c>
      <c r="AF30" s="28" t="s">
        <v>268</v>
      </c>
      <c r="AG30" s="28"/>
      <c r="AH30" s="29">
        <v>60900</v>
      </c>
      <c r="AI30" s="30">
        <f t="shared" si="0"/>
        <v>0</v>
      </c>
      <c r="AJ30" s="28" t="str">
        <f>VLOOKUP(AF30,[1]Sheet3!$B$2:$D$2361,3,0)</f>
        <v>FRE</v>
      </c>
      <c r="AK30" s="28" t="s">
        <v>49</v>
      </c>
    </row>
    <row r="31" spans="1:37" x14ac:dyDescent="0.25">
      <c r="A31" s="18" t="s">
        <v>35</v>
      </c>
      <c r="B31" s="19" t="s">
        <v>274</v>
      </c>
      <c r="C31" s="20">
        <v>45536</v>
      </c>
      <c r="D31" s="18" t="s">
        <v>37</v>
      </c>
      <c r="E31" s="19" t="s">
        <v>275</v>
      </c>
      <c r="F31" s="21">
        <v>45565</v>
      </c>
      <c r="G31" s="21">
        <v>45929</v>
      </c>
      <c r="H31" s="22" t="s">
        <v>276</v>
      </c>
      <c r="I31" s="23">
        <v>6110119260276</v>
      </c>
      <c r="J31" s="22" t="s">
        <v>277</v>
      </c>
      <c r="K31" s="19" t="s">
        <v>278</v>
      </c>
      <c r="L31" s="19" t="s">
        <v>279</v>
      </c>
      <c r="M31" s="19" t="s">
        <v>280</v>
      </c>
      <c r="N31" s="19" t="s">
        <v>274</v>
      </c>
      <c r="O31" s="19" t="s">
        <v>132</v>
      </c>
      <c r="P31" s="19" t="s">
        <v>133</v>
      </c>
      <c r="Q31" s="19" t="s">
        <v>281</v>
      </c>
      <c r="R31" s="21">
        <v>45565</v>
      </c>
      <c r="S31" s="21">
        <v>47031</v>
      </c>
      <c r="T31" s="24">
        <v>6000000</v>
      </c>
      <c r="U31" s="19"/>
      <c r="V31" s="19"/>
      <c r="W31" s="25">
        <v>6000000</v>
      </c>
      <c r="X31" s="26">
        <v>1.5</v>
      </c>
      <c r="Y31" s="25">
        <v>90000</v>
      </c>
      <c r="Z31" s="19"/>
      <c r="AA31" s="19" t="s">
        <v>47</v>
      </c>
      <c r="AB31" s="19">
        <v>1141070982</v>
      </c>
      <c r="AC31" s="27">
        <v>45586</v>
      </c>
      <c r="AD31" s="18" t="s">
        <v>48</v>
      </c>
      <c r="AE31" s="18">
        <v>0</v>
      </c>
      <c r="AF31" s="28" t="s">
        <v>275</v>
      </c>
      <c r="AG31" s="28"/>
      <c r="AH31" s="29">
        <v>90000</v>
      </c>
      <c r="AI31" s="30">
        <f t="shared" si="0"/>
        <v>0</v>
      </c>
      <c r="AJ31" s="28" t="str">
        <f>VLOOKUP(AF31,[1]Sheet3!$B$2:$D$2361,3,0)</f>
        <v>FRE</v>
      </c>
      <c r="AK31" s="28" t="s">
        <v>49</v>
      </c>
    </row>
    <row r="32" spans="1:37" x14ac:dyDescent="0.25">
      <c r="A32" s="18" t="s">
        <v>35</v>
      </c>
      <c r="B32" s="19" t="s">
        <v>282</v>
      </c>
      <c r="C32" s="20">
        <v>45536</v>
      </c>
      <c r="D32" s="18" t="s">
        <v>37</v>
      </c>
      <c r="E32" s="19" t="s">
        <v>283</v>
      </c>
      <c r="F32" s="21">
        <v>45565</v>
      </c>
      <c r="G32" s="21">
        <v>45929</v>
      </c>
      <c r="H32" s="22" t="s">
        <v>284</v>
      </c>
      <c r="I32" s="23">
        <v>3650191640463</v>
      </c>
      <c r="J32" s="22" t="s">
        <v>285</v>
      </c>
      <c r="K32" s="19"/>
      <c r="L32" s="19" t="s">
        <v>286</v>
      </c>
      <c r="M32" s="19" t="s">
        <v>287</v>
      </c>
      <c r="N32" s="19" t="s">
        <v>282</v>
      </c>
      <c r="O32" s="18" t="s">
        <v>57</v>
      </c>
      <c r="P32" s="19" t="s">
        <v>76</v>
      </c>
      <c r="Q32" s="19" t="s">
        <v>288</v>
      </c>
      <c r="R32" s="21">
        <v>45565</v>
      </c>
      <c r="S32" s="21">
        <v>46665</v>
      </c>
      <c r="T32" s="24">
        <v>8099000</v>
      </c>
      <c r="U32" s="19"/>
      <c r="V32" s="19"/>
      <c r="W32" s="25">
        <v>8099000</v>
      </c>
      <c r="X32" s="26">
        <v>1.5</v>
      </c>
      <c r="Y32" s="25">
        <v>121485</v>
      </c>
      <c r="Z32" s="19"/>
      <c r="AA32" s="19" t="s">
        <v>47</v>
      </c>
      <c r="AB32" s="19">
        <v>1141070982</v>
      </c>
      <c r="AC32" s="27">
        <v>45586</v>
      </c>
      <c r="AD32" s="18" t="s">
        <v>48</v>
      </c>
      <c r="AE32" s="18">
        <v>0</v>
      </c>
      <c r="AF32" s="28" t="s">
        <v>283</v>
      </c>
      <c r="AG32" s="28"/>
      <c r="AH32" s="29">
        <v>121485</v>
      </c>
      <c r="AI32" s="30">
        <f t="shared" si="0"/>
        <v>0</v>
      </c>
      <c r="AJ32" s="28" t="str">
        <f>VLOOKUP(AF32,[1]Sheet3!$B$2:$D$2361,3,0)</f>
        <v>FRE</v>
      </c>
      <c r="AK32" s="28" t="s">
        <v>49</v>
      </c>
    </row>
    <row r="33" spans="1:37" x14ac:dyDescent="0.25">
      <c r="A33" s="18" t="s">
        <v>35</v>
      </c>
      <c r="B33" s="19" t="s">
        <v>289</v>
      </c>
      <c r="C33" s="20">
        <v>45536</v>
      </c>
      <c r="D33" s="18" t="s">
        <v>37</v>
      </c>
      <c r="E33" s="19" t="s">
        <v>290</v>
      </c>
      <c r="F33" s="21">
        <v>45565</v>
      </c>
      <c r="G33" s="21">
        <v>45929</v>
      </c>
      <c r="H33" s="22" t="s">
        <v>291</v>
      </c>
      <c r="I33" s="23">
        <v>3630215803869</v>
      </c>
      <c r="J33" s="22" t="s">
        <v>270</v>
      </c>
      <c r="K33" s="19" t="s">
        <v>292</v>
      </c>
      <c r="L33" s="19" t="s">
        <v>293</v>
      </c>
      <c r="M33" s="19" t="s">
        <v>294</v>
      </c>
      <c r="N33" s="19" t="s">
        <v>289</v>
      </c>
      <c r="O33" s="18" t="s">
        <v>57</v>
      </c>
      <c r="P33" s="19" t="s">
        <v>58</v>
      </c>
      <c r="Q33" s="19" t="s">
        <v>295</v>
      </c>
      <c r="R33" s="21">
        <v>45566</v>
      </c>
      <c r="S33" s="21">
        <v>47396</v>
      </c>
      <c r="T33" s="24">
        <v>2500000</v>
      </c>
      <c r="U33" s="19"/>
      <c r="V33" s="19"/>
      <c r="W33" s="25">
        <v>2500000</v>
      </c>
      <c r="X33" s="26">
        <v>2</v>
      </c>
      <c r="Y33" s="25">
        <v>50000</v>
      </c>
      <c r="Z33" s="19"/>
      <c r="AA33" s="19" t="s">
        <v>47</v>
      </c>
      <c r="AB33" s="19">
        <v>1141070982</v>
      </c>
      <c r="AC33" s="27">
        <v>45586</v>
      </c>
      <c r="AD33" s="18" t="s">
        <v>48</v>
      </c>
      <c r="AE33" s="18">
        <v>0</v>
      </c>
      <c r="AF33" s="28" t="s">
        <v>290</v>
      </c>
      <c r="AG33" s="28"/>
      <c r="AH33" s="29">
        <v>50000</v>
      </c>
      <c r="AI33" s="30">
        <f t="shared" si="0"/>
        <v>0</v>
      </c>
      <c r="AJ33" s="28" t="str">
        <f>VLOOKUP(AF33,[1]Sheet3!$B$2:$D$2361,3,0)</f>
        <v>FRE</v>
      </c>
      <c r="AK33" s="28" t="s">
        <v>49</v>
      </c>
    </row>
    <row r="34" spans="1:37" x14ac:dyDescent="0.25">
      <c r="A34" s="18" t="s">
        <v>35</v>
      </c>
      <c r="B34" s="19" t="s">
        <v>296</v>
      </c>
      <c r="C34" s="20">
        <v>45536</v>
      </c>
      <c r="D34" s="18" t="s">
        <v>37</v>
      </c>
      <c r="E34" s="19" t="s">
        <v>297</v>
      </c>
      <c r="F34" s="21">
        <v>45565</v>
      </c>
      <c r="G34" s="21">
        <v>45929</v>
      </c>
      <c r="H34" s="22" t="s">
        <v>298</v>
      </c>
      <c r="I34" s="23">
        <v>4250152564159</v>
      </c>
      <c r="J34" s="22" t="s">
        <v>299</v>
      </c>
      <c r="K34" s="19" t="s">
        <v>300</v>
      </c>
      <c r="L34" s="19" t="s">
        <v>301</v>
      </c>
      <c r="M34" s="19" t="s">
        <v>302</v>
      </c>
      <c r="N34" s="19" t="s">
        <v>296</v>
      </c>
      <c r="O34" s="19" t="s">
        <v>44</v>
      </c>
      <c r="P34" s="19" t="s">
        <v>45</v>
      </c>
      <c r="Q34" s="19" t="s">
        <v>303</v>
      </c>
      <c r="R34" s="21">
        <v>45567</v>
      </c>
      <c r="S34" s="21">
        <v>47396</v>
      </c>
      <c r="T34" s="24">
        <v>2550000</v>
      </c>
      <c r="U34" s="19"/>
      <c r="V34" s="19"/>
      <c r="W34" s="25">
        <v>2550000</v>
      </c>
      <c r="X34" s="26">
        <v>2</v>
      </c>
      <c r="Y34" s="25">
        <v>51000</v>
      </c>
      <c r="Z34" s="19"/>
      <c r="AA34" s="19" t="s">
        <v>47</v>
      </c>
      <c r="AB34" s="19">
        <v>1141070982</v>
      </c>
      <c r="AC34" s="27">
        <v>45586</v>
      </c>
      <c r="AD34" s="18" t="s">
        <v>48</v>
      </c>
      <c r="AE34" s="18">
        <v>0</v>
      </c>
      <c r="AF34" s="28" t="s">
        <v>297</v>
      </c>
      <c r="AG34" s="28"/>
      <c r="AH34" s="29">
        <v>51000</v>
      </c>
      <c r="AI34" s="30">
        <f t="shared" si="0"/>
        <v>0</v>
      </c>
      <c r="AJ34" s="28" t="str">
        <f>VLOOKUP(AF34,[1]Sheet3!$B$2:$D$2361,3,0)</f>
        <v>FRE</v>
      </c>
      <c r="AK34" s="28" t="s">
        <v>49</v>
      </c>
    </row>
    <row r="35" spans="1:37" x14ac:dyDescent="0.25">
      <c r="A35" s="18" t="s">
        <v>35</v>
      </c>
      <c r="B35" s="19" t="s">
        <v>304</v>
      </c>
      <c r="C35" s="20">
        <v>45536</v>
      </c>
      <c r="D35" s="18" t="s">
        <v>37</v>
      </c>
      <c r="E35" s="19" t="s">
        <v>305</v>
      </c>
      <c r="F35" s="21">
        <v>45545</v>
      </c>
      <c r="G35" s="21">
        <v>45909</v>
      </c>
      <c r="H35" s="22" t="s">
        <v>306</v>
      </c>
      <c r="I35" s="23">
        <v>3520265554231</v>
      </c>
      <c r="J35" s="22" t="s">
        <v>307</v>
      </c>
      <c r="K35" s="19" t="s">
        <v>308</v>
      </c>
      <c r="L35" s="19" t="s">
        <v>309</v>
      </c>
      <c r="M35" s="19" t="s">
        <v>310</v>
      </c>
      <c r="N35" s="19" t="s">
        <v>304</v>
      </c>
      <c r="O35" s="18" t="s">
        <v>57</v>
      </c>
      <c r="P35" s="19" t="s">
        <v>76</v>
      </c>
      <c r="Q35" s="19" t="s">
        <v>311</v>
      </c>
      <c r="R35" s="21">
        <v>45546</v>
      </c>
      <c r="S35" s="21">
        <v>47366</v>
      </c>
      <c r="T35" s="24">
        <v>3350000</v>
      </c>
      <c r="U35" s="19"/>
      <c r="V35" s="19"/>
      <c r="W35" s="25">
        <v>3350000</v>
      </c>
      <c r="X35" s="26">
        <v>2</v>
      </c>
      <c r="Y35" s="25">
        <v>67000</v>
      </c>
      <c r="Z35" s="19"/>
      <c r="AA35" s="19" t="s">
        <v>47</v>
      </c>
      <c r="AB35" s="19">
        <v>1141070982</v>
      </c>
      <c r="AC35" s="27">
        <v>45586</v>
      </c>
      <c r="AD35" s="18" t="s">
        <v>48</v>
      </c>
      <c r="AE35" s="18">
        <v>9</v>
      </c>
      <c r="AF35" s="28" t="s">
        <v>305</v>
      </c>
      <c r="AG35" s="28"/>
      <c r="AH35" s="29">
        <v>67000</v>
      </c>
      <c r="AI35" s="30">
        <f t="shared" si="0"/>
        <v>0</v>
      </c>
      <c r="AJ35" s="28" t="str">
        <f>VLOOKUP(AF35,[1]Sheet3!$B$2:$D$2361,3,0)</f>
        <v>FRE</v>
      </c>
      <c r="AK35" s="28" t="s">
        <v>49</v>
      </c>
    </row>
    <row r="36" spans="1:37" x14ac:dyDescent="0.25">
      <c r="A36" s="18" t="s">
        <v>35</v>
      </c>
      <c r="B36" s="19" t="s">
        <v>312</v>
      </c>
      <c r="C36" s="20">
        <v>45536</v>
      </c>
      <c r="D36" s="18" t="s">
        <v>37</v>
      </c>
      <c r="E36" s="19" t="s">
        <v>313</v>
      </c>
      <c r="F36" s="21">
        <v>45565</v>
      </c>
      <c r="G36" s="21">
        <v>45929</v>
      </c>
      <c r="H36" s="22" t="s">
        <v>314</v>
      </c>
      <c r="I36" s="23">
        <v>4210140600168</v>
      </c>
      <c r="J36" s="22" t="s">
        <v>299</v>
      </c>
      <c r="K36" s="19" t="s">
        <v>315</v>
      </c>
      <c r="L36" s="19" t="s">
        <v>316</v>
      </c>
      <c r="M36" s="19" t="s">
        <v>317</v>
      </c>
      <c r="N36" s="19" t="s">
        <v>312</v>
      </c>
      <c r="O36" s="19" t="s">
        <v>44</v>
      </c>
      <c r="P36" s="19" t="s">
        <v>45</v>
      </c>
      <c r="Q36" s="19" t="s">
        <v>318</v>
      </c>
      <c r="R36" s="21">
        <v>45566</v>
      </c>
      <c r="S36" s="21">
        <v>46300</v>
      </c>
      <c r="T36" s="24">
        <v>2150000</v>
      </c>
      <c r="U36" s="19"/>
      <c r="V36" s="19"/>
      <c r="W36" s="25">
        <v>2150000</v>
      </c>
      <c r="X36" s="26">
        <v>2</v>
      </c>
      <c r="Y36" s="25">
        <v>43000</v>
      </c>
      <c r="Z36" s="19"/>
      <c r="AA36" s="19" t="s">
        <v>47</v>
      </c>
      <c r="AB36" s="19">
        <v>1141070982</v>
      </c>
      <c r="AC36" s="27">
        <v>45586</v>
      </c>
      <c r="AD36" s="18" t="s">
        <v>48</v>
      </c>
      <c r="AE36" s="18">
        <v>0</v>
      </c>
      <c r="AF36" s="28" t="s">
        <v>313</v>
      </c>
      <c r="AG36" s="28"/>
      <c r="AH36" s="29">
        <v>43000</v>
      </c>
      <c r="AI36" s="30">
        <f t="shared" si="0"/>
        <v>0</v>
      </c>
      <c r="AJ36" s="28" t="str">
        <f>VLOOKUP(AF36,[1]Sheet3!$B$2:$D$2361,3,0)</f>
        <v>FRE</v>
      </c>
      <c r="AK36" s="28" t="s">
        <v>49</v>
      </c>
    </row>
    <row r="37" spans="1:37" x14ac:dyDescent="0.25">
      <c r="A37" s="18" t="s">
        <v>35</v>
      </c>
      <c r="B37" s="19" t="s">
        <v>319</v>
      </c>
      <c r="C37" s="20">
        <v>45536</v>
      </c>
      <c r="D37" s="18" t="s">
        <v>37</v>
      </c>
      <c r="E37" s="19" t="s">
        <v>320</v>
      </c>
      <c r="F37" s="21">
        <v>45565</v>
      </c>
      <c r="G37" s="21">
        <v>45929</v>
      </c>
      <c r="H37" s="22" t="s">
        <v>321</v>
      </c>
      <c r="I37" s="23">
        <v>3520122661525</v>
      </c>
      <c r="J37" s="22" t="s">
        <v>53</v>
      </c>
      <c r="K37" s="19" t="s">
        <v>322</v>
      </c>
      <c r="L37" s="19" t="s">
        <v>323</v>
      </c>
      <c r="M37" s="19" t="s">
        <v>324</v>
      </c>
      <c r="N37" s="19" t="s">
        <v>319</v>
      </c>
      <c r="O37" s="18" t="s">
        <v>57</v>
      </c>
      <c r="P37" s="19" t="s">
        <v>76</v>
      </c>
      <c r="Q37" s="19" t="s">
        <v>325</v>
      </c>
      <c r="R37" s="21">
        <v>45566</v>
      </c>
      <c r="S37" s="21">
        <v>47396</v>
      </c>
      <c r="T37" s="24">
        <v>3300000</v>
      </c>
      <c r="U37" s="19"/>
      <c r="V37" s="19"/>
      <c r="W37" s="25">
        <v>3300000</v>
      </c>
      <c r="X37" s="26">
        <v>2</v>
      </c>
      <c r="Y37" s="25">
        <v>66000</v>
      </c>
      <c r="Z37" s="19"/>
      <c r="AA37" s="19" t="s">
        <v>47</v>
      </c>
      <c r="AB37" s="19">
        <v>1141070982</v>
      </c>
      <c r="AC37" s="27">
        <v>45586</v>
      </c>
      <c r="AD37" s="18" t="s">
        <v>48</v>
      </c>
      <c r="AE37" s="18">
        <v>0</v>
      </c>
      <c r="AF37" s="28" t="s">
        <v>320</v>
      </c>
      <c r="AG37" s="28"/>
      <c r="AH37" s="29">
        <v>66000</v>
      </c>
      <c r="AI37" s="30">
        <f t="shared" si="0"/>
        <v>0</v>
      </c>
      <c r="AJ37" s="28" t="str">
        <f>VLOOKUP(AF37,[1]Sheet3!$B$2:$D$2361,3,0)</f>
        <v>FRE</v>
      </c>
      <c r="AK37" s="28" t="s">
        <v>49</v>
      </c>
    </row>
    <row r="38" spans="1:37" x14ac:dyDescent="0.25">
      <c r="A38" s="18" t="s">
        <v>35</v>
      </c>
      <c r="B38" s="19" t="s">
        <v>326</v>
      </c>
      <c r="C38" s="20">
        <v>45536</v>
      </c>
      <c r="D38" s="18" t="s">
        <v>37</v>
      </c>
      <c r="E38" s="19" t="s">
        <v>327</v>
      </c>
      <c r="F38" s="21">
        <v>45565</v>
      </c>
      <c r="G38" s="21">
        <v>45929</v>
      </c>
      <c r="H38" s="22" t="s">
        <v>328</v>
      </c>
      <c r="I38" s="23">
        <v>4250114575894</v>
      </c>
      <c r="J38" s="22" t="s">
        <v>329</v>
      </c>
      <c r="K38" s="19" t="s">
        <v>330</v>
      </c>
      <c r="L38" s="19" t="s">
        <v>331</v>
      </c>
      <c r="M38" s="19" t="s">
        <v>332</v>
      </c>
      <c r="N38" s="19" t="s">
        <v>326</v>
      </c>
      <c r="O38" s="19" t="s">
        <v>44</v>
      </c>
      <c r="P38" s="19" t="s">
        <v>45</v>
      </c>
      <c r="Q38" s="19" t="s">
        <v>333</v>
      </c>
      <c r="R38" s="21">
        <v>45566</v>
      </c>
      <c r="S38" s="21">
        <v>46665</v>
      </c>
      <c r="T38" s="24">
        <v>3200000</v>
      </c>
      <c r="U38" s="19"/>
      <c r="V38" s="19"/>
      <c r="W38" s="25">
        <v>3200000</v>
      </c>
      <c r="X38" s="26">
        <v>2</v>
      </c>
      <c r="Y38" s="25">
        <v>64000</v>
      </c>
      <c r="Z38" s="19"/>
      <c r="AA38" s="19" t="s">
        <v>47</v>
      </c>
      <c r="AB38" s="19">
        <v>1141070982</v>
      </c>
      <c r="AC38" s="27">
        <v>45586</v>
      </c>
      <c r="AD38" s="18" t="s">
        <v>48</v>
      </c>
      <c r="AE38" s="18">
        <v>0</v>
      </c>
      <c r="AF38" s="28" t="s">
        <v>327</v>
      </c>
      <c r="AG38" s="28"/>
      <c r="AH38" s="29">
        <v>64000</v>
      </c>
      <c r="AI38" s="30">
        <f t="shared" si="0"/>
        <v>0</v>
      </c>
      <c r="AJ38" s="28" t="str">
        <f>VLOOKUP(AF38,[1]Sheet3!$B$2:$D$2361,3,0)</f>
        <v>FRE</v>
      </c>
      <c r="AK38" s="28" t="s">
        <v>49</v>
      </c>
    </row>
    <row r="39" spans="1:37" x14ac:dyDescent="0.25">
      <c r="A39" s="18" t="s">
        <v>35</v>
      </c>
      <c r="B39" s="19" t="s">
        <v>334</v>
      </c>
      <c r="C39" s="20">
        <v>45536</v>
      </c>
      <c r="D39" s="18" t="s">
        <v>37</v>
      </c>
      <c r="E39" s="19" t="s">
        <v>335</v>
      </c>
      <c r="F39" s="21">
        <v>45565</v>
      </c>
      <c r="G39" s="21">
        <v>45929</v>
      </c>
      <c r="H39" s="22" t="s">
        <v>336</v>
      </c>
      <c r="I39" s="23">
        <v>3740209791349</v>
      </c>
      <c r="J39" s="22" t="s">
        <v>337</v>
      </c>
      <c r="K39" s="19"/>
      <c r="L39" s="19" t="s">
        <v>338</v>
      </c>
      <c r="M39" s="19" t="s">
        <v>339</v>
      </c>
      <c r="N39" s="19" t="s">
        <v>334</v>
      </c>
      <c r="O39" s="19" t="s">
        <v>132</v>
      </c>
      <c r="P39" s="19" t="s">
        <v>133</v>
      </c>
      <c r="Q39" s="19" t="s">
        <v>340</v>
      </c>
      <c r="R39" s="21">
        <v>45566</v>
      </c>
      <c r="S39" s="21">
        <v>47396</v>
      </c>
      <c r="T39" s="24">
        <v>1940000</v>
      </c>
      <c r="U39" s="19"/>
      <c r="V39" s="19"/>
      <c r="W39" s="25">
        <v>1940000</v>
      </c>
      <c r="X39" s="26">
        <v>2</v>
      </c>
      <c r="Y39" s="25">
        <v>38800</v>
      </c>
      <c r="Z39" s="19"/>
      <c r="AA39" s="19" t="s">
        <v>47</v>
      </c>
      <c r="AB39" s="19">
        <v>1141070982</v>
      </c>
      <c r="AC39" s="27">
        <v>45586</v>
      </c>
      <c r="AD39" s="18" t="s">
        <v>48</v>
      </c>
      <c r="AE39" s="18">
        <v>0</v>
      </c>
      <c r="AF39" s="28" t="s">
        <v>335</v>
      </c>
      <c r="AG39" s="28"/>
      <c r="AH39" s="29">
        <v>38800</v>
      </c>
      <c r="AI39" s="30">
        <f t="shared" si="0"/>
        <v>0</v>
      </c>
      <c r="AJ39" s="28" t="str">
        <f>VLOOKUP(AF39,[1]Sheet3!$B$2:$D$2361,3,0)</f>
        <v>FRE</v>
      </c>
      <c r="AK39" s="28" t="s">
        <v>49</v>
      </c>
    </row>
    <row r="40" spans="1:37" x14ac:dyDescent="0.25">
      <c r="A40" s="18" t="s">
        <v>35</v>
      </c>
      <c r="B40" s="19" t="s">
        <v>341</v>
      </c>
      <c r="C40" s="20">
        <v>45536</v>
      </c>
      <c r="D40" s="18" t="s">
        <v>37</v>
      </c>
      <c r="E40" s="19" t="s">
        <v>342</v>
      </c>
      <c r="F40" s="21">
        <v>45565</v>
      </c>
      <c r="G40" s="21">
        <v>45929</v>
      </c>
      <c r="H40" s="22" t="s">
        <v>343</v>
      </c>
      <c r="I40" s="23">
        <v>3520197275909</v>
      </c>
      <c r="J40" s="22" t="s">
        <v>224</v>
      </c>
      <c r="K40" s="19" t="s">
        <v>344</v>
      </c>
      <c r="L40" s="19" t="s">
        <v>345</v>
      </c>
      <c r="M40" s="19" t="s">
        <v>346</v>
      </c>
      <c r="N40" s="19" t="s">
        <v>341</v>
      </c>
      <c r="O40" s="18" t="s">
        <v>57</v>
      </c>
      <c r="P40" s="19" t="s">
        <v>76</v>
      </c>
      <c r="Q40" s="19" t="s">
        <v>347</v>
      </c>
      <c r="R40" s="21">
        <v>45566</v>
      </c>
      <c r="S40" s="21">
        <v>47396</v>
      </c>
      <c r="T40" s="24">
        <v>2000000</v>
      </c>
      <c r="U40" s="19"/>
      <c r="V40" s="19"/>
      <c r="W40" s="25">
        <v>2000000</v>
      </c>
      <c r="X40" s="26">
        <v>2</v>
      </c>
      <c r="Y40" s="25">
        <v>40000</v>
      </c>
      <c r="Z40" s="19"/>
      <c r="AA40" s="19" t="s">
        <v>47</v>
      </c>
      <c r="AB40" s="19">
        <v>1141070982</v>
      </c>
      <c r="AC40" s="27">
        <v>45586</v>
      </c>
      <c r="AD40" s="18" t="s">
        <v>48</v>
      </c>
      <c r="AE40" s="18">
        <v>0</v>
      </c>
      <c r="AF40" s="28" t="s">
        <v>342</v>
      </c>
      <c r="AG40" s="28"/>
      <c r="AH40" s="29">
        <v>40000</v>
      </c>
      <c r="AI40" s="30">
        <f t="shared" si="0"/>
        <v>0</v>
      </c>
      <c r="AJ40" s="28" t="str">
        <f>VLOOKUP(AF40,[1]Sheet3!$B$2:$D$2361,3,0)</f>
        <v>FRE</v>
      </c>
      <c r="AK40" s="28" t="s">
        <v>49</v>
      </c>
    </row>
    <row r="41" spans="1:37" x14ac:dyDescent="0.25">
      <c r="A41" s="18" t="s">
        <v>35</v>
      </c>
      <c r="B41" s="19" t="s">
        <v>348</v>
      </c>
      <c r="C41" s="20">
        <v>45536</v>
      </c>
      <c r="D41" s="18" t="s">
        <v>37</v>
      </c>
      <c r="E41" s="19" t="s">
        <v>349</v>
      </c>
      <c r="F41" s="21">
        <v>45565</v>
      </c>
      <c r="G41" s="21">
        <v>45929</v>
      </c>
      <c r="H41" s="22" t="s">
        <v>350</v>
      </c>
      <c r="I41" s="23">
        <v>3840361347351</v>
      </c>
      <c r="J41" s="22" t="s">
        <v>270</v>
      </c>
      <c r="K41" s="19" t="s">
        <v>351</v>
      </c>
      <c r="L41" s="19" t="s">
        <v>352</v>
      </c>
      <c r="M41" s="19" t="s">
        <v>353</v>
      </c>
      <c r="N41" s="19" t="s">
        <v>348</v>
      </c>
      <c r="O41" s="18" t="s">
        <v>57</v>
      </c>
      <c r="P41" s="19" t="s">
        <v>76</v>
      </c>
      <c r="Q41" s="19" t="s">
        <v>354</v>
      </c>
      <c r="R41" s="21">
        <v>45566</v>
      </c>
      <c r="S41" s="21">
        <v>46665</v>
      </c>
      <c r="T41" s="24">
        <v>2300000</v>
      </c>
      <c r="U41" s="19"/>
      <c r="V41" s="19"/>
      <c r="W41" s="25">
        <v>2300000</v>
      </c>
      <c r="X41" s="26">
        <v>2</v>
      </c>
      <c r="Y41" s="25">
        <v>46000</v>
      </c>
      <c r="Z41" s="19"/>
      <c r="AA41" s="19" t="s">
        <v>47</v>
      </c>
      <c r="AB41" s="19">
        <v>1141070982</v>
      </c>
      <c r="AC41" s="27">
        <v>45586</v>
      </c>
      <c r="AD41" s="18" t="s">
        <v>48</v>
      </c>
      <c r="AE41" s="18">
        <v>0</v>
      </c>
      <c r="AF41" s="28" t="s">
        <v>349</v>
      </c>
      <c r="AG41" s="28"/>
      <c r="AH41" s="29">
        <v>46000</v>
      </c>
      <c r="AI41" s="30">
        <f t="shared" si="0"/>
        <v>0</v>
      </c>
      <c r="AJ41" s="28" t="str">
        <f>VLOOKUP(AF41,[1]Sheet3!$B$2:$D$2361,3,0)</f>
        <v>FRE</v>
      </c>
      <c r="AK41" s="28" t="s">
        <v>49</v>
      </c>
    </row>
    <row r="42" spans="1:37" x14ac:dyDescent="0.25">
      <c r="A42" s="18" t="s">
        <v>35</v>
      </c>
      <c r="B42" s="19" t="s">
        <v>355</v>
      </c>
      <c r="C42" s="20">
        <v>45536</v>
      </c>
      <c r="D42" s="18" t="s">
        <v>37</v>
      </c>
      <c r="E42" s="19" t="s">
        <v>356</v>
      </c>
      <c r="F42" s="21">
        <v>45565</v>
      </c>
      <c r="G42" s="21">
        <v>45929</v>
      </c>
      <c r="H42" s="22" t="s">
        <v>357</v>
      </c>
      <c r="I42" s="23">
        <v>6110185558767</v>
      </c>
      <c r="J42" s="22" t="s">
        <v>162</v>
      </c>
      <c r="K42" s="19"/>
      <c r="L42" s="19" t="s">
        <v>358</v>
      </c>
      <c r="M42" s="19" t="s">
        <v>359</v>
      </c>
      <c r="N42" s="19" t="s">
        <v>355</v>
      </c>
      <c r="O42" s="19" t="s">
        <v>132</v>
      </c>
      <c r="P42" s="19" t="s">
        <v>133</v>
      </c>
      <c r="Q42" s="19" t="s">
        <v>360</v>
      </c>
      <c r="R42" s="21">
        <v>45566</v>
      </c>
      <c r="S42" s="21">
        <v>46665</v>
      </c>
      <c r="T42" s="24">
        <v>4719000</v>
      </c>
      <c r="U42" s="19"/>
      <c r="V42" s="19"/>
      <c r="W42" s="25">
        <v>4719000</v>
      </c>
      <c r="X42" s="26">
        <v>1.5</v>
      </c>
      <c r="Y42" s="25">
        <v>70785</v>
      </c>
      <c r="Z42" s="19"/>
      <c r="AA42" s="19" t="s">
        <v>47</v>
      </c>
      <c r="AB42" s="19">
        <v>1141070982</v>
      </c>
      <c r="AC42" s="27">
        <v>45586</v>
      </c>
      <c r="AD42" s="18" t="s">
        <v>48</v>
      </c>
      <c r="AE42" s="18">
        <v>0</v>
      </c>
      <c r="AF42" s="28" t="s">
        <v>356</v>
      </c>
      <c r="AG42" s="28"/>
      <c r="AH42" s="29">
        <v>70785</v>
      </c>
      <c r="AI42" s="30">
        <f t="shared" si="0"/>
        <v>0</v>
      </c>
      <c r="AJ42" s="28" t="str">
        <f>VLOOKUP(AF42,[1]Sheet3!$B$2:$D$2361,3,0)</f>
        <v>FRE</v>
      </c>
      <c r="AK42" s="28" t="s">
        <v>49</v>
      </c>
    </row>
    <row r="43" spans="1:37" x14ac:dyDescent="0.25">
      <c r="A43" s="18" t="s">
        <v>35</v>
      </c>
      <c r="B43" s="19" t="s">
        <v>361</v>
      </c>
      <c r="C43" s="20">
        <v>45536</v>
      </c>
      <c r="D43" s="18" t="s">
        <v>37</v>
      </c>
      <c r="E43" s="19" t="s">
        <v>362</v>
      </c>
      <c r="F43" s="21">
        <v>45565</v>
      </c>
      <c r="G43" s="21">
        <v>45929</v>
      </c>
      <c r="H43" s="22" t="s">
        <v>363</v>
      </c>
      <c r="I43" s="23">
        <v>3630221295497</v>
      </c>
      <c r="J43" s="22" t="s">
        <v>299</v>
      </c>
      <c r="K43" s="19"/>
      <c r="L43" s="19" t="s">
        <v>364</v>
      </c>
      <c r="M43" s="19" t="s">
        <v>365</v>
      </c>
      <c r="N43" s="19" t="s">
        <v>361</v>
      </c>
      <c r="O43" s="18" t="s">
        <v>57</v>
      </c>
      <c r="P43" s="19" t="s">
        <v>58</v>
      </c>
      <c r="Q43" s="19" t="s">
        <v>366</v>
      </c>
      <c r="R43" s="21">
        <v>45566</v>
      </c>
      <c r="S43" s="21">
        <v>47396</v>
      </c>
      <c r="T43" s="24">
        <v>2707000</v>
      </c>
      <c r="U43" s="19"/>
      <c r="V43" s="19"/>
      <c r="W43" s="25">
        <v>2707000</v>
      </c>
      <c r="X43" s="26">
        <v>2</v>
      </c>
      <c r="Y43" s="25">
        <v>54140</v>
      </c>
      <c r="Z43" s="19"/>
      <c r="AA43" s="19" t="s">
        <v>47</v>
      </c>
      <c r="AB43" s="19">
        <v>1141070982</v>
      </c>
      <c r="AC43" s="27">
        <v>45586</v>
      </c>
      <c r="AD43" s="18" t="s">
        <v>48</v>
      </c>
      <c r="AE43" s="18">
        <v>0</v>
      </c>
      <c r="AF43" s="28" t="s">
        <v>362</v>
      </c>
      <c r="AG43" s="28"/>
      <c r="AH43" s="29">
        <v>54140</v>
      </c>
      <c r="AI43" s="30">
        <f t="shared" si="0"/>
        <v>0</v>
      </c>
      <c r="AJ43" s="28" t="str">
        <f>VLOOKUP(AF43,[1]Sheet3!$B$2:$D$2361,3,0)</f>
        <v>FRE</v>
      </c>
      <c r="AK43" s="28" t="s">
        <v>49</v>
      </c>
    </row>
    <row r="44" spans="1:37" x14ac:dyDescent="0.25">
      <c r="A44" s="18" t="s">
        <v>35</v>
      </c>
      <c r="B44" s="19" t="s">
        <v>367</v>
      </c>
      <c r="C44" s="20">
        <v>45536</v>
      </c>
      <c r="D44" s="18" t="s">
        <v>37</v>
      </c>
      <c r="E44" s="19" t="s">
        <v>368</v>
      </c>
      <c r="F44" s="21">
        <v>45565</v>
      </c>
      <c r="G44" s="21">
        <v>45929</v>
      </c>
      <c r="H44" s="22" t="s">
        <v>369</v>
      </c>
      <c r="I44" s="23">
        <v>6110197539865</v>
      </c>
      <c r="J44" s="22" t="s">
        <v>154</v>
      </c>
      <c r="K44" s="19" t="s">
        <v>370</v>
      </c>
      <c r="L44" s="19" t="s">
        <v>371</v>
      </c>
      <c r="M44" s="19" t="s">
        <v>372</v>
      </c>
      <c r="N44" s="19" t="s">
        <v>367</v>
      </c>
      <c r="O44" s="19" t="s">
        <v>132</v>
      </c>
      <c r="P44" s="19" t="s">
        <v>133</v>
      </c>
      <c r="Q44" s="19" t="s">
        <v>373</v>
      </c>
      <c r="R44" s="21">
        <v>45566</v>
      </c>
      <c r="S44" s="21">
        <v>46665</v>
      </c>
      <c r="T44" s="24">
        <v>5000000</v>
      </c>
      <c r="U44" s="19"/>
      <c r="V44" s="19"/>
      <c r="W44" s="25">
        <v>5000000</v>
      </c>
      <c r="X44" s="26">
        <v>1.5</v>
      </c>
      <c r="Y44" s="25">
        <v>75000</v>
      </c>
      <c r="Z44" s="19"/>
      <c r="AA44" s="19" t="s">
        <v>47</v>
      </c>
      <c r="AB44" s="19">
        <v>1141070982</v>
      </c>
      <c r="AC44" s="27">
        <v>45586</v>
      </c>
      <c r="AD44" s="18" t="s">
        <v>48</v>
      </c>
      <c r="AE44" s="18">
        <v>0</v>
      </c>
      <c r="AF44" s="28" t="s">
        <v>368</v>
      </c>
      <c r="AG44" s="28"/>
      <c r="AH44" s="29">
        <v>75000</v>
      </c>
      <c r="AI44" s="30">
        <f t="shared" si="0"/>
        <v>0</v>
      </c>
      <c r="AJ44" s="28" t="str">
        <f>VLOOKUP(AF44,[1]Sheet3!$B$2:$D$2361,3,0)</f>
        <v>FRE</v>
      </c>
      <c r="AK44" s="28" t="s">
        <v>49</v>
      </c>
    </row>
    <row r="45" spans="1:37" x14ac:dyDescent="0.25">
      <c r="A45" s="18" t="s">
        <v>35</v>
      </c>
      <c r="B45" s="19" t="s">
        <v>374</v>
      </c>
      <c r="C45" s="20">
        <v>45536</v>
      </c>
      <c r="D45" s="18" t="s">
        <v>37</v>
      </c>
      <c r="E45" s="19" t="s">
        <v>375</v>
      </c>
      <c r="F45" s="21">
        <v>45546</v>
      </c>
      <c r="G45" s="21">
        <v>45910</v>
      </c>
      <c r="H45" s="22" t="s">
        <v>376</v>
      </c>
      <c r="I45" s="23">
        <v>3130359826513</v>
      </c>
      <c r="J45" s="22" t="s">
        <v>377</v>
      </c>
      <c r="K45" s="19" t="s">
        <v>378</v>
      </c>
      <c r="L45" s="19" t="s">
        <v>379</v>
      </c>
      <c r="M45" s="19" t="s">
        <v>380</v>
      </c>
      <c r="N45" s="19" t="s">
        <v>374</v>
      </c>
      <c r="O45" s="19" t="s">
        <v>44</v>
      </c>
      <c r="P45" s="19" t="s">
        <v>45</v>
      </c>
      <c r="Q45" s="19" t="s">
        <v>381</v>
      </c>
      <c r="R45" s="21">
        <v>45548</v>
      </c>
      <c r="S45" s="21">
        <v>47366</v>
      </c>
      <c r="T45" s="24">
        <v>2300000</v>
      </c>
      <c r="U45" s="19"/>
      <c r="V45" s="19"/>
      <c r="W45" s="25">
        <v>2300000</v>
      </c>
      <c r="X45" s="26">
        <v>2</v>
      </c>
      <c r="Y45" s="25">
        <v>46000</v>
      </c>
      <c r="Z45" s="19"/>
      <c r="AA45" s="19" t="s">
        <v>47</v>
      </c>
      <c r="AB45" s="19">
        <v>1141070982</v>
      </c>
      <c r="AC45" s="27">
        <v>45586</v>
      </c>
      <c r="AD45" s="18" t="s">
        <v>48</v>
      </c>
      <c r="AE45" s="18">
        <v>0</v>
      </c>
      <c r="AF45" s="28" t="s">
        <v>375</v>
      </c>
      <c r="AG45" s="28"/>
      <c r="AH45" s="29">
        <v>46000</v>
      </c>
      <c r="AI45" s="30">
        <f t="shared" si="0"/>
        <v>0</v>
      </c>
      <c r="AJ45" s="28" t="str">
        <f>VLOOKUP(AF45,[1]Sheet3!$B$2:$D$2361,3,0)</f>
        <v>FRE</v>
      </c>
      <c r="AK45" s="28" t="s">
        <v>49</v>
      </c>
    </row>
    <row r="46" spans="1:37" x14ac:dyDescent="0.25">
      <c r="A46" s="18" t="s">
        <v>35</v>
      </c>
      <c r="B46" s="19" t="s">
        <v>382</v>
      </c>
      <c r="C46" s="20">
        <v>45536</v>
      </c>
      <c r="D46" s="18" t="s">
        <v>37</v>
      </c>
      <c r="E46" s="19" t="s">
        <v>383</v>
      </c>
      <c r="F46" s="21">
        <v>45547</v>
      </c>
      <c r="G46" s="21">
        <v>45911</v>
      </c>
      <c r="H46" s="22" t="s">
        <v>384</v>
      </c>
      <c r="I46" s="23">
        <v>3310027899009</v>
      </c>
      <c r="J46" s="22" t="s">
        <v>385</v>
      </c>
      <c r="K46" s="19" t="s">
        <v>386</v>
      </c>
      <c r="L46" s="19" t="s">
        <v>387</v>
      </c>
      <c r="M46" s="19" t="s">
        <v>388</v>
      </c>
      <c r="N46" s="19" t="s">
        <v>382</v>
      </c>
      <c r="O46" s="18" t="s">
        <v>57</v>
      </c>
      <c r="P46" s="19" t="s">
        <v>67</v>
      </c>
      <c r="Q46" s="19" t="s">
        <v>389</v>
      </c>
      <c r="R46" s="21">
        <v>45548</v>
      </c>
      <c r="S46" s="21">
        <v>46636</v>
      </c>
      <c r="T46" s="24">
        <v>4300000</v>
      </c>
      <c r="U46" s="19"/>
      <c r="V46" s="19"/>
      <c r="W46" s="25">
        <v>4300000</v>
      </c>
      <c r="X46" s="26">
        <v>1.5</v>
      </c>
      <c r="Y46" s="25">
        <v>64500</v>
      </c>
      <c r="Z46" s="19"/>
      <c r="AA46" s="19" t="s">
        <v>47</v>
      </c>
      <c r="AB46" s="19">
        <v>1141070982</v>
      </c>
      <c r="AC46" s="27">
        <v>45586</v>
      </c>
      <c r="AD46" s="18" t="s">
        <v>48</v>
      </c>
      <c r="AE46" s="18">
        <v>9</v>
      </c>
      <c r="AF46" s="28" t="s">
        <v>383</v>
      </c>
      <c r="AG46" s="28"/>
      <c r="AH46" s="29">
        <v>64500</v>
      </c>
      <c r="AI46" s="30">
        <f t="shared" si="0"/>
        <v>0</v>
      </c>
      <c r="AJ46" s="28" t="str">
        <f>VLOOKUP(AF46,[1]Sheet3!$B$2:$D$2361,3,0)</f>
        <v>FRE</v>
      </c>
      <c r="AK46" s="28" t="s">
        <v>49</v>
      </c>
    </row>
    <row r="47" spans="1:37" x14ac:dyDescent="0.25">
      <c r="A47" s="18" t="s">
        <v>35</v>
      </c>
      <c r="B47" s="19" t="s">
        <v>390</v>
      </c>
      <c r="C47" s="20">
        <v>45536</v>
      </c>
      <c r="D47" s="18" t="s">
        <v>37</v>
      </c>
      <c r="E47" s="19" t="s">
        <v>391</v>
      </c>
      <c r="F47" s="21">
        <v>45547</v>
      </c>
      <c r="G47" s="21">
        <v>45911</v>
      </c>
      <c r="H47" s="22" t="s">
        <v>392</v>
      </c>
      <c r="I47" s="23">
        <v>3510297291501</v>
      </c>
      <c r="J47" s="22" t="s">
        <v>63</v>
      </c>
      <c r="K47" s="19" t="s">
        <v>393</v>
      </c>
      <c r="L47" s="19" t="s">
        <v>394</v>
      </c>
      <c r="M47" s="19" t="s">
        <v>395</v>
      </c>
      <c r="N47" s="19" t="s">
        <v>390</v>
      </c>
      <c r="O47" s="18" t="s">
        <v>57</v>
      </c>
      <c r="P47" s="19" t="s">
        <v>76</v>
      </c>
      <c r="Q47" s="19" t="s">
        <v>396</v>
      </c>
      <c r="R47" s="21">
        <v>45553</v>
      </c>
      <c r="S47" s="21">
        <v>47396</v>
      </c>
      <c r="T47" s="24">
        <v>2800000</v>
      </c>
      <c r="U47" s="19"/>
      <c r="V47" s="19"/>
      <c r="W47" s="25">
        <v>2800000</v>
      </c>
      <c r="X47" s="26">
        <v>2</v>
      </c>
      <c r="Y47" s="25">
        <v>56000</v>
      </c>
      <c r="Z47" s="19"/>
      <c r="AA47" s="19" t="s">
        <v>47</v>
      </c>
      <c r="AB47" s="19">
        <v>1141070982</v>
      </c>
      <c r="AC47" s="27">
        <v>45586</v>
      </c>
      <c r="AD47" s="18" t="s">
        <v>48</v>
      </c>
      <c r="AE47" s="18">
        <v>0</v>
      </c>
      <c r="AF47" s="28" t="s">
        <v>391</v>
      </c>
      <c r="AG47" s="28"/>
      <c r="AH47" s="29">
        <v>56000</v>
      </c>
      <c r="AI47" s="30">
        <f t="shared" si="0"/>
        <v>0</v>
      </c>
      <c r="AJ47" s="28" t="str">
        <f>VLOOKUP(AF47,[1]Sheet3!$B$2:$D$2361,3,0)</f>
        <v>FRE</v>
      </c>
      <c r="AK47" s="28" t="s">
        <v>49</v>
      </c>
    </row>
    <row r="48" spans="1:37" x14ac:dyDescent="0.25">
      <c r="A48" s="18" t="s">
        <v>35</v>
      </c>
      <c r="B48" s="19" t="s">
        <v>397</v>
      </c>
      <c r="C48" s="20">
        <v>45536</v>
      </c>
      <c r="D48" s="18" t="s">
        <v>37</v>
      </c>
      <c r="E48" s="19" t="s">
        <v>398</v>
      </c>
      <c r="F48" s="21">
        <v>45548</v>
      </c>
      <c r="G48" s="21">
        <v>45912</v>
      </c>
      <c r="H48" s="22" t="s">
        <v>399</v>
      </c>
      <c r="I48" s="23">
        <v>3520144448631</v>
      </c>
      <c r="J48" s="22" t="s">
        <v>400</v>
      </c>
      <c r="K48" s="19"/>
      <c r="L48" s="19" t="s">
        <v>401</v>
      </c>
      <c r="M48" s="19" t="s">
        <v>402</v>
      </c>
      <c r="N48" s="19" t="s">
        <v>397</v>
      </c>
      <c r="O48" s="18" t="s">
        <v>57</v>
      </c>
      <c r="P48" s="19" t="s">
        <v>76</v>
      </c>
      <c r="Q48" s="19" t="s">
        <v>403</v>
      </c>
      <c r="R48" s="21">
        <v>45551</v>
      </c>
      <c r="S48" s="21">
        <v>46665</v>
      </c>
      <c r="T48" s="24">
        <v>4719000</v>
      </c>
      <c r="U48" s="19"/>
      <c r="V48" s="19"/>
      <c r="W48" s="25">
        <v>4719000</v>
      </c>
      <c r="X48" s="26">
        <v>1.5</v>
      </c>
      <c r="Y48" s="25">
        <v>70785</v>
      </c>
      <c r="Z48" s="19"/>
      <c r="AA48" s="19" t="s">
        <v>47</v>
      </c>
      <c r="AB48" s="19">
        <v>1141070982</v>
      </c>
      <c r="AC48" s="27">
        <v>45586</v>
      </c>
      <c r="AD48" s="18" t="s">
        <v>48</v>
      </c>
      <c r="AE48" s="18">
        <v>0</v>
      </c>
      <c r="AF48" s="28" t="s">
        <v>398</v>
      </c>
      <c r="AG48" s="28"/>
      <c r="AH48" s="29">
        <v>70785</v>
      </c>
      <c r="AI48" s="30">
        <f t="shared" si="0"/>
        <v>0</v>
      </c>
      <c r="AJ48" s="28" t="str">
        <f>VLOOKUP(AF48,[1]Sheet3!$B$2:$D$2361,3,0)</f>
        <v>FRE</v>
      </c>
      <c r="AK48" s="28" t="s">
        <v>49</v>
      </c>
    </row>
    <row r="49" spans="1:37" x14ac:dyDescent="0.25">
      <c r="A49" s="18" t="s">
        <v>35</v>
      </c>
      <c r="B49" s="19" t="s">
        <v>404</v>
      </c>
      <c r="C49" s="20">
        <v>45536</v>
      </c>
      <c r="D49" s="18" t="s">
        <v>37</v>
      </c>
      <c r="E49" s="19" t="s">
        <v>405</v>
      </c>
      <c r="F49" s="21">
        <v>45551</v>
      </c>
      <c r="G49" s="21">
        <v>45915</v>
      </c>
      <c r="H49" s="22" t="s">
        <v>406</v>
      </c>
      <c r="I49" s="23">
        <v>4210157035012</v>
      </c>
      <c r="J49" s="22" t="s">
        <v>407</v>
      </c>
      <c r="K49" s="19" t="s">
        <v>408</v>
      </c>
      <c r="L49" s="19" t="s">
        <v>409</v>
      </c>
      <c r="M49" s="19" t="s">
        <v>410</v>
      </c>
      <c r="N49" s="19" t="s">
        <v>404</v>
      </c>
      <c r="O49" s="19" t="s">
        <v>44</v>
      </c>
      <c r="P49" s="19" t="s">
        <v>45</v>
      </c>
      <c r="Q49" s="19" t="s">
        <v>411</v>
      </c>
      <c r="R49" s="21">
        <v>45555</v>
      </c>
      <c r="S49" s="21">
        <v>47031</v>
      </c>
      <c r="T49" s="24">
        <v>1000000</v>
      </c>
      <c r="U49" s="19"/>
      <c r="V49" s="19"/>
      <c r="W49" s="25">
        <v>1000000</v>
      </c>
      <c r="X49" s="26">
        <v>2</v>
      </c>
      <c r="Y49" s="25">
        <v>20000</v>
      </c>
      <c r="Z49" s="19"/>
      <c r="AA49" s="19" t="s">
        <v>47</v>
      </c>
      <c r="AB49" s="19">
        <v>1141070982</v>
      </c>
      <c r="AC49" s="27">
        <v>45586</v>
      </c>
      <c r="AD49" s="18" t="s">
        <v>48</v>
      </c>
      <c r="AE49" s="18">
        <v>0</v>
      </c>
      <c r="AF49" s="28" t="s">
        <v>405</v>
      </c>
      <c r="AG49" s="28" t="s">
        <v>1629</v>
      </c>
      <c r="AH49" s="29">
        <v>15000</v>
      </c>
      <c r="AI49" s="32">
        <f t="shared" si="0"/>
        <v>5000</v>
      </c>
      <c r="AJ49" s="28" t="str">
        <f>VLOOKUP(AF49,[1]Sheet3!$B$2:$D$2361,3,0)</f>
        <v>FRE</v>
      </c>
      <c r="AK49" s="28" t="s">
        <v>49</v>
      </c>
    </row>
  </sheetData>
  <autoFilter ref="A1:AK49" xr:uid="{7DB53B85-CCDE-42B5-8405-9F381D6CC83A}"/>
  <conditionalFormatting sqref="L2:M30">
    <cfRule type="duplicateValues" dxfId="28" priority="8" stopIfTrue="1"/>
    <cfRule type="duplicateValues" dxfId="27" priority="9" stopIfTrue="1"/>
  </conditionalFormatting>
  <conditionalFormatting sqref="L2:M49">
    <cfRule type="duplicateValues" dxfId="26" priority="1"/>
  </conditionalFormatting>
  <conditionalFormatting sqref="L31:M48">
    <cfRule type="duplicateValues" dxfId="25" priority="6" stopIfTrue="1"/>
    <cfRule type="duplicateValues" dxfId="24" priority="7" stopIfTrue="1"/>
  </conditionalFormatting>
  <conditionalFormatting sqref="L49:M49">
    <cfRule type="duplicateValues" dxfId="23" priority="3" stopIfTrue="1"/>
    <cfRule type="duplicateValues" dxfId="22" priority="4" stopIfTrue="1"/>
  </conditionalFormatting>
  <conditionalFormatting sqref="M49">
    <cfRule type="duplicateValues" dxfId="21" priority="5"/>
  </conditionalFormatting>
  <conditionalFormatting sqref="N2:N49">
    <cfRule type="duplicateValues" dxfId="2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6252-513D-4D17-97AC-7FDAD399EEFF}">
  <dimension ref="A1:AJ166"/>
  <sheetViews>
    <sheetView topLeftCell="W149" workbookViewId="0">
      <selection activeCell="AD157" sqref="AD157"/>
    </sheetView>
  </sheetViews>
  <sheetFormatPr defaultColWidth="8.85546875" defaultRowHeight="15" x14ac:dyDescent="0.25"/>
  <cols>
    <col min="1" max="4" width="8.85546875" style="17"/>
    <col min="5" max="5" width="30.7109375" style="17" bestFit="1" customWidth="1"/>
    <col min="6" max="24" width="8.85546875" style="17"/>
    <col min="25" max="25" width="13.140625" style="17" bestFit="1" customWidth="1"/>
    <col min="26" max="31" width="8.85546875" style="17"/>
    <col min="32" max="32" width="40.28515625" style="17" bestFit="1" customWidth="1"/>
    <col min="33" max="33" width="13.28515625" style="17" customWidth="1"/>
    <col min="34" max="34" width="13.7109375" style="17" customWidth="1"/>
    <col min="35" max="35" width="8.85546875" style="17"/>
    <col min="36" max="36" width="15.5703125" style="17" bestFit="1" customWidth="1"/>
    <col min="37" max="16384" width="8.85546875" style="17"/>
  </cols>
  <sheetData>
    <row r="1" spans="1:36" ht="4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5" t="s">
        <v>13</v>
      </c>
      <c r="P1" s="5" t="s">
        <v>14</v>
      </c>
      <c r="Q1" s="5" t="s">
        <v>15</v>
      </c>
      <c r="R1" s="6" t="s">
        <v>16</v>
      </c>
      <c r="S1" s="6" t="s">
        <v>17</v>
      </c>
      <c r="T1" s="7" t="s">
        <v>18</v>
      </c>
      <c r="U1" s="8" t="s">
        <v>19</v>
      </c>
      <c r="V1" s="7" t="s">
        <v>20</v>
      </c>
      <c r="W1" s="9" t="s">
        <v>21</v>
      </c>
      <c r="X1" s="10" t="s">
        <v>22</v>
      </c>
      <c r="Y1" s="9" t="s">
        <v>23</v>
      </c>
      <c r="Z1" s="11" t="s">
        <v>24</v>
      </c>
      <c r="AA1" s="12" t="s">
        <v>25</v>
      </c>
      <c r="AB1" s="13" t="s">
        <v>26</v>
      </c>
      <c r="AC1" s="14" t="s">
        <v>27</v>
      </c>
      <c r="AD1" s="9" t="s">
        <v>28</v>
      </c>
      <c r="AE1" s="15" t="s">
        <v>29</v>
      </c>
      <c r="AF1" s="16" t="s">
        <v>30</v>
      </c>
      <c r="AG1" s="16" t="s">
        <v>31</v>
      </c>
      <c r="AH1" s="16" t="s">
        <v>32</v>
      </c>
      <c r="AI1" s="16" t="s">
        <v>33</v>
      </c>
      <c r="AJ1" s="16" t="s">
        <v>34</v>
      </c>
    </row>
    <row r="2" spans="1:36" x14ac:dyDescent="0.25">
      <c r="A2" s="19" t="s">
        <v>412</v>
      </c>
      <c r="B2" s="19" t="s">
        <v>458</v>
      </c>
      <c r="C2" s="20">
        <v>45536</v>
      </c>
      <c r="D2" s="18" t="s">
        <v>37</v>
      </c>
      <c r="E2" s="19" t="s">
        <v>459</v>
      </c>
      <c r="F2" s="21">
        <v>45543</v>
      </c>
      <c r="G2" s="21">
        <v>45907</v>
      </c>
      <c r="H2" s="22" t="s">
        <v>460</v>
      </c>
      <c r="I2" s="23">
        <v>3460122746801</v>
      </c>
      <c r="J2" s="22" t="s">
        <v>434</v>
      </c>
      <c r="K2" s="19" t="s">
        <v>461</v>
      </c>
      <c r="L2" s="19" t="s">
        <v>462</v>
      </c>
      <c r="M2" s="19" t="s">
        <v>463</v>
      </c>
      <c r="N2" s="19" t="s">
        <v>458</v>
      </c>
      <c r="O2" s="35" t="s">
        <v>132</v>
      </c>
      <c r="P2" s="19" t="s">
        <v>133</v>
      </c>
      <c r="Q2" s="19" t="s">
        <v>464</v>
      </c>
      <c r="R2" s="33">
        <v>44455</v>
      </c>
      <c r="S2" s="33">
        <v>46300</v>
      </c>
      <c r="T2" s="24">
        <v>1020000</v>
      </c>
      <c r="U2" s="19">
        <v>20</v>
      </c>
      <c r="V2" s="37">
        <v>204000</v>
      </c>
      <c r="W2" s="37">
        <v>816000</v>
      </c>
      <c r="X2" s="26">
        <v>2.5</v>
      </c>
      <c r="Y2" s="37">
        <v>20400</v>
      </c>
      <c r="Z2" s="19"/>
      <c r="AA2" s="19" t="s">
        <v>47</v>
      </c>
      <c r="AB2" s="19">
        <v>1141071091</v>
      </c>
      <c r="AC2" s="27">
        <v>45593</v>
      </c>
      <c r="AD2" s="35" t="s">
        <v>48</v>
      </c>
      <c r="AE2" s="35">
        <v>9</v>
      </c>
      <c r="AF2" s="28" t="s">
        <v>459</v>
      </c>
      <c r="AG2" s="29">
        <v>20400</v>
      </c>
      <c r="AH2" s="39">
        <f>Y2-AG2</f>
        <v>0</v>
      </c>
      <c r="AI2" s="28" t="s">
        <v>1626</v>
      </c>
      <c r="AJ2" s="28" t="s">
        <v>49</v>
      </c>
    </row>
    <row r="3" spans="1:36" x14ac:dyDescent="0.25">
      <c r="A3" s="19" t="s">
        <v>412</v>
      </c>
      <c r="B3" s="19" t="s">
        <v>465</v>
      </c>
      <c r="C3" s="20">
        <v>45536</v>
      </c>
      <c r="D3" s="18" t="s">
        <v>37</v>
      </c>
      <c r="E3" s="19" t="s">
        <v>466</v>
      </c>
      <c r="F3" s="21">
        <v>45550</v>
      </c>
      <c r="G3" s="21">
        <v>45914</v>
      </c>
      <c r="H3" s="22" t="s">
        <v>467</v>
      </c>
      <c r="I3" s="23" t="s">
        <v>468</v>
      </c>
      <c r="J3" s="22" t="s">
        <v>434</v>
      </c>
      <c r="K3" s="19" t="s">
        <v>469</v>
      </c>
      <c r="L3" s="19" t="s">
        <v>470</v>
      </c>
      <c r="M3" s="19" t="s">
        <v>471</v>
      </c>
      <c r="N3" s="19" t="s">
        <v>465</v>
      </c>
      <c r="O3" s="35" t="s">
        <v>132</v>
      </c>
      <c r="P3" s="19" t="s">
        <v>425</v>
      </c>
      <c r="Q3" s="19" t="s">
        <v>472</v>
      </c>
      <c r="R3" s="33">
        <v>44466</v>
      </c>
      <c r="S3" s="33">
        <v>46300</v>
      </c>
      <c r="T3" s="24">
        <v>1020000</v>
      </c>
      <c r="U3" s="19">
        <v>20</v>
      </c>
      <c r="V3" s="37">
        <v>204000</v>
      </c>
      <c r="W3" s="37">
        <v>816000</v>
      </c>
      <c r="X3" s="26">
        <v>2.5</v>
      </c>
      <c r="Y3" s="37">
        <v>20400</v>
      </c>
      <c r="Z3" s="19"/>
      <c r="AA3" s="19" t="s">
        <v>47</v>
      </c>
      <c r="AB3" s="19">
        <v>1141071091</v>
      </c>
      <c r="AC3" s="27">
        <v>45593</v>
      </c>
      <c r="AD3" s="35" t="s">
        <v>48</v>
      </c>
      <c r="AE3" s="35">
        <v>9</v>
      </c>
      <c r="AF3" s="28" t="s">
        <v>466</v>
      </c>
      <c r="AG3" s="29">
        <v>20400</v>
      </c>
      <c r="AH3" s="39">
        <f t="shared" ref="AH3:AH66" si="0">Y3-AG3</f>
        <v>0</v>
      </c>
      <c r="AI3" s="28" t="s">
        <v>1626</v>
      </c>
      <c r="AJ3" s="28" t="s">
        <v>49</v>
      </c>
    </row>
    <row r="4" spans="1:36" x14ac:dyDescent="0.25">
      <c r="A4" s="19" t="s">
        <v>412</v>
      </c>
      <c r="B4" s="19" t="s">
        <v>473</v>
      </c>
      <c r="C4" s="20">
        <v>45536</v>
      </c>
      <c r="D4" s="18" t="s">
        <v>37</v>
      </c>
      <c r="E4" s="19" t="s">
        <v>474</v>
      </c>
      <c r="F4" s="21">
        <v>45562</v>
      </c>
      <c r="G4" s="21">
        <v>45926</v>
      </c>
      <c r="H4" s="22" t="s">
        <v>475</v>
      </c>
      <c r="I4" s="23">
        <v>3520214283093</v>
      </c>
      <c r="J4" s="22" t="s">
        <v>476</v>
      </c>
      <c r="K4" s="19" t="s">
        <v>477</v>
      </c>
      <c r="L4" s="19" t="s">
        <v>478</v>
      </c>
      <c r="M4" s="19" t="s">
        <v>479</v>
      </c>
      <c r="N4" s="19" t="s">
        <v>473</v>
      </c>
      <c r="O4" s="35" t="s">
        <v>57</v>
      </c>
      <c r="P4" s="19" t="s">
        <v>76</v>
      </c>
      <c r="Q4" s="19" t="s">
        <v>480</v>
      </c>
      <c r="R4" s="33">
        <v>44833</v>
      </c>
      <c r="S4" s="33">
        <v>46665</v>
      </c>
      <c r="T4" s="24">
        <v>1659000</v>
      </c>
      <c r="U4" s="19">
        <v>15</v>
      </c>
      <c r="V4" s="37">
        <v>248850</v>
      </c>
      <c r="W4" s="37">
        <v>1410150</v>
      </c>
      <c r="X4" s="26">
        <v>2</v>
      </c>
      <c r="Y4" s="37">
        <v>28203</v>
      </c>
      <c r="Z4" s="19"/>
      <c r="AA4" s="19" t="s">
        <v>47</v>
      </c>
      <c r="AB4" s="19">
        <v>1141071091</v>
      </c>
      <c r="AC4" s="27">
        <v>45593</v>
      </c>
      <c r="AD4" s="35" t="s">
        <v>48</v>
      </c>
      <c r="AE4" s="35">
        <v>9</v>
      </c>
      <c r="AF4" s="28" t="s">
        <v>474</v>
      </c>
      <c r="AG4" s="29">
        <v>28203</v>
      </c>
      <c r="AH4" s="39">
        <f t="shared" si="0"/>
        <v>0</v>
      </c>
      <c r="AI4" s="28" t="s">
        <v>1626</v>
      </c>
      <c r="AJ4" s="28" t="s">
        <v>49</v>
      </c>
    </row>
    <row r="5" spans="1:36" x14ac:dyDescent="0.25">
      <c r="A5" s="19" t="s">
        <v>412</v>
      </c>
      <c r="B5" s="19" t="s">
        <v>481</v>
      </c>
      <c r="C5" s="20">
        <v>45536</v>
      </c>
      <c r="D5" s="18" t="s">
        <v>37</v>
      </c>
      <c r="E5" s="19" t="s">
        <v>482</v>
      </c>
      <c r="F5" s="21">
        <v>45562</v>
      </c>
      <c r="G5" s="21">
        <v>45926</v>
      </c>
      <c r="H5" s="22" t="s">
        <v>483</v>
      </c>
      <c r="I5" s="23">
        <v>3740550368021</v>
      </c>
      <c r="J5" s="22" t="s">
        <v>434</v>
      </c>
      <c r="K5" s="19" t="s">
        <v>484</v>
      </c>
      <c r="L5" s="19" t="s">
        <v>485</v>
      </c>
      <c r="M5" s="19" t="s">
        <v>486</v>
      </c>
      <c r="N5" s="19" t="s">
        <v>481</v>
      </c>
      <c r="O5" s="35" t="s">
        <v>132</v>
      </c>
      <c r="P5" s="19" t="s">
        <v>133</v>
      </c>
      <c r="Q5" s="19" t="s">
        <v>487</v>
      </c>
      <c r="R5" s="33">
        <v>44833</v>
      </c>
      <c r="S5" s="33">
        <v>46665</v>
      </c>
      <c r="T5" s="24">
        <v>1424000</v>
      </c>
      <c r="U5" s="19">
        <v>15</v>
      </c>
      <c r="V5" s="37">
        <v>213600</v>
      </c>
      <c r="W5" s="37">
        <v>1210400</v>
      </c>
      <c r="X5" s="26">
        <v>2</v>
      </c>
      <c r="Y5" s="37">
        <v>24208</v>
      </c>
      <c r="Z5" s="19"/>
      <c r="AA5" s="19" t="s">
        <v>47</v>
      </c>
      <c r="AB5" s="19">
        <v>1141071091</v>
      </c>
      <c r="AC5" s="27">
        <v>45593</v>
      </c>
      <c r="AD5" s="35" t="s">
        <v>48</v>
      </c>
      <c r="AE5" s="35">
        <v>9</v>
      </c>
      <c r="AF5" s="28" t="s">
        <v>482</v>
      </c>
      <c r="AG5" s="29">
        <v>24208</v>
      </c>
      <c r="AH5" s="39">
        <f t="shared" si="0"/>
        <v>0</v>
      </c>
      <c r="AI5" s="28" t="s">
        <v>1626</v>
      </c>
      <c r="AJ5" s="28" t="s">
        <v>49</v>
      </c>
    </row>
    <row r="6" spans="1:36" x14ac:dyDescent="0.25">
      <c r="A6" s="19" t="s">
        <v>412</v>
      </c>
      <c r="B6" s="19" t="s">
        <v>488</v>
      </c>
      <c r="C6" s="20">
        <v>45536</v>
      </c>
      <c r="D6" s="18" t="s">
        <v>37</v>
      </c>
      <c r="E6" s="19" t="s">
        <v>489</v>
      </c>
      <c r="F6" s="21">
        <v>45564</v>
      </c>
      <c r="G6" s="21">
        <v>45928</v>
      </c>
      <c r="H6" s="22" t="s">
        <v>490</v>
      </c>
      <c r="I6" s="23">
        <v>4210114228835</v>
      </c>
      <c r="J6" s="22" t="s">
        <v>434</v>
      </c>
      <c r="K6" s="19" t="s">
        <v>491</v>
      </c>
      <c r="L6" s="19" t="s">
        <v>492</v>
      </c>
      <c r="M6" s="19" t="s">
        <v>493</v>
      </c>
      <c r="N6" s="19" t="s">
        <v>488</v>
      </c>
      <c r="O6" s="35" t="s">
        <v>44</v>
      </c>
      <c r="P6" s="19" t="s">
        <v>173</v>
      </c>
      <c r="Q6" s="19" t="s">
        <v>494</v>
      </c>
      <c r="R6" s="33">
        <v>44834</v>
      </c>
      <c r="S6" s="33">
        <v>46665</v>
      </c>
      <c r="T6" s="24">
        <v>1424000</v>
      </c>
      <c r="U6" s="19">
        <v>15</v>
      </c>
      <c r="V6" s="37">
        <v>213600</v>
      </c>
      <c r="W6" s="37">
        <v>1210400</v>
      </c>
      <c r="X6" s="26">
        <v>2</v>
      </c>
      <c r="Y6" s="37">
        <v>24208</v>
      </c>
      <c r="Z6" s="19"/>
      <c r="AA6" s="19" t="s">
        <v>47</v>
      </c>
      <c r="AB6" s="19">
        <v>1141071091</v>
      </c>
      <c r="AC6" s="27">
        <v>45593</v>
      </c>
      <c r="AD6" s="35" t="s">
        <v>48</v>
      </c>
      <c r="AE6" s="35">
        <v>39</v>
      </c>
      <c r="AF6" s="28" t="s">
        <v>489</v>
      </c>
      <c r="AG6" s="29">
        <v>24208</v>
      </c>
      <c r="AH6" s="39">
        <f t="shared" si="0"/>
        <v>0</v>
      </c>
      <c r="AI6" s="28" t="s">
        <v>1626</v>
      </c>
      <c r="AJ6" s="28" t="s">
        <v>49</v>
      </c>
    </row>
    <row r="7" spans="1:36" x14ac:dyDescent="0.25">
      <c r="A7" s="19" t="s">
        <v>412</v>
      </c>
      <c r="B7" s="19" t="s">
        <v>495</v>
      </c>
      <c r="C7" s="20">
        <v>45536</v>
      </c>
      <c r="D7" s="18" t="s">
        <v>37</v>
      </c>
      <c r="E7" s="19" t="s">
        <v>496</v>
      </c>
      <c r="F7" s="21">
        <v>45565</v>
      </c>
      <c r="G7" s="21">
        <v>45929</v>
      </c>
      <c r="H7" s="22" t="s">
        <v>497</v>
      </c>
      <c r="I7" s="23">
        <v>6110177334495</v>
      </c>
      <c r="J7" s="22" t="s">
        <v>434</v>
      </c>
      <c r="K7" s="19" t="s">
        <v>498</v>
      </c>
      <c r="L7" s="19" t="s">
        <v>499</v>
      </c>
      <c r="M7" s="19" t="s">
        <v>500</v>
      </c>
      <c r="N7" s="19" t="s">
        <v>495</v>
      </c>
      <c r="O7" s="35" t="s">
        <v>57</v>
      </c>
      <c r="P7" s="19" t="s">
        <v>76</v>
      </c>
      <c r="Q7" s="19" t="s">
        <v>501</v>
      </c>
      <c r="R7" s="33">
        <v>44837</v>
      </c>
      <c r="S7" s="33">
        <v>46665</v>
      </c>
      <c r="T7" s="24">
        <v>1424000</v>
      </c>
      <c r="U7" s="19">
        <v>15</v>
      </c>
      <c r="V7" s="37">
        <v>213600</v>
      </c>
      <c r="W7" s="37">
        <v>1210400</v>
      </c>
      <c r="X7" s="26">
        <v>2</v>
      </c>
      <c r="Y7" s="37">
        <v>24208</v>
      </c>
      <c r="Z7" s="19"/>
      <c r="AA7" s="19" t="s">
        <v>47</v>
      </c>
      <c r="AB7" s="19">
        <v>1141071091</v>
      </c>
      <c r="AC7" s="27">
        <v>45593</v>
      </c>
      <c r="AD7" s="35" t="s">
        <v>48</v>
      </c>
      <c r="AE7" s="35">
        <v>9</v>
      </c>
      <c r="AF7" s="28" t="s">
        <v>496</v>
      </c>
      <c r="AG7" s="29">
        <v>24208</v>
      </c>
      <c r="AH7" s="39">
        <f t="shared" si="0"/>
        <v>0</v>
      </c>
      <c r="AI7" s="28" t="s">
        <v>1626</v>
      </c>
      <c r="AJ7" s="28" t="s">
        <v>49</v>
      </c>
    </row>
    <row r="8" spans="1:36" x14ac:dyDescent="0.25">
      <c r="A8" s="19" t="s">
        <v>412</v>
      </c>
      <c r="B8" s="19" t="s">
        <v>502</v>
      </c>
      <c r="C8" s="20">
        <v>45536</v>
      </c>
      <c r="D8" s="18" t="s">
        <v>37</v>
      </c>
      <c r="E8" s="19" t="s">
        <v>503</v>
      </c>
      <c r="F8" s="21">
        <v>45564</v>
      </c>
      <c r="G8" s="21">
        <v>45928</v>
      </c>
      <c r="H8" s="22" t="s">
        <v>504</v>
      </c>
      <c r="I8" s="23">
        <v>3740115070783</v>
      </c>
      <c r="J8" s="22" t="s">
        <v>434</v>
      </c>
      <c r="K8" s="19" t="s">
        <v>505</v>
      </c>
      <c r="L8" s="19" t="s">
        <v>506</v>
      </c>
      <c r="M8" s="19" t="s">
        <v>507</v>
      </c>
      <c r="N8" s="19" t="s">
        <v>502</v>
      </c>
      <c r="O8" s="35" t="s">
        <v>132</v>
      </c>
      <c r="P8" s="19" t="s">
        <v>133</v>
      </c>
      <c r="Q8" s="19" t="s">
        <v>508</v>
      </c>
      <c r="R8" s="33">
        <v>44105</v>
      </c>
      <c r="S8" s="33">
        <v>45936</v>
      </c>
      <c r="T8" s="24">
        <v>1034000</v>
      </c>
      <c r="U8" s="19">
        <v>25</v>
      </c>
      <c r="V8" s="37">
        <v>258500</v>
      </c>
      <c r="W8" s="37">
        <v>775500</v>
      </c>
      <c r="X8" s="26">
        <v>2.5</v>
      </c>
      <c r="Y8" s="37">
        <v>19387.5</v>
      </c>
      <c r="Z8" s="19"/>
      <c r="AA8" s="19" t="s">
        <v>47</v>
      </c>
      <c r="AB8" s="19">
        <v>1141071091</v>
      </c>
      <c r="AC8" s="27">
        <v>45593</v>
      </c>
      <c r="AD8" s="35" t="s">
        <v>48</v>
      </c>
      <c r="AE8" s="35">
        <v>0</v>
      </c>
      <c r="AF8" s="28" t="s">
        <v>503</v>
      </c>
      <c r="AG8" s="29">
        <v>19388</v>
      </c>
      <c r="AH8" s="39">
        <f t="shared" si="0"/>
        <v>-0.5</v>
      </c>
      <c r="AI8" s="28" t="s">
        <v>1626</v>
      </c>
      <c r="AJ8" s="28" t="s">
        <v>49</v>
      </c>
    </row>
    <row r="9" spans="1:36" x14ac:dyDescent="0.25">
      <c r="A9" s="19" t="s">
        <v>412</v>
      </c>
      <c r="B9" s="19" t="s">
        <v>509</v>
      </c>
      <c r="C9" s="20">
        <v>45536</v>
      </c>
      <c r="D9" s="18" t="s">
        <v>37</v>
      </c>
      <c r="E9" s="19" t="s">
        <v>510</v>
      </c>
      <c r="F9" s="21">
        <v>45565</v>
      </c>
      <c r="G9" s="21">
        <v>45929</v>
      </c>
      <c r="H9" s="22" t="s">
        <v>511</v>
      </c>
      <c r="I9" s="23">
        <v>3740575231283</v>
      </c>
      <c r="J9" s="22" t="s">
        <v>434</v>
      </c>
      <c r="K9" s="19" t="s">
        <v>512</v>
      </c>
      <c r="L9" s="19" t="s">
        <v>513</v>
      </c>
      <c r="M9" s="19" t="s">
        <v>514</v>
      </c>
      <c r="N9" s="19" t="s">
        <v>509</v>
      </c>
      <c r="O9" s="35" t="s">
        <v>132</v>
      </c>
      <c r="P9" s="19" t="s">
        <v>133</v>
      </c>
      <c r="Q9" s="19" t="s">
        <v>515</v>
      </c>
      <c r="R9" s="33">
        <v>44105</v>
      </c>
      <c r="S9" s="33">
        <v>45936</v>
      </c>
      <c r="T9" s="24">
        <v>1034000</v>
      </c>
      <c r="U9" s="19">
        <v>25</v>
      </c>
      <c r="V9" s="37">
        <v>258500</v>
      </c>
      <c r="W9" s="37">
        <v>775500</v>
      </c>
      <c r="X9" s="26">
        <v>2.5</v>
      </c>
      <c r="Y9" s="37">
        <v>19387.5</v>
      </c>
      <c r="Z9" s="19"/>
      <c r="AA9" s="19" t="s">
        <v>47</v>
      </c>
      <c r="AB9" s="19">
        <v>1141071091</v>
      </c>
      <c r="AC9" s="27">
        <v>45593</v>
      </c>
      <c r="AD9" s="35" t="s">
        <v>48</v>
      </c>
      <c r="AE9" s="35">
        <v>39</v>
      </c>
      <c r="AF9" s="28" t="s">
        <v>510</v>
      </c>
      <c r="AG9" s="29">
        <v>19388</v>
      </c>
      <c r="AH9" s="39">
        <f t="shared" si="0"/>
        <v>-0.5</v>
      </c>
      <c r="AI9" s="28" t="s">
        <v>1626</v>
      </c>
      <c r="AJ9" s="28" t="s">
        <v>49</v>
      </c>
    </row>
    <row r="10" spans="1:36" x14ac:dyDescent="0.25">
      <c r="A10" s="19" t="s">
        <v>412</v>
      </c>
      <c r="B10" s="19" t="s">
        <v>516</v>
      </c>
      <c r="C10" s="20">
        <v>45536</v>
      </c>
      <c r="D10" s="18" t="s">
        <v>37</v>
      </c>
      <c r="E10" s="19" t="s">
        <v>517</v>
      </c>
      <c r="F10" s="21">
        <v>45542</v>
      </c>
      <c r="G10" s="21">
        <v>45906</v>
      </c>
      <c r="H10" s="22" t="s">
        <v>518</v>
      </c>
      <c r="I10" s="23">
        <v>3520213666053</v>
      </c>
      <c r="J10" s="22" t="s">
        <v>216</v>
      </c>
      <c r="K10" s="19" t="s">
        <v>519</v>
      </c>
      <c r="L10" s="19" t="s">
        <v>520</v>
      </c>
      <c r="M10" s="19" t="s">
        <v>521</v>
      </c>
      <c r="N10" s="19" t="s">
        <v>516</v>
      </c>
      <c r="O10" s="35" t="s">
        <v>57</v>
      </c>
      <c r="P10" s="19" t="s">
        <v>76</v>
      </c>
      <c r="Q10" s="19" t="s">
        <v>522</v>
      </c>
      <c r="R10" s="33">
        <v>45187</v>
      </c>
      <c r="S10" s="33">
        <v>46300</v>
      </c>
      <c r="T10" s="24">
        <v>3800000</v>
      </c>
      <c r="U10" s="19">
        <v>10</v>
      </c>
      <c r="V10" s="37">
        <v>380000</v>
      </c>
      <c r="W10" s="37">
        <v>3420000</v>
      </c>
      <c r="X10" s="26">
        <v>1.5</v>
      </c>
      <c r="Y10" s="37">
        <v>51300</v>
      </c>
      <c r="Z10" s="19"/>
      <c r="AA10" s="19" t="s">
        <v>47</v>
      </c>
      <c r="AB10" s="19">
        <v>1141071091</v>
      </c>
      <c r="AC10" s="27">
        <v>45593</v>
      </c>
      <c r="AD10" s="35" t="s">
        <v>48</v>
      </c>
      <c r="AE10" s="35">
        <v>9</v>
      </c>
      <c r="AF10" s="28" t="s">
        <v>517</v>
      </c>
      <c r="AG10" s="29">
        <v>51300</v>
      </c>
      <c r="AH10" s="39">
        <f t="shared" si="0"/>
        <v>0</v>
      </c>
      <c r="AI10" s="28" t="s">
        <v>1626</v>
      </c>
      <c r="AJ10" s="28" t="s">
        <v>49</v>
      </c>
    </row>
    <row r="11" spans="1:36" x14ac:dyDescent="0.25">
      <c r="A11" s="19" t="s">
        <v>412</v>
      </c>
      <c r="B11" s="19" t="s">
        <v>523</v>
      </c>
      <c r="C11" s="20">
        <v>45536</v>
      </c>
      <c r="D11" s="18" t="s">
        <v>37</v>
      </c>
      <c r="E11" s="19" t="s">
        <v>524</v>
      </c>
      <c r="F11" s="21">
        <v>45562</v>
      </c>
      <c r="G11" s="21">
        <v>45926</v>
      </c>
      <c r="H11" s="22" t="s">
        <v>525</v>
      </c>
      <c r="I11" s="23">
        <v>6110123000241</v>
      </c>
      <c r="J11" s="22" t="s">
        <v>526</v>
      </c>
      <c r="K11" s="19" t="s">
        <v>527</v>
      </c>
      <c r="L11" s="19" t="s">
        <v>528</v>
      </c>
      <c r="M11" s="19" t="s">
        <v>529</v>
      </c>
      <c r="N11" s="19" t="s">
        <v>523</v>
      </c>
      <c r="O11" s="35" t="s">
        <v>132</v>
      </c>
      <c r="P11" s="19" t="s">
        <v>133</v>
      </c>
      <c r="Q11" s="19" t="s">
        <v>530</v>
      </c>
      <c r="R11" s="33">
        <v>45197</v>
      </c>
      <c r="S11" s="33">
        <v>46300</v>
      </c>
      <c r="T11" s="24">
        <v>5350000</v>
      </c>
      <c r="U11" s="19">
        <v>10</v>
      </c>
      <c r="V11" s="37">
        <v>535000</v>
      </c>
      <c r="W11" s="37">
        <v>4815000</v>
      </c>
      <c r="X11" s="26">
        <v>1.5</v>
      </c>
      <c r="Y11" s="37">
        <v>72225</v>
      </c>
      <c r="Z11" s="19"/>
      <c r="AA11" s="19" t="s">
        <v>47</v>
      </c>
      <c r="AB11" s="19">
        <v>1141071091</v>
      </c>
      <c r="AC11" s="27">
        <v>45593</v>
      </c>
      <c r="AD11" s="35" t="s">
        <v>48</v>
      </c>
      <c r="AE11" s="35">
        <v>0</v>
      </c>
      <c r="AF11" s="28" t="s">
        <v>524</v>
      </c>
      <c r="AG11" s="29">
        <v>72225</v>
      </c>
      <c r="AH11" s="39">
        <f t="shared" si="0"/>
        <v>0</v>
      </c>
      <c r="AI11" s="28" t="s">
        <v>1626</v>
      </c>
      <c r="AJ11" s="28" t="s">
        <v>49</v>
      </c>
    </row>
    <row r="12" spans="1:36" x14ac:dyDescent="0.25">
      <c r="A12" s="19" t="s">
        <v>412</v>
      </c>
      <c r="B12" s="19" t="s">
        <v>531</v>
      </c>
      <c r="C12" s="20">
        <v>45536</v>
      </c>
      <c r="D12" s="18" t="s">
        <v>37</v>
      </c>
      <c r="E12" s="19" t="s">
        <v>532</v>
      </c>
      <c r="F12" s="21">
        <v>45563</v>
      </c>
      <c r="G12" s="21">
        <v>45927</v>
      </c>
      <c r="H12" s="22" t="s">
        <v>533</v>
      </c>
      <c r="I12" s="23">
        <v>3650173272615</v>
      </c>
      <c r="J12" s="22" t="s">
        <v>255</v>
      </c>
      <c r="K12" s="19" t="s">
        <v>534</v>
      </c>
      <c r="L12" s="19" t="s">
        <v>535</v>
      </c>
      <c r="M12" s="19" t="s">
        <v>536</v>
      </c>
      <c r="N12" s="19" t="s">
        <v>531</v>
      </c>
      <c r="O12" s="35" t="s">
        <v>57</v>
      </c>
      <c r="P12" s="19" t="s">
        <v>76</v>
      </c>
      <c r="Q12" s="19" t="s">
        <v>537</v>
      </c>
      <c r="R12" s="33">
        <v>45197</v>
      </c>
      <c r="S12" s="33">
        <v>47031</v>
      </c>
      <c r="T12" s="24">
        <v>2100000</v>
      </c>
      <c r="U12" s="19">
        <v>10</v>
      </c>
      <c r="V12" s="37">
        <v>210000</v>
      </c>
      <c r="W12" s="37">
        <v>1890000</v>
      </c>
      <c r="X12" s="26">
        <v>2</v>
      </c>
      <c r="Y12" s="37">
        <v>37800</v>
      </c>
      <c r="Z12" s="19"/>
      <c r="AA12" s="19" t="s">
        <v>47</v>
      </c>
      <c r="AB12" s="19">
        <v>1141071091</v>
      </c>
      <c r="AC12" s="27">
        <v>45593</v>
      </c>
      <c r="AD12" s="35" t="s">
        <v>48</v>
      </c>
      <c r="AE12" s="35">
        <v>9</v>
      </c>
      <c r="AF12" s="28" t="s">
        <v>532</v>
      </c>
      <c r="AG12" s="29">
        <v>37800</v>
      </c>
      <c r="AH12" s="39">
        <f t="shared" si="0"/>
        <v>0</v>
      </c>
      <c r="AI12" s="28" t="s">
        <v>1626</v>
      </c>
      <c r="AJ12" s="28" t="s">
        <v>49</v>
      </c>
    </row>
    <row r="13" spans="1:36" x14ac:dyDescent="0.25">
      <c r="A13" s="19" t="s">
        <v>412</v>
      </c>
      <c r="B13" s="19" t="s">
        <v>538</v>
      </c>
      <c r="C13" s="20">
        <v>45536</v>
      </c>
      <c r="D13" s="18" t="s">
        <v>37</v>
      </c>
      <c r="E13" s="19" t="s">
        <v>539</v>
      </c>
      <c r="F13" s="21">
        <v>45563</v>
      </c>
      <c r="G13" s="21">
        <v>45927</v>
      </c>
      <c r="H13" s="22" t="s">
        <v>540</v>
      </c>
      <c r="I13" s="23">
        <v>3740552473459</v>
      </c>
      <c r="J13" s="22" t="s">
        <v>232</v>
      </c>
      <c r="K13" s="19"/>
      <c r="L13" s="19" t="s">
        <v>541</v>
      </c>
      <c r="M13" s="19" t="s">
        <v>542</v>
      </c>
      <c r="N13" s="19" t="s">
        <v>538</v>
      </c>
      <c r="O13" s="35" t="s">
        <v>132</v>
      </c>
      <c r="P13" s="19" t="s">
        <v>133</v>
      </c>
      <c r="Q13" s="19" t="s">
        <v>543</v>
      </c>
      <c r="R13" s="33">
        <v>45201</v>
      </c>
      <c r="S13" s="33">
        <v>47031</v>
      </c>
      <c r="T13" s="24">
        <v>2935000</v>
      </c>
      <c r="U13" s="19">
        <v>10</v>
      </c>
      <c r="V13" s="37">
        <v>293500</v>
      </c>
      <c r="W13" s="37">
        <v>2641500</v>
      </c>
      <c r="X13" s="26">
        <v>2</v>
      </c>
      <c r="Y13" s="37">
        <v>52830</v>
      </c>
      <c r="Z13" s="19"/>
      <c r="AA13" s="19" t="s">
        <v>47</v>
      </c>
      <c r="AB13" s="19">
        <v>1141071091</v>
      </c>
      <c r="AC13" s="27">
        <v>45593</v>
      </c>
      <c r="AD13" s="35" t="s">
        <v>48</v>
      </c>
      <c r="AE13" s="35">
        <v>9</v>
      </c>
      <c r="AF13" s="28" t="s">
        <v>539</v>
      </c>
      <c r="AG13" s="29">
        <v>52830</v>
      </c>
      <c r="AH13" s="39">
        <f t="shared" si="0"/>
        <v>0</v>
      </c>
      <c r="AI13" s="28" t="s">
        <v>1626</v>
      </c>
      <c r="AJ13" s="28" t="s">
        <v>49</v>
      </c>
    </row>
    <row r="14" spans="1:36" x14ac:dyDescent="0.25">
      <c r="A14" s="19" t="s">
        <v>412</v>
      </c>
      <c r="B14" s="19" t="s">
        <v>544</v>
      </c>
      <c r="C14" s="20">
        <v>45536</v>
      </c>
      <c r="D14" s="18" t="s">
        <v>37</v>
      </c>
      <c r="E14" s="19" t="s">
        <v>545</v>
      </c>
      <c r="F14" s="21">
        <v>45563</v>
      </c>
      <c r="G14" s="21">
        <v>45927</v>
      </c>
      <c r="H14" s="22" t="s">
        <v>546</v>
      </c>
      <c r="I14" s="23">
        <v>6110184847261</v>
      </c>
      <c r="J14" s="22" t="s">
        <v>547</v>
      </c>
      <c r="K14" s="19" t="s">
        <v>548</v>
      </c>
      <c r="L14" s="19" t="s">
        <v>549</v>
      </c>
      <c r="M14" s="19" t="s">
        <v>550</v>
      </c>
      <c r="N14" s="19" t="s">
        <v>544</v>
      </c>
      <c r="O14" s="35" t="s">
        <v>132</v>
      </c>
      <c r="P14" s="19" t="s">
        <v>133</v>
      </c>
      <c r="Q14" s="19" t="s">
        <v>551</v>
      </c>
      <c r="R14" s="33">
        <v>45201</v>
      </c>
      <c r="S14" s="33">
        <v>46665</v>
      </c>
      <c r="T14" s="24">
        <v>4000000</v>
      </c>
      <c r="U14" s="19">
        <v>10</v>
      </c>
      <c r="V14" s="37">
        <v>400000</v>
      </c>
      <c r="W14" s="37">
        <v>3600000</v>
      </c>
      <c r="X14" s="26">
        <v>1.5</v>
      </c>
      <c r="Y14" s="37">
        <v>54000</v>
      </c>
      <c r="Z14" s="19"/>
      <c r="AA14" s="19" t="s">
        <v>47</v>
      </c>
      <c r="AB14" s="19">
        <v>1141071091</v>
      </c>
      <c r="AC14" s="27">
        <v>45593</v>
      </c>
      <c r="AD14" s="35" t="s">
        <v>48</v>
      </c>
      <c r="AE14" s="35">
        <v>9</v>
      </c>
      <c r="AF14" s="28" t="s">
        <v>545</v>
      </c>
      <c r="AG14" s="29">
        <v>54000</v>
      </c>
      <c r="AH14" s="39">
        <f t="shared" si="0"/>
        <v>0</v>
      </c>
      <c r="AI14" s="28" t="s">
        <v>1626</v>
      </c>
      <c r="AJ14" s="28" t="s">
        <v>49</v>
      </c>
    </row>
    <row r="15" spans="1:36" x14ac:dyDescent="0.25">
      <c r="A15" s="19" t="s">
        <v>412</v>
      </c>
      <c r="B15" s="19" t="s">
        <v>552</v>
      </c>
      <c r="C15" s="20">
        <v>45536</v>
      </c>
      <c r="D15" s="18" t="s">
        <v>37</v>
      </c>
      <c r="E15" s="19" t="s">
        <v>553</v>
      </c>
      <c r="F15" s="21">
        <v>45563</v>
      </c>
      <c r="G15" s="21">
        <v>45927</v>
      </c>
      <c r="H15" s="22" t="s">
        <v>554</v>
      </c>
      <c r="I15" s="23">
        <v>3520234855241</v>
      </c>
      <c r="J15" s="22" t="s">
        <v>555</v>
      </c>
      <c r="K15" s="19" t="s">
        <v>556</v>
      </c>
      <c r="L15" s="19" t="s">
        <v>557</v>
      </c>
      <c r="M15" s="19" t="s">
        <v>558</v>
      </c>
      <c r="N15" s="19" t="s">
        <v>552</v>
      </c>
      <c r="O15" s="35" t="s">
        <v>57</v>
      </c>
      <c r="P15" s="19" t="s">
        <v>438</v>
      </c>
      <c r="Q15" s="19" t="s">
        <v>559</v>
      </c>
      <c r="R15" s="33">
        <v>45201</v>
      </c>
      <c r="S15" s="33">
        <v>46300</v>
      </c>
      <c r="T15" s="24">
        <v>6000000</v>
      </c>
      <c r="U15" s="19">
        <v>10</v>
      </c>
      <c r="V15" s="37">
        <v>600000</v>
      </c>
      <c r="W15" s="37">
        <v>5400000</v>
      </c>
      <c r="X15" s="26">
        <v>1.5</v>
      </c>
      <c r="Y15" s="37">
        <v>81000</v>
      </c>
      <c r="Z15" s="19"/>
      <c r="AA15" s="19" t="s">
        <v>47</v>
      </c>
      <c r="AB15" s="19">
        <v>1141071091</v>
      </c>
      <c r="AC15" s="27">
        <v>45593</v>
      </c>
      <c r="AD15" s="35" t="s">
        <v>48</v>
      </c>
      <c r="AE15" s="35">
        <v>0</v>
      </c>
      <c r="AF15" s="28" t="s">
        <v>553</v>
      </c>
      <c r="AG15" s="29">
        <v>81000</v>
      </c>
      <c r="AH15" s="39">
        <f t="shared" si="0"/>
        <v>0</v>
      </c>
      <c r="AI15" s="28" t="s">
        <v>1626</v>
      </c>
      <c r="AJ15" s="28" t="s">
        <v>49</v>
      </c>
    </row>
    <row r="16" spans="1:36" x14ac:dyDescent="0.25">
      <c r="A16" s="19" t="s">
        <v>412</v>
      </c>
      <c r="B16" s="19" t="s">
        <v>560</v>
      </c>
      <c r="C16" s="20">
        <v>45536</v>
      </c>
      <c r="D16" s="18" t="s">
        <v>37</v>
      </c>
      <c r="E16" s="19" t="s">
        <v>561</v>
      </c>
      <c r="F16" s="21">
        <v>45563</v>
      </c>
      <c r="G16" s="21">
        <v>45927</v>
      </c>
      <c r="H16" s="22" t="s">
        <v>562</v>
      </c>
      <c r="I16" s="23">
        <v>4220154356145</v>
      </c>
      <c r="J16" s="22" t="s">
        <v>255</v>
      </c>
      <c r="K16" s="19" t="s">
        <v>563</v>
      </c>
      <c r="L16" s="19" t="s">
        <v>564</v>
      </c>
      <c r="M16" s="19" t="s">
        <v>565</v>
      </c>
      <c r="N16" s="19" t="s">
        <v>560</v>
      </c>
      <c r="O16" s="35" t="s">
        <v>44</v>
      </c>
      <c r="P16" s="19" t="s">
        <v>45</v>
      </c>
      <c r="Q16" s="19" t="s">
        <v>566</v>
      </c>
      <c r="R16" s="33">
        <v>45201</v>
      </c>
      <c r="S16" s="33">
        <v>47031</v>
      </c>
      <c r="T16" s="24">
        <v>2450000</v>
      </c>
      <c r="U16" s="19">
        <v>10</v>
      </c>
      <c r="V16" s="37">
        <v>245000</v>
      </c>
      <c r="W16" s="37">
        <v>2205000</v>
      </c>
      <c r="X16" s="26">
        <v>2</v>
      </c>
      <c r="Y16" s="37">
        <v>44100</v>
      </c>
      <c r="Z16" s="19"/>
      <c r="AA16" s="19" t="s">
        <v>47</v>
      </c>
      <c r="AB16" s="19">
        <v>1141071091</v>
      </c>
      <c r="AC16" s="27">
        <v>45593</v>
      </c>
      <c r="AD16" s="35" t="s">
        <v>48</v>
      </c>
      <c r="AE16" s="35">
        <v>0</v>
      </c>
      <c r="AF16" s="28" t="s">
        <v>561</v>
      </c>
      <c r="AG16" s="29">
        <v>44100</v>
      </c>
      <c r="AH16" s="39">
        <f t="shared" si="0"/>
        <v>0</v>
      </c>
      <c r="AI16" s="28" t="s">
        <v>1626</v>
      </c>
      <c r="AJ16" s="28" t="s">
        <v>49</v>
      </c>
    </row>
    <row r="17" spans="1:36" x14ac:dyDescent="0.25">
      <c r="A17" s="19" t="s">
        <v>412</v>
      </c>
      <c r="B17" s="19" t="s">
        <v>567</v>
      </c>
      <c r="C17" s="20">
        <v>45536</v>
      </c>
      <c r="D17" s="18" t="s">
        <v>37</v>
      </c>
      <c r="E17" s="19" t="s">
        <v>568</v>
      </c>
      <c r="F17" s="21">
        <v>45563</v>
      </c>
      <c r="G17" s="21">
        <v>45927</v>
      </c>
      <c r="H17" s="22" t="s">
        <v>569</v>
      </c>
      <c r="I17" s="23">
        <v>3520171467503</v>
      </c>
      <c r="J17" s="22" t="s">
        <v>445</v>
      </c>
      <c r="K17" s="19" t="s">
        <v>570</v>
      </c>
      <c r="L17" s="19" t="s">
        <v>571</v>
      </c>
      <c r="M17" s="19" t="s">
        <v>572</v>
      </c>
      <c r="N17" s="19" t="s">
        <v>567</v>
      </c>
      <c r="O17" s="35" t="s">
        <v>57</v>
      </c>
      <c r="P17" s="19" t="s">
        <v>76</v>
      </c>
      <c r="Q17" s="19" t="s">
        <v>573</v>
      </c>
      <c r="R17" s="33">
        <v>45201</v>
      </c>
      <c r="S17" s="33">
        <v>47031</v>
      </c>
      <c r="T17" s="24">
        <v>2612000</v>
      </c>
      <c r="U17" s="19">
        <v>10</v>
      </c>
      <c r="V17" s="37">
        <v>261200</v>
      </c>
      <c r="W17" s="37">
        <v>2350800</v>
      </c>
      <c r="X17" s="26">
        <v>2</v>
      </c>
      <c r="Y17" s="37">
        <v>47016</v>
      </c>
      <c r="Z17" s="19"/>
      <c r="AA17" s="19" t="s">
        <v>47</v>
      </c>
      <c r="AB17" s="19">
        <v>1141071091</v>
      </c>
      <c r="AC17" s="27">
        <v>45593</v>
      </c>
      <c r="AD17" s="35" t="s">
        <v>48</v>
      </c>
      <c r="AE17" s="35">
        <v>0</v>
      </c>
      <c r="AF17" s="28" t="s">
        <v>568</v>
      </c>
      <c r="AG17" s="29">
        <v>47016</v>
      </c>
      <c r="AH17" s="39">
        <f t="shared" si="0"/>
        <v>0</v>
      </c>
      <c r="AI17" s="28" t="s">
        <v>1626</v>
      </c>
      <c r="AJ17" s="28" t="s">
        <v>49</v>
      </c>
    </row>
    <row r="18" spans="1:36" x14ac:dyDescent="0.25">
      <c r="A18" s="19" t="s">
        <v>412</v>
      </c>
      <c r="B18" s="19" t="s">
        <v>574</v>
      </c>
      <c r="C18" s="20">
        <v>45536</v>
      </c>
      <c r="D18" s="18" t="s">
        <v>37</v>
      </c>
      <c r="E18" s="19" t="s">
        <v>575</v>
      </c>
      <c r="F18" s="21">
        <v>45563</v>
      </c>
      <c r="G18" s="21">
        <v>45927</v>
      </c>
      <c r="H18" s="22" t="s">
        <v>576</v>
      </c>
      <c r="I18" s="23">
        <v>3740559793113</v>
      </c>
      <c r="J18" s="22" t="s">
        <v>577</v>
      </c>
      <c r="K18" s="19" t="s">
        <v>578</v>
      </c>
      <c r="L18" s="19" t="s">
        <v>579</v>
      </c>
      <c r="M18" s="19" t="s">
        <v>580</v>
      </c>
      <c r="N18" s="19" t="s">
        <v>574</v>
      </c>
      <c r="O18" s="35" t="s">
        <v>132</v>
      </c>
      <c r="P18" s="19" t="s">
        <v>133</v>
      </c>
      <c r="Q18" s="19" t="s">
        <v>581</v>
      </c>
      <c r="R18" s="33">
        <v>45197</v>
      </c>
      <c r="S18" s="33">
        <v>45936</v>
      </c>
      <c r="T18" s="24">
        <v>6500000</v>
      </c>
      <c r="U18" s="19">
        <v>10</v>
      </c>
      <c r="V18" s="37">
        <v>650000</v>
      </c>
      <c r="W18" s="37">
        <v>5850000</v>
      </c>
      <c r="X18" s="26">
        <v>1.5</v>
      </c>
      <c r="Y18" s="37">
        <v>87750</v>
      </c>
      <c r="Z18" s="19"/>
      <c r="AA18" s="19" t="s">
        <v>47</v>
      </c>
      <c r="AB18" s="19">
        <v>1141071091</v>
      </c>
      <c r="AC18" s="27">
        <v>45593</v>
      </c>
      <c r="AD18" s="35" t="s">
        <v>48</v>
      </c>
      <c r="AE18" s="35">
        <v>0</v>
      </c>
      <c r="AF18" s="28" t="s">
        <v>575</v>
      </c>
      <c r="AG18" s="29">
        <v>87750</v>
      </c>
      <c r="AH18" s="39">
        <f t="shared" si="0"/>
        <v>0</v>
      </c>
      <c r="AI18" s="28" t="s">
        <v>1626</v>
      </c>
      <c r="AJ18" s="28" t="s">
        <v>49</v>
      </c>
    </row>
    <row r="19" spans="1:36" x14ac:dyDescent="0.25">
      <c r="A19" s="19" t="s">
        <v>412</v>
      </c>
      <c r="B19" s="19" t="s">
        <v>582</v>
      </c>
      <c r="C19" s="20">
        <v>45536</v>
      </c>
      <c r="D19" s="18" t="s">
        <v>37</v>
      </c>
      <c r="E19" s="19" t="s">
        <v>583</v>
      </c>
      <c r="F19" s="21">
        <v>45546</v>
      </c>
      <c r="G19" s="21">
        <v>45910</v>
      </c>
      <c r="H19" s="22" t="s">
        <v>584</v>
      </c>
      <c r="I19" s="23">
        <v>3520216111429</v>
      </c>
      <c r="J19" s="22" t="s">
        <v>53</v>
      </c>
      <c r="K19" s="19" t="s">
        <v>585</v>
      </c>
      <c r="L19" s="19" t="s">
        <v>586</v>
      </c>
      <c r="M19" s="19" t="s">
        <v>587</v>
      </c>
      <c r="N19" s="19" t="s">
        <v>582</v>
      </c>
      <c r="O19" s="35" t="s">
        <v>57</v>
      </c>
      <c r="P19" s="19" t="s">
        <v>76</v>
      </c>
      <c r="Q19" s="19" t="s">
        <v>588</v>
      </c>
      <c r="R19" s="33">
        <v>45183</v>
      </c>
      <c r="S19" s="33">
        <v>47001</v>
      </c>
      <c r="T19" s="24">
        <v>3000000</v>
      </c>
      <c r="U19" s="19">
        <v>10</v>
      </c>
      <c r="V19" s="37">
        <v>300000</v>
      </c>
      <c r="W19" s="37">
        <v>2700000</v>
      </c>
      <c r="X19" s="26">
        <v>2</v>
      </c>
      <c r="Y19" s="37">
        <v>54000</v>
      </c>
      <c r="Z19" s="19"/>
      <c r="AA19" s="19" t="s">
        <v>47</v>
      </c>
      <c r="AB19" s="19">
        <v>1141071091</v>
      </c>
      <c r="AC19" s="27">
        <v>45593</v>
      </c>
      <c r="AD19" s="35" t="s">
        <v>48</v>
      </c>
      <c r="AE19" s="35">
        <v>0</v>
      </c>
      <c r="AF19" s="28" t="s">
        <v>583</v>
      </c>
      <c r="AG19" s="29">
        <v>54000</v>
      </c>
      <c r="AH19" s="39">
        <f t="shared" si="0"/>
        <v>0</v>
      </c>
      <c r="AI19" s="28" t="s">
        <v>1626</v>
      </c>
      <c r="AJ19" s="28" t="s">
        <v>49</v>
      </c>
    </row>
    <row r="20" spans="1:36" x14ac:dyDescent="0.25">
      <c r="A20" s="19" t="s">
        <v>412</v>
      </c>
      <c r="B20" s="19" t="s">
        <v>589</v>
      </c>
      <c r="C20" s="20">
        <v>45536</v>
      </c>
      <c r="D20" s="18" t="s">
        <v>37</v>
      </c>
      <c r="E20" s="19" t="s">
        <v>590</v>
      </c>
      <c r="F20" s="21">
        <v>45563</v>
      </c>
      <c r="G20" s="21">
        <v>45927</v>
      </c>
      <c r="H20" s="22" t="s">
        <v>591</v>
      </c>
      <c r="I20" s="23">
        <v>3520259450479</v>
      </c>
      <c r="J20" s="22" t="s">
        <v>447</v>
      </c>
      <c r="K20" s="19" t="s">
        <v>592</v>
      </c>
      <c r="L20" s="19" t="s">
        <v>593</v>
      </c>
      <c r="M20" s="19" t="s">
        <v>594</v>
      </c>
      <c r="N20" s="19" t="s">
        <v>589</v>
      </c>
      <c r="O20" s="35" t="s">
        <v>57</v>
      </c>
      <c r="P20" s="19" t="s">
        <v>76</v>
      </c>
      <c r="Q20" s="19" t="s">
        <v>595</v>
      </c>
      <c r="R20" s="33">
        <v>45203</v>
      </c>
      <c r="S20" s="33">
        <v>47031</v>
      </c>
      <c r="T20" s="24">
        <v>3641000</v>
      </c>
      <c r="U20" s="19">
        <v>10</v>
      </c>
      <c r="V20" s="37">
        <v>364100</v>
      </c>
      <c r="W20" s="37">
        <v>3276900</v>
      </c>
      <c r="X20" s="26">
        <v>1.5</v>
      </c>
      <c r="Y20" s="37">
        <v>49153.5</v>
      </c>
      <c r="Z20" s="19"/>
      <c r="AA20" s="19" t="s">
        <v>47</v>
      </c>
      <c r="AB20" s="19">
        <v>1141071091</v>
      </c>
      <c r="AC20" s="27">
        <v>45593</v>
      </c>
      <c r="AD20" s="35" t="s">
        <v>48</v>
      </c>
      <c r="AE20" s="35">
        <v>0</v>
      </c>
      <c r="AF20" s="28" t="s">
        <v>590</v>
      </c>
      <c r="AG20" s="29">
        <v>49154</v>
      </c>
      <c r="AH20" s="39">
        <f t="shared" si="0"/>
        <v>-0.5</v>
      </c>
      <c r="AI20" s="28" t="s">
        <v>1626</v>
      </c>
      <c r="AJ20" s="28" t="s">
        <v>49</v>
      </c>
    </row>
    <row r="21" spans="1:36" x14ac:dyDescent="0.25">
      <c r="A21" s="19" t="s">
        <v>412</v>
      </c>
      <c r="B21" s="19" t="s">
        <v>596</v>
      </c>
      <c r="C21" s="20">
        <v>45536</v>
      </c>
      <c r="D21" s="18" t="s">
        <v>37</v>
      </c>
      <c r="E21" s="19" t="s">
        <v>597</v>
      </c>
      <c r="F21" s="21">
        <v>45563</v>
      </c>
      <c r="G21" s="21">
        <v>45927</v>
      </c>
      <c r="H21" s="22" t="s">
        <v>598</v>
      </c>
      <c r="I21" s="23">
        <v>3520167450389</v>
      </c>
      <c r="J21" s="22" t="s">
        <v>437</v>
      </c>
      <c r="K21" s="19" t="s">
        <v>599</v>
      </c>
      <c r="L21" s="19" t="s">
        <v>600</v>
      </c>
      <c r="M21" s="19" t="s">
        <v>601</v>
      </c>
      <c r="N21" s="19" t="s">
        <v>596</v>
      </c>
      <c r="O21" s="35" t="s">
        <v>57</v>
      </c>
      <c r="P21" s="19" t="s">
        <v>76</v>
      </c>
      <c r="Q21" s="19" t="s">
        <v>602</v>
      </c>
      <c r="R21" s="33">
        <v>45201</v>
      </c>
      <c r="S21" s="33">
        <v>46300</v>
      </c>
      <c r="T21" s="24">
        <v>6300000</v>
      </c>
      <c r="U21" s="19">
        <v>10</v>
      </c>
      <c r="V21" s="37">
        <v>630000</v>
      </c>
      <c r="W21" s="37">
        <v>5670000</v>
      </c>
      <c r="X21" s="26">
        <v>1.5</v>
      </c>
      <c r="Y21" s="37">
        <v>85050</v>
      </c>
      <c r="Z21" s="19"/>
      <c r="AA21" s="19" t="s">
        <v>47</v>
      </c>
      <c r="AB21" s="19">
        <v>1141071091</v>
      </c>
      <c r="AC21" s="27">
        <v>45593</v>
      </c>
      <c r="AD21" s="35" t="s">
        <v>48</v>
      </c>
      <c r="AE21" s="35">
        <v>9</v>
      </c>
      <c r="AF21" s="28" t="s">
        <v>597</v>
      </c>
      <c r="AG21" s="29">
        <v>85050</v>
      </c>
      <c r="AH21" s="39">
        <f t="shared" si="0"/>
        <v>0</v>
      </c>
      <c r="AI21" s="28" t="s">
        <v>1626</v>
      </c>
      <c r="AJ21" s="28" t="s">
        <v>49</v>
      </c>
    </row>
    <row r="22" spans="1:36" x14ac:dyDescent="0.25">
      <c r="A22" s="19" t="s">
        <v>412</v>
      </c>
      <c r="B22" s="19" t="s">
        <v>603</v>
      </c>
      <c r="C22" s="20">
        <v>45536</v>
      </c>
      <c r="D22" s="18" t="s">
        <v>37</v>
      </c>
      <c r="E22" s="19" t="s">
        <v>604</v>
      </c>
      <c r="F22" s="21">
        <v>45547</v>
      </c>
      <c r="G22" s="21">
        <v>45911</v>
      </c>
      <c r="H22" s="22" t="s">
        <v>605</v>
      </c>
      <c r="I22" s="23">
        <v>1560221122683</v>
      </c>
      <c r="J22" s="22" t="s">
        <v>450</v>
      </c>
      <c r="K22" s="19" t="s">
        <v>606</v>
      </c>
      <c r="L22" s="19" t="s">
        <v>607</v>
      </c>
      <c r="M22" s="19" t="s">
        <v>608</v>
      </c>
      <c r="N22" s="19" t="s">
        <v>603</v>
      </c>
      <c r="O22" s="35" t="s">
        <v>44</v>
      </c>
      <c r="P22" s="19" t="s">
        <v>609</v>
      </c>
      <c r="Q22" s="19" t="s">
        <v>610</v>
      </c>
      <c r="R22" s="33">
        <v>45190</v>
      </c>
      <c r="S22" s="33">
        <v>47031</v>
      </c>
      <c r="T22" s="24">
        <v>930000</v>
      </c>
      <c r="U22" s="19">
        <v>10</v>
      </c>
      <c r="V22" s="37">
        <v>93000</v>
      </c>
      <c r="W22" s="37">
        <v>837000</v>
      </c>
      <c r="X22" s="26">
        <v>2</v>
      </c>
      <c r="Y22" s="37">
        <v>16740</v>
      </c>
      <c r="Z22" s="19"/>
      <c r="AA22" s="19" t="s">
        <v>47</v>
      </c>
      <c r="AB22" s="19">
        <v>1141071091</v>
      </c>
      <c r="AC22" s="27">
        <v>45593</v>
      </c>
      <c r="AD22" s="35" t="s">
        <v>48</v>
      </c>
      <c r="AE22" s="35">
        <v>70</v>
      </c>
      <c r="AF22" s="28" t="s">
        <v>604</v>
      </c>
      <c r="AG22" s="29">
        <v>16740</v>
      </c>
      <c r="AH22" s="39">
        <f t="shared" si="0"/>
        <v>0</v>
      </c>
      <c r="AI22" s="28" t="s">
        <v>1626</v>
      </c>
      <c r="AJ22" s="28" t="s">
        <v>49</v>
      </c>
    </row>
    <row r="23" spans="1:36" x14ac:dyDescent="0.25">
      <c r="A23" s="19" t="s">
        <v>412</v>
      </c>
      <c r="B23" s="19" t="s">
        <v>611</v>
      </c>
      <c r="C23" s="20">
        <v>45536</v>
      </c>
      <c r="D23" s="18" t="s">
        <v>37</v>
      </c>
      <c r="E23" s="19" t="s">
        <v>612</v>
      </c>
      <c r="F23" s="21">
        <v>45555</v>
      </c>
      <c r="G23" s="21">
        <v>45919</v>
      </c>
      <c r="H23" s="22" t="s">
        <v>613</v>
      </c>
      <c r="I23" s="23">
        <v>4210104448245</v>
      </c>
      <c r="J23" s="22" t="s">
        <v>614</v>
      </c>
      <c r="K23" s="19" t="s">
        <v>615</v>
      </c>
      <c r="L23" s="19" t="s">
        <v>616</v>
      </c>
      <c r="M23" s="19" t="s">
        <v>617</v>
      </c>
      <c r="N23" s="19" t="s">
        <v>611</v>
      </c>
      <c r="O23" s="35" t="s">
        <v>44</v>
      </c>
      <c r="P23" s="19" t="s">
        <v>45</v>
      </c>
      <c r="Q23" s="19" t="s">
        <v>618</v>
      </c>
      <c r="R23" s="33">
        <v>45191</v>
      </c>
      <c r="S23" s="33">
        <v>46300</v>
      </c>
      <c r="T23" s="24">
        <v>2250000</v>
      </c>
      <c r="U23" s="19">
        <v>10</v>
      </c>
      <c r="V23" s="37">
        <v>225000</v>
      </c>
      <c r="W23" s="37">
        <v>2025000</v>
      </c>
      <c r="X23" s="26">
        <v>2</v>
      </c>
      <c r="Y23" s="37">
        <v>40500</v>
      </c>
      <c r="Z23" s="19"/>
      <c r="AA23" s="19" t="s">
        <v>47</v>
      </c>
      <c r="AB23" s="19">
        <v>1141071091</v>
      </c>
      <c r="AC23" s="27">
        <v>45593</v>
      </c>
      <c r="AD23" s="35" t="s">
        <v>48</v>
      </c>
      <c r="AE23" s="35">
        <v>0</v>
      </c>
      <c r="AF23" s="28" t="s">
        <v>612</v>
      </c>
      <c r="AG23" s="29">
        <v>40500</v>
      </c>
      <c r="AH23" s="39">
        <f t="shared" si="0"/>
        <v>0</v>
      </c>
      <c r="AI23" s="28" t="s">
        <v>1626</v>
      </c>
      <c r="AJ23" s="28" t="s">
        <v>49</v>
      </c>
    </row>
    <row r="24" spans="1:36" x14ac:dyDescent="0.25">
      <c r="A24" s="19" t="s">
        <v>412</v>
      </c>
      <c r="B24" s="19" t="s">
        <v>619</v>
      </c>
      <c r="C24" s="20">
        <v>45536</v>
      </c>
      <c r="D24" s="18" t="s">
        <v>37</v>
      </c>
      <c r="E24" s="19" t="s">
        <v>620</v>
      </c>
      <c r="F24" s="21">
        <v>45555</v>
      </c>
      <c r="G24" s="21">
        <v>45919</v>
      </c>
      <c r="H24" s="22" t="s">
        <v>621</v>
      </c>
      <c r="I24" s="23">
        <v>4130207327153</v>
      </c>
      <c r="J24" s="22" t="s">
        <v>202</v>
      </c>
      <c r="K24" s="19"/>
      <c r="L24" s="19" t="s">
        <v>622</v>
      </c>
      <c r="M24" s="19" t="s">
        <v>623</v>
      </c>
      <c r="N24" s="19" t="s">
        <v>619</v>
      </c>
      <c r="O24" s="35" t="s">
        <v>44</v>
      </c>
      <c r="P24" s="19" t="s">
        <v>420</v>
      </c>
      <c r="Q24" s="19" t="s">
        <v>624</v>
      </c>
      <c r="R24" s="33">
        <v>45195</v>
      </c>
      <c r="S24" s="33">
        <v>47031</v>
      </c>
      <c r="T24" s="24">
        <v>2612000</v>
      </c>
      <c r="U24" s="19">
        <v>10</v>
      </c>
      <c r="V24" s="37">
        <v>261200</v>
      </c>
      <c r="W24" s="37">
        <v>2350800</v>
      </c>
      <c r="X24" s="26">
        <v>2</v>
      </c>
      <c r="Y24" s="37">
        <v>47016</v>
      </c>
      <c r="Z24" s="19"/>
      <c r="AA24" s="19" t="s">
        <v>47</v>
      </c>
      <c r="AB24" s="19">
        <v>1141071091</v>
      </c>
      <c r="AC24" s="27">
        <v>45593</v>
      </c>
      <c r="AD24" s="35" t="s">
        <v>48</v>
      </c>
      <c r="AE24" s="35">
        <v>9</v>
      </c>
      <c r="AF24" s="28" t="s">
        <v>620</v>
      </c>
      <c r="AG24" s="29">
        <v>47016</v>
      </c>
      <c r="AH24" s="39">
        <f t="shared" si="0"/>
        <v>0</v>
      </c>
      <c r="AI24" s="28" t="s">
        <v>1626</v>
      </c>
      <c r="AJ24" s="28" t="s">
        <v>49</v>
      </c>
    </row>
    <row r="25" spans="1:36" x14ac:dyDescent="0.25">
      <c r="A25" s="19" t="s">
        <v>412</v>
      </c>
      <c r="B25" s="19" t="s">
        <v>625</v>
      </c>
      <c r="C25" s="20">
        <v>45536</v>
      </c>
      <c r="D25" s="18" t="s">
        <v>37</v>
      </c>
      <c r="E25" s="19" t="s">
        <v>626</v>
      </c>
      <c r="F25" s="21">
        <v>45557</v>
      </c>
      <c r="G25" s="21">
        <v>45921</v>
      </c>
      <c r="H25" s="22" t="s">
        <v>627</v>
      </c>
      <c r="I25" s="23">
        <v>4230177909083</v>
      </c>
      <c r="J25" s="22" t="s">
        <v>299</v>
      </c>
      <c r="K25" s="19" t="s">
        <v>628</v>
      </c>
      <c r="L25" s="19" t="s">
        <v>629</v>
      </c>
      <c r="M25" s="19" t="s">
        <v>630</v>
      </c>
      <c r="N25" s="19" t="s">
        <v>625</v>
      </c>
      <c r="O25" s="35" t="s">
        <v>44</v>
      </c>
      <c r="P25" s="19" t="s">
        <v>45</v>
      </c>
      <c r="Q25" s="19" t="s">
        <v>631</v>
      </c>
      <c r="R25" s="33">
        <v>45194</v>
      </c>
      <c r="S25" s="33">
        <v>46300</v>
      </c>
      <c r="T25" s="24">
        <v>2935000</v>
      </c>
      <c r="U25" s="19">
        <v>10</v>
      </c>
      <c r="V25" s="37">
        <v>293500</v>
      </c>
      <c r="W25" s="37">
        <v>2641500</v>
      </c>
      <c r="X25" s="26">
        <v>2</v>
      </c>
      <c r="Y25" s="37">
        <v>52830</v>
      </c>
      <c r="Z25" s="19"/>
      <c r="AA25" s="19" t="s">
        <v>47</v>
      </c>
      <c r="AB25" s="19">
        <v>1141071091</v>
      </c>
      <c r="AC25" s="27">
        <v>45593</v>
      </c>
      <c r="AD25" s="35" t="s">
        <v>48</v>
      </c>
      <c r="AE25" s="35">
        <v>0</v>
      </c>
      <c r="AF25" s="28" t="s">
        <v>626</v>
      </c>
      <c r="AG25" s="29">
        <v>52830</v>
      </c>
      <c r="AH25" s="39">
        <f t="shared" si="0"/>
        <v>0</v>
      </c>
      <c r="AI25" s="28" t="s">
        <v>1626</v>
      </c>
      <c r="AJ25" s="28" t="s">
        <v>49</v>
      </c>
    </row>
    <row r="26" spans="1:36" x14ac:dyDescent="0.25">
      <c r="A26" s="19" t="s">
        <v>412</v>
      </c>
      <c r="B26" s="19" t="s">
        <v>632</v>
      </c>
      <c r="C26" s="20">
        <v>45536</v>
      </c>
      <c r="D26" s="18" t="s">
        <v>37</v>
      </c>
      <c r="E26" s="19" t="s">
        <v>633</v>
      </c>
      <c r="F26" s="21">
        <v>45561</v>
      </c>
      <c r="G26" s="21">
        <v>45925</v>
      </c>
      <c r="H26" s="22" t="s">
        <v>634</v>
      </c>
      <c r="I26" s="23">
        <v>3530271985517</v>
      </c>
      <c r="J26" s="22" t="s">
        <v>154</v>
      </c>
      <c r="K26" s="19" t="s">
        <v>635</v>
      </c>
      <c r="L26" s="19" t="s">
        <v>636</v>
      </c>
      <c r="M26" s="19" t="s">
        <v>637</v>
      </c>
      <c r="N26" s="19" t="s">
        <v>632</v>
      </c>
      <c r="O26" s="35" t="s">
        <v>57</v>
      </c>
      <c r="P26" s="19" t="s">
        <v>76</v>
      </c>
      <c r="Q26" s="19" t="s">
        <v>638</v>
      </c>
      <c r="R26" s="33">
        <v>45196</v>
      </c>
      <c r="S26" s="33">
        <v>46300</v>
      </c>
      <c r="T26" s="24">
        <v>4950000</v>
      </c>
      <c r="U26" s="19">
        <v>10</v>
      </c>
      <c r="V26" s="37">
        <v>495000</v>
      </c>
      <c r="W26" s="37">
        <v>4455000</v>
      </c>
      <c r="X26" s="26">
        <v>1.5</v>
      </c>
      <c r="Y26" s="37">
        <v>66825</v>
      </c>
      <c r="Z26" s="19"/>
      <c r="AA26" s="19" t="s">
        <v>47</v>
      </c>
      <c r="AB26" s="19">
        <v>1141071091</v>
      </c>
      <c r="AC26" s="27">
        <v>45593</v>
      </c>
      <c r="AD26" s="35" t="s">
        <v>48</v>
      </c>
      <c r="AE26" s="35">
        <v>9</v>
      </c>
      <c r="AF26" s="28" t="s">
        <v>633</v>
      </c>
      <c r="AG26" s="29">
        <v>66825</v>
      </c>
      <c r="AH26" s="39">
        <f t="shared" si="0"/>
        <v>0</v>
      </c>
      <c r="AI26" s="28" t="s">
        <v>1626</v>
      </c>
      <c r="AJ26" s="28" t="s">
        <v>49</v>
      </c>
    </row>
    <row r="27" spans="1:36" x14ac:dyDescent="0.25">
      <c r="A27" s="19" t="s">
        <v>412</v>
      </c>
      <c r="B27" s="19" t="s">
        <v>639</v>
      </c>
      <c r="C27" s="20">
        <v>45536</v>
      </c>
      <c r="D27" s="18" t="s">
        <v>37</v>
      </c>
      <c r="E27" s="19" t="s">
        <v>640</v>
      </c>
      <c r="F27" s="21">
        <v>45562</v>
      </c>
      <c r="G27" s="21">
        <v>45926</v>
      </c>
      <c r="H27" s="22" t="s">
        <v>641</v>
      </c>
      <c r="I27" s="23">
        <v>3540136617571</v>
      </c>
      <c r="J27" s="22" t="s">
        <v>642</v>
      </c>
      <c r="K27" s="19" t="s">
        <v>643</v>
      </c>
      <c r="L27" s="19" t="s">
        <v>644</v>
      </c>
      <c r="M27" s="19" t="s">
        <v>645</v>
      </c>
      <c r="N27" s="19" t="s">
        <v>639</v>
      </c>
      <c r="O27" s="35" t="s">
        <v>132</v>
      </c>
      <c r="P27" s="19" t="s">
        <v>133</v>
      </c>
      <c r="Q27" s="19" t="s">
        <v>646</v>
      </c>
      <c r="R27" s="33">
        <v>45201</v>
      </c>
      <c r="S27" s="33">
        <v>46665</v>
      </c>
      <c r="T27" s="24">
        <v>4500000</v>
      </c>
      <c r="U27" s="19">
        <v>10</v>
      </c>
      <c r="V27" s="37">
        <v>450000</v>
      </c>
      <c r="W27" s="37">
        <v>4050000</v>
      </c>
      <c r="X27" s="26">
        <v>1.5</v>
      </c>
      <c r="Y27" s="37">
        <v>60750</v>
      </c>
      <c r="Z27" s="19"/>
      <c r="AA27" s="19" t="s">
        <v>47</v>
      </c>
      <c r="AB27" s="19">
        <v>1141071091</v>
      </c>
      <c r="AC27" s="27">
        <v>45593</v>
      </c>
      <c r="AD27" s="35" t="s">
        <v>48</v>
      </c>
      <c r="AE27" s="35">
        <v>0</v>
      </c>
      <c r="AF27" s="28" t="s">
        <v>640</v>
      </c>
      <c r="AG27" s="29">
        <v>60750</v>
      </c>
      <c r="AH27" s="39">
        <f t="shared" si="0"/>
        <v>0</v>
      </c>
      <c r="AI27" s="28" t="s">
        <v>1626</v>
      </c>
      <c r="AJ27" s="28" t="s">
        <v>49</v>
      </c>
    </row>
    <row r="28" spans="1:36" x14ac:dyDescent="0.25">
      <c r="A28" s="19" t="s">
        <v>412</v>
      </c>
      <c r="B28" s="19" t="s">
        <v>647</v>
      </c>
      <c r="C28" s="20">
        <v>45536</v>
      </c>
      <c r="D28" s="18" t="s">
        <v>37</v>
      </c>
      <c r="E28" s="19" t="s">
        <v>648</v>
      </c>
      <c r="F28" s="21">
        <v>45562</v>
      </c>
      <c r="G28" s="21">
        <v>45926</v>
      </c>
      <c r="H28" s="22" t="s">
        <v>649</v>
      </c>
      <c r="I28" s="23">
        <v>3520270676873</v>
      </c>
      <c r="J28" s="22" t="s">
        <v>385</v>
      </c>
      <c r="K28" s="19" t="s">
        <v>650</v>
      </c>
      <c r="L28" s="19" t="s">
        <v>651</v>
      </c>
      <c r="M28" s="19" t="s">
        <v>652</v>
      </c>
      <c r="N28" s="19" t="s">
        <v>647</v>
      </c>
      <c r="O28" s="35" t="s">
        <v>57</v>
      </c>
      <c r="P28" s="19" t="s">
        <v>76</v>
      </c>
      <c r="Q28" s="19" t="s">
        <v>653</v>
      </c>
      <c r="R28" s="33">
        <v>45197</v>
      </c>
      <c r="S28" s="33">
        <v>46300</v>
      </c>
      <c r="T28" s="24">
        <v>3500000</v>
      </c>
      <c r="U28" s="19">
        <v>10</v>
      </c>
      <c r="V28" s="37">
        <v>350000</v>
      </c>
      <c r="W28" s="37">
        <v>3150000</v>
      </c>
      <c r="X28" s="26">
        <v>1.5</v>
      </c>
      <c r="Y28" s="37">
        <v>47250</v>
      </c>
      <c r="Z28" s="19"/>
      <c r="AA28" s="19" t="s">
        <v>47</v>
      </c>
      <c r="AB28" s="19">
        <v>1141071091</v>
      </c>
      <c r="AC28" s="27">
        <v>45593</v>
      </c>
      <c r="AD28" s="35" t="s">
        <v>48</v>
      </c>
      <c r="AE28" s="35">
        <v>9</v>
      </c>
      <c r="AF28" s="28" t="s">
        <v>648</v>
      </c>
      <c r="AG28" s="29">
        <v>47250</v>
      </c>
      <c r="AH28" s="39">
        <f t="shared" si="0"/>
        <v>0</v>
      </c>
      <c r="AI28" s="28" t="s">
        <v>1626</v>
      </c>
      <c r="AJ28" s="28" t="s">
        <v>49</v>
      </c>
    </row>
    <row r="29" spans="1:36" x14ac:dyDescent="0.25">
      <c r="A29" s="19" t="s">
        <v>412</v>
      </c>
      <c r="B29" s="19" t="s">
        <v>654</v>
      </c>
      <c r="C29" s="20">
        <v>45536</v>
      </c>
      <c r="D29" s="18" t="s">
        <v>37</v>
      </c>
      <c r="E29" s="19" t="s">
        <v>655</v>
      </c>
      <c r="F29" s="21">
        <v>45537</v>
      </c>
      <c r="G29" s="21">
        <v>45901</v>
      </c>
      <c r="H29" s="22" t="s">
        <v>656</v>
      </c>
      <c r="I29" s="23">
        <v>4250139796069</v>
      </c>
      <c r="J29" s="22" t="s">
        <v>53</v>
      </c>
      <c r="K29" s="19" t="s">
        <v>657</v>
      </c>
      <c r="L29" s="19" t="s">
        <v>658</v>
      </c>
      <c r="M29" s="19" t="s">
        <v>659</v>
      </c>
      <c r="N29" s="19" t="s">
        <v>654</v>
      </c>
      <c r="O29" s="35" t="s">
        <v>44</v>
      </c>
      <c r="P29" s="19" t="s">
        <v>173</v>
      </c>
      <c r="Q29" s="19" t="s">
        <v>660</v>
      </c>
      <c r="R29" s="33">
        <v>44461</v>
      </c>
      <c r="S29" s="33">
        <v>46300</v>
      </c>
      <c r="T29" s="24">
        <v>1927000</v>
      </c>
      <c r="U29" s="19">
        <v>20</v>
      </c>
      <c r="V29" s="37">
        <v>385400</v>
      </c>
      <c r="W29" s="37">
        <v>1541600</v>
      </c>
      <c r="X29" s="26">
        <v>2.5</v>
      </c>
      <c r="Y29" s="37">
        <v>38540</v>
      </c>
      <c r="Z29" s="19"/>
      <c r="AA29" s="19" t="s">
        <v>47</v>
      </c>
      <c r="AB29" s="19">
        <v>1141071091</v>
      </c>
      <c r="AC29" s="27">
        <v>45593</v>
      </c>
      <c r="AD29" s="35" t="s">
        <v>48</v>
      </c>
      <c r="AE29" s="35">
        <v>0</v>
      </c>
      <c r="AF29" s="28" t="s">
        <v>655</v>
      </c>
      <c r="AG29" s="29">
        <v>38540</v>
      </c>
      <c r="AH29" s="39">
        <f t="shared" si="0"/>
        <v>0</v>
      </c>
      <c r="AI29" s="28" t="s">
        <v>1626</v>
      </c>
      <c r="AJ29" s="28" t="s">
        <v>49</v>
      </c>
    </row>
    <row r="30" spans="1:36" x14ac:dyDescent="0.25">
      <c r="A30" s="19" t="s">
        <v>412</v>
      </c>
      <c r="B30" s="19" t="s">
        <v>661</v>
      </c>
      <c r="C30" s="20">
        <v>45536</v>
      </c>
      <c r="D30" s="18" t="s">
        <v>37</v>
      </c>
      <c r="E30" s="19" t="s">
        <v>662</v>
      </c>
      <c r="F30" s="21">
        <v>45545</v>
      </c>
      <c r="G30" s="21">
        <v>45909</v>
      </c>
      <c r="H30" s="22" t="s">
        <v>663</v>
      </c>
      <c r="I30" s="23">
        <v>4250171163791</v>
      </c>
      <c r="J30" s="22" t="s">
        <v>446</v>
      </c>
      <c r="K30" s="19" t="s">
        <v>664</v>
      </c>
      <c r="L30" s="19" t="s">
        <v>665</v>
      </c>
      <c r="M30" s="19" t="s">
        <v>666</v>
      </c>
      <c r="N30" s="19" t="s">
        <v>661</v>
      </c>
      <c r="O30" s="35" t="s">
        <v>44</v>
      </c>
      <c r="P30" s="19" t="s">
        <v>667</v>
      </c>
      <c r="Q30" s="19" t="s">
        <v>668</v>
      </c>
      <c r="R30" s="33">
        <v>44455</v>
      </c>
      <c r="S30" s="33">
        <v>47031</v>
      </c>
      <c r="T30" s="24">
        <v>3000000</v>
      </c>
      <c r="U30" s="19">
        <v>20</v>
      </c>
      <c r="V30" s="37">
        <v>600000</v>
      </c>
      <c r="W30" s="37">
        <v>2400000</v>
      </c>
      <c r="X30" s="26">
        <v>1.5</v>
      </c>
      <c r="Y30" s="37">
        <v>36000</v>
      </c>
      <c r="Z30" s="19"/>
      <c r="AA30" s="19" t="s">
        <v>47</v>
      </c>
      <c r="AB30" s="19">
        <v>1141071091</v>
      </c>
      <c r="AC30" s="27">
        <v>45593</v>
      </c>
      <c r="AD30" s="35" t="s">
        <v>48</v>
      </c>
      <c r="AE30" s="35">
        <v>9</v>
      </c>
      <c r="AF30" s="28" t="s">
        <v>662</v>
      </c>
      <c r="AG30" s="29">
        <v>36000</v>
      </c>
      <c r="AH30" s="39">
        <f t="shared" si="0"/>
        <v>0</v>
      </c>
      <c r="AI30" s="28" t="s">
        <v>1626</v>
      </c>
      <c r="AJ30" s="28" t="s">
        <v>49</v>
      </c>
    </row>
    <row r="31" spans="1:36" x14ac:dyDescent="0.25">
      <c r="A31" s="19" t="s">
        <v>412</v>
      </c>
      <c r="B31" s="19" t="s">
        <v>669</v>
      </c>
      <c r="C31" s="20">
        <v>45536</v>
      </c>
      <c r="D31" s="18" t="s">
        <v>37</v>
      </c>
      <c r="E31" s="19" t="s">
        <v>670</v>
      </c>
      <c r="F31" s="21">
        <v>45548</v>
      </c>
      <c r="G31" s="21">
        <v>45912</v>
      </c>
      <c r="H31" s="22" t="s">
        <v>671</v>
      </c>
      <c r="I31" s="23" t="s">
        <v>672</v>
      </c>
      <c r="J31" s="22" t="s">
        <v>446</v>
      </c>
      <c r="K31" s="19" t="s">
        <v>673</v>
      </c>
      <c r="L31" s="19" t="s">
        <v>674</v>
      </c>
      <c r="M31" s="19" t="s">
        <v>675</v>
      </c>
      <c r="N31" s="19" t="s">
        <v>669</v>
      </c>
      <c r="O31" s="35" t="s">
        <v>44</v>
      </c>
      <c r="P31" s="19" t="s">
        <v>667</v>
      </c>
      <c r="Q31" s="19" t="s">
        <v>676</v>
      </c>
      <c r="R31" s="33">
        <v>44456</v>
      </c>
      <c r="S31" s="33">
        <v>46300</v>
      </c>
      <c r="T31" s="24">
        <v>2600000</v>
      </c>
      <c r="U31" s="19">
        <v>20</v>
      </c>
      <c r="V31" s="37">
        <v>520000</v>
      </c>
      <c r="W31" s="37">
        <v>2080000</v>
      </c>
      <c r="X31" s="26">
        <v>1.5</v>
      </c>
      <c r="Y31" s="37">
        <v>31200</v>
      </c>
      <c r="Z31" s="19"/>
      <c r="AA31" s="19" t="s">
        <v>47</v>
      </c>
      <c r="AB31" s="19">
        <v>1141071091</v>
      </c>
      <c r="AC31" s="27">
        <v>45593</v>
      </c>
      <c r="AD31" s="35" t="s">
        <v>48</v>
      </c>
      <c r="AE31" s="35">
        <v>0</v>
      </c>
      <c r="AF31" s="28" t="s">
        <v>670</v>
      </c>
      <c r="AG31" s="29">
        <v>31200</v>
      </c>
      <c r="AH31" s="39">
        <f t="shared" si="0"/>
        <v>0</v>
      </c>
      <c r="AI31" s="28" t="s">
        <v>1626</v>
      </c>
      <c r="AJ31" s="28" t="s">
        <v>49</v>
      </c>
    </row>
    <row r="32" spans="1:36" x14ac:dyDescent="0.25">
      <c r="A32" s="19" t="s">
        <v>412</v>
      </c>
      <c r="B32" s="19" t="s">
        <v>677</v>
      </c>
      <c r="C32" s="20">
        <v>45536</v>
      </c>
      <c r="D32" s="18" t="s">
        <v>37</v>
      </c>
      <c r="E32" s="19" t="s">
        <v>678</v>
      </c>
      <c r="F32" s="21">
        <v>45549</v>
      </c>
      <c r="G32" s="21">
        <v>45913</v>
      </c>
      <c r="H32" s="22" t="s">
        <v>679</v>
      </c>
      <c r="I32" s="23" t="s">
        <v>680</v>
      </c>
      <c r="J32" s="22" t="s">
        <v>681</v>
      </c>
      <c r="K32" s="19" t="s">
        <v>682</v>
      </c>
      <c r="L32" s="19" t="s">
        <v>683</v>
      </c>
      <c r="M32" s="19" t="s">
        <v>684</v>
      </c>
      <c r="N32" s="19" t="s">
        <v>677</v>
      </c>
      <c r="O32" s="35" t="s">
        <v>57</v>
      </c>
      <c r="P32" s="19" t="s">
        <v>76</v>
      </c>
      <c r="Q32" s="19" t="s">
        <v>685</v>
      </c>
      <c r="R32" s="33">
        <v>44459</v>
      </c>
      <c r="S32" s="33">
        <v>47031</v>
      </c>
      <c r="T32" s="24">
        <v>3950000</v>
      </c>
      <c r="U32" s="19">
        <v>20</v>
      </c>
      <c r="V32" s="37">
        <v>790000</v>
      </c>
      <c r="W32" s="37">
        <v>3160000</v>
      </c>
      <c r="X32" s="26">
        <v>1.5</v>
      </c>
      <c r="Y32" s="37">
        <v>47400</v>
      </c>
      <c r="Z32" s="19"/>
      <c r="AA32" s="19" t="s">
        <v>47</v>
      </c>
      <c r="AB32" s="19">
        <v>1141071091</v>
      </c>
      <c r="AC32" s="27">
        <v>45593</v>
      </c>
      <c r="AD32" s="35" t="s">
        <v>48</v>
      </c>
      <c r="AE32" s="35">
        <v>9</v>
      </c>
      <c r="AF32" s="28" t="s">
        <v>678</v>
      </c>
      <c r="AG32" s="29">
        <v>47400</v>
      </c>
      <c r="AH32" s="39">
        <f t="shared" si="0"/>
        <v>0</v>
      </c>
      <c r="AI32" s="28" t="s">
        <v>1626</v>
      </c>
      <c r="AJ32" s="28" t="s">
        <v>49</v>
      </c>
    </row>
    <row r="33" spans="1:36" x14ac:dyDescent="0.25">
      <c r="A33" s="19" t="s">
        <v>412</v>
      </c>
      <c r="B33" s="19" t="s">
        <v>686</v>
      </c>
      <c r="C33" s="20">
        <v>45536</v>
      </c>
      <c r="D33" s="18" t="s">
        <v>37</v>
      </c>
      <c r="E33" s="19" t="s">
        <v>687</v>
      </c>
      <c r="F33" s="21">
        <v>45550</v>
      </c>
      <c r="G33" s="21">
        <v>45914</v>
      </c>
      <c r="H33" s="22" t="s">
        <v>688</v>
      </c>
      <c r="I33" s="23" t="s">
        <v>689</v>
      </c>
      <c r="J33" s="22" t="s">
        <v>690</v>
      </c>
      <c r="K33" s="19" t="s">
        <v>691</v>
      </c>
      <c r="L33" s="19" t="s">
        <v>692</v>
      </c>
      <c r="M33" s="19" t="s">
        <v>693</v>
      </c>
      <c r="N33" s="19" t="s">
        <v>686</v>
      </c>
      <c r="O33" s="35" t="s">
        <v>57</v>
      </c>
      <c r="P33" s="19" t="s">
        <v>58</v>
      </c>
      <c r="Q33" s="19" t="s">
        <v>694</v>
      </c>
      <c r="R33" s="33">
        <v>44468</v>
      </c>
      <c r="S33" s="33">
        <v>46300</v>
      </c>
      <c r="T33" s="24">
        <v>9305000</v>
      </c>
      <c r="U33" s="19">
        <v>20</v>
      </c>
      <c r="V33" s="37">
        <v>1861000</v>
      </c>
      <c r="W33" s="37">
        <v>7444000</v>
      </c>
      <c r="X33" s="26">
        <v>1.5</v>
      </c>
      <c r="Y33" s="37">
        <v>111660</v>
      </c>
      <c r="Z33" s="19"/>
      <c r="AA33" s="19" t="s">
        <v>47</v>
      </c>
      <c r="AB33" s="19">
        <v>1141071091</v>
      </c>
      <c r="AC33" s="27">
        <v>45593</v>
      </c>
      <c r="AD33" s="35" t="s">
        <v>48</v>
      </c>
      <c r="AE33" s="35">
        <v>0</v>
      </c>
      <c r="AF33" s="28" t="s">
        <v>687</v>
      </c>
      <c r="AG33" s="29">
        <v>111660</v>
      </c>
      <c r="AH33" s="39">
        <f t="shared" si="0"/>
        <v>0</v>
      </c>
      <c r="AI33" s="28" t="s">
        <v>1626</v>
      </c>
      <c r="AJ33" s="28" t="s">
        <v>49</v>
      </c>
    </row>
    <row r="34" spans="1:36" x14ac:dyDescent="0.25">
      <c r="A34" s="19" t="s">
        <v>412</v>
      </c>
      <c r="B34" s="19" t="s">
        <v>695</v>
      </c>
      <c r="C34" s="20">
        <v>45536</v>
      </c>
      <c r="D34" s="18" t="s">
        <v>37</v>
      </c>
      <c r="E34" s="19" t="s">
        <v>696</v>
      </c>
      <c r="F34" s="21">
        <v>45551</v>
      </c>
      <c r="G34" s="21">
        <v>45915</v>
      </c>
      <c r="H34" s="22" t="s">
        <v>697</v>
      </c>
      <c r="I34" s="23">
        <v>3510250113737</v>
      </c>
      <c r="J34" s="22" t="s">
        <v>614</v>
      </c>
      <c r="K34" s="19" t="s">
        <v>698</v>
      </c>
      <c r="L34" s="19" t="s">
        <v>699</v>
      </c>
      <c r="M34" s="19" t="s">
        <v>700</v>
      </c>
      <c r="N34" s="19" t="s">
        <v>695</v>
      </c>
      <c r="O34" s="35" t="s">
        <v>57</v>
      </c>
      <c r="P34" s="19" t="s">
        <v>76</v>
      </c>
      <c r="Q34" s="19" t="s">
        <v>701</v>
      </c>
      <c r="R34" s="33">
        <v>44459</v>
      </c>
      <c r="S34" s="33">
        <v>45936</v>
      </c>
      <c r="T34" s="24">
        <v>1975000</v>
      </c>
      <c r="U34" s="19">
        <v>20</v>
      </c>
      <c r="V34" s="37">
        <v>395000</v>
      </c>
      <c r="W34" s="37">
        <v>1580000</v>
      </c>
      <c r="X34" s="26">
        <v>1.5</v>
      </c>
      <c r="Y34" s="37">
        <v>23700</v>
      </c>
      <c r="Z34" s="19"/>
      <c r="AA34" s="19" t="s">
        <v>47</v>
      </c>
      <c r="AB34" s="19">
        <v>1141071091</v>
      </c>
      <c r="AC34" s="27">
        <v>45593</v>
      </c>
      <c r="AD34" s="35" t="s">
        <v>48</v>
      </c>
      <c r="AE34" s="35">
        <v>9</v>
      </c>
      <c r="AF34" s="28" t="s">
        <v>696</v>
      </c>
      <c r="AG34" s="29">
        <v>23700</v>
      </c>
      <c r="AH34" s="39">
        <f t="shared" si="0"/>
        <v>0</v>
      </c>
      <c r="AI34" s="28" t="s">
        <v>1626</v>
      </c>
      <c r="AJ34" s="28" t="s">
        <v>49</v>
      </c>
    </row>
    <row r="35" spans="1:36" x14ac:dyDescent="0.25">
      <c r="A35" s="19" t="s">
        <v>412</v>
      </c>
      <c r="B35" s="19" t="s">
        <v>702</v>
      </c>
      <c r="C35" s="20">
        <v>45536</v>
      </c>
      <c r="D35" s="18" t="s">
        <v>37</v>
      </c>
      <c r="E35" s="19" t="s">
        <v>703</v>
      </c>
      <c r="F35" s="21">
        <v>45552</v>
      </c>
      <c r="G35" s="21">
        <v>45916</v>
      </c>
      <c r="H35" s="22" t="s">
        <v>704</v>
      </c>
      <c r="I35" s="23" t="s">
        <v>705</v>
      </c>
      <c r="J35" s="22" t="s">
        <v>377</v>
      </c>
      <c r="K35" s="19" t="s">
        <v>706</v>
      </c>
      <c r="L35" s="19" t="s">
        <v>707</v>
      </c>
      <c r="M35" s="19" t="s">
        <v>708</v>
      </c>
      <c r="N35" s="19" t="s">
        <v>702</v>
      </c>
      <c r="O35" s="35" t="s">
        <v>132</v>
      </c>
      <c r="P35" s="19" t="s">
        <v>133</v>
      </c>
      <c r="Q35" s="19" t="s">
        <v>709</v>
      </c>
      <c r="R35" s="33">
        <v>44461</v>
      </c>
      <c r="S35" s="33">
        <v>46300</v>
      </c>
      <c r="T35" s="24">
        <v>1830000</v>
      </c>
      <c r="U35" s="19">
        <v>20</v>
      </c>
      <c r="V35" s="37">
        <v>366000</v>
      </c>
      <c r="W35" s="37">
        <v>1464000</v>
      </c>
      <c r="X35" s="26">
        <v>2.5</v>
      </c>
      <c r="Y35" s="37">
        <v>36600</v>
      </c>
      <c r="Z35" s="19"/>
      <c r="AA35" s="19" t="s">
        <v>47</v>
      </c>
      <c r="AB35" s="19">
        <v>1141071091</v>
      </c>
      <c r="AC35" s="27">
        <v>45593</v>
      </c>
      <c r="AD35" s="35" t="s">
        <v>48</v>
      </c>
      <c r="AE35" s="35">
        <v>9</v>
      </c>
      <c r="AF35" s="28" t="s">
        <v>703</v>
      </c>
      <c r="AG35" s="29">
        <v>36600</v>
      </c>
      <c r="AH35" s="39">
        <f t="shared" si="0"/>
        <v>0</v>
      </c>
      <c r="AI35" s="28" t="s">
        <v>1626</v>
      </c>
      <c r="AJ35" s="28" t="s">
        <v>49</v>
      </c>
    </row>
    <row r="36" spans="1:36" x14ac:dyDescent="0.25">
      <c r="A36" s="19" t="s">
        <v>412</v>
      </c>
      <c r="B36" s="19" t="s">
        <v>710</v>
      </c>
      <c r="C36" s="20">
        <v>45536</v>
      </c>
      <c r="D36" s="18" t="s">
        <v>37</v>
      </c>
      <c r="E36" s="19" t="s">
        <v>711</v>
      </c>
      <c r="F36" s="21">
        <v>45552</v>
      </c>
      <c r="G36" s="21">
        <v>45916</v>
      </c>
      <c r="H36" s="22" t="s">
        <v>712</v>
      </c>
      <c r="I36" s="23">
        <v>4230135774829</v>
      </c>
      <c r="J36" s="22" t="s">
        <v>449</v>
      </c>
      <c r="K36" s="19" t="s">
        <v>713</v>
      </c>
      <c r="L36" s="19" t="s">
        <v>714</v>
      </c>
      <c r="M36" s="19" t="s">
        <v>715</v>
      </c>
      <c r="N36" s="19" t="s">
        <v>710</v>
      </c>
      <c r="O36" s="35" t="s">
        <v>44</v>
      </c>
      <c r="P36" s="19" t="s">
        <v>173</v>
      </c>
      <c r="Q36" s="19" t="s">
        <v>716</v>
      </c>
      <c r="R36" s="33">
        <v>44461</v>
      </c>
      <c r="S36" s="33">
        <v>46300</v>
      </c>
      <c r="T36" s="24">
        <v>4788000</v>
      </c>
      <c r="U36" s="19">
        <v>20</v>
      </c>
      <c r="V36" s="37">
        <v>957600</v>
      </c>
      <c r="W36" s="37">
        <v>3830400</v>
      </c>
      <c r="X36" s="26">
        <v>1.5</v>
      </c>
      <c r="Y36" s="37">
        <v>57456</v>
      </c>
      <c r="Z36" s="19"/>
      <c r="AA36" s="19" t="s">
        <v>47</v>
      </c>
      <c r="AB36" s="19">
        <v>1141071091</v>
      </c>
      <c r="AC36" s="27">
        <v>45593</v>
      </c>
      <c r="AD36" s="35" t="s">
        <v>48</v>
      </c>
      <c r="AE36" s="35">
        <v>9</v>
      </c>
      <c r="AF36" s="28" t="s">
        <v>711</v>
      </c>
      <c r="AG36" s="29">
        <v>57456</v>
      </c>
      <c r="AH36" s="39">
        <f t="shared" si="0"/>
        <v>0</v>
      </c>
      <c r="AI36" s="28" t="s">
        <v>1626</v>
      </c>
      <c r="AJ36" s="28" t="s">
        <v>49</v>
      </c>
    </row>
    <row r="37" spans="1:36" x14ac:dyDescent="0.25">
      <c r="A37" s="19" t="s">
        <v>412</v>
      </c>
      <c r="B37" s="19" t="s">
        <v>717</v>
      </c>
      <c r="C37" s="20">
        <v>45536</v>
      </c>
      <c r="D37" s="18" t="s">
        <v>37</v>
      </c>
      <c r="E37" s="19" t="s">
        <v>718</v>
      </c>
      <c r="F37" s="21">
        <v>45553</v>
      </c>
      <c r="G37" s="21">
        <v>45917</v>
      </c>
      <c r="H37" s="22" t="s">
        <v>719</v>
      </c>
      <c r="I37" s="23">
        <v>3110223290155</v>
      </c>
      <c r="J37" s="22" t="s">
        <v>453</v>
      </c>
      <c r="K37" s="19" t="s">
        <v>720</v>
      </c>
      <c r="L37" s="19" t="s">
        <v>721</v>
      </c>
      <c r="M37" s="19" t="s">
        <v>722</v>
      </c>
      <c r="N37" s="19" t="s">
        <v>717</v>
      </c>
      <c r="O37" s="35" t="s">
        <v>57</v>
      </c>
      <c r="P37" s="19" t="s">
        <v>76</v>
      </c>
      <c r="Q37" s="19" t="s">
        <v>723</v>
      </c>
      <c r="R37" s="33">
        <v>44463</v>
      </c>
      <c r="S37" s="33">
        <v>46300</v>
      </c>
      <c r="T37" s="24">
        <v>2703000</v>
      </c>
      <c r="U37" s="19">
        <v>20</v>
      </c>
      <c r="V37" s="37">
        <v>540600</v>
      </c>
      <c r="W37" s="37">
        <v>2162400</v>
      </c>
      <c r="X37" s="26">
        <v>2.5</v>
      </c>
      <c r="Y37" s="37">
        <v>54060</v>
      </c>
      <c r="Z37" s="19"/>
      <c r="AA37" s="19" t="s">
        <v>47</v>
      </c>
      <c r="AB37" s="19">
        <v>1141071091</v>
      </c>
      <c r="AC37" s="27">
        <v>45593</v>
      </c>
      <c r="AD37" s="35" t="s">
        <v>48</v>
      </c>
      <c r="AE37" s="35">
        <v>9</v>
      </c>
      <c r="AF37" s="28" t="s">
        <v>718</v>
      </c>
      <c r="AG37" s="29">
        <v>54060</v>
      </c>
      <c r="AH37" s="39">
        <f t="shared" si="0"/>
        <v>0</v>
      </c>
      <c r="AI37" s="28" t="s">
        <v>1626</v>
      </c>
      <c r="AJ37" s="28" t="s">
        <v>49</v>
      </c>
    </row>
    <row r="38" spans="1:36" x14ac:dyDescent="0.25">
      <c r="A38" s="19" t="s">
        <v>412</v>
      </c>
      <c r="B38" s="19" t="s">
        <v>724</v>
      </c>
      <c r="C38" s="20">
        <v>45536</v>
      </c>
      <c r="D38" s="18" t="s">
        <v>37</v>
      </c>
      <c r="E38" s="19" t="s">
        <v>725</v>
      </c>
      <c r="F38" s="21">
        <v>45553</v>
      </c>
      <c r="G38" s="21">
        <v>45917</v>
      </c>
      <c r="H38" s="22" t="s">
        <v>726</v>
      </c>
      <c r="I38" s="23">
        <v>3530161548479</v>
      </c>
      <c r="J38" s="22" t="s">
        <v>681</v>
      </c>
      <c r="K38" s="19" t="s">
        <v>727</v>
      </c>
      <c r="L38" s="19" t="s">
        <v>728</v>
      </c>
      <c r="M38" s="19" t="s">
        <v>729</v>
      </c>
      <c r="N38" s="19" t="s">
        <v>724</v>
      </c>
      <c r="O38" s="35" t="s">
        <v>57</v>
      </c>
      <c r="P38" s="19" t="s">
        <v>428</v>
      </c>
      <c r="Q38" s="19" t="s">
        <v>730</v>
      </c>
      <c r="R38" s="33">
        <v>44462</v>
      </c>
      <c r="S38" s="33">
        <v>47031</v>
      </c>
      <c r="T38" s="24">
        <v>3923000</v>
      </c>
      <c r="U38" s="19">
        <v>20</v>
      </c>
      <c r="V38" s="37">
        <v>784600</v>
      </c>
      <c r="W38" s="37">
        <v>3138400</v>
      </c>
      <c r="X38" s="26">
        <v>1.5</v>
      </c>
      <c r="Y38" s="37">
        <v>47076</v>
      </c>
      <c r="Z38" s="19"/>
      <c r="AA38" s="19" t="s">
        <v>47</v>
      </c>
      <c r="AB38" s="19">
        <v>1141071091</v>
      </c>
      <c r="AC38" s="27">
        <v>45593</v>
      </c>
      <c r="AD38" s="35" t="s">
        <v>48</v>
      </c>
      <c r="AE38" s="35">
        <v>9</v>
      </c>
      <c r="AF38" s="28" t="s">
        <v>725</v>
      </c>
      <c r="AG38" s="29">
        <v>47076</v>
      </c>
      <c r="AH38" s="39">
        <f t="shared" si="0"/>
        <v>0</v>
      </c>
      <c r="AI38" s="28" t="s">
        <v>1626</v>
      </c>
      <c r="AJ38" s="28" t="s">
        <v>49</v>
      </c>
    </row>
    <row r="39" spans="1:36" x14ac:dyDescent="0.25">
      <c r="A39" s="19" t="s">
        <v>412</v>
      </c>
      <c r="B39" s="19" t="s">
        <v>731</v>
      </c>
      <c r="C39" s="20">
        <v>45536</v>
      </c>
      <c r="D39" s="18" t="s">
        <v>37</v>
      </c>
      <c r="E39" s="19" t="s">
        <v>732</v>
      </c>
      <c r="F39" s="21">
        <v>45556</v>
      </c>
      <c r="G39" s="21">
        <v>45920</v>
      </c>
      <c r="H39" s="22" t="s">
        <v>733</v>
      </c>
      <c r="I39" s="23" t="s">
        <v>734</v>
      </c>
      <c r="J39" s="22" t="s">
        <v>439</v>
      </c>
      <c r="K39" s="19" t="s">
        <v>735</v>
      </c>
      <c r="L39" s="19" t="s">
        <v>736</v>
      </c>
      <c r="M39" s="19" t="s">
        <v>737</v>
      </c>
      <c r="N39" s="19" t="s">
        <v>731</v>
      </c>
      <c r="O39" s="35" t="s">
        <v>57</v>
      </c>
      <c r="P39" s="19" t="s">
        <v>415</v>
      </c>
      <c r="Q39" s="19" t="s">
        <v>738</v>
      </c>
      <c r="R39" s="33">
        <v>44467</v>
      </c>
      <c r="S39" s="33">
        <v>46300</v>
      </c>
      <c r="T39" s="24">
        <v>1610000</v>
      </c>
      <c r="U39" s="19">
        <v>20</v>
      </c>
      <c r="V39" s="37">
        <v>322000</v>
      </c>
      <c r="W39" s="37">
        <v>1288000</v>
      </c>
      <c r="X39" s="26">
        <v>2.5</v>
      </c>
      <c r="Y39" s="37">
        <v>32200</v>
      </c>
      <c r="Z39" s="19"/>
      <c r="AA39" s="19" t="s">
        <v>47</v>
      </c>
      <c r="AB39" s="19">
        <v>1141071091</v>
      </c>
      <c r="AC39" s="27">
        <v>45593</v>
      </c>
      <c r="AD39" s="35" t="s">
        <v>48</v>
      </c>
      <c r="AE39" s="35">
        <v>9</v>
      </c>
      <c r="AF39" s="28" t="s">
        <v>732</v>
      </c>
      <c r="AG39" s="29">
        <v>32200</v>
      </c>
      <c r="AH39" s="39">
        <f t="shared" si="0"/>
        <v>0</v>
      </c>
      <c r="AI39" s="28" t="s">
        <v>1626</v>
      </c>
      <c r="AJ39" s="28" t="s">
        <v>49</v>
      </c>
    </row>
    <row r="40" spans="1:36" x14ac:dyDescent="0.25">
      <c r="A40" s="19" t="s">
        <v>412</v>
      </c>
      <c r="B40" s="19" t="s">
        <v>739</v>
      </c>
      <c r="C40" s="20">
        <v>45536</v>
      </c>
      <c r="D40" s="18" t="s">
        <v>37</v>
      </c>
      <c r="E40" s="19" t="s">
        <v>740</v>
      </c>
      <c r="F40" s="21">
        <v>45537</v>
      </c>
      <c r="G40" s="21">
        <v>45901</v>
      </c>
      <c r="H40" s="22" t="s">
        <v>741</v>
      </c>
      <c r="I40" s="23">
        <v>4210156975001</v>
      </c>
      <c r="J40" s="22" t="s">
        <v>742</v>
      </c>
      <c r="K40" s="19" t="s">
        <v>743</v>
      </c>
      <c r="L40" s="19" t="s">
        <v>744</v>
      </c>
      <c r="M40" s="19" t="s">
        <v>745</v>
      </c>
      <c r="N40" s="19" t="s">
        <v>739</v>
      </c>
      <c r="O40" s="35" t="s">
        <v>44</v>
      </c>
      <c r="P40" s="19" t="s">
        <v>173</v>
      </c>
      <c r="Q40" s="19" t="s">
        <v>746</v>
      </c>
      <c r="R40" s="33">
        <v>44454</v>
      </c>
      <c r="S40" s="33">
        <v>47001</v>
      </c>
      <c r="T40" s="24">
        <v>1554000</v>
      </c>
      <c r="U40" s="19">
        <v>20</v>
      </c>
      <c r="V40" s="37">
        <v>310800</v>
      </c>
      <c r="W40" s="37">
        <v>1243200</v>
      </c>
      <c r="X40" s="26">
        <v>2.5</v>
      </c>
      <c r="Y40" s="37">
        <v>31080</v>
      </c>
      <c r="Z40" s="19"/>
      <c r="AA40" s="19" t="s">
        <v>47</v>
      </c>
      <c r="AB40" s="19">
        <v>1141071091</v>
      </c>
      <c r="AC40" s="27">
        <v>45593</v>
      </c>
      <c r="AD40" s="35" t="s">
        <v>48</v>
      </c>
      <c r="AE40" s="35">
        <v>0</v>
      </c>
      <c r="AF40" s="28" t="s">
        <v>740</v>
      </c>
      <c r="AG40" s="29">
        <v>31080</v>
      </c>
      <c r="AH40" s="39">
        <f t="shared" si="0"/>
        <v>0</v>
      </c>
      <c r="AI40" s="28" t="s">
        <v>1626</v>
      </c>
      <c r="AJ40" s="28" t="s">
        <v>49</v>
      </c>
    </row>
    <row r="41" spans="1:36" x14ac:dyDescent="0.25">
      <c r="A41" s="19" t="s">
        <v>412</v>
      </c>
      <c r="B41" s="19" t="s">
        <v>747</v>
      </c>
      <c r="C41" s="20">
        <v>45536</v>
      </c>
      <c r="D41" s="18" t="s">
        <v>37</v>
      </c>
      <c r="E41" s="19" t="s">
        <v>748</v>
      </c>
      <c r="F41" s="21">
        <v>45557</v>
      </c>
      <c r="G41" s="21">
        <v>45921</v>
      </c>
      <c r="H41" s="22" t="s">
        <v>749</v>
      </c>
      <c r="I41" s="23">
        <v>3120211852703</v>
      </c>
      <c r="J41" s="22" t="s">
        <v>255</v>
      </c>
      <c r="K41" s="19" t="s">
        <v>750</v>
      </c>
      <c r="L41" s="19" t="s">
        <v>751</v>
      </c>
      <c r="M41" s="19" t="s">
        <v>752</v>
      </c>
      <c r="N41" s="19" t="s">
        <v>747</v>
      </c>
      <c r="O41" s="35" t="s">
        <v>57</v>
      </c>
      <c r="P41" s="19" t="s">
        <v>211</v>
      </c>
      <c r="Q41" s="19" t="s">
        <v>753</v>
      </c>
      <c r="R41" s="33">
        <v>44467</v>
      </c>
      <c r="S41" s="33">
        <v>46300</v>
      </c>
      <c r="T41" s="24">
        <v>1335000</v>
      </c>
      <c r="U41" s="19">
        <v>20</v>
      </c>
      <c r="V41" s="37">
        <v>267000</v>
      </c>
      <c r="W41" s="37">
        <v>1068000</v>
      </c>
      <c r="X41" s="26">
        <v>2.5</v>
      </c>
      <c r="Y41" s="37">
        <v>26700</v>
      </c>
      <c r="Z41" s="19"/>
      <c r="AA41" s="19" t="s">
        <v>47</v>
      </c>
      <c r="AB41" s="19">
        <v>1141071091</v>
      </c>
      <c r="AC41" s="27">
        <v>45593</v>
      </c>
      <c r="AD41" s="35" t="s">
        <v>48</v>
      </c>
      <c r="AE41" s="35">
        <v>39</v>
      </c>
      <c r="AF41" s="28" t="s">
        <v>748</v>
      </c>
      <c r="AG41" s="29">
        <v>26700</v>
      </c>
      <c r="AH41" s="39">
        <f t="shared" si="0"/>
        <v>0</v>
      </c>
      <c r="AI41" s="28" t="s">
        <v>1626</v>
      </c>
      <c r="AJ41" s="28" t="s">
        <v>49</v>
      </c>
    </row>
    <row r="42" spans="1:36" x14ac:dyDescent="0.25">
      <c r="A42" s="19" t="s">
        <v>412</v>
      </c>
      <c r="B42" s="19" t="s">
        <v>754</v>
      </c>
      <c r="C42" s="20">
        <v>45536</v>
      </c>
      <c r="D42" s="18" t="s">
        <v>37</v>
      </c>
      <c r="E42" s="19" t="s">
        <v>755</v>
      </c>
      <c r="F42" s="21">
        <v>45557</v>
      </c>
      <c r="G42" s="21">
        <v>45921</v>
      </c>
      <c r="H42" s="22" t="s">
        <v>756</v>
      </c>
      <c r="I42" s="23">
        <v>3120218456933</v>
      </c>
      <c r="J42" s="22" t="s">
        <v>427</v>
      </c>
      <c r="K42" s="19"/>
      <c r="L42" s="19" t="s">
        <v>757</v>
      </c>
      <c r="M42" s="19" t="s">
        <v>758</v>
      </c>
      <c r="N42" s="19" t="s">
        <v>754</v>
      </c>
      <c r="O42" s="35" t="s">
        <v>57</v>
      </c>
      <c r="P42" s="19" t="s">
        <v>211</v>
      </c>
      <c r="Q42" s="19" t="s">
        <v>759</v>
      </c>
      <c r="R42" s="33">
        <v>44467</v>
      </c>
      <c r="S42" s="33">
        <v>46300</v>
      </c>
      <c r="T42" s="24">
        <v>1259000</v>
      </c>
      <c r="U42" s="19">
        <v>20</v>
      </c>
      <c r="V42" s="37">
        <v>251800</v>
      </c>
      <c r="W42" s="37">
        <v>1007200</v>
      </c>
      <c r="X42" s="26">
        <v>2.5</v>
      </c>
      <c r="Y42" s="37">
        <v>25180</v>
      </c>
      <c r="Z42" s="19"/>
      <c r="AA42" s="19" t="s">
        <v>47</v>
      </c>
      <c r="AB42" s="19">
        <v>1141071091</v>
      </c>
      <c r="AC42" s="27">
        <v>45593</v>
      </c>
      <c r="AD42" s="35" t="s">
        <v>48</v>
      </c>
      <c r="AE42" s="35">
        <v>0</v>
      </c>
      <c r="AF42" s="28" t="s">
        <v>755</v>
      </c>
      <c r="AG42" s="29">
        <v>25180</v>
      </c>
      <c r="AH42" s="39">
        <f t="shared" si="0"/>
        <v>0</v>
      </c>
      <c r="AI42" s="28" t="s">
        <v>1626</v>
      </c>
      <c r="AJ42" s="28" t="s">
        <v>49</v>
      </c>
    </row>
    <row r="43" spans="1:36" x14ac:dyDescent="0.25">
      <c r="A43" s="19" t="s">
        <v>412</v>
      </c>
      <c r="B43" s="19" t="s">
        <v>760</v>
      </c>
      <c r="C43" s="20">
        <v>45536</v>
      </c>
      <c r="D43" s="18" t="s">
        <v>37</v>
      </c>
      <c r="E43" s="19" t="s">
        <v>761</v>
      </c>
      <c r="F43" s="21">
        <v>45557</v>
      </c>
      <c r="G43" s="21">
        <v>45921</v>
      </c>
      <c r="H43" s="22" t="s">
        <v>762</v>
      </c>
      <c r="I43" s="23">
        <v>3520229033295</v>
      </c>
      <c r="J43" s="22" t="s">
        <v>63</v>
      </c>
      <c r="K43" s="19" t="s">
        <v>763</v>
      </c>
      <c r="L43" s="19" t="s">
        <v>764</v>
      </c>
      <c r="M43" s="19" t="s">
        <v>765</v>
      </c>
      <c r="N43" s="19" t="s">
        <v>760</v>
      </c>
      <c r="O43" s="35" t="s">
        <v>57</v>
      </c>
      <c r="P43" s="19" t="s">
        <v>76</v>
      </c>
      <c r="Q43" s="19" t="s">
        <v>766</v>
      </c>
      <c r="R43" s="33">
        <v>44473</v>
      </c>
      <c r="S43" s="33">
        <v>46300</v>
      </c>
      <c r="T43" s="24">
        <v>1674400</v>
      </c>
      <c r="U43" s="19">
        <v>20</v>
      </c>
      <c r="V43" s="37">
        <v>334880</v>
      </c>
      <c r="W43" s="37">
        <v>1339520</v>
      </c>
      <c r="X43" s="26">
        <v>2.5</v>
      </c>
      <c r="Y43" s="37">
        <v>33488</v>
      </c>
      <c r="Z43" s="19"/>
      <c r="AA43" s="19" t="s">
        <v>47</v>
      </c>
      <c r="AB43" s="19">
        <v>1141071091</v>
      </c>
      <c r="AC43" s="27">
        <v>45593</v>
      </c>
      <c r="AD43" s="35" t="s">
        <v>48</v>
      </c>
      <c r="AE43" s="35">
        <v>0</v>
      </c>
      <c r="AF43" s="28" t="s">
        <v>761</v>
      </c>
      <c r="AG43" s="29">
        <v>33488</v>
      </c>
      <c r="AH43" s="39">
        <f t="shared" si="0"/>
        <v>0</v>
      </c>
      <c r="AI43" s="28" t="s">
        <v>1626</v>
      </c>
      <c r="AJ43" s="28" t="s">
        <v>49</v>
      </c>
    </row>
    <row r="44" spans="1:36" x14ac:dyDescent="0.25">
      <c r="A44" s="19" t="s">
        <v>412</v>
      </c>
      <c r="B44" s="19" t="s">
        <v>767</v>
      </c>
      <c r="C44" s="20">
        <v>45536</v>
      </c>
      <c r="D44" s="18" t="s">
        <v>37</v>
      </c>
      <c r="E44" s="19" t="s">
        <v>768</v>
      </c>
      <c r="F44" s="21">
        <v>45557</v>
      </c>
      <c r="G44" s="21">
        <v>45921</v>
      </c>
      <c r="H44" s="22" t="s">
        <v>769</v>
      </c>
      <c r="I44" s="23">
        <v>3520287920947</v>
      </c>
      <c r="J44" s="22" t="s">
        <v>770</v>
      </c>
      <c r="K44" s="19" t="s">
        <v>771</v>
      </c>
      <c r="L44" s="19" t="s">
        <v>772</v>
      </c>
      <c r="M44" s="19" t="s">
        <v>773</v>
      </c>
      <c r="N44" s="19" t="s">
        <v>767</v>
      </c>
      <c r="O44" s="35" t="s">
        <v>57</v>
      </c>
      <c r="P44" s="19" t="s">
        <v>76</v>
      </c>
      <c r="Q44" s="19" t="s">
        <v>774</v>
      </c>
      <c r="R44" s="33">
        <v>44473</v>
      </c>
      <c r="S44" s="33">
        <v>46300</v>
      </c>
      <c r="T44" s="24">
        <v>6876000</v>
      </c>
      <c r="U44" s="19">
        <v>20</v>
      </c>
      <c r="V44" s="37">
        <v>1375200</v>
      </c>
      <c r="W44" s="37">
        <v>5500800</v>
      </c>
      <c r="X44" s="26">
        <v>1.5</v>
      </c>
      <c r="Y44" s="37">
        <v>82512</v>
      </c>
      <c r="Z44" s="19"/>
      <c r="AA44" s="19" t="s">
        <v>47</v>
      </c>
      <c r="AB44" s="19">
        <v>1141071091</v>
      </c>
      <c r="AC44" s="27">
        <v>45593</v>
      </c>
      <c r="AD44" s="35" t="s">
        <v>48</v>
      </c>
      <c r="AE44" s="35">
        <v>0</v>
      </c>
      <c r="AF44" s="28" t="s">
        <v>768</v>
      </c>
      <c r="AG44" s="29">
        <v>82512</v>
      </c>
      <c r="AH44" s="39">
        <f t="shared" si="0"/>
        <v>0</v>
      </c>
      <c r="AI44" s="28" t="s">
        <v>1626</v>
      </c>
      <c r="AJ44" s="28" t="s">
        <v>49</v>
      </c>
    </row>
    <row r="45" spans="1:36" x14ac:dyDescent="0.25">
      <c r="A45" s="19" t="s">
        <v>412</v>
      </c>
      <c r="B45" s="19" t="s">
        <v>775</v>
      </c>
      <c r="C45" s="20">
        <v>45536</v>
      </c>
      <c r="D45" s="18" t="s">
        <v>37</v>
      </c>
      <c r="E45" s="19" t="s">
        <v>776</v>
      </c>
      <c r="F45" s="21">
        <v>45558</v>
      </c>
      <c r="G45" s="21">
        <v>45922</v>
      </c>
      <c r="H45" s="22" t="s">
        <v>777</v>
      </c>
      <c r="I45" s="23" t="s">
        <v>778</v>
      </c>
      <c r="J45" s="22" t="s">
        <v>779</v>
      </c>
      <c r="K45" s="19" t="s">
        <v>780</v>
      </c>
      <c r="L45" s="19" t="s">
        <v>781</v>
      </c>
      <c r="M45" s="19" t="s">
        <v>782</v>
      </c>
      <c r="N45" s="19" t="s">
        <v>775</v>
      </c>
      <c r="O45" s="35" t="s">
        <v>44</v>
      </c>
      <c r="P45" s="19" t="s">
        <v>45</v>
      </c>
      <c r="Q45" s="19" t="s">
        <v>783</v>
      </c>
      <c r="R45" s="33">
        <v>44463</v>
      </c>
      <c r="S45" s="33">
        <v>46300</v>
      </c>
      <c r="T45" s="24">
        <v>6417500</v>
      </c>
      <c r="U45" s="19">
        <v>20</v>
      </c>
      <c r="V45" s="37">
        <v>1283500</v>
      </c>
      <c r="W45" s="37">
        <v>5134000</v>
      </c>
      <c r="X45" s="26">
        <v>1.5</v>
      </c>
      <c r="Y45" s="37">
        <v>77010</v>
      </c>
      <c r="Z45" s="19"/>
      <c r="AA45" s="19" t="s">
        <v>47</v>
      </c>
      <c r="AB45" s="19">
        <v>1141071091</v>
      </c>
      <c r="AC45" s="27">
        <v>45593</v>
      </c>
      <c r="AD45" s="35" t="s">
        <v>48</v>
      </c>
      <c r="AE45" s="35">
        <v>0</v>
      </c>
      <c r="AF45" s="28" t="s">
        <v>776</v>
      </c>
      <c r="AG45" s="29">
        <v>77010</v>
      </c>
      <c r="AH45" s="39">
        <f t="shared" si="0"/>
        <v>0</v>
      </c>
      <c r="AI45" s="28" t="s">
        <v>1626</v>
      </c>
      <c r="AJ45" s="28" t="s">
        <v>49</v>
      </c>
    </row>
    <row r="46" spans="1:36" x14ac:dyDescent="0.25">
      <c r="A46" s="19" t="s">
        <v>412</v>
      </c>
      <c r="B46" s="19" t="s">
        <v>784</v>
      </c>
      <c r="C46" s="20">
        <v>45536</v>
      </c>
      <c r="D46" s="18" t="s">
        <v>37</v>
      </c>
      <c r="E46" s="19" t="s">
        <v>785</v>
      </c>
      <c r="F46" s="21">
        <v>45559</v>
      </c>
      <c r="G46" s="21">
        <v>45923</v>
      </c>
      <c r="H46" s="22" t="s">
        <v>786</v>
      </c>
      <c r="I46" s="23">
        <v>4230184114817</v>
      </c>
      <c r="J46" s="22" t="s">
        <v>681</v>
      </c>
      <c r="K46" s="19" t="s">
        <v>787</v>
      </c>
      <c r="L46" s="19" t="s">
        <v>788</v>
      </c>
      <c r="M46" s="19" t="s">
        <v>789</v>
      </c>
      <c r="N46" s="19" t="s">
        <v>784</v>
      </c>
      <c r="O46" s="35" t="s">
        <v>44</v>
      </c>
      <c r="P46" s="19" t="s">
        <v>667</v>
      </c>
      <c r="Q46" s="19" t="s">
        <v>790</v>
      </c>
      <c r="R46" s="33">
        <v>44468</v>
      </c>
      <c r="S46" s="33">
        <v>46300</v>
      </c>
      <c r="T46" s="24">
        <v>3800000</v>
      </c>
      <c r="U46" s="19">
        <v>20</v>
      </c>
      <c r="V46" s="37">
        <v>760000</v>
      </c>
      <c r="W46" s="37">
        <v>3040000</v>
      </c>
      <c r="X46" s="26">
        <v>1.5</v>
      </c>
      <c r="Y46" s="37">
        <v>45600</v>
      </c>
      <c r="Z46" s="19"/>
      <c r="AA46" s="19" t="s">
        <v>47</v>
      </c>
      <c r="AB46" s="19">
        <v>1141071091</v>
      </c>
      <c r="AC46" s="27">
        <v>45593</v>
      </c>
      <c r="AD46" s="35" t="s">
        <v>48</v>
      </c>
      <c r="AE46" s="35">
        <v>9</v>
      </c>
      <c r="AF46" s="28" t="s">
        <v>785</v>
      </c>
      <c r="AG46" s="29">
        <v>45600</v>
      </c>
      <c r="AH46" s="39">
        <f t="shared" si="0"/>
        <v>0</v>
      </c>
      <c r="AI46" s="28" t="s">
        <v>1626</v>
      </c>
      <c r="AJ46" s="28" t="s">
        <v>49</v>
      </c>
    </row>
    <row r="47" spans="1:36" x14ac:dyDescent="0.25">
      <c r="A47" s="19" t="s">
        <v>412</v>
      </c>
      <c r="B47" s="19" t="s">
        <v>791</v>
      </c>
      <c r="C47" s="20">
        <v>45536</v>
      </c>
      <c r="D47" s="18" t="s">
        <v>37</v>
      </c>
      <c r="E47" s="19" t="s">
        <v>792</v>
      </c>
      <c r="F47" s="21">
        <v>45563</v>
      </c>
      <c r="G47" s="21">
        <v>45927</v>
      </c>
      <c r="H47" s="22" t="s">
        <v>793</v>
      </c>
      <c r="I47" s="23">
        <v>3520298713655</v>
      </c>
      <c r="J47" s="22" t="s">
        <v>439</v>
      </c>
      <c r="K47" s="19" t="s">
        <v>794</v>
      </c>
      <c r="L47" s="19" t="s">
        <v>795</v>
      </c>
      <c r="M47" s="19" t="s">
        <v>796</v>
      </c>
      <c r="N47" s="19" t="s">
        <v>791</v>
      </c>
      <c r="O47" s="35" t="s">
        <v>57</v>
      </c>
      <c r="P47" s="19" t="s">
        <v>76</v>
      </c>
      <c r="Q47" s="19" t="s">
        <v>797</v>
      </c>
      <c r="R47" s="33">
        <v>44474</v>
      </c>
      <c r="S47" s="33">
        <v>46300</v>
      </c>
      <c r="T47" s="24">
        <v>1610000</v>
      </c>
      <c r="U47" s="19">
        <v>20</v>
      </c>
      <c r="V47" s="37">
        <v>322000</v>
      </c>
      <c r="W47" s="37">
        <v>1288000</v>
      </c>
      <c r="X47" s="26">
        <v>2.5</v>
      </c>
      <c r="Y47" s="37">
        <v>32200</v>
      </c>
      <c r="Z47" s="19"/>
      <c r="AA47" s="19" t="s">
        <v>47</v>
      </c>
      <c r="AB47" s="19">
        <v>1141071091</v>
      </c>
      <c r="AC47" s="27">
        <v>45593</v>
      </c>
      <c r="AD47" s="35" t="s">
        <v>48</v>
      </c>
      <c r="AE47" s="35">
        <v>9</v>
      </c>
      <c r="AF47" s="28" t="s">
        <v>792</v>
      </c>
      <c r="AG47" s="29">
        <v>32200</v>
      </c>
      <c r="AH47" s="39">
        <f t="shared" si="0"/>
        <v>0</v>
      </c>
      <c r="AI47" s="28" t="s">
        <v>1626</v>
      </c>
      <c r="AJ47" s="28" t="s">
        <v>49</v>
      </c>
    </row>
    <row r="48" spans="1:36" x14ac:dyDescent="0.25">
      <c r="A48" s="19" t="s">
        <v>412</v>
      </c>
      <c r="B48" s="19" t="s">
        <v>798</v>
      </c>
      <c r="C48" s="20">
        <v>45536</v>
      </c>
      <c r="D48" s="18" t="s">
        <v>37</v>
      </c>
      <c r="E48" s="19" t="s">
        <v>799</v>
      </c>
      <c r="F48" s="21">
        <v>45563</v>
      </c>
      <c r="G48" s="21">
        <v>45927</v>
      </c>
      <c r="H48" s="22" t="s">
        <v>800</v>
      </c>
      <c r="I48" s="23">
        <v>3320270002401</v>
      </c>
      <c r="J48" s="22" t="s">
        <v>255</v>
      </c>
      <c r="K48" s="19" t="s">
        <v>801</v>
      </c>
      <c r="L48" s="19" t="s">
        <v>802</v>
      </c>
      <c r="M48" s="19" t="s">
        <v>803</v>
      </c>
      <c r="N48" s="19" t="s">
        <v>798</v>
      </c>
      <c r="O48" s="35" t="s">
        <v>57</v>
      </c>
      <c r="P48" s="19" t="s">
        <v>76</v>
      </c>
      <c r="Q48" s="19" t="s">
        <v>804</v>
      </c>
      <c r="R48" s="33">
        <v>44469</v>
      </c>
      <c r="S48" s="33">
        <v>46300</v>
      </c>
      <c r="T48" s="24">
        <v>1400000</v>
      </c>
      <c r="U48" s="19">
        <v>20</v>
      </c>
      <c r="V48" s="37">
        <v>280000</v>
      </c>
      <c r="W48" s="37">
        <v>1120000</v>
      </c>
      <c r="X48" s="26">
        <v>2.5</v>
      </c>
      <c r="Y48" s="37">
        <v>28000</v>
      </c>
      <c r="Z48" s="19"/>
      <c r="AA48" s="19" t="s">
        <v>47</v>
      </c>
      <c r="AB48" s="19">
        <v>1141071091</v>
      </c>
      <c r="AC48" s="27">
        <v>45593</v>
      </c>
      <c r="AD48" s="35" t="s">
        <v>48</v>
      </c>
      <c r="AE48" s="35">
        <v>9</v>
      </c>
      <c r="AF48" s="28" t="s">
        <v>799</v>
      </c>
      <c r="AG48" s="29">
        <v>28000</v>
      </c>
      <c r="AH48" s="39">
        <f t="shared" si="0"/>
        <v>0</v>
      </c>
      <c r="AI48" s="28" t="s">
        <v>1626</v>
      </c>
      <c r="AJ48" s="28" t="s">
        <v>49</v>
      </c>
    </row>
    <row r="49" spans="1:36" x14ac:dyDescent="0.25">
      <c r="A49" s="19" t="s">
        <v>412</v>
      </c>
      <c r="B49" s="19" t="s">
        <v>805</v>
      </c>
      <c r="C49" s="20">
        <v>45536</v>
      </c>
      <c r="D49" s="18" t="s">
        <v>37</v>
      </c>
      <c r="E49" s="19" t="s">
        <v>806</v>
      </c>
      <c r="F49" s="21">
        <v>45563</v>
      </c>
      <c r="G49" s="21">
        <v>45927</v>
      </c>
      <c r="H49" s="22" t="s">
        <v>807</v>
      </c>
      <c r="I49" s="23">
        <v>3410460700341</v>
      </c>
      <c r="J49" s="22" t="s">
        <v>454</v>
      </c>
      <c r="K49" s="19" t="s">
        <v>808</v>
      </c>
      <c r="L49" s="19" t="s">
        <v>809</v>
      </c>
      <c r="M49" s="19" t="s">
        <v>810</v>
      </c>
      <c r="N49" s="19" t="s">
        <v>805</v>
      </c>
      <c r="O49" s="35" t="s">
        <v>57</v>
      </c>
      <c r="P49" s="19" t="s">
        <v>76</v>
      </c>
      <c r="Q49" s="19" t="s">
        <v>811</v>
      </c>
      <c r="R49" s="33">
        <v>44473</v>
      </c>
      <c r="S49" s="33">
        <v>46300</v>
      </c>
      <c r="T49" s="24">
        <v>3899000</v>
      </c>
      <c r="U49" s="19">
        <v>20</v>
      </c>
      <c r="V49" s="37">
        <v>779800</v>
      </c>
      <c r="W49" s="37">
        <v>3119200</v>
      </c>
      <c r="X49" s="26">
        <v>1.5</v>
      </c>
      <c r="Y49" s="37">
        <v>46788</v>
      </c>
      <c r="Z49" s="19"/>
      <c r="AA49" s="19" t="s">
        <v>47</v>
      </c>
      <c r="AB49" s="19">
        <v>1141071091</v>
      </c>
      <c r="AC49" s="27">
        <v>45593</v>
      </c>
      <c r="AD49" s="35" t="s">
        <v>48</v>
      </c>
      <c r="AE49" s="35">
        <v>9</v>
      </c>
      <c r="AF49" s="28" t="s">
        <v>806</v>
      </c>
      <c r="AG49" s="29">
        <v>46788</v>
      </c>
      <c r="AH49" s="39">
        <f t="shared" si="0"/>
        <v>0</v>
      </c>
      <c r="AI49" s="28" t="s">
        <v>1626</v>
      </c>
      <c r="AJ49" s="28" t="s">
        <v>49</v>
      </c>
    </row>
    <row r="50" spans="1:36" x14ac:dyDescent="0.25">
      <c r="A50" s="19" t="s">
        <v>412</v>
      </c>
      <c r="B50" s="19" t="s">
        <v>812</v>
      </c>
      <c r="C50" s="20">
        <v>45536</v>
      </c>
      <c r="D50" s="18" t="s">
        <v>37</v>
      </c>
      <c r="E50" s="19" t="s">
        <v>813</v>
      </c>
      <c r="F50" s="21">
        <v>45539</v>
      </c>
      <c r="G50" s="21">
        <v>45903</v>
      </c>
      <c r="H50" s="22" t="s">
        <v>814</v>
      </c>
      <c r="I50" s="23">
        <v>3620318012671</v>
      </c>
      <c r="J50" s="22" t="s">
        <v>452</v>
      </c>
      <c r="K50" s="19" t="s">
        <v>815</v>
      </c>
      <c r="L50" s="19" t="s">
        <v>816</v>
      </c>
      <c r="M50" s="19" t="s">
        <v>817</v>
      </c>
      <c r="N50" s="19" t="s">
        <v>812</v>
      </c>
      <c r="O50" s="35" t="s">
        <v>57</v>
      </c>
      <c r="P50" s="19" t="s">
        <v>211</v>
      </c>
      <c r="Q50" s="19" t="s">
        <v>818</v>
      </c>
      <c r="R50" s="33">
        <v>44454</v>
      </c>
      <c r="S50" s="33">
        <v>46270</v>
      </c>
      <c r="T50" s="24">
        <v>2199000</v>
      </c>
      <c r="U50" s="19">
        <v>20</v>
      </c>
      <c r="V50" s="37">
        <v>439800</v>
      </c>
      <c r="W50" s="37">
        <v>1759200</v>
      </c>
      <c r="X50" s="26">
        <v>2.5</v>
      </c>
      <c r="Y50" s="37">
        <v>43980</v>
      </c>
      <c r="Z50" s="19"/>
      <c r="AA50" s="19" t="s">
        <v>47</v>
      </c>
      <c r="AB50" s="19">
        <v>1141071091</v>
      </c>
      <c r="AC50" s="27">
        <v>45593</v>
      </c>
      <c r="AD50" s="35" t="s">
        <v>48</v>
      </c>
      <c r="AE50" s="35">
        <v>0</v>
      </c>
      <c r="AF50" s="28" t="s">
        <v>813</v>
      </c>
      <c r="AG50" s="29">
        <v>43980</v>
      </c>
      <c r="AH50" s="39">
        <f t="shared" si="0"/>
        <v>0</v>
      </c>
      <c r="AI50" s="28" t="s">
        <v>1626</v>
      </c>
      <c r="AJ50" s="28" t="s">
        <v>49</v>
      </c>
    </row>
    <row r="51" spans="1:36" x14ac:dyDescent="0.25">
      <c r="A51" s="19" t="s">
        <v>412</v>
      </c>
      <c r="B51" s="19" t="s">
        <v>819</v>
      </c>
      <c r="C51" s="20">
        <v>45536</v>
      </c>
      <c r="D51" s="18" t="s">
        <v>37</v>
      </c>
      <c r="E51" s="19" t="s">
        <v>820</v>
      </c>
      <c r="F51" s="21">
        <v>45563</v>
      </c>
      <c r="G51" s="21">
        <v>45927</v>
      </c>
      <c r="H51" s="22" t="s">
        <v>821</v>
      </c>
      <c r="I51" s="23">
        <v>3510249836499</v>
      </c>
      <c r="J51" s="22" t="s">
        <v>822</v>
      </c>
      <c r="K51" s="19" t="s">
        <v>823</v>
      </c>
      <c r="L51" s="19" t="s">
        <v>824</v>
      </c>
      <c r="M51" s="19" t="s">
        <v>825</v>
      </c>
      <c r="N51" s="19" t="s">
        <v>819</v>
      </c>
      <c r="O51" s="35" t="s">
        <v>57</v>
      </c>
      <c r="P51" s="19" t="s">
        <v>826</v>
      </c>
      <c r="Q51" s="19" t="s">
        <v>827</v>
      </c>
      <c r="R51" s="33">
        <v>44469</v>
      </c>
      <c r="S51" s="33">
        <v>46300</v>
      </c>
      <c r="T51" s="24">
        <v>9189000</v>
      </c>
      <c r="U51" s="19">
        <v>20</v>
      </c>
      <c r="V51" s="37">
        <v>1837800</v>
      </c>
      <c r="W51" s="37">
        <v>7351200</v>
      </c>
      <c r="X51" s="26">
        <v>1.5</v>
      </c>
      <c r="Y51" s="37">
        <v>110268</v>
      </c>
      <c r="Z51" s="19"/>
      <c r="AA51" s="19" t="s">
        <v>47</v>
      </c>
      <c r="AB51" s="19">
        <v>1141071091</v>
      </c>
      <c r="AC51" s="27">
        <v>45593</v>
      </c>
      <c r="AD51" s="35" t="s">
        <v>48</v>
      </c>
      <c r="AE51" s="35">
        <v>0</v>
      </c>
      <c r="AF51" s="28" t="s">
        <v>820</v>
      </c>
      <c r="AG51" s="29">
        <v>110268</v>
      </c>
      <c r="AH51" s="39">
        <f t="shared" si="0"/>
        <v>0</v>
      </c>
      <c r="AI51" s="28" t="s">
        <v>1626</v>
      </c>
      <c r="AJ51" s="28" t="s">
        <v>49</v>
      </c>
    </row>
    <row r="52" spans="1:36" x14ac:dyDescent="0.25">
      <c r="A52" s="19" t="s">
        <v>412</v>
      </c>
      <c r="B52" s="19" t="s">
        <v>828</v>
      </c>
      <c r="C52" s="20">
        <v>45536</v>
      </c>
      <c r="D52" s="18" t="s">
        <v>37</v>
      </c>
      <c r="E52" s="19" t="s">
        <v>829</v>
      </c>
      <c r="F52" s="21">
        <v>45563</v>
      </c>
      <c r="G52" s="21">
        <v>45927</v>
      </c>
      <c r="H52" s="22" t="s">
        <v>830</v>
      </c>
      <c r="I52" s="23">
        <v>3640282955841</v>
      </c>
      <c r="J52" s="22" t="s">
        <v>447</v>
      </c>
      <c r="K52" s="19" t="s">
        <v>831</v>
      </c>
      <c r="L52" s="19" t="s">
        <v>832</v>
      </c>
      <c r="M52" s="19" t="s">
        <v>833</v>
      </c>
      <c r="N52" s="19" t="s">
        <v>828</v>
      </c>
      <c r="O52" s="35" t="s">
        <v>57</v>
      </c>
      <c r="P52" s="19" t="s">
        <v>430</v>
      </c>
      <c r="Q52" s="19" t="s">
        <v>834</v>
      </c>
      <c r="R52" s="33">
        <v>44474</v>
      </c>
      <c r="S52" s="33">
        <v>47031</v>
      </c>
      <c r="T52" s="24">
        <v>1760000</v>
      </c>
      <c r="U52" s="19">
        <v>20</v>
      </c>
      <c r="V52" s="37">
        <v>352000</v>
      </c>
      <c r="W52" s="37">
        <v>1408000</v>
      </c>
      <c r="X52" s="26">
        <v>2.5</v>
      </c>
      <c r="Y52" s="37">
        <v>35200</v>
      </c>
      <c r="Z52" s="19"/>
      <c r="AA52" s="19" t="s">
        <v>47</v>
      </c>
      <c r="AB52" s="19">
        <v>1141071091</v>
      </c>
      <c r="AC52" s="27">
        <v>45593</v>
      </c>
      <c r="AD52" s="35" t="s">
        <v>48</v>
      </c>
      <c r="AE52" s="35">
        <v>0</v>
      </c>
      <c r="AF52" s="28" t="s">
        <v>829</v>
      </c>
      <c r="AG52" s="29">
        <v>35200</v>
      </c>
      <c r="AH52" s="39">
        <f t="shared" si="0"/>
        <v>0</v>
      </c>
      <c r="AI52" s="28" t="s">
        <v>1626</v>
      </c>
      <c r="AJ52" s="28" t="s">
        <v>49</v>
      </c>
    </row>
    <row r="53" spans="1:36" x14ac:dyDescent="0.25">
      <c r="A53" s="19" t="s">
        <v>412</v>
      </c>
      <c r="B53" s="19" t="s">
        <v>835</v>
      </c>
      <c r="C53" s="20">
        <v>45536</v>
      </c>
      <c r="D53" s="18" t="s">
        <v>37</v>
      </c>
      <c r="E53" s="19" t="s">
        <v>836</v>
      </c>
      <c r="F53" s="21">
        <v>45564</v>
      </c>
      <c r="G53" s="21">
        <v>45928</v>
      </c>
      <c r="H53" s="22" t="s">
        <v>837</v>
      </c>
      <c r="I53" s="23">
        <v>3520213548281</v>
      </c>
      <c r="J53" s="22" t="s">
        <v>838</v>
      </c>
      <c r="K53" s="19" t="s">
        <v>839</v>
      </c>
      <c r="L53" s="19" t="s">
        <v>840</v>
      </c>
      <c r="M53" s="19" t="s">
        <v>841</v>
      </c>
      <c r="N53" s="19" t="s">
        <v>835</v>
      </c>
      <c r="O53" s="35" t="s">
        <v>57</v>
      </c>
      <c r="P53" s="19" t="s">
        <v>76</v>
      </c>
      <c r="Q53" s="19" t="s">
        <v>842</v>
      </c>
      <c r="R53" s="33">
        <v>44473</v>
      </c>
      <c r="S53" s="33">
        <v>45936</v>
      </c>
      <c r="T53" s="24">
        <v>1750000</v>
      </c>
      <c r="U53" s="19">
        <v>20</v>
      </c>
      <c r="V53" s="37">
        <v>350000</v>
      </c>
      <c r="W53" s="37">
        <v>1400000</v>
      </c>
      <c r="X53" s="26">
        <v>1</v>
      </c>
      <c r="Y53" s="37">
        <v>14000</v>
      </c>
      <c r="Z53" s="19"/>
      <c r="AA53" s="19" t="s">
        <v>47</v>
      </c>
      <c r="AB53" s="19">
        <v>1141071091</v>
      </c>
      <c r="AC53" s="27">
        <v>45593</v>
      </c>
      <c r="AD53" s="35" t="s">
        <v>48</v>
      </c>
      <c r="AE53" s="35">
        <v>9</v>
      </c>
      <c r="AF53" s="28" t="s">
        <v>836</v>
      </c>
      <c r="AG53" s="29">
        <v>14000</v>
      </c>
      <c r="AH53" s="39">
        <f t="shared" si="0"/>
        <v>0</v>
      </c>
      <c r="AI53" s="28" t="s">
        <v>1626</v>
      </c>
      <c r="AJ53" s="28" t="s">
        <v>49</v>
      </c>
    </row>
    <row r="54" spans="1:36" x14ac:dyDescent="0.25">
      <c r="A54" s="19" t="s">
        <v>412</v>
      </c>
      <c r="B54" s="19" t="s">
        <v>843</v>
      </c>
      <c r="C54" s="20">
        <v>45536</v>
      </c>
      <c r="D54" s="18" t="s">
        <v>37</v>
      </c>
      <c r="E54" s="19" t="s">
        <v>844</v>
      </c>
      <c r="F54" s="21">
        <v>45565</v>
      </c>
      <c r="G54" s="21">
        <v>45929</v>
      </c>
      <c r="H54" s="22" t="s">
        <v>845</v>
      </c>
      <c r="I54" s="23">
        <v>3120230336713</v>
      </c>
      <c r="J54" s="22" t="s">
        <v>255</v>
      </c>
      <c r="K54" s="19"/>
      <c r="L54" s="19" t="s">
        <v>846</v>
      </c>
      <c r="M54" s="19" t="s">
        <v>847</v>
      </c>
      <c r="N54" s="19" t="s">
        <v>843</v>
      </c>
      <c r="O54" s="35" t="s">
        <v>57</v>
      </c>
      <c r="P54" s="19" t="s">
        <v>211</v>
      </c>
      <c r="Q54" s="19" t="s">
        <v>848</v>
      </c>
      <c r="R54" s="33">
        <v>44469</v>
      </c>
      <c r="S54" s="33">
        <v>46300</v>
      </c>
      <c r="T54" s="24">
        <v>1335000</v>
      </c>
      <c r="U54" s="19">
        <v>20</v>
      </c>
      <c r="V54" s="37">
        <v>267000</v>
      </c>
      <c r="W54" s="37">
        <v>1068000</v>
      </c>
      <c r="X54" s="26">
        <v>2.5</v>
      </c>
      <c r="Y54" s="37">
        <v>26700</v>
      </c>
      <c r="Z54" s="19"/>
      <c r="AA54" s="19" t="s">
        <v>47</v>
      </c>
      <c r="AB54" s="19">
        <v>1141071091</v>
      </c>
      <c r="AC54" s="27">
        <v>45593</v>
      </c>
      <c r="AD54" s="35" t="s">
        <v>48</v>
      </c>
      <c r="AE54" s="35">
        <v>70</v>
      </c>
      <c r="AF54" s="28" t="s">
        <v>844</v>
      </c>
      <c r="AG54" s="29">
        <v>26700</v>
      </c>
      <c r="AH54" s="39">
        <f t="shared" si="0"/>
        <v>0</v>
      </c>
      <c r="AI54" s="28" t="s">
        <v>1626</v>
      </c>
      <c r="AJ54" s="28" t="s">
        <v>49</v>
      </c>
    </row>
    <row r="55" spans="1:36" x14ac:dyDescent="0.25">
      <c r="A55" s="19" t="s">
        <v>412</v>
      </c>
      <c r="B55" s="19" t="s">
        <v>849</v>
      </c>
      <c r="C55" s="20">
        <v>45536</v>
      </c>
      <c r="D55" s="18" t="s">
        <v>37</v>
      </c>
      <c r="E55" s="19" t="s">
        <v>850</v>
      </c>
      <c r="F55" s="21">
        <v>45565</v>
      </c>
      <c r="G55" s="21">
        <v>45929</v>
      </c>
      <c r="H55" s="22" t="s">
        <v>851</v>
      </c>
      <c r="I55" s="23">
        <v>3520115137728</v>
      </c>
      <c r="J55" s="22" t="s">
        <v>255</v>
      </c>
      <c r="K55" s="19"/>
      <c r="L55" s="19" t="s">
        <v>852</v>
      </c>
      <c r="M55" s="19" t="s">
        <v>853</v>
      </c>
      <c r="N55" s="19" t="s">
        <v>849</v>
      </c>
      <c r="O55" s="35" t="s">
        <v>57</v>
      </c>
      <c r="P55" s="19" t="s">
        <v>76</v>
      </c>
      <c r="Q55" s="19" t="s">
        <v>854</v>
      </c>
      <c r="R55" s="33">
        <v>44473</v>
      </c>
      <c r="S55" s="33">
        <v>46300</v>
      </c>
      <c r="T55" s="24">
        <v>1335000</v>
      </c>
      <c r="U55" s="19">
        <v>20</v>
      </c>
      <c r="V55" s="37">
        <v>267000</v>
      </c>
      <c r="W55" s="37">
        <v>1068000</v>
      </c>
      <c r="X55" s="26">
        <v>2.5</v>
      </c>
      <c r="Y55" s="37">
        <v>26700</v>
      </c>
      <c r="Z55" s="19"/>
      <c r="AA55" s="19" t="s">
        <v>47</v>
      </c>
      <c r="AB55" s="19">
        <v>1141071091</v>
      </c>
      <c r="AC55" s="27">
        <v>45593</v>
      </c>
      <c r="AD55" s="35" t="s">
        <v>48</v>
      </c>
      <c r="AE55" s="35">
        <v>9</v>
      </c>
      <c r="AF55" s="28" t="s">
        <v>850</v>
      </c>
      <c r="AG55" s="29">
        <v>26700</v>
      </c>
      <c r="AH55" s="39">
        <f t="shared" si="0"/>
        <v>0</v>
      </c>
      <c r="AI55" s="28" t="s">
        <v>1626</v>
      </c>
      <c r="AJ55" s="28" t="s">
        <v>49</v>
      </c>
    </row>
    <row r="56" spans="1:36" x14ac:dyDescent="0.25">
      <c r="A56" s="19" t="s">
        <v>412</v>
      </c>
      <c r="B56" s="19" t="s">
        <v>855</v>
      </c>
      <c r="C56" s="20">
        <v>45536</v>
      </c>
      <c r="D56" s="18" t="s">
        <v>37</v>
      </c>
      <c r="E56" s="19" t="s">
        <v>856</v>
      </c>
      <c r="F56" s="21">
        <v>45565</v>
      </c>
      <c r="G56" s="21">
        <v>45929</v>
      </c>
      <c r="H56" s="22" t="s">
        <v>857</v>
      </c>
      <c r="I56" s="23">
        <v>3510118526436</v>
      </c>
      <c r="J56" s="22" t="s">
        <v>441</v>
      </c>
      <c r="K56" s="19" t="s">
        <v>858</v>
      </c>
      <c r="L56" s="19" t="s">
        <v>859</v>
      </c>
      <c r="M56" s="19" t="s">
        <v>860</v>
      </c>
      <c r="N56" s="19" t="s">
        <v>855</v>
      </c>
      <c r="O56" s="35" t="s">
        <v>57</v>
      </c>
      <c r="P56" s="19" t="s">
        <v>76</v>
      </c>
      <c r="Q56" s="19" t="s">
        <v>861</v>
      </c>
      <c r="R56" s="33">
        <v>44473</v>
      </c>
      <c r="S56" s="33">
        <v>46300</v>
      </c>
      <c r="T56" s="24">
        <v>900000</v>
      </c>
      <c r="U56" s="19">
        <v>20</v>
      </c>
      <c r="V56" s="37">
        <v>180000</v>
      </c>
      <c r="W56" s="37">
        <v>720000</v>
      </c>
      <c r="X56" s="26">
        <v>2.5</v>
      </c>
      <c r="Y56" s="37">
        <v>18000</v>
      </c>
      <c r="Z56" s="19"/>
      <c r="AA56" s="19" t="s">
        <v>47</v>
      </c>
      <c r="AB56" s="19">
        <v>1141071091</v>
      </c>
      <c r="AC56" s="27">
        <v>45593</v>
      </c>
      <c r="AD56" s="35" t="s">
        <v>48</v>
      </c>
      <c r="AE56" s="35">
        <v>0</v>
      </c>
      <c r="AF56" s="28" t="s">
        <v>856</v>
      </c>
      <c r="AG56" s="29">
        <v>18000</v>
      </c>
      <c r="AH56" s="39">
        <f t="shared" si="0"/>
        <v>0</v>
      </c>
      <c r="AI56" s="28" t="s">
        <v>1626</v>
      </c>
      <c r="AJ56" s="28" t="s">
        <v>49</v>
      </c>
    </row>
    <row r="57" spans="1:36" x14ac:dyDescent="0.25">
      <c r="A57" s="19" t="s">
        <v>412</v>
      </c>
      <c r="B57" s="19" t="s">
        <v>862</v>
      </c>
      <c r="C57" s="20">
        <v>45536</v>
      </c>
      <c r="D57" s="18" t="s">
        <v>37</v>
      </c>
      <c r="E57" s="19" t="s">
        <v>863</v>
      </c>
      <c r="F57" s="21">
        <v>45565</v>
      </c>
      <c r="G57" s="21">
        <v>45929</v>
      </c>
      <c r="H57" s="22" t="s">
        <v>864</v>
      </c>
      <c r="I57" s="23">
        <v>3520278696403</v>
      </c>
      <c r="J57" s="22" t="s">
        <v>444</v>
      </c>
      <c r="K57" s="19" t="s">
        <v>865</v>
      </c>
      <c r="L57" s="19" t="s">
        <v>866</v>
      </c>
      <c r="M57" s="19" t="s">
        <v>867</v>
      </c>
      <c r="N57" s="19" t="s">
        <v>862</v>
      </c>
      <c r="O57" s="35" t="s">
        <v>57</v>
      </c>
      <c r="P57" s="19" t="s">
        <v>76</v>
      </c>
      <c r="Q57" s="19" t="s">
        <v>868</v>
      </c>
      <c r="R57" s="33">
        <v>44475</v>
      </c>
      <c r="S57" s="33">
        <v>46300</v>
      </c>
      <c r="T57" s="24">
        <v>1510000</v>
      </c>
      <c r="U57" s="19">
        <v>20</v>
      </c>
      <c r="V57" s="37">
        <v>302000</v>
      </c>
      <c r="W57" s="37">
        <v>1208000</v>
      </c>
      <c r="X57" s="26">
        <v>2.5</v>
      </c>
      <c r="Y57" s="37">
        <v>30200</v>
      </c>
      <c r="Z57" s="19"/>
      <c r="AA57" s="19" t="s">
        <v>47</v>
      </c>
      <c r="AB57" s="19">
        <v>1141071091</v>
      </c>
      <c r="AC57" s="27">
        <v>45593</v>
      </c>
      <c r="AD57" s="35" t="s">
        <v>48</v>
      </c>
      <c r="AE57" s="35">
        <v>9</v>
      </c>
      <c r="AF57" s="28" t="s">
        <v>863</v>
      </c>
      <c r="AG57" s="29">
        <v>30200</v>
      </c>
      <c r="AH57" s="39">
        <f t="shared" si="0"/>
        <v>0</v>
      </c>
      <c r="AI57" s="28" t="s">
        <v>1626</v>
      </c>
      <c r="AJ57" s="28" t="s">
        <v>49</v>
      </c>
    </row>
    <row r="58" spans="1:36" x14ac:dyDescent="0.25">
      <c r="A58" s="19" t="s">
        <v>412</v>
      </c>
      <c r="B58" s="19" t="s">
        <v>869</v>
      </c>
      <c r="C58" s="20">
        <v>45536</v>
      </c>
      <c r="D58" s="18" t="s">
        <v>37</v>
      </c>
      <c r="E58" s="19" t="s">
        <v>870</v>
      </c>
      <c r="F58" s="21">
        <v>45565</v>
      </c>
      <c r="G58" s="21">
        <v>45929</v>
      </c>
      <c r="H58" s="22" t="s">
        <v>871</v>
      </c>
      <c r="I58" s="23">
        <v>3230305383400</v>
      </c>
      <c r="J58" s="22" t="s">
        <v>433</v>
      </c>
      <c r="K58" s="19" t="s">
        <v>872</v>
      </c>
      <c r="L58" s="19" t="s">
        <v>873</v>
      </c>
      <c r="M58" s="19" t="s">
        <v>874</v>
      </c>
      <c r="N58" s="19" t="s">
        <v>869</v>
      </c>
      <c r="O58" s="35" t="s">
        <v>57</v>
      </c>
      <c r="P58" s="19" t="s">
        <v>875</v>
      </c>
      <c r="Q58" s="19" t="s">
        <v>876</v>
      </c>
      <c r="R58" s="33">
        <v>44477</v>
      </c>
      <c r="S58" s="33">
        <v>47031</v>
      </c>
      <c r="T58" s="24">
        <v>1655000</v>
      </c>
      <c r="U58" s="19">
        <v>20</v>
      </c>
      <c r="V58" s="37">
        <v>331000</v>
      </c>
      <c r="W58" s="37">
        <v>1324000</v>
      </c>
      <c r="X58" s="26">
        <v>2.5</v>
      </c>
      <c r="Y58" s="37">
        <v>33100</v>
      </c>
      <c r="Z58" s="19"/>
      <c r="AA58" s="19" t="s">
        <v>47</v>
      </c>
      <c r="AB58" s="19">
        <v>1141071091</v>
      </c>
      <c r="AC58" s="27">
        <v>45593</v>
      </c>
      <c r="AD58" s="35" t="s">
        <v>48</v>
      </c>
      <c r="AE58" s="35">
        <v>0</v>
      </c>
      <c r="AF58" s="28" t="s">
        <v>870</v>
      </c>
      <c r="AG58" s="29">
        <v>33100</v>
      </c>
      <c r="AH58" s="39">
        <f t="shared" si="0"/>
        <v>0</v>
      </c>
      <c r="AI58" s="28" t="s">
        <v>1626</v>
      </c>
      <c r="AJ58" s="28" t="s">
        <v>49</v>
      </c>
    </row>
    <row r="59" spans="1:36" x14ac:dyDescent="0.25">
      <c r="A59" s="19" t="s">
        <v>412</v>
      </c>
      <c r="B59" s="19" t="s">
        <v>877</v>
      </c>
      <c r="C59" s="20">
        <v>45536</v>
      </c>
      <c r="D59" s="18" t="s">
        <v>37</v>
      </c>
      <c r="E59" s="19" t="s">
        <v>878</v>
      </c>
      <c r="F59" s="21">
        <v>45565</v>
      </c>
      <c r="G59" s="21">
        <v>45929</v>
      </c>
      <c r="H59" s="22" t="s">
        <v>879</v>
      </c>
      <c r="I59" s="23">
        <v>3520240964233</v>
      </c>
      <c r="J59" s="22" t="s">
        <v>880</v>
      </c>
      <c r="K59" s="19"/>
      <c r="L59" s="19" t="s">
        <v>881</v>
      </c>
      <c r="M59" s="19" t="s">
        <v>882</v>
      </c>
      <c r="N59" s="19" t="s">
        <v>877</v>
      </c>
      <c r="O59" s="35" t="s">
        <v>57</v>
      </c>
      <c r="P59" s="19" t="s">
        <v>76</v>
      </c>
      <c r="Q59" s="19" t="s">
        <v>883</v>
      </c>
      <c r="R59" s="33">
        <v>44470</v>
      </c>
      <c r="S59" s="33">
        <v>46300</v>
      </c>
      <c r="T59" s="24">
        <v>1830000</v>
      </c>
      <c r="U59" s="19">
        <v>20</v>
      </c>
      <c r="V59" s="37">
        <v>366000</v>
      </c>
      <c r="W59" s="37">
        <v>1464000</v>
      </c>
      <c r="X59" s="26">
        <v>2.5</v>
      </c>
      <c r="Y59" s="37">
        <v>36600</v>
      </c>
      <c r="Z59" s="19"/>
      <c r="AA59" s="19" t="s">
        <v>47</v>
      </c>
      <c r="AB59" s="19">
        <v>1141071091</v>
      </c>
      <c r="AC59" s="27">
        <v>45593</v>
      </c>
      <c r="AD59" s="35" t="s">
        <v>48</v>
      </c>
      <c r="AE59" s="35">
        <v>9</v>
      </c>
      <c r="AF59" s="28" t="s">
        <v>878</v>
      </c>
      <c r="AG59" s="29">
        <v>36600</v>
      </c>
      <c r="AH59" s="39">
        <f t="shared" si="0"/>
        <v>0</v>
      </c>
      <c r="AI59" s="28" t="s">
        <v>1626</v>
      </c>
      <c r="AJ59" s="28" t="s">
        <v>49</v>
      </c>
    </row>
    <row r="60" spans="1:36" x14ac:dyDescent="0.25">
      <c r="A60" s="19" t="s">
        <v>412</v>
      </c>
      <c r="B60" s="19" t="s">
        <v>884</v>
      </c>
      <c r="C60" s="20">
        <v>45536</v>
      </c>
      <c r="D60" s="18" t="s">
        <v>37</v>
      </c>
      <c r="E60" s="19" t="s">
        <v>885</v>
      </c>
      <c r="F60" s="21">
        <v>45541</v>
      </c>
      <c r="G60" s="21">
        <v>45905</v>
      </c>
      <c r="H60" s="22" t="s">
        <v>886</v>
      </c>
      <c r="I60" s="23">
        <v>3520227177189</v>
      </c>
      <c r="J60" s="22" t="s">
        <v>439</v>
      </c>
      <c r="K60" s="19" t="s">
        <v>887</v>
      </c>
      <c r="L60" s="19" t="s">
        <v>888</v>
      </c>
      <c r="M60" s="19" t="s">
        <v>889</v>
      </c>
      <c r="N60" s="19" t="s">
        <v>884</v>
      </c>
      <c r="O60" s="35" t="s">
        <v>57</v>
      </c>
      <c r="P60" s="19" t="s">
        <v>890</v>
      </c>
      <c r="Q60" s="19" t="s">
        <v>891</v>
      </c>
      <c r="R60" s="33">
        <v>44449</v>
      </c>
      <c r="S60" s="33">
        <v>46270</v>
      </c>
      <c r="T60" s="24">
        <v>1610000</v>
      </c>
      <c r="U60" s="19">
        <v>20</v>
      </c>
      <c r="V60" s="37">
        <v>322000</v>
      </c>
      <c r="W60" s="37">
        <v>1288000</v>
      </c>
      <c r="X60" s="26">
        <v>2.5</v>
      </c>
      <c r="Y60" s="37">
        <v>32200</v>
      </c>
      <c r="Z60" s="19"/>
      <c r="AA60" s="19" t="s">
        <v>47</v>
      </c>
      <c r="AB60" s="19">
        <v>1141071091</v>
      </c>
      <c r="AC60" s="27">
        <v>45593</v>
      </c>
      <c r="AD60" s="35" t="s">
        <v>48</v>
      </c>
      <c r="AE60" s="35">
        <v>9</v>
      </c>
      <c r="AF60" s="28" t="s">
        <v>885</v>
      </c>
      <c r="AG60" s="29">
        <v>32200</v>
      </c>
      <c r="AH60" s="39">
        <f t="shared" si="0"/>
        <v>0</v>
      </c>
      <c r="AI60" s="28" t="s">
        <v>1626</v>
      </c>
      <c r="AJ60" s="28" t="s">
        <v>49</v>
      </c>
    </row>
    <row r="61" spans="1:36" x14ac:dyDescent="0.25">
      <c r="A61" s="19" t="s">
        <v>412</v>
      </c>
      <c r="B61" s="19" t="s">
        <v>892</v>
      </c>
      <c r="C61" s="20">
        <v>45536</v>
      </c>
      <c r="D61" s="18" t="s">
        <v>37</v>
      </c>
      <c r="E61" s="19" t="s">
        <v>893</v>
      </c>
      <c r="F61" s="21">
        <v>45541</v>
      </c>
      <c r="G61" s="21">
        <v>45905</v>
      </c>
      <c r="H61" s="22" t="s">
        <v>894</v>
      </c>
      <c r="I61" s="23">
        <v>3520235146297</v>
      </c>
      <c r="J61" s="22" t="s">
        <v>194</v>
      </c>
      <c r="K61" s="19" t="s">
        <v>895</v>
      </c>
      <c r="L61" s="19" t="s">
        <v>896</v>
      </c>
      <c r="M61" s="19" t="s">
        <v>897</v>
      </c>
      <c r="N61" s="19" t="s">
        <v>892</v>
      </c>
      <c r="O61" s="35" t="s">
        <v>57</v>
      </c>
      <c r="P61" s="19" t="s">
        <v>76</v>
      </c>
      <c r="Q61" s="19" t="s">
        <v>898</v>
      </c>
      <c r="R61" s="33">
        <v>44452</v>
      </c>
      <c r="S61" s="33">
        <v>47001</v>
      </c>
      <c r="T61" s="24">
        <v>2700000</v>
      </c>
      <c r="U61" s="19">
        <v>20</v>
      </c>
      <c r="V61" s="37">
        <v>540000</v>
      </c>
      <c r="W61" s="37">
        <v>2160000</v>
      </c>
      <c r="X61" s="26">
        <v>2.5</v>
      </c>
      <c r="Y61" s="37">
        <v>54000</v>
      </c>
      <c r="Z61" s="19"/>
      <c r="AA61" s="19" t="s">
        <v>47</v>
      </c>
      <c r="AB61" s="19">
        <v>1141071091</v>
      </c>
      <c r="AC61" s="27">
        <v>45593</v>
      </c>
      <c r="AD61" s="35" t="s">
        <v>48</v>
      </c>
      <c r="AE61" s="35">
        <v>0</v>
      </c>
      <c r="AF61" s="28" t="s">
        <v>893</v>
      </c>
      <c r="AG61" s="29">
        <v>54000</v>
      </c>
      <c r="AH61" s="39">
        <f t="shared" si="0"/>
        <v>0</v>
      </c>
      <c r="AI61" s="28" t="s">
        <v>1626</v>
      </c>
      <c r="AJ61" s="28" t="s">
        <v>49</v>
      </c>
    </row>
    <row r="62" spans="1:36" x14ac:dyDescent="0.25">
      <c r="A62" s="19" t="s">
        <v>412</v>
      </c>
      <c r="B62" s="19" t="s">
        <v>899</v>
      </c>
      <c r="C62" s="20">
        <v>45536</v>
      </c>
      <c r="D62" s="18" t="s">
        <v>37</v>
      </c>
      <c r="E62" s="19" t="s">
        <v>900</v>
      </c>
      <c r="F62" s="21">
        <v>45542</v>
      </c>
      <c r="G62" s="21">
        <v>45906</v>
      </c>
      <c r="H62" s="22" t="s">
        <v>901</v>
      </c>
      <c r="I62" s="23" t="s">
        <v>902</v>
      </c>
      <c r="J62" s="22" t="s">
        <v>255</v>
      </c>
      <c r="K62" s="19"/>
      <c r="L62" s="19" t="s">
        <v>903</v>
      </c>
      <c r="M62" s="19" t="s">
        <v>904</v>
      </c>
      <c r="N62" s="19" t="s">
        <v>899</v>
      </c>
      <c r="O62" s="35" t="s">
        <v>57</v>
      </c>
      <c r="P62" s="19" t="s">
        <v>905</v>
      </c>
      <c r="Q62" s="19" t="s">
        <v>906</v>
      </c>
      <c r="R62" s="33">
        <v>44452</v>
      </c>
      <c r="S62" s="33">
        <v>46270</v>
      </c>
      <c r="T62" s="24">
        <v>1335000</v>
      </c>
      <c r="U62" s="19">
        <v>20</v>
      </c>
      <c r="V62" s="37">
        <v>267000</v>
      </c>
      <c r="W62" s="37">
        <v>1068000</v>
      </c>
      <c r="X62" s="26">
        <v>2.5</v>
      </c>
      <c r="Y62" s="37">
        <v>26700</v>
      </c>
      <c r="Z62" s="19"/>
      <c r="AA62" s="19" t="s">
        <v>47</v>
      </c>
      <c r="AB62" s="19">
        <v>1141071091</v>
      </c>
      <c r="AC62" s="27">
        <v>45593</v>
      </c>
      <c r="AD62" s="35" t="s">
        <v>48</v>
      </c>
      <c r="AE62" s="35">
        <v>0</v>
      </c>
      <c r="AF62" s="28" t="s">
        <v>900</v>
      </c>
      <c r="AG62" s="29">
        <v>26700</v>
      </c>
      <c r="AH62" s="39">
        <f t="shared" si="0"/>
        <v>0</v>
      </c>
      <c r="AI62" s="28" t="s">
        <v>1626</v>
      </c>
      <c r="AJ62" s="28" t="s">
        <v>49</v>
      </c>
    </row>
    <row r="63" spans="1:36" x14ac:dyDescent="0.25">
      <c r="A63" s="19" t="s">
        <v>412</v>
      </c>
      <c r="B63" s="19" t="s">
        <v>907</v>
      </c>
      <c r="C63" s="20">
        <v>45536</v>
      </c>
      <c r="D63" s="18" t="s">
        <v>37</v>
      </c>
      <c r="E63" s="19" t="s">
        <v>908</v>
      </c>
      <c r="F63" s="21">
        <v>45543</v>
      </c>
      <c r="G63" s="21">
        <v>45907</v>
      </c>
      <c r="H63" s="22" t="s">
        <v>909</v>
      </c>
      <c r="I63" s="23">
        <v>4200005135300</v>
      </c>
      <c r="J63" s="22" t="s">
        <v>910</v>
      </c>
      <c r="K63" s="19"/>
      <c r="L63" s="19" t="s">
        <v>911</v>
      </c>
      <c r="M63" s="19" t="s">
        <v>912</v>
      </c>
      <c r="N63" s="19" t="s">
        <v>907</v>
      </c>
      <c r="O63" s="35" t="s">
        <v>44</v>
      </c>
      <c r="P63" s="19" t="s">
        <v>913</v>
      </c>
      <c r="Q63" s="19" t="s">
        <v>914</v>
      </c>
      <c r="R63" s="33">
        <v>44448</v>
      </c>
      <c r="S63" s="33">
        <v>46270</v>
      </c>
      <c r="T63" s="24">
        <v>5390000</v>
      </c>
      <c r="U63" s="19">
        <v>20</v>
      </c>
      <c r="V63" s="37">
        <v>1078000</v>
      </c>
      <c r="W63" s="37">
        <v>4312000</v>
      </c>
      <c r="X63" s="26">
        <v>1.25</v>
      </c>
      <c r="Y63" s="37">
        <v>53900</v>
      </c>
      <c r="Z63" s="19"/>
      <c r="AA63" s="19" t="s">
        <v>47</v>
      </c>
      <c r="AB63" s="19">
        <v>1141071091</v>
      </c>
      <c r="AC63" s="27">
        <v>45593</v>
      </c>
      <c r="AD63" s="35" t="s">
        <v>48</v>
      </c>
      <c r="AE63" s="35">
        <v>9</v>
      </c>
      <c r="AF63" s="28" t="s">
        <v>908</v>
      </c>
      <c r="AG63" s="29">
        <v>53900</v>
      </c>
      <c r="AH63" s="39">
        <f t="shared" si="0"/>
        <v>0</v>
      </c>
      <c r="AI63" s="28" t="s">
        <v>1626</v>
      </c>
      <c r="AJ63" s="28" t="s">
        <v>49</v>
      </c>
    </row>
    <row r="64" spans="1:36" x14ac:dyDescent="0.25">
      <c r="A64" s="19" t="s">
        <v>412</v>
      </c>
      <c r="B64" s="19" t="s">
        <v>915</v>
      </c>
      <c r="C64" s="20">
        <v>45536</v>
      </c>
      <c r="D64" s="18" t="s">
        <v>37</v>
      </c>
      <c r="E64" s="19" t="s">
        <v>916</v>
      </c>
      <c r="F64" s="21">
        <v>45544</v>
      </c>
      <c r="G64" s="21">
        <v>45908</v>
      </c>
      <c r="H64" s="22" t="s">
        <v>917</v>
      </c>
      <c r="I64" s="23">
        <v>3510109754863</v>
      </c>
      <c r="J64" s="22" t="s">
        <v>437</v>
      </c>
      <c r="K64" s="19" t="s">
        <v>918</v>
      </c>
      <c r="L64" s="19" t="s">
        <v>919</v>
      </c>
      <c r="M64" s="19" t="s">
        <v>920</v>
      </c>
      <c r="N64" s="19" t="s">
        <v>915</v>
      </c>
      <c r="O64" s="35" t="s">
        <v>57</v>
      </c>
      <c r="P64" s="19" t="s">
        <v>921</v>
      </c>
      <c r="Q64" s="19" t="s">
        <v>922</v>
      </c>
      <c r="R64" s="33">
        <v>44454</v>
      </c>
      <c r="S64" s="33">
        <v>46270</v>
      </c>
      <c r="T64" s="24">
        <v>4000000</v>
      </c>
      <c r="U64" s="19">
        <v>20</v>
      </c>
      <c r="V64" s="37">
        <v>800000</v>
      </c>
      <c r="W64" s="37">
        <v>3200000</v>
      </c>
      <c r="X64" s="26">
        <v>1.5</v>
      </c>
      <c r="Y64" s="37">
        <v>48000</v>
      </c>
      <c r="Z64" s="19"/>
      <c r="AA64" s="19" t="s">
        <v>47</v>
      </c>
      <c r="AB64" s="19">
        <v>1141071091</v>
      </c>
      <c r="AC64" s="27">
        <v>45593</v>
      </c>
      <c r="AD64" s="35" t="s">
        <v>48</v>
      </c>
      <c r="AE64" s="35">
        <v>9</v>
      </c>
      <c r="AF64" s="28" t="s">
        <v>916</v>
      </c>
      <c r="AG64" s="29">
        <v>48000</v>
      </c>
      <c r="AH64" s="39">
        <f t="shared" si="0"/>
        <v>0</v>
      </c>
      <c r="AI64" s="28" t="s">
        <v>1626</v>
      </c>
      <c r="AJ64" s="28" t="s">
        <v>49</v>
      </c>
    </row>
    <row r="65" spans="1:36" x14ac:dyDescent="0.25">
      <c r="A65" s="19" t="s">
        <v>412</v>
      </c>
      <c r="B65" s="19" t="s">
        <v>923</v>
      </c>
      <c r="C65" s="20">
        <v>45536</v>
      </c>
      <c r="D65" s="18" t="s">
        <v>37</v>
      </c>
      <c r="E65" s="19" t="s">
        <v>924</v>
      </c>
      <c r="F65" s="21">
        <v>45540</v>
      </c>
      <c r="G65" s="21">
        <v>45904</v>
      </c>
      <c r="H65" s="22" t="s">
        <v>925</v>
      </c>
      <c r="I65" s="23">
        <v>3130365545935</v>
      </c>
      <c r="J65" s="22" t="s">
        <v>681</v>
      </c>
      <c r="K65" s="19"/>
      <c r="L65" s="19" t="s">
        <v>926</v>
      </c>
      <c r="M65" s="19" t="s">
        <v>927</v>
      </c>
      <c r="N65" s="19" t="s">
        <v>923</v>
      </c>
      <c r="O65" s="35" t="s">
        <v>57</v>
      </c>
      <c r="P65" s="19" t="s">
        <v>93</v>
      </c>
      <c r="Q65" s="19" t="s">
        <v>928</v>
      </c>
      <c r="R65" s="33">
        <v>44110</v>
      </c>
      <c r="S65" s="33">
        <v>45936</v>
      </c>
      <c r="T65" s="24">
        <v>3922000</v>
      </c>
      <c r="U65" s="19">
        <v>25</v>
      </c>
      <c r="V65" s="37">
        <v>980500</v>
      </c>
      <c r="W65" s="37">
        <v>2941500</v>
      </c>
      <c r="X65" s="26">
        <v>1.5</v>
      </c>
      <c r="Y65" s="37">
        <v>44122.5</v>
      </c>
      <c r="Z65" s="19"/>
      <c r="AA65" s="19" t="s">
        <v>47</v>
      </c>
      <c r="AB65" s="19">
        <v>1141071091</v>
      </c>
      <c r="AC65" s="27">
        <v>45593</v>
      </c>
      <c r="AD65" s="35" t="s">
        <v>48</v>
      </c>
      <c r="AE65" s="35">
        <v>9</v>
      </c>
      <c r="AF65" s="28" t="s">
        <v>924</v>
      </c>
      <c r="AG65" s="29">
        <v>44123</v>
      </c>
      <c r="AH65" s="39">
        <f t="shared" si="0"/>
        <v>-0.5</v>
      </c>
      <c r="AI65" s="28" t="s">
        <v>1626</v>
      </c>
      <c r="AJ65" s="28" t="s">
        <v>49</v>
      </c>
    </row>
    <row r="66" spans="1:36" x14ac:dyDescent="0.25">
      <c r="A66" s="19" t="s">
        <v>412</v>
      </c>
      <c r="B66" s="19" t="s">
        <v>929</v>
      </c>
      <c r="C66" s="20">
        <v>45536</v>
      </c>
      <c r="D66" s="18" t="s">
        <v>37</v>
      </c>
      <c r="E66" s="19" t="s">
        <v>930</v>
      </c>
      <c r="F66" s="21">
        <v>45556</v>
      </c>
      <c r="G66" s="21">
        <v>45920</v>
      </c>
      <c r="H66" s="22" t="s">
        <v>931</v>
      </c>
      <c r="I66" s="23" t="s">
        <v>932</v>
      </c>
      <c r="J66" s="22" t="s">
        <v>437</v>
      </c>
      <c r="K66" s="19" t="s">
        <v>933</v>
      </c>
      <c r="L66" s="19" t="s">
        <v>934</v>
      </c>
      <c r="M66" s="19" t="s">
        <v>935</v>
      </c>
      <c r="N66" s="19" t="s">
        <v>929</v>
      </c>
      <c r="O66" s="35" t="s">
        <v>57</v>
      </c>
      <c r="P66" s="19" t="s">
        <v>422</v>
      </c>
      <c r="Q66" s="19" t="s">
        <v>936</v>
      </c>
      <c r="R66" s="33">
        <v>44097</v>
      </c>
      <c r="S66" s="33">
        <v>46665</v>
      </c>
      <c r="T66" s="24">
        <v>4127000</v>
      </c>
      <c r="U66" s="19">
        <v>25</v>
      </c>
      <c r="V66" s="37">
        <v>1031750</v>
      </c>
      <c r="W66" s="37">
        <v>3095250</v>
      </c>
      <c r="X66" s="26">
        <v>1.5</v>
      </c>
      <c r="Y66" s="37">
        <v>46428.75</v>
      </c>
      <c r="Z66" s="19"/>
      <c r="AA66" s="19" t="s">
        <v>47</v>
      </c>
      <c r="AB66" s="19">
        <v>1141071091</v>
      </c>
      <c r="AC66" s="27">
        <v>45593</v>
      </c>
      <c r="AD66" s="35" t="s">
        <v>48</v>
      </c>
      <c r="AE66" s="35">
        <v>0</v>
      </c>
      <c r="AF66" s="28" t="s">
        <v>930</v>
      </c>
      <c r="AG66" s="29">
        <v>46429</v>
      </c>
      <c r="AH66" s="39">
        <f t="shared" si="0"/>
        <v>-0.25</v>
      </c>
      <c r="AI66" s="28" t="s">
        <v>1626</v>
      </c>
      <c r="AJ66" s="28" t="s">
        <v>49</v>
      </c>
    </row>
    <row r="67" spans="1:36" x14ac:dyDescent="0.25">
      <c r="A67" s="19" t="s">
        <v>412</v>
      </c>
      <c r="B67" s="19" t="s">
        <v>937</v>
      </c>
      <c r="C67" s="20">
        <v>45536</v>
      </c>
      <c r="D67" s="18" t="s">
        <v>37</v>
      </c>
      <c r="E67" s="19" t="s">
        <v>938</v>
      </c>
      <c r="F67" s="21">
        <v>45556</v>
      </c>
      <c r="G67" s="21">
        <v>45920</v>
      </c>
      <c r="H67" s="22" t="s">
        <v>931</v>
      </c>
      <c r="I67" s="23">
        <v>6110139659511</v>
      </c>
      <c r="J67" s="22" t="s">
        <v>446</v>
      </c>
      <c r="K67" s="19" t="s">
        <v>939</v>
      </c>
      <c r="L67" s="19" t="s">
        <v>940</v>
      </c>
      <c r="M67" s="19" t="s">
        <v>941</v>
      </c>
      <c r="N67" s="19" t="s">
        <v>937</v>
      </c>
      <c r="O67" s="35" t="s">
        <v>132</v>
      </c>
      <c r="P67" s="19" t="s">
        <v>133</v>
      </c>
      <c r="Q67" s="19" t="s">
        <v>942</v>
      </c>
      <c r="R67" s="33">
        <v>44098</v>
      </c>
      <c r="S67" s="33">
        <v>45936</v>
      </c>
      <c r="T67" s="24">
        <v>2200000</v>
      </c>
      <c r="U67" s="19">
        <v>25</v>
      </c>
      <c r="V67" s="37">
        <v>550000</v>
      </c>
      <c r="W67" s="37">
        <v>1650000</v>
      </c>
      <c r="X67" s="26">
        <v>3.75</v>
      </c>
      <c r="Y67" s="37">
        <v>61875</v>
      </c>
      <c r="Z67" s="19"/>
      <c r="AA67" s="19" t="s">
        <v>47</v>
      </c>
      <c r="AB67" s="19">
        <v>1141071091</v>
      </c>
      <c r="AC67" s="27">
        <v>45593</v>
      </c>
      <c r="AD67" s="35" t="s">
        <v>48</v>
      </c>
      <c r="AE67" s="35">
        <v>9</v>
      </c>
      <c r="AF67" s="28" t="s">
        <v>938</v>
      </c>
      <c r="AG67" s="29">
        <v>61875</v>
      </c>
      <c r="AH67" s="39">
        <f t="shared" ref="AH67:AH130" si="1">Y67-AG67</f>
        <v>0</v>
      </c>
      <c r="AI67" s="28" t="s">
        <v>1626</v>
      </c>
      <c r="AJ67" s="28" t="s">
        <v>49</v>
      </c>
    </row>
    <row r="68" spans="1:36" x14ac:dyDescent="0.25">
      <c r="A68" s="19" t="s">
        <v>412</v>
      </c>
      <c r="B68" s="19" t="s">
        <v>943</v>
      </c>
      <c r="C68" s="20">
        <v>45536</v>
      </c>
      <c r="D68" s="18" t="s">
        <v>37</v>
      </c>
      <c r="E68" s="19" t="s">
        <v>944</v>
      </c>
      <c r="F68" s="21">
        <v>45557</v>
      </c>
      <c r="G68" s="21">
        <v>45921</v>
      </c>
      <c r="H68" s="22" t="s">
        <v>945</v>
      </c>
      <c r="I68" s="23">
        <v>3310038178023</v>
      </c>
      <c r="J68" s="22" t="s">
        <v>437</v>
      </c>
      <c r="K68" s="19"/>
      <c r="L68" s="19" t="s">
        <v>946</v>
      </c>
      <c r="M68" s="19" t="s">
        <v>947</v>
      </c>
      <c r="N68" s="19" t="s">
        <v>943</v>
      </c>
      <c r="O68" s="35" t="s">
        <v>57</v>
      </c>
      <c r="P68" s="19" t="s">
        <v>905</v>
      </c>
      <c r="Q68" s="19" t="s">
        <v>948</v>
      </c>
      <c r="R68" s="33">
        <v>44102</v>
      </c>
      <c r="S68" s="33">
        <v>45936</v>
      </c>
      <c r="T68" s="24">
        <v>4133500</v>
      </c>
      <c r="U68" s="19">
        <v>25</v>
      </c>
      <c r="V68" s="37">
        <v>1033375</v>
      </c>
      <c r="W68" s="37">
        <v>3100125</v>
      </c>
      <c r="X68" s="26">
        <v>1.5</v>
      </c>
      <c r="Y68" s="37">
        <v>46501.875</v>
      </c>
      <c r="Z68" s="19"/>
      <c r="AA68" s="19" t="s">
        <v>47</v>
      </c>
      <c r="AB68" s="19">
        <v>1141071091</v>
      </c>
      <c r="AC68" s="27">
        <v>45593</v>
      </c>
      <c r="AD68" s="35" t="s">
        <v>48</v>
      </c>
      <c r="AE68" s="35">
        <v>9</v>
      </c>
      <c r="AF68" s="28" t="s">
        <v>944</v>
      </c>
      <c r="AG68" s="29">
        <v>46502</v>
      </c>
      <c r="AH68" s="39">
        <f t="shared" si="1"/>
        <v>-0.125</v>
      </c>
      <c r="AI68" s="28" t="s">
        <v>1626</v>
      </c>
      <c r="AJ68" s="28" t="s">
        <v>49</v>
      </c>
    </row>
    <row r="69" spans="1:36" x14ac:dyDescent="0.25">
      <c r="A69" s="19" t="s">
        <v>412</v>
      </c>
      <c r="B69" s="19" t="s">
        <v>949</v>
      </c>
      <c r="C69" s="20">
        <v>45536</v>
      </c>
      <c r="D69" s="18" t="s">
        <v>37</v>
      </c>
      <c r="E69" s="19" t="s">
        <v>950</v>
      </c>
      <c r="F69" s="21">
        <v>45557</v>
      </c>
      <c r="G69" s="21">
        <v>45921</v>
      </c>
      <c r="H69" s="22" t="s">
        <v>951</v>
      </c>
      <c r="I69" s="23">
        <v>3840386301955</v>
      </c>
      <c r="J69" s="22" t="s">
        <v>437</v>
      </c>
      <c r="K69" s="19" t="s">
        <v>952</v>
      </c>
      <c r="L69" s="19" t="s">
        <v>953</v>
      </c>
      <c r="M69" s="19" t="s">
        <v>954</v>
      </c>
      <c r="N69" s="19" t="s">
        <v>949</v>
      </c>
      <c r="O69" s="35" t="s">
        <v>57</v>
      </c>
      <c r="P69" s="19" t="s">
        <v>422</v>
      </c>
      <c r="Q69" s="19" t="s">
        <v>955</v>
      </c>
      <c r="R69" s="33">
        <v>44106</v>
      </c>
      <c r="S69" s="33">
        <v>45936</v>
      </c>
      <c r="T69" s="24">
        <v>4127000</v>
      </c>
      <c r="U69" s="19">
        <v>25</v>
      </c>
      <c r="V69" s="37">
        <v>1031750</v>
      </c>
      <c r="W69" s="37">
        <v>3095250</v>
      </c>
      <c r="X69" s="26">
        <v>1.5</v>
      </c>
      <c r="Y69" s="37">
        <v>46428.75</v>
      </c>
      <c r="Z69" s="19"/>
      <c r="AA69" s="19" t="s">
        <v>47</v>
      </c>
      <c r="AB69" s="19">
        <v>1141071091</v>
      </c>
      <c r="AC69" s="27">
        <v>45593</v>
      </c>
      <c r="AD69" s="35" t="s">
        <v>48</v>
      </c>
      <c r="AE69" s="35">
        <v>9</v>
      </c>
      <c r="AF69" s="28" t="s">
        <v>950</v>
      </c>
      <c r="AG69" s="29">
        <v>46429</v>
      </c>
      <c r="AH69" s="39">
        <f t="shared" si="1"/>
        <v>-0.25</v>
      </c>
      <c r="AI69" s="28" t="s">
        <v>1626</v>
      </c>
      <c r="AJ69" s="28" t="s">
        <v>49</v>
      </c>
    </row>
    <row r="70" spans="1:36" x14ac:dyDescent="0.25">
      <c r="A70" s="19" t="s">
        <v>412</v>
      </c>
      <c r="B70" s="19" t="s">
        <v>956</v>
      </c>
      <c r="C70" s="20">
        <v>45536</v>
      </c>
      <c r="D70" s="18" t="s">
        <v>37</v>
      </c>
      <c r="E70" s="19" t="s">
        <v>957</v>
      </c>
      <c r="F70" s="21">
        <v>45558</v>
      </c>
      <c r="G70" s="21">
        <v>45922</v>
      </c>
      <c r="H70" s="22" t="s">
        <v>958</v>
      </c>
      <c r="I70" s="23">
        <v>3630222065897</v>
      </c>
      <c r="J70" s="22" t="s">
        <v>446</v>
      </c>
      <c r="K70" s="19" t="s">
        <v>959</v>
      </c>
      <c r="L70" s="19" t="s">
        <v>960</v>
      </c>
      <c r="M70" s="19" t="s">
        <v>961</v>
      </c>
      <c r="N70" s="19" t="s">
        <v>956</v>
      </c>
      <c r="O70" s="35" t="s">
        <v>57</v>
      </c>
      <c r="P70" s="19" t="s">
        <v>58</v>
      </c>
      <c r="Q70" s="19" t="s">
        <v>962</v>
      </c>
      <c r="R70" s="33">
        <v>44106</v>
      </c>
      <c r="S70" s="33">
        <v>45936</v>
      </c>
      <c r="T70" s="24">
        <v>2100000</v>
      </c>
      <c r="U70" s="19">
        <v>25</v>
      </c>
      <c r="V70" s="37">
        <v>525000</v>
      </c>
      <c r="W70" s="37">
        <v>1575000</v>
      </c>
      <c r="X70" s="26">
        <v>2.5</v>
      </c>
      <c r="Y70" s="37">
        <v>39375</v>
      </c>
      <c r="Z70" s="19"/>
      <c r="AA70" s="19" t="s">
        <v>47</v>
      </c>
      <c r="AB70" s="19">
        <v>1141071091</v>
      </c>
      <c r="AC70" s="27">
        <v>45593</v>
      </c>
      <c r="AD70" s="35" t="s">
        <v>48</v>
      </c>
      <c r="AE70" s="35">
        <v>0</v>
      </c>
      <c r="AF70" s="28" t="s">
        <v>957</v>
      </c>
      <c r="AG70" s="29">
        <v>39375</v>
      </c>
      <c r="AH70" s="39">
        <f t="shared" si="1"/>
        <v>0</v>
      </c>
      <c r="AI70" s="28" t="s">
        <v>1626</v>
      </c>
      <c r="AJ70" s="28" t="s">
        <v>49</v>
      </c>
    </row>
    <row r="71" spans="1:36" x14ac:dyDescent="0.25">
      <c r="A71" s="19" t="s">
        <v>412</v>
      </c>
      <c r="B71" s="19" t="s">
        <v>963</v>
      </c>
      <c r="C71" s="20">
        <v>45536</v>
      </c>
      <c r="D71" s="18" t="s">
        <v>37</v>
      </c>
      <c r="E71" s="19" t="s">
        <v>964</v>
      </c>
      <c r="F71" s="21">
        <v>45559</v>
      </c>
      <c r="G71" s="21">
        <v>45923</v>
      </c>
      <c r="H71" s="22" t="s">
        <v>965</v>
      </c>
      <c r="I71" s="23">
        <v>3410189145615</v>
      </c>
      <c r="J71" s="22" t="s">
        <v>437</v>
      </c>
      <c r="K71" s="19" t="s">
        <v>966</v>
      </c>
      <c r="L71" s="19" t="s">
        <v>967</v>
      </c>
      <c r="M71" s="19" t="s">
        <v>968</v>
      </c>
      <c r="N71" s="19" t="s">
        <v>963</v>
      </c>
      <c r="O71" s="35" t="s">
        <v>57</v>
      </c>
      <c r="P71" s="19" t="s">
        <v>431</v>
      </c>
      <c r="Q71" s="19" t="s">
        <v>969</v>
      </c>
      <c r="R71" s="33">
        <v>44104</v>
      </c>
      <c r="S71" s="33">
        <v>45936</v>
      </c>
      <c r="T71" s="24">
        <v>3100000</v>
      </c>
      <c r="U71" s="19">
        <v>25</v>
      </c>
      <c r="V71" s="37">
        <v>775000</v>
      </c>
      <c r="W71" s="37">
        <v>2325000</v>
      </c>
      <c r="X71" s="26">
        <v>3.3</v>
      </c>
      <c r="Y71" s="37">
        <v>76725</v>
      </c>
      <c r="Z71" s="19"/>
      <c r="AA71" s="19" t="s">
        <v>47</v>
      </c>
      <c r="AB71" s="19">
        <v>1141071091</v>
      </c>
      <c r="AC71" s="27">
        <v>45593</v>
      </c>
      <c r="AD71" s="35" t="s">
        <v>48</v>
      </c>
      <c r="AE71" s="35">
        <v>39</v>
      </c>
      <c r="AF71" s="28" t="s">
        <v>964</v>
      </c>
      <c r="AG71" s="29">
        <v>76725</v>
      </c>
      <c r="AH71" s="39">
        <f t="shared" si="1"/>
        <v>0</v>
      </c>
      <c r="AI71" s="28" t="s">
        <v>1626</v>
      </c>
      <c r="AJ71" s="28" t="s">
        <v>49</v>
      </c>
    </row>
    <row r="72" spans="1:36" x14ac:dyDescent="0.25">
      <c r="A72" s="19" t="s">
        <v>412</v>
      </c>
      <c r="B72" s="19" t="s">
        <v>970</v>
      </c>
      <c r="C72" s="20">
        <v>45536</v>
      </c>
      <c r="D72" s="18" t="s">
        <v>37</v>
      </c>
      <c r="E72" s="19" t="s">
        <v>971</v>
      </c>
      <c r="F72" s="21">
        <v>45559</v>
      </c>
      <c r="G72" s="21">
        <v>45923</v>
      </c>
      <c r="H72" s="22" t="s">
        <v>972</v>
      </c>
      <c r="I72" s="23">
        <v>3660314459097</v>
      </c>
      <c r="J72" s="22" t="s">
        <v>433</v>
      </c>
      <c r="K72" s="19" t="s">
        <v>973</v>
      </c>
      <c r="L72" s="19" t="s">
        <v>974</v>
      </c>
      <c r="M72" s="19" t="s">
        <v>975</v>
      </c>
      <c r="N72" s="19" t="s">
        <v>970</v>
      </c>
      <c r="O72" s="35" t="s">
        <v>57</v>
      </c>
      <c r="P72" s="19" t="s">
        <v>976</v>
      </c>
      <c r="Q72" s="19" t="s">
        <v>977</v>
      </c>
      <c r="R72" s="33">
        <v>44106</v>
      </c>
      <c r="S72" s="33">
        <v>45936</v>
      </c>
      <c r="T72" s="24">
        <v>1750000</v>
      </c>
      <c r="U72" s="19">
        <v>25</v>
      </c>
      <c r="V72" s="37">
        <v>437500</v>
      </c>
      <c r="W72" s="37">
        <v>1312500</v>
      </c>
      <c r="X72" s="26">
        <v>2.5</v>
      </c>
      <c r="Y72" s="37">
        <v>32812.5</v>
      </c>
      <c r="Z72" s="19"/>
      <c r="AA72" s="19" t="s">
        <v>47</v>
      </c>
      <c r="AB72" s="19">
        <v>1141071091</v>
      </c>
      <c r="AC72" s="27">
        <v>45593</v>
      </c>
      <c r="AD72" s="35" t="s">
        <v>48</v>
      </c>
      <c r="AE72" s="35">
        <v>0</v>
      </c>
      <c r="AF72" s="28" t="s">
        <v>971</v>
      </c>
      <c r="AG72" s="29">
        <v>32813</v>
      </c>
      <c r="AH72" s="39">
        <f t="shared" si="1"/>
        <v>-0.5</v>
      </c>
      <c r="AI72" s="28" t="s">
        <v>1626</v>
      </c>
      <c r="AJ72" s="28" t="s">
        <v>49</v>
      </c>
    </row>
    <row r="73" spans="1:36" x14ac:dyDescent="0.25">
      <c r="A73" s="19" t="s">
        <v>412</v>
      </c>
      <c r="B73" s="19" t="s">
        <v>978</v>
      </c>
      <c r="C73" s="20">
        <v>45536</v>
      </c>
      <c r="D73" s="18" t="s">
        <v>37</v>
      </c>
      <c r="E73" s="19" t="s">
        <v>979</v>
      </c>
      <c r="F73" s="21">
        <v>45561</v>
      </c>
      <c r="G73" s="21">
        <v>45925</v>
      </c>
      <c r="H73" s="22" t="s">
        <v>980</v>
      </c>
      <c r="I73" s="23">
        <v>3610404891613</v>
      </c>
      <c r="J73" s="22" t="s">
        <v>437</v>
      </c>
      <c r="K73" s="19" t="s">
        <v>981</v>
      </c>
      <c r="L73" s="19" t="s">
        <v>982</v>
      </c>
      <c r="M73" s="19" t="s">
        <v>983</v>
      </c>
      <c r="N73" s="19" t="s">
        <v>978</v>
      </c>
      <c r="O73" s="35" t="s">
        <v>57</v>
      </c>
      <c r="P73" s="19" t="s">
        <v>984</v>
      </c>
      <c r="Q73" s="19" t="s">
        <v>985</v>
      </c>
      <c r="R73" s="33">
        <v>44109</v>
      </c>
      <c r="S73" s="33">
        <v>45936</v>
      </c>
      <c r="T73" s="24">
        <v>4052500</v>
      </c>
      <c r="U73" s="19">
        <v>25</v>
      </c>
      <c r="V73" s="37">
        <v>1013125</v>
      </c>
      <c r="W73" s="37">
        <v>3039375</v>
      </c>
      <c r="X73" s="26">
        <v>1.5</v>
      </c>
      <c r="Y73" s="37">
        <v>45590.625</v>
      </c>
      <c r="Z73" s="19"/>
      <c r="AA73" s="19" t="s">
        <v>47</v>
      </c>
      <c r="AB73" s="19">
        <v>1141071091</v>
      </c>
      <c r="AC73" s="27">
        <v>45593</v>
      </c>
      <c r="AD73" s="35" t="s">
        <v>48</v>
      </c>
      <c r="AE73" s="35">
        <v>0</v>
      </c>
      <c r="AF73" s="28" t="s">
        <v>979</v>
      </c>
      <c r="AG73" s="29">
        <v>45591</v>
      </c>
      <c r="AH73" s="39">
        <f t="shared" si="1"/>
        <v>-0.375</v>
      </c>
      <c r="AI73" s="28" t="s">
        <v>1626</v>
      </c>
      <c r="AJ73" s="28" t="s">
        <v>49</v>
      </c>
    </row>
    <row r="74" spans="1:36" x14ac:dyDescent="0.25">
      <c r="A74" s="19" t="s">
        <v>412</v>
      </c>
      <c r="B74" s="19" t="s">
        <v>986</v>
      </c>
      <c r="C74" s="20">
        <v>45536</v>
      </c>
      <c r="D74" s="18" t="s">
        <v>37</v>
      </c>
      <c r="E74" s="19" t="s">
        <v>987</v>
      </c>
      <c r="F74" s="21">
        <v>45563</v>
      </c>
      <c r="G74" s="21">
        <v>45927</v>
      </c>
      <c r="H74" s="22" t="s">
        <v>988</v>
      </c>
      <c r="I74" s="23">
        <v>3640271610673</v>
      </c>
      <c r="J74" s="22" t="s">
        <v>439</v>
      </c>
      <c r="K74" s="19"/>
      <c r="L74" s="19" t="s">
        <v>989</v>
      </c>
      <c r="M74" s="19" t="s">
        <v>990</v>
      </c>
      <c r="N74" s="19" t="s">
        <v>986</v>
      </c>
      <c r="O74" s="35" t="s">
        <v>57</v>
      </c>
      <c r="P74" s="19" t="s">
        <v>430</v>
      </c>
      <c r="Q74" s="19" t="s">
        <v>991</v>
      </c>
      <c r="R74" s="33">
        <v>44106</v>
      </c>
      <c r="S74" s="33">
        <v>45936</v>
      </c>
      <c r="T74" s="24">
        <v>1890000</v>
      </c>
      <c r="U74" s="19">
        <v>25</v>
      </c>
      <c r="V74" s="37">
        <v>472500</v>
      </c>
      <c r="W74" s="37">
        <v>1417500</v>
      </c>
      <c r="X74" s="26">
        <v>3.75</v>
      </c>
      <c r="Y74" s="37">
        <v>53156.25</v>
      </c>
      <c r="Z74" s="19"/>
      <c r="AA74" s="19" t="s">
        <v>47</v>
      </c>
      <c r="AB74" s="19">
        <v>1141071091</v>
      </c>
      <c r="AC74" s="27">
        <v>45593</v>
      </c>
      <c r="AD74" s="35" t="s">
        <v>48</v>
      </c>
      <c r="AE74" s="35">
        <v>9</v>
      </c>
      <c r="AF74" s="28" t="s">
        <v>987</v>
      </c>
      <c r="AG74" s="29">
        <v>53156</v>
      </c>
      <c r="AH74" s="39">
        <f t="shared" si="1"/>
        <v>0.25</v>
      </c>
      <c r="AI74" s="28" t="s">
        <v>1626</v>
      </c>
      <c r="AJ74" s="28" t="s">
        <v>49</v>
      </c>
    </row>
    <row r="75" spans="1:36" x14ac:dyDescent="0.25">
      <c r="A75" s="19" t="s">
        <v>412</v>
      </c>
      <c r="B75" s="19" t="s">
        <v>992</v>
      </c>
      <c r="C75" s="20">
        <v>45536</v>
      </c>
      <c r="D75" s="18" t="s">
        <v>37</v>
      </c>
      <c r="E75" s="19" t="s">
        <v>993</v>
      </c>
      <c r="F75" s="21">
        <v>45542</v>
      </c>
      <c r="G75" s="21">
        <v>45906</v>
      </c>
      <c r="H75" s="22" t="s">
        <v>994</v>
      </c>
      <c r="I75" s="23">
        <v>3310529185713</v>
      </c>
      <c r="J75" s="22" t="s">
        <v>995</v>
      </c>
      <c r="K75" s="19" t="s">
        <v>996</v>
      </c>
      <c r="L75" s="19" t="s">
        <v>997</v>
      </c>
      <c r="M75" s="19" t="s">
        <v>998</v>
      </c>
      <c r="N75" s="19" t="s">
        <v>992</v>
      </c>
      <c r="O75" s="35" t="s">
        <v>132</v>
      </c>
      <c r="P75" s="19" t="s">
        <v>133</v>
      </c>
      <c r="Q75" s="19" t="s">
        <v>999</v>
      </c>
      <c r="R75" s="33">
        <v>44085</v>
      </c>
      <c r="S75" s="33">
        <v>45905</v>
      </c>
      <c r="T75" s="24">
        <v>3000000</v>
      </c>
      <c r="U75" s="19">
        <v>25</v>
      </c>
      <c r="V75" s="37">
        <v>750000</v>
      </c>
      <c r="W75" s="37">
        <v>2250000</v>
      </c>
      <c r="X75" s="26">
        <v>3.5</v>
      </c>
      <c r="Y75" s="37">
        <v>78750.000000000015</v>
      </c>
      <c r="Z75" s="19"/>
      <c r="AA75" s="19" t="s">
        <v>47</v>
      </c>
      <c r="AB75" s="19">
        <v>1141071091</v>
      </c>
      <c r="AC75" s="27">
        <v>45593</v>
      </c>
      <c r="AD75" s="35" t="s">
        <v>48</v>
      </c>
      <c r="AE75" s="35">
        <v>9</v>
      </c>
      <c r="AF75" s="28" t="s">
        <v>993</v>
      </c>
      <c r="AG75" s="29">
        <v>78750</v>
      </c>
      <c r="AH75" s="39">
        <f t="shared" si="1"/>
        <v>0</v>
      </c>
      <c r="AI75" s="28" t="s">
        <v>1626</v>
      </c>
      <c r="AJ75" s="28" t="s">
        <v>49</v>
      </c>
    </row>
    <row r="76" spans="1:36" x14ac:dyDescent="0.25">
      <c r="A76" s="19" t="s">
        <v>412</v>
      </c>
      <c r="B76" s="19" t="s">
        <v>1000</v>
      </c>
      <c r="C76" s="20">
        <v>45536</v>
      </c>
      <c r="D76" s="18" t="s">
        <v>37</v>
      </c>
      <c r="E76" s="19" t="s">
        <v>1001</v>
      </c>
      <c r="F76" s="21">
        <v>45563</v>
      </c>
      <c r="G76" s="21">
        <v>45927</v>
      </c>
      <c r="H76" s="22" t="s">
        <v>1002</v>
      </c>
      <c r="I76" s="23">
        <v>3740563309391</v>
      </c>
      <c r="J76" s="22" t="s">
        <v>1003</v>
      </c>
      <c r="K76" s="19"/>
      <c r="L76" s="19" t="s">
        <v>1004</v>
      </c>
      <c r="M76" s="19" t="s">
        <v>1005</v>
      </c>
      <c r="N76" s="19" t="s">
        <v>1000</v>
      </c>
      <c r="O76" s="35" t="s">
        <v>132</v>
      </c>
      <c r="P76" s="19" t="s">
        <v>133</v>
      </c>
      <c r="Q76" s="19" t="s">
        <v>1006</v>
      </c>
      <c r="R76" s="33">
        <v>44104</v>
      </c>
      <c r="S76" s="33">
        <v>45936</v>
      </c>
      <c r="T76" s="24">
        <v>3800000</v>
      </c>
      <c r="U76" s="19">
        <v>25</v>
      </c>
      <c r="V76" s="37">
        <v>950000</v>
      </c>
      <c r="W76" s="37">
        <v>2850000</v>
      </c>
      <c r="X76" s="26">
        <v>1.5</v>
      </c>
      <c r="Y76" s="37">
        <v>42750</v>
      </c>
      <c r="Z76" s="19"/>
      <c r="AA76" s="19" t="s">
        <v>47</v>
      </c>
      <c r="AB76" s="19">
        <v>1141071091</v>
      </c>
      <c r="AC76" s="27">
        <v>45593</v>
      </c>
      <c r="AD76" s="35" t="s">
        <v>48</v>
      </c>
      <c r="AE76" s="35">
        <v>9</v>
      </c>
      <c r="AF76" s="28" t="s">
        <v>1001</v>
      </c>
      <c r="AG76" s="29">
        <v>42750</v>
      </c>
      <c r="AH76" s="39">
        <f t="shared" si="1"/>
        <v>0</v>
      </c>
      <c r="AI76" s="28" t="s">
        <v>1626</v>
      </c>
      <c r="AJ76" s="28" t="s">
        <v>49</v>
      </c>
    </row>
    <row r="77" spans="1:36" x14ac:dyDescent="0.25">
      <c r="A77" s="19" t="s">
        <v>412</v>
      </c>
      <c r="B77" s="19" t="s">
        <v>1007</v>
      </c>
      <c r="C77" s="20">
        <v>45536</v>
      </c>
      <c r="D77" s="18" t="s">
        <v>37</v>
      </c>
      <c r="E77" s="19" t="s">
        <v>1008</v>
      </c>
      <c r="F77" s="21">
        <v>45563</v>
      </c>
      <c r="G77" s="21">
        <v>45927</v>
      </c>
      <c r="H77" s="22" t="s">
        <v>1009</v>
      </c>
      <c r="I77" s="23">
        <v>3520299452929</v>
      </c>
      <c r="J77" s="22" t="s">
        <v>1010</v>
      </c>
      <c r="K77" s="19" t="s">
        <v>1011</v>
      </c>
      <c r="L77" s="19" t="s">
        <v>1012</v>
      </c>
      <c r="M77" s="19" t="s">
        <v>1013</v>
      </c>
      <c r="N77" s="19" t="s">
        <v>1007</v>
      </c>
      <c r="O77" s="35" t="s">
        <v>57</v>
      </c>
      <c r="P77" s="19" t="s">
        <v>76</v>
      </c>
      <c r="Q77" s="19" t="s">
        <v>1014</v>
      </c>
      <c r="R77" s="33">
        <v>44104</v>
      </c>
      <c r="S77" s="33">
        <v>46665</v>
      </c>
      <c r="T77" s="24">
        <v>2608000</v>
      </c>
      <c r="U77" s="19">
        <v>25</v>
      </c>
      <c r="V77" s="37">
        <v>652000</v>
      </c>
      <c r="W77" s="37">
        <v>1956000</v>
      </c>
      <c r="X77" s="26">
        <v>3.75</v>
      </c>
      <c r="Y77" s="37">
        <v>73350</v>
      </c>
      <c r="Z77" s="19"/>
      <c r="AA77" s="19" t="s">
        <v>47</v>
      </c>
      <c r="AB77" s="19">
        <v>1141071091</v>
      </c>
      <c r="AC77" s="27">
        <v>45593</v>
      </c>
      <c r="AD77" s="35" t="s">
        <v>48</v>
      </c>
      <c r="AE77" s="35">
        <v>0</v>
      </c>
      <c r="AF77" s="28" t="s">
        <v>1008</v>
      </c>
      <c r="AG77" s="29">
        <v>73350</v>
      </c>
      <c r="AH77" s="39">
        <f t="shared" si="1"/>
        <v>0</v>
      </c>
      <c r="AI77" s="28" t="s">
        <v>1626</v>
      </c>
      <c r="AJ77" s="28" t="s">
        <v>49</v>
      </c>
    </row>
    <row r="78" spans="1:36" x14ac:dyDescent="0.25">
      <c r="A78" s="19" t="s">
        <v>412</v>
      </c>
      <c r="B78" s="19" t="s">
        <v>1015</v>
      </c>
      <c r="C78" s="20">
        <v>45536</v>
      </c>
      <c r="D78" s="18" t="s">
        <v>37</v>
      </c>
      <c r="E78" s="19" t="s">
        <v>1016</v>
      </c>
      <c r="F78" s="21">
        <v>45563</v>
      </c>
      <c r="G78" s="21">
        <v>45927</v>
      </c>
      <c r="H78" s="22" t="s">
        <v>1017</v>
      </c>
      <c r="I78" s="23">
        <v>3520193184585</v>
      </c>
      <c r="J78" s="22" t="s">
        <v>439</v>
      </c>
      <c r="K78" s="19" t="s">
        <v>1018</v>
      </c>
      <c r="L78" s="19" t="s">
        <v>1019</v>
      </c>
      <c r="M78" s="19" t="s">
        <v>1020</v>
      </c>
      <c r="N78" s="19" t="s">
        <v>1015</v>
      </c>
      <c r="O78" s="35" t="s">
        <v>57</v>
      </c>
      <c r="P78" s="19" t="s">
        <v>76</v>
      </c>
      <c r="Q78" s="19" t="s">
        <v>1021</v>
      </c>
      <c r="R78" s="33">
        <v>44109</v>
      </c>
      <c r="S78" s="33">
        <v>45936</v>
      </c>
      <c r="T78" s="24">
        <v>1695000</v>
      </c>
      <c r="U78" s="19">
        <v>25</v>
      </c>
      <c r="V78" s="37">
        <v>423750</v>
      </c>
      <c r="W78" s="37">
        <v>1271250</v>
      </c>
      <c r="X78" s="26">
        <v>3.75</v>
      </c>
      <c r="Y78" s="37">
        <v>47671.875</v>
      </c>
      <c r="Z78" s="19"/>
      <c r="AA78" s="19" t="s">
        <v>47</v>
      </c>
      <c r="AB78" s="19">
        <v>1141071091</v>
      </c>
      <c r="AC78" s="27">
        <v>45593</v>
      </c>
      <c r="AD78" s="35" t="s">
        <v>48</v>
      </c>
      <c r="AE78" s="35">
        <v>0</v>
      </c>
      <c r="AF78" s="28" t="s">
        <v>1016</v>
      </c>
      <c r="AG78" s="29">
        <v>47672</v>
      </c>
      <c r="AH78" s="39">
        <f t="shared" si="1"/>
        <v>-0.125</v>
      </c>
      <c r="AI78" s="28" t="s">
        <v>1626</v>
      </c>
      <c r="AJ78" s="28" t="s">
        <v>49</v>
      </c>
    </row>
    <row r="79" spans="1:36" x14ac:dyDescent="0.25">
      <c r="A79" s="19" t="s">
        <v>412</v>
      </c>
      <c r="B79" s="19" t="s">
        <v>1022</v>
      </c>
      <c r="C79" s="20">
        <v>45536</v>
      </c>
      <c r="D79" s="18" t="s">
        <v>37</v>
      </c>
      <c r="E79" s="19" t="s">
        <v>1023</v>
      </c>
      <c r="F79" s="21">
        <v>45564</v>
      </c>
      <c r="G79" s="21">
        <v>45928</v>
      </c>
      <c r="H79" s="22" t="s">
        <v>1024</v>
      </c>
      <c r="I79" s="23">
        <v>3520194004204</v>
      </c>
      <c r="J79" s="22" t="s">
        <v>742</v>
      </c>
      <c r="K79" s="19"/>
      <c r="L79" s="19" t="s">
        <v>1025</v>
      </c>
      <c r="M79" s="19" t="s">
        <v>1026</v>
      </c>
      <c r="N79" s="19" t="s">
        <v>1022</v>
      </c>
      <c r="O79" s="35" t="s">
        <v>57</v>
      </c>
      <c r="P79" s="19" t="s">
        <v>76</v>
      </c>
      <c r="Q79" s="19" t="s">
        <v>1027</v>
      </c>
      <c r="R79" s="33">
        <v>44109</v>
      </c>
      <c r="S79" s="33">
        <v>46665</v>
      </c>
      <c r="T79" s="24">
        <v>1339000</v>
      </c>
      <c r="U79" s="19">
        <v>25</v>
      </c>
      <c r="V79" s="37">
        <v>334750</v>
      </c>
      <c r="W79" s="37">
        <v>1004250</v>
      </c>
      <c r="X79" s="26">
        <v>2.5</v>
      </c>
      <c r="Y79" s="37">
        <v>25106.25</v>
      </c>
      <c r="Z79" s="19"/>
      <c r="AA79" s="19" t="s">
        <v>47</v>
      </c>
      <c r="AB79" s="19">
        <v>1141071091</v>
      </c>
      <c r="AC79" s="27">
        <v>45593</v>
      </c>
      <c r="AD79" s="35" t="s">
        <v>48</v>
      </c>
      <c r="AE79" s="35">
        <v>0</v>
      </c>
      <c r="AF79" s="28" t="s">
        <v>1023</v>
      </c>
      <c r="AG79" s="29">
        <v>25106</v>
      </c>
      <c r="AH79" s="39">
        <f t="shared" si="1"/>
        <v>0.25</v>
      </c>
      <c r="AI79" s="28" t="s">
        <v>1626</v>
      </c>
      <c r="AJ79" s="28" t="s">
        <v>49</v>
      </c>
    </row>
    <row r="80" spans="1:36" x14ac:dyDescent="0.25">
      <c r="A80" s="19" t="s">
        <v>412</v>
      </c>
      <c r="B80" s="19" t="s">
        <v>1028</v>
      </c>
      <c r="C80" s="20">
        <v>45536</v>
      </c>
      <c r="D80" s="18" t="s">
        <v>37</v>
      </c>
      <c r="E80" s="19" t="s">
        <v>1029</v>
      </c>
      <c r="F80" s="21">
        <v>45565</v>
      </c>
      <c r="G80" s="21">
        <v>45929</v>
      </c>
      <c r="H80" s="22" t="s">
        <v>1030</v>
      </c>
      <c r="I80" s="23">
        <v>4220192706887</v>
      </c>
      <c r="J80" s="22" t="s">
        <v>202</v>
      </c>
      <c r="K80" s="19" t="s">
        <v>1031</v>
      </c>
      <c r="L80" s="19" t="s">
        <v>1032</v>
      </c>
      <c r="M80" s="19" t="s">
        <v>1033</v>
      </c>
      <c r="N80" s="19" t="s">
        <v>1028</v>
      </c>
      <c r="O80" s="35" t="s">
        <v>132</v>
      </c>
      <c r="P80" s="19" t="s">
        <v>133</v>
      </c>
      <c r="Q80" s="19" t="s">
        <v>1034</v>
      </c>
      <c r="R80" s="33">
        <v>44105</v>
      </c>
      <c r="S80" s="33">
        <v>46665</v>
      </c>
      <c r="T80" s="24">
        <v>1398000</v>
      </c>
      <c r="U80" s="19">
        <v>25</v>
      </c>
      <c r="V80" s="37">
        <v>349500</v>
      </c>
      <c r="W80" s="37">
        <v>1048500</v>
      </c>
      <c r="X80" s="26">
        <v>2.5</v>
      </c>
      <c r="Y80" s="37">
        <v>26212.5</v>
      </c>
      <c r="Z80" s="19"/>
      <c r="AA80" s="19" t="s">
        <v>47</v>
      </c>
      <c r="AB80" s="19">
        <v>1141071091</v>
      </c>
      <c r="AC80" s="27">
        <v>45593</v>
      </c>
      <c r="AD80" s="35" t="s">
        <v>48</v>
      </c>
      <c r="AE80" s="35">
        <v>0</v>
      </c>
      <c r="AF80" s="28" t="s">
        <v>1029</v>
      </c>
      <c r="AG80" s="29">
        <v>26213</v>
      </c>
      <c r="AH80" s="39">
        <f t="shared" si="1"/>
        <v>-0.5</v>
      </c>
      <c r="AI80" s="28" t="s">
        <v>1626</v>
      </c>
      <c r="AJ80" s="28" t="s">
        <v>49</v>
      </c>
    </row>
    <row r="81" spans="1:36" x14ac:dyDescent="0.25">
      <c r="A81" s="19" t="s">
        <v>412</v>
      </c>
      <c r="B81" s="19" t="s">
        <v>1035</v>
      </c>
      <c r="C81" s="20">
        <v>45536</v>
      </c>
      <c r="D81" s="18" t="s">
        <v>37</v>
      </c>
      <c r="E81" s="19" t="s">
        <v>1036</v>
      </c>
      <c r="F81" s="21">
        <v>45565</v>
      </c>
      <c r="G81" s="21">
        <v>45929</v>
      </c>
      <c r="H81" s="22" t="s">
        <v>1037</v>
      </c>
      <c r="I81" s="23">
        <v>3520248415935</v>
      </c>
      <c r="J81" s="22" t="s">
        <v>435</v>
      </c>
      <c r="K81" s="19" t="s">
        <v>1038</v>
      </c>
      <c r="L81" s="19" t="s">
        <v>1039</v>
      </c>
      <c r="M81" s="19" t="s">
        <v>1040</v>
      </c>
      <c r="N81" s="19" t="s">
        <v>1035</v>
      </c>
      <c r="O81" s="35" t="s">
        <v>57</v>
      </c>
      <c r="P81" s="19" t="s">
        <v>76</v>
      </c>
      <c r="Q81" s="19" t="s">
        <v>1041</v>
      </c>
      <c r="R81" s="33">
        <v>44109</v>
      </c>
      <c r="S81" s="33">
        <v>45936</v>
      </c>
      <c r="T81" s="24">
        <v>1134000</v>
      </c>
      <c r="U81" s="19">
        <v>25</v>
      </c>
      <c r="V81" s="37">
        <v>283500</v>
      </c>
      <c r="W81" s="37">
        <v>850500</v>
      </c>
      <c r="X81" s="26">
        <v>2.5</v>
      </c>
      <c r="Y81" s="37">
        <v>21262.5</v>
      </c>
      <c r="Z81" s="19"/>
      <c r="AA81" s="19" t="s">
        <v>47</v>
      </c>
      <c r="AB81" s="19">
        <v>1141071091</v>
      </c>
      <c r="AC81" s="27">
        <v>45593</v>
      </c>
      <c r="AD81" s="35" t="s">
        <v>48</v>
      </c>
      <c r="AE81" s="35">
        <v>70</v>
      </c>
      <c r="AF81" s="28" t="s">
        <v>1036</v>
      </c>
      <c r="AG81" s="29">
        <v>21263</v>
      </c>
      <c r="AH81" s="39">
        <f t="shared" si="1"/>
        <v>-0.5</v>
      </c>
      <c r="AI81" s="28" t="s">
        <v>1626</v>
      </c>
      <c r="AJ81" s="28" t="s">
        <v>49</v>
      </c>
    </row>
    <row r="82" spans="1:36" x14ac:dyDescent="0.25">
      <c r="A82" s="19" t="s">
        <v>412</v>
      </c>
      <c r="B82" s="19" t="s">
        <v>1042</v>
      </c>
      <c r="C82" s="20">
        <v>45536</v>
      </c>
      <c r="D82" s="18" t="s">
        <v>37</v>
      </c>
      <c r="E82" s="19" t="s">
        <v>1043</v>
      </c>
      <c r="F82" s="21">
        <v>45565</v>
      </c>
      <c r="G82" s="21">
        <v>45929</v>
      </c>
      <c r="H82" s="22" t="s">
        <v>1044</v>
      </c>
      <c r="I82" s="23">
        <v>3540113523971</v>
      </c>
      <c r="J82" s="22" t="s">
        <v>433</v>
      </c>
      <c r="K82" s="19" t="s">
        <v>1045</v>
      </c>
      <c r="L82" s="19" t="s">
        <v>1046</v>
      </c>
      <c r="M82" s="19" t="s">
        <v>1047</v>
      </c>
      <c r="N82" s="19" t="s">
        <v>1042</v>
      </c>
      <c r="O82" s="35" t="s">
        <v>57</v>
      </c>
      <c r="P82" s="19" t="s">
        <v>448</v>
      </c>
      <c r="Q82" s="19" t="s">
        <v>1048</v>
      </c>
      <c r="R82" s="33">
        <v>44109</v>
      </c>
      <c r="S82" s="33">
        <v>46300</v>
      </c>
      <c r="T82" s="24">
        <v>1780000</v>
      </c>
      <c r="U82" s="19">
        <v>25</v>
      </c>
      <c r="V82" s="37">
        <v>445000</v>
      </c>
      <c r="W82" s="37">
        <v>1335000</v>
      </c>
      <c r="X82" s="26">
        <v>2.5</v>
      </c>
      <c r="Y82" s="37">
        <v>33375</v>
      </c>
      <c r="Z82" s="19"/>
      <c r="AA82" s="19" t="s">
        <v>47</v>
      </c>
      <c r="AB82" s="19">
        <v>1141071091</v>
      </c>
      <c r="AC82" s="27">
        <v>45593</v>
      </c>
      <c r="AD82" s="35" t="s">
        <v>48</v>
      </c>
      <c r="AE82" s="35">
        <v>9</v>
      </c>
      <c r="AF82" s="28" t="s">
        <v>1043</v>
      </c>
      <c r="AG82" s="29">
        <v>33375</v>
      </c>
      <c r="AH82" s="39">
        <f t="shared" si="1"/>
        <v>0</v>
      </c>
      <c r="AI82" s="28" t="s">
        <v>1626</v>
      </c>
      <c r="AJ82" s="28" t="s">
        <v>49</v>
      </c>
    </row>
    <row r="83" spans="1:36" x14ac:dyDescent="0.25">
      <c r="A83" s="19" t="s">
        <v>412</v>
      </c>
      <c r="B83" s="19" t="s">
        <v>1049</v>
      </c>
      <c r="C83" s="20">
        <v>45536</v>
      </c>
      <c r="D83" s="18" t="s">
        <v>37</v>
      </c>
      <c r="E83" s="19" t="s">
        <v>1050</v>
      </c>
      <c r="F83" s="21">
        <v>45565</v>
      </c>
      <c r="G83" s="21">
        <v>45929</v>
      </c>
      <c r="H83" s="22" t="s">
        <v>1051</v>
      </c>
      <c r="I83" s="23">
        <v>3640208168281</v>
      </c>
      <c r="J83" s="22" t="s">
        <v>202</v>
      </c>
      <c r="K83" s="19"/>
      <c r="L83" s="19" t="s">
        <v>1052</v>
      </c>
      <c r="M83" s="19" t="s">
        <v>1053</v>
      </c>
      <c r="N83" s="19" t="s">
        <v>1049</v>
      </c>
      <c r="O83" s="35" t="s">
        <v>57</v>
      </c>
      <c r="P83" s="19" t="s">
        <v>430</v>
      </c>
      <c r="Q83" s="19" t="s">
        <v>1054</v>
      </c>
      <c r="R83" s="33">
        <v>44106</v>
      </c>
      <c r="S83" s="33">
        <v>45936</v>
      </c>
      <c r="T83" s="24">
        <v>1398000</v>
      </c>
      <c r="U83" s="19">
        <v>25</v>
      </c>
      <c r="V83" s="37">
        <v>349500</v>
      </c>
      <c r="W83" s="37">
        <v>1048500</v>
      </c>
      <c r="X83" s="26">
        <v>3.75</v>
      </c>
      <c r="Y83" s="37">
        <v>39318.75</v>
      </c>
      <c r="Z83" s="19"/>
      <c r="AA83" s="19" t="s">
        <v>47</v>
      </c>
      <c r="AB83" s="19">
        <v>1141071091</v>
      </c>
      <c r="AC83" s="27">
        <v>45593</v>
      </c>
      <c r="AD83" s="35" t="s">
        <v>48</v>
      </c>
      <c r="AE83" s="35">
        <v>9</v>
      </c>
      <c r="AF83" s="28" t="s">
        <v>1050</v>
      </c>
      <c r="AG83" s="29">
        <v>39319</v>
      </c>
      <c r="AH83" s="39">
        <f t="shared" si="1"/>
        <v>-0.25</v>
      </c>
      <c r="AI83" s="28" t="s">
        <v>1626</v>
      </c>
      <c r="AJ83" s="28" t="s">
        <v>49</v>
      </c>
    </row>
    <row r="84" spans="1:36" x14ac:dyDescent="0.25">
      <c r="A84" s="19" t="s">
        <v>412</v>
      </c>
      <c r="B84" s="19" t="s">
        <v>1055</v>
      </c>
      <c r="C84" s="20">
        <v>45536</v>
      </c>
      <c r="D84" s="18" t="s">
        <v>37</v>
      </c>
      <c r="E84" s="19" t="s">
        <v>1056</v>
      </c>
      <c r="F84" s="21">
        <v>45565</v>
      </c>
      <c r="G84" s="21">
        <v>45929</v>
      </c>
      <c r="H84" s="22" t="s">
        <v>1057</v>
      </c>
      <c r="I84" s="23">
        <v>3630252564987</v>
      </c>
      <c r="J84" s="22" t="s">
        <v>437</v>
      </c>
      <c r="K84" s="19" t="s">
        <v>1058</v>
      </c>
      <c r="L84" s="19" t="s">
        <v>1059</v>
      </c>
      <c r="M84" s="19" t="s">
        <v>1060</v>
      </c>
      <c r="N84" s="19" t="s">
        <v>1055</v>
      </c>
      <c r="O84" s="35" t="s">
        <v>57</v>
      </c>
      <c r="P84" s="19" t="s">
        <v>58</v>
      </c>
      <c r="Q84" s="19" t="s">
        <v>1061</v>
      </c>
      <c r="R84" s="33">
        <v>44109</v>
      </c>
      <c r="S84" s="33">
        <v>45936</v>
      </c>
      <c r="T84" s="24">
        <v>4134500</v>
      </c>
      <c r="U84" s="19">
        <v>25</v>
      </c>
      <c r="V84" s="37">
        <v>1033625</v>
      </c>
      <c r="W84" s="37">
        <v>3100875</v>
      </c>
      <c r="X84" s="26">
        <v>1.5</v>
      </c>
      <c r="Y84" s="37">
        <v>46513.125</v>
      </c>
      <c r="Z84" s="19"/>
      <c r="AA84" s="19" t="s">
        <v>47</v>
      </c>
      <c r="AB84" s="19">
        <v>1141071091</v>
      </c>
      <c r="AC84" s="27">
        <v>45593</v>
      </c>
      <c r="AD84" s="35" t="s">
        <v>48</v>
      </c>
      <c r="AE84" s="35">
        <v>9</v>
      </c>
      <c r="AF84" s="28" t="s">
        <v>1056</v>
      </c>
      <c r="AG84" s="29">
        <v>46513</v>
      </c>
      <c r="AH84" s="39">
        <f t="shared" si="1"/>
        <v>0.125</v>
      </c>
      <c r="AI84" s="28" t="s">
        <v>1626</v>
      </c>
      <c r="AJ84" s="28" t="s">
        <v>49</v>
      </c>
    </row>
    <row r="85" spans="1:36" x14ac:dyDescent="0.25">
      <c r="A85" s="19" t="s">
        <v>412</v>
      </c>
      <c r="B85" s="19" t="s">
        <v>1062</v>
      </c>
      <c r="C85" s="20">
        <v>45536</v>
      </c>
      <c r="D85" s="18" t="s">
        <v>37</v>
      </c>
      <c r="E85" s="19" t="s">
        <v>1063</v>
      </c>
      <c r="F85" s="21">
        <v>45565</v>
      </c>
      <c r="G85" s="21">
        <v>45929</v>
      </c>
      <c r="H85" s="22" t="s">
        <v>1064</v>
      </c>
      <c r="I85" s="23">
        <v>3520223548669</v>
      </c>
      <c r="J85" s="22" t="s">
        <v>555</v>
      </c>
      <c r="K85" s="19"/>
      <c r="L85" s="19" t="s">
        <v>1065</v>
      </c>
      <c r="M85" s="19" t="s">
        <v>1066</v>
      </c>
      <c r="N85" s="19" t="s">
        <v>1062</v>
      </c>
      <c r="O85" s="35" t="s">
        <v>57</v>
      </c>
      <c r="P85" s="19" t="s">
        <v>76</v>
      </c>
      <c r="Q85" s="19" t="s">
        <v>1067</v>
      </c>
      <c r="R85" s="33">
        <v>44109</v>
      </c>
      <c r="S85" s="33">
        <v>46665</v>
      </c>
      <c r="T85" s="24">
        <v>5399000</v>
      </c>
      <c r="U85" s="19">
        <v>25</v>
      </c>
      <c r="V85" s="37">
        <v>1349750</v>
      </c>
      <c r="W85" s="37">
        <v>4049250</v>
      </c>
      <c r="X85" s="26">
        <v>1.5</v>
      </c>
      <c r="Y85" s="37">
        <v>60738.75</v>
      </c>
      <c r="Z85" s="19"/>
      <c r="AA85" s="19" t="s">
        <v>47</v>
      </c>
      <c r="AB85" s="19">
        <v>1141071091</v>
      </c>
      <c r="AC85" s="27">
        <v>45593</v>
      </c>
      <c r="AD85" s="35" t="s">
        <v>48</v>
      </c>
      <c r="AE85" s="35">
        <v>0</v>
      </c>
      <c r="AF85" s="28" t="s">
        <v>1063</v>
      </c>
      <c r="AG85" s="29">
        <v>60739</v>
      </c>
      <c r="AH85" s="39">
        <f t="shared" si="1"/>
        <v>-0.25</v>
      </c>
      <c r="AI85" s="28" t="s">
        <v>1626</v>
      </c>
      <c r="AJ85" s="28" t="s">
        <v>49</v>
      </c>
    </row>
    <row r="86" spans="1:36" x14ac:dyDescent="0.25">
      <c r="A86" s="19" t="s">
        <v>412</v>
      </c>
      <c r="B86" s="19" t="s">
        <v>1068</v>
      </c>
      <c r="C86" s="20">
        <v>45536</v>
      </c>
      <c r="D86" s="18" t="s">
        <v>37</v>
      </c>
      <c r="E86" s="19" t="s">
        <v>1069</v>
      </c>
      <c r="F86" s="21">
        <v>45543</v>
      </c>
      <c r="G86" s="21">
        <v>45907</v>
      </c>
      <c r="H86" s="22" t="s">
        <v>1070</v>
      </c>
      <c r="I86" s="23">
        <v>2120385760575</v>
      </c>
      <c r="J86" s="22" t="s">
        <v>437</v>
      </c>
      <c r="K86" s="19" t="s">
        <v>1071</v>
      </c>
      <c r="L86" s="19" t="s">
        <v>1072</v>
      </c>
      <c r="M86" s="19" t="s">
        <v>1073</v>
      </c>
      <c r="N86" s="19" t="s">
        <v>1068</v>
      </c>
      <c r="O86" s="35" t="s">
        <v>132</v>
      </c>
      <c r="P86" s="19" t="s">
        <v>1074</v>
      </c>
      <c r="Q86" s="19" t="s">
        <v>1075</v>
      </c>
      <c r="R86" s="33">
        <v>44083</v>
      </c>
      <c r="S86" s="33">
        <v>45905</v>
      </c>
      <c r="T86" s="24">
        <v>3600000</v>
      </c>
      <c r="U86" s="19">
        <v>25</v>
      </c>
      <c r="V86" s="37">
        <v>900000</v>
      </c>
      <c r="W86" s="37">
        <v>2700000</v>
      </c>
      <c r="X86" s="26">
        <v>1.5</v>
      </c>
      <c r="Y86" s="37">
        <v>40500</v>
      </c>
      <c r="Z86" s="19"/>
      <c r="AA86" s="19" t="s">
        <v>47</v>
      </c>
      <c r="AB86" s="19">
        <v>1141071091</v>
      </c>
      <c r="AC86" s="27">
        <v>45593</v>
      </c>
      <c r="AD86" s="35" t="s">
        <v>48</v>
      </c>
      <c r="AE86" s="35">
        <v>70</v>
      </c>
      <c r="AF86" s="28" t="s">
        <v>1069</v>
      </c>
      <c r="AG86" s="29">
        <v>40500</v>
      </c>
      <c r="AH86" s="39">
        <f t="shared" si="1"/>
        <v>0</v>
      </c>
      <c r="AI86" s="28" t="s">
        <v>1626</v>
      </c>
      <c r="AJ86" s="28" t="s">
        <v>49</v>
      </c>
    </row>
    <row r="87" spans="1:36" x14ac:dyDescent="0.25">
      <c r="A87" s="19" t="s">
        <v>412</v>
      </c>
      <c r="B87" s="19" t="s">
        <v>1076</v>
      </c>
      <c r="C87" s="20">
        <v>45536</v>
      </c>
      <c r="D87" s="18" t="s">
        <v>37</v>
      </c>
      <c r="E87" s="19" t="s">
        <v>1077</v>
      </c>
      <c r="F87" s="21">
        <v>45565</v>
      </c>
      <c r="G87" s="21">
        <v>45929</v>
      </c>
      <c r="H87" s="22" t="s">
        <v>1078</v>
      </c>
      <c r="I87" s="23">
        <v>3310390919291</v>
      </c>
      <c r="J87" s="22" t="s">
        <v>202</v>
      </c>
      <c r="K87" s="19" t="s">
        <v>1079</v>
      </c>
      <c r="L87" s="19" t="s">
        <v>1080</v>
      </c>
      <c r="M87" s="19" t="s">
        <v>1081</v>
      </c>
      <c r="N87" s="19" t="s">
        <v>1076</v>
      </c>
      <c r="O87" s="35" t="s">
        <v>57</v>
      </c>
      <c r="P87" s="19" t="s">
        <v>67</v>
      </c>
      <c r="Q87" s="19" t="s">
        <v>1082</v>
      </c>
      <c r="R87" s="33">
        <v>44109</v>
      </c>
      <c r="S87" s="33">
        <v>45936</v>
      </c>
      <c r="T87" s="24">
        <v>1398000</v>
      </c>
      <c r="U87" s="19">
        <v>25</v>
      </c>
      <c r="V87" s="37">
        <v>349500</v>
      </c>
      <c r="W87" s="37">
        <v>1048500</v>
      </c>
      <c r="X87" s="26">
        <v>2.5</v>
      </c>
      <c r="Y87" s="37">
        <v>26212.5</v>
      </c>
      <c r="Z87" s="19"/>
      <c r="AA87" s="19" t="s">
        <v>47</v>
      </c>
      <c r="AB87" s="19">
        <v>1141071091</v>
      </c>
      <c r="AC87" s="27">
        <v>45593</v>
      </c>
      <c r="AD87" s="35" t="s">
        <v>48</v>
      </c>
      <c r="AE87" s="35">
        <v>9</v>
      </c>
      <c r="AF87" s="28" t="s">
        <v>1077</v>
      </c>
      <c r="AG87" s="29">
        <v>26213</v>
      </c>
      <c r="AH87" s="39">
        <f t="shared" si="1"/>
        <v>-0.5</v>
      </c>
      <c r="AI87" s="28" t="s">
        <v>1626</v>
      </c>
      <c r="AJ87" s="28" t="s">
        <v>49</v>
      </c>
    </row>
    <row r="88" spans="1:36" x14ac:dyDescent="0.25">
      <c r="A88" s="19" t="s">
        <v>412</v>
      </c>
      <c r="B88" s="19" t="s">
        <v>1083</v>
      </c>
      <c r="C88" s="20">
        <v>45536</v>
      </c>
      <c r="D88" s="18" t="s">
        <v>37</v>
      </c>
      <c r="E88" s="19" t="s">
        <v>1084</v>
      </c>
      <c r="F88" s="21">
        <v>45565</v>
      </c>
      <c r="G88" s="21">
        <v>45929</v>
      </c>
      <c r="H88" s="22" t="s">
        <v>1085</v>
      </c>
      <c r="I88" s="23">
        <v>3440189844653</v>
      </c>
      <c r="J88" s="22" t="s">
        <v>456</v>
      </c>
      <c r="K88" s="19" t="s">
        <v>1086</v>
      </c>
      <c r="L88" s="19" t="s">
        <v>1087</v>
      </c>
      <c r="M88" s="19" t="s">
        <v>1088</v>
      </c>
      <c r="N88" s="19" t="s">
        <v>1083</v>
      </c>
      <c r="O88" s="35" t="s">
        <v>57</v>
      </c>
      <c r="P88" s="19" t="s">
        <v>76</v>
      </c>
      <c r="Q88" s="19" t="s">
        <v>1089</v>
      </c>
      <c r="R88" s="33">
        <v>44109</v>
      </c>
      <c r="S88" s="33">
        <v>45936</v>
      </c>
      <c r="T88" s="24">
        <v>1598000</v>
      </c>
      <c r="U88" s="19">
        <v>25</v>
      </c>
      <c r="V88" s="37">
        <v>399500</v>
      </c>
      <c r="W88" s="37">
        <v>1198500</v>
      </c>
      <c r="X88" s="26">
        <v>2.5</v>
      </c>
      <c r="Y88" s="37">
        <v>29962.5</v>
      </c>
      <c r="Z88" s="19"/>
      <c r="AA88" s="19" t="s">
        <v>47</v>
      </c>
      <c r="AB88" s="19">
        <v>1141071091</v>
      </c>
      <c r="AC88" s="27">
        <v>45593</v>
      </c>
      <c r="AD88" s="35" t="s">
        <v>48</v>
      </c>
      <c r="AE88" s="35">
        <v>0</v>
      </c>
      <c r="AF88" s="28" t="s">
        <v>1084</v>
      </c>
      <c r="AG88" s="29">
        <v>29963</v>
      </c>
      <c r="AH88" s="39">
        <f t="shared" si="1"/>
        <v>-0.5</v>
      </c>
      <c r="AI88" s="28" t="s">
        <v>1626</v>
      </c>
      <c r="AJ88" s="28" t="s">
        <v>49</v>
      </c>
    </row>
    <row r="89" spans="1:36" x14ac:dyDescent="0.25">
      <c r="A89" s="19" t="s">
        <v>412</v>
      </c>
      <c r="B89" s="19" t="s">
        <v>1090</v>
      </c>
      <c r="C89" s="20">
        <v>45536</v>
      </c>
      <c r="D89" s="18" t="s">
        <v>37</v>
      </c>
      <c r="E89" s="19" t="s">
        <v>1091</v>
      </c>
      <c r="F89" s="21">
        <v>45565</v>
      </c>
      <c r="G89" s="21">
        <v>45929</v>
      </c>
      <c r="H89" s="22" t="s">
        <v>1092</v>
      </c>
      <c r="I89" s="23">
        <v>3630379327873</v>
      </c>
      <c r="J89" s="22" t="s">
        <v>446</v>
      </c>
      <c r="K89" s="19" t="s">
        <v>1093</v>
      </c>
      <c r="L89" s="19" t="s">
        <v>1094</v>
      </c>
      <c r="M89" s="19" t="s">
        <v>1095</v>
      </c>
      <c r="N89" s="19" t="s">
        <v>1090</v>
      </c>
      <c r="O89" s="35" t="s">
        <v>57</v>
      </c>
      <c r="P89" s="19" t="s">
        <v>58</v>
      </c>
      <c r="Q89" s="19" t="s">
        <v>1096</v>
      </c>
      <c r="R89" s="33">
        <v>44109</v>
      </c>
      <c r="S89" s="33">
        <v>45936</v>
      </c>
      <c r="T89" s="24">
        <v>2700000</v>
      </c>
      <c r="U89" s="19">
        <v>25</v>
      </c>
      <c r="V89" s="37">
        <v>675000</v>
      </c>
      <c r="W89" s="37">
        <v>2025000</v>
      </c>
      <c r="X89" s="26">
        <v>2.5</v>
      </c>
      <c r="Y89" s="37">
        <v>50625</v>
      </c>
      <c r="Z89" s="19"/>
      <c r="AA89" s="19" t="s">
        <v>47</v>
      </c>
      <c r="AB89" s="19">
        <v>1141071091</v>
      </c>
      <c r="AC89" s="27">
        <v>45593</v>
      </c>
      <c r="AD89" s="35" t="s">
        <v>48</v>
      </c>
      <c r="AE89" s="35">
        <v>9</v>
      </c>
      <c r="AF89" s="28" t="s">
        <v>1091</v>
      </c>
      <c r="AG89" s="29">
        <v>50625</v>
      </c>
      <c r="AH89" s="39">
        <f t="shared" si="1"/>
        <v>0</v>
      </c>
      <c r="AI89" s="28" t="s">
        <v>1626</v>
      </c>
      <c r="AJ89" s="28" t="s">
        <v>49</v>
      </c>
    </row>
    <row r="90" spans="1:36" x14ac:dyDescent="0.25">
      <c r="A90" s="19" t="s">
        <v>412</v>
      </c>
      <c r="B90" s="19" t="s">
        <v>1097</v>
      </c>
      <c r="C90" s="20">
        <v>45536</v>
      </c>
      <c r="D90" s="18" t="s">
        <v>37</v>
      </c>
      <c r="E90" s="19" t="s">
        <v>1098</v>
      </c>
      <c r="F90" s="21">
        <v>45565</v>
      </c>
      <c r="G90" s="21">
        <v>45929</v>
      </c>
      <c r="H90" s="22" t="s">
        <v>1099</v>
      </c>
      <c r="I90" s="23">
        <v>3520249215159</v>
      </c>
      <c r="J90" s="22" t="s">
        <v>437</v>
      </c>
      <c r="K90" s="19" t="s">
        <v>1100</v>
      </c>
      <c r="L90" s="19" t="s">
        <v>1101</v>
      </c>
      <c r="M90" s="19" t="s">
        <v>1102</v>
      </c>
      <c r="N90" s="19" t="s">
        <v>1097</v>
      </c>
      <c r="O90" s="35" t="s">
        <v>57</v>
      </c>
      <c r="P90" s="19" t="s">
        <v>423</v>
      </c>
      <c r="Q90" s="19" t="s">
        <v>1103</v>
      </c>
      <c r="R90" s="33">
        <v>44109</v>
      </c>
      <c r="S90" s="33">
        <v>45936</v>
      </c>
      <c r="T90" s="24">
        <v>4127000</v>
      </c>
      <c r="U90" s="19">
        <v>25</v>
      </c>
      <c r="V90" s="37">
        <v>1031750</v>
      </c>
      <c r="W90" s="37">
        <v>3095250</v>
      </c>
      <c r="X90" s="26">
        <v>1.5</v>
      </c>
      <c r="Y90" s="37">
        <v>46428.75</v>
      </c>
      <c r="Z90" s="19"/>
      <c r="AA90" s="19" t="s">
        <v>47</v>
      </c>
      <c r="AB90" s="19">
        <v>1141071091</v>
      </c>
      <c r="AC90" s="27">
        <v>45593</v>
      </c>
      <c r="AD90" s="35" t="s">
        <v>48</v>
      </c>
      <c r="AE90" s="35">
        <v>9</v>
      </c>
      <c r="AF90" s="28" t="s">
        <v>1098</v>
      </c>
      <c r="AG90" s="29">
        <v>46429</v>
      </c>
      <c r="AH90" s="39">
        <f t="shared" si="1"/>
        <v>-0.25</v>
      </c>
      <c r="AI90" s="28" t="s">
        <v>1626</v>
      </c>
      <c r="AJ90" s="28" t="s">
        <v>49</v>
      </c>
    </row>
    <row r="91" spans="1:36" x14ac:dyDescent="0.25">
      <c r="A91" s="19" t="s">
        <v>412</v>
      </c>
      <c r="B91" s="19" t="s">
        <v>1104</v>
      </c>
      <c r="C91" s="20">
        <v>45536</v>
      </c>
      <c r="D91" s="18" t="s">
        <v>37</v>
      </c>
      <c r="E91" s="19" t="s">
        <v>1105</v>
      </c>
      <c r="F91" s="21">
        <v>45565</v>
      </c>
      <c r="G91" s="21">
        <v>45929</v>
      </c>
      <c r="H91" s="22" t="s">
        <v>1106</v>
      </c>
      <c r="I91" s="23">
        <v>3510206459941</v>
      </c>
      <c r="J91" s="22" t="s">
        <v>202</v>
      </c>
      <c r="K91" s="19"/>
      <c r="L91" s="19" t="s">
        <v>1107</v>
      </c>
      <c r="M91" s="19" t="s">
        <v>1108</v>
      </c>
      <c r="N91" s="19" t="s">
        <v>1104</v>
      </c>
      <c r="O91" s="35" t="s">
        <v>57</v>
      </c>
      <c r="P91" s="19" t="s">
        <v>826</v>
      </c>
      <c r="Q91" s="19" t="s">
        <v>1109</v>
      </c>
      <c r="R91" s="33">
        <v>44109</v>
      </c>
      <c r="S91" s="33">
        <v>45936</v>
      </c>
      <c r="T91" s="24">
        <v>1398000</v>
      </c>
      <c r="U91" s="19">
        <v>25</v>
      </c>
      <c r="V91" s="37">
        <v>349500</v>
      </c>
      <c r="W91" s="37">
        <v>1048500</v>
      </c>
      <c r="X91" s="26">
        <v>2.5</v>
      </c>
      <c r="Y91" s="37">
        <v>26212.5</v>
      </c>
      <c r="Z91" s="19"/>
      <c r="AA91" s="19" t="s">
        <v>47</v>
      </c>
      <c r="AB91" s="19">
        <v>1141071091</v>
      </c>
      <c r="AC91" s="27">
        <v>45593</v>
      </c>
      <c r="AD91" s="35" t="s">
        <v>48</v>
      </c>
      <c r="AE91" s="35">
        <v>9</v>
      </c>
      <c r="AF91" s="28" t="s">
        <v>1105</v>
      </c>
      <c r="AG91" s="29">
        <v>26213</v>
      </c>
      <c r="AH91" s="39">
        <f t="shared" si="1"/>
        <v>-0.5</v>
      </c>
      <c r="AI91" s="28" t="s">
        <v>1626</v>
      </c>
      <c r="AJ91" s="28" t="s">
        <v>49</v>
      </c>
    </row>
    <row r="92" spans="1:36" x14ac:dyDescent="0.25">
      <c r="A92" s="19" t="s">
        <v>412</v>
      </c>
      <c r="B92" s="19" t="s">
        <v>1110</v>
      </c>
      <c r="C92" s="20">
        <v>45536</v>
      </c>
      <c r="D92" s="18" t="s">
        <v>37</v>
      </c>
      <c r="E92" s="19" t="s">
        <v>1111</v>
      </c>
      <c r="F92" s="21">
        <v>45565</v>
      </c>
      <c r="G92" s="21">
        <v>45929</v>
      </c>
      <c r="H92" s="22" t="s">
        <v>1112</v>
      </c>
      <c r="I92" s="23">
        <v>6110111217871</v>
      </c>
      <c r="J92" s="22" t="s">
        <v>444</v>
      </c>
      <c r="K92" s="19" t="s">
        <v>1113</v>
      </c>
      <c r="L92" s="19" t="s">
        <v>1114</v>
      </c>
      <c r="M92" s="19" t="s">
        <v>1115</v>
      </c>
      <c r="N92" s="19" t="s">
        <v>1110</v>
      </c>
      <c r="O92" s="35" t="s">
        <v>132</v>
      </c>
      <c r="P92" s="19" t="s">
        <v>133</v>
      </c>
      <c r="Q92" s="19" t="s">
        <v>1116</v>
      </c>
      <c r="R92" s="33">
        <v>44105</v>
      </c>
      <c r="S92" s="33">
        <v>46665</v>
      </c>
      <c r="T92" s="24">
        <v>1598000</v>
      </c>
      <c r="U92" s="19">
        <v>25</v>
      </c>
      <c r="V92" s="37">
        <v>399500</v>
      </c>
      <c r="W92" s="37">
        <v>1198500</v>
      </c>
      <c r="X92" s="26">
        <v>2.5</v>
      </c>
      <c r="Y92" s="37">
        <v>29962.5</v>
      </c>
      <c r="Z92" s="19"/>
      <c r="AA92" s="19" t="s">
        <v>47</v>
      </c>
      <c r="AB92" s="19">
        <v>1141071091</v>
      </c>
      <c r="AC92" s="27">
        <v>45593</v>
      </c>
      <c r="AD92" s="35" t="s">
        <v>48</v>
      </c>
      <c r="AE92" s="35">
        <v>0</v>
      </c>
      <c r="AF92" s="28" t="s">
        <v>1111</v>
      </c>
      <c r="AG92" s="29">
        <v>29963</v>
      </c>
      <c r="AH92" s="39">
        <f t="shared" si="1"/>
        <v>-0.5</v>
      </c>
      <c r="AI92" s="28" t="s">
        <v>1626</v>
      </c>
      <c r="AJ92" s="28" t="s">
        <v>49</v>
      </c>
    </row>
    <row r="93" spans="1:36" x14ac:dyDescent="0.25">
      <c r="A93" s="19" t="s">
        <v>412</v>
      </c>
      <c r="B93" s="19" t="s">
        <v>1117</v>
      </c>
      <c r="C93" s="20">
        <v>45536</v>
      </c>
      <c r="D93" s="18" t="s">
        <v>37</v>
      </c>
      <c r="E93" s="19" t="s">
        <v>1118</v>
      </c>
      <c r="F93" s="21">
        <v>45565</v>
      </c>
      <c r="G93" s="21">
        <v>45929</v>
      </c>
      <c r="H93" s="22" t="s">
        <v>1119</v>
      </c>
      <c r="I93" s="23">
        <v>3460133430249</v>
      </c>
      <c r="J93" s="22" t="s">
        <v>440</v>
      </c>
      <c r="K93" s="19" t="s">
        <v>1120</v>
      </c>
      <c r="L93" s="19" t="s">
        <v>1121</v>
      </c>
      <c r="M93" s="19" t="s">
        <v>1122</v>
      </c>
      <c r="N93" s="19" t="s">
        <v>1117</v>
      </c>
      <c r="O93" s="35" t="s">
        <v>57</v>
      </c>
      <c r="P93" s="19" t="s">
        <v>1123</v>
      </c>
      <c r="Q93" s="19" t="s">
        <v>1124</v>
      </c>
      <c r="R93" s="33">
        <v>44109</v>
      </c>
      <c r="S93" s="33">
        <v>46300</v>
      </c>
      <c r="T93" s="24">
        <v>2425000</v>
      </c>
      <c r="U93" s="19">
        <v>25</v>
      </c>
      <c r="V93" s="37">
        <v>606250</v>
      </c>
      <c r="W93" s="37">
        <v>1818750</v>
      </c>
      <c r="X93" s="26">
        <v>2.5</v>
      </c>
      <c r="Y93" s="37">
        <v>45468.75</v>
      </c>
      <c r="Z93" s="19"/>
      <c r="AA93" s="19" t="s">
        <v>47</v>
      </c>
      <c r="AB93" s="19">
        <v>1141071091</v>
      </c>
      <c r="AC93" s="27">
        <v>45593</v>
      </c>
      <c r="AD93" s="35" t="s">
        <v>48</v>
      </c>
      <c r="AE93" s="35">
        <v>0</v>
      </c>
      <c r="AF93" s="28" t="s">
        <v>1118</v>
      </c>
      <c r="AG93" s="29">
        <v>45469</v>
      </c>
      <c r="AH93" s="39">
        <f t="shared" si="1"/>
        <v>-0.25</v>
      </c>
      <c r="AI93" s="28" t="s">
        <v>1626</v>
      </c>
      <c r="AJ93" s="28" t="s">
        <v>49</v>
      </c>
    </row>
    <row r="94" spans="1:36" x14ac:dyDescent="0.25">
      <c r="A94" s="19" t="s">
        <v>412</v>
      </c>
      <c r="B94" s="19" t="s">
        <v>1125</v>
      </c>
      <c r="C94" s="20">
        <v>45536</v>
      </c>
      <c r="D94" s="18" t="s">
        <v>37</v>
      </c>
      <c r="E94" s="19" t="s">
        <v>1126</v>
      </c>
      <c r="F94" s="21">
        <v>45565</v>
      </c>
      <c r="G94" s="21">
        <v>45929</v>
      </c>
      <c r="H94" s="22" t="s">
        <v>1127</v>
      </c>
      <c r="I94" s="23">
        <v>3520114958507</v>
      </c>
      <c r="J94" s="22" t="s">
        <v>449</v>
      </c>
      <c r="K94" s="19"/>
      <c r="L94" s="19" t="s">
        <v>1128</v>
      </c>
      <c r="M94" s="19" t="s">
        <v>1129</v>
      </c>
      <c r="N94" s="19" t="s">
        <v>1125</v>
      </c>
      <c r="O94" s="35" t="s">
        <v>57</v>
      </c>
      <c r="P94" s="19" t="s">
        <v>76</v>
      </c>
      <c r="Q94" s="19" t="s">
        <v>1130</v>
      </c>
      <c r="R94" s="33">
        <v>44109</v>
      </c>
      <c r="S94" s="33">
        <v>45936</v>
      </c>
      <c r="T94" s="24">
        <v>4930000</v>
      </c>
      <c r="U94" s="19">
        <v>25</v>
      </c>
      <c r="V94" s="37">
        <v>1232500</v>
      </c>
      <c r="W94" s="37">
        <v>3697500</v>
      </c>
      <c r="X94" s="26">
        <v>1.5</v>
      </c>
      <c r="Y94" s="37">
        <v>55462.5</v>
      </c>
      <c r="Z94" s="19"/>
      <c r="AA94" s="19" t="s">
        <v>47</v>
      </c>
      <c r="AB94" s="19">
        <v>1141071091</v>
      </c>
      <c r="AC94" s="27">
        <v>45593</v>
      </c>
      <c r="AD94" s="35" t="s">
        <v>48</v>
      </c>
      <c r="AE94" s="35">
        <v>9</v>
      </c>
      <c r="AF94" s="28" t="s">
        <v>1126</v>
      </c>
      <c r="AG94" s="29">
        <v>55463</v>
      </c>
      <c r="AH94" s="39">
        <f t="shared" si="1"/>
        <v>-0.5</v>
      </c>
      <c r="AI94" s="28" t="s">
        <v>1626</v>
      </c>
      <c r="AJ94" s="28" t="s">
        <v>49</v>
      </c>
    </row>
    <row r="95" spans="1:36" x14ac:dyDescent="0.25">
      <c r="A95" s="19" t="s">
        <v>412</v>
      </c>
      <c r="B95" s="19" t="s">
        <v>1131</v>
      </c>
      <c r="C95" s="20">
        <v>45536</v>
      </c>
      <c r="D95" s="18" t="s">
        <v>37</v>
      </c>
      <c r="E95" s="19" t="s">
        <v>1132</v>
      </c>
      <c r="F95" s="21">
        <v>45565</v>
      </c>
      <c r="G95" s="21">
        <v>45929</v>
      </c>
      <c r="H95" s="22" t="s">
        <v>1133</v>
      </c>
      <c r="I95" s="23">
        <v>1330261871905</v>
      </c>
      <c r="J95" s="22" t="s">
        <v>444</v>
      </c>
      <c r="K95" s="19" t="s">
        <v>1134</v>
      </c>
      <c r="L95" s="19" t="s">
        <v>1135</v>
      </c>
      <c r="M95" s="19" t="s">
        <v>1136</v>
      </c>
      <c r="N95" s="19" t="s">
        <v>1131</v>
      </c>
      <c r="O95" s="35" t="s">
        <v>132</v>
      </c>
      <c r="P95" s="19" t="s">
        <v>133</v>
      </c>
      <c r="Q95" s="19" t="s">
        <v>1137</v>
      </c>
      <c r="R95" s="33">
        <v>44112</v>
      </c>
      <c r="S95" s="33">
        <v>45936</v>
      </c>
      <c r="T95" s="24">
        <v>1598000</v>
      </c>
      <c r="U95" s="19">
        <v>25</v>
      </c>
      <c r="V95" s="37">
        <v>399500</v>
      </c>
      <c r="W95" s="37">
        <v>1198500</v>
      </c>
      <c r="X95" s="26">
        <v>2.5</v>
      </c>
      <c r="Y95" s="37">
        <v>29962.5</v>
      </c>
      <c r="Z95" s="19"/>
      <c r="AA95" s="19" t="s">
        <v>47</v>
      </c>
      <c r="AB95" s="19">
        <v>1141071091</v>
      </c>
      <c r="AC95" s="27">
        <v>45593</v>
      </c>
      <c r="AD95" s="35" t="s">
        <v>48</v>
      </c>
      <c r="AE95" s="35">
        <v>0</v>
      </c>
      <c r="AF95" s="28" t="s">
        <v>1132</v>
      </c>
      <c r="AG95" s="29">
        <v>29963</v>
      </c>
      <c r="AH95" s="39">
        <f t="shared" si="1"/>
        <v>-0.5</v>
      </c>
      <c r="AI95" s="28" t="s">
        <v>1626</v>
      </c>
      <c r="AJ95" s="28" t="s">
        <v>49</v>
      </c>
    </row>
    <row r="96" spans="1:36" x14ac:dyDescent="0.25">
      <c r="A96" s="19" t="s">
        <v>412</v>
      </c>
      <c r="B96" s="19" t="s">
        <v>1138</v>
      </c>
      <c r="C96" s="20">
        <v>45536</v>
      </c>
      <c r="D96" s="18" t="s">
        <v>37</v>
      </c>
      <c r="E96" s="19" t="s">
        <v>1139</v>
      </c>
      <c r="F96" s="21">
        <v>45565</v>
      </c>
      <c r="G96" s="21">
        <v>45929</v>
      </c>
      <c r="H96" s="22" t="s">
        <v>1140</v>
      </c>
      <c r="I96" s="23">
        <v>3510227323661</v>
      </c>
      <c r="J96" s="22" t="s">
        <v>446</v>
      </c>
      <c r="K96" s="19" t="s">
        <v>1141</v>
      </c>
      <c r="L96" s="19" t="s">
        <v>1142</v>
      </c>
      <c r="M96" s="19" t="s">
        <v>1143</v>
      </c>
      <c r="N96" s="19" t="s">
        <v>1138</v>
      </c>
      <c r="O96" s="35" t="s">
        <v>57</v>
      </c>
      <c r="P96" s="19" t="s">
        <v>826</v>
      </c>
      <c r="Q96" s="19" t="s">
        <v>1144</v>
      </c>
      <c r="R96" s="33">
        <v>44110</v>
      </c>
      <c r="S96" s="33">
        <v>45936</v>
      </c>
      <c r="T96" s="24">
        <v>2875000</v>
      </c>
      <c r="U96" s="19">
        <v>25</v>
      </c>
      <c r="V96" s="37">
        <v>718750</v>
      </c>
      <c r="W96" s="37">
        <v>2156250</v>
      </c>
      <c r="X96" s="26">
        <v>2.5</v>
      </c>
      <c r="Y96" s="37">
        <v>53906.25</v>
      </c>
      <c r="Z96" s="19"/>
      <c r="AA96" s="19" t="s">
        <v>47</v>
      </c>
      <c r="AB96" s="19">
        <v>1141071091</v>
      </c>
      <c r="AC96" s="27">
        <v>45593</v>
      </c>
      <c r="AD96" s="35" t="s">
        <v>48</v>
      </c>
      <c r="AE96" s="35">
        <v>0</v>
      </c>
      <c r="AF96" s="28" t="s">
        <v>1139</v>
      </c>
      <c r="AG96" s="29">
        <v>53906</v>
      </c>
      <c r="AH96" s="39">
        <f t="shared" si="1"/>
        <v>0.25</v>
      </c>
      <c r="AI96" s="28" t="s">
        <v>1626</v>
      </c>
      <c r="AJ96" s="28" t="s">
        <v>49</v>
      </c>
    </row>
    <row r="97" spans="1:36" x14ac:dyDescent="0.25">
      <c r="A97" s="19" t="s">
        <v>412</v>
      </c>
      <c r="B97" s="19" t="s">
        <v>1145</v>
      </c>
      <c r="C97" s="20">
        <v>45536</v>
      </c>
      <c r="D97" s="18" t="s">
        <v>37</v>
      </c>
      <c r="E97" s="19" t="s">
        <v>1146</v>
      </c>
      <c r="F97" s="21">
        <v>45543</v>
      </c>
      <c r="G97" s="21">
        <v>45907</v>
      </c>
      <c r="H97" s="22" t="s">
        <v>1147</v>
      </c>
      <c r="I97" s="23">
        <v>4200059657105</v>
      </c>
      <c r="J97" s="22" t="s">
        <v>439</v>
      </c>
      <c r="K97" s="19" t="s">
        <v>1148</v>
      </c>
      <c r="L97" s="19" t="s">
        <v>1149</v>
      </c>
      <c r="M97" s="19" t="s">
        <v>1150</v>
      </c>
      <c r="N97" s="19" t="s">
        <v>1145</v>
      </c>
      <c r="O97" s="35" t="s">
        <v>132</v>
      </c>
      <c r="P97" s="19" t="s">
        <v>133</v>
      </c>
      <c r="Q97" s="19" t="s">
        <v>1151</v>
      </c>
      <c r="R97" s="33">
        <v>44085</v>
      </c>
      <c r="S97" s="33">
        <v>45905</v>
      </c>
      <c r="T97" s="24">
        <v>1890000</v>
      </c>
      <c r="U97" s="19">
        <v>25</v>
      </c>
      <c r="V97" s="37">
        <v>472500</v>
      </c>
      <c r="W97" s="37">
        <v>1417500</v>
      </c>
      <c r="X97" s="26">
        <v>2.5</v>
      </c>
      <c r="Y97" s="37">
        <v>35437.5</v>
      </c>
      <c r="Z97" s="19"/>
      <c r="AA97" s="19" t="s">
        <v>47</v>
      </c>
      <c r="AB97" s="19">
        <v>1141071091</v>
      </c>
      <c r="AC97" s="27">
        <v>45593</v>
      </c>
      <c r="AD97" s="35" t="s">
        <v>48</v>
      </c>
      <c r="AE97" s="35">
        <v>9</v>
      </c>
      <c r="AF97" s="28" t="s">
        <v>1146</v>
      </c>
      <c r="AG97" s="29">
        <v>35438</v>
      </c>
      <c r="AH97" s="39">
        <f t="shared" si="1"/>
        <v>-0.5</v>
      </c>
      <c r="AI97" s="28" t="s">
        <v>1626</v>
      </c>
      <c r="AJ97" s="28" t="s">
        <v>49</v>
      </c>
    </row>
    <row r="98" spans="1:36" x14ac:dyDescent="0.25">
      <c r="A98" s="19" t="s">
        <v>412</v>
      </c>
      <c r="B98" s="19" t="s">
        <v>1152</v>
      </c>
      <c r="C98" s="20">
        <v>45536</v>
      </c>
      <c r="D98" s="18" t="s">
        <v>37</v>
      </c>
      <c r="E98" s="19" t="s">
        <v>1153</v>
      </c>
      <c r="F98" s="21">
        <v>45565</v>
      </c>
      <c r="G98" s="21">
        <v>45929</v>
      </c>
      <c r="H98" s="22" t="s">
        <v>1154</v>
      </c>
      <c r="I98" s="23">
        <v>3660342163521</v>
      </c>
      <c r="J98" s="22" t="s">
        <v>202</v>
      </c>
      <c r="K98" s="19" t="s">
        <v>1155</v>
      </c>
      <c r="L98" s="19" t="s">
        <v>1156</v>
      </c>
      <c r="M98" s="19" t="s">
        <v>1157</v>
      </c>
      <c r="N98" s="19" t="s">
        <v>1152</v>
      </c>
      <c r="O98" s="35" t="s">
        <v>57</v>
      </c>
      <c r="P98" s="19" t="s">
        <v>58</v>
      </c>
      <c r="Q98" s="19" t="s">
        <v>1158</v>
      </c>
      <c r="R98" s="33">
        <v>44109</v>
      </c>
      <c r="S98" s="33">
        <v>45936</v>
      </c>
      <c r="T98" s="24">
        <v>1398000</v>
      </c>
      <c r="U98" s="19">
        <v>25</v>
      </c>
      <c r="V98" s="37">
        <v>349500</v>
      </c>
      <c r="W98" s="37">
        <v>1048500</v>
      </c>
      <c r="X98" s="26">
        <v>2.5</v>
      </c>
      <c r="Y98" s="37">
        <v>26212.5</v>
      </c>
      <c r="Z98" s="19"/>
      <c r="AA98" s="19" t="s">
        <v>47</v>
      </c>
      <c r="AB98" s="19">
        <v>1141071091</v>
      </c>
      <c r="AC98" s="27">
        <v>45593</v>
      </c>
      <c r="AD98" s="35" t="s">
        <v>48</v>
      </c>
      <c r="AE98" s="35">
        <v>9</v>
      </c>
      <c r="AF98" s="28" t="s">
        <v>1153</v>
      </c>
      <c r="AG98" s="29">
        <v>26213</v>
      </c>
      <c r="AH98" s="39">
        <f t="shared" si="1"/>
        <v>-0.5</v>
      </c>
      <c r="AI98" s="28" t="s">
        <v>1626</v>
      </c>
      <c r="AJ98" s="28" t="s">
        <v>49</v>
      </c>
    </row>
    <row r="99" spans="1:36" x14ac:dyDescent="0.25">
      <c r="A99" s="19" t="s">
        <v>412</v>
      </c>
      <c r="B99" s="19" t="s">
        <v>1159</v>
      </c>
      <c r="C99" s="20">
        <v>45536</v>
      </c>
      <c r="D99" s="18" t="s">
        <v>37</v>
      </c>
      <c r="E99" s="19" t="s">
        <v>1160</v>
      </c>
      <c r="F99" s="21">
        <v>45565</v>
      </c>
      <c r="G99" s="21">
        <v>45929</v>
      </c>
      <c r="H99" s="22" t="s">
        <v>1161</v>
      </c>
      <c r="I99" s="23">
        <v>3840377035369</v>
      </c>
      <c r="J99" s="22" t="s">
        <v>555</v>
      </c>
      <c r="K99" s="19"/>
      <c r="L99" s="19" t="s">
        <v>1162</v>
      </c>
      <c r="M99" s="19" t="s">
        <v>1163</v>
      </c>
      <c r="N99" s="19" t="s">
        <v>1159</v>
      </c>
      <c r="O99" s="35" t="s">
        <v>57</v>
      </c>
      <c r="P99" s="19" t="s">
        <v>422</v>
      </c>
      <c r="Q99" s="19" t="s">
        <v>1164</v>
      </c>
      <c r="R99" s="33">
        <v>44109</v>
      </c>
      <c r="S99" s="33">
        <v>45936</v>
      </c>
      <c r="T99" s="24">
        <v>5430000</v>
      </c>
      <c r="U99" s="19">
        <v>25</v>
      </c>
      <c r="V99" s="37">
        <v>1357500</v>
      </c>
      <c r="W99" s="37">
        <v>4072500</v>
      </c>
      <c r="X99" s="26">
        <v>1.5</v>
      </c>
      <c r="Y99" s="37">
        <v>61087.5</v>
      </c>
      <c r="Z99" s="19"/>
      <c r="AA99" s="19" t="s">
        <v>47</v>
      </c>
      <c r="AB99" s="19">
        <v>1141071091</v>
      </c>
      <c r="AC99" s="27">
        <v>45593</v>
      </c>
      <c r="AD99" s="35" t="s">
        <v>48</v>
      </c>
      <c r="AE99" s="35">
        <v>9</v>
      </c>
      <c r="AF99" s="28" t="s">
        <v>1160</v>
      </c>
      <c r="AG99" s="29">
        <v>61088</v>
      </c>
      <c r="AH99" s="39">
        <f t="shared" si="1"/>
        <v>-0.5</v>
      </c>
      <c r="AI99" s="28" t="s">
        <v>1626</v>
      </c>
      <c r="AJ99" s="28" t="s">
        <v>49</v>
      </c>
    </row>
    <row r="100" spans="1:36" x14ac:dyDescent="0.25">
      <c r="A100" s="19" t="s">
        <v>412</v>
      </c>
      <c r="B100" s="19" t="s">
        <v>1165</v>
      </c>
      <c r="C100" s="20">
        <v>45536</v>
      </c>
      <c r="D100" s="18" t="s">
        <v>37</v>
      </c>
      <c r="E100" s="19" t="s">
        <v>1166</v>
      </c>
      <c r="F100" s="21">
        <v>45565</v>
      </c>
      <c r="G100" s="21">
        <v>45929</v>
      </c>
      <c r="H100" s="22" t="s">
        <v>1167</v>
      </c>
      <c r="I100" s="23">
        <v>3520241058783</v>
      </c>
      <c r="J100" s="22" t="s">
        <v>413</v>
      </c>
      <c r="K100" s="19" t="s">
        <v>1168</v>
      </c>
      <c r="L100" s="19" t="s">
        <v>1169</v>
      </c>
      <c r="M100" s="19" t="s">
        <v>1170</v>
      </c>
      <c r="N100" s="19" t="s">
        <v>1165</v>
      </c>
      <c r="O100" s="35" t="s">
        <v>57</v>
      </c>
      <c r="P100" s="19" t="s">
        <v>76</v>
      </c>
      <c r="Q100" s="19" t="s">
        <v>1171</v>
      </c>
      <c r="R100" s="33">
        <v>44109</v>
      </c>
      <c r="S100" s="33">
        <v>45936</v>
      </c>
      <c r="T100" s="24">
        <v>1605000</v>
      </c>
      <c r="U100" s="19">
        <v>25</v>
      </c>
      <c r="V100" s="37">
        <v>401250</v>
      </c>
      <c r="W100" s="37">
        <v>1203750</v>
      </c>
      <c r="X100" s="26">
        <v>2.5</v>
      </c>
      <c r="Y100" s="37">
        <v>30093.75</v>
      </c>
      <c r="Z100" s="19"/>
      <c r="AA100" s="19" t="s">
        <v>47</v>
      </c>
      <c r="AB100" s="19">
        <v>1141071091</v>
      </c>
      <c r="AC100" s="27">
        <v>45593</v>
      </c>
      <c r="AD100" s="35" t="s">
        <v>48</v>
      </c>
      <c r="AE100" s="35">
        <v>0</v>
      </c>
      <c r="AF100" s="28" t="s">
        <v>1166</v>
      </c>
      <c r="AG100" s="29">
        <v>30094</v>
      </c>
      <c r="AH100" s="39">
        <f t="shared" si="1"/>
        <v>-0.25</v>
      </c>
      <c r="AI100" s="28" t="s">
        <v>1626</v>
      </c>
      <c r="AJ100" s="28" t="s">
        <v>49</v>
      </c>
    </row>
    <row r="101" spans="1:36" x14ac:dyDescent="0.25">
      <c r="A101" s="19" t="s">
        <v>412</v>
      </c>
      <c r="B101" s="19" t="s">
        <v>1172</v>
      </c>
      <c r="C101" s="20">
        <v>45536</v>
      </c>
      <c r="D101" s="18" t="s">
        <v>37</v>
      </c>
      <c r="E101" s="19" t="s">
        <v>1173</v>
      </c>
      <c r="F101" s="21">
        <v>45565</v>
      </c>
      <c r="G101" s="21">
        <v>45929</v>
      </c>
      <c r="H101" s="22" t="s">
        <v>1174</v>
      </c>
      <c r="I101" s="23">
        <v>3520149521385</v>
      </c>
      <c r="J101" s="22" t="s">
        <v>436</v>
      </c>
      <c r="K101" s="19" t="s">
        <v>1175</v>
      </c>
      <c r="L101" s="19" t="s">
        <v>1176</v>
      </c>
      <c r="M101" s="19" t="s">
        <v>1177</v>
      </c>
      <c r="N101" s="19" t="s">
        <v>1172</v>
      </c>
      <c r="O101" s="35" t="s">
        <v>57</v>
      </c>
      <c r="P101" s="19" t="s">
        <v>76</v>
      </c>
      <c r="Q101" s="19" t="s">
        <v>1178</v>
      </c>
      <c r="R101" s="33">
        <v>44109</v>
      </c>
      <c r="S101" s="33">
        <v>45936</v>
      </c>
      <c r="T101" s="24">
        <v>2800000</v>
      </c>
      <c r="U101" s="19">
        <v>25</v>
      </c>
      <c r="V101" s="37">
        <v>700000</v>
      </c>
      <c r="W101" s="37">
        <v>2100000</v>
      </c>
      <c r="X101" s="26">
        <v>2.5</v>
      </c>
      <c r="Y101" s="37">
        <v>52500</v>
      </c>
      <c r="Z101" s="19"/>
      <c r="AA101" s="19" t="s">
        <v>47</v>
      </c>
      <c r="AB101" s="19">
        <v>1141071091</v>
      </c>
      <c r="AC101" s="27">
        <v>45593</v>
      </c>
      <c r="AD101" s="35" t="s">
        <v>48</v>
      </c>
      <c r="AE101" s="35">
        <v>9</v>
      </c>
      <c r="AF101" s="28" t="s">
        <v>1173</v>
      </c>
      <c r="AG101" s="29">
        <v>52500</v>
      </c>
      <c r="AH101" s="39">
        <f t="shared" si="1"/>
        <v>0</v>
      </c>
      <c r="AI101" s="28" t="s">
        <v>1626</v>
      </c>
      <c r="AJ101" s="28" t="s">
        <v>49</v>
      </c>
    </row>
    <row r="102" spans="1:36" x14ac:dyDescent="0.25">
      <c r="A102" s="19" t="s">
        <v>412</v>
      </c>
      <c r="B102" s="19" t="s">
        <v>1179</v>
      </c>
      <c r="C102" s="20">
        <v>45536</v>
      </c>
      <c r="D102" s="18" t="s">
        <v>37</v>
      </c>
      <c r="E102" s="19" t="s">
        <v>1180</v>
      </c>
      <c r="F102" s="21">
        <v>45565</v>
      </c>
      <c r="G102" s="21">
        <v>45929</v>
      </c>
      <c r="H102" s="22" t="s">
        <v>1181</v>
      </c>
      <c r="I102" s="23">
        <v>4230128501339</v>
      </c>
      <c r="J102" s="22" t="s">
        <v>444</v>
      </c>
      <c r="K102" s="19"/>
      <c r="L102" s="19" t="s">
        <v>1182</v>
      </c>
      <c r="M102" s="19" t="s">
        <v>1183</v>
      </c>
      <c r="N102" s="19" t="s">
        <v>1179</v>
      </c>
      <c r="O102" s="35" t="s">
        <v>44</v>
      </c>
      <c r="P102" s="19" t="s">
        <v>45</v>
      </c>
      <c r="Q102" s="19" t="s">
        <v>1184</v>
      </c>
      <c r="R102" s="33">
        <v>44105</v>
      </c>
      <c r="S102" s="33">
        <v>45936</v>
      </c>
      <c r="T102" s="24">
        <v>1598000</v>
      </c>
      <c r="U102" s="19">
        <v>25</v>
      </c>
      <c r="V102" s="37">
        <v>399500</v>
      </c>
      <c r="W102" s="37">
        <v>1198500</v>
      </c>
      <c r="X102" s="26">
        <v>2.5</v>
      </c>
      <c r="Y102" s="37">
        <v>29962.5</v>
      </c>
      <c r="Z102" s="19"/>
      <c r="AA102" s="19" t="s">
        <v>47</v>
      </c>
      <c r="AB102" s="19">
        <v>1141071091</v>
      </c>
      <c r="AC102" s="27">
        <v>45593</v>
      </c>
      <c r="AD102" s="35" t="s">
        <v>48</v>
      </c>
      <c r="AE102" s="35">
        <v>9</v>
      </c>
      <c r="AF102" s="28" t="s">
        <v>1180</v>
      </c>
      <c r="AG102" s="29">
        <v>29963</v>
      </c>
      <c r="AH102" s="39">
        <f t="shared" si="1"/>
        <v>-0.5</v>
      </c>
      <c r="AI102" s="28" t="s">
        <v>1626</v>
      </c>
      <c r="AJ102" s="28" t="s">
        <v>49</v>
      </c>
    </row>
    <row r="103" spans="1:36" x14ac:dyDescent="0.25">
      <c r="A103" s="19" t="s">
        <v>412</v>
      </c>
      <c r="B103" s="19" t="s">
        <v>1185</v>
      </c>
      <c r="C103" s="20">
        <v>45536</v>
      </c>
      <c r="D103" s="18" t="s">
        <v>37</v>
      </c>
      <c r="E103" s="19" t="s">
        <v>1186</v>
      </c>
      <c r="F103" s="21">
        <v>45545</v>
      </c>
      <c r="G103" s="21">
        <v>45909</v>
      </c>
      <c r="H103" s="22" t="s">
        <v>1187</v>
      </c>
      <c r="I103" s="23">
        <v>4210150572135</v>
      </c>
      <c r="J103" s="22" t="s">
        <v>444</v>
      </c>
      <c r="K103" s="19"/>
      <c r="L103" s="19" t="s">
        <v>1188</v>
      </c>
      <c r="M103" s="19" t="s">
        <v>1189</v>
      </c>
      <c r="N103" s="19" t="s">
        <v>1185</v>
      </c>
      <c r="O103" s="35" t="s">
        <v>44</v>
      </c>
      <c r="P103" s="19" t="s">
        <v>45</v>
      </c>
      <c r="Q103" s="19" t="s">
        <v>1190</v>
      </c>
      <c r="R103" s="33">
        <v>44088</v>
      </c>
      <c r="S103" s="33">
        <v>45905</v>
      </c>
      <c r="T103" s="24">
        <v>1598000</v>
      </c>
      <c r="U103" s="19">
        <v>25</v>
      </c>
      <c r="V103" s="37">
        <v>399500</v>
      </c>
      <c r="W103" s="37">
        <v>1198500</v>
      </c>
      <c r="X103" s="26">
        <v>2.5</v>
      </c>
      <c r="Y103" s="37">
        <v>29962.5</v>
      </c>
      <c r="Z103" s="19"/>
      <c r="AA103" s="19" t="s">
        <v>47</v>
      </c>
      <c r="AB103" s="19">
        <v>1141071091</v>
      </c>
      <c r="AC103" s="27">
        <v>45593</v>
      </c>
      <c r="AD103" s="35" t="s">
        <v>48</v>
      </c>
      <c r="AE103" s="35">
        <v>9</v>
      </c>
      <c r="AF103" s="28" t="s">
        <v>1186</v>
      </c>
      <c r="AG103" s="29">
        <v>29963</v>
      </c>
      <c r="AH103" s="39">
        <f t="shared" si="1"/>
        <v>-0.5</v>
      </c>
      <c r="AI103" s="28" t="s">
        <v>1626</v>
      </c>
      <c r="AJ103" s="28" t="s">
        <v>49</v>
      </c>
    </row>
    <row r="104" spans="1:36" x14ac:dyDescent="0.25">
      <c r="A104" s="19" t="s">
        <v>412</v>
      </c>
      <c r="B104" s="19" t="s">
        <v>1191</v>
      </c>
      <c r="C104" s="20">
        <v>45536</v>
      </c>
      <c r="D104" s="18" t="s">
        <v>37</v>
      </c>
      <c r="E104" s="19" t="s">
        <v>1192</v>
      </c>
      <c r="F104" s="21">
        <v>45551</v>
      </c>
      <c r="G104" s="21">
        <v>45915</v>
      </c>
      <c r="H104" s="22" t="s">
        <v>1193</v>
      </c>
      <c r="I104" s="23">
        <v>3540450097797</v>
      </c>
      <c r="J104" s="22" t="s">
        <v>444</v>
      </c>
      <c r="K104" s="19" t="s">
        <v>1194</v>
      </c>
      <c r="L104" s="19" t="s">
        <v>1195</v>
      </c>
      <c r="M104" s="19" t="s">
        <v>1196</v>
      </c>
      <c r="N104" s="19" t="s">
        <v>1191</v>
      </c>
      <c r="O104" s="35" t="s">
        <v>57</v>
      </c>
      <c r="P104" s="19" t="s">
        <v>1197</v>
      </c>
      <c r="Q104" s="19" t="s">
        <v>1198</v>
      </c>
      <c r="R104" s="33">
        <v>44096</v>
      </c>
      <c r="S104" s="33">
        <v>45936</v>
      </c>
      <c r="T104" s="24">
        <v>1598000</v>
      </c>
      <c r="U104" s="19">
        <v>25</v>
      </c>
      <c r="V104" s="37">
        <v>399500</v>
      </c>
      <c r="W104" s="37">
        <v>1198500</v>
      </c>
      <c r="X104" s="26">
        <v>2.5</v>
      </c>
      <c r="Y104" s="37">
        <v>29962.5</v>
      </c>
      <c r="Z104" s="19"/>
      <c r="AA104" s="19" t="s">
        <v>47</v>
      </c>
      <c r="AB104" s="19">
        <v>1141071091</v>
      </c>
      <c r="AC104" s="27">
        <v>45593</v>
      </c>
      <c r="AD104" s="35" t="s">
        <v>48</v>
      </c>
      <c r="AE104" s="35">
        <v>39</v>
      </c>
      <c r="AF104" s="28" t="s">
        <v>1192</v>
      </c>
      <c r="AG104" s="29">
        <v>29963</v>
      </c>
      <c r="AH104" s="39">
        <f t="shared" si="1"/>
        <v>-0.5</v>
      </c>
      <c r="AI104" s="28" t="s">
        <v>1626</v>
      </c>
      <c r="AJ104" s="28" t="s">
        <v>49</v>
      </c>
    </row>
    <row r="105" spans="1:36" x14ac:dyDescent="0.25">
      <c r="A105" s="19" t="s">
        <v>412</v>
      </c>
      <c r="B105" s="19" t="s">
        <v>1199</v>
      </c>
      <c r="C105" s="20">
        <v>45536</v>
      </c>
      <c r="D105" s="18" t="s">
        <v>37</v>
      </c>
      <c r="E105" s="19" t="s">
        <v>1200</v>
      </c>
      <c r="F105" s="21">
        <v>45552</v>
      </c>
      <c r="G105" s="21">
        <v>45916</v>
      </c>
      <c r="H105" s="22" t="s">
        <v>1201</v>
      </c>
      <c r="I105" s="23">
        <v>3120298946259</v>
      </c>
      <c r="J105" s="22" t="s">
        <v>202</v>
      </c>
      <c r="K105" s="19" t="s">
        <v>1202</v>
      </c>
      <c r="L105" s="19" t="s">
        <v>1203</v>
      </c>
      <c r="M105" s="19" t="s">
        <v>1204</v>
      </c>
      <c r="N105" s="19" t="s">
        <v>1199</v>
      </c>
      <c r="O105" s="35" t="s">
        <v>57</v>
      </c>
      <c r="P105" s="19" t="s">
        <v>211</v>
      </c>
      <c r="Q105" s="19" t="s">
        <v>1205</v>
      </c>
      <c r="R105" s="33">
        <v>44096</v>
      </c>
      <c r="S105" s="33">
        <v>45936</v>
      </c>
      <c r="T105" s="24">
        <v>1257200</v>
      </c>
      <c r="U105" s="19">
        <v>25</v>
      </c>
      <c r="V105" s="37">
        <v>314300</v>
      </c>
      <c r="W105" s="37">
        <v>942900</v>
      </c>
      <c r="X105" s="26">
        <v>2.5</v>
      </c>
      <c r="Y105" s="37">
        <v>23572.5</v>
      </c>
      <c r="Z105" s="19"/>
      <c r="AA105" s="19" t="s">
        <v>47</v>
      </c>
      <c r="AB105" s="19">
        <v>1141071091</v>
      </c>
      <c r="AC105" s="27">
        <v>45593</v>
      </c>
      <c r="AD105" s="35" t="s">
        <v>48</v>
      </c>
      <c r="AE105" s="35">
        <v>9</v>
      </c>
      <c r="AF105" s="28" t="s">
        <v>1200</v>
      </c>
      <c r="AG105" s="29">
        <v>23573</v>
      </c>
      <c r="AH105" s="39">
        <f t="shared" si="1"/>
        <v>-0.5</v>
      </c>
      <c r="AI105" s="28" t="s">
        <v>1626</v>
      </c>
      <c r="AJ105" s="28" t="s">
        <v>49</v>
      </c>
    </row>
    <row r="106" spans="1:36" x14ac:dyDescent="0.25">
      <c r="A106" s="19" t="s">
        <v>412</v>
      </c>
      <c r="B106" s="19" t="s">
        <v>1206</v>
      </c>
      <c r="C106" s="20">
        <v>45536</v>
      </c>
      <c r="D106" s="18" t="s">
        <v>37</v>
      </c>
      <c r="E106" s="19" t="s">
        <v>1207</v>
      </c>
      <c r="F106" s="21">
        <v>45552</v>
      </c>
      <c r="G106" s="21">
        <v>45916</v>
      </c>
      <c r="H106" s="22" t="s">
        <v>1208</v>
      </c>
      <c r="I106" s="23">
        <v>3310093151553</v>
      </c>
      <c r="J106" s="22" t="s">
        <v>436</v>
      </c>
      <c r="K106" s="19"/>
      <c r="L106" s="19" t="s">
        <v>1209</v>
      </c>
      <c r="M106" s="19" t="s">
        <v>1210</v>
      </c>
      <c r="N106" s="19" t="s">
        <v>1206</v>
      </c>
      <c r="O106" s="35" t="s">
        <v>57</v>
      </c>
      <c r="P106" s="19" t="s">
        <v>67</v>
      </c>
      <c r="Q106" s="19" t="s">
        <v>1211</v>
      </c>
      <c r="R106" s="33">
        <v>44092</v>
      </c>
      <c r="S106" s="33">
        <v>45936</v>
      </c>
      <c r="T106" s="24">
        <v>3491500</v>
      </c>
      <c r="U106" s="19">
        <v>25</v>
      </c>
      <c r="V106" s="37">
        <v>872875</v>
      </c>
      <c r="W106" s="37">
        <v>2618625</v>
      </c>
      <c r="X106" s="26">
        <v>3.4</v>
      </c>
      <c r="Y106" s="37">
        <v>89033.25</v>
      </c>
      <c r="Z106" s="19"/>
      <c r="AA106" s="19" t="s">
        <v>47</v>
      </c>
      <c r="AB106" s="19">
        <v>1141071091</v>
      </c>
      <c r="AC106" s="27">
        <v>45593</v>
      </c>
      <c r="AD106" s="35" t="s">
        <v>48</v>
      </c>
      <c r="AE106" s="35">
        <v>0</v>
      </c>
      <c r="AF106" s="28" t="s">
        <v>1207</v>
      </c>
      <c r="AG106" s="29">
        <v>89033</v>
      </c>
      <c r="AH106" s="39">
        <f t="shared" si="1"/>
        <v>0.25</v>
      </c>
      <c r="AI106" s="28" t="s">
        <v>1626</v>
      </c>
      <c r="AJ106" s="28" t="s">
        <v>49</v>
      </c>
    </row>
    <row r="107" spans="1:36" x14ac:dyDescent="0.25">
      <c r="A107" s="19" t="s">
        <v>412</v>
      </c>
      <c r="B107" s="19" t="s">
        <v>1212</v>
      </c>
      <c r="C107" s="20">
        <v>45536</v>
      </c>
      <c r="D107" s="18" t="s">
        <v>37</v>
      </c>
      <c r="E107" s="19" t="s">
        <v>1213</v>
      </c>
      <c r="F107" s="21">
        <v>45549</v>
      </c>
      <c r="G107" s="21">
        <v>45913</v>
      </c>
      <c r="H107" s="22" t="s">
        <v>1214</v>
      </c>
      <c r="I107" s="23">
        <v>3840132505891</v>
      </c>
      <c r="J107" s="22" t="s">
        <v>1215</v>
      </c>
      <c r="K107" s="19"/>
      <c r="L107" s="19" t="s">
        <v>1216</v>
      </c>
      <c r="M107" s="19" t="s">
        <v>1217</v>
      </c>
      <c r="N107" s="19" t="s">
        <v>1212</v>
      </c>
      <c r="O107" s="35" t="s">
        <v>57</v>
      </c>
      <c r="P107" s="19" t="s">
        <v>422</v>
      </c>
      <c r="Q107" s="19" t="s">
        <v>1218</v>
      </c>
      <c r="R107" s="33">
        <v>44825</v>
      </c>
      <c r="S107" s="33">
        <v>45936</v>
      </c>
      <c r="T107" s="24">
        <v>6919000</v>
      </c>
      <c r="U107" s="19">
        <v>15</v>
      </c>
      <c r="V107" s="37">
        <v>1037850</v>
      </c>
      <c r="W107" s="37">
        <v>5881150</v>
      </c>
      <c r="X107" s="26">
        <v>1.5</v>
      </c>
      <c r="Y107" s="37">
        <v>88217.25</v>
      </c>
      <c r="Z107" s="19"/>
      <c r="AA107" s="19" t="s">
        <v>47</v>
      </c>
      <c r="AB107" s="19">
        <v>1141071091</v>
      </c>
      <c r="AC107" s="27">
        <v>45593</v>
      </c>
      <c r="AD107" s="35" t="s">
        <v>48</v>
      </c>
      <c r="AE107" s="35">
        <v>0</v>
      </c>
      <c r="AF107" s="28" t="s">
        <v>1213</v>
      </c>
      <c r="AG107" s="29">
        <v>88217</v>
      </c>
      <c r="AH107" s="39">
        <f t="shared" si="1"/>
        <v>0.25</v>
      </c>
      <c r="AI107" s="28" t="s">
        <v>1626</v>
      </c>
      <c r="AJ107" s="28" t="s">
        <v>49</v>
      </c>
    </row>
    <row r="108" spans="1:36" x14ac:dyDescent="0.25">
      <c r="A108" s="19" t="s">
        <v>412</v>
      </c>
      <c r="B108" s="19" t="s">
        <v>1219</v>
      </c>
      <c r="C108" s="20">
        <v>45536</v>
      </c>
      <c r="D108" s="18" t="s">
        <v>37</v>
      </c>
      <c r="E108" s="19" t="s">
        <v>1220</v>
      </c>
      <c r="F108" s="21">
        <v>45549</v>
      </c>
      <c r="G108" s="21">
        <v>45913</v>
      </c>
      <c r="H108" s="22" t="s">
        <v>1221</v>
      </c>
      <c r="I108" s="23">
        <v>3520222247620</v>
      </c>
      <c r="J108" s="22" t="s">
        <v>337</v>
      </c>
      <c r="K108" s="19"/>
      <c r="L108" s="19" t="s">
        <v>1222</v>
      </c>
      <c r="M108" s="19" t="s">
        <v>1223</v>
      </c>
      <c r="N108" s="19" t="s">
        <v>1219</v>
      </c>
      <c r="O108" s="35" t="s">
        <v>57</v>
      </c>
      <c r="P108" s="19" t="s">
        <v>76</v>
      </c>
      <c r="Q108" s="19" t="s">
        <v>1224</v>
      </c>
      <c r="R108" s="33">
        <v>44825</v>
      </c>
      <c r="S108" s="33">
        <v>46665</v>
      </c>
      <c r="T108" s="24">
        <v>1500000</v>
      </c>
      <c r="U108" s="19">
        <v>15</v>
      </c>
      <c r="V108" s="37">
        <v>225000</v>
      </c>
      <c r="W108" s="37">
        <v>1275000</v>
      </c>
      <c r="X108" s="26">
        <v>1.5</v>
      </c>
      <c r="Y108" s="37">
        <v>19125</v>
      </c>
      <c r="Z108" s="19"/>
      <c r="AA108" s="19" t="s">
        <v>47</v>
      </c>
      <c r="AB108" s="19">
        <v>1141071091</v>
      </c>
      <c r="AC108" s="27">
        <v>45593</v>
      </c>
      <c r="AD108" s="35" t="s">
        <v>48</v>
      </c>
      <c r="AE108" s="35">
        <v>0</v>
      </c>
      <c r="AF108" s="28" t="s">
        <v>1220</v>
      </c>
      <c r="AG108" s="29">
        <v>19125</v>
      </c>
      <c r="AH108" s="39">
        <f t="shared" si="1"/>
        <v>0</v>
      </c>
      <c r="AI108" s="28" t="s">
        <v>1626</v>
      </c>
      <c r="AJ108" s="28" t="s">
        <v>49</v>
      </c>
    </row>
    <row r="109" spans="1:36" x14ac:dyDescent="0.25">
      <c r="A109" s="19" t="s">
        <v>412</v>
      </c>
      <c r="B109" s="19" t="s">
        <v>1225</v>
      </c>
      <c r="C109" s="20">
        <v>45536</v>
      </c>
      <c r="D109" s="18" t="s">
        <v>37</v>
      </c>
      <c r="E109" s="19" t="s">
        <v>1226</v>
      </c>
      <c r="F109" s="21">
        <v>45550</v>
      </c>
      <c r="G109" s="21">
        <v>45914</v>
      </c>
      <c r="H109" s="22" t="s">
        <v>1227</v>
      </c>
      <c r="I109" s="23">
        <v>3520296896683</v>
      </c>
      <c r="J109" s="22" t="s">
        <v>138</v>
      </c>
      <c r="K109" s="19" t="s">
        <v>1228</v>
      </c>
      <c r="L109" s="19" t="s">
        <v>1229</v>
      </c>
      <c r="M109" s="19" t="s">
        <v>1230</v>
      </c>
      <c r="N109" s="19" t="s">
        <v>1225</v>
      </c>
      <c r="O109" s="35" t="s">
        <v>57</v>
      </c>
      <c r="P109" s="19" t="s">
        <v>76</v>
      </c>
      <c r="Q109" s="19" t="s">
        <v>1231</v>
      </c>
      <c r="R109" s="33">
        <v>44824</v>
      </c>
      <c r="S109" s="33">
        <v>46665</v>
      </c>
      <c r="T109" s="24">
        <v>1800000</v>
      </c>
      <c r="U109" s="19">
        <v>15</v>
      </c>
      <c r="V109" s="37">
        <v>270000</v>
      </c>
      <c r="W109" s="37">
        <v>1530000</v>
      </c>
      <c r="X109" s="26">
        <v>2</v>
      </c>
      <c r="Y109" s="37">
        <v>30600</v>
      </c>
      <c r="Z109" s="19"/>
      <c r="AA109" s="19" t="s">
        <v>47</v>
      </c>
      <c r="AB109" s="19">
        <v>1141071091</v>
      </c>
      <c r="AC109" s="27">
        <v>45593</v>
      </c>
      <c r="AD109" s="35" t="s">
        <v>48</v>
      </c>
      <c r="AE109" s="35">
        <v>9</v>
      </c>
      <c r="AF109" s="28" t="s">
        <v>1226</v>
      </c>
      <c r="AG109" s="29">
        <v>30600</v>
      </c>
      <c r="AH109" s="39">
        <f t="shared" si="1"/>
        <v>0</v>
      </c>
      <c r="AI109" s="28" t="s">
        <v>1626</v>
      </c>
      <c r="AJ109" s="28" t="s">
        <v>49</v>
      </c>
    </row>
    <row r="110" spans="1:36" x14ac:dyDescent="0.25">
      <c r="A110" s="19" t="s">
        <v>412</v>
      </c>
      <c r="B110" s="19" t="s">
        <v>1232</v>
      </c>
      <c r="C110" s="20">
        <v>45536</v>
      </c>
      <c r="D110" s="18" t="s">
        <v>37</v>
      </c>
      <c r="E110" s="19" t="s">
        <v>1233</v>
      </c>
      <c r="F110" s="21">
        <v>45550</v>
      </c>
      <c r="G110" s="21">
        <v>45914</v>
      </c>
      <c r="H110" s="22" t="s">
        <v>1234</v>
      </c>
      <c r="I110" s="23">
        <v>3520163760799</v>
      </c>
      <c r="J110" s="22" t="s">
        <v>224</v>
      </c>
      <c r="K110" s="19"/>
      <c r="L110" s="19" t="s">
        <v>1235</v>
      </c>
      <c r="M110" s="19" t="s">
        <v>1236</v>
      </c>
      <c r="N110" s="19" t="s">
        <v>1232</v>
      </c>
      <c r="O110" s="35" t="s">
        <v>57</v>
      </c>
      <c r="P110" s="19" t="s">
        <v>76</v>
      </c>
      <c r="Q110" s="19" t="s">
        <v>1237</v>
      </c>
      <c r="R110" s="33">
        <v>44825</v>
      </c>
      <c r="S110" s="33">
        <v>45936</v>
      </c>
      <c r="T110" s="24">
        <v>2199000</v>
      </c>
      <c r="U110" s="19">
        <v>15</v>
      </c>
      <c r="V110" s="37">
        <v>329850</v>
      </c>
      <c r="W110" s="37">
        <v>1869150</v>
      </c>
      <c r="X110" s="26">
        <v>2</v>
      </c>
      <c r="Y110" s="37">
        <v>37383</v>
      </c>
      <c r="Z110" s="19"/>
      <c r="AA110" s="19" t="s">
        <v>47</v>
      </c>
      <c r="AB110" s="19">
        <v>1141071091</v>
      </c>
      <c r="AC110" s="27">
        <v>45593</v>
      </c>
      <c r="AD110" s="35" t="s">
        <v>48</v>
      </c>
      <c r="AE110" s="35">
        <v>0</v>
      </c>
      <c r="AF110" s="28" t="s">
        <v>1233</v>
      </c>
      <c r="AG110" s="29">
        <v>37383</v>
      </c>
      <c r="AH110" s="39">
        <f t="shared" si="1"/>
        <v>0</v>
      </c>
      <c r="AI110" s="28" t="s">
        <v>1626</v>
      </c>
      <c r="AJ110" s="28" t="s">
        <v>49</v>
      </c>
    </row>
    <row r="111" spans="1:36" x14ac:dyDescent="0.25">
      <c r="A111" s="19" t="s">
        <v>412</v>
      </c>
      <c r="B111" s="19" t="s">
        <v>1238</v>
      </c>
      <c r="C111" s="20">
        <v>45536</v>
      </c>
      <c r="D111" s="18" t="s">
        <v>37</v>
      </c>
      <c r="E111" s="19" t="s">
        <v>1239</v>
      </c>
      <c r="F111" s="21">
        <v>45550</v>
      </c>
      <c r="G111" s="21">
        <v>45914</v>
      </c>
      <c r="H111" s="22" t="s">
        <v>1240</v>
      </c>
      <c r="I111" s="23">
        <v>4210110669809</v>
      </c>
      <c r="J111" s="22" t="s">
        <v>439</v>
      </c>
      <c r="K111" s="19"/>
      <c r="L111" s="19" t="s">
        <v>1241</v>
      </c>
      <c r="M111" s="19" t="s">
        <v>1242</v>
      </c>
      <c r="N111" s="19" t="s">
        <v>1238</v>
      </c>
      <c r="O111" s="35" t="s">
        <v>44</v>
      </c>
      <c r="P111" s="19" t="s">
        <v>173</v>
      </c>
      <c r="Q111" s="19" t="s">
        <v>1243</v>
      </c>
      <c r="R111" s="33">
        <v>44825</v>
      </c>
      <c r="S111" s="33">
        <v>46300</v>
      </c>
      <c r="T111" s="24">
        <v>2564000</v>
      </c>
      <c r="U111" s="19">
        <v>15</v>
      </c>
      <c r="V111" s="37">
        <v>384600</v>
      </c>
      <c r="W111" s="37">
        <v>2179400</v>
      </c>
      <c r="X111" s="26">
        <v>2</v>
      </c>
      <c r="Y111" s="37">
        <v>43588</v>
      </c>
      <c r="Z111" s="19"/>
      <c r="AA111" s="19" t="s">
        <v>47</v>
      </c>
      <c r="AB111" s="19">
        <v>1141071091</v>
      </c>
      <c r="AC111" s="27">
        <v>45593</v>
      </c>
      <c r="AD111" s="35" t="s">
        <v>48</v>
      </c>
      <c r="AE111" s="35">
        <v>9</v>
      </c>
      <c r="AF111" s="28" t="s">
        <v>1239</v>
      </c>
      <c r="AG111" s="29">
        <v>43588</v>
      </c>
      <c r="AH111" s="39">
        <f t="shared" si="1"/>
        <v>0</v>
      </c>
      <c r="AI111" s="28" t="s">
        <v>1626</v>
      </c>
      <c r="AJ111" s="28" t="s">
        <v>49</v>
      </c>
    </row>
    <row r="112" spans="1:36" x14ac:dyDescent="0.25">
      <c r="A112" s="19" t="s">
        <v>412</v>
      </c>
      <c r="B112" s="19" t="s">
        <v>1244</v>
      </c>
      <c r="C112" s="20">
        <v>45536</v>
      </c>
      <c r="D112" s="18" t="s">
        <v>37</v>
      </c>
      <c r="E112" s="19" t="s">
        <v>1245</v>
      </c>
      <c r="F112" s="21">
        <v>45551</v>
      </c>
      <c r="G112" s="21">
        <v>45915</v>
      </c>
      <c r="H112" s="22" t="s">
        <v>1246</v>
      </c>
      <c r="I112" s="23">
        <v>3520279138071</v>
      </c>
      <c r="J112" s="22" t="s">
        <v>1247</v>
      </c>
      <c r="K112" s="19" t="s">
        <v>1248</v>
      </c>
      <c r="L112" s="19" t="s">
        <v>1249</v>
      </c>
      <c r="M112" s="19" t="s">
        <v>1250</v>
      </c>
      <c r="N112" s="19" t="s">
        <v>1244</v>
      </c>
      <c r="O112" s="35" t="s">
        <v>57</v>
      </c>
      <c r="P112" s="19" t="s">
        <v>76</v>
      </c>
      <c r="Q112" s="19" t="s">
        <v>1251</v>
      </c>
      <c r="R112" s="33">
        <v>44824</v>
      </c>
      <c r="S112" s="33">
        <v>46665</v>
      </c>
      <c r="T112" s="24">
        <v>2950000</v>
      </c>
      <c r="U112" s="19">
        <v>15</v>
      </c>
      <c r="V112" s="37">
        <v>442500</v>
      </c>
      <c r="W112" s="37">
        <v>2507500</v>
      </c>
      <c r="X112" s="26">
        <v>2</v>
      </c>
      <c r="Y112" s="37">
        <v>50150</v>
      </c>
      <c r="Z112" s="19"/>
      <c r="AA112" s="19" t="s">
        <v>47</v>
      </c>
      <c r="AB112" s="19">
        <v>1141071091</v>
      </c>
      <c r="AC112" s="27">
        <v>45593</v>
      </c>
      <c r="AD112" s="35" t="s">
        <v>48</v>
      </c>
      <c r="AE112" s="35">
        <v>9</v>
      </c>
      <c r="AF112" s="28" t="s">
        <v>1245</v>
      </c>
      <c r="AG112" s="29">
        <v>50150</v>
      </c>
      <c r="AH112" s="39">
        <f t="shared" si="1"/>
        <v>0</v>
      </c>
      <c r="AI112" s="28" t="s">
        <v>1626</v>
      </c>
      <c r="AJ112" s="28" t="s">
        <v>49</v>
      </c>
    </row>
    <row r="113" spans="1:36" x14ac:dyDescent="0.25">
      <c r="A113" s="19" t="s">
        <v>412</v>
      </c>
      <c r="B113" s="19" t="s">
        <v>1252</v>
      </c>
      <c r="C113" s="20">
        <v>45536</v>
      </c>
      <c r="D113" s="18" t="s">
        <v>37</v>
      </c>
      <c r="E113" s="19" t="s">
        <v>1253</v>
      </c>
      <c r="F113" s="21">
        <v>45551</v>
      </c>
      <c r="G113" s="21">
        <v>45915</v>
      </c>
      <c r="H113" s="22" t="s">
        <v>1254</v>
      </c>
      <c r="I113" s="23">
        <v>3520299329835</v>
      </c>
      <c r="J113" s="22" t="s">
        <v>224</v>
      </c>
      <c r="K113" s="19" t="s">
        <v>1255</v>
      </c>
      <c r="L113" s="19" t="s">
        <v>1256</v>
      </c>
      <c r="M113" s="19" t="s">
        <v>1257</v>
      </c>
      <c r="N113" s="19" t="s">
        <v>1252</v>
      </c>
      <c r="O113" s="35" t="s">
        <v>57</v>
      </c>
      <c r="P113" s="19" t="s">
        <v>67</v>
      </c>
      <c r="Q113" s="19" t="s">
        <v>1258</v>
      </c>
      <c r="R113" s="33">
        <v>44826</v>
      </c>
      <c r="S113" s="33">
        <v>46665</v>
      </c>
      <c r="T113" s="24">
        <v>1700000</v>
      </c>
      <c r="U113" s="19">
        <v>15</v>
      </c>
      <c r="V113" s="37">
        <v>255000</v>
      </c>
      <c r="W113" s="37">
        <v>1445000</v>
      </c>
      <c r="X113" s="26">
        <v>2</v>
      </c>
      <c r="Y113" s="37">
        <v>28900</v>
      </c>
      <c r="Z113" s="19"/>
      <c r="AA113" s="19" t="s">
        <v>47</v>
      </c>
      <c r="AB113" s="19">
        <v>1141071091</v>
      </c>
      <c r="AC113" s="27">
        <v>45593</v>
      </c>
      <c r="AD113" s="35" t="s">
        <v>48</v>
      </c>
      <c r="AE113" s="35">
        <v>0</v>
      </c>
      <c r="AF113" s="28" t="s">
        <v>1253</v>
      </c>
      <c r="AG113" s="29">
        <v>28900</v>
      </c>
      <c r="AH113" s="39">
        <f t="shared" si="1"/>
        <v>0</v>
      </c>
      <c r="AI113" s="28" t="s">
        <v>1626</v>
      </c>
      <c r="AJ113" s="28" t="s">
        <v>49</v>
      </c>
    </row>
    <row r="114" spans="1:36" x14ac:dyDescent="0.25">
      <c r="A114" s="19" t="s">
        <v>412</v>
      </c>
      <c r="B114" s="19" t="s">
        <v>1259</v>
      </c>
      <c r="C114" s="20">
        <v>45536</v>
      </c>
      <c r="D114" s="18" t="s">
        <v>37</v>
      </c>
      <c r="E114" s="19" t="s">
        <v>1260</v>
      </c>
      <c r="F114" s="21">
        <v>45551</v>
      </c>
      <c r="G114" s="21">
        <v>45915</v>
      </c>
      <c r="H114" s="22" t="s">
        <v>1261</v>
      </c>
      <c r="I114" s="23">
        <v>3740515702509</v>
      </c>
      <c r="J114" s="22" t="s">
        <v>457</v>
      </c>
      <c r="K114" s="19" t="s">
        <v>1262</v>
      </c>
      <c r="L114" s="19" t="s">
        <v>1263</v>
      </c>
      <c r="M114" s="19" t="s">
        <v>1264</v>
      </c>
      <c r="N114" s="19" t="s">
        <v>1259</v>
      </c>
      <c r="O114" s="35" t="s">
        <v>132</v>
      </c>
      <c r="P114" s="19" t="s">
        <v>133</v>
      </c>
      <c r="Q114" s="19" t="s">
        <v>1265</v>
      </c>
      <c r="R114" s="33">
        <v>44827</v>
      </c>
      <c r="S114" s="33">
        <v>45936</v>
      </c>
      <c r="T114" s="24">
        <v>2569000</v>
      </c>
      <c r="U114" s="19">
        <v>15</v>
      </c>
      <c r="V114" s="37">
        <v>385350</v>
      </c>
      <c r="W114" s="37">
        <v>2183650</v>
      </c>
      <c r="X114" s="26">
        <v>2</v>
      </c>
      <c r="Y114" s="37">
        <v>43673</v>
      </c>
      <c r="Z114" s="19"/>
      <c r="AA114" s="19" t="s">
        <v>47</v>
      </c>
      <c r="AB114" s="19">
        <v>1141071091</v>
      </c>
      <c r="AC114" s="27">
        <v>45593</v>
      </c>
      <c r="AD114" s="35" t="s">
        <v>48</v>
      </c>
      <c r="AE114" s="35">
        <v>0</v>
      </c>
      <c r="AF114" s="28" t="s">
        <v>1260</v>
      </c>
      <c r="AG114" s="29">
        <v>43673</v>
      </c>
      <c r="AH114" s="39">
        <f t="shared" si="1"/>
        <v>0</v>
      </c>
      <c r="AI114" s="28" t="s">
        <v>1626</v>
      </c>
      <c r="AJ114" s="28" t="s">
        <v>49</v>
      </c>
    </row>
    <row r="115" spans="1:36" x14ac:dyDescent="0.25">
      <c r="A115" s="19" t="s">
        <v>412</v>
      </c>
      <c r="B115" s="19" t="s">
        <v>1266</v>
      </c>
      <c r="C115" s="20">
        <v>45536</v>
      </c>
      <c r="D115" s="18" t="s">
        <v>37</v>
      </c>
      <c r="E115" s="19" t="s">
        <v>1267</v>
      </c>
      <c r="F115" s="21">
        <v>45554</v>
      </c>
      <c r="G115" s="21">
        <v>45918</v>
      </c>
      <c r="H115" s="22" t="s">
        <v>1268</v>
      </c>
      <c r="I115" s="23">
        <v>3210206974893</v>
      </c>
      <c r="J115" s="22" t="s">
        <v>1269</v>
      </c>
      <c r="K115" s="19" t="s">
        <v>1270</v>
      </c>
      <c r="L115" s="19" t="s">
        <v>1271</v>
      </c>
      <c r="M115" s="19" t="s">
        <v>1272</v>
      </c>
      <c r="N115" s="19" t="s">
        <v>1266</v>
      </c>
      <c r="O115" s="35" t="s">
        <v>57</v>
      </c>
      <c r="P115" s="19" t="s">
        <v>227</v>
      </c>
      <c r="Q115" s="19" t="s">
        <v>1273</v>
      </c>
      <c r="R115" s="33">
        <v>44831</v>
      </c>
      <c r="S115" s="33">
        <v>45936</v>
      </c>
      <c r="T115" s="24">
        <v>2705000</v>
      </c>
      <c r="U115" s="19">
        <v>15</v>
      </c>
      <c r="V115" s="37">
        <v>405750</v>
      </c>
      <c r="W115" s="37">
        <v>2299250</v>
      </c>
      <c r="X115" s="26">
        <v>1.5</v>
      </c>
      <c r="Y115" s="37">
        <v>34488.75</v>
      </c>
      <c r="Z115" s="19"/>
      <c r="AA115" s="19" t="s">
        <v>47</v>
      </c>
      <c r="AB115" s="19">
        <v>1141071091</v>
      </c>
      <c r="AC115" s="27">
        <v>45593</v>
      </c>
      <c r="AD115" s="35" t="s">
        <v>48</v>
      </c>
      <c r="AE115" s="35">
        <v>0</v>
      </c>
      <c r="AF115" s="28" t="s">
        <v>1267</v>
      </c>
      <c r="AG115" s="29">
        <v>34489</v>
      </c>
      <c r="AH115" s="39">
        <f t="shared" si="1"/>
        <v>-0.25</v>
      </c>
      <c r="AI115" s="28" t="s">
        <v>1626</v>
      </c>
      <c r="AJ115" s="28" t="s">
        <v>49</v>
      </c>
    </row>
    <row r="116" spans="1:36" x14ac:dyDescent="0.25">
      <c r="A116" s="19" t="s">
        <v>412</v>
      </c>
      <c r="B116" s="19" t="s">
        <v>1274</v>
      </c>
      <c r="C116" s="20">
        <v>45536</v>
      </c>
      <c r="D116" s="18" t="s">
        <v>37</v>
      </c>
      <c r="E116" s="19" t="s">
        <v>1275</v>
      </c>
      <c r="F116" s="21">
        <v>45541</v>
      </c>
      <c r="G116" s="21">
        <v>45905</v>
      </c>
      <c r="H116" s="22" t="s">
        <v>1276</v>
      </c>
      <c r="I116" s="23">
        <v>3520190264987</v>
      </c>
      <c r="J116" s="22" t="s">
        <v>138</v>
      </c>
      <c r="K116" s="19"/>
      <c r="L116" s="19" t="s">
        <v>1277</v>
      </c>
      <c r="M116" s="19" t="s">
        <v>1278</v>
      </c>
      <c r="N116" s="19" t="s">
        <v>1274</v>
      </c>
      <c r="O116" s="35" t="s">
        <v>57</v>
      </c>
      <c r="P116" s="19" t="s">
        <v>76</v>
      </c>
      <c r="Q116" s="19" t="s">
        <v>1279</v>
      </c>
      <c r="R116" s="33">
        <v>44813</v>
      </c>
      <c r="S116" s="33">
        <v>46636</v>
      </c>
      <c r="T116" s="24">
        <v>2754000</v>
      </c>
      <c r="U116" s="19">
        <v>15</v>
      </c>
      <c r="V116" s="37">
        <v>413100</v>
      </c>
      <c r="W116" s="37">
        <v>2340900</v>
      </c>
      <c r="X116" s="26">
        <v>1.5</v>
      </c>
      <c r="Y116" s="37">
        <v>35113.5</v>
      </c>
      <c r="Z116" s="19"/>
      <c r="AA116" s="19" t="s">
        <v>47</v>
      </c>
      <c r="AB116" s="19">
        <v>1141071091</v>
      </c>
      <c r="AC116" s="27">
        <v>45593</v>
      </c>
      <c r="AD116" s="35" t="s">
        <v>48</v>
      </c>
      <c r="AE116" s="35">
        <v>0</v>
      </c>
      <c r="AF116" s="28" t="s">
        <v>1275</v>
      </c>
      <c r="AG116" s="29">
        <v>35114</v>
      </c>
      <c r="AH116" s="39">
        <f t="shared" si="1"/>
        <v>-0.5</v>
      </c>
      <c r="AI116" s="28" t="s">
        <v>1626</v>
      </c>
      <c r="AJ116" s="28" t="s">
        <v>49</v>
      </c>
    </row>
    <row r="117" spans="1:36" x14ac:dyDescent="0.25">
      <c r="A117" s="19" t="s">
        <v>412</v>
      </c>
      <c r="B117" s="19" t="s">
        <v>1280</v>
      </c>
      <c r="C117" s="20">
        <v>45536</v>
      </c>
      <c r="D117" s="18" t="s">
        <v>37</v>
      </c>
      <c r="E117" s="19" t="s">
        <v>1281</v>
      </c>
      <c r="F117" s="21">
        <v>45554</v>
      </c>
      <c r="G117" s="21">
        <v>45918</v>
      </c>
      <c r="H117" s="22" t="s">
        <v>1282</v>
      </c>
      <c r="I117" s="23">
        <v>3520281093507</v>
      </c>
      <c r="J117" s="22" t="s">
        <v>255</v>
      </c>
      <c r="K117" s="19" t="s">
        <v>1283</v>
      </c>
      <c r="L117" s="19" t="s">
        <v>1284</v>
      </c>
      <c r="M117" s="19" t="s">
        <v>1285</v>
      </c>
      <c r="N117" s="19" t="s">
        <v>1280</v>
      </c>
      <c r="O117" s="35" t="s">
        <v>57</v>
      </c>
      <c r="P117" s="19" t="s">
        <v>76</v>
      </c>
      <c r="Q117" s="19" t="s">
        <v>1286</v>
      </c>
      <c r="R117" s="33">
        <v>44825</v>
      </c>
      <c r="S117" s="33">
        <v>46665</v>
      </c>
      <c r="T117" s="24">
        <v>1835000</v>
      </c>
      <c r="U117" s="19">
        <v>15</v>
      </c>
      <c r="V117" s="37">
        <v>275250</v>
      </c>
      <c r="W117" s="37">
        <v>1559750</v>
      </c>
      <c r="X117" s="26">
        <v>2</v>
      </c>
      <c r="Y117" s="37">
        <v>31195</v>
      </c>
      <c r="Z117" s="19"/>
      <c r="AA117" s="19" t="s">
        <v>47</v>
      </c>
      <c r="AB117" s="19">
        <v>1141071091</v>
      </c>
      <c r="AC117" s="27">
        <v>45593</v>
      </c>
      <c r="AD117" s="35" t="s">
        <v>48</v>
      </c>
      <c r="AE117" s="35">
        <v>9</v>
      </c>
      <c r="AF117" s="28" t="s">
        <v>1281</v>
      </c>
      <c r="AG117" s="29">
        <v>31195</v>
      </c>
      <c r="AH117" s="39">
        <f t="shared" si="1"/>
        <v>0</v>
      </c>
      <c r="AI117" s="28" t="s">
        <v>1626</v>
      </c>
      <c r="AJ117" s="28" t="s">
        <v>49</v>
      </c>
    </row>
    <row r="118" spans="1:36" x14ac:dyDescent="0.25">
      <c r="A118" s="19" t="s">
        <v>412</v>
      </c>
      <c r="B118" s="19" t="s">
        <v>1287</v>
      </c>
      <c r="C118" s="20">
        <v>45536</v>
      </c>
      <c r="D118" s="18" t="s">
        <v>37</v>
      </c>
      <c r="E118" s="19" t="s">
        <v>1288</v>
      </c>
      <c r="F118" s="21">
        <v>45554</v>
      </c>
      <c r="G118" s="21">
        <v>45918</v>
      </c>
      <c r="H118" s="22" t="s">
        <v>1289</v>
      </c>
      <c r="I118" s="23">
        <v>4220171758701</v>
      </c>
      <c r="J118" s="22" t="s">
        <v>437</v>
      </c>
      <c r="K118" s="19" t="s">
        <v>1290</v>
      </c>
      <c r="L118" s="19" t="s">
        <v>1291</v>
      </c>
      <c r="M118" s="19" t="s">
        <v>1292</v>
      </c>
      <c r="N118" s="19" t="s">
        <v>1287</v>
      </c>
      <c r="O118" s="35" t="s">
        <v>44</v>
      </c>
      <c r="P118" s="19" t="s">
        <v>173</v>
      </c>
      <c r="Q118" s="19" t="s">
        <v>1293</v>
      </c>
      <c r="R118" s="33">
        <v>44824</v>
      </c>
      <c r="S118" s="33">
        <v>45936</v>
      </c>
      <c r="T118" s="24">
        <v>4000000</v>
      </c>
      <c r="U118" s="19">
        <v>15</v>
      </c>
      <c r="V118" s="37">
        <v>600000</v>
      </c>
      <c r="W118" s="37">
        <v>3400000</v>
      </c>
      <c r="X118" s="26">
        <v>1</v>
      </c>
      <c r="Y118" s="37">
        <v>34000</v>
      </c>
      <c r="Z118" s="19"/>
      <c r="AA118" s="19" t="s">
        <v>47</v>
      </c>
      <c r="AB118" s="19">
        <v>1141071091</v>
      </c>
      <c r="AC118" s="27">
        <v>45593</v>
      </c>
      <c r="AD118" s="35" t="s">
        <v>48</v>
      </c>
      <c r="AE118" s="35">
        <v>0</v>
      </c>
      <c r="AF118" s="28" t="s">
        <v>1288</v>
      </c>
      <c r="AG118" s="29">
        <v>34000</v>
      </c>
      <c r="AH118" s="39">
        <f t="shared" si="1"/>
        <v>0</v>
      </c>
      <c r="AI118" s="28" t="s">
        <v>1626</v>
      </c>
      <c r="AJ118" s="28" t="s">
        <v>49</v>
      </c>
    </row>
    <row r="119" spans="1:36" x14ac:dyDescent="0.25">
      <c r="A119" s="19" t="s">
        <v>412</v>
      </c>
      <c r="B119" s="19" t="s">
        <v>1294</v>
      </c>
      <c r="C119" s="20">
        <v>45536</v>
      </c>
      <c r="D119" s="18" t="s">
        <v>37</v>
      </c>
      <c r="E119" s="19" t="s">
        <v>1295</v>
      </c>
      <c r="F119" s="21">
        <v>45562</v>
      </c>
      <c r="G119" s="21">
        <v>45926</v>
      </c>
      <c r="H119" s="22" t="s">
        <v>1296</v>
      </c>
      <c r="I119" s="23">
        <v>3310027042365</v>
      </c>
      <c r="J119" s="22" t="s">
        <v>329</v>
      </c>
      <c r="K119" s="19" t="s">
        <v>1297</v>
      </c>
      <c r="L119" s="19" t="s">
        <v>1298</v>
      </c>
      <c r="M119" s="19" t="s">
        <v>1299</v>
      </c>
      <c r="N119" s="19" t="s">
        <v>1294</v>
      </c>
      <c r="O119" s="35" t="s">
        <v>57</v>
      </c>
      <c r="P119" s="19" t="s">
        <v>67</v>
      </c>
      <c r="Q119" s="19" t="s">
        <v>1300</v>
      </c>
      <c r="R119" s="33">
        <v>44834</v>
      </c>
      <c r="S119" s="33">
        <v>45936</v>
      </c>
      <c r="T119" s="24">
        <v>3250000</v>
      </c>
      <c r="U119" s="19">
        <v>15</v>
      </c>
      <c r="V119" s="37">
        <v>487500</v>
      </c>
      <c r="W119" s="37">
        <v>2762500</v>
      </c>
      <c r="X119" s="26">
        <v>2</v>
      </c>
      <c r="Y119" s="37">
        <v>55250</v>
      </c>
      <c r="Z119" s="19"/>
      <c r="AA119" s="19" t="s">
        <v>47</v>
      </c>
      <c r="AB119" s="19">
        <v>1141071091</v>
      </c>
      <c r="AC119" s="27">
        <v>45593</v>
      </c>
      <c r="AD119" s="35" t="s">
        <v>48</v>
      </c>
      <c r="AE119" s="35">
        <v>9</v>
      </c>
      <c r="AF119" s="28" t="s">
        <v>1295</v>
      </c>
      <c r="AG119" s="29">
        <v>55250</v>
      </c>
      <c r="AH119" s="39">
        <f t="shared" si="1"/>
        <v>0</v>
      </c>
      <c r="AI119" s="28" t="s">
        <v>1626</v>
      </c>
      <c r="AJ119" s="28" t="s">
        <v>49</v>
      </c>
    </row>
    <row r="120" spans="1:36" x14ac:dyDescent="0.25">
      <c r="A120" s="19" t="s">
        <v>412</v>
      </c>
      <c r="B120" s="19" t="s">
        <v>1301</v>
      </c>
      <c r="C120" s="20">
        <v>45536</v>
      </c>
      <c r="D120" s="18" t="s">
        <v>37</v>
      </c>
      <c r="E120" s="19" t="s">
        <v>1302</v>
      </c>
      <c r="F120" s="21">
        <v>45557</v>
      </c>
      <c r="G120" s="21">
        <v>45921</v>
      </c>
      <c r="H120" s="22" t="s">
        <v>1303</v>
      </c>
      <c r="I120" s="23">
        <v>3740562270971</v>
      </c>
      <c r="J120" s="22" t="s">
        <v>89</v>
      </c>
      <c r="K120" s="19" t="s">
        <v>1304</v>
      </c>
      <c r="L120" s="19" t="s">
        <v>1305</v>
      </c>
      <c r="M120" s="19" t="s">
        <v>1306</v>
      </c>
      <c r="N120" s="19" t="s">
        <v>1301</v>
      </c>
      <c r="O120" s="35" t="s">
        <v>132</v>
      </c>
      <c r="P120" s="19" t="s">
        <v>133</v>
      </c>
      <c r="Q120" s="19" t="s">
        <v>1307</v>
      </c>
      <c r="R120" s="33">
        <v>44832</v>
      </c>
      <c r="S120" s="33">
        <v>46665</v>
      </c>
      <c r="T120" s="24">
        <v>2500000</v>
      </c>
      <c r="U120" s="19">
        <v>15</v>
      </c>
      <c r="V120" s="37">
        <v>375000</v>
      </c>
      <c r="W120" s="37">
        <v>2125000</v>
      </c>
      <c r="X120" s="26">
        <v>2</v>
      </c>
      <c r="Y120" s="37">
        <v>42500</v>
      </c>
      <c r="Z120" s="19"/>
      <c r="AA120" s="19" t="s">
        <v>47</v>
      </c>
      <c r="AB120" s="19">
        <v>1141071091</v>
      </c>
      <c r="AC120" s="27">
        <v>45593</v>
      </c>
      <c r="AD120" s="35" t="s">
        <v>48</v>
      </c>
      <c r="AE120" s="35">
        <v>0</v>
      </c>
      <c r="AF120" s="28" t="s">
        <v>1302</v>
      </c>
      <c r="AG120" s="29">
        <v>42500</v>
      </c>
      <c r="AH120" s="39">
        <f t="shared" si="1"/>
        <v>0</v>
      </c>
      <c r="AI120" s="28" t="s">
        <v>1626</v>
      </c>
      <c r="AJ120" s="28" t="s">
        <v>49</v>
      </c>
    </row>
    <row r="121" spans="1:36" x14ac:dyDescent="0.25">
      <c r="A121" s="19" t="s">
        <v>412</v>
      </c>
      <c r="B121" s="19" t="s">
        <v>1308</v>
      </c>
      <c r="C121" s="20">
        <v>45536</v>
      </c>
      <c r="D121" s="18" t="s">
        <v>37</v>
      </c>
      <c r="E121" s="19" t="s">
        <v>1309</v>
      </c>
      <c r="F121" s="21">
        <v>45557</v>
      </c>
      <c r="G121" s="21">
        <v>45921</v>
      </c>
      <c r="H121" s="22" t="s">
        <v>1310</v>
      </c>
      <c r="I121" s="23">
        <v>3520130872337</v>
      </c>
      <c r="J121" s="22" t="s">
        <v>1311</v>
      </c>
      <c r="K121" s="19" t="s">
        <v>1312</v>
      </c>
      <c r="L121" s="19" t="s">
        <v>1313</v>
      </c>
      <c r="M121" s="19" t="s">
        <v>1314</v>
      </c>
      <c r="N121" s="19" t="s">
        <v>1308</v>
      </c>
      <c r="O121" s="35" t="s">
        <v>57</v>
      </c>
      <c r="P121" s="19" t="s">
        <v>76</v>
      </c>
      <c r="Q121" s="19" t="s">
        <v>1315</v>
      </c>
      <c r="R121" s="33">
        <v>44832</v>
      </c>
      <c r="S121" s="33">
        <v>45936</v>
      </c>
      <c r="T121" s="24">
        <v>4390000</v>
      </c>
      <c r="U121" s="19">
        <v>15</v>
      </c>
      <c r="V121" s="37">
        <v>658500</v>
      </c>
      <c r="W121" s="37">
        <v>3731500</v>
      </c>
      <c r="X121" s="26">
        <v>1.5</v>
      </c>
      <c r="Y121" s="37">
        <v>55972.5</v>
      </c>
      <c r="Z121" s="19"/>
      <c r="AA121" s="19" t="s">
        <v>47</v>
      </c>
      <c r="AB121" s="19">
        <v>1141071091</v>
      </c>
      <c r="AC121" s="27">
        <v>45593</v>
      </c>
      <c r="AD121" s="35" t="s">
        <v>48</v>
      </c>
      <c r="AE121" s="35">
        <v>0</v>
      </c>
      <c r="AF121" s="28" t="s">
        <v>1309</v>
      </c>
      <c r="AG121" s="29">
        <v>55973</v>
      </c>
      <c r="AH121" s="39">
        <f t="shared" si="1"/>
        <v>-0.5</v>
      </c>
      <c r="AI121" s="28" t="s">
        <v>1626</v>
      </c>
      <c r="AJ121" s="28" t="s">
        <v>49</v>
      </c>
    </row>
    <row r="122" spans="1:36" x14ac:dyDescent="0.25">
      <c r="A122" s="19" t="s">
        <v>412</v>
      </c>
      <c r="B122" s="19" t="s">
        <v>1316</v>
      </c>
      <c r="C122" s="20">
        <v>45536</v>
      </c>
      <c r="D122" s="18" t="s">
        <v>37</v>
      </c>
      <c r="E122" s="19" t="s">
        <v>1317</v>
      </c>
      <c r="F122" s="21">
        <v>45558</v>
      </c>
      <c r="G122" s="21">
        <v>45922</v>
      </c>
      <c r="H122" s="22" t="s">
        <v>1318</v>
      </c>
      <c r="I122" s="23">
        <v>3520157394535</v>
      </c>
      <c r="J122" s="22" t="s">
        <v>63</v>
      </c>
      <c r="K122" s="19" t="s">
        <v>1319</v>
      </c>
      <c r="L122" s="19" t="s">
        <v>1320</v>
      </c>
      <c r="M122" s="19" t="s">
        <v>1321</v>
      </c>
      <c r="N122" s="19" t="s">
        <v>1316</v>
      </c>
      <c r="O122" s="35" t="s">
        <v>57</v>
      </c>
      <c r="P122" s="19" t="s">
        <v>921</v>
      </c>
      <c r="Q122" s="19" t="s">
        <v>1322</v>
      </c>
      <c r="R122" s="33">
        <v>44831</v>
      </c>
      <c r="S122" s="33">
        <v>46300</v>
      </c>
      <c r="T122" s="24">
        <v>1825000</v>
      </c>
      <c r="U122" s="19">
        <v>15</v>
      </c>
      <c r="V122" s="37">
        <v>273750</v>
      </c>
      <c r="W122" s="37">
        <v>1551250</v>
      </c>
      <c r="X122" s="26">
        <v>2</v>
      </c>
      <c r="Y122" s="37">
        <v>31025</v>
      </c>
      <c r="Z122" s="19"/>
      <c r="AA122" s="19" t="s">
        <v>47</v>
      </c>
      <c r="AB122" s="19">
        <v>1141071091</v>
      </c>
      <c r="AC122" s="27">
        <v>45593</v>
      </c>
      <c r="AD122" s="35" t="s">
        <v>48</v>
      </c>
      <c r="AE122" s="35">
        <v>0</v>
      </c>
      <c r="AF122" s="28" t="s">
        <v>1317</v>
      </c>
      <c r="AG122" s="29">
        <v>31025</v>
      </c>
      <c r="AH122" s="39">
        <f t="shared" si="1"/>
        <v>0</v>
      </c>
      <c r="AI122" s="28" t="s">
        <v>1626</v>
      </c>
      <c r="AJ122" s="28" t="s">
        <v>49</v>
      </c>
    </row>
    <row r="123" spans="1:36" x14ac:dyDescent="0.25">
      <c r="A123" s="19" t="s">
        <v>412</v>
      </c>
      <c r="B123" s="19" t="s">
        <v>1323</v>
      </c>
      <c r="C123" s="20">
        <v>45536</v>
      </c>
      <c r="D123" s="18" t="s">
        <v>37</v>
      </c>
      <c r="E123" s="19" t="s">
        <v>1324</v>
      </c>
      <c r="F123" s="21">
        <v>45558</v>
      </c>
      <c r="G123" s="21">
        <v>45922</v>
      </c>
      <c r="H123" s="22" t="s">
        <v>1325</v>
      </c>
      <c r="I123" s="23">
        <v>3520156073031</v>
      </c>
      <c r="J123" s="22" t="s">
        <v>1326</v>
      </c>
      <c r="K123" s="19"/>
      <c r="L123" s="19" t="s">
        <v>1327</v>
      </c>
      <c r="M123" s="19" t="s">
        <v>1328</v>
      </c>
      <c r="N123" s="19" t="s">
        <v>1323</v>
      </c>
      <c r="O123" s="35" t="s">
        <v>57</v>
      </c>
      <c r="P123" s="19" t="s">
        <v>76</v>
      </c>
      <c r="Q123" s="19" t="s">
        <v>1329</v>
      </c>
      <c r="R123" s="33">
        <v>44831</v>
      </c>
      <c r="S123" s="33">
        <v>45936</v>
      </c>
      <c r="T123" s="24">
        <v>4000000</v>
      </c>
      <c r="U123" s="19">
        <v>15</v>
      </c>
      <c r="V123" s="37">
        <v>600000</v>
      </c>
      <c r="W123" s="37">
        <v>3400000</v>
      </c>
      <c r="X123" s="26">
        <v>1.5</v>
      </c>
      <c r="Y123" s="37">
        <v>51000</v>
      </c>
      <c r="Z123" s="19"/>
      <c r="AA123" s="19" t="s">
        <v>47</v>
      </c>
      <c r="AB123" s="19">
        <v>1141071091</v>
      </c>
      <c r="AC123" s="27">
        <v>45593</v>
      </c>
      <c r="AD123" s="35" t="s">
        <v>48</v>
      </c>
      <c r="AE123" s="35">
        <v>0</v>
      </c>
      <c r="AF123" s="28" t="s">
        <v>1324</v>
      </c>
      <c r="AG123" s="29">
        <v>51000</v>
      </c>
      <c r="AH123" s="39">
        <f t="shared" si="1"/>
        <v>0</v>
      </c>
      <c r="AI123" s="28" t="s">
        <v>1626</v>
      </c>
      <c r="AJ123" s="28" t="s">
        <v>49</v>
      </c>
    </row>
    <row r="124" spans="1:36" x14ac:dyDescent="0.25">
      <c r="A124" s="19" t="s">
        <v>412</v>
      </c>
      <c r="B124" s="19" t="s">
        <v>1330</v>
      </c>
      <c r="C124" s="20">
        <v>45536</v>
      </c>
      <c r="D124" s="18" t="s">
        <v>37</v>
      </c>
      <c r="E124" s="19" t="s">
        <v>1331</v>
      </c>
      <c r="F124" s="21">
        <v>45561</v>
      </c>
      <c r="G124" s="21">
        <v>45925</v>
      </c>
      <c r="H124" s="22" t="s">
        <v>1332</v>
      </c>
      <c r="I124" s="23">
        <v>3710352985777</v>
      </c>
      <c r="J124" s="22" t="s">
        <v>455</v>
      </c>
      <c r="K124" s="19" t="s">
        <v>1333</v>
      </c>
      <c r="L124" s="19" t="s">
        <v>1334</v>
      </c>
      <c r="M124" s="19" t="s">
        <v>1335</v>
      </c>
      <c r="N124" s="19" t="s">
        <v>1330</v>
      </c>
      <c r="O124" s="35" t="s">
        <v>132</v>
      </c>
      <c r="P124" s="19" t="s">
        <v>442</v>
      </c>
      <c r="Q124" s="19" t="s">
        <v>1336</v>
      </c>
      <c r="R124" s="33">
        <v>44832</v>
      </c>
      <c r="S124" s="33">
        <v>46665</v>
      </c>
      <c r="T124" s="24">
        <v>2754000</v>
      </c>
      <c r="U124" s="19">
        <v>15</v>
      </c>
      <c r="V124" s="37">
        <v>413100</v>
      </c>
      <c r="W124" s="37">
        <v>2340900</v>
      </c>
      <c r="X124" s="26">
        <v>2</v>
      </c>
      <c r="Y124" s="37">
        <v>46818</v>
      </c>
      <c r="Z124" s="19"/>
      <c r="AA124" s="19" t="s">
        <v>47</v>
      </c>
      <c r="AB124" s="19">
        <v>1141071091</v>
      </c>
      <c r="AC124" s="27">
        <v>45593</v>
      </c>
      <c r="AD124" s="35" t="s">
        <v>48</v>
      </c>
      <c r="AE124" s="35">
        <v>0</v>
      </c>
      <c r="AF124" s="28" t="s">
        <v>1331</v>
      </c>
      <c r="AG124" s="29">
        <v>46818</v>
      </c>
      <c r="AH124" s="39">
        <f t="shared" si="1"/>
        <v>0</v>
      </c>
      <c r="AI124" s="28" t="s">
        <v>1626</v>
      </c>
      <c r="AJ124" s="28" t="s">
        <v>49</v>
      </c>
    </row>
    <row r="125" spans="1:36" x14ac:dyDescent="0.25">
      <c r="A125" s="19" t="s">
        <v>412</v>
      </c>
      <c r="B125" s="19" t="s">
        <v>1337</v>
      </c>
      <c r="C125" s="20">
        <v>45536</v>
      </c>
      <c r="D125" s="18" t="s">
        <v>37</v>
      </c>
      <c r="E125" s="19" t="s">
        <v>1338</v>
      </c>
      <c r="F125" s="21">
        <v>45562</v>
      </c>
      <c r="G125" s="21">
        <v>45926</v>
      </c>
      <c r="H125" s="22" t="s">
        <v>1339</v>
      </c>
      <c r="I125" s="23" t="s">
        <v>1340</v>
      </c>
      <c r="J125" s="22" t="s">
        <v>451</v>
      </c>
      <c r="K125" s="19" t="s">
        <v>1341</v>
      </c>
      <c r="L125" s="19" t="s">
        <v>1342</v>
      </c>
      <c r="M125" s="19" t="s">
        <v>1343</v>
      </c>
      <c r="N125" s="19" t="s">
        <v>1337</v>
      </c>
      <c r="O125" s="35" t="s">
        <v>44</v>
      </c>
      <c r="P125" s="19" t="s">
        <v>173</v>
      </c>
      <c r="Q125" s="19" t="s">
        <v>1344</v>
      </c>
      <c r="R125" s="33">
        <v>44833</v>
      </c>
      <c r="S125" s="33">
        <v>45936</v>
      </c>
      <c r="T125" s="24">
        <v>2600000</v>
      </c>
      <c r="U125" s="19">
        <v>15</v>
      </c>
      <c r="V125" s="37">
        <v>390000</v>
      </c>
      <c r="W125" s="37">
        <v>2210000</v>
      </c>
      <c r="X125" s="26">
        <v>2</v>
      </c>
      <c r="Y125" s="37">
        <v>44200</v>
      </c>
      <c r="Z125" s="19"/>
      <c r="AA125" s="19" t="s">
        <v>47</v>
      </c>
      <c r="AB125" s="19">
        <v>1141071091</v>
      </c>
      <c r="AC125" s="27">
        <v>45593</v>
      </c>
      <c r="AD125" s="35" t="s">
        <v>48</v>
      </c>
      <c r="AE125" s="35">
        <v>9</v>
      </c>
      <c r="AF125" s="42" t="s">
        <v>1627</v>
      </c>
      <c r="AG125" s="40">
        <v>44200</v>
      </c>
      <c r="AH125" s="39">
        <f t="shared" si="1"/>
        <v>0</v>
      </c>
      <c r="AI125" s="28" t="s">
        <v>1626</v>
      </c>
      <c r="AJ125" s="28" t="s">
        <v>49</v>
      </c>
    </row>
    <row r="126" spans="1:36" x14ac:dyDescent="0.25">
      <c r="A126" s="19" t="s">
        <v>412</v>
      </c>
      <c r="B126" s="19" t="s">
        <v>1345</v>
      </c>
      <c r="C126" s="20">
        <v>45536</v>
      </c>
      <c r="D126" s="18" t="s">
        <v>37</v>
      </c>
      <c r="E126" s="19" t="s">
        <v>1346</v>
      </c>
      <c r="F126" s="21">
        <v>45563</v>
      </c>
      <c r="G126" s="21">
        <v>45927</v>
      </c>
      <c r="H126" s="22" t="s">
        <v>1347</v>
      </c>
      <c r="I126" s="23">
        <v>4240105017829</v>
      </c>
      <c r="J126" s="22" t="s">
        <v>413</v>
      </c>
      <c r="K126" s="19" t="s">
        <v>1348</v>
      </c>
      <c r="L126" s="19" t="s">
        <v>1349</v>
      </c>
      <c r="M126" s="19" t="s">
        <v>1350</v>
      </c>
      <c r="N126" s="19" t="s">
        <v>1345</v>
      </c>
      <c r="O126" s="35" t="s">
        <v>44</v>
      </c>
      <c r="P126" s="19" t="s">
        <v>173</v>
      </c>
      <c r="Q126" s="19" t="s">
        <v>1351</v>
      </c>
      <c r="R126" s="33">
        <v>44834</v>
      </c>
      <c r="S126" s="33">
        <v>46665</v>
      </c>
      <c r="T126" s="24">
        <v>1650000</v>
      </c>
      <c r="U126" s="19">
        <v>15</v>
      </c>
      <c r="V126" s="37">
        <v>247500</v>
      </c>
      <c r="W126" s="37">
        <v>1402500</v>
      </c>
      <c r="X126" s="26">
        <v>2</v>
      </c>
      <c r="Y126" s="37">
        <v>28050</v>
      </c>
      <c r="Z126" s="19"/>
      <c r="AA126" s="19" t="s">
        <v>47</v>
      </c>
      <c r="AB126" s="19">
        <v>1141071091</v>
      </c>
      <c r="AC126" s="27">
        <v>45593</v>
      </c>
      <c r="AD126" s="35" t="s">
        <v>48</v>
      </c>
      <c r="AE126" s="35">
        <v>9</v>
      </c>
      <c r="AF126" s="28" t="s">
        <v>1346</v>
      </c>
      <c r="AG126" s="29">
        <v>28050</v>
      </c>
      <c r="AH126" s="39">
        <f t="shared" si="1"/>
        <v>0</v>
      </c>
      <c r="AI126" s="28" t="s">
        <v>1626</v>
      </c>
      <c r="AJ126" s="28" t="s">
        <v>49</v>
      </c>
    </row>
    <row r="127" spans="1:36" x14ac:dyDescent="0.25">
      <c r="A127" s="19" t="s">
        <v>412</v>
      </c>
      <c r="B127" s="19" t="s">
        <v>1352</v>
      </c>
      <c r="C127" s="20">
        <v>45536</v>
      </c>
      <c r="D127" s="18" t="s">
        <v>37</v>
      </c>
      <c r="E127" s="19" t="s">
        <v>1353</v>
      </c>
      <c r="F127" s="21">
        <v>45563</v>
      </c>
      <c r="G127" s="21">
        <v>45927</v>
      </c>
      <c r="H127" s="22" t="s">
        <v>1354</v>
      </c>
      <c r="I127" s="23">
        <v>3520229891629</v>
      </c>
      <c r="J127" s="22" t="s">
        <v>742</v>
      </c>
      <c r="K127" s="19" t="s">
        <v>1355</v>
      </c>
      <c r="L127" s="19" t="s">
        <v>1356</v>
      </c>
      <c r="M127" s="19" t="s">
        <v>1357</v>
      </c>
      <c r="N127" s="19" t="s">
        <v>1352</v>
      </c>
      <c r="O127" s="35" t="s">
        <v>57</v>
      </c>
      <c r="P127" s="19" t="s">
        <v>76</v>
      </c>
      <c r="Q127" s="19" t="s">
        <v>1358</v>
      </c>
      <c r="R127" s="33">
        <v>44844</v>
      </c>
      <c r="S127" s="33">
        <v>46300</v>
      </c>
      <c r="T127" s="24">
        <v>2274000</v>
      </c>
      <c r="U127" s="19">
        <v>15</v>
      </c>
      <c r="V127" s="37">
        <v>341100</v>
      </c>
      <c r="W127" s="37">
        <v>1932900</v>
      </c>
      <c r="X127" s="26">
        <v>1.75</v>
      </c>
      <c r="Y127" s="37">
        <v>33825.75</v>
      </c>
      <c r="Z127" s="19"/>
      <c r="AA127" s="19" t="s">
        <v>47</v>
      </c>
      <c r="AB127" s="19">
        <v>1141071091</v>
      </c>
      <c r="AC127" s="27">
        <v>45593</v>
      </c>
      <c r="AD127" s="35" t="s">
        <v>48</v>
      </c>
      <c r="AE127" s="35">
        <v>0</v>
      </c>
      <c r="AF127" s="28" t="s">
        <v>1353</v>
      </c>
      <c r="AG127" s="29">
        <v>33826</v>
      </c>
      <c r="AH127" s="39">
        <f t="shared" si="1"/>
        <v>-0.25</v>
      </c>
      <c r="AI127" s="28" t="s">
        <v>1626</v>
      </c>
      <c r="AJ127" s="28" t="s">
        <v>49</v>
      </c>
    </row>
    <row r="128" spans="1:36" x14ac:dyDescent="0.25">
      <c r="A128" s="19" t="s">
        <v>412</v>
      </c>
      <c r="B128" s="19" t="s">
        <v>1359</v>
      </c>
      <c r="C128" s="20">
        <v>45536</v>
      </c>
      <c r="D128" s="18" t="s">
        <v>37</v>
      </c>
      <c r="E128" s="19" t="s">
        <v>1360</v>
      </c>
      <c r="F128" s="21">
        <v>45563</v>
      </c>
      <c r="G128" s="21">
        <v>45927</v>
      </c>
      <c r="H128" s="22" t="s">
        <v>1361</v>
      </c>
      <c r="I128" s="23">
        <v>3220132082663</v>
      </c>
      <c r="J128" s="22" t="s">
        <v>1362</v>
      </c>
      <c r="K128" s="19"/>
      <c r="L128" s="19" t="s">
        <v>1363</v>
      </c>
      <c r="M128" s="19" t="s">
        <v>1364</v>
      </c>
      <c r="N128" s="19" t="s">
        <v>1359</v>
      </c>
      <c r="O128" s="35" t="s">
        <v>44</v>
      </c>
      <c r="P128" s="19" t="s">
        <v>173</v>
      </c>
      <c r="Q128" s="19" t="s">
        <v>1365</v>
      </c>
      <c r="R128" s="33">
        <v>44841</v>
      </c>
      <c r="S128" s="33">
        <v>46665</v>
      </c>
      <c r="T128" s="24">
        <v>6070300</v>
      </c>
      <c r="U128" s="19">
        <v>15</v>
      </c>
      <c r="V128" s="37">
        <v>910545</v>
      </c>
      <c r="W128" s="37">
        <v>5159755</v>
      </c>
      <c r="X128" s="26">
        <v>1.25</v>
      </c>
      <c r="Y128" s="37">
        <v>64496.9375</v>
      </c>
      <c r="Z128" s="19"/>
      <c r="AA128" s="19" t="s">
        <v>47</v>
      </c>
      <c r="AB128" s="19">
        <v>1141071091</v>
      </c>
      <c r="AC128" s="27">
        <v>45593</v>
      </c>
      <c r="AD128" s="35" t="s">
        <v>48</v>
      </c>
      <c r="AE128" s="35">
        <v>0</v>
      </c>
      <c r="AF128" s="28" t="s">
        <v>1360</v>
      </c>
      <c r="AG128" s="29">
        <v>64497</v>
      </c>
      <c r="AH128" s="39">
        <f t="shared" si="1"/>
        <v>-6.25E-2</v>
      </c>
      <c r="AI128" s="28" t="s">
        <v>1626</v>
      </c>
      <c r="AJ128" s="28" t="s">
        <v>49</v>
      </c>
    </row>
    <row r="129" spans="1:36" x14ac:dyDescent="0.25">
      <c r="A129" s="19" t="s">
        <v>412</v>
      </c>
      <c r="B129" s="19" t="s">
        <v>1366</v>
      </c>
      <c r="C129" s="20">
        <v>45536</v>
      </c>
      <c r="D129" s="18" t="s">
        <v>37</v>
      </c>
      <c r="E129" s="19" t="s">
        <v>1367</v>
      </c>
      <c r="F129" s="21">
        <v>45563</v>
      </c>
      <c r="G129" s="21">
        <v>45927</v>
      </c>
      <c r="H129" s="22" t="s">
        <v>1368</v>
      </c>
      <c r="I129" s="23">
        <v>3520109781765</v>
      </c>
      <c r="J129" s="22" t="s">
        <v>224</v>
      </c>
      <c r="K129" s="19" t="s">
        <v>1369</v>
      </c>
      <c r="L129" s="19" t="s">
        <v>1370</v>
      </c>
      <c r="M129" s="19" t="s">
        <v>1371</v>
      </c>
      <c r="N129" s="19" t="s">
        <v>1366</v>
      </c>
      <c r="O129" s="35" t="s">
        <v>57</v>
      </c>
      <c r="P129" s="19" t="s">
        <v>76</v>
      </c>
      <c r="Q129" s="19" t="s">
        <v>1372</v>
      </c>
      <c r="R129" s="33">
        <v>44845</v>
      </c>
      <c r="S129" s="33">
        <v>46300</v>
      </c>
      <c r="T129" s="24">
        <v>2564000</v>
      </c>
      <c r="U129" s="19">
        <v>15</v>
      </c>
      <c r="V129" s="37">
        <v>384600</v>
      </c>
      <c r="W129" s="37">
        <v>2179400</v>
      </c>
      <c r="X129" s="26">
        <v>2</v>
      </c>
      <c r="Y129" s="37">
        <v>43588</v>
      </c>
      <c r="Z129" s="19"/>
      <c r="AA129" s="19" t="s">
        <v>47</v>
      </c>
      <c r="AB129" s="19">
        <v>1141071091</v>
      </c>
      <c r="AC129" s="27">
        <v>45593</v>
      </c>
      <c r="AD129" s="35" t="s">
        <v>48</v>
      </c>
      <c r="AE129" s="35">
        <v>9</v>
      </c>
      <c r="AF129" s="28" t="s">
        <v>1367</v>
      </c>
      <c r="AG129" s="29">
        <v>43588</v>
      </c>
      <c r="AH129" s="39">
        <f t="shared" si="1"/>
        <v>0</v>
      </c>
      <c r="AI129" s="28" t="s">
        <v>1626</v>
      </c>
      <c r="AJ129" s="28" t="s">
        <v>49</v>
      </c>
    </row>
    <row r="130" spans="1:36" x14ac:dyDescent="0.25">
      <c r="A130" s="19" t="s">
        <v>412</v>
      </c>
      <c r="B130" s="19" t="s">
        <v>1373</v>
      </c>
      <c r="C130" s="20">
        <v>45536</v>
      </c>
      <c r="D130" s="18" t="s">
        <v>37</v>
      </c>
      <c r="E130" s="19" t="s">
        <v>1374</v>
      </c>
      <c r="F130" s="21">
        <v>45564</v>
      </c>
      <c r="G130" s="21">
        <v>45928</v>
      </c>
      <c r="H130" s="22" t="s">
        <v>1375</v>
      </c>
      <c r="I130" s="23">
        <v>3520239469989</v>
      </c>
      <c r="J130" s="22" t="s">
        <v>162</v>
      </c>
      <c r="K130" s="19"/>
      <c r="L130" s="19" t="s">
        <v>1376</v>
      </c>
      <c r="M130" s="19" t="s">
        <v>1377</v>
      </c>
      <c r="N130" s="19" t="s">
        <v>1373</v>
      </c>
      <c r="O130" s="35" t="s">
        <v>57</v>
      </c>
      <c r="P130" s="19" t="s">
        <v>76</v>
      </c>
      <c r="Q130" s="19" t="s">
        <v>1378</v>
      </c>
      <c r="R130" s="33">
        <v>44834</v>
      </c>
      <c r="S130" s="33">
        <v>45936</v>
      </c>
      <c r="T130" s="24">
        <v>3923500</v>
      </c>
      <c r="U130" s="19">
        <v>15</v>
      </c>
      <c r="V130" s="37">
        <v>588525</v>
      </c>
      <c r="W130" s="37">
        <v>3334975</v>
      </c>
      <c r="X130" s="26">
        <v>1.5</v>
      </c>
      <c r="Y130" s="37">
        <v>50024.625</v>
      </c>
      <c r="Z130" s="19"/>
      <c r="AA130" s="19" t="s">
        <v>47</v>
      </c>
      <c r="AB130" s="19">
        <v>1141071091</v>
      </c>
      <c r="AC130" s="27">
        <v>45593</v>
      </c>
      <c r="AD130" s="35" t="s">
        <v>48</v>
      </c>
      <c r="AE130" s="35">
        <v>0</v>
      </c>
      <c r="AF130" s="28" t="s">
        <v>1374</v>
      </c>
      <c r="AG130" s="29">
        <v>50025</v>
      </c>
      <c r="AH130" s="39">
        <f t="shared" si="1"/>
        <v>-0.375</v>
      </c>
      <c r="AI130" s="28" t="s">
        <v>1626</v>
      </c>
      <c r="AJ130" s="28" t="s">
        <v>49</v>
      </c>
    </row>
    <row r="131" spans="1:36" x14ac:dyDescent="0.25">
      <c r="A131" s="19" t="s">
        <v>412</v>
      </c>
      <c r="B131" s="19" t="s">
        <v>1379</v>
      </c>
      <c r="C131" s="20">
        <v>45536</v>
      </c>
      <c r="D131" s="18" t="s">
        <v>37</v>
      </c>
      <c r="E131" s="19" t="s">
        <v>1380</v>
      </c>
      <c r="F131" s="21">
        <v>45564</v>
      </c>
      <c r="G131" s="21">
        <v>45928</v>
      </c>
      <c r="H131" s="22" t="s">
        <v>1381</v>
      </c>
      <c r="I131" s="23">
        <v>6110119763053</v>
      </c>
      <c r="J131" s="22" t="s">
        <v>1382</v>
      </c>
      <c r="K131" s="19"/>
      <c r="L131" s="19" t="s">
        <v>1383</v>
      </c>
      <c r="M131" s="19" t="s">
        <v>1384</v>
      </c>
      <c r="N131" s="19" t="s">
        <v>1379</v>
      </c>
      <c r="O131" s="35" t="s">
        <v>132</v>
      </c>
      <c r="P131" s="19" t="s">
        <v>1385</v>
      </c>
      <c r="Q131" s="19" t="s">
        <v>1386</v>
      </c>
      <c r="R131" s="33">
        <v>44834</v>
      </c>
      <c r="S131" s="33">
        <v>45936</v>
      </c>
      <c r="T131" s="24">
        <v>6413500</v>
      </c>
      <c r="U131" s="19">
        <v>15</v>
      </c>
      <c r="V131" s="37">
        <v>962025</v>
      </c>
      <c r="W131" s="37">
        <v>5451475</v>
      </c>
      <c r="X131" s="26">
        <v>1.5</v>
      </c>
      <c r="Y131" s="37">
        <v>81772.125</v>
      </c>
      <c r="Z131" s="19"/>
      <c r="AA131" s="19" t="s">
        <v>47</v>
      </c>
      <c r="AB131" s="19">
        <v>1141071091</v>
      </c>
      <c r="AC131" s="27">
        <v>45593</v>
      </c>
      <c r="AD131" s="35" t="s">
        <v>48</v>
      </c>
      <c r="AE131" s="35">
        <v>0</v>
      </c>
      <c r="AF131" s="28" t="s">
        <v>1380</v>
      </c>
      <c r="AG131" s="29">
        <v>81772</v>
      </c>
      <c r="AH131" s="39">
        <f t="shared" ref="AH131:AH164" si="2">Y131-AG131</f>
        <v>0.125</v>
      </c>
      <c r="AI131" s="28" t="s">
        <v>1626</v>
      </c>
      <c r="AJ131" s="28" t="s">
        <v>49</v>
      </c>
    </row>
    <row r="132" spans="1:36" x14ac:dyDescent="0.25">
      <c r="A132" s="19" t="s">
        <v>412</v>
      </c>
      <c r="B132" s="19" t="s">
        <v>1387</v>
      </c>
      <c r="C132" s="20">
        <v>45536</v>
      </c>
      <c r="D132" s="18" t="s">
        <v>37</v>
      </c>
      <c r="E132" s="19" t="s">
        <v>1388</v>
      </c>
      <c r="F132" s="21">
        <v>45564</v>
      </c>
      <c r="G132" s="21">
        <v>45928</v>
      </c>
      <c r="H132" s="22" t="s">
        <v>1389</v>
      </c>
      <c r="I132" s="23">
        <v>1310103495679</v>
      </c>
      <c r="J132" s="22" t="s">
        <v>447</v>
      </c>
      <c r="K132" s="19" t="s">
        <v>1390</v>
      </c>
      <c r="L132" s="19" t="s">
        <v>1391</v>
      </c>
      <c r="M132" s="19" t="s">
        <v>1392</v>
      </c>
      <c r="N132" s="19" t="s">
        <v>1387</v>
      </c>
      <c r="O132" s="35" t="s">
        <v>132</v>
      </c>
      <c r="P132" s="19" t="s">
        <v>133</v>
      </c>
      <c r="Q132" s="19" t="s">
        <v>1393</v>
      </c>
      <c r="R132" s="33">
        <v>44834</v>
      </c>
      <c r="S132" s="33">
        <v>46665</v>
      </c>
      <c r="T132" s="24">
        <v>2802000</v>
      </c>
      <c r="U132" s="19">
        <v>15</v>
      </c>
      <c r="V132" s="37">
        <v>420300</v>
      </c>
      <c r="W132" s="37">
        <v>2381700</v>
      </c>
      <c r="X132" s="26">
        <v>2</v>
      </c>
      <c r="Y132" s="37">
        <v>47634</v>
      </c>
      <c r="Z132" s="19"/>
      <c r="AA132" s="19" t="s">
        <v>47</v>
      </c>
      <c r="AB132" s="19">
        <v>1141071091</v>
      </c>
      <c r="AC132" s="27">
        <v>45593</v>
      </c>
      <c r="AD132" s="35" t="s">
        <v>48</v>
      </c>
      <c r="AE132" s="35">
        <v>9</v>
      </c>
      <c r="AF132" s="28" t="s">
        <v>1388</v>
      </c>
      <c r="AG132" s="29">
        <v>47634</v>
      </c>
      <c r="AH132" s="39">
        <f t="shared" si="2"/>
        <v>0</v>
      </c>
      <c r="AI132" s="28" t="s">
        <v>1626</v>
      </c>
      <c r="AJ132" s="28" t="s">
        <v>49</v>
      </c>
    </row>
    <row r="133" spans="1:36" x14ac:dyDescent="0.25">
      <c r="A133" s="19" t="s">
        <v>412</v>
      </c>
      <c r="B133" s="19" t="s">
        <v>1394</v>
      </c>
      <c r="C133" s="20">
        <v>45536</v>
      </c>
      <c r="D133" s="18" t="s">
        <v>37</v>
      </c>
      <c r="E133" s="19" t="s">
        <v>1395</v>
      </c>
      <c r="F133" s="21">
        <v>45565</v>
      </c>
      <c r="G133" s="21">
        <v>45929</v>
      </c>
      <c r="H133" s="22" t="s">
        <v>1396</v>
      </c>
      <c r="I133" s="23">
        <v>3310291644111</v>
      </c>
      <c r="J133" s="22" t="s">
        <v>162</v>
      </c>
      <c r="K133" s="19" t="s">
        <v>1397</v>
      </c>
      <c r="L133" s="19" t="s">
        <v>1398</v>
      </c>
      <c r="M133" s="19" t="s">
        <v>1399</v>
      </c>
      <c r="N133" s="19" t="s">
        <v>1394</v>
      </c>
      <c r="O133" s="35" t="s">
        <v>57</v>
      </c>
      <c r="P133" s="19" t="s">
        <v>67</v>
      </c>
      <c r="Q133" s="19" t="s">
        <v>1400</v>
      </c>
      <c r="R133" s="33">
        <v>44834</v>
      </c>
      <c r="S133" s="33">
        <v>45936</v>
      </c>
      <c r="T133" s="24">
        <v>3800000</v>
      </c>
      <c r="U133" s="19">
        <v>15</v>
      </c>
      <c r="V133" s="37">
        <v>570000</v>
      </c>
      <c r="W133" s="37">
        <v>3230000</v>
      </c>
      <c r="X133" s="26">
        <v>1.5</v>
      </c>
      <c r="Y133" s="37">
        <v>48450</v>
      </c>
      <c r="Z133" s="19"/>
      <c r="AA133" s="19" t="s">
        <v>47</v>
      </c>
      <c r="AB133" s="19">
        <v>1141071091</v>
      </c>
      <c r="AC133" s="27">
        <v>45593</v>
      </c>
      <c r="AD133" s="35" t="s">
        <v>48</v>
      </c>
      <c r="AE133" s="35">
        <v>9</v>
      </c>
      <c r="AF133" s="28" t="s">
        <v>1395</v>
      </c>
      <c r="AG133" s="29">
        <v>48450</v>
      </c>
      <c r="AH133" s="39">
        <f t="shared" si="2"/>
        <v>0</v>
      </c>
      <c r="AI133" s="28" t="s">
        <v>1626</v>
      </c>
      <c r="AJ133" s="28" t="s">
        <v>49</v>
      </c>
    </row>
    <row r="134" spans="1:36" x14ac:dyDescent="0.25">
      <c r="A134" s="19" t="s">
        <v>412</v>
      </c>
      <c r="B134" s="19" t="s">
        <v>1401</v>
      </c>
      <c r="C134" s="20">
        <v>45536</v>
      </c>
      <c r="D134" s="18" t="s">
        <v>37</v>
      </c>
      <c r="E134" s="19" t="s">
        <v>1402</v>
      </c>
      <c r="F134" s="21">
        <v>45542</v>
      </c>
      <c r="G134" s="21">
        <v>45906</v>
      </c>
      <c r="H134" s="22" t="s">
        <v>1403</v>
      </c>
      <c r="I134" s="23">
        <v>3310013238447</v>
      </c>
      <c r="J134" s="22" t="s">
        <v>455</v>
      </c>
      <c r="K134" s="19"/>
      <c r="L134" s="19" t="s">
        <v>1404</v>
      </c>
      <c r="M134" s="19" t="s">
        <v>1405</v>
      </c>
      <c r="N134" s="19" t="s">
        <v>1401</v>
      </c>
      <c r="O134" s="35" t="s">
        <v>57</v>
      </c>
      <c r="P134" s="19" t="s">
        <v>67</v>
      </c>
      <c r="Q134" s="19" t="s">
        <v>1406</v>
      </c>
      <c r="R134" s="33">
        <v>44818</v>
      </c>
      <c r="S134" s="33">
        <v>46636</v>
      </c>
      <c r="T134" s="24">
        <v>2900000</v>
      </c>
      <c r="U134" s="19">
        <v>15</v>
      </c>
      <c r="V134" s="37">
        <v>435000</v>
      </c>
      <c r="W134" s="37">
        <v>2465000</v>
      </c>
      <c r="X134" s="26">
        <v>2</v>
      </c>
      <c r="Y134" s="37">
        <v>49300</v>
      </c>
      <c r="Z134" s="19"/>
      <c r="AA134" s="19" t="s">
        <v>47</v>
      </c>
      <c r="AB134" s="19">
        <v>1141071091</v>
      </c>
      <c r="AC134" s="27">
        <v>45593</v>
      </c>
      <c r="AD134" s="35" t="s">
        <v>48</v>
      </c>
      <c r="AE134" s="35">
        <v>9</v>
      </c>
      <c r="AF134" s="28" t="s">
        <v>1402</v>
      </c>
      <c r="AG134" s="29">
        <v>49300</v>
      </c>
      <c r="AH134" s="39">
        <f t="shared" si="2"/>
        <v>0</v>
      </c>
      <c r="AI134" s="28" t="s">
        <v>1626</v>
      </c>
      <c r="AJ134" s="28" t="s">
        <v>49</v>
      </c>
    </row>
    <row r="135" spans="1:36" x14ac:dyDescent="0.25">
      <c r="A135" s="19" t="s">
        <v>412</v>
      </c>
      <c r="B135" s="19" t="s">
        <v>1407</v>
      </c>
      <c r="C135" s="20">
        <v>45536</v>
      </c>
      <c r="D135" s="18" t="s">
        <v>37</v>
      </c>
      <c r="E135" s="19" t="s">
        <v>1408</v>
      </c>
      <c r="F135" s="21">
        <v>45565</v>
      </c>
      <c r="G135" s="21">
        <v>45929</v>
      </c>
      <c r="H135" s="22" t="s">
        <v>1409</v>
      </c>
      <c r="I135" s="23">
        <v>3410194014577</v>
      </c>
      <c r="J135" s="22" t="s">
        <v>224</v>
      </c>
      <c r="K135" s="19" t="s">
        <v>1410</v>
      </c>
      <c r="L135" s="19" t="s">
        <v>1411</v>
      </c>
      <c r="M135" s="19" t="s">
        <v>1412</v>
      </c>
      <c r="N135" s="19" t="s">
        <v>1407</v>
      </c>
      <c r="O135" s="35" t="s">
        <v>57</v>
      </c>
      <c r="P135" s="19" t="s">
        <v>431</v>
      </c>
      <c r="Q135" s="19" t="s">
        <v>1413</v>
      </c>
      <c r="R135" s="33">
        <v>44837</v>
      </c>
      <c r="S135" s="33">
        <v>46665</v>
      </c>
      <c r="T135" s="24">
        <v>1925000</v>
      </c>
      <c r="U135" s="19">
        <v>15</v>
      </c>
      <c r="V135" s="37">
        <v>288750</v>
      </c>
      <c r="W135" s="37">
        <v>1636250</v>
      </c>
      <c r="X135" s="26">
        <v>2</v>
      </c>
      <c r="Y135" s="37">
        <v>32725</v>
      </c>
      <c r="Z135" s="19"/>
      <c r="AA135" s="19" t="s">
        <v>47</v>
      </c>
      <c r="AB135" s="19">
        <v>1141071091</v>
      </c>
      <c r="AC135" s="27">
        <v>45593</v>
      </c>
      <c r="AD135" s="35" t="s">
        <v>48</v>
      </c>
      <c r="AE135" s="35">
        <v>9</v>
      </c>
      <c r="AF135" s="28" t="s">
        <v>1408</v>
      </c>
      <c r="AG135" s="29">
        <v>32725</v>
      </c>
      <c r="AH135" s="39">
        <f t="shared" si="2"/>
        <v>0</v>
      </c>
      <c r="AI135" s="28" t="s">
        <v>1626</v>
      </c>
      <c r="AJ135" s="28" t="s">
        <v>49</v>
      </c>
    </row>
    <row r="136" spans="1:36" x14ac:dyDescent="0.25">
      <c r="A136" s="19" t="s">
        <v>412</v>
      </c>
      <c r="B136" s="19" t="s">
        <v>1414</v>
      </c>
      <c r="C136" s="20">
        <v>45536</v>
      </c>
      <c r="D136" s="18" t="s">
        <v>37</v>
      </c>
      <c r="E136" s="19" t="s">
        <v>1415</v>
      </c>
      <c r="F136" s="21">
        <v>45565</v>
      </c>
      <c r="G136" s="21">
        <v>45929</v>
      </c>
      <c r="H136" s="22" t="s">
        <v>1416</v>
      </c>
      <c r="I136" s="23">
        <v>4210146075235</v>
      </c>
      <c r="J136" s="22" t="s">
        <v>138</v>
      </c>
      <c r="K136" s="19" t="s">
        <v>1417</v>
      </c>
      <c r="L136" s="19" t="s">
        <v>1418</v>
      </c>
      <c r="M136" s="19" t="s">
        <v>1419</v>
      </c>
      <c r="N136" s="19" t="s">
        <v>1414</v>
      </c>
      <c r="O136" s="35" t="s">
        <v>44</v>
      </c>
      <c r="P136" s="19" t="s">
        <v>45</v>
      </c>
      <c r="Q136" s="19" t="s">
        <v>1420</v>
      </c>
      <c r="R136" s="33">
        <v>44834</v>
      </c>
      <c r="S136" s="33">
        <v>46665</v>
      </c>
      <c r="T136" s="24">
        <v>2700000</v>
      </c>
      <c r="U136" s="19">
        <v>15</v>
      </c>
      <c r="V136" s="37">
        <v>405000</v>
      </c>
      <c r="W136" s="37">
        <v>2295000</v>
      </c>
      <c r="X136" s="26">
        <v>2</v>
      </c>
      <c r="Y136" s="37">
        <v>45900</v>
      </c>
      <c r="Z136" s="19"/>
      <c r="AA136" s="19" t="s">
        <v>47</v>
      </c>
      <c r="AB136" s="19">
        <v>1141071091</v>
      </c>
      <c r="AC136" s="27">
        <v>45593</v>
      </c>
      <c r="AD136" s="35" t="s">
        <v>48</v>
      </c>
      <c r="AE136" s="35">
        <v>0</v>
      </c>
      <c r="AF136" s="28" t="s">
        <v>1415</v>
      </c>
      <c r="AG136" s="29">
        <v>45900</v>
      </c>
      <c r="AH136" s="39">
        <f t="shared" si="2"/>
        <v>0</v>
      </c>
      <c r="AI136" s="28" t="s">
        <v>1626</v>
      </c>
      <c r="AJ136" s="28" t="s">
        <v>49</v>
      </c>
    </row>
    <row r="137" spans="1:36" x14ac:dyDescent="0.25">
      <c r="A137" s="19" t="s">
        <v>412</v>
      </c>
      <c r="B137" s="19" t="s">
        <v>1421</v>
      </c>
      <c r="C137" s="20">
        <v>45536</v>
      </c>
      <c r="D137" s="18" t="s">
        <v>37</v>
      </c>
      <c r="E137" s="19" t="s">
        <v>1422</v>
      </c>
      <c r="F137" s="21">
        <v>45565</v>
      </c>
      <c r="G137" s="21">
        <v>45929</v>
      </c>
      <c r="H137" s="22" t="s">
        <v>1423</v>
      </c>
      <c r="I137" s="23">
        <v>4240134052243</v>
      </c>
      <c r="J137" s="22" t="s">
        <v>451</v>
      </c>
      <c r="K137" s="19" t="s">
        <v>1424</v>
      </c>
      <c r="L137" s="19" t="s">
        <v>1425</v>
      </c>
      <c r="M137" s="19" t="s">
        <v>1426</v>
      </c>
      <c r="N137" s="19" t="s">
        <v>1421</v>
      </c>
      <c r="O137" s="35" t="s">
        <v>44</v>
      </c>
      <c r="P137" s="19" t="s">
        <v>45</v>
      </c>
      <c r="Q137" s="19" t="s">
        <v>1427</v>
      </c>
      <c r="R137" s="33">
        <v>44834</v>
      </c>
      <c r="S137" s="33">
        <v>45936</v>
      </c>
      <c r="T137" s="24">
        <v>3900000</v>
      </c>
      <c r="U137" s="19">
        <v>15</v>
      </c>
      <c r="V137" s="37">
        <v>585000</v>
      </c>
      <c r="W137" s="37">
        <v>3315000</v>
      </c>
      <c r="X137" s="26">
        <v>1.5</v>
      </c>
      <c r="Y137" s="37">
        <v>49725</v>
      </c>
      <c r="Z137" s="19"/>
      <c r="AA137" s="19" t="s">
        <v>47</v>
      </c>
      <c r="AB137" s="19">
        <v>1141071091</v>
      </c>
      <c r="AC137" s="27">
        <v>45593</v>
      </c>
      <c r="AD137" s="35" t="s">
        <v>48</v>
      </c>
      <c r="AE137" s="35">
        <v>9</v>
      </c>
      <c r="AF137" s="28" t="s">
        <v>1422</v>
      </c>
      <c r="AG137" s="29">
        <v>49725</v>
      </c>
      <c r="AH137" s="39">
        <f t="shared" si="2"/>
        <v>0</v>
      </c>
      <c r="AI137" s="28" t="s">
        <v>1626</v>
      </c>
      <c r="AJ137" s="28" t="s">
        <v>49</v>
      </c>
    </row>
    <row r="138" spans="1:36" x14ac:dyDescent="0.25">
      <c r="A138" s="19" t="s">
        <v>412</v>
      </c>
      <c r="B138" s="19" t="s">
        <v>1428</v>
      </c>
      <c r="C138" s="20">
        <v>45536</v>
      </c>
      <c r="D138" s="18" t="s">
        <v>37</v>
      </c>
      <c r="E138" s="19" t="s">
        <v>1429</v>
      </c>
      <c r="F138" s="21">
        <v>45565</v>
      </c>
      <c r="G138" s="21">
        <v>45929</v>
      </c>
      <c r="H138" s="22" t="s">
        <v>1430</v>
      </c>
      <c r="I138" s="23">
        <v>3520260842239</v>
      </c>
      <c r="J138" s="22" t="s">
        <v>1431</v>
      </c>
      <c r="K138" s="19" t="s">
        <v>1432</v>
      </c>
      <c r="L138" s="19" t="s">
        <v>1433</v>
      </c>
      <c r="M138" s="19" t="s">
        <v>1434</v>
      </c>
      <c r="N138" s="19" t="s">
        <v>1428</v>
      </c>
      <c r="O138" s="35" t="s">
        <v>57</v>
      </c>
      <c r="P138" s="19" t="s">
        <v>76</v>
      </c>
      <c r="Q138" s="19" t="s">
        <v>1435</v>
      </c>
      <c r="R138" s="33">
        <v>44834</v>
      </c>
      <c r="S138" s="33">
        <v>45936</v>
      </c>
      <c r="T138" s="24">
        <v>5250000</v>
      </c>
      <c r="U138" s="19">
        <v>15</v>
      </c>
      <c r="V138" s="37">
        <v>787500</v>
      </c>
      <c r="W138" s="37">
        <v>4462500</v>
      </c>
      <c r="X138" s="26">
        <v>1.5</v>
      </c>
      <c r="Y138" s="37">
        <v>66937.5</v>
      </c>
      <c r="Z138" s="19"/>
      <c r="AA138" s="19" t="s">
        <v>47</v>
      </c>
      <c r="AB138" s="19">
        <v>1141071091</v>
      </c>
      <c r="AC138" s="27">
        <v>45593</v>
      </c>
      <c r="AD138" s="35" t="s">
        <v>48</v>
      </c>
      <c r="AE138" s="35">
        <v>9</v>
      </c>
      <c r="AF138" s="28" t="s">
        <v>1429</v>
      </c>
      <c r="AG138" s="29">
        <v>66938</v>
      </c>
      <c r="AH138" s="39">
        <f t="shared" si="2"/>
        <v>-0.5</v>
      </c>
      <c r="AI138" s="28" t="s">
        <v>1626</v>
      </c>
      <c r="AJ138" s="28" t="s">
        <v>49</v>
      </c>
    </row>
    <row r="139" spans="1:36" x14ac:dyDescent="0.25">
      <c r="A139" s="19" t="s">
        <v>412</v>
      </c>
      <c r="B139" s="19" t="s">
        <v>1436</v>
      </c>
      <c r="C139" s="20">
        <v>45536</v>
      </c>
      <c r="D139" s="18" t="s">
        <v>37</v>
      </c>
      <c r="E139" s="19" t="s">
        <v>1437</v>
      </c>
      <c r="F139" s="21">
        <v>45565</v>
      </c>
      <c r="G139" s="21">
        <v>45929</v>
      </c>
      <c r="H139" s="22" t="s">
        <v>1438</v>
      </c>
      <c r="I139" s="23">
        <v>3310594139579</v>
      </c>
      <c r="J139" s="22" t="s">
        <v>1439</v>
      </c>
      <c r="K139" s="19" t="s">
        <v>1440</v>
      </c>
      <c r="L139" s="19" t="s">
        <v>1441</v>
      </c>
      <c r="M139" s="19" t="s">
        <v>1442</v>
      </c>
      <c r="N139" s="19" t="s">
        <v>1436</v>
      </c>
      <c r="O139" s="35" t="s">
        <v>57</v>
      </c>
      <c r="P139" s="19" t="s">
        <v>58</v>
      </c>
      <c r="Q139" s="19" t="s">
        <v>1443</v>
      </c>
      <c r="R139" s="33">
        <v>44837</v>
      </c>
      <c r="S139" s="33">
        <v>46300</v>
      </c>
      <c r="T139" s="24">
        <v>2600000</v>
      </c>
      <c r="U139" s="19">
        <v>15</v>
      </c>
      <c r="V139" s="37">
        <v>390000</v>
      </c>
      <c r="W139" s="37">
        <v>2210000</v>
      </c>
      <c r="X139" s="26">
        <v>2</v>
      </c>
      <c r="Y139" s="37">
        <v>44200</v>
      </c>
      <c r="Z139" s="19"/>
      <c r="AA139" s="19" t="s">
        <v>47</v>
      </c>
      <c r="AB139" s="19">
        <v>1141071091</v>
      </c>
      <c r="AC139" s="27">
        <v>45593</v>
      </c>
      <c r="AD139" s="35" t="s">
        <v>48</v>
      </c>
      <c r="AE139" s="35">
        <v>0</v>
      </c>
      <c r="AF139" s="28" t="s">
        <v>1437</v>
      </c>
      <c r="AG139" s="29">
        <v>44200</v>
      </c>
      <c r="AH139" s="39">
        <f t="shared" si="2"/>
        <v>0</v>
      </c>
      <c r="AI139" s="28" t="s">
        <v>1626</v>
      </c>
      <c r="AJ139" s="28" t="s">
        <v>49</v>
      </c>
    </row>
    <row r="140" spans="1:36" x14ac:dyDescent="0.25">
      <c r="A140" s="19" t="s">
        <v>412</v>
      </c>
      <c r="B140" s="19" t="s">
        <v>1444</v>
      </c>
      <c r="C140" s="20">
        <v>45536</v>
      </c>
      <c r="D140" s="18" t="s">
        <v>37</v>
      </c>
      <c r="E140" s="19" t="s">
        <v>1445</v>
      </c>
      <c r="F140" s="21">
        <v>45565</v>
      </c>
      <c r="G140" s="21">
        <v>45929</v>
      </c>
      <c r="H140" s="22" t="s">
        <v>1446</v>
      </c>
      <c r="I140" s="23">
        <v>3330210942812</v>
      </c>
      <c r="J140" s="22" t="s">
        <v>1447</v>
      </c>
      <c r="K140" s="19" t="s">
        <v>1448</v>
      </c>
      <c r="L140" s="19" t="s">
        <v>1449</v>
      </c>
      <c r="M140" s="19" t="s">
        <v>1450</v>
      </c>
      <c r="N140" s="19" t="s">
        <v>1444</v>
      </c>
      <c r="O140" s="35" t="s">
        <v>57</v>
      </c>
      <c r="P140" s="19" t="s">
        <v>422</v>
      </c>
      <c r="Q140" s="19" t="s">
        <v>1451</v>
      </c>
      <c r="R140" s="33">
        <v>44837</v>
      </c>
      <c r="S140" s="33">
        <v>46665</v>
      </c>
      <c r="T140" s="24">
        <v>1025000</v>
      </c>
      <c r="U140" s="19">
        <v>15</v>
      </c>
      <c r="V140" s="37">
        <v>153750</v>
      </c>
      <c r="W140" s="37">
        <v>871250</v>
      </c>
      <c r="X140" s="26">
        <v>2</v>
      </c>
      <c r="Y140" s="37">
        <v>17425</v>
      </c>
      <c r="Z140" s="19"/>
      <c r="AA140" s="19" t="s">
        <v>47</v>
      </c>
      <c r="AB140" s="19">
        <v>1141071091</v>
      </c>
      <c r="AC140" s="27">
        <v>45593</v>
      </c>
      <c r="AD140" s="35" t="s">
        <v>48</v>
      </c>
      <c r="AE140" s="35">
        <v>0</v>
      </c>
      <c r="AF140" s="28" t="s">
        <v>1445</v>
      </c>
      <c r="AG140" s="29">
        <v>17425</v>
      </c>
      <c r="AH140" s="39">
        <f t="shared" si="2"/>
        <v>0</v>
      </c>
      <c r="AI140" s="28" t="s">
        <v>1626</v>
      </c>
      <c r="AJ140" s="28" t="s">
        <v>49</v>
      </c>
    </row>
    <row r="141" spans="1:36" x14ac:dyDescent="0.25">
      <c r="A141" s="19" t="s">
        <v>412</v>
      </c>
      <c r="B141" s="19" t="s">
        <v>1452</v>
      </c>
      <c r="C141" s="20">
        <v>45536</v>
      </c>
      <c r="D141" s="18" t="s">
        <v>37</v>
      </c>
      <c r="E141" s="19" t="s">
        <v>1453</v>
      </c>
      <c r="F141" s="21">
        <v>45565</v>
      </c>
      <c r="G141" s="21">
        <v>45929</v>
      </c>
      <c r="H141" s="22" t="s">
        <v>1454</v>
      </c>
      <c r="I141" s="23">
        <v>4230107551953</v>
      </c>
      <c r="J141" s="22" t="s">
        <v>457</v>
      </c>
      <c r="K141" s="19"/>
      <c r="L141" s="19" t="s">
        <v>1455</v>
      </c>
      <c r="M141" s="19" t="s">
        <v>1456</v>
      </c>
      <c r="N141" s="19" t="s">
        <v>1452</v>
      </c>
      <c r="O141" s="35" t="s">
        <v>44</v>
      </c>
      <c r="P141" s="19" t="s">
        <v>45</v>
      </c>
      <c r="Q141" s="19" t="s">
        <v>1457</v>
      </c>
      <c r="R141" s="33">
        <v>44837</v>
      </c>
      <c r="S141" s="33">
        <v>46665</v>
      </c>
      <c r="T141" s="24">
        <v>2569000</v>
      </c>
      <c r="U141" s="19">
        <v>15</v>
      </c>
      <c r="V141" s="37">
        <v>385350</v>
      </c>
      <c r="W141" s="37">
        <v>2183650</v>
      </c>
      <c r="X141" s="26">
        <v>2</v>
      </c>
      <c r="Y141" s="37">
        <v>43673</v>
      </c>
      <c r="Z141" s="19"/>
      <c r="AA141" s="19" t="s">
        <v>47</v>
      </c>
      <c r="AB141" s="19">
        <v>1141071091</v>
      </c>
      <c r="AC141" s="27">
        <v>45593</v>
      </c>
      <c r="AD141" s="35" t="s">
        <v>48</v>
      </c>
      <c r="AE141" s="35">
        <v>0</v>
      </c>
      <c r="AF141" s="28" t="s">
        <v>1453</v>
      </c>
      <c r="AG141" s="29">
        <v>43673</v>
      </c>
      <c r="AH141" s="39">
        <f t="shared" si="2"/>
        <v>0</v>
      </c>
      <c r="AI141" s="28" t="s">
        <v>1626</v>
      </c>
      <c r="AJ141" s="28" t="s">
        <v>49</v>
      </c>
    </row>
    <row r="142" spans="1:36" x14ac:dyDescent="0.25">
      <c r="A142" s="19" t="s">
        <v>412</v>
      </c>
      <c r="B142" s="19" t="s">
        <v>1458</v>
      </c>
      <c r="C142" s="20">
        <v>45536</v>
      </c>
      <c r="D142" s="18" t="s">
        <v>37</v>
      </c>
      <c r="E142" s="19" t="s">
        <v>1459</v>
      </c>
      <c r="F142" s="21">
        <v>45565</v>
      </c>
      <c r="G142" s="21">
        <v>45929</v>
      </c>
      <c r="H142" s="22" t="s">
        <v>1460</v>
      </c>
      <c r="I142" s="23">
        <v>3520070193107</v>
      </c>
      <c r="J142" s="22" t="s">
        <v>435</v>
      </c>
      <c r="K142" s="19"/>
      <c r="L142" s="19" t="s">
        <v>1461</v>
      </c>
      <c r="M142" s="19" t="s">
        <v>1462</v>
      </c>
      <c r="N142" s="19" t="s">
        <v>1458</v>
      </c>
      <c r="O142" s="35" t="s">
        <v>57</v>
      </c>
      <c r="P142" s="19" t="s">
        <v>76</v>
      </c>
      <c r="Q142" s="19" t="s">
        <v>1463</v>
      </c>
      <c r="R142" s="33">
        <v>44837</v>
      </c>
      <c r="S142" s="33">
        <v>46665</v>
      </c>
      <c r="T142" s="24">
        <v>1500000</v>
      </c>
      <c r="U142" s="19">
        <v>15</v>
      </c>
      <c r="V142" s="37">
        <v>225000</v>
      </c>
      <c r="W142" s="37">
        <v>1275000</v>
      </c>
      <c r="X142" s="26">
        <v>2</v>
      </c>
      <c r="Y142" s="37">
        <v>25500</v>
      </c>
      <c r="Z142" s="19"/>
      <c r="AA142" s="19" t="s">
        <v>47</v>
      </c>
      <c r="AB142" s="19">
        <v>1141071091</v>
      </c>
      <c r="AC142" s="27">
        <v>45593</v>
      </c>
      <c r="AD142" s="35" t="s">
        <v>48</v>
      </c>
      <c r="AE142" s="35">
        <v>0</v>
      </c>
      <c r="AF142" s="28" t="s">
        <v>1459</v>
      </c>
      <c r="AG142" s="29">
        <v>25500</v>
      </c>
      <c r="AH142" s="39">
        <f t="shared" si="2"/>
        <v>0</v>
      </c>
      <c r="AI142" s="28" t="s">
        <v>1626</v>
      </c>
      <c r="AJ142" s="28" t="s">
        <v>49</v>
      </c>
    </row>
    <row r="143" spans="1:36" x14ac:dyDescent="0.25">
      <c r="A143" s="19" t="s">
        <v>412</v>
      </c>
      <c r="B143" s="19" t="s">
        <v>1464</v>
      </c>
      <c r="C143" s="20">
        <v>45536</v>
      </c>
      <c r="D143" s="18" t="s">
        <v>37</v>
      </c>
      <c r="E143" s="19" t="s">
        <v>1465</v>
      </c>
      <c r="F143" s="21">
        <v>45565</v>
      </c>
      <c r="G143" s="21">
        <v>45929</v>
      </c>
      <c r="H143" s="22" t="s">
        <v>1466</v>
      </c>
      <c r="I143" s="23">
        <v>4240166479329</v>
      </c>
      <c r="J143" s="22" t="s">
        <v>224</v>
      </c>
      <c r="K143" s="19" t="s">
        <v>1467</v>
      </c>
      <c r="L143" s="19" t="s">
        <v>1468</v>
      </c>
      <c r="M143" s="19" t="s">
        <v>1469</v>
      </c>
      <c r="N143" s="19" t="s">
        <v>1464</v>
      </c>
      <c r="O143" s="35" t="s">
        <v>132</v>
      </c>
      <c r="P143" s="19" t="s">
        <v>133</v>
      </c>
      <c r="Q143" s="19" t="s">
        <v>1470</v>
      </c>
      <c r="R143" s="33">
        <v>44837</v>
      </c>
      <c r="S143" s="33">
        <v>46665</v>
      </c>
      <c r="T143" s="24">
        <v>1880000</v>
      </c>
      <c r="U143" s="19">
        <v>15</v>
      </c>
      <c r="V143" s="37">
        <v>282000</v>
      </c>
      <c r="W143" s="37">
        <v>1598000</v>
      </c>
      <c r="X143" s="26">
        <v>2</v>
      </c>
      <c r="Y143" s="37">
        <v>31960</v>
      </c>
      <c r="Z143" s="19"/>
      <c r="AA143" s="19" t="s">
        <v>47</v>
      </c>
      <c r="AB143" s="19">
        <v>1141071091</v>
      </c>
      <c r="AC143" s="27">
        <v>45593</v>
      </c>
      <c r="AD143" s="35" t="s">
        <v>48</v>
      </c>
      <c r="AE143" s="35">
        <v>0</v>
      </c>
      <c r="AF143" s="28" t="s">
        <v>1465</v>
      </c>
      <c r="AG143" s="29">
        <v>31960</v>
      </c>
      <c r="AH143" s="39">
        <f t="shared" si="2"/>
        <v>0</v>
      </c>
      <c r="AI143" s="28" t="s">
        <v>1626</v>
      </c>
      <c r="AJ143" s="28" t="s">
        <v>49</v>
      </c>
    </row>
    <row r="144" spans="1:36" x14ac:dyDescent="0.25">
      <c r="A144" s="19" t="s">
        <v>412</v>
      </c>
      <c r="B144" s="19" t="s">
        <v>1471</v>
      </c>
      <c r="C144" s="20">
        <v>45536</v>
      </c>
      <c r="D144" s="18" t="s">
        <v>37</v>
      </c>
      <c r="E144" s="19" t="s">
        <v>1472</v>
      </c>
      <c r="F144" s="21">
        <v>45544</v>
      </c>
      <c r="G144" s="21">
        <v>45908</v>
      </c>
      <c r="H144" s="22" t="s">
        <v>1473</v>
      </c>
      <c r="I144" s="23">
        <v>3740542621069</v>
      </c>
      <c r="J144" s="22" t="s">
        <v>457</v>
      </c>
      <c r="K144" s="19"/>
      <c r="L144" s="19" t="s">
        <v>1474</v>
      </c>
      <c r="M144" s="19" t="s">
        <v>1475</v>
      </c>
      <c r="N144" s="19" t="s">
        <v>1471</v>
      </c>
      <c r="O144" s="35" t="s">
        <v>132</v>
      </c>
      <c r="P144" s="19" t="s">
        <v>133</v>
      </c>
      <c r="Q144" s="19" t="s">
        <v>1476</v>
      </c>
      <c r="R144" s="33">
        <v>44818</v>
      </c>
      <c r="S144" s="33">
        <v>46636</v>
      </c>
      <c r="T144" s="24">
        <v>2569000</v>
      </c>
      <c r="U144" s="19">
        <v>15</v>
      </c>
      <c r="V144" s="37">
        <v>385350</v>
      </c>
      <c r="W144" s="37">
        <v>2183650</v>
      </c>
      <c r="X144" s="26">
        <v>2</v>
      </c>
      <c r="Y144" s="37">
        <v>43673</v>
      </c>
      <c r="Z144" s="19"/>
      <c r="AA144" s="19" t="s">
        <v>47</v>
      </c>
      <c r="AB144" s="19">
        <v>1141071091</v>
      </c>
      <c r="AC144" s="27">
        <v>45593</v>
      </c>
      <c r="AD144" s="35" t="s">
        <v>48</v>
      </c>
      <c r="AE144" s="35">
        <v>0</v>
      </c>
      <c r="AF144" s="28" t="s">
        <v>1472</v>
      </c>
      <c r="AG144" s="29">
        <v>43673</v>
      </c>
      <c r="AH144" s="39">
        <f t="shared" si="2"/>
        <v>0</v>
      </c>
      <c r="AI144" s="28" t="s">
        <v>1626</v>
      </c>
      <c r="AJ144" s="28" t="s">
        <v>49</v>
      </c>
    </row>
    <row r="145" spans="1:36" x14ac:dyDescent="0.25">
      <c r="A145" s="19" t="s">
        <v>412</v>
      </c>
      <c r="B145" s="19" t="s">
        <v>1477</v>
      </c>
      <c r="C145" s="20">
        <v>45536</v>
      </c>
      <c r="D145" s="18" t="s">
        <v>37</v>
      </c>
      <c r="E145" s="19" t="s">
        <v>1478</v>
      </c>
      <c r="F145" s="21">
        <v>45547</v>
      </c>
      <c r="G145" s="21">
        <v>45911</v>
      </c>
      <c r="H145" s="22" t="s">
        <v>1479</v>
      </c>
      <c r="I145" s="23">
        <v>3520287360486</v>
      </c>
      <c r="J145" s="22" t="s">
        <v>216</v>
      </c>
      <c r="K145" s="19" t="s">
        <v>1480</v>
      </c>
      <c r="L145" s="19" t="s">
        <v>1481</v>
      </c>
      <c r="M145" s="19" t="s">
        <v>1482</v>
      </c>
      <c r="N145" s="19" t="s">
        <v>1477</v>
      </c>
      <c r="O145" s="35" t="s">
        <v>57</v>
      </c>
      <c r="P145" s="19" t="s">
        <v>76</v>
      </c>
      <c r="Q145" s="19" t="s">
        <v>1483</v>
      </c>
      <c r="R145" s="33">
        <v>44818</v>
      </c>
      <c r="S145" s="33">
        <v>45905</v>
      </c>
      <c r="T145" s="24">
        <v>4949000</v>
      </c>
      <c r="U145" s="19">
        <v>15</v>
      </c>
      <c r="V145" s="37">
        <v>742350</v>
      </c>
      <c r="W145" s="37">
        <v>4206650</v>
      </c>
      <c r="X145" s="26">
        <v>1.5</v>
      </c>
      <c r="Y145" s="37">
        <v>63099.75</v>
      </c>
      <c r="Z145" s="19"/>
      <c r="AA145" s="19" t="s">
        <v>47</v>
      </c>
      <c r="AB145" s="19">
        <v>1141071091</v>
      </c>
      <c r="AC145" s="27">
        <v>45593</v>
      </c>
      <c r="AD145" s="35" t="s">
        <v>48</v>
      </c>
      <c r="AE145" s="35">
        <v>0</v>
      </c>
      <c r="AF145" s="28" t="s">
        <v>1478</v>
      </c>
      <c r="AG145" s="29">
        <v>63100</v>
      </c>
      <c r="AH145" s="39">
        <f t="shared" si="2"/>
        <v>-0.25</v>
      </c>
      <c r="AI145" s="28" t="s">
        <v>1626</v>
      </c>
      <c r="AJ145" s="28" t="s">
        <v>49</v>
      </c>
    </row>
    <row r="146" spans="1:36" x14ac:dyDescent="0.25">
      <c r="A146" s="19" t="s">
        <v>412</v>
      </c>
      <c r="B146" s="19" t="s">
        <v>1484</v>
      </c>
      <c r="C146" s="20">
        <v>45536</v>
      </c>
      <c r="D146" s="18" t="s">
        <v>37</v>
      </c>
      <c r="E146" s="19" t="s">
        <v>1485</v>
      </c>
      <c r="F146" s="21">
        <v>45547</v>
      </c>
      <c r="G146" s="21">
        <v>45911</v>
      </c>
      <c r="H146" s="22" t="s">
        <v>1486</v>
      </c>
      <c r="I146" s="23">
        <v>3520115471195</v>
      </c>
      <c r="J146" s="22" t="s">
        <v>457</v>
      </c>
      <c r="K146" s="19"/>
      <c r="L146" s="19" t="s">
        <v>1487</v>
      </c>
      <c r="M146" s="19" t="s">
        <v>1488</v>
      </c>
      <c r="N146" s="19" t="s">
        <v>1484</v>
      </c>
      <c r="O146" s="35" t="s">
        <v>57</v>
      </c>
      <c r="P146" s="19" t="s">
        <v>76</v>
      </c>
      <c r="Q146" s="19" t="s">
        <v>1489</v>
      </c>
      <c r="R146" s="33">
        <v>44827</v>
      </c>
      <c r="S146" s="33">
        <v>46300</v>
      </c>
      <c r="T146" s="24">
        <v>2419000</v>
      </c>
      <c r="U146" s="19">
        <v>15</v>
      </c>
      <c r="V146" s="37">
        <v>362850</v>
      </c>
      <c r="W146" s="37">
        <v>2056150</v>
      </c>
      <c r="X146" s="26">
        <v>2.5</v>
      </c>
      <c r="Y146" s="37">
        <v>51403.75</v>
      </c>
      <c r="Z146" s="19"/>
      <c r="AA146" s="19" t="s">
        <v>47</v>
      </c>
      <c r="AB146" s="19">
        <v>1141071091</v>
      </c>
      <c r="AC146" s="27">
        <v>45593</v>
      </c>
      <c r="AD146" s="35" t="s">
        <v>48</v>
      </c>
      <c r="AE146" s="35">
        <v>0</v>
      </c>
      <c r="AF146" s="28" t="s">
        <v>1485</v>
      </c>
      <c r="AG146" s="29">
        <v>51404</v>
      </c>
      <c r="AH146" s="39">
        <f t="shared" si="2"/>
        <v>-0.25</v>
      </c>
      <c r="AI146" s="28" t="s">
        <v>1626</v>
      </c>
      <c r="AJ146" s="28" t="s">
        <v>49</v>
      </c>
    </row>
    <row r="147" spans="1:36" x14ac:dyDescent="0.25">
      <c r="A147" s="19" t="s">
        <v>412</v>
      </c>
      <c r="B147" s="19" t="s">
        <v>1490</v>
      </c>
      <c r="C147" s="20">
        <v>45536</v>
      </c>
      <c r="D147" s="18" t="s">
        <v>37</v>
      </c>
      <c r="E147" s="19" t="s">
        <v>1491</v>
      </c>
      <c r="F147" s="21">
        <v>45548</v>
      </c>
      <c r="G147" s="21">
        <v>45912</v>
      </c>
      <c r="H147" s="22" t="s">
        <v>1492</v>
      </c>
      <c r="I147" s="23">
        <v>4230108986071</v>
      </c>
      <c r="J147" s="22" t="s">
        <v>1493</v>
      </c>
      <c r="K147" s="19"/>
      <c r="L147" s="19" t="s">
        <v>1494</v>
      </c>
      <c r="M147" s="19" t="s">
        <v>1495</v>
      </c>
      <c r="N147" s="19" t="s">
        <v>1490</v>
      </c>
      <c r="O147" s="35" t="s">
        <v>44</v>
      </c>
      <c r="P147" s="19" t="s">
        <v>1496</v>
      </c>
      <c r="Q147" s="19" t="s">
        <v>1497</v>
      </c>
      <c r="R147" s="33">
        <v>44823</v>
      </c>
      <c r="S147" s="33">
        <v>45936</v>
      </c>
      <c r="T147" s="24">
        <v>3272790</v>
      </c>
      <c r="U147" s="19">
        <v>15</v>
      </c>
      <c r="V147" s="37">
        <v>490918.5</v>
      </c>
      <c r="W147" s="37">
        <v>2781871.5</v>
      </c>
      <c r="X147" s="26">
        <v>1.5</v>
      </c>
      <c r="Y147" s="37">
        <v>41728.072500000002</v>
      </c>
      <c r="Z147" s="19"/>
      <c r="AA147" s="19" t="s">
        <v>47</v>
      </c>
      <c r="AB147" s="19">
        <v>1141071091</v>
      </c>
      <c r="AC147" s="27">
        <v>45593</v>
      </c>
      <c r="AD147" s="35" t="s">
        <v>48</v>
      </c>
      <c r="AE147" s="35">
        <v>9</v>
      </c>
      <c r="AF147" s="28" t="s">
        <v>1491</v>
      </c>
      <c r="AG147" s="29">
        <v>41728</v>
      </c>
      <c r="AH147" s="39">
        <f t="shared" si="2"/>
        <v>7.2500000002037268E-2</v>
      </c>
      <c r="AI147" s="28" t="s">
        <v>1626</v>
      </c>
      <c r="AJ147" s="28" t="s">
        <v>49</v>
      </c>
    </row>
    <row r="148" spans="1:36" x14ac:dyDescent="0.25">
      <c r="A148" s="19" t="s">
        <v>412</v>
      </c>
      <c r="B148" s="19" t="s">
        <v>1498</v>
      </c>
      <c r="C148" s="20">
        <v>45536</v>
      </c>
      <c r="D148" s="18" t="s">
        <v>37</v>
      </c>
      <c r="E148" s="19" t="s">
        <v>1499</v>
      </c>
      <c r="F148" s="21">
        <v>45557</v>
      </c>
      <c r="G148" s="21">
        <v>45921</v>
      </c>
      <c r="H148" s="22" t="s">
        <v>1500</v>
      </c>
      <c r="I148" s="23">
        <v>3710372309253</v>
      </c>
      <c r="J148" s="22" t="s">
        <v>202</v>
      </c>
      <c r="K148" s="19" t="s">
        <v>1501</v>
      </c>
      <c r="L148" s="19" t="s">
        <v>1502</v>
      </c>
      <c r="M148" s="19" t="s">
        <v>1503</v>
      </c>
      <c r="N148" s="19" t="s">
        <v>1498</v>
      </c>
      <c r="O148" s="35" t="s">
        <v>132</v>
      </c>
      <c r="P148" s="19" t="s">
        <v>442</v>
      </c>
      <c r="Q148" s="19" t="s">
        <v>443</v>
      </c>
      <c r="R148" s="33">
        <v>44831</v>
      </c>
      <c r="S148" s="33">
        <v>46665</v>
      </c>
      <c r="T148" s="24">
        <v>1546000</v>
      </c>
      <c r="U148" s="19">
        <v>15</v>
      </c>
      <c r="V148" s="37">
        <v>231900</v>
      </c>
      <c r="W148" s="37">
        <v>1314100</v>
      </c>
      <c r="X148" s="26">
        <v>1.75</v>
      </c>
      <c r="Y148" s="37">
        <v>22996.750000000004</v>
      </c>
      <c r="Z148" s="19"/>
      <c r="AA148" s="19" t="s">
        <v>47</v>
      </c>
      <c r="AB148" s="19">
        <v>1141071091</v>
      </c>
      <c r="AC148" s="27">
        <v>45593</v>
      </c>
      <c r="AD148" s="35" t="s">
        <v>48</v>
      </c>
      <c r="AE148" s="35">
        <v>9</v>
      </c>
      <c r="AF148" s="28" t="s">
        <v>1499</v>
      </c>
      <c r="AG148" s="29">
        <v>22997</v>
      </c>
      <c r="AH148" s="39">
        <f t="shared" si="2"/>
        <v>-0.24999999999636202</v>
      </c>
      <c r="AI148" s="28" t="s">
        <v>1626</v>
      </c>
      <c r="AJ148" s="28" t="s">
        <v>49</v>
      </c>
    </row>
    <row r="149" spans="1:36" x14ac:dyDescent="0.25">
      <c r="A149" s="19" t="s">
        <v>412</v>
      </c>
      <c r="B149" s="19" t="s">
        <v>1504</v>
      </c>
      <c r="C149" s="20">
        <v>45536</v>
      </c>
      <c r="D149" s="18" t="s">
        <v>37</v>
      </c>
      <c r="E149" s="19" t="s">
        <v>1505</v>
      </c>
      <c r="F149" s="21">
        <v>45565</v>
      </c>
      <c r="G149" s="21">
        <v>45929</v>
      </c>
      <c r="H149" s="22" t="s">
        <v>1506</v>
      </c>
      <c r="I149" s="23">
        <v>3520229776561</v>
      </c>
      <c r="J149" s="22" t="s">
        <v>437</v>
      </c>
      <c r="K149" s="19" t="s">
        <v>1507</v>
      </c>
      <c r="L149" s="19" t="s">
        <v>1508</v>
      </c>
      <c r="M149" s="19" t="s">
        <v>1509</v>
      </c>
      <c r="N149" s="19" t="s">
        <v>1504</v>
      </c>
      <c r="O149" s="35" t="s">
        <v>57</v>
      </c>
      <c r="P149" s="19" t="s">
        <v>1510</v>
      </c>
      <c r="Q149" s="19" t="s">
        <v>1511</v>
      </c>
      <c r="R149" s="33">
        <v>43740</v>
      </c>
      <c r="S149" s="33">
        <v>46300</v>
      </c>
      <c r="T149" s="24">
        <v>3837500</v>
      </c>
      <c r="U149" s="19">
        <v>30</v>
      </c>
      <c r="V149" s="37">
        <v>1151250</v>
      </c>
      <c r="W149" s="37">
        <v>2686250</v>
      </c>
      <c r="X149" s="26">
        <v>1.5</v>
      </c>
      <c r="Y149" s="37">
        <v>40293.75</v>
      </c>
      <c r="Z149" s="19"/>
      <c r="AA149" s="19" t="s">
        <v>47</v>
      </c>
      <c r="AB149" s="19">
        <v>1141071091</v>
      </c>
      <c r="AC149" s="27">
        <v>45593</v>
      </c>
      <c r="AD149" s="35" t="s">
        <v>48</v>
      </c>
      <c r="AE149" s="35">
        <v>0</v>
      </c>
      <c r="AF149" s="28" t="s">
        <v>1505</v>
      </c>
      <c r="AG149" s="29">
        <v>40294</v>
      </c>
      <c r="AH149" s="39">
        <f t="shared" si="2"/>
        <v>-0.25</v>
      </c>
      <c r="AI149" s="28" t="s">
        <v>1626</v>
      </c>
      <c r="AJ149" s="28" t="s">
        <v>49</v>
      </c>
    </row>
    <row r="150" spans="1:36" x14ac:dyDescent="0.25">
      <c r="A150" s="19" t="s">
        <v>412</v>
      </c>
      <c r="B150" s="19" t="s">
        <v>1512</v>
      </c>
      <c r="C150" s="20">
        <v>45536</v>
      </c>
      <c r="D150" s="18" t="s">
        <v>37</v>
      </c>
      <c r="E150" s="19" t="s">
        <v>1513</v>
      </c>
      <c r="F150" s="21">
        <v>45565</v>
      </c>
      <c r="G150" s="21">
        <v>45929</v>
      </c>
      <c r="H150" s="22" t="s">
        <v>1514</v>
      </c>
      <c r="I150" s="23">
        <v>352029981030</v>
      </c>
      <c r="J150" s="22" t="s">
        <v>433</v>
      </c>
      <c r="K150" s="19" t="s">
        <v>1515</v>
      </c>
      <c r="L150" s="19" t="s">
        <v>1516</v>
      </c>
      <c r="M150" s="19" t="s">
        <v>1517</v>
      </c>
      <c r="N150" s="19" t="s">
        <v>1512</v>
      </c>
      <c r="O150" s="35" t="s">
        <v>57</v>
      </c>
      <c r="P150" s="19" t="s">
        <v>76</v>
      </c>
      <c r="Q150" s="19" t="s">
        <v>1518</v>
      </c>
      <c r="R150" s="33">
        <v>43740</v>
      </c>
      <c r="S150" s="33">
        <v>46300</v>
      </c>
      <c r="T150" s="24">
        <v>1745000</v>
      </c>
      <c r="U150" s="19">
        <v>30</v>
      </c>
      <c r="V150" s="37">
        <v>523500</v>
      </c>
      <c r="W150" s="37">
        <v>1221500</v>
      </c>
      <c r="X150" s="26">
        <v>3.75</v>
      </c>
      <c r="Y150" s="37">
        <v>45806.25</v>
      </c>
      <c r="Z150" s="19"/>
      <c r="AA150" s="19" t="s">
        <v>47</v>
      </c>
      <c r="AB150" s="19">
        <v>1141071091</v>
      </c>
      <c r="AC150" s="27">
        <v>45593</v>
      </c>
      <c r="AD150" s="35" t="s">
        <v>48</v>
      </c>
      <c r="AE150" s="35">
        <v>0</v>
      </c>
      <c r="AF150" s="28" t="s">
        <v>1513</v>
      </c>
      <c r="AG150" s="29">
        <v>45806</v>
      </c>
      <c r="AH150" s="39">
        <f t="shared" si="2"/>
        <v>0.25</v>
      </c>
      <c r="AI150" s="28" t="s">
        <v>1626</v>
      </c>
      <c r="AJ150" s="28" t="s">
        <v>49</v>
      </c>
    </row>
    <row r="151" spans="1:36" x14ac:dyDescent="0.25">
      <c r="A151" s="19" t="s">
        <v>412</v>
      </c>
      <c r="B151" s="19" t="s">
        <v>1519</v>
      </c>
      <c r="C151" s="20">
        <v>45536</v>
      </c>
      <c r="D151" s="18" t="s">
        <v>37</v>
      </c>
      <c r="E151" s="19" t="s">
        <v>1520</v>
      </c>
      <c r="F151" s="21">
        <v>45565</v>
      </c>
      <c r="G151" s="21">
        <v>45929</v>
      </c>
      <c r="H151" s="22" t="s">
        <v>1521</v>
      </c>
      <c r="I151" s="38">
        <v>1510104221503</v>
      </c>
      <c r="J151" s="22" t="s">
        <v>1522</v>
      </c>
      <c r="K151" s="19" t="s">
        <v>1523</v>
      </c>
      <c r="L151" s="19" t="s">
        <v>1524</v>
      </c>
      <c r="M151" s="19" t="s">
        <v>1525</v>
      </c>
      <c r="N151" s="19" t="s">
        <v>1519</v>
      </c>
      <c r="O151" s="35" t="s">
        <v>132</v>
      </c>
      <c r="P151" s="19" t="s">
        <v>1526</v>
      </c>
      <c r="Q151" s="19" t="s">
        <v>1527</v>
      </c>
      <c r="R151" s="33">
        <v>44837</v>
      </c>
      <c r="S151" s="33">
        <v>46300</v>
      </c>
      <c r="T151" s="24">
        <v>12000000</v>
      </c>
      <c r="U151" s="19">
        <v>15</v>
      </c>
      <c r="V151" s="37">
        <v>1800000</v>
      </c>
      <c r="W151" s="37">
        <v>10200000</v>
      </c>
      <c r="X151" s="26">
        <v>1.5</v>
      </c>
      <c r="Y151" s="37">
        <v>153000</v>
      </c>
      <c r="Z151" s="19"/>
      <c r="AA151" s="19" t="s">
        <v>47</v>
      </c>
      <c r="AB151" s="19">
        <v>1141071091</v>
      </c>
      <c r="AC151" s="27">
        <v>45593</v>
      </c>
      <c r="AD151" s="35" t="s">
        <v>48</v>
      </c>
      <c r="AE151" s="35">
        <v>9</v>
      </c>
      <c r="AF151" s="28" t="s">
        <v>1520</v>
      </c>
      <c r="AG151" s="29">
        <v>153000</v>
      </c>
      <c r="AH151" s="39">
        <f t="shared" si="2"/>
        <v>0</v>
      </c>
      <c r="AI151" s="28" t="s">
        <v>1626</v>
      </c>
      <c r="AJ151" s="28" t="s">
        <v>49</v>
      </c>
    </row>
    <row r="152" spans="1:36" x14ac:dyDescent="0.25">
      <c r="A152" s="19" t="s">
        <v>412</v>
      </c>
      <c r="B152" s="19" t="s">
        <v>1528</v>
      </c>
      <c r="C152" s="20">
        <v>45536</v>
      </c>
      <c r="D152" s="18" t="s">
        <v>37</v>
      </c>
      <c r="E152" s="19" t="s">
        <v>1529</v>
      </c>
      <c r="F152" s="21">
        <v>45554</v>
      </c>
      <c r="G152" s="21">
        <v>45918</v>
      </c>
      <c r="H152" s="22" t="s">
        <v>1530</v>
      </c>
      <c r="I152" s="23">
        <v>3310005964227</v>
      </c>
      <c r="J152" s="22" t="s">
        <v>1531</v>
      </c>
      <c r="K152" s="19" t="s">
        <v>1532</v>
      </c>
      <c r="L152" s="19" t="s">
        <v>1533</v>
      </c>
      <c r="M152" s="19" t="s">
        <v>1534</v>
      </c>
      <c r="N152" s="19" t="s">
        <v>1528</v>
      </c>
      <c r="O152" s="35" t="s">
        <v>57</v>
      </c>
      <c r="P152" s="19" t="s">
        <v>67</v>
      </c>
      <c r="Q152" s="19" t="s">
        <v>1535</v>
      </c>
      <c r="R152" s="33">
        <v>43376</v>
      </c>
      <c r="S152" s="33">
        <v>45936</v>
      </c>
      <c r="T152" s="24">
        <v>1876000</v>
      </c>
      <c r="U152" s="19">
        <v>35</v>
      </c>
      <c r="V152" s="37">
        <v>656600</v>
      </c>
      <c r="W152" s="37">
        <v>1219400</v>
      </c>
      <c r="X152" s="26">
        <v>3.3</v>
      </c>
      <c r="Y152" s="37">
        <v>40240.200000000004</v>
      </c>
      <c r="Z152" s="19"/>
      <c r="AA152" s="19" t="s">
        <v>47</v>
      </c>
      <c r="AB152" s="19">
        <v>1141071091</v>
      </c>
      <c r="AC152" s="27">
        <v>45593</v>
      </c>
      <c r="AD152" s="35" t="s">
        <v>48</v>
      </c>
      <c r="AE152" s="35">
        <v>0</v>
      </c>
      <c r="AF152" s="28" t="s">
        <v>1529</v>
      </c>
      <c r="AG152" s="29">
        <v>40240</v>
      </c>
      <c r="AH152" s="39">
        <f t="shared" si="2"/>
        <v>0.20000000000436557</v>
      </c>
      <c r="AI152" s="28" t="s">
        <v>1626</v>
      </c>
      <c r="AJ152" s="28" t="s">
        <v>49</v>
      </c>
    </row>
    <row r="153" spans="1:36" x14ac:dyDescent="0.25">
      <c r="A153" s="19" t="s">
        <v>412</v>
      </c>
      <c r="B153" s="19" t="s">
        <v>1536</v>
      </c>
      <c r="C153" s="20">
        <v>45536</v>
      </c>
      <c r="D153" s="18" t="s">
        <v>37</v>
      </c>
      <c r="E153" s="19" t="s">
        <v>1537</v>
      </c>
      <c r="F153" s="21">
        <v>45563</v>
      </c>
      <c r="G153" s="21">
        <v>45927</v>
      </c>
      <c r="H153" s="22" t="s">
        <v>1538</v>
      </c>
      <c r="I153" s="23">
        <v>3650101092648</v>
      </c>
      <c r="J153" s="22" t="s">
        <v>441</v>
      </c>
      <c r="K153" s="19" t="s">
        <v>1539</v>
      </c>
      <c r="L153" s="19" t="s">
        <v>1540</v>
      </c>
      <c r="M153" s="19" t="s">
        <v>1541</v>
      </c>
      <c r="N153" s="19" t="s">
        <v>1536</v>
      </c>
      <c r="O153" s="35" t="s">
        <v>57</v>
      </c>
      <c r="P153" s="19" t="s">
        <v>1542</v>
      </c>
      <c r="Q153" s="19" t="s">
        <v>1543</v>
      </c>
      <c r="R153" s="33">
        <v>43375</v>
      </c>
      <c r="S153" s="33">
        <v>45936</v>
      </c>
      <c r="T153" s="24">
        <v>840000</v>
      </c>
      <c r="U153" s="19">
        <v>35</v>
      </c>
      <c r="V153" s="37">
        <v>294000</v>
      </c>
      <c r="W153" s="37">
        <v>546000</v>
      </c>
      <c r="X153" s="26">
        <v>3.75</v>
      </c>
      <c r="Y153" s="37">
        <v>20475</v>
      </c>
      <c r="Z153" s="19"/>
      <c r="AA153" s="19" t="s">
        <v>47</v>
      </c>
      <c r="AB153" s="19">
        <v>1141071091</v>
      </c>
      <c r="AC153" s="27">
        <v>45593</v>
      </c>
      <c r="AD153" s="35" t="s">
        <v>48</v>
      </c>
      <c r="AE153" s="35">
        <v>9</v>
      </c>
      <c r="AF153" s="28" t="s">
        <v>1537</v>
      </c>
      <c r="AG153" s="29">
        <v>20475</v>
      </c>
      <c r="AH153" s="39">
        <f t="shared" si="2"/>
        <v>0</v>
      </c>
      <c r="AI153" s="28" t="s">
        <v>1626</v>
      </c>
      <c r="AJ153" s="28" t="s">
        <v>49</v>
      </c>
    </row>
    <row r="154" spans="1:36" x14ac:dyDescent="0.25">
      <c r="A154" s="19" t="s">
        <v>412</v>
      </c>
      <c r="B154" s="19" t="s">
        <v>1544</v>
      </c>
      <c r="C154" s="20">
        <v>45505</v>
      </c>
      <c r="D154" s="18" t="s">
        <v>37</v>
      </c>
      <c r="E154" s="19" t="s">
        <v>1545</v>
      </c>
      <c r="F154" s="33">
        <v>45505</v>
      </c>
      <c r="G154" s="33">
        <v>45869</v>
      </c>
      <c r="H154" s="34" t="s">
        <v>1546</v>
      </c>
      <c r="I154" s="23">
        <v>3310061932795</v>
      </c>
      <c r="J154" s="34" t="s">
        <v>426</v>
      </c>
      <c r="K154" s="19" t="s">
        <v>1547</v>
      </c>
      <c r="L154" s="19" t="s">
        <v>1548</v>
      </c>
      <c r="M154" s="19" t="s">
        <v>1549</v>
      </c>
      <c r="N154" s="19" t="s">
        <v>1544</v>
      </c>
      <c r="O154" s="35" t="s">
        <v>57</v>
      </c>
      <c r="P154" s="19" t="s">
        <v>67</v>
      </c>
      <c r="Q154" s="19" t="s">
        <v>1550</v>
      </c>
      <c r="R154" s="33">
        <v>44839</v>
      </c>
      <c r="S154" s="33">
        <v>45936</v>
      </c>
      <c r="T154" s="24">
        <v>5107000</v>
      </c>
      <c r="U154" s="19">
        <v>15</v>
      </c>
      <c r="V154" s="37">
        <v>766050</v>
      </c>
      <c r="W154" s="37">
        <v>4340950</v>
      </c>
      <c r="X154" s="26">
        <v>1.5</v>
      </c>
      <c r="Y154" s="37">
        <v>65114.25</v>
      </c>
      <c r="Z154" s="19"/>
      <c r="AA154" s="19" t="s">
        <v>47</v>
      </c>
      <c r="AB154" s="19">
        <v>1141071091</v>
      </c>
      <c r="AC154" s="27">
        <v>45593</v>
      </c>
      <c r="AD154" s="35" t="s">
        <v>48</v>
      </c>
      <c r="AE154" s="35">
        <v>9</v>
      </c>
      <c r="AF154" s="28" t="s">
        <v>1545</v>
      </c>
      <c r="AG154" s="29">
        <v>65114</v>
      </c>
      <c r="AH154" s="39">
        <f t="shared" si="2"/>
        <v>0.25</v>
      </c>
      <c r="AI154" s="28" t="s">
        <v>1626</v>
      </c>
      <c r="AJ154" s="28" t="s">
        <v>49</v>
      </c>
    </row>
    <row r="155" spans="1:36" x14ac:dyDescent="0.25">
      <c r="A155" s="19" t="s">
        <v>412</v>
      </c>
      <c r="B155" s="19" t="s">
        <v>1551</v>
      </c>
      <c r="C155" s="20">
        <v>45505</v>
      </c>
      <c r="D155" s="18" t="s">
        <v>37</v>
      </c>
      <c r="E155" s="19" t="s">
        <v>1552</v>
      </c>
      <c r="F155" s="33">
        <v>45507</v>
      </c>
      <c r="G155" s="33">
        <v>45871</v>
      </c>
      <c r="H155" s="34" t="s">
        <v>1553</v>
      </c>
      <c r="I155" s="23">
        <v>3450146225249</v>
      </c>
      <c r="J155" s="34" t="s">
        <v>416</v>
      </c>
      <c r="K155" s="36" t="s">
        <v>1554</v>
      </c>
      <c r="L155" s="19" t="s">
        <v>1555</v>
      </c>
      <c r="M155" s="19" t="s">
        <v>1556</v>
      </c>
      <c r="N155" s="19" t="s">
        <v>1551</v>
      </c>
      <c r="O155" s="35" t="s">
        <v>132</v>
      </c>
      <c r="P155" s="19" t="s">
        <v>133</v>
      </c>
      <c r="Q155" s="19" t="s">
        <v>1557</v>
      </c>
      <c r="R155" s="33">
        <v>45188</v>
      </c>
      <c r="S155" s="33">
        <v>47031</v>
      </c>
      <c r="T155" s="24">
        <v>1856000</v>
      </c>
      <c r="U155" s="19">
        <v>10</v>
      </c>
      <c r="V155" s="37">
        <v>185600</v>
      </c>
      <c r="W155" s="37">
        <v>1670400</v>
      </c>
      <c r="X155" s="26">
        <v>2</v>
      </c>
      <c r="Y155" s="37">
        <v>33408</v>
      </c>
      <c r="Z155" s="19"/>
      <c r="AA155" s="19" t="s">
        <v>47</v>
      </c>
      <c r="AB155" s="19">
        <v>1141071091</v>
      </c>
      <c r="AC155" s="27">
        <v>45593</v>
      </c>
      <c r="AD155" s="35" t="s">
        <v>48</v>
      </c>
      <c r="AE155" s="35">
        <v>9</v>
      </c>
      <c r="AF155" s="28" t="s">
        <v>1552</v>
      </c>
      <c r="AG155" s="29">
        <v>33408</v>
      </c>
      <c r="AH155" s="39">
        <f t="shared" si="2"/>
        <v>0</v>
      </c>
      <c r="AI155" s="28" t="s">
        <v>1626</v>
      </c>
      <c r="AJ155" s="31" t="s">
        <v>175</v>
      </c>
    </row>
    <row r="156" spans="1:36" x14ac:dyDescent="0.25">
      <c r="A156" s="19" t="s">
        <v>412</v>
      </c>
      <c r="B156" s="19" t="s">
        <v>1558</v>
      </c>
      <c r="C156" s="20">
        <v>45505</v>
      </c>
      <c r="D156" s="18" t="s">
        <v>37</v>
      </c>
      <c r="E156" s="19" t="s">
        <v>1559</v>
      </c>
      <c r="F156" s="33">
        <v>45515</v>
      </c>
      <c r="G156" s="33">
        <v>45879</v>
      </c>
      <c r="H156" s="34" t="s">
        <v>1560</v>
      </c>
      <c r="I156" s="23">
        <v>3620330689767</v>
      </c>
      <c r="J156" s="34" t="s">
        <v>424</v>
      </c>
      <c r="K156" s="19" t="s">
        <v>1561</v>
      </c>
      <c r="L156" s="19" t="s">
        <v>1562</v>
      </c>
      <c r="M156" s="19" t="s">
        <v>1563</v>
      </c>
      <c r="N156" s="19" t="s">
        <v>1558</v>
      </c>
      <c r="O156" s="35" t="s">
        <v>132</v>
      </c>
      <c r="P156" s="19" t="s">
        <v>133</v>
      </c>
      <c r="Q156" s="19" t="s">
        <v>1564</v>
      </c>
      <c r="R156" s="33">
        <v>44826</v>
      </c>
      <c r="S156" s="33">
        <v>46665</v>
      </c>
      <c r="T156" s="24">
        <v>1500000</v>
      </c>
      <c r="U156" s="19">
        <v>15</v>
      </c>
      <c r="V156" s="37">
        <v>225000</v>
      </c>
      <c r="W156" s="37">
        <v>1275000</v>
      </c>
      <c r="X156" s="26">
        <v>2</v>
      </c>
      <c r="Y156" s="37">
        <v>25500</v>
      </c>
      <c r="Z156" s="19"/>
      <c r="AA156" s="19" t="s">
        <v>47</v>
      </c>
      <c r="AB156" s="19">
        <v>1141071091</v>
      </c>
      <c r="AC156" s="27">
        <v>45593</v>
      </c>
      <c r="AD156" s="35" t="s">
        <v>48</v>
      </c>
      <c r="AE156" s="35">
        <v>0</v>
      </c>
      <c r="AF156" s="28" t="s">
        <v>1559</v>
      </c>
      <c r="AG156" s="29">
        <v>25500</v>
      </c>
      <c r="AH156" s="39">
        <f t="shared" si="2"/>
        <v>0</v>
      </c>
      <c r="AI156" s="28" t="s">
        <v>1626</v>
      </c>
      <c r="AJ156" s="28" t="s">
        <v>49</v>
      </c>
    </row>
    <row r="157" spans="1:36" x14ac:dyDescent="0.25">
      <c r="A157" s="19" t="s">
        <v>412</v>
      </c>
      <c r="B157" s="19" t="s">
        <v>1565</v>
      </c>
      <c r="C157" s="20">
        <v>45505</v>
      </c>
      <c r="D157" s="18" t="s">
        <v>37</v>
      </c>
      <c r="E157" s="19" t="s">
        <v>1566</v>
      </c>
      <c r="F157" s="33">
        <v>45534</v>
      </c>
      <c r="G157" s="33">
        <v>45898</v>
      </c>
      <c r="H157" s="34" t="s">
        <v>1567</v>
      </c>
      <c r="I157" s="23">
        <v>3410119278011</v>
      </c>
      <c r="J157" s="34" t="s">
        <v>429</v>
      </c>
      <c r="K157" s="19" t="s">
        <v>1568</v>
      </c>
      <c r="L157" s="19" t="s">
        <v>1569</v>
      </c>
      <c r="M157" s="19" t="s">
        <v>1570</v>
      </c>
      <c r="N157" s="19" t="s">
        <v>1565</v>
      </c>
      <c r="O157" s="35" t="s">
        <v>57</v>
      </c>
      <c r="P157" s="19" t="s">
        <v>431</v>
      </c>
      <c r="Q157" s="19" t="s">
        <v>1571</v>
      </c>
      <c r="R157" s="33">
        <v>44825</v>
      </c>
      <c r="S157" s="33">
        <v>46665</v>
      </c>
      <c r="T157" s="24">
        <v>2330000</v>
      </c>
      <c r="U157" s="19">
        <v>15</v>
      </c>
      <c r="V157" s="37">
        <v>349500</v>
      </c>
      <c r="W157" s="37">
        <v>1980500</v>
      </c>
      <c r="X157" s="26">
        <v>2.5</v>
      </c>
      <c r="Y157" s="37">
        <v>49512.5</v>
      </c>
      <c r="Z157" s="19"/>
      <c r="AA157" s="19" t="s">
        <v>47</v>
      </c>
      <c r="AB157" s="19">
        <v>1141071091</v>
      </c>
      <c r="AC157" s="27">
        <v>45593</v>
      </c>
      <c r="AD157" s="35" t="s">
        <v>48</v>
      </c>
      <c r="AE157" s="35">
        <v>9</v>
      </c>
      <c r="AF157" s="28" t="s">
        <v>1566</v>
      </c>
      <c r="AG157" s="29">
        <v>49513</v>
      </c>
      <c r="AH157" s="39">
        <f t="shared" si="2"/>
        <v>-0.5</v>
      </c>
      <c r="AI157" s="28" t="s">
        <v>1626</v>
      </c>
      <c r="AJ157" s="28" t="s">
        <v>49</v>
      </c>
    </row>
    <row r="158" spans="1:36" x14ac:dyDescent="0.25">
      <c r="A158" s="19" t="s">
        <v>412</v>
      </c>
      <c r="B158" s="19" t="s">
        <v>1572</v>
      </c>
      <c r="C158" s="20">
        <v>45474</v>
      </c>
      <c r="D158" s="18" t="s">
        <v>37</v>
      </c>
      <c r="E158" s="19" t="s">
        <v>1573</v>
      </c>
      <c r="F158" s="33">
        <v>45504</v>
      </c>
      <c r="G158" s="33">
        <v>45868</v>
      </c>
      <c r="H158" s="34" t="s">
        <v>1574</v>
      </c>
      <c r="I158" s="23">
        <v>3520130467430</v>
      </c>
      <c r="J158" s="34" t="s">
        <v>421</v>
      </c>
      <c r="K158" s="19" t="s">
        <v>1575</v>
      </c>
      <c r="L158" s="19" t="s">
        <v>1576</v>
      </c>
      <c r="M158" s="19" t="s">
        <v>1577</v>
      </c>
      <c r="N158" s="19" t="s">
        <v>1572</v>
      </c>
      <c r="O158" s="35" t="s">
        <v>57</v>
      </c>
      <c r="P158" s="19" t="s">
        <v>76</v>
      </c>
      <c r="Q158" s="19" t="s">
        <v>1578</v>
      </c>
      <c r="R158" s="33">
        <v>45188</v>
      </c>
      <c r="S158" s="33">
        <v>47031</v>
      </c>
      <c r="T158" s="24">
        <v>1800000</v>
      </c>
      <c r="U158" s="19">
        <v>10</v>
      </c>
      <c r="V158" s="37">
        <v>180000</v>
      </c>
      <c r="W158" s="37">
        <v>1620000</v>
      </c>
      <c r="X158" s="26">
        <v>2</v>
      </c>
      <c r="Y158" s="37">
        <v>32400</v>
      </c>
      <c r="Z158" s="19"/>
      <c r="AA158" s="19" t="s">
        <v>47</v>
      </c>
      <c r="AB158" s="19">
        <v>1141071091</v>
      </c>
      <c r="AC158" s="27">
        <v>45593</v>
      </c>
      <c r="AD158" s="35" t="s">
        <v>48</v>
      </c>
      <c r="AE158" s="35">
        <v>0</v>
      </c>
      <c r="AF158" s="28" t="s">
        <v>1573</v>
      </c>
      <c r="AG158" s="29">
        <v>32400</v>
      </c>
      <c r="AH158" s="39">
        <f t="shared" si="2"/>
        <v>0</v>
      </c>
      <c r="AI158" s="28" t="s">
        <v>1626</v>
      </c>
      <c r="AJ158" s="28" t="s">
        <v>49</v>
      </c>
    </row>
    <row r="159" spans="1:36" x14ac:dyDescent="0.25">
      <c r="A159" s="19" t="s">
        <v>412</v>
      </c>
      <c r="B159" s="19" t="s">
        <v>1579</v>
      </c>
      <c r="C159" s="20">
        <v>45474</v>
      </c>
      <c r="D159" s="18" t="s">
        <v>37</v>
      </c>
      <c r="E159" s="19" t="s">
        <v>1580</v>
      </c>
      <c r="F159" s="33">
        <v>45504</v>
      </c>
      <c r="G159" s="33">
        <v>45868</v>
      </c>
      <c r="H159" s="34" t="s">
        <v>1581</v>
      </c>
      <c r="I159" s="23">
        <v>6110176911743</v>
      </c>
      <c r="J159" s="34" t="s">
        <v>417</v>
      </c>
      <c r="K159" s="19" t="s">
        <v>1582</v>
      </c>
      <c r="L159" s="19" t="s">
        <v>1583</v>
      </c>
      <c r="M159" s="19" t="s">
        <v>1584</v>
      </c>
      <c r="N159" s="19" t="s">
        <v>1579</v>
      </c>
      <c r="O159" s="35" t="s">
        <v>132</v>
      </c>
      <c r="P159" s="19" t="s">
        <v>414</v>
      </c>
      <c r="Q159" s="19" t="s">
        <v>1585</v>
      </c>
      <c r="R159" s="33">
        <v>45188</v>
      </c>
      <c r="S159" s="33">
        <v>47031</v>
      </c>
      <c r="T159" s="24">
        <v>2935000</v>
      </c>
      <c r="U159" s="19">
        <v>10</v>
      </c>
      <c r="V159" s="37">
        <v>293500</v>
      </c>
      <c r="W159" s="37">
        <v>2641500</v>
      </c>
      <c r="X159" s="26">
        <v>2</v>
      </c>
      <c r="Y159" s="37">
        <v>52830</v>
      </c>
      <c r="Z159" s="19"/>
      <c r="AA159" s="19" t="s">
        <v>47</v>
      </c>
      <c r="AB159" s="19">
        <v>1141071091</v>
      </c>
      <c r="AC159" s="27">
        <v>45593</v>
      </c>
      <c r="AD159" s="35" t="s">
        <v>48</v>
      </c>
      <c r="AE159" s="35">
        <v>0</v>
      </c>
      <c r="AF159" s="28" t="s">
        <v>1580</v>
      </c>
      <c r="AG159" s="29">
        <v>52830</v>
      </c>
      <c r="AH159" s="39">
        <f t="shared" si="2"/>
        <v>0</v>
      </c>
      <c r="AI159" s="28" t="s">
        <v>1626</v>
      </c>
      <c r="AJ159" s="28" t="s">
        <v>49</v>
      </c>
    </row>
    <row r="160" spans="1:36" x14ac:dyDescent="0.25">
      <c r="A160" s="19" t="s">
        <v>412</v>
      </c>
      <c r="B160" s="19" t="s">
        <v>1586</v>
      </c>
      <c r="C160" s="20">
        <v>45474</v>
      </c>
      <c r="D160" s="18" t="s">
        <v>37</v>
      </c>
      <c r="E160" s="19" t="s">
        <v>1587</v>
      </c>
      <c r="F160" s="33">
        <v>45494</v>
      </c>
      <c r="G160" s="33">
        <v>45858</v>
      </c>
      <c r="H160" s="34" t="s">
        <v>1588</v>
      </c>
      <c r="I160" s="23">
        <v>6110119124519</v>
      </c>
      <c r="J160" s="34" t="s">
        <v>419</v>
      </c>
      <c r="K160" s="19" t="s">
        <v>1589</v>
      </c>
      <c r="L160" s="19" t="s">
        <v>1590</v>
      </c>
      <c r="M160" s="19" t="s">
        <v>1591</v>
      </c>
      <c r="N160" s="19" t="s">
        <v>1586</v>
      </c>
      <c r="O160" s="35" t="s">
        <v>132</v>
      </c>
      <c r="P160" s="19" t="s">
        <v>133</v>
      </c>
      <c r="Q160" s="19" t="s">
        <v>1592</v>
      </c>
      <c r="R160" s="33">
        <v>45188</v>
      </c>
      <c r="S160" s="33">
        <v>47031</v>
      </c>
      <c r="T160" s="24">
        <v>1200000</v>
      </c>
      <c r="U160" s="19">
        <v>10</v>
      </c>
      <c r="V160" s="37">
        <v>120000</v>
      </c>
      <c r="W160" s="37">
        <v>1080000</v>
      </c>
      <c r="X160" s="26">
        <v>2</v>
      </c>
      <c r="Y160" s="37">
        <v>21600</v>
      </c>
      <c r="Z160" s="19"/>
      <c r="AA160" s="19" t="s">
        <v>47</v>
      </c>
      <c r="AB160" s="19">
        <v>1141071091</v>
      </c>
      <c r="AC160" s="27">
        <v>45593</v>
      </c>
      <c r="AD160" s="35" t="s">
        <v>48</v>
      </c>
      <c r="AE160" s="35">
        <v>0</v>
      </c>
      <c r="AF160" s="28" t="s">
        <v>1587</v>
      </c>
      <c r="AG160" s="29">
        <v>21600</v>
      </c>
      <c r="AH160" s="39">
        <f t="shared" si="2"/>
        <v>0</v>
      </c>
      <c r="AI160" s="28" t="s">
        <v>1626</v>
      </c>
      <c r="AJ160" s="28" t="s">
        <v>49</v>
      </c>
    </row>
    <row r="161" spans="1:36" x14ac:dyDescent="0.25">
      <c r="A161" s="19" t="s">
        <v>412</v>
      </c>
      <c r="B161" s="19" t="s">
        <v>1593</v>
      </c>
      <c r="C161" s="20">
        <v>45444</v>
      </c>
      <c r="D161" s="18" t="s">
        <v>37</v>
      </c>
      <c r="E161" s="19" t="s">
        <v>1594</v>
      </c>
      <c r="F161" s="33">
        <v>45472</v>
      </c>
      <c r="G161" s="33">
        <v>45836</v>
      </c>
      <c r="H161" s="22" t="s">
        <v>1595</v>
      </c>
      <c r="I161" s="23" t="s">
        <v>1596</v>
      </c>
      <c r="J161" s="22" t="s">
        <v>433</v>
      </c>
      <c r="K161" s="19" t="s">
        <v>1597</v>
      </c>
      <c r="L161" s="19" t="s">
        <v>1598</v>
      </c>
      <c r="M161" s="19" t="s">
        <v>1599</v>
      </c>
      <c r="N161" s="19" t="s">
        <v>1593</v>
      </c>
      <c r="O161" s="35" t="s">
        <v>57</v>
      </c>
      <c r="P161" s="19" t="s">
        <v>76</v>
      </c>
      <c r="Q161" s="19" t="s">
        <v>1600</v>
      </c>
      <c r="R161" s="33">
        <v>44015</v>
      </c>
      <c r="S161" s="33">
        <v>46209</v>
      </c>
      <c r="T161" s="24">
        <v>1745000</v>
      </c>
      <c r="U161" s="19">
        <v>25</v>
      </c>
      <c r="V161" s="37">
        <v>436250</v>
      </c>
      <c r="W161" s="37">
        <v>1308750</v>
      </c>
      <c r="X161" s="26">
        <v>3.75</v>
      </c>
      <c r="Y161" s="37">
        <v>49078.125</v>
      </c>
      <c r="Z161" s="19"/>
      <c r="AA161" s="19" t="s">
        <v>47</v>
      </c>
      <c r="AB161" s="19">
        <v>1141071091</v>
      </c>
      <c r="AC161" s="27">
        <v>45593</v>
      </c>
      <c r="AD161" s="35" t="s">
        <v>48</v>
      </c>
      <c r="AE161" s="35">
        <v>0</v>
      </c>
      <c r="AF161" s="28" t="s">
        <v>1594</v>
      </c>
      <c r="AG161" s="29">
        <v>49078</v>
      </c>
      <c r="AH161" s="39">
        <f t="shared" si="2"/>
        <v>0.125</v>
      </c>
      <c r="AI161" s="28" t="s">
        <v>1626</v>
      </c>
      <c r="AJ161" s="28" t="s">
        <v>49</v>
      </c>
    </row>
    <row r="162" spans="1:36" x14ac:dyDescent="0.25">
      <c r="A162" s="19" t="s">
        <v>412</v>
      </c>
      <c r="B162" s="19" t="s">
        <v>1601</v>
      </c>
      <c r="C162" s="20">
        <v>45444</v>
      </c>
      <c r="D162" s="18" t="s">
        <v>37</v>
      </c>
      <c r="E162" s="19" t="s">
        <v>1602</v>
      </c>
      <c r="F162" s="33">
        <v>45467</v>
      </c>
      <c r="G162" s="33">
        <v>45831</v>
      </c>
      <c r="H162" s="34" t="s">
        <v>1603</v>
      </c>
      <c r="I162" s="23" t="s">
        <v>1604</v>
      </c>
      <c r="J162" s="34" t="s">
        <v>417</v>
      </c>
      <c r="K162" s="19" t="s">
        <v>1605</v>
      </c>
      <c r="L162" s="19" t="s">
        <v>1606</v>
      </c>
      <c r="M162" s="19" t="s">
        <v>1607</v>
      </c>
      <c r="N162" s="19" t="s">
        <v>1601</v>
      </c>
      <c r="O162" s="35" t="s">
        <v>44</v>
      </c>
      <c r="P162" s="19" t="s">
        <v>45</v>
      </c>
      <c r="Q162" s="19" t="s">
        <v>1608</v>
      </c>
      <c r="R162" s="33">
        <v>45189</v>
      </c>
      <c r="S162" s="33">
        <v>47031</v>
      </c>
      <c r="T162" s="24">
        <v>2000000</v>
      </c>
      <c r="U162" s="19">
        <v>10</v>
      </c>
      <c r="V162" s="37">
        <v>200000</v>
      </c>
      <c r="W162" s="37">
        <v>1800000</v>
      </c>
      <c r="X162" s="26">
        <v>1.5</v>
      </c>
      <c r="Y162" s="37">
        <v>27000</v>
      </c>
      <c r="Z162" s="19"/>
      <c r="AA162" s="19" t="s">
        <v>47</v>
      </c>
      <c r="AB162" s="19">
        <v>1141071091</v>
      </c>
      <c r="AC162" s="27">
        <v>45593</v>
      </c>
      <c r="AD162" s="35" t="s">
        <v>48</v>
      </c>
      <c r="AE162" s="35">
        <v>0</v>
      </c>
      <c r="AF162" s="28" t="s">
        <v>1602</v>
      </c>
      <c r="AG162" s="29">
        <v>27000</v>
      </c>
      <c r="AH162" s="39">
        <f t="shared" si="2"/>
        <v>0</v>
      </c>
      <c r="AI162" s="28" t="s">
        <v>1626</v>
      </c>
      <c r="AJ162" s="28" t="s">
        <v>49</v>
      </c>
    </row>
    <row r="163" spans="1:36" x14ac:dyDescent="0.25">
      <c r="A163" s="19" t="s">
        <v>412</v>
      </c>
      <c r="B163" s="19" t="s">
        <v>1609</v>
      </c>
      <c r="C163" s="20">
        <v>45444</v>
      </c>
      <c r="D163" s="18" t="s">
        <v>37</v>
      </c>
      <c r="E163" s="19" t="s">
        <v>1610</v>
      </c>
      <c r="F163" s="33">
        <v>45472</v>
      </c>
      <c r="G163" s="33">
        <v>45836</v>
      </c>
      <c r="H163" s="34" t="s">
        <v>1611</v>
      </c>
      <c r="I163" s="23" t="s">
        <v>1612</v>
      </c>
      <c r="J163" s="34" t="s">
        <v>418</v>
      </c>
      <c r="K163" s="19" t="s">
        <v>1613</v>
      </c>
      <c r="L163" s="19" t="s">
        <v>1614</v>
      </c>
      <c r="M163" s="19" t="s">
        <v>1615</v>
      </c>
      <c r="N163" s="19" t="s">
        <v>1609</v>
      </c>
      <c r="O163" s="35" t="s">
        <v>57</v>
      </c>
      <c r="P163" s="19" t="s">
        <v>432</v>
      </c>
      <c r="Q163" s="19" t="s">
        <v>1616</v>
      </c>
      <c r="R163" s="33">
        <v>44840</v>
      </c>
      <c r="S163" s="33">
        <v>46665</v>
      </c>
      <c r="T163" s="24">
        <v>1546000</v>
      </c>
      <c r="U163" s="19">
        <v>15</v>
      </c>
      <c r="V163" s="37">
        <v>231900</v>
      </c>
      <c r="W163" s="37">
        <v>1314100</v>
      </c>
      <c r="X163" s="26">
        <v>1.75</v>
      </c>
      <c r="Y163" s="37">
        <v>22996.750000000004</v>
      </c>
      <c r="Z163" s="19"/>
      <c r="AA163" s="19" t="s">
        <v>47</v>
      </c>
      <c r="AB163" s="19">
        <v>1141071091</v>
      </c>
      <c r="AC163" s="27">
        <v>45593</v>
      </c>
      <c r="AD163" s="35" t="s">
        <v>48</v>
      </c>
      <c r="AE163" s="35">
        <v>0</v>
      </c>
      <c r="AF163" s="28" t="s">
        <v>1610</v>
      </c>
      <c r="AG163" s="29">
        <v>22997</v>
      </c>
      <c r="AH163" s="39">
        <f t="shared" si="2"/>
        <v>-0.24999999999636202</v>
      </c>
      <c r="AI163" s="28" t="s">
        <v>1626</v>
      </c>
      <c r="AJ163" s="28" t="s">
        <v>49</v>
      </c>
    </row>
    <row r="164" spans="1:36" x14ac:dyDescent="0.25">
      <c r="A164" s="19" t="s">
        <v>412</v>
      </c>
      <c r="B164" s="19" t="s">
        <v>1617</v>
      </c>
      <c r="C164" s="20">
        <v>45444</v>
      </c>
      <c r="D164" s="18" t="s">
        <v>37</v>
      </c>
      <c r="E164" s="19" t="s">
        <v>1618</v>
      </c>
      <c r="F164" s="33">
        <v>45473</v>
      </c>
      <c r="G164" s="33">
        <v>45837</v>
      </c>
      <c r="H164" s="34" t="s">
        <v>1619</v>
      </c>
      <c r="I164" s="23" t="s">
        <v>1620</v>
      </c>
      <c r="J164" s="34" t="s">
        <v>1621</v>
      </c>
      <c r="K164" s="19" t="s">
        <v>1622</v>
      </c>
      <c r="L164" s="19" t="s">
        <v>1623</v>
      </c>
      <c r="M164" s="19" t="s">
        <v>1624</v>
      </c>
      <c r="N164" s="19" t="s">
        <v>1617</v>
      </c>
      <c r="O164" s="35" t="s">
        <v>57</v>
      </c>
      <c r="P164" s="19" t="s">
        <v>93</v>
      </c>
      <c r="Q164" s="19" t="s">
        <v>1625</v>
      </c>
      <c r="R164" s="33">
        <v>44825</v>
      </c>
      <c r="S164" s="33">
        <v>47396</v>
      </c>
      <c r="T164" s="24">
        <v>2404200</v>
      </c>
      <c r="U164" s="19">
        <v>15</v>
      </c>
      <c r="V164" s="37">
        <v>360630</v>
      </c>
      <c r="W164" s="37">
        <v>2043570</v>
      </c>
      <c r="X164" s="26">
        <v>2.5</v>
      </c>
      <c r="Y164" s="37">
        <v>51089.25</v>
      </c>
      <c r="Z164" s="19"/>
      <c r="AA164" s="19" t="s">
        <v>47</v>
      </c>
      <c r="AB164" s="19">
        <v>1141071091</v>
      </c>
      <c r="AC164" s="27">
        <v>45593</v>
      </c>
      <c r="AD164" s="35" t="s">
        <v>48</v>
      </c>
      <c r="AE164" s="35">
        <v>9</v>
      </c>
      <c r="AF164" s="28" t="s">
        <v>1618</v>
      </c>
      <c r="AG164" s="29">
        <v>51089</v>
      </c>
      <c r="AH164" s="39">
        <f t="shared" si="2"/>
        <v>0.25</v>
      </c>
      <c r="AI164" s="28" t="s">
        <v>1626</v>
      </c>
      <c r="AJ164" s="28" t="s">
        <v>49</v>
      </c>
    </row>
    <row r="166" spans="1:36" x14ac:dyDescent="0.25">
      <c r="Y166" s="41">
        <f>SUBTOTAL(9,Y2:Y164)</f>
        <v>7154760.085</v>
      </c>
      <c r="AG166" s="52">
        <f>SUM(AG2:AG164)</f>
        <v>7154774</v>
      </c>
    </row>
  </sheetData>
  <autoFilter ref="A1:AJ164" xr:uid="{82E16252-513D-4D17-97AC-7FDAD399EEFF}"/>
  <conditionalFormatting sqref="B2:B164">
    <cfRule type="duplicateValues" dxfId="19" priority="9"/>
  </conditionalFormatting>
  <conditionalFormatting sqref="E2:E164">
    <cfRule type="duplicateValues" dxfId="18" priority="12"/>
  </conditionalFormatting>
  <conditionalFormatting sqref="L2:M96">
    <cfRule type="duplicateValues" dxfId="17" priority="5" stopIfTrue="1"/>
    <cfRule type="duplicateValues" dxfId="16" priority="6" stopIfTrue="1"/>
    <cfRule type="duplicateValues" dxfId="15" priority="7" stopIfTrue="1"/>
  </conditionalFormatting>
  <conditionalFormatting sqref="L2:M164">
    <cfRule type="duplicateValues" dxfId="14" priority="11"/>
  </conditionalFormatting>
  <conditionalFormatting sqref="L97:M164">
    <cfRule type="duplicateValues" dxfId="13" priority="1" stopIfTrue="1"/>
    <cfRule type="duplicateValues" dxfId="12" priority="2" stopIfTrue="1"/>
    <cfRule type="duplicateValues" dxfId="11" priority="3" stopIfTrue="1"/>
  </conditionalFormatting>
  <conditionalFormatting sqref="N2:N164">
    <cfRule type="duplicateValues" dxfId="10" priority="4"/>
    <cfRule type="duplicateValues" dxfId="9" priority="8"/>
    <cfRule type="duplicateValues" dxfId="8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7F157-A1C6-42F0-BDEB-BFE507219837}">
  <dimension ref="A1:H164"/>
  <sheetViews>
    <sheetView workbookViewId="0">
      <selection activeCell="H2" sqref="A1:H2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3.140625" customWidth="1"/>
    <col min="7" max="7" width="83.7109375" customWidth="1"/>
    <col min="8" max="8" width="75.5703125" customWidth="1"/>
  </cols>
  <sheetData>
    <row r="1" spans="1:8" x14ac:dyDescent="0.25">
      <c r="A1" s="44" t="s">
        <v>1853</v>
      </c>
      <c r="B1" t="s">
        <v>1854</v>
      </c>
      <c r="D1" s="45" t="s">
        <v>1855</v>
      </c>
      <c r="E1" s="46" t="s">
        <v>1857</v>
      </c>
    </row>
    <row r="2" spans="1:8" ht="126.75" customHeight="1" x14ac:dyDescent="0.25">
      <c r="A2" s="28" t="s">
        <v>459</v>
      </c>
      <c r="B2" s="17" t="str">
        <f>VLOOKUP(A2,policy!B:C,2,0)</f>
        <v>070000165016</v>
      </c>
      <c r="C2" s="29">
        <v>20400</v>
      </c>
      <c r="D2" s="47">
        <f>ROUND(C2,0)</f>
        <v>20400</v>
      </c>
      <c r="E2" s="46" t="s">
        <v>1857</v>
      </c>
      <c r="F2" s="48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9" t="str">
        <f>"('"&amp;E2&amp;"','"&amp;B2&amp;"','"&amp;D2&amp;"',(select max(to_number(i.premium_rcv_detail_code))+1
from ins_premium_det i),'"&amp;D2&amp;"','"&amp;D2&amp;"','02', '11000003','00','Request by Mr. Reheel Malik 29-Oct-2024');"</f>
        <v>('28Oct240058','070000165016','20400',(select max(to_number(i.premium_rcv_detail_code))+1
from ins_premium_det i),'20400','20400','02', '11000003','00','Request by Mr. Reheel Malik 29-Oct-2024');</v>
      </c>
      <c r="H2" s="50" t="str">
        <f>F2&amp;G2</f>
        <v>insert into ins_premium_det (premium_rcv_code,assorted_code, rec_amount,premium_rcv_detail_code,remaining_amt, payrec, mode_code,coinsurance_code,class_cd,it_remarks) values('28Oct240058','070000165016','20400',(select max(to_number(i.premium_rcv_detail_code))+1
from ins_premium_det i),'20400','20400','02', '11000003','00','Request by Mr. Reheel Malik 29-Oct-2024');</v>
      </c>
    </row>
    <row r="3" spans="1:8" ht="105" x14ac:dyDescent="0.25">
      <c r="A3" s="28" t="s">
        <v>466</v>
      </c>
      <c r="B3" s="17" t="str">
        <f>VLOOKUP(A3,policy!B:C,2,0)</f>
        <v>070000165017</v>
      </c>
      <c r="C3" s="29">
        <v>20400</v>
      </c>
      <c r="D3" s="47">
        <f t="shared" ref="D3:D66" si="1">ROUND(C3,0)</f>
        <v>20400</v>
      </c>
      <c r="E3" s="46" t="s">
        <v>1857</v>
      </c>
      <c r="F3" s="48" t="str">
        <f t="shared" si="0"/>
        <v>insert into ins_premium_det (premium_rcv_code,assorted_code, rec_amount,premium_rcv_detail_code,remaining_amt, payrec, mode_code,coinsurance_code,class_cd,it_remarks) values</v>
      </c>
      <c r="G3" s="49" t="str">
        <f t="shared" ref="G3:G66" si="2">"('"&amp;E3&amp;"','"&amp;B3&amp;"','"&amp;D3&amp;"',(select max(to_number(i.premium_rcv_detail_code))+1
from ins_premium_det i),'"&amp;D3&amp;"','"&amp;D3&amp;"','02', '11000003','00','Request by Mr. Reheel Malik 29-Oct-2024');"</f>
        <v>('28Oct240058','070000165017','20400',(select max(to_number(i.premium_rcv_detail_code))+1
from ins_premium_det i),'20400','20400','02', '11000003','00','Request by Mr. Reheel Malik 29-Oct-2024');</v>
      </c>
      <c r="H3" s="50" t="str">
        <f t="shared" ref="H3:H66" si="3">F3&amp;G3</f>
        <v>insert into ins_premium_det (premium_rcv_code,assorted_code, rec_amount,premium_rcv_detail_code,remaining_amt, payrec, mode_code,coinsurance_code,class_cd,it_remarks) values('28Oct240058','070000165017','20400',(select max(to_number(i.premium_rcv_detail_code))+1
from ins_premium_det i),'20400','20400','02', '11000003','00','Request by Mr. Reheel Malik 29-Oct-2024');</v>
      </c>
    </row>
    <row r="4" spans="1:8" ht="105" x14ac:dyDescent="0.25">
      <c r="A4" s="28" t="s">
        <v>474</v>
      </c>
      <c r="B4" s="17" t="str">
        <f>VLOOKUP(A4,policy!B:C,2,0)</f>
        <v>070000165019</v>
      </c>
      <c r="C4" s="29">
        <v>28203</v>
      </c>
      <c r="D4" s="47">
        <f t="shared" si="1"/>
        <v>28203</v>
      </c>
      <c r="E4" s="46" t="s">
        <v>1857</v>
      </c>
      <c r="F4" s="48" t="str">
        <f t="shared" si="0"/>
        <v>insert into ins_premium_det (premium_rcv_code,assorted_code, rec_amount,premium_rcv_detail_code,remaining_amt, payrec, mode_code,coinsurance_code,class_cd,it_remarks) values</v>
      </c>
      <c r="G4" s="49" t="str">
        <f t="shared" si="2"/>
        <v>('28Oct240058','070000165019','28203',(select max(to_number(i.premium_rcv_detail_code))+1
from ins_premium_det i),'28203','28203','02', '11000003','00','Request by Mr. Reheel Malik 29-Oct-2024');</v>
      </c>
      <c r="H4" s="50" t="str">
        <f t="shared" si="3"/>
        <v>insert into ins_premium_det (premium_rcv_code,assorted_code, rec_amount,premium_rcv_detail_code,remaining_amt, payrec, mode_code,coinsurance_code,class_cd,it_remarks) values('28Oct240058','070000165019','28203',(select max(to_number(i.premium_rcv_detail_code))+1
from ins_premium_det i),'28203','28203','02', '11000003','00','Request by Mr. Reheel Malik 29-Oct-2024');</v>
      </c>
    </row>
    <row r="5" spans="1:8" ht="105" x14ac:dyDescent="0.25">
      <c r="A5" s="28" t="s">
        <v>482</v>
      </c>
      <c r="B5" s="17" t="str">
        <f>VLOOKUP(A5,policy!B:C,2,0)</f>
        <v>070000165020</v>
      </c>
      <c r="C5" s="29">
        <v>24208</v>
      </c>
      <c r="D5" s="47">
        <f t="shared" si="1"/>
        <v>24208</v>
      </c>
      <c r="E5" s="46" t="s">
        <v>1857</v>
      </c>
      <c r="F5" s="48" t="str">
        <f t="shared" si="0"/>
        <v>insert into ins_premium_det (premium_rcv_code,assorted_code, rec_amount,premium_rcv_detail_code,remaining_amt, payrec, mode_code,coinsurance_code,class_cd,it_remarks) values</v>
      </c>
      <c r="G5" s="49" t="str">
        <f t="shared" si="2"/>
        <v>('28Oct240058','070000165020','24208',(select max(to_number(i.premium_rcv_detail_code))+1
from ins_premium_det i),'24208','24208','02', '11000003','00','Request by Mr. Reheel Malik 29-Oct-2024');</v>
      </c>
      <c r="H5" s="50" t="str">
        <f t="shared" si="3"/>
        <v>insert into ins_premium_det (premium_rcv_code,assorted_code, rec_amount,premium_rcv_detail_code,remaining_amt, payrec, mode_code,coinsurance_code,class_cd,it_remarks) values('28Oct240058','070000165020','24208',(select max(to_number(i.premium_rcv_detail_code))+1
from ins_premium_det i),'24208','24208','02', '11000003','00','Request by Mr. Reheel Malik 29-Oct-2024');</v>
      </c>
    </row>
    <row r="6" spans="1:8" ht="105" x14ac:dyDescent="0.25">
      <c r="A6" s="28" t="s">
        <v>489</v>
      </c>
      <c r="B6" s="17" t="str">
        <f>VLOOKUP(A6,policy!B:C,2,0)</f>
        <v>070000165022</v>
      </c>
      <c r="C6" s="29">
        <v>24208</v>
      </c>
      <c r="D6" s="47">
        <f t="shared" si="1"/>
        <v>24208</v>
      </c>
      <c r="E6" s="46" t="s">
        <v>1857</v>
      </c>
      <c r="F6" s="48" t="str">
        <f t="shared" si="0"/>
        <v>insert into ins_premium_det (premium_rcv_code,assorted_code, rec_amount,premium_rcv_detail_code,remaining_amt, payrec, mode_code,coinsurance_code,class_cd,it_remarks) values</v>
      </c>
      <c r="G6" s="49" t="str">
        <f t="shared" si="2"/>
        <v>('28Oct240058','070000165022','24208',(select max(to_number(i.premium_rcv_detail_code))+1
from ins_premium_det i),'24208','24208','02', '11000003','00','Request by Mr. Reheel Malik 29-Oct-2024');</v>
      </c>
      <c r="H6" s="50" t="str">
        <f t="shared" si="3"/>
        <v>insert into ins_premium_det (premium_rcv_code,assorted_code, rec_amount,premium_rcv_detail_code,remaining_amt, payrec, mode_code,coinsurance_code,class_cd,it_remarks) values('28Oct240058','070000165022','24208',(select max(to_number(i.premium_rcv_detail_code))+1
from ins_premium_det i),'24208','24208','02', '11000003','00','Request by Mr. Reheel Malik 29-Oct-2024');</v>
      </c>
    </row>
    <row r="7" spans="1:8" ht="105" x14ac:dyDescent="0.25">
      <c r="A7" s="28" t="s">
        <v>496</v>
      </c>
      <c r="B7" s="17" t="str">
        <f>VLOOKUP(A7,policy!B:C,2,0)</f>
        <v>070000165024</v>
      </c>
      <c r="C7" s="29">
        <v>24208</v>
      </c>
      <c r="D7" s="47">
        <f t="shared" si="1"/>
        <v>24208</v>
      </c>
      <c r="E7" s="46" t="s">
        <v>1857</v>
      </c>
      <c r="F7" s="48" t="str">
        <f t="shared" si="0"/>
        <v>insert into ins_premium_det (premium_rcv_code,assorted_code, rec_amount,premium_rcv_detail_code,remaining_amt, payrec, mode_code,coinsurance_code,class_cd,it_remarks) values</v>
      </c>
      <c r="G7" s="49" t="str">
        <f t="shared" si="2"/>
        <v>('28Oct240058','070000165024','24208',(select max(to_number(i.premium_rcv_detail_code))+1
from ins_premium_det i),'24208','24208','02', '11000003','00','Request by Mr. Reheel Malik 29-Oct-2024');</v>
      </c>
      <c r="H7" s="50" t="str">
        <f t="shared" si="3"/>
        <v>insert into ins_premium_det (premium_rcv_code,assorted_code, rec_amount,premium_rcv_detail_code,remaining_amt, payrec, mode_code,coinsurance_code,class_cd,it_remarks) values('28Oct240058','070000165024','24208',(select max(to_number(i.premium_rcv_detail_code))+1
from ins_premium_det i),'24208','24208','02', '11000003','00','Request by Mr. Reheel Malik 29-Oct-2024');</v>
      </c>
    </row>
    <row r="8" spans="1:8" ht="105" x14ac:dyDescent="0.25">
      <c r="A8" s="28" t="s">
        <v>503</v>
      </c>
      <c r="B8" s="17" t="str">
        <f>VLOOKUP(A8,policy!B:C,2,0)</f>
        <v>070000165026</v>
      </c>
      <c r="C8" s="29">
        <v>19388</v>
      </c>
      <c r="D8" s="47">
        <f t="shared" si="1"/>
        <v>19388</v>
      </c>
      <c r="E8" s="46" t="s">
        <v>1857</v>
      </c>
      <c r="F8" s="48" t="str">
        <f t="shared" si="0"/>
        <v>insert into ins_premium_det (premium_rcv_code,assorted_code, rec_amount,premium_rcv_detail_code,remaining_amt, payrec, mode_code,coinsurance_code,class_cd,it_remarks) values</v>
      </c>
      <c r="G8" s="49" t="str">
        <f t="shared" si="2"/>
        <v>('28Oct240058','070000165026','19388',(select max(to_number(i.premium_rcv_detail_code))+1
from ins_premium_det i),'19388','19388','02', '11000003','00','Request by Mr. Reheel Malik 29-Oct-2024');</v>
      </c>
      <c r="H8" s="50" t="str">
        <f t="shared" si="3"/>
        <v>insert into ins_premium_det (premium_rcv_code,assorted_code, rec_amount,premium_rcv_detail_code,remaining_amt, payrec, mode_code,coinsurance_code,class_cd,it_remarks) values('28Oct240058','070000165026','19388',(select max(to_number(i.premium_rcv_detail_code))+1
from ins_premium_det i),'19388','19388','02', '11000003','00','Request by Mr. Reheel Malik 29-Oct-2024');</v>
      </c>
    </row>
    <row r="9" spans="1:8" ht="105" x14ac:dyDescent="0.25">
      <c r="A9" s="28" t="s">
        <v>510</v>
      </c>
      <c r="B9" s="17" t="str">
        <f>VLOOKUP(A9,policy!B:C,2,0)</f>
        <v>070000165027</v>
      </c>
      <c r="C9" s="29">
        <v>19388</v>
      </c>
      <c r="D9" s="47">
        <f t="shared" si="1"/>
        <v>19388</v>
      </c>
      <c r="E9" s="46" t="s">
        <v>1857</v>
      </c>
      <c r="F9" s="48" t="str">
        <f t="shared" si="0"/>
        <v>insert into ins_premium_det (premium_rcv_code,assorted_code, rec_amount,premium_rcv_detail_code,remaining_amt, payrec, mode_code,coinsurance_code,class_cd,it_remarks) values</v>
      </c>
      <c r="G9" s="49" t="str">
        <f t="shared" si="2"/>
        <v>('28Oct240058','070000165027','19388',(select max(to_number(i.premium_rcv_detail_code))+1
from ins_premium_det i),'19388','19388','02', '11000003','00','Request by Mr. Reheel Malik 29-Oct-2024');</v>
      </c>
      <c r="H9" s="50" t="str">
        <f t="shared" si="3"/>
        <v>insert into ins_premium_det (premium_rcv_code,assorted_code, rec_amount,premium_rcv_detail_code,remaining_amt, payrec, mode_code,coinsurance_code,class_cd,it_remarks) values('28Oct240058','070000165027','19388',(select max(to_number(i.premium_rcv_detail_code))+1
from ins_premium_det i),'19388','19388','02', '11000003','00','Request by Mr. Reheel Malik 29-Oct-2024');</v>
      </c>
    </row>
    <row r="10" spans="1:8" ht="105" x14ac:dyDescent="0.25">
      <c r="A10" s="28" t="s">
        <v>517</v>
      </c>
      <c r="B10" s="17" t="str">
        <f>VLOOKUP(A10,policy!B:C,2,0)</f>
        <v>070000165029</v>
      </c>
      <c r="C10" s="29">
        <v>51300</v>
      </c>
      <c r="D10" s="47">
        <f t="shared" si="1"/>
        <v>51300</v>
      </c>
      <c r="E10" s="46" t="s">
        <v>1857</v>
      </c>
      <c r="F10" s="48" t="str">
        <f t="shared" si="0"/>
        <v>insert into ins_premium_det (premium_rcv_code,assorted_code, rec_amount,premium_rcv_detail_code,remaining_amt, payrec, mode_code,coinsurance_code,class_cd,it_remarks) values</v>
      </c>
      <c r="G10" s="49" t="str">
        <f t="shared" si="2"/>
        <v>('28Oct240058','070000165029','51300',(select max(to_number(i.premium_rcv_detail_code))+1
from ins_premium_det i),'51300','51300','02', '11000003','00','Request by Mr. Reheel Malik 29-Oct-2024');</v>
      </c>
      <c r="H10" s="50" t="str">
        <f t="shared" si="3"/>
        <v>insert into ins_premium_det (premium_rcv_code,assorted_code, rec_amount,premium_rcv_detail_code,remaining_amt, payrec, mode_code,coinsurance_code,class_cd,it_remarks) values('28Oct240058','070000165029','51300',(select max(to_number(i.premium_rcv_detail_code))+1
from ins_premium_det i),'51300','51300','02', '11000003','00','Request by Mr. Reheel Malik 29-Oct-2024');</v>
      </c>
    </row>
    <row r="11" spans="1:8" ht="105" x14ac:dyDescent="0.25">
      <c r="A11" s="28" t="s">
        <v>524</v>
      </c>
      <c r="B11" s="17" t="str">
        <f>VLOOKUP(A11,policy!B:C,2,0)</f>
        <v>070000165042</v>
      </c>
      <c r="C11" s="29">
        <v>72225</v>
      </c>
      <c r="D11" s="47">
        <f t="shared" si="1"/>
        <v>72225</v>
      </c>
      <c r="E11" s="46" t="s">
        <v>1857</v>
      </c>
      <c r="F11" s="48" t="str">
        <f t="shared" si="0"/>
        <v>insert into ins_premium_det (premium_rcv_code,assorted_code, rec_amount,premium_rcv_detail_code,remaining_amt, payrec, mode_code,coinsurance_code,class_cd,it_remarks) values</v>
      </c>
      <c r="G11" s="49" t="str">
        <f t="shared" si="2"/>
        <v>('28Oct240058','070000165042','72225',(select max(to_number(i.premium_rcv_detail_code))+1
from ins_premium_det i),'72225','72225','02', '11000003','00','Request by Mr. Reheel Malik 29-Oct-2024');</v>
      </c>
      <c r="H11" s="50" t="str">
        <f t="shared" si="3"/>
        <v>insert into ins_premium_det (premium_rcv_code,assorted_code, rec_amount,premium_rcv_detail_code,remaining_amt, payrec, mode_code,coinsurance_code,class_cd,it_remarks) values('28Oct240058','070000165042','72225',(select max(to_number(i.premium_rcv_detail_code))+1
from ins_premium_det i),'72225','72225','02', '11000003','00','Request by Mr. Reheel Malik 29-Oct-2024');</v>
      </c>
    </row>
    <row r="12" spans="1:8" ht="105" x14ac:dyDescent="0.25">
      <c r="A12" s="28" t="s">
        <v>532</v>
      </c>
      <c r="B12" s="17" t="str">
        <f>VLOOKUP(A12,policy!B:C,2,0)</f>
        <v>070000165043</v>
      </c>
      <c r="C12" s="29">
        <v>37800</v>
      </c>
      <c r="D12" s="47">
        <f t="shared" si="1"/>
        <v>37800</v>
      </c>
      <c r="E12" s="46" t="s">
        <v>1857</v>
      </c>
      <c r="F12" s="48" t="str">
        <f t="shared" si="0"/>
        <v>insert into ins_premium_det (premium_rcv_code,assorted_code, rec_amount,premium_rcv_detail_code,remaining_amt, payrec, mode_code,coinsurance_code,class_cd,it_remarks) values</v>
      </c>
      <c r="G12" s="49" t="str">
        <f t="shared" si="2"/>
        <v>('28Oct240058','070000165043','37800',(select max(to_number(i.premium_rcv_detail_code))+1
from ins_premium_det i),'37800','37800','02', '11000003','00','Request by Mr. Reheel Malik 29-Oct-2024');</v>
      </c>
      <c r="H12" s="50" t="str">
        <f t="shared" si="3"/>
        <v>insert into ins_premium_det (premium_rcv_code,assorted_code, rec_amount,premium_rcv_detail_code,remaining_amt, payrec, mode_code,coinsurance_code,class_cd,it_remarks) values('28Oct240058','070000165043','37800',(select max(to_number(i.premium_rcv_detail_code))+1
from ins_premium_det i),'37800','37800','02', '11000003','00','Request by Mr. Reheel Malik 29-Oct-2024');</v>
      </c>
    </row>
    <row r="13" spans="1:8" ht="105" x14ac:dyDescent="0.25">
      <c r="A13" s="28" t="s">
        <v>539</v>
      </c>
      <c r="B13" s="17" t="str">
        <f>VLOOKUP(A13,policy!B:C,2,0)</f>
        <v>070000165045</v>
      </c>
      <c r="C13" s="29">
        <v>52830</v>
      </c>
      <c r="D13" s="47">
        <f t="shared" si="1"/>
        <v>52830</v>
      </c>
      <c r="E13" s="46" t="s">
        <v>1857</v>
      </c>
      <c r="F13" s="48" t="str">
        <f t="shared" si="0"/>
        <v>insert into ins_premium_det (premium_rcv_code,assorted_code, rec_amount,premium_rcv_detail_code,remaining_amt, payrec, mode_code,coinsurance_code,class_cd,it_remarks) values</v>
      </c>
      <c r="G13" s="49" t="str">
        <f t="shared" si="2"/>
        <v>('28Oct240058','070000165045','52830',(select max(to_number(i.premium_rcv_detail_code))+1
from ins_premium_det i),'52830','52830','02', '11000003','00','Request by Mr. Reheel Malik 29-Oct-2024');</v>
      </c>
      <c r="H13" s="50" t="str">
        <f t="shared" si="3"/>
        <v>insert into ins_premium_det (premium_rcv_code,assorted_code, rec_amount,premium_rcv_detail_code,remaining_amt, payrec, mode_code,coinsurance_code,class_cd,it_remarks) values('28Oct240058','070000165045','52830',(select max(to_number(i.premium_rcv_detail_code))+1
from ins_premium_det i),'52830','52830','02', '11000003','00','Request by Mr. Reheel Malik 29-Oct-2024');</v>
      </c>
    </row>
    <row r="14" spans="1:8" ht="105" x14ac:dyDescent="0.25">
      <c r="A14" s="28" t="s">
        <v>545</v>
      </c>
      <c r="B14" s="17" t="str">
        <f>VLOOKUP(A14,policy!B:C,2,0)</f>
        <v>070000165046</v>
      </c>
      <c r="C14" s="29">
        <v>54000</v>
      </c>
      <c r="D14" s="47">
        <f t="shared" si="1"/>
        <v>54000</v>
      </c>
      <c r="E14" s="46" t="s">
        <v>1857</v>
      </c>
      <c r="F14" s="48" t="str">
        <f t="shared" si="0"/>
        <v>insert into ins_premium_det (premium_rcv_code,assorted_code, rec_amount,premium_rcv_detail_code,remaining_amt, payrec, mode_code,coinsurance_code,class_cd,it_remarks) values</v>
      </c>
      <c r="G14" s="49" t="str">
        <f t="shared" si="2"/>
        <v>('28Oct240058','070000165046','54000',(select max(to_number(i.premium_rcv_detail_code))+1
from ins_premium_det i),'54000','54000','02', '11000003','00','Request by Mr. Reheel Malik 29-Oct-2024');</v>
      </c>
      <c r="H14" s="50" t="str">
        <f t="shared" si="3"/>
        <v>insert into ins_premium_det (premium_rcv_code,assorted_code, rec_amount,premium_rcv_detail_code,remaining_amt, payrec, mode_code,coinsurance_code,class_cd,it_remarks) values('28Oct240058','070000165046','54000',(select max(to_number(i.premium_rcv_detail_code))+1
from ins_premium_det i),'54000','54000','02', '11000003','00','Request by Mr. Reheel Malik 29-Oct-2024');</v>
      </c>
    </row>
    <row r="15" spans="1:8" ht="105" x14ac:dyDescent="0.25">
      <c r="A15" s="28" t="s">
        <v>553</v>
      </c>
      <c r="B15" s="17" t="str">
        <f>VLOOKUP(A15,policy!B:C,2,0)</f>
        <v>070000165047</v>
      </c>
      <c r="C15" s="29">
        <v>81000</v>
      </c>
      <c r="D15" s="47">
        <f t="shared" si="1"/>
        <v>81000</v>
      </c>
      <c r="E15" s="46" t="s">
        <v>1857</v>
      </c>
      <c r="F15" s="48" t="str">
        <f t="shared" si="0"/>
        <v>insert into ins_premium_det (premium_rcv_code,assorted_code, rec_amount,premium_rcv_detail_code,remaining_amt, payrec, mode_code,coinsurance_code,class_cd,it_remarks) values</v>
      </c>
      <c r="G15" s="49" t="str">
        <f t="shared" si="2"/>
        <v>('28Oct240058','070000165047','81000',(select max(to_number(i.premium_rcv_detail_code))+1
from ins_premium_det i),'81000','81000','02', '11000003','00','Request by Mr. Reheel Malik 29-Oct-2024');</v>
      </c>
      <c r="H15" s="50" t="str">
        <f t="shared" si="3"/>
        <v>insert into ins_premium_det (premium_rcv_code,assorted_code, rec_amount,premium_rcv_detail_code,remaining_amt, payrec, mode_code,coinsurance_code,class_cd,it_remarks) values('28Oct240058','070000165047','81000',(select max(to_number(i.premium_rcv_detail_code))+1
from ins_premium_det i),'81000','81000','02', '11000003','00','Request by Mr. Reheel Malik 29-Oct-2024');</v>
      </c>
    </row>
    <row r="16" spans="1:8" ht="105" x14ac:dyDescent="0.25">
      <c r="A16" s="28" t="s">
        <v>561</v>
      </c>
      <c r="B16" s="17" t="str">
        <f>VLOOKUP(A16,policy!B:C,2,0)</f>
        <v>070000165048</v>
      </c>
      <c r="C16" s="29">
        <v>44100</v>
      </c>
      <c r="D16" s="47">
        <f t="shared" si="1"/>
        <v>44100</v>
      </c>
      <c r="E16" s="46" t="s">
        <v>1857</v>
      </c>
      <c r="F16" s="48" t="str">
        <f t="shared" si="0"/>
        <v>insert into ins_premium_det (premium_rcv_code,assorted_code, rec_amount,premium_rcv_detail_code,remaining_amt, payrec, mode_code,coinsurance_code,class_cd,it_remarks) values</v>
      </c>
      <c r="G16" s="49" t="str">
        <f t="shared" si="2"/>
        <v>('28Oct240058','070000165048','44100',(select max(to_number(i.premium_rcv_detail_code))+1
from ins_premium_det i),'44100','44100','02', '11000003','00','Request by Mr. Reheel Malik 29-Oct-2024');</v>
      </c>
      <c r="H16" s="50" t="str">
        <f t="shared" si="3"/>
        <v>insert into ins_premium_det (premium_rcv_code,assorted_code, rec_amount,premium_rcv_detail_code,remaining_amt, payrec, mode_code,coinsurance_code,class_cd,it_remarks) values('28Oct240058','070000165048','44100',(select max(to_number(i.premium_rcv_detail_code))+1
from ins_premium_det i),'44100','44100','02', '11000003','00','Request by Mr. Reheel Malik 29-Oct-2024');</v>
      </c>
    </row>
    <row r="17" spans="1:8" ht="105" x14ac:dyDescent="0.25">
      <c r="A17" s="28" t="s">
        <v>568</v>
      </c>
      <c r="B17" s="17" t="str">
        <f>VLOOKUP(A17,policy!B:C,2,0)</f>
        <v>070000165049</v>
      </c>
      <c r="C17" s="29">
        <v>47016</v>
      </c>
      <c r="D17" s="47">
        <f t="shared" si="1"/>
        <v>47016</v>
      </c>
      <c r="E17" s="46" t="s">
        <v>1857</v>
      </c>
      <c r="F17" s="48" t="str">
        <f t="shared" si="0"/>
        <v>insert into ins_premium_det (premium_rcv_code,assorted_code, rec_amount,premium_rcv_detail_code,remaining_amt, payrec, mode_code,coinsurance_code,class_cd,it_remarks) values</v>
      </c>
      <c r="G17" s="49" t="str">
        <f t="shared" si="2"/>
        <v>('28Oct240058','070000165049','47016',(select max(to_number(i.premium_rcv_detail_code))+1
from ins_premium_det i),'47016','47016','02', '11000003','00','Request by Mr. Reheel Malik 29-Oct-2024');</v>
      </c>
      <c r="H17" s="50" t="str">
        <f t="shared" si="3"/>
        <v>insert into ins_premium_det (premium_rcv_code,assorted_code, rec_amount,premium_rcv_detail_code,remaining_amt, payrec, mode_code,coinsurance_code,class_cd,it_remarks) values('28Oct240058','070000165049','47016',(select max(to_number(i.premium_rcv_detail_code))+1
from ins_premium_det i),'47016','47016','02', '11000003','00','Request by Mr. Reheel Malik 29-Oct-2024');</v>
      </c>
    </row>
    <row r="18" spans="1:8" ht="105" x14ac:dyDescent="0.25">
      <c r="A18" s="28" t="s">
        <v>575</v>
      </c>
      <c r="B18" s="17" t="str">
        <f>VLOOKUP(A18,policy!B:C,2,0)</f>
        <v>070000165050</v>
      </c>
      <c r="C18" s="29">
        <v>87750</v>
      </c>
      <c r="D18" s="47">
        <f t="shared" si="1"/>
        <v>87750</v>
      </c>
      <c r="E18" s="46" t="s">
        <v>1857</v>
      </c>
      <c r="F18" s="48" t="str">
        <f t="shared" si="0"/>
        <v>insert into ins_premium_det (premium_rcv_code,assorted_code, rec_amount,premium_rcv_detail_code,remaining_amt, payrec, mode_code,coinsurance_code,class_cd,it_remarks) values</v>
      </c>
      <c r="G18" s="49" t="str">
        <f t="shared" si="2"/>
        <v>('28Oct240058','070000165050','87750',(select max(to_number(i.premium_rcv_detail_code))+1
from ins_premium_det i),'87750','87750','02', '11000003','00','Request by Mr. Reheel Malik 29-Oct-2024');</v>
      </c>
      <c r="H18" s="50" t="str">
        <f t="shared" si="3"/>
        <v>insert into ins_premium_det (premium_rcv_code,assorted_code, rec_amount,premium_rcv_detail_code,remaining_amt, payrec, mode_code,coinsurance_code,class_cd,it_remarks) values('28Oct240058','070000165050','87750',(select max(to_number(i.premium_rcv_detail_code))+1
from ins_premium_det i),'87750','87750','02', '11000003','00','Request by Mr. Reheel Malik 29-Oct-2024');</v>
      </c>
    </row>
    <row r="19" spans="1:8" ht="105" x14ac:dyDescent="0.25">
      <c r="A19" s="28" t="s">
        <v>583</v>
      </c>
      <c r="B19" s="17" t="str">
        <f>VLOOKUP(A19,policy!B:C,2,0)</f>
        <v>070000165032</v>
      </c>
      <c r="C19" s="29">
        <v>54000</v>
      </c>
      <c r="D19" s="47">
        <f t="shared" si="1"/>
        <v>54000</v>
      </c>
      <c r="E19" s="46" t="s">
        <v>1857</v>
      </c>
      <c r="F19" s="48" t="str">
        <f t="shared" si="0"/>
        <v>insert into ins_premium_det (premium_rcv_code,assorted_code, rec_amount,premium_rcv_detail_code,remaining_amt, payrec, mode_code,coinsurance_code,class_cd,it_remarks) values</v>
      </c>
      <c r="G19" s="49" t="str">
        <f t="shared" si="2"/>
        <v>('28Oct240058','070000165032','54000',(select max(to_number(i.premium_rcv_detail_code))+1
from ins_premium_det i),'54000','54000','02', '11000003','00','Request by Mr. Reheel Malik 29-Oct-2024');</v>
      </c>
      <c r="H19" s="50" t="str">
        <f t="shared" si="3"/>
        <v>insert into ins_premium_det (premium_rcv_code,assorted_code, rec_amount,premium_rcv_detail_code,remaining_amt, payrec, mode_code,coinsurance_code,class_cd,it_remarks) values('28Oct240058','070000165032','54000',(select max(to_number(i.premium_rcv_detail_code))+1
from ins_premium_det i),'54000','54000','02', '11000003','00','Request by Mr. Reheel Malik 29-Oct-2024');</v>
      </c>
    </row>
    <row r="20" spans="1:8" ht="105" x14ac:dyDescent="0.25">
      <c r="A20" s="28" t="s">
        <v>590</v>
      </c>
      <c r="B20" s="17" t="str">
        <f>VLOOKUP(A20,policy!B:C,2,0)</f>
        <v>070000165052</v>
      </c>
      <c r="C20" s="29">
        <v>49154</v>
      </c>
      <c r="D20" s="47">
        <f t="shared" si="1"/>
        <v>49154</v>
      </c>
      <c r="E20" s="46" t="s">
        <v>1857</v>
      </c>
      <c r="F20" s="48" t="str">
        <f t="shared" si="0"/>
        <v>insert into ins_premium_det (premium_rcv_code,assorted_code, rec_amount,premium_rcv_detail_code,remaining_amt, payrec, mode_code,coinsurance_code,class_cd,it_remarks) values</v>
      </c>
      <c r="G20" s="49" t="str">
        <f t="shared" si="2"/>
        <v>('28Oct240058','070000165052','49154',(select max(to_number(i.premium_rcv_detail_code))+1
from ins_premium_det i),'49154','49154','02', '11000003','00','Request by Mr. Reheel Malik 29-Oct-2024');</v>
      </c>
      <c r="H20" s="50" t="str">
        <f t="shared" si="3"/>
        <v>insert into ins_premium_det (premium_rcv_code,assorted_code, rec_amount,premium_rcv_detail_code,remaining_amt, payrec, mode_code,coinsurance_code,class_cd,it_remarks) values('28Oct240058','070000165052','49154',(select max(to_number(i.premium_rcv_detail_code))+1
from ins_premium_det i),'49154','49154','02', '11000003','00','Request by Mr. Reheel Malik 29-Oct-2024');</v>
      </c>
    </row>
    <row r="21" spans="1:8" ht="105" x14ac:dyDescent="0.25">
      <c r="A21" s="28" t="s">
        <v>597</v>
      </c>
      <c r="B21" s="17" t="str">
        <f>VLOOKUP(A21,policy!B:C,2,0)</f>
        <v>070000165054</v>
      </c>
      <c r="C21" s="29">
        <v>85050</v>
      </c>
      <c r="D21" s="47">
        <f t="shared" si="1"/>
        <v>85050</v>
      </c>
      <c r="E21" s="46" t="s">
        <v>1857</v>
      </c>
      <c r="F21" s="48" t="str">
        <f t="shared" si="0"/>
        <v>insert into ins_premium_det (premium_rcv_code,assorted_code, rec_amount,premium_rcv_detail_code,remaining_amt, payrec, mode_code,coinsurance_code,class_cd,it_remarks) values</v>
      </c>
      <c r="G21" s="49" t="str">
        <f t="shared" si="2"/>
        <v>('28Oct240058','070000165054','85050',(select max(to_number(i.premium_rcv_detail_code))+1
from ins_premium_det i),'85050','85050','02', '11000003','00','Request by Mr. Reheel Malik 29-Oct-2024');</v>
      </c>
      <c r="H21" s="50" t="str">
        <f t="shared" si="3"/>
        <v>insert into ins_premium_det (premium_rcv_code,assorted_code, rec_amount,premium_rcv_detail_code,remaining_amt, payrec, mode_code,coinsurance_code,class_cd,it_remarks) values('28Oct240058','070000165054','85050',(select max(to_number(i.premium_rcv_detail_code))+1
from ins_premium_det i),'85050','85050','02', '11000003','00','Request by Mr. Reheel Malik 29-Oct-2024');</v>
      </c>
    </row>
    <row r="22" spans="1:8" ht="105" x14ac:dyDescent="0.25">
      <c r="A22" s="28" t="s">
        <v>604</v>
      </c>
      <c r="B22" s="17" t="str">
        <f>VLOOKUP(A22,policy!B:C,2,0)</f>
        <v>070000165033</v>
      </c>
      <c r="C22" s="29">
        <v>16740</v>
      </c>
      <c r="D22" s="47">
        <f t="shared" si="1"/>
        <v>16740</v>
      </c>
      <c r="E22" s="46" t="s">
        <v>1857</v>
      </c>
      <c r="F22" s="48" t="str">
        <f t="shared" si="0"/>
        <v>insert into ins_premium_det (premium_rcv_code,assorted_code, rec_amount,premium_rcv_detail_code,remaining_amt, payrec, mode_code,coinsurance_code,class_cd,it_remarks) values</v>
      </c>
      <c r="G22" s="49" t="str">
        <f t="shared" si="2"/>
        <v>('28Oct240058','070000165033','16740',(select max(to_number(i.premium_rcv_detail_code))+1
from ins_premium_det i),'16740','16740','02', '11000003','00','Request by Mr. Reheel Malik 29-Oct-2024');</v>
      </c>
      <c r="H22" s="50" t="str">
        <f t="shared" si="3"/>
        <v>insert into ins_premium_det (premium_rcv_code,assorted_code, rec_amount,premium_rcv_detail_code,remaining_amt, payrec, mode_code,coinsurance_code,class_cd,it_remarks) values('28Oct240058','070000165033','16740',(select max(to_number(i.premium_rcv_detail_code))+1
from ins_premium_det i),'16740','16740','02', '11000003','00','Request by Mr. Reheel Malik 29-Oct-2024');</v>
      </c>
    </row>
    <row r="23" spans="1:8" ht="105" x14ac:dyDescent="0.25">
      <c r="A23" s="28" t="s">
        <v>612</v>
      </c>
      <c r="B23" s="17" t="str">
        <f>VLOOKUP(A23,policy!B:C,2,0)</f>
        <v>070000165034</v>
      </c>
      <c r="C23" s="29">
        <v>40500</v>
      </c>
      <c r="D23" s="47">
        <f t="shared" si="1"/>
        <v>40500</v>
      </c>
      <c r="E23" s="46" t="s">
        <v>1857</v>
      </c>
      <c r="F23" s="48" t="str">
        <f t="shared" si="0"/>
        <v>insert into ins_premium_det (premium_rcv_code,assorted_code, rec_amount,premium_rcv_detail_code,remaining_amt, payrec, mode_code,coinsurance_code,class_cd,it_remarks) values</v>
      </c>
      <c r="G23" s="49" t="str">
        <f t="shared" si="2"/>
        <v>('28Oct240058','070000165034','40500',(select max(to_number(i.premium_rcv_detail_code))+1
from ins_premium_det i),'40500','40500','02', '11000003','00','Request by Mr. Reheel Malik 29-Oct-2024');</v>
      </c>
      <c r="H23" s="50" t="str">
        <f t="shared" si="3"/>
        <v>insert into ins_premium_det (premium_rcv_code,assorted_code, rec_amount,premium_rcv_detail_code,remaining_amt, payrec, mode_code,coinsurance_code,class_cd,it_remarks) values('28Oct240058','070000165034','40500',(select max(to_number(i.premium_rcv_detail_code))+1
from ins_premium_det i),'40500','40500','02', '11000003','00','Request by Mr. Reheel Malik 29-Oct-2024');</v>
      </c>
    </row>
    <row r="24" spans="1:8" ht="105" x14ac:dyDescent="0.25">
      <c r="A24" s="28" t="s">
        <v>620</v>
      </c>
      <c r="B24" s="17" t="str">
        <f>VLOOKUP(A24,policy!B:C,2,0)</f>
        <v>070000165035</v>
      </c>
      <c r="C24" s="29">
        <v>47016</v>
      </c>
      <c r="D24" s="47">
        <f t="shared" si="1"/>
        <v>47016</v>
      </c>
      <c r="E24" s="46" t="s">
        <v>1857</v>
      </c>
      <c r="F24" s="48" t="str">
        <f t="shared" si="0"/>
        <v>insert into ins_premium_det (premium_rcv_code,assorted_code, rec_amount,premium_rcv_detail_code,remaining_amt, payrec, mode_code,coinsurance_code,class_cd,it_remarks) values</v>
      </c>
      <c r="G24" s="49" t="str">
        <f t="shared" si="2"/>
        <v>('28Oct240058','070000165035','47016',(select max(to_number(i.premium_rcv_detail_code))+1
from ins_premium_det i),'47016','47016','02', '11000003','00','Request by Mr. Reheel Malik 29-Oct-2024');</v>
      </c>
      <c r="H24" s="50" t="str">
        <f t="shared" si="3"/>
        <v>insert into ins_premium_det (premium_rcv_code,assorted_code, rec_amount,premium_rcv_detail_code,remaining_amt, payrec, mode_code,coinsurance_code,class_cd,it_remarks) values('28Oct240058','070000165035','47016',(select max(to_number(i.premium_rcv_detail_code))+1
from ins_premium_det i),'47016','47016','02', '11000003','00','Request by Mr. Reheel Malik 29-Oct-2024');</v>
      </c>
    </row>
    <row r="25" spans="1:8" ht="105" x14ac:dyDescent="0.25">
      <c r="A25" s="28" t="s">
        <v>626</v>
      </c>
      <c r="B25" s="17" t="str">
        <f>VLOOKUP(A25,policy!B:C,2,0)</f>
        <v>070000165037</v>
      </c>
      <c r="C25" s="29">
        <v>52830</v>
      </c>
      <c r="D25" s="47">
        <f t="shared" si="1"/>
        <v>52830</v>
      </c>
      <c r="E25" s="46" t="s">
        <v>1857</v>
      </c>
      <c r="F25" s="48" t="str">
        <f t="shared" si="0"/>
        <v>insert into ins_premium_det (premium_rcv_code,assorted_code, rec_amount,premium_rcv_detail_code,remaining_amt, payrec, mode_code,coinsurance_code,class_cd,it_remarks) values</v>
      </c>
      <c r="G25" s="49" t="str">
        <f t="shared" si="2"/>
        <v>('28Oct240058','070000165037','52830',(select max(to_number(i.premium_rcv_detail_code))+1
from ins_premium_det i),'52830','52830','02', '11000003','00','Request by Mr. Reheel Malik 29-Oct-2024');</v>
      </c>
      <c r="H25" s="50" t="str">
        <f t="shared" si="3"/>
        <v>insert into ins_premium_det (premium_rcv_code,assorted_code, rec_amount,premium_rcv_detail_code,remaining_amt, payrec, mode_code,coinsurance_code,class_cd,it_remarks) values('28Oct240058','070000165037','52830',(select max(to_number(i.premium_rcv_detail_code))+1
from ins_premium_det i),'52830','52830','02', '11000003','00','Request by Mr. Reheel Malik 29-Oct-2024');</v>
      </c>
    </row>
    <row r="26" spans="1:8" ht="105" x14ac:dyDescent="0.25">
      <c r="A26" s="28" t="s">
        <v>633</v>
      </c>
      <c r="B26" s="17" t="str">
        <f>VLOOKUP(A26,policy!B:C,2,0)</f>
        <v>070000165039</v>
      </c>
      <c r="C26" s="29">
        <v>66825</v>
      </c>
      <c r="D26" s="47">
        <f t="shared" si="1"/>
        <v>66825</v>
      </c>
      <c r="E26" s="46" t="s">
        <v>1857</v>
      </c>
      <c r="F26" s="48" t="str">
        <f t="shared" si="0"/>
        <v>insert into ins_premium_det (premium_rcv_code,assorted_code, rec_amount,premium_rcv_detail_code,remaining_amt, payrec, mode_code,coinsurance_code,class_cd,it_remarks) values</v>
      </c>
      <c r="G26" s="49" t="str">
        <f t="shared" si="2"/>
        <v>('28Oct240058','070000165039','66825',(select max(to_number(i.premium_rcv_detail_code))+1
from ins_premium_det i),'66825','66825','02', '11000003','00','Request by Mr. Reheel Malik 29-Oct-2024');</v>
      </c>
      <c r="H26" s="50" t="str">
        <f t="shared" si="3"/>
        <v>insert into ins_premium_det (premium_rcv_code,assorted_code, rec_amount,premium_rcv_detail_code,remaining_amt, payrec, mode_code,coinsurance_code,class_cd,it_remarks) values('28Oct240058','070000165039','66825',(select max(to_number(i.premium_rcv_detail_code))+1
from ins_premium_det i),'66825','66825','02', '11000003','00','Request by Mr. Reheel Malik 29-Oct-2024');</v>
      </c>
    </row>
    <row r="27" spans="1:8" ht="105" x14ac:dyDescent="0.25">
      <c r="A27" s="28" t="s">
        <v>640</v>
      </c>
      <c r="B27" s="17" t="str">
        <f>VLOOKUP(A27,policy!B:C,2,0)</f>
        <v>070000165040</v>
      </c>
      <c r="C27" s="29">
        <v>60750</v>
      </c>
      <c r="D27" s="47">
        <f t="shared" si="1"/>
        <v>60750</v>
      </c>
      <c r="E27" s="46" t="s">
        <v>1857</v>
      </c>
      <c r="F27" s="48" t="str">
        <f t="shared" si="0"/>
        <v>insert into ins_premium_det (premium_rcv_code,assorted_code, rec_amount,premium_rcv_detail_code,remaining_amt, payrec, mode_code,coinsurance_code,class_cd,it_remarks) values</v>
      </c>
      <c r="G27" s="49" t="str">
        <f t="shared" si="2"/>
        <v>('28Oct240058','070000165040','60750',(select max(to_number(i.premium_rcv_detail_code))+1
from ins_premium_det i),'60750','60750','02', '11000003','00','Request by Mr. Reheel Malik 29-Oct-2024');</v>
      </c>
      <c r="H27" s="50" t="str">
        <f t="shared" si="3"/>
        <v>insert into ins_premium_det (premium_rcv_code,assorted_code, rec_amount,premium_rcv_detail_code,remaining_amt, payrec, mode_code,coinsurance_code,class_cd,it_remarks) values('28Oct240058','070000165040','60750',(select max(to_number(i.premium_rcv_detail_code))+1
from ins_premium_det i),'60750','60750','02', '11000003','00','Request by Mr. Reheel Malik 29-Oct-2024');</v>
      </c>
    </row>
    <row r="28" spans="1:8" ht="105" x14ac:dyDescent="0.25">
      <c r="A28" s="28" t="s">
        <v>648</v>
      </c>
      <c r="B28" s="17" t="str">
        <f>VLOOKUP(A28,policy!B:C,2,0)</f>
        <v>070000165041</v>
      </c>
      <c r="C28" s="29">
        <v>47250</v>
      </c>
      <c r="D28" s="47">
        <f t="shared" si="1"/>
        <v>47250</v>
      </c>
      <c r="E28" s="46" t="s">
        <v>1857</v>
      </c>
      <c r="F28" s="48" t="str">
        <f t="shared" si="0"/>
        <v>insert into ins_premium_det (premium_rcv_code,assorted_code, rec_amount,premium_rcv_detail_code,remaining_amt, payrec, mode_code,coinsurance_code,class_cd,it_remarks) values</v>
      </c>
      <c r="G28" s="49" t="str">
        <f t="shared" si="2"/>
        <v>('28Oct240058','070000165041','47250',(select max(to_number(i.premium_rcv_detail_code))+1
from ins_premium_det i),'47250','47250','02', '11000003','00','Request by Mr. Reheel Malik 29-Oct-2024');</v>
      </c>
      <c r="H28" s="50" t="str">
        <f t="shared" si="3"/>
        <v>insert into ins_premium_det (premium_rcv_code,assorted_code, rec_amount,premium_rcv_detail_code,remaining_amt, payrec, mode_code,coinsurance_code,class_cd,it_remarks) values('28Oct240058','070000165041','47250',(select max(to_number(i.premium_rcv_detail_code))+1
from ins_premium_det i),'47250','47250','02', '11000003','00','Request by Mr. Reheel Malik 29-Oct-2024');</v>
      </c>
    </row>
    <row r="29" spans="1:8" ht="105" x14ac:dyDescent="0.25">
      <c r="A29" s="28" t="s">
        <v>655</v>
      </c>
      <c r="B29" s="17" t="str">
        <f>VLOOKUP(A29,policy!B:C,2,0)</f>
        <v>070000165057</v>
      </c>
      <c r="C29" s="29">
        <v>38540</v>
      </c>
      <c r="D29" s="47">
        <f t="shared" si="1"/>
        <v>38540</v>
      </c>
      <c r="E29" s="46" t="s">
        <v>1857</v>
      </c>
      <c r="F29" s="48" t="str">
        <f t="shared" si="0"/>
        <v>insert into ins_premium_det (premium_rcv_code,assorted_code, rec_amount,premium_rcv_detail_code,remaining_amt, payrec, mode_code,coinsurance_code,class_cd,it_remarks) values</v>
      </c>
      <c r="G29" s="49" t="str">
        <f t="shared" si="2"/>
        <v>('28Oct240058','070000165057','38540',(select max(to_number(i.premium_rcv_detail_code))+1
from ins_premium_det i),'38540','38540','02', '11000003','00','Request by Mr. Reheel Malik 29-Oct-2024');</v>
      </c>
      <c r="H29" s="50" t="str">
        <f t="shared" si="3"/>
        <v>insert into ins_premium_det (premium_rcv_code,assorted_code, rec_amount,premium_rcv_detail_code,remaining_amt, payrec, mode_code,coinsurance_code,class_cd,it_remarks) values('28Oct240058','070000165057','38540',(select max(to_number(i.premium_rcv_detail_code))+1
from ins_premium_det i),'38540','38540','02', '11000003','00','Request by Mr. Reheel Malik 29-Oct-2024');</v>
      </c>
    </row>
    <row r="30" spans="1:8" ht="105" x14ac:dyDescent="0.25">
      <c r="A30" s="28" t="s">
        <v>662</v>
      </c>
      <c r="B30" s="17" t="str">
        <f>VLOOKUP(A30,policy!B:C,2,0)</f>
        <v>070000165068</v>
      </c>
      <c r="C30" s="29">
        <v>36000</v>
      </c>
      <c r="D30" s="47">
        <f t="shared" si="1"/>
        <v>36000</v>
      </c>
      <c r="E30" s="46" t="s">
        <v>1857</v>
      </c>
      <c r="F30" s="48" t="str">
        <f t="shared" si="0"/>
        <v>insert into ins_premium_det (premium_rcv_code,assorted_code, rec_amount,premium_rcv_detail_code,remaining_amt, payrec, mode_code,coinsurance_code,class_cd,it_remarks) values</v>
      </c>
      <c r="G30" s="49" t="str">
        <f t="shared" si="2"/>
        <v>('28Oct240058','070000165068','36000',(select max(to_number(i.premium_rcv_detail_code))+1
from ins_premium_det i),'36000','36000','02', '11000003','00','Request by Mr. Reheel Malik 29-Oct-2024');</v>
      </c>
      <c r="H30" s="50" t="str">
        <f t="shared" si="3"/>
        <v>insert into ins_premium_det (premium_rcv_code,assorted_code, rec_amount,premium_rcv_detail_code,remaining_amt, payrec, mode_code,coinsurance_code,class_cd,it_remarks) values('28Oct240058','070000165068','36000',(select max(to_number(i.premium_rcv_detail_code))+1
from ins_premium_det i),'36000','36000','02', '11000003','00','Request by Mr. Reheel Malik 29-Oct-2024');</v>
      </c>
    </row>
    <row r="31" spans="1:8" ht="105" x14ac:dyDescent="0.25">
      <c r="A31" s="28" t="s">
        <v>670</v>
      </c>
      <c r="B31" s="17" t="str">
        <f>VLOOKUP(A31,policy!B:C,2,0)</f>
        <v>070000165070</v>
      </c>
      <c r="C31" s="29">
        <v>31200</v>
      </c>
      <c r="D31" s="47">
        <f t="shared" si="1"/>
        <v>31200</v>
      </c>
      <c r="E31" s="46" t="s">
        <v>1857</v>
      </c>
      <c r="F31" s="48" t="str">
        <f t="shared" si="0"/>
        <v>insert into ins_premium_det (premium_rcv_code,assorted_code, rec_amount,premium_rcv_detail_code,remaining_amt, payrec, mode_code,coinsurance_code,class_cd,it_remarks) values</v>
      </c>
      <c r="G31" s="49" t="str">
        <f t="shared" si="2"/>
        <v>('28Oct240058','070000165070','31200',(select max(to_number(i.premium_rcv_detail_code))+1
from ins_premium_det i),'31200','31200','02', '11000003','00','Request by Mr. Reheel Malik 29-Oct-2024');</v>
      </c>
      <c r="H31" s="50" t="str">
        <f t="shared" si="3"/>
        <v>insert into ins_premium_det (premium_rcv_code,assorted_code, rec_amount,premium_rcv_detail_code,remaining_amt, payrec, mode_code,coinsurance_code,class_cd,it_remarks) values('28Oct240058','070000165070','31200',(select max(to_number(i.premium_rcv_detail_code))+1
from ins_premium_det i),'31200','31200','02', '11000003','00','Request by Mr. Reheel Malik 29-Oct-2024');</v>
      </c>
    </row>
    <row r="32" spans="1:8" ht="105" x14ac:dyDescent="0.25">
      <c r="A32" s="28" t="s">
        <v>678</v>
      </c>
      <c r="B32" s="17" t="str">
        <f>VLOOKUP(A32,policy!B:C,2,0)</f>
        <v>070000165071</v>
      </c>
      <c r="C32" s="29">
        <v>47400</v>
      </c>
      <c r="D32" s="47">
        <f t="shared" si="1"/>
        <v>47400</v>
      </c>
      <c r="E32" s="46" t="s">
        <v>1857</v>
      </c>
      <c r="F32" s="48" t="str">
        <f t="shared" si="0"/>
        <v>insert into ins_premium_det (premium_rcv_code,assorted_code, rec_amount,premium_rcv_detail_code,remaining_amt, payrec, mode_code,coinsurance_code,class_cd,it_remarks) values</v>
      </c>
      <c r="G32" s="49" t="str">
        <f t="shared" si="2"/>
        <v>('28Oct240058','070000165071','47400',(select max(to_number(i.premium_rcv_detail_code))+1
from ins_premium_det i),'47400','47400','02', '11000003','00','Request by Mr. Reheel Malik 29-Oct-2024');</v>
      </c>
      <c r="H32" s="50" t="str">
        <f t="shared" si="3"/>
        <v>insert into ins_premium_det (premium_rcv_code,assorted_code, rec_amount,premium_rcv_detail_code,remaining_amt, payrec, mode_code,coinsurance_code,class_cd,it_remarks) values('28Oct240058','070000165071','47400',(select max(to_number(i.premium_rcv_detail_code))+1
from ins_premium_det i),'47400','47400','02', '11000003','00','Request by Mr. Reheel Malik 29-Oct-2024');</v>
      </c>
    </row>
    <row r="33" spans="1:8" ht="105" x14ac:dyDescent="0.25">
      <c r="A33" s="28" t="s">
        <v>687</v>
      </c>
      <c r="B33" s="17" t="str">
        <f>VLOOKUP(A33,policy!B:C,2,0)</f>
        <v>070000165072</v>
      </c>
      <c r="C33" s="29">
        <v>111660</v>
      </c>
      <c r="D33" s="47">
        <f t="shared" si="1"/>
        <v>111660</v>
      </c>
      <c r="E33" s="46" t="s">
        <v>1857</v>
      </c>
      <c r="F33" s="48" t="str">
        <f t="shared" si="0"/>
        <v>insert into ins_premium_det (premium_rcv_code,assorted_code, rec_amount,premium_rcv_detail_code,remaining_amt, payrec, mode_code,coinsurance_code,class_cd,it_remarks) values</v>
      </c>
      <c r="G33" s="49" t="str">
        <f t="shared" si="2"/>
        <v>('28Oct240058','070000165072','111660',(select max(to_number(i.premium_rcv_detail_code))+1
from ins_premium_det i),'111660','111660','02', '11000003','00','Request by Mr. Reheel Malik 29-Oct-2024');</v>
      </c>
      <c r="H33" s="50" t="str">
        <f t="shared" si="3"/>
        <v>insert into ins_premium_det (premium_rcv_code,assorted_code, rec_amount,premium_rcv_detail_code,remaining_amt, payrec, mode_code,coinsurance_code,class_cd,it_remarks) values('28Oct240058','070000165072','111660',(select max(to_number(i.premium_rcv_detail_code))+1
from ins_premium_det i),'111660','111660','02', '11000003','00','Request by Mr. Reheel Malik 29-Oct-2024');</v>
      </c>
    </row>
    <row r="34" spans="1:8" ht="105" x14ac:dyDescent="0.25">
      <c r="A34" s="28" t="s">
        <v>696</v>
      </c>
      <c r="B34" s="17" t="str">
        <f>VLOOKUP(A34,policy!B:C,2,0)</f>
        <v>070000165073</v>
      </c>
      <c r="C34" s="29">
        <v>23700</v>
      </c>
      <c r="D34" s="47">
        <f t="shared" si="1"/>
        <v>23700</v>
      </c>
      <c r="E34" s="46" t="s">
        <v>1857</v>
      </c>
      <c r="F34" s="48" t="str">
        <f t="shared" si="0"/>
        <v>insert into ins_premium_det (premium_rcv_code,assorted_code, rec_amount,premium_rcv_detail_code,remaining_amt, payrec, mode_code,coinsurance_code,class_cd,it_remarks) values</v>
      </c>
      <c r="G34" s="49" t="str">
        <f t="shared" si="2"/>
        <v>('28Oct240058','070000165073','23700',(select max(to_number(i.premium_rcv_detail_code))+1
from ins_premium_det i),'23700','23700','02', '11000003','00','Request by Mr. Reheel Malik 29-Oct-2024');</v>
      </c>
      <c r="H34" s="50" t="str">
        <f t="shared" si="3"/>
        <v>insert into ins_premium_det (premium_rcv_code,assorted_code, rec_amount,premium_rcv_detail_code,remaining_amt, payrec, mode_code,coinsurance_code,class_cd,it_remarks) values('28Oct240058','070000165073','23700',(select max(to_number(i.premium_rcv_detail_code))+1
from ins_premium_det i),'23700','23700','02', '11000003','00','Request by Mr. Reheel Malik 29-Oct-2024');</v>
      </c>
    </row>
    <row r="35" spans="1:8" ht="105" x14ac:dyDescent="0.25">
      <c r="A35" s="28" t="s">
        <v>703</v>
      </c>
      <c r="B35" s="17" t="str">
        <f>VLOOKUP(A35,policy!B:C,2,0)</f>
        <v>070000165075</v>
      </c>
      <c r="C35" s="29">
        <v>36600</v>
      </c>
      <c r="D35" s="47">
        <f t="shared" si="1"/>
        <v>36600</v>
      </c>
      <c r="E35" s="46" t="s">
        <v>1857</v>
      </c>
      <c r="F35" s="48" t="str">
        <f t="shared" si="0"/>
        <v>insert into ins_premium_det (premium_rcv_code,assorted_code, rec_amount,premium_rcv_detail_code,remaining_amt, payrec, mode_code,coinsurance_code,class_cd,it_remarks) values</v>
      </c>
      <c r="G35" s="49" t="str">
        <f t="shared" si="2"/>
        <v>('28Oct240058','070000165075','36600',(select max(to_number(i.premium_rcv_detail_code))+1
from ins_premium_det i),'36600','36600','02', '11000003','00','Request by Mr. Reheel Malik 29-Oct-2024');</v>
      </c>
      <c r="H35" s="50" t="str">
        <f t="shared" si="3"/>
        <v>insert into ins_premium_det (premium_rcv_code,assorted_code, rec_amount,premium_rcv_detail_code,remaining_amt, payrec, mode_code,coinsurance_code,class_cd,it_remarks) values('28Oct240058','070000165075','36600',(select max(to_number(i.premium_rcv_detail_code))+1
from ins_premium_det i),'36600','36600','02', '11000003','00','Request by Mr. Reheel Malik 29-Oct-2024');</v>
      </c>
    </row>
    <row r="36" spans="1:8" ht="105" x14ac:dyDescent="0.25">
      <c r="A36" s="28" t="s">
        <v>711</v>
      </c>
      <c r="B36" s="17" t="str">
        <f>VLOOKUP(A36,policy!B:C,2,0)</f>
        <v>070000165076</v>
      </c>
      <c r="C36" s="29">
        <v>57456</v>
      </c>
      <c r="D36" s="47">
        <f t="shared" si="1"/>
        <v>57456</v>
      </c>
      <c r="E36" s="46" t="s">
        <v>1857</v>
      </c>
      <c r="F36" s="48" t="str">
        <f t="shared" si="0"/>
        <v>insert into ins_premium_det (premium_rcv_code,assorted_code, rec_amount,premium_rcv_detail_code,remaining_amt, payrec, mode_code,coinsurance_code,class_cd,it_remarks) values</v>
      </c>
      <c r="G36" s="49" t="str">
        <f t="shared" si="2"/>
        <v>('28Oct240058','070000165076','57456',(select max(to_number(i.premium_rcv_detail_code))+1
from ins_premium_det i),'57456','57456','02', '11000003','00','Request by Mr. Reheel Malik 29-Oct-2024');</v>
      </c>
      <c r="H36" s="50" t="str">
        <f t="shared" si="3"/>
        <v>insert into ins_premium_det (premium_rcv_code,assorted_code, rec_amount,premium_rcv_detail_code,remaining_amt, payrec, mode_code,coinsurance_code,class_cd,it_remarks) values('28Oct240058','070000165076','57456',(select max(to_number(i.premium_rcv_detail_code))+1
from ins_premium_det i),'57456','57456','02', '11000003','00','Request by Mr. Reheel Malik 29-Oct-2024');</v>
      </c>
    </row>
    <row r="37" spans="1:8" ht="105" x14ac:dyDescent="0.25">
      <c r="A37" s="28" t="s">
        <v>718</v>
      </c>
      <c r="B37" s="17" t="str">
        <f>VLOOKUP(A37,policy!B:C,2,0)</f>
        <v>070000165078</v>
      </c>
      <c r="C37" s="29">
        <v>54060</v>
      </c>
      <c r="D37" s="47">
        <f t="shared" si="1"/>
        <v>54060</v>
      </c>
      <c r="E37" s="46" t="s">
        <v>1857</v>
      </c>
      <c r="F37" s="48" t="str">
        <f t="shared" si="0"/>
        <v>insert into ins_premium_det (premium_rcv_code,assorted_code, rec_amount,premium_rcv_detail_code,remaining_amt, payrec, mode_code,coinsurance_code,class_cd,it_remarks) values</v>
      </c>
      <c r="G37" s="49" t="str">
        <f t="shared" si="2"/>
        <v>('28Oct240058','070000165078','54060',(select max(to_number(i.premium_rcv_detail_code))+1
from ins_premium_det i),'54060','54060','02', '11000003','00','Request by Mr. Reheel Malik 29-Oct-2024');</v>
      </c>
      <c r="H37" s="50" t="str">
        <f t="shared" si="3"/>
        <v>insert into ins_premium_det (premium_rcv_code,assorted_code, rec_amount,premium_rcv_detail_code,remaining_amt, payrec, mode_code,coinsurance_code,class_cd,it_remarks) values('28Oct240058','070000165078','54060',(select max(to_number(i.premium_rcv_detail_code))+1
from ins_premium_det i),'54060','54060','02', '11000003','00','Request by Mr. Reheel Malik 29-Oct-2024');</v>
      </c>
    </row>
    <row r="38" spans="1:8" ht="105" x14ac:dyDescent="0.25">
      <c r="A38" s="28" t="s">
        <v>725</v>
      </c>
      <c r="B38" s="17" t="str">
        <f>VLOOKUP(A38,policy!B:C,2,0)</f>
        <v>070000165079</v>
      </c>
      <c r="C38" s="29">
        <v>47076</v>
      </c>
      <c r="D38" s="47">
        <f t="shared" si="1"/>
        <v>47076</v>
      </c>
      <c r="E38" s="46" t="s">
        <v>1857</v>
      </c>
      <c r="F38" s="48" t="str">
        <f t="shared" si="0"/>
        <v>insert into ins_premium_det (premium_rcv_code,assorted_code, rec_amount,premium_rcv_detail_code,remaining_amt, payrec, mode_code,coinsurance_code,class_cd,it_remarks) values</v>
      </c>
      <c r="G38" s="49" t="str">
        <f t="shared" si="2"/>
        <v>('28Oct240058','070000165079','47076',(select max(to_number(i.premium_rcv_detail_code))+1
from ins_premium_det i),'47076','47076','02', '11000003','00','Request by Mr. Reheel Malik 29-Oct-2024');</v>
      </c>
      <c r="H38" s="50" t="str">
        <f t="shared" si="3"/>
        <v>insert into ins_premium_det (premium_rcv_code,assorted_code, rec_amount,premium_rcv_detail_code,remaining_amt, payrec, mode_code,coinsurance_code,class_cd,it_remarks) values('28Oct240058','070000165079','47076',(select max(to_number(i.premium_rcv_detail_code))+1
from ins_premium_det i),'47076','47076','02', '11000003','00','Request by Mr. Reheel Malik 29-Oct-2024');</v>
      </c>
    </row>
    <row r="39" spans="1:8" ht="105" x14ac:dyDescent="0.25">
      <c r="A39" s="28" t="s">
        <v>732</v>
      </c>
      <c r="B39" s="17" t="str">
        <f>VLOOKUP(A39,policy!B:C,2,0)</f>
        <v>070000165081</v>
      </c>
      <c r="C39" s="29">
        <v>32200</v>
      </c>
      <c r="D39" s="47">
        <f t="shared" si="1"/>
        <v>32200</v>
      </c>
      <c r="E39" s="46" t="s">
        <v>1857</v>
      </c>
      <c r="F39" s="48" t="str">
        <f t="shared" si="0"/>
        <v>insert into ins_premium_det (premium_rcv_code,assorted_code, rec_amount,premium_rcv_detail_code,remaining_amt, payrec, mode_code,coinsurance_code,class_cd,it_remarks) values</v>
      </c>
      <c r="G39" s="49" t="str">
        <f t="shared" si="2"/>
        <v>('28Oct240058','070000165081','32200',(select max(to_number(i.premium_rcv_detail_code))+1
from ins_premium_det i),'32200','32200','02', '11000003','00','Request by Mr. Reheel Malik 29-Oct-2024');</v>
      </c>
      <c r="H39" s="50" t="str">
        <f t="shared" si="3"/>
        <v>insert into ins_premium_det (premium_rcv_code,assorted_code, rec_amount,premium_rcv_detail_code,remaining_amt, payrec, mode_code,coinsurance_code,class_cd,it_remarks) values('28Oct240058','070000165081','32200',(select max(to_number(i.premium_rcv_detail_code))+1
from ins_premium_det i),'32200','32200','02', '11000003','00','Request by Mr. Reheel Malik 29-Oct-2024');</v>
      </c>
    </row>
    <row r="40" spans="1:8" ht="105" x14ac:dyDescent="0.25">
      <c r="A40" s="28" t="s">
        <v>740</v>
      </c>
      <c r="B40" s="17" t="str">
        <f>VLOOKUP(A40,policy!B:C,2,0)</f>
        <v>070000165058</v>
      </c>
      <c r="C40" s="29">
        <v>31080</v>
      </c>
      <c r="D40" s="47">
        <f t="shared" si="1"/>
        <v>31080</v>
      </c>
      <c r="E40" s="46" t="s">
        <v>1857</v>
      </c>
      <c r="F40" s="48" t="str">
        <f t="shared" si="0"/>
        <v>insert into ins_premium_det (premium_rcv_code,assorted_code, rec_amount,premium_rcv_detail_code,remaining_amt, payrec, mode_code,coinsurance_code,class_cd,it_remarks) values</v>
      </c>
      <c r="G40" s="49" t="str">
        <f t="shared" si="2"/>
        <v>('28Oct240058','070000165058','31080',(select max(to_number(i.premium_rcv_detail_code))+1
from ins_premium_det i),'31080','31080','02', '11000003','00','Request by Mr. Reheel Malik 29-Oct-2024');</v>
      </c>
      <c r="H40" s="50" t="str">
        <f t="shared" si="3"/>
        <v>insert into ins_premium_det (premium_rcv_code,assorted_code, rec_amount,premium_rcv_detail_code,remaining_amt, payrec, mode_code,coinsurance_code,class_cd,it_remarks) values('28Oct240058','070000165058','31080',(select max(to_number(i.premium_rcv_detail_code))+1
from ins_premium_det i),'31080','31080','02', '11000003','00','Request by Mr. Reheel Malik 29-Oct-2024');</v>
      </c>
    </row>
    <row r="41" spans="1:8" ht="105" x14ac:dyDescent="0.25">
      <c r="A41" s="28" t="s">
        <v>748</v>
      </c>
      <c r="B41" s="17" t="str">
        <f>VLOOKUP(A41,policy!B:C,2,0)</f>
        <v>070000165082</v>
      </c>
      <c r="C41" s="29">
        <v>26700</v>
      </c>
      <c r="D41" s="47">
        <f t="shared" si="1"/>
        <v>26700</v>
      </c>
      <c r="E41" s="46" t="s">
        <v>1857</v>
      </c>
      <c r="F41" s="48" t="str">
        <f t="shared" si="0"/>
        <v>insert into ins_premium_det (premium_rcv_code,assorted_code, rec_amount,premium_rcv_detail_code,remaining_amt, payrec, mode_code,coinsurance_code,class_cd,it_remarks) values</v>
      </c>
      <c r="G41" s="49" t="str">
        <f t="shared" si="2"/>
        <v>('28Oct240058','070000165082','26700',(select max(to_number(i.premium_rcv_detail_code))+1
from ins_premium_det i),'26700','26700','02', '11000003','00','Request by Mr. Reheel Malik 29-Oct-2024');</v>
      </c>
      <c r="H41" s="50" t="str">
        <f t="shared" si="3"/>
        <v>insert into ins_premium_det (premium_rcv_code,assorted_code, rec_amount,premium_rcv_detail_code,remaining_amt, payrec, mode_code,coinsurance_code,class_cd,it_remarks) values('28Oct240058','070000165082','26700',(select max(to_number(i.premium_rcv_detail_code))+1
from ins_premium_det i),'26700','26700','02', '11000003','00','Request by Mr. Reheel Malik 29-Oct-2024');</v>
      </c>
    </row>
    <row r="42" spans="1:8" ht="105" x14ac:dyDescent="0.25">
      <c r="A42" s="28" t="s">
        <v>755</v>
      </c>
      <c r="B42" s="17" t="str">
        <f>VLOOKUP(A42,policy!B:C,2,0)</f>
        <v>070000165083</v>
      </c>
      <c r="C42" s="29">
        <v>25180</v>
      </c>
      <c r="D42" s="47">
        <f t="shared" si="1"/>
        <v>25180</v>
      </c>
      <c r="E42" s="46" t="s">
        <v>1857</v>
      </c>
      <c r="F42" s="48" t="str">
        <f t="shared" si="0"/>
        <v>insert into ins_premium_det (premium_rcv_code,assorted_code, rec_amount,premium_rcv_detail_code,remaining_amt, payrec, mode_code,coinsurance_code,class_cd,it_remarks) values</v>
      </c>
      <c r="G42" s="49" t="str">
        <f t="shared" si="2"/>
        <v>('28Oct240058','070000165083','25180',(select max(to_number(i.premium_rcv_detail_code))+1
from ins_premium_det i),'25180','25180','02', '11000003','00','Request by Mr. Reheel Malik 29-Oct-2024');</v>
      </c>
      <c r="H42" s="50" t="str">
        <f t="shared" si="3"/>
        <v>insert into ins_premium_det (premium_rcv_code,assorted_code, rec_amount,premium_rcv_detail_code,remaining_amt, payrec, mode_code,coinsurance_code,class_cd,it_remarks) values('28Oct240058','070000165083','25180',(select max(to_number(i.premium_rcv_detail_code))+1
from ins_premium_det i),'25180','25180','02', '11000003','00','Request by Mr. Reheel Malik 29-Oct-2024');</v>
      </c>
    </row>
    <row r="43" spans="1:8" ht="105" x14ac:dyDescent="0.25">
      <c r="A43" s="28" t="s">
        <v>761</v>
      </c>
      <c r="B43" s="17" t="str">
        <f>VLOOKUP(A43,policy!B:C,2,0)</f>
        <v>070000165084</v>
      </c>
      <c r="C43" s="29">
        <v>33488</v>
      </c>
      <c r="D43" s="47">
        <f t="shared" si="1"/>
        <v>33488</v>
      </c>
      <c r="E43" s="46" t="s">
        <v>1857</v>
      </c>
      <c r="F43" s="48" t="str">
        <f t="shared" si="0"/>
        <v>insert into ins_premium_det (premium_rcv_code,assorted_code, rec_amount,premium_rcv_detail_code,remaining_amt, payrec, mode_code,coinsurance_code,class_cd,it_remarks) values</v>
      </c>
      <c r="G43" s="49" t="str">
        <f t="shared" si="2"/>
        <v>('28Oct240058','070000165084','33488',(select max(to_number(i.premium_rcv_detail_code))+1
from ins_premium_det i),'33488','33488','02', '11000003','00','Request by Mr. Reheel Malik 29-Oct-2024');</v>
      </c>
      <c r="H43" s="50" t="str">
        <f t="shared" si="3"/>
        <v>insert into ins_premium_det (premium_rcv_code,assorted_code, rec_amount,premium_rcv_detail_code,remaining_amt, payrec, mode_code,coinsurance_code,class_cd,it_remarks) values('28Oct240058','070000165084','33488',(select max(to_number(i.premium_rcv_detail_code))+1
from ins_premium_det i),'33488','33488','02', '11000003','00','Request by Mr. Reheel Malik 29-Oct-2024');</v>
      </c>
    </row>
    <row r="44" spans="1:8" ht="105" x14ac:dyDescent="0.25">
      <c r="A44" s="28" t="s">
        <v>768</v>
      </c>
      <c r="B44" s="17" t="str">
        <f>VLOOKUP(A44,policy!B:C,2,0)</f>
        <v>070000165085</v>
      </c>
      <c r="C44" s="29">
        <v>82512</v>
      </c>
      <c r="D44" s="47">
        <f t="shared" si="1"/>
        <v>82512</v>
      </c>
      <c r="E44" s="46" t="s">
        <v>1857</v>
      </c>
      <c r="F44" s="48" t="str">
        <f t="shared" si="0"/>
        <v>insert into ins_premium_det (premium_rcv_code,assorted_code, rec_amount,premium_rcv_detail_code,remaining_amt, payrec, mode_code,coinsurance_code,class_cd,it_remarks) values</v>
      </c>
      <c r="G44" s="49" t="str">
        <f t="shared" si="2"/>
        <v>('28Oct240058','070000165085','82512',(select max(to_number(i.premium_rcv_detail_code))+1
from ins_premium_det i),'82512','82512','02', '11000003','00','Request by Mr. Reheel Malik 29-Oct-2024');</v>
      </c>
      <c r="H44" s="50" t="str">
        <f t="shared" si="3"/>
        <v>insert into ins_premium_det (premium_rcv_code,assorted_code, rec_amount,premium_rcv_detail_code,remaining_amt, payrec, mode_code,coinsurance_code,class_cd,it_remarks) values('28Oct240058','070000165085','82512',(select max(to_number(i.premium_rcv_detail_code))+1
from ins_premium_det i),'82512','82512','02', '11000003','00','Request by Mr. Reheel Malik 29-Oct-2024');</v>
      </c>
    </row>
    <row r="45" spans="1:8" ht="105" x14ac:dyDescent="0.25">
      <c r="A45" s="28" t="s">
        <v>776</v>
      </c>
      <c r="B45" s="17" t="str">
        <f>VLOOKUP(A45,policy!B:C,2,0)</f>
        <v>070000165086</v>
      </c>
      <c r="C45" s="29">
        <v>77010</v>
      </c>
      <c r="D45" s="47">
        <f t="shared" si="1"/>
        <v>77010</v>
      </c>
      <c r="E45" s="46" t="s">
        <v>1857</v>
      </c>
      <c r="F45" s="48" t="str">
        <f t="shared" si="0"/>
        <v>insert into ins_premium_det (premium_rcv_code,assorted_code, rec_amount,premium_rcv_detail_code,remaining_amt, payrec, mode_code,coinsurance_code,class_cd,it_remarks) values</v>
      </c>
      <c r="G45" s="49" t="str">
        <f t="shared" si="2"/>
        <v>('28Oct240058','070000165086','77010',(select max(to_number(i.premium_rcv_detail_code))+1
from ins_premium_det i),'77010','77010','02', '11000003','00','Request by Mr. Reheel Malik 29-Oct-2024');</v>
      </c>
      <c r="H45" s="50" t="str">
        <f t="shared" si="3"/>
        <v>insert into ins_premium_det (premium_rcv_code,assorted_code, rec_amount,premium_rcv_detail_code,remaining_amt, payrec, mode_code,coinsurance_code,class_cd,it_remarks) values('28Oct240058','070000165086','77010',(select max(to_number(i.premium_rcv_detail_code))+1
from ins_premium_det i),'77010','77010','02', '11000003','00','Request by Mr. Reheel Malik 29-Oct-2024');</v>
      </c>
    </row>
    <row r="46" spans="1:8" ht="105" x14ac:dyDescent="0.25">
      <c r="A46" s="28" t="s">
        <v>785</v>
      </c>
      <c r="B46" s="17" t="str">
        <f>VLOOKUP(A46,policy!B:C,2,0)</f>
        <v>070000165087</v>
      </c>
      <c r="C46" s="29">
        <v>45600</v>
      </c>
      <c r="D46" s="47">
        <f t="shared" si="1"/>
        <v>45600</v>
      </c>
      <c r="E46" s="46" t="s">
        <v>1857</v>
      </c>
      <c r="F46" s="48" t="str">
        <f t="shared" si="0"/>
        <v>insert into ins_premium_det (premium_rcv_code,assorted_code, rec_amount,premium_rcv_detail_code,remaining_amt, payrec, mode_code,coinsurance_code,class_cd,it_remarks) values</v>
      </c>
      <c r="G46" s="49" t="str">
        <f t="shared" si="2"/>
        <v>('28Oct240058','070000165087','45600',(select max(to_number(i.premium_rcv_detail_code))+1
from ins_premium_det i),'45600','45600','02', '11000003','00','Request by Mr. Reheel Malik 29-Oct-2024');</v>
      </c>
      <c r="H46" s="50" t="str">
        <f t="shared" si="3"/>
        <v>insert into ins_premium_det (premium_rcv_code,assorted_code, rec_amount,premium_rcv_detail_code,remaining_amt, payrec, mode_code,coinsurance_code,class_cd,it_remarks) values('28Oct240058','070000165087','45600',(select max(to_number(i.premium_rcv_detail_code))+1
from ins_premium_det i),'45600','45600','02', '11000003','00','Request by Mr. Reheel Malik 29-Oct-2024');</v>
      </c>
    </row>
    <row r="47" spans="1:8" ht="105" x14ac:dyDescent="0.25">
      <c r="A47" s="28" t="s">
        <v>792</v>
      </c>
      <c r="B47" s="17" t="str">
        <f>VLOOKUP(A47,policy!B:C,2,0)</f>
        <v>070000165092</v>
      </c>
      <c r="C47" s="29">
        <v>32200</v>
      </c>
      <c r="D47" s="47">
        <f t="shared" si="1"/>
        <v>32200</v>
      </c>
      <c r="E47" s="46" t="s">
        <v>1857</v>
      </c>
      <c r="F47" s="48" t="str">
        <f t="shared" si="0"/>
        <v>insert into ins_premium_det (premium_rcv_code,assorted_code, rec_amount,premium_rcv_detail_code,remaining_amt, payrec, mode_code,coinsurance_code,class_cd,it_remarks) values</v>
      </c>
      <c r="G47" s="49" t="str">
        <f t="shared" si="2"/>
        <v>('28Oct240058','070000165092','32200',(select max(to_number(i.premium_rcv_detail_code))+1
from ins_premium_det i),'32200','32200','02', '11000003','00','Request by Mr. Reheel Malik 29-Oct-2024');</v>
      </c>
      <c r="H47" s="50" t="str">
        <f t="shared" si="3"/>
        <v>insert into ins_premium_det (premium_rcv_code,assorted_code, rec_amount,premium_rcv_detail_code,remaining_amt, payrec, mode_code,coinsurance_code,class_cd,it_remarks) values('28Oct240058','070000165092','32200',(select max(to_number(i.premium_rcv_detail_code))+1
from ins_premium_det i),'32200','32200','02', '11000003','00','Request by Mr. Reheel Malik 29-Oct-2024');</v>
      </c>
    </row>
    <row r="48" spans="1:8" ht="105" x14ac:dyDescent="0.25">
      <c r="A48" s="28" t="s">
        <v>799</v>
      </c>
      <c r="B48" s="17" t="str">
        <f>VLOOKUP(A48,policy!B:C,2,0)</f>
        <v>070000165093</v>
      </c>
      <c r="C48" s="29">
        <v>28000</v>
      </c>
      <c r="D48" s="47">
        <f t="shared" si="1"/>
        <v>28000</v>
      </c>
      <c r="E48" s="46" t="s">
        <v>1857</v>
      </c>
      <c r="F48" s="48" t="str">
        <f t="shared" si="0"/>
        <v>insert into ins_premium_det (premium_rcv_code,assorted_code, rec_amount,premium_rcv_detail_code,remaining_amt, payrec, mode_code,coinsurance_code,class_cd,it_remarks) values</v>
      </c>
      <c r="G48" s="49" t="str">
        <f t="shared" si="2"/>
        <v>('28Oct240058','070000165093','28000',(select max(to_number(i.premium_rcv_detail_code))+1
from ins_premium_det i),'28000','28000','02', '11000003','00','Request by Mr. Reheel Malik 29-Oct-2024');</v>
      </c>
      <c r="H48" s="50" t="str">
        <f t="shared" si="3"/>
        <v>insert into ins_premium_det (premium_rcv_code,assorted_code, rec_amount,premium_rcv_detail_code,remaining_amt, payrec, mode_code,coinsurance_code,class_cd,it_remarks) values('28Oct240058','070000165093','28000',(select max(to_number(i.premium_rcv_detail_code))+1
from ins_premium_det i),'28000','28000','02', '11000003','00','Request by Mr. Reheel Malik 29-Oct-2024');</v>
      </c>
    </row>
    <row r="49" spans="1:8" ht="105" x14ac:dyDescent="0.25">
      <c r="A49" s="28" t="s">
        <v>806</v>
      </c>
      <c r="B49" s="17" t="str">
        <f>VLOOKUP(A49,policy!B:C,2,0)</f>
        <v>070000165094</v>
      </c>
      <c r="C49" s="29">
        <v>46788</v>
      </c>
      <c r="D49" s="47">
        <f t="shared" si="1"/>
        <v>46788</v>
      </c>
      <c r="E49" s="46" t="s">
        <v>1857</v>
      </c>
      <c r="F49" s="48" t="str">
        <f t="shared" si="0"/>
        <v>insert into ins_premium_det (premium_rcv_code,assorted_code, rec_amount,premium_rcv_detail_code,remaining_amt, payrec, mode_code,coinsurance_code,class_cd,it_remarks) values</v>
      </c>
      <c r="G49" s="49" t="str">
        <f t="shared" si="2"/>
        <v>('28Oct240058','070000165094','46788',(select max(to_number(i.premium_rcv_detail_code))+1
from ins_premium_det i),'46788','46788','02', '11000003','00','Request by Mr. Reheel Malik 29-Oct-2024');</v>
      </c>
      <c r="H49" s="50" t="str">
        <f t="shared" si="3"/>
        <v>insert into ins_premium_det (premium_rcv_code,assorted_code, rec_amount,premium_rcv_detail_code,remaining_amt, payrec, mode_code,coinsurance_code,class_cd,it_remarks) values('28Oct240058','070000165094','46788',(select max(to_number(i.premium_rcv_detail_code))+1
from ins_premium_det i),'46788','46788','02', '11000003','00','Request by Mr. Reheel Malik 29-Oct-2024');</v>
      </c>
    </row>
    <row r="50" spans="1:8" ht="105" x14ac:dyDescent="0.25">
      <c r="A50" s="28" t="s">
        <v>813</v>
      </c>
      <c r="B50" s="17" t="str">
        <f>VLOOKUP(A50,policy!B:C,2,0)</f>
        <v>070000165060</v>
      </c>
      <c r="C50" s="29">
        <v>43980</v>
      </c>
      <c r="D50" s="47">
        <f t="shared" si="1"/>
        <v>43980</v>
      </c>
      <c r="E50" s="46" t="s">
        <v>1857</v>
      </c>
      <c r="F50" s="48" t="str">
        <f t="shared" si="0"/>
        <v>insert into ins_premium_det (premium_rcv_code,assorted_code, rec_amount,premium_rcv_detail_code,remaining_amt, payrec, mode_code,coinsurance_code,class_cd,it_remarks) values</v>
      </c>
      <c r="G50" s="49" t="str">
        <f t="shared" si="2"/>
        <v>('28Oct240058','070000165060','43980',(select max(to_number(i.premium_rcv_detail_code))+1
from ins_premium_det i),'43980','43980','02', '11000003','00','Request by Mr. Reheel Malik 29-Oct-2024');</v>
      </c>
      <c r="H50" s="50" t="str">
        <f t="shared" si="3"/>
        <v>insert into ins_premium_det (premium_rcv_code,assorted_code, rec_amount,premium_rcv_detail_code,remaining_amt, payrec, mode_code,coinsurance_code,class_cd,it_remarks) values('28Oct240058','070000165060','43980',(select max(to_number(i.premium_rcv_detail_code))+1
from ins_premium_det i),'43980','43980','02', '11000003','00','Request by Mr. Reheel Malik 29-Oct-2024');</v>
      </c>
    </row>
    <row r="51" spans="1:8" ht="105" x14ac:dyDescent="0.25">
      <c r="A51" s="28" t="s">
        <v>820</v>
      </c>
      <c r="B51" s="17" t="str">
        <f>VLOOKUP(A51,policy!B:C,2,0)</f>
        <v>070000165095</v>
      </c>
      <c r="C51" s="29">
        <v>110268</v>
      </c>
      <c r="D51" s="47">
        <f t="shared" si="1"/>
        <v>110268</v>
      </c>
      <c r="E51" s="46" t="s">
        <v>1857</v>
      </c>
      <c r="F51" s="48" t="str">
        <f t="shared" si="0"/>
        <v>insert into ins_premium_det (premium_rcv_code,assorted_code, rec_amount,premium_rcv_detail_code,remaining_amt, payrec, mode_code,coinsurance_code,class_cd,it_remarks) values</v>
      </c>
      <c r="G51" s="49" t="str">
        <f t="shared" si="2"/>
        <v>('28Oct240058','070000165095','110268',(select max(to_number(i.premium_rcv_detail_code))+1
from ins_premium_det i),'110268','110268','02', '11000003','00','Request by Mr. Reheel Malik 29-Oct-2024');</v>
      </c>
      <c r="H51" s="50" t="str">
        <f t="shared" si="3"/>
        <v>insert into ins_premium_det (premium_rcv_code,assorted_code, rec_amount,premium_rcv_detail_code,remaining_amt, payrec, mode_code,coinsurance_code,class_cd,it_remarks) values('28Oct240058','070000165095','110268',(select max(to_number(i.premium_rcv_detail_code))+1
from ins_premium_det i),'110268','110268','02', '11000003','00','Request by Mr. Reheel Malik 29-Oct-2024');</v>
      </c>
    </row>
    <row r="52" spans="1:8" ht="105" x14ac:dyDescent="0.25">
      <c r="A52" s="28" t="s">
        <v>829</v>
      </c>
      <c r="B52" s="17" t="str">
        <f>VLOOKUP(A52,policy!B:C,2,0)</f>
        <v>070000165096</v>
      </c>
      <c r="C52" s="29">
        <v>35200</v>
      </c>
      <c r="D52" s="47">
        <f t="shared" si="1"/>
        <v>35200</v>
      </c>
      <c r="E52" s="46" t="s">
        <v>1857</v>
      </c>
      <c r="F52" s="48" t="str">
        <f t="shared" si="0"/>
        <v>insert into ins_premium_det (premium_rcv_code,assorted_code, rec_amount,premium_rcv_detail_code,remaining_amt, payrec, mode_code,coinsurance_code,class_cd,it_remarks) values</v>
      </c>
      <c r="G52" s="49" t="str">
        <f t="shared" si="2"/>
        <v>('28Oct240058','070000165096','35200',(select max(to_number(i.premium_rcv_detail_code))+1
from ins_premium_det i),'35200','35200','02', '11000003','00','Request by Mr. Reheel Malik 29-Oct-2024');</v>
      </c>
      <c r="H52" s="50" t="str">
        <f t="shared" si="3"/>
        <v>insert into ins_premium_det (premium_rcv_code,assorted_code, rec_amount,premium_rcv_detail_code,remaining_amt, payrec, mode_code,coinsurance_code,class_cd,it_remarks) values('28Oct240058','070000165096','35200',(select max(to_number(i.premium_rcv_detail_code))+1
from ins_premium_det i),'35200','35200','02', '11000003','00','Request by Mr. Reheel Malik 29-Oct-2024');</v>
      </c>
    </row>
    <row r="53" spans="1:8" ht="105" x14ac:dyDescent="0.25">
      <c r="A53" s="28" t="s">
        <v>836</v>
      </c>
      <c r="B53" s="17" t="str">
        <f>VLOOKUP(A53,policy!B:C,2,0)</f>
        <v>070000165097</v>
      </c>
      <c r="C53" s="29">
        <v>14000</v>
      </c>
      <c r="D53" s="47">
        <f t="shared" si="1"/>
        <v>14000</v>
      </c>
      <c r="E53" s="46" t="s">
        <v>1857</v>
      </c>
      <c r="F53" s="48" t="str">
        <f t="shared" si="0"/>
        <v>insert into ins_premium_det (premium_rcv_code,assorted_code, rec_amount,premium_rcv_detail_code,remaining_amt, payrec, mode_code,coinsurance_code,class_cd,it_remarks) values</v>
      </c>
      <c r="G53" s="49" t="str">
        <f t="shared" si="2"/>
        <v>('28Oct240058','070000165097','14000',(select max(to_number(i.premium_rcv_detail_code))+1
from ins_premium_det i),'14000','14000','02', '11000003','00','Request by Mr. Reheel Malik 29-Oct-2024');</v>
      </c>
      <c r="H53" s="50" t="str">
        <f t="shared" si="3"/>
        <v>insert into ins_premium_det (premium_rcv_code,assorted_code, rec_amount,premium_rcv_detail_code,remaining_amt, payrec, mode_code,coinsurance_code,class_cd,it_remarks) values('28Oct240058','070000165097','14000',(select max(to_number(i.premium_rcv_detail_code))+1
from ins_premium_det i),'14000','14000','02', '11000003','00','Request by Mr. Reheel Malik 29-Oct-2024');</v>
      </c>
    </row>
    <row r="54" spans="1:8" ht="105" x14ac:dyDescent="0.25">
      <c r="A54" s="28" t="s">
        <v>844</v>
      </c>
      <c r="B54" s="17" t="str">
        <f>VLOOKUP(A54,policy!B:C,2,0)</f>
        <v>070000165099</v>
      </c>
      <c r="C54" s="29">
        <v>26700</v>
      </c>
      <c r="D54" s="47">
        <f t="shared" si="1"/>
        <v>26700</v>
      </c>
      <c r="E54" s="46" t="s">
        <v>1857</v>
      </c>
      <c r="F54" s="48" t="str">
        <f t="shared" si="0"/>
        <v>insert into ins_premium_det (premium_rcv_code,assorted_code, rec_amount,premium_rcv_detail_code,remaining_amt, payrec, mode_code,coinsurance_code,class_cd,it_remarks) values</v>
      </c>
      <c r="G54" s="49" t="str">
        <f t="shared" si="2"/>
        <v>('28Oct240058','070000165099','26700',(select max(to_number(i.premium_rcv_detail_code))+1
from ins_premium_det i),'26700','26700','02', '11000003','00','Request by Mr. Reheel Malik 29-Oct-2024');</v>
      </c>
      <c r="H54" s="50" t="str">
        <f t="shared" si="3"/>
        <v>insert into ins_premium_det (premium_rcv_code,assorted_code, rec_amount,premium_rcv_detail_code,remaining_amt, payrec, mode_code,coinsurance_code,class_cd,it_remarks) values('28Oct240058','070000165099','26700',(select max(to_number(i.premium_rcv_detail_code))+1
from ins_premium_det i),'26700','26700','02', '11000003','00','Request by Mr. Reheel Malik 29-Oct-2024');</v>
      </c>
    </row>
    <row r="55" spans="1:8" ht="105" x14ac:dyDescent="0.25">
      <c r="A55" s="28" t="s">
        <v>850</v>
      </c>
      <c r="B55" s="17" t="str">
        <f>VLOOKUP(A55,policy!B:C,2,0)</f>
        <v>070000165100</v>
      </c>
      <c r="C55" s="29">
        <v>26700</v>
      </c>
      <c r="D55" s="47">
        <f t="shared" si="1"/>
        <v>26700</v>
      </c>
      <c r="E55" s="46" t="s">
        <v>1857</v>
      </c>
      <c r="F55" s="48" t="str">
        <f t="shared" si="0"/>
        <v>insert into ins_premium_det (premium_rcv_code,assorted_code, rec_amount,premium_rcv_detail_code,remaining_amt, payrec, mode_code,coinsurance_code,class_cd,it_remarks) values</v>
      </c>
      <c r="G55" s="49" t="str">
        <f t="shared" si="2"/>
        <v>('28Oct240058','070000165100','26700',(select max(to_number(i.premium_rcv_detail_code))+1
from ins_premium_det i),'26700','26700','02', '11000003','00','Request by Mr. Reheel Malik 29-Oct-2024');</v>
      </c>
      <c r="H55" s="50" t="str">
        <f t="shared" si="3"/>
        <v>insert into ins_premium_det (premium_rcv_code,assorted_code, rec_amount,premium_rcv_detail_code,remaining_amt, payrec, mode_code,coinsurance_code,class_cd,it_remarks) values('28Oct240058','070000165100','26700',(select max(to_number(i.premium_rcv_detail_code))+1
from ins_premium_det i),'26700','26700','02', '11000003','00','Request by Mr. Reheel Malik 29-Oct-2024');</v>
      </c>
    </row>
    <row r="56" spans="1:8" ht="105" x14ac:dyDescent="0.25">
      <c r="A56" s="28" t="s">
        <v>856</v>
      </c>
      <c r="B56" s="17" t="str">
        <f>VLOOKUP(A56,policy!B:C,2,0)</f>
        <v>070000165101</v>
      </c>
      <c r="C56" s="29">
        <v>18000</v>
      </c>
      <c r="D56" s="47">
        <f t="shared" si="1"/>
        <v>18000</v>
      </c>
      <c r="E56" s="46" t="s">
        <v>1857</v>
      </c>
      <c r="F56" s="48" t="str">
        <f t="shared" si="0"/>
        <v>insert into ins_premium_det (premium_rcv_code,assorted_code, rec_amount,premium_rcv_detail_code,remaining_amt, payrec, mode_code,coinsurance_code,class_cd,it_remarks) values</v>
      </c>
      <c r="G56" s="49" t="str">
        <f t="shared" si="2"/>
        <v>('28Oct240058','070000165101','18000',(select max(to_number(i.premium_rcv_detail_code))+1
from ins_premium_det i),'18000','18000','02', '11000003','00','Request by Mr. Reheel Malik 29-Oct-2024');</v>
      </c>
      <c r="H56" s="50" t="str">
        <f t="shared" si="3"/>
        <v>insert into ins_premium_det (premium_rcv_code,assorted_code, rec_amount,premium_rcv_detail_code,remaining_amt, payrec, mode_code,coinsurance_code,class_cd,it_remarks) values('28Oct240058','070000165101','18000',(select max(to_number(i.premium_rcv_detail_code))+1
from ins_premium_det i),'18000','18000','02', '11000003','00','Request by Mr. Reheel Malik 29-Oct-2024');</v>
      </c>
    </row>
    <row r="57" spans="1:8" ht="105" x14ac:dyDescent="0.25">
      <c r="A57" s="28" t="s">
        <v>863</v>
      </c>
      <c r="B57" s="17" t="str">
        <f>VLOOKUP(A57,policy!B:C,2,0)</f>
        <v>070000165102</v>
      </c>
      <c r="C57" s="29">
        <v>30200</v>
      </c>
      <c r="D57" s="47">
        <f t="shared" si="1"/>
        <v>30200</v>
      </c>
      <c r="E57" s="46" t="s">
        <v>1857</v>
      </c>
      <c r="F57" s="48" t="str">
        <f t="shared" si="0"/>
        <v>insert into ins_premium_det (premium_rcv_code,assorted_code, rec_amount,premium_rcv_detail_code,remaining_amt, payrec, mode_code,coinsurance_code,class_cd,it_remarks) values</v>
      </c>
      <c r="G57" s="49" t="str">
        <f t="shared" si="2"/>
        <v>('28Oct240058','070000165102','30200',(select max(to_number(i.premium_rcv_detail_code))+1
from ins_premium_det i),'30200','30200','02', '11000003','00','Request by Mr. Reheel Malik 29-Oct-2024');</v>
      </c>
      <c r="H57" s="50" t="str">
        <f t="shared" si="3"/>
        <v>insert into ins_premium_det (premium_rcv_code,assorted_code, rec_amount,premium_rcv_detail_code,remaining_amt, payrec, mode_code,coinsurance_code,class_cd,it_remarks) values('28Oct240058','070000165102','30200',(select max(to_number(i.premium_rcv_detail_code))+1
from ins_premium_det i),'30200','30200','02', '11000003','00','Request by Mr. Reheel Malik 29-Oct-2024');</v>
      </c>
    </row>
    <row r="58" spans="1:8" ht="105" x14ac:dyDescent="0.25">
      <c r="A58" s="28" t="s">
        <v>870</v>
      </c>
      <c r="B58" s="17" t="str">
        <f>VLOOKUP(A58,policy!B:C,2,0)</f>
        <v>070000165103</v>
      </c>
      <c r="C58" s="29">
        <v>33100</v>
      </c>
      <c r="D58" s="47">
        <f t="shared" si="1"/>
        <v>33100</v>
      </c>
      <c r="E58" s="46" t="s">
        <v>1857</v>
      </c>
      <c r="F58" s="48" t="str">
        <f t="shared" si="0"/>
        <v>insert into ins_premium_det (premium_rcv_code,assorted_code, rec_amount,premium_rcv_detail_code,remaining_amt, payrec, mode_code,coinsurance_code,class_cd,it_remarks) values</v>
      </c>
      <c r="G58" s="49" t="str">
        <f t="shared" si="2"/>
        <v>('28Oct240058','070000165103','33100',(select max(to_number(i.premium_rcv_detail_code))+1
from ins_premium_det i),'33100','33100','02', '11000003','00','Request by Mr. Reheel Malik 29-Oct-2024');</v>
      </c>
      <c r="H58" s="50" t="str">
        <f t="shared" si="3"/>
        <v>insert into ins_premium_det (premium_rcv_code,assorted_code, rec_amount,premium_rcv_detail_code,remaining_amt, payrec, mode_code,coinsurance_code,class_cd,it_remarks) values('28Oct240058','070000165103','33100',(select max(to_number(i.premium_rcv_detail_code))+1
from ins_premium_det i),'33100','33100','02', '11000003','00','Request by Mr. Reheel Malik 29-Oct-2024');</v>
      </c>
    </row>
    <row r="59" spans="1:8" ht="105" x14ac:dyDescent="0.25">
      <c r="A59" s="28" t="s">
        <v>878</v>
      </c>
      <c r="B59" s="17" t="str">
        <f>VLOOKUP(A59,policy!B:C,2,0)</f>
        <v>070000165105</v>
      </c>
      <c r="C59" s="29">
        <v>36600</v>
      </c>
      <c r="D59" s="47">
        <f t="shared" si="1"/>
        <v>36600</v>
      </c>
      <c r="E59" s="46" t="s">
        <v>1857</v>
      </c>
      <c r="F59" s="48" t="str">
        <f t="shared" si="0"/>
        <v>insert into ins_premium_det (premium_rcv_code,assorted_code, rec_amount,premium_rcv_detail_code,remaining_amt, payrec, mode_code,coinsurance_code,class_cd,it_remarks) values</v>
      </c>
      <c r="G59" s="49" t="str">
        <f t="shared" si="2"/>
        <v>('28Oct240058','070000165105','36600',(select max(to_number(i.premium_rcv_detail_code))+1
from ins_premium_det i),'36600','36600','02', '11000003','00','Request by Mr. Reheel Malik 29-Oct-2024');</v>
      </c>
      <c r="H59" s="50" t="str">
        <f t="shared" si="3"/>
        <v>insert into ins_premium_det (premium_rcv_code,assorted_code, rec_amount,premium_rcv_detail_code,remaining_amt, payrec, mode_code,coinsurance_code,class_cd,it_remarks) values('28Oct240058','070000165105','36600',(select max(to_number(i.premium_rcv_detail_code))+1
from ins_premium_det i),'36600','36600','02', '11000003','00','Request by Mr. Reheel Malik 29-Oct-2024');</v>
      </c>
    </row>
    <row r="60" spans="1:8" ht="105" x14ac:dyDescent="0.25">
      <c r="A60" s="28" t="s">
        <v>885</v>
      </c>
      <c r="B60" s="17" t="str">
        <f>VLOOKUP(A60,policy!B:C,2,0)</f>
        <v>070000165061</v>
      </c>
      <c r="C60" s="29">
        <v>32200</v>
      </c>
      <c r="D60" s="47">
        <f t="shared" si="1"/>
        <v>32200</v>
      </c>
      <c r="E60" s="46" t="s">
        <v>1857</v>
      </c>
      <c r="F60" s="48" t="str">
        <f t="shared" si="0"/>
        <v>insert into ins_premium_det (premium_rcv_code,assorted_code, rec_amount,premium_rcv_detail_code,remaining_amt, payrec, mode_code,coinsurance_code,class_cd,it_remarks) values</v>
      </c>
      <c r="G60" s="49" t="str">
        <f t="shared" si="2"/>
        <v>('28Oct240058','070000165061','32200',(select max(to_number(i.premium_rcv_detail_code))+1
from ins_premium_det i),'32200','32200','02', '11000003','00','Request by Mr. Reheel Malik 29-Oct-2024');</v>
      </c>
      <c r="H60" s="50" t="str">
        <f t="shared" si="3"/>
        <v>insert into ins_premium_det (premium_rcv_code,assorted_code, rec_amount,premium_rcv_detail_code,remaining_amt, payrec, mode_code,coinsurance_code,class_cd,it_remarks) values('28Oct240058','070000165061','32200',(select max(to_number(i.premium_rcv_detail_code))+1
from ins_premium_det i),'32200','32200','02', '11000003','00','Request by Mr. Reheel Malik 29-Oct-2024');</v>
      </c>
    </row>
    <row r="61" spans="1:8" ht="105" x14ac:dyDescent="0.25">
      <c r="A61" s="28" t="s">
        <v>893</v>
      </c>
      <c r="B61" s="17" t="str">
        <f>VLOOKUP(A61,policy!B:C,2,0)</f>
        <v>070000165062</v>
      </c>
      <c r="C61" s="29">
        <v>54000</v>
      </c>
      <c r="D61" s="47">
        <f t="shared" si="1"/>
        <v>54000</v>
      </c>
      <c r="E61" s="46" t="s">
        <v>1857</v>
      </c>
      <c r="F61" s="48" t="str">
        <f t="shared" si="0"/>
        <v>insert into ins_premium_det (premium_rcv_code,assorted_code, rec_amount,premium_rcv_detail_code,remaining_amt, payrec, mode_code,coinsurance_code,class_cd,it_remarks) values</v>
      </c>
      <c r="G61" s="49" t="str">
        <f t="shared" si="2"/>
        <v>('28Oct240058','070000165062','54000',(select max(to_number(i.premium_rcv_detail_code))+1
from ins_premium_det i),'54000','54000','02', '11000003','00','Request by Mr. Reheel Malik 29-Oct-2024');</v>
      </c>
      <c r="H61" s="50" t="str">
        <f t="shared" si="3"/>
        <v>insert into ins_premium_det (premium_rcv_code,assorted_code, rec_amount,premium_rcv_detail_code,remaining_amt, payrec, mode_code,coinsurance_code,class_cd,it_remarks) values('28Oct240058','070000165062','54000',(select max(to_number(i.premium_rcv_detail_code))+1
from ins_premium_det i),'54000','54000','02', '11000003','00','Request by Mr. Reheel Malik 29-Oct-2024');</v>
      </c>
    </row>
    <row r="62" spans="1:8" ht="105" x14ac:dyDescent="0.25">
      <c r="A62" s="28" t="s">
        <v>900</v>
      </c>
      <c r="B62" s="17" t="str">
        <f>VLOOKUP(A62,policy!B:C,2,0)</f>
        <v>070000165063</v>
      </c>
      <c r="C62" s="29">
        <v>26700</v>
      </c>
      <c r="D62" s="47">
        <f t="shared" si="1"/>
        <v>26700</v>
      </c>
      <c r="E62" s="46" t="s">
        <v>1857</v>
      </c>
      <c r="F62" s="48" t="str">
        <f t="shared" si="0"/>
        <v>insert into ins_premium_det (premium_rcv_code,assorted_code, rec_amount,premium_rcv_detail_code,remaining_amt, payrec, mode_code,coinsurance_code,class_cd,it_remarks) values</v>
      </c>
      <c r="G62" s="49" t="str">
        <f t="shared" si="2"/>
        <v>('28Oct240058','070000165063','26700',(select max(to_number(i.premium_rcv_detail_code))+1
from ins_premium_det i),'26700','26700','02', '11000003','00','Request by Mr. Reheel Malik 29-Oct-2024');</v>
      </c>
      <c r="H62" s="50" t="str">
        <f t="shared" si="3"/>
        <v>insert into ins_premium_det (premium_rcv_code,assorted_code, rec_amount,premium_rcv_detail_code,remaining_amt, payrec, mode_code,coinsurance_code,class_cd,it_remarks) values('28Oct240058','070000165063','26700',(select max(to_number(i.premium_rcv_detail_code))+1
from ins_premium_det i),'26700','26700','02', '11000003','00','Request by Mr. Reheel Malik 29-Oct-2024');</v>
      </c>
    </row>
    <row r="63" spans="1:8" ht="105" x14ac:dyDescent="0.25">
      <c r="A63" s="28" t="s">
        <v>908</v>
      </c>
      <c r="B63" s="17" t="str">
        <f>VLOOKUP(A63,policy!B:C,2,0)</f>
        <v>070000165065</v>
      </c>
      <c r="C63" s="29">
        <v>53900</v>
      </c>
      <c r="D63" s="47">
        <f t="shared" si="1"/>
        <v>53900</v>
      </c>
      <c r="E63" s="46" t="s">
        <v>1857</v>
      </c>
      <c r="F63" s="48" t="str">
        <f t="shared" si="0"/>
        <v>insert into ins_premium_det (premium_rcv_code,assorted_code, rec_amount,premium_rcv_detail_code,remaining_amt, payrec, mode_code,coinsurance_code,class_cd,it_remarks) values</v>
      </c>
      <c r="G63" s="49" t="str">
        <f t="shared" si="2"/>
        <v>('28Oct240058','070000165065','53900',(select max(to_number(i.premium_rcv_detail_code))+1
from ins_premium_det i),'53900','53900','02', '11000003','00','Request by Mr. Reheel Malik 29-Oct-2024');</v>
      </c>
      <c r="H63" s="50" t="str">
        <f t="shared" si="3"/>
        <v>insert into ins_premium_det (premium_rcv_code,assorted_code, rec_amount,premium_rcv_detail_code,remaining_amt, payrec, mode_code,coinsurance_code,class_cd,it_remarks) values('28Oct240058','070000165065','53900',(select max(to_number(i.premium_rcv_detail_code))+1
from ins_premium_det i),'53900','53900','02', '11000003','00','Request by Mr. Reheel Malik 29-Oct-2024');</v>
      </c>
    </row>
    <row r="64" spans="1:8" ht="105" x14ac:dyDescent="0.25">
      <c r="A64" s="28" t="s">
        <v>916</v>
      </c>
      <c r="B64" s="17" t="str">
        <f>VLOOKUP(A64,policy!B:C,2,0)</f>
        <v>070000165066</v>
      </c>
      <c r="C64" s="29">
        <v>48000</v>
      </c>
      <c r="D64" s="47">
        <f t="shared" si="1"/>
        <v>48000</v>
      </c>
      <c r="E64" s="46" t="s">
        <v>1857</v>
      </c>
      <c r="F64" s="48" t="str">
        <f t="shared" si="0"/>
        <v>insert into ins_premium_det (premium_rcv_code,assorted_code, rec_amount,premium_rcv_detail_code,remaining_amt, payrec, mode_code,coinsurance_code,class_cd,it_remarks) values</v>
      </c>
      <c r="G64" s="49" t="str">
        <f t="shared" si="2"/>
        <v>('28Oct240058','070000165066','48000',(select max(to_number(i.premium_rcv_detail_code))+1
from ins_premium_det i),'48000','48000','02', '11000003','00','Request by Mr. Reheel Malik 29-Oct-2024');</v>
      </c>
      <c r="H64" s="50" t="str">
        <f t="shared" si="3"/>
        <v>insert into ins_premium_det (premium_rcv_code,assorted_code, rec_amount,premium_rcv_detail_code,remaining_amt, payrec, mode_code,coinsurance_code,class_cd,it_remarks) values('28Oct240058','070000165066','48000',(select max(to_number(i.premium_rcv_detail_code))+1
from ins_premium_det i),'48000','48000','02', '11000003','00','Request by Mr. Reheel Malik 29-Oct-2024');</v>
      </c>
    </row>
    <row r="65" spans="1:8" ht="105" x14ac:dyDescent="0.25">
      <c r="A65" s="28" t="s">
        <v>924</v>
      </c>
      <c r="B65" s="17" t="str">
        <f>VLOOKUP(A65,policy!B:C,2,0)</f>
        <v>070000165112</v>
      </c>
      <c r="C65" s="29">
        <v>44123</v>
      </c>
      <c r="D65" s="47">
        <f t="shared" si="1"/>
        <v>44123</v>
      </c>
      <c r="E65" s="46" t="s">
        <v>1857</v>
      </c>
      <c r="F65" s="48" t="str">
        <f t="shared" si="0"/>
        <v>insert into ins_premium_det (premium_rcv_code,assorted_code, rec_amount,premium_rcv_detail_code,remaining_amt, payrec, mode_code,coinsurance_code,class_cd,it_remarks) values</v>
      </c>
      <c r="G65" s="49" t="str">
        <f t="shared" si="2"/>
        <v>('28Oct240058','070000165112','44123',(select max(to_number(i.premium_rcv_detail_code))+1
from ins_premium_det i),'44123','44123','02', '11000003','00','Request by Mr. Reheel Malik 29-Oct-2024');</v>
      </c>
      <c r="H65" s="50" t="str">
        <f t="shared" si="3"/>
        <v>insert into ins_premium_det (premium_rcv_code,assorted_code, rec_amount,premium_rcv_detail_code,remaining_amt, payrec, mode_code,coinsurance_code,class_cd,it_remarks) values('28Oct240058','070000165112','44123',(select max(to_number(i.premium_rcv_detail_code))+1
from ins_premium_det i),'44123','44123','02', '11000003','00','Request by Mr. Reheel Malik 29-Oct-2024');</v>
      </c>
    </row>
    <row r="66" spans="1:8" ht="105" x14ac:dyDescent="0.25">
      <c r="A66" s="28" t="s">
        <v>930</v>
      </c>
      <c r="B66" s="17" t="str">
        <f>VLOOKUP(A66,policy!B:C,2,0)</f>
        <v>070000165124</v>
      </c>
      <c r="C66" s="29">
        <v>46429</v>
      </c>
      <c r="D66" s="47">
        <f t="shared" si="1"/>
        <v>46429</v>
      </c>
      <c r="E66" s="46" t="s">
        <v>1857</v>
      </c>
      <c r="F66" s="48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49" t="str">
        <f t="shared" si="2"/>
        <v>('28Oct240058','070000165124','46429',(select max(to_number(i.premium_rcv_detail_code))+1
from ins_premium_det i),'46429','46429','02', '11000003','00','Request by Mr. Reheel Malik 29-Oct-2024');</v>
      </c>
      <c r="H66" s="50" t="str">
        <f t="shared" si="3"/>
        <v>insert into ins_premium_det (premium_rcv_code,assorted_code, rec_amount,premium_rcv_detail_code,remaining_amt, payrec, mode_code,coinsurance_code,class_cd,it_remarks) values('28Oct240058','070000165124','46429',(select max(to_number(i.premium_rcv_detail_code))+1
from ins_premium_det i),'46429','46429','02', '11000003','00','Request by Mr. Reheel Malik 29-Oct-2024');</v>
      </c>
    </row>
    <row r="67" spans="1:8" ht="105" x14ac:dyDescent="0.25">
      <c r="A67" s="28" t="s">
        <v>938</v>
      </c>
      <c r="B67" s="17" t="str">
        <f>VLOOKUP(A67,policy!B:C,2,0)</f>
        <v>070000165125</v>
      </c>
      <c r="C67" s="29">
        <v>61875</v>
      </c>
      <c r="D67" s="47">
        <f t="shared" ref="D67:D130" si="5">ROUND(C67,0)</f>
        <v>61875</v>
      </c>
      <c r="E67" s="46" t="s">
        <v>1857</v>
      </c>
      <c r="F67" s="48" t="str">
        <f t="shared" si="4"/>
        <v>insert into ins_premium_det (premium_rcv_code,assorted_code, rec_amount,premium_rcv_detail_code,remaining_amt, payrec, mode_code,coinsurance_code,class_cd,it_remarks) values</v>
      </c>
      <c r="G67" s="49" t="str">
        <f t="shared" ref="G67:G130" si="6">"('"&amp;E67&amp;"','"&amp;B67&amp;"','"&amp;D67&amp;"',(select max(to_number(i.premium_rcv_detail_code))+1
from ins_premium_det i),'"&amp;D67&amp;"','"&amp;D67&amp;"','02', '11000003','00','Request by Mr. Reheel Malik 29-Oct-2024');"</f>
        <v>('28Oct240058','070000165125','61875',(select max(to_number(i.premium_rcv_detail_code))+1
from ins_premium_det i),'61875','61875','02', '11000003','00','Request by Mr. Reheel Malik 29-Oct-2024');</v>
      </c>
      <c r="H67" s="50" t="str">
        <f t="shared" ref="H67:H130" si="7">F67&amp;G67</f>
        <v>insert into ins_premium_det (premium_rcv_code,assorted_code, rec_amount,premium_rcv_detail_code,remaining_amt, payrec, mode_code,coinsurance_code,class_cd,it_remarks) values('28Oct240058','070000165125','61875',(select max(to_number(i.premium_rcv_detail_code))+1
from ins_premium_det i),'61875','61875','02', '11000003','00','Request by Mr. Reheel Malik 29-Oct-2024');</v>
      </c>
    </row>
    <row r="68" spans="1:8" ht="105" x14ac:dyDescent="0.25">
      <c r="A68" s="28" t="s">
        <v>944</v>
      </c>
      <c r="B68" s="17" t="str">
        <f>VLOOKUP(A68,policy!B:C,2,0)</f>
        <v>070000165126</v>
      </c>
      <c r="C68" s="29">
        <v>46502</v>
      </c>
      <c r="D68" s="47">
        <f t="shared" si="5"/>
        <v>46502</v>
      </c>
      <c r="E68" s="46" t="s">
        <v>1857</v>
      </c>
      <c r="F68" s="48" t="str">
        <f t="shared" si="4"/>
        <v>insert into ins_premium_det (premium_rcv_code,assorted_code, rec_amount,premium_rcv_detail_code,remaining_amt, payrec, mode_code,coinsurance_code,class_cd,it_remarks) values</v>
      </c>
      <c r="G68" s="49" t="str">
        <f t="shared" si="6"/>
        <v>('28Oct240058','070000165126','46502',(select max(to_number(i.premium_rcv_detail_code))+1
from ins_premium_det i),'46502','46502','02', '11000003','00','Request by Mr. Reheel Malik 29-Oct-2024');</v>
      </c>
      <c r="H68" s="50" t="str">
        <f t="shared" si="7"/>
        <v>insert into ins_premium_det (premium_rcv_code,assorted_code, rec_amount,premium_rcv_detail_code,remaining_amt, payrec, mode_code,coinsurance_code,class_cd,it_remarks) values('28Oct240058','070000165126','46502',(select max(to_number(i.premium_rcv_detail_code))+1
from ins_premium_det i),'46502','46502','02', '11000003','00','Request by Mr. Reheel Malik 29-Oct-2024');</v>
      </c>
    </row>
    <row r="69" spans="1:8" ht="105" x14ac:dyDescent="0.25">
      <c r="A69" s="28" t="s">
        <v>950</v>
      </c>
      <c r="B69" s="17" t="str">
        <f>VLOOKUP(A69,policy!B:C,2,0)</f>
        <v>070000165127</v>
      </c>
      <c r="C69" s="29">
        <v>46429</v>
      </c>
      <c r="D69" s="47">
        <f t="shared" si="5"/>
        <v>46429</v>
      </c>
      <c r="E69" s="46" t="s">
        <v>1857</v>
      </c>
      <c r="F69" s="48" t="str">
        <f t="shared" si="4"/>
        <v>insert into ins_premium_det (premium_rcv_code,assorted_code, rec_amount,premium_rcv_detail_code,remaining_amt, payrec, mode_code,coinsurance_code,class_cd,it_remarks) values</v>
      </c>
      <c r="G69" s="49" t="str">
        <f t="shared" si="6"/>
        <v>('28Oct240058','070000165127','46429',(select max(to_number(i.premium_rcv_detail_code))+1
from ins_premium_det i),'46429','46429','02', '11000003','00','Request by Mr. Reheel Malik 29-Oct-2024');</v>
      </c>
      <c r="H69" s="50" t="str">
        <f t="shared" si="7"/>
        <v>insert into ins_premium_det (premium_rcv_code,assorted_code, rec_amount,premium_rcv_detail_code,remaining_amt, payrec, mode_code,coinsurance_code,class_cd,it_remarks) values('28Oct240058','070000165127','46429',(select max(to_number(i.premium_rcv_detail_code))+1
from ins_premium_det i),'46429','46429','02', '11000003','00','Request by Mr. Reheel Malik 29-Oct-2024');</v>
      </c>
    </row>
    <row r="70" spans="1:8" ht="105" x14ac:dyDescent="0.25">
      <c r="A70" s="28" t="s">
        <v>957</v>
      </c>
      <c r="B70" s="17" t="str">
        <f>VLOOKUP(A70,policy!B:C,2,0)</f>
        <v>070000165129</v>
      </c>
      <c r="C70" s="29">
        <v>39375</v>
      </c>
      <c r="D70" s="47">
        <f t="shared" si="5"/>
        <v>39375</v>
      </c>
      <c r="E70" s="46" t="s">
        <v>1857</v>
      </c>
      <c r="F70" s="48" t="str">
        <f t="shared" si="4"/>
        <v>insert into ins_premium_det (premium_rcv_code,assorted_code, rec_amount,premium_rcv_detail_code,remaining_amt, payrec, mode_code,coinsurance_code,class_cd,it_remarks) values</v>
      </c>
      <c r="G70" s="49" t="str">
        <f t="shared" si="6"/>
        <v>('28Oct240058','070000165129','39375',(select max(to_number(i.premium_rcv_detail_code))+1
from ins_premium_det i),'39375','39375','02', '11000003','00','Request by Mr. Reheel Malik 29-Oct-2024');</v>
      </c>
      <c r="H70" s="50" t="str">
        <f t="shared" si="7"/>
        <v>insert into ins_premium_det (premium_rcv_code,assorted_code, rec_amount,premium_rcv_detail_code,remaining_amt, payrec, mode_code,coinsurance_code,class_cd,it_remarks) values('28Oct240058','070000165129','39375',(select max(to_number(i.premium_rcv_detail_code))+1
from ins_premium_det i),'39375','39375','02', '11000003','00','Request by Mr. Reheel Malik 29-Oct-2024');</v>
      </c>
    </row>
    <row r="71" spans="1:8" ht="105" x14ac:dyDescent="0.25">
      <c r="A71" s="28" t="s">
        <v>964</v>
      </c>
      <c r="B71" s="17" t="str">
        <f>VLOOKUP(A71,policy!B:C,2,0)</f>
        <v>070000165130</v>
      </c>
      <c r="C71" s="29">
        <v>76725</v>
      </c>
      <c r="D71" s="47">
        <f t="shared" si="5"/>
        <v>76725</v>
      </c>
      <c r="E71" s="46" t="s">
        <v>1857</v>
      </c>
      <c r="F71" s="48" t="str">
        <f t="shared" si="4"/>
        <v>insert into ins_premium_det (premium_rcv_code,assorted_code, rec_amount,premium_rcv_detail_code,remaining_amt, payrec, mode_code,coinsurance_code,class_cd,it_remarks) values</v>
      </c>
      <c r="G71" s="49" t="str">
        <f t="shared" si="6"/>
        <v>('28Oct240058','070000165130','76725',(select max(to_number(i.premium_rcv_detail_code))+1
from ins_premium_det i),'76725','76725','02', '11000003','00','Request by Mr. Reheel Malik 29-Oct-2024');</v>
      </c>
      <c r="H71" s="50" t="str">
        <f t="shared" si="7"/>
        <v>insert into ins_premium_det (premium_rcv_code,assorted_code, rec_amount,premium_rcv_detail_code,remaining_amt, payrec, mode_code,coinsurance_code,class_cd,it_remarks) values('28Oct240058','070000165130','76725',(select max(to_number(i.premium_rcv_detail_code))+1
from ins_premium_det i),'76725','76725','02', '11000003','00','Request by Mr. Reheel Malik 29-Oct-2024');</v>
      </c>
    </row>
    <row r="72" spans="1:8" ht="105" x14ac:dyDescent="0.25">
      <c r="A72" s="28" t="s">
        <v>971</v>
      </c>
      <c r="B72" s="17" t="str">
        <f>VLOOKUP(A72,policy!B:C,2,0)</f>
        <v>070000165131</v>
      </c>
      <c r="C72" s="29">
        <v>32813</v>
      </c>
      <c r="D72" s="47">
        <f t="shared" si="5"/>
        <v>32813</v>
      </c>
      <c r="E72" s="46" t="s">
        <v>1857</v>
      </c>
      <c r="F72" s="48" t="str">
        <f t="shared" si="4"/>
        <v>insert into ins_premium_det (premium_rcv_code,assorted_code, rec_amount,premium_rcv_detail_code,remaining_amt, payrec, mode_code,coinsurance_code,class_cd,it_remarks) values</v>
      </c>
      <c r="G72" s="49" t="str">
        <f t="shared" si="6"/>
        <v>('28Oct240058','070000165131','32813',(select max(to_number(i.premium_rcv_detail_code))+1
from ins_premium_det i),'32813','32813','02', '11000003','00','Request by Mr. Reheel Malik 29-Oct-2024');</v>
      </c>
      <c r="H72" s="50" t="str">
        <f t="shared" si="7"/>
        <v>insert into ins_premium_det (premium_rcv_code,assorted_code, rec_amount,premium_rcv_detail_code,remaining_amt, payrec, mode_code,coinsurance_code,class_cd,it_remarks) values('28Oct240058','070000165131','32813',(select max(to_number(i.premium_rcv_detail_code))+1
from ins_premium_det i),'32813','32813','02', '11000003','00','Request by Mr. Reheel Malik 29-Oct-2024');</v>
      </c>
    </row>
    <row r="73" spans="1:8" ht="105" x14ac:dyDescent="0.25">
      <c r="A73" s="28" t="s">
        <v>979</v>
      </c>
      <c r="B73" s="17" t="str">
        <f>VLOOKUP(A73,policy!B:C,2,0)</f>
        <v>070000165133</v>
      </c>
      <c r="C73" s="29">
        <v>45591</v>
      </c>
      <c r="D73" s="47">
        <f t="shared" si="5"/>
        <v>45591</v>
      </c>
      <c r="E73" s="46" t="s">
        <v>1857</v>
      </c>
      <c r="F73" s="48" t="str">
        <f t="shared" si="4"/>
        <v>insert into ins_premium_det (premium_rcv_code,assorted_code, rec_amount,premium_rcv_detail_code,remaining_amt, payrec, mode_code,coinsurance_code,class_cd,it_remarks) values</v>
      </c>
      <c r="G73" s="49" t="str">
        <f t="shared" si="6"/>
        <v>('28Oct240058','070000165133','45591',(select max(to_number(i.premium_rcv_detail_code))+1
from ins_premium_det i),'45591','45591','02', '11000003','00','Request by Mr. Reheel Malik 29-Oct-2024');</v>
      </c>
      <c r="H73" s="50" t="str">
        <f t="shared" si="7"/>
        <v>insert into ins_premium_det (premium_rcv_code,assorted_code, rec_amount,premium_rcv_detail_code,remaining_amt, payrec, mode_code,coinsurance_code,class_cd,it_remarks) values('28Oct240058','070000165133','45591',(select max(to_number(i.premium_rcv_detail_code))+1
from ins_premium_det i),'45591','45591','02', '11000003','00','Request by Mr. Reheel Malik 29-Oct-2024');</v>
      </c>
    </row>
    <row r="74" spans="1:8" ht="105" x14ac:dyDescent="0.25">
      <c r="A74" s="28" t="s">
        <v>987</v>
      </c>
      <c r="B74" s="17" t="str">
        <f>VLOOKUP(A74,policy!B:C,2,0)</f>
        <v>070000165134</v>
      </c>
      <c r="C74" s="29">
        <v>53156</v>
      </c>
      <c r="D74" s="47">
        <f t="shared" si="5"/>
        <v>53156</v>
      </c>
      <c r="E74" s="46" t="s">
        <v>1857</v>
      </c>
      <c r="F74" s="48" t="str">
        <f t="shared" si="4"/>
        <v>insert into ins_premium_det (premium_rcv_code,assorted_code, rec_amount,premium_rcv_detail_code,remaining_amt, payrec, mode_code,coinsurance_code,class_cd,it_remarks) values</v>
      </c>
      <c r="G74" s="49" t="str">
        <f t="shared" si="6"/>
        <v>('28Oct240058','070000165134','53156',(select max(to_number(i.premium_rcv_detail_code))+1
from ins_premium_det i),'53156','53156','02', '11000003','00','Request by Mr. Reheel Malik 29-Oct-2024');</v>
      </c>
      <c r="H74" s="50" t="str">
        <f t="shared" si="7"/>
        <v>insert into ins_premium_det (premium_rcv_code,assorted_code, rec_amount,premium_rcv_detail_code,remaining_amt, payrec, mode_code,coinsurance_code,class_cd,it_remarks) values('28Oct240058','070000165134','53156',(select max(to_number(i.premium_rcv_detail_code))+1
from ins_premium_det i),'53156','53156','02', '11000003','00','Request by Mr. Reheel Malik 29-Oct-2024');</v>
      </c>
    </row>
    <row r="75" spans="1:8" ht="105" x14ac:dyDescent="0.25">
      <c r="A75" s="28" t="s">
        <v>993</v>
      </c>
      <c r="B75" s="17" t="str">
        <f>VLOOKUP(A75,policy!B:C,2,0)</f>
        <v>070000165113</v>
      </c>
      <c r="C75" s="29">
        <v>78750</v>
      </c>
      <c r="D75" s="47">
        <f t="shared" si="5"/>
        <v>78750</v>
      </c>
      <c r="E75" s="46" t="s">
        <v>1857</v>
      </c>
      <c r="F75" s="48" t="str">
        <f t="shared" si="4"/>
        <v>insert into ins_premium_det (premium_rcv_code,assorted_code, rec_amount,premium_rcv_detail_code,remaining_amt, payrec, mode_code,coinsurance_code,class_cd,it_remarks) values</v>
      </c>
      <c r="G75" s="49" t="str">
        <f t="shared" si="6"/>
        <v>('28Oct240058','070000165113','78750',(select max(to_number(i.premium_rcv_detail_code))+1
from ins_premium_det i),'78750','78750','02', '11000003','00','Request by Mr. Reheel Malik 29-Oct-2024');</v>
      </c>
      <c r="H75" s="50" t="str">
        <f t="shared" si="7"/>
        <v>insert into ins_premium_det (premium_rcv_code,assorted_code, rec_amount,premium_rcv_detail_code,remaining_amt, payrec, mode_code,coinsurance_code,class_cd,it_remarks) values('28Oct240058','070000165113','78750',(select max(to_number(i.premium_rcv_detail_code))+1
from ins_premium_det i),'78750','78750','02', '11000003','00','Request by Mr. Reheel Malik 29-Oct-2024');</v>
      </c>
    </row>
    <row r="76" spans="1:8" ht="105" x14ac:dyDescent="0.25">
      <c r="A76" s="28" t="s">
        <v>1001</v>
      </c>
      <c r="B76" s="17" t="str">
        <f>VLOOKUP(A76,policy!B:C,2,0)</f>
        <v>070000165135</v>
      </c>
      <c r="C76" s="29">
        <v>42750</v>
      </c>
      <c r="D76" s="47">
        <f t="shared" si="5"/>
        <v>42750</v>
      </c>
      <c r="E76" s="46" t="s">
        <v>1857</v>
      </c>
      <c r="F76" s="48" t="str">
        <f t="shared" si="4"/>
        <v>insert into ins_premium_det (premium_rcv_code,assorted_code, rec_amount,premium_rcv_detail_code,remaining_amt, payrec, mode_code,coinsurance_code,class_cd,it_remarks) values</v>
      </c>
      <c r="G76" s="49" t="str">
        <f t="shared" si="6"/>
        <v>('28Oct240058','070000165135','42750',(select max(to_number(i.premium_rcv_detail_code))+1
from ins_premium_det i),'42750','42750','02', '11000003','00','Request by Mr. Reheel Malik 29-Oct-2024');</v>
      </c>
      <c r="H76" s="50" t="str">
        <f t="shared" si="7"/>
        <v>insert into ins_premium_det (premium_rcv_code,assorted_code, rec_amount,premium_rcv_detail_code,remaining_amt, payrec, mode_code,coinsurance_code,class_cd,it_remarks) values('28Oct240058','070000165135','42750',(select max(to_number(i.premium_rcv_detail_code))+1
from ins_premium_det i),'42750','42750','02', '11000003','00','Request by Mr. Reheel Malik 29-Oct-2024');</v>
      </c>
    </row>
    <row r="77" spans="1:8" ht="105" x14ac:dyDescent="0.25">
      <c r="A77" s="28" t="s">
        <v>1008</v>
      </c>
      <c r="B77" s="17" t="str">
        <f>VLOOKUP(A77,policy!B:C,2,0)</f>
        <v>070000165136</v>
      </c>
      <c r="C77" s="29">
        <v>73350</v>
      </c>
      <c r="D77" s="47">
        <f t="shared" si="5"/>
        <v>73350</v>
      </c>
      <c r="E77" s="46" t="s">
        <v>1857</v>
      </c>
      <c r="F77" s="48" t="str">
        <f t="shared" si="4"/>
        <v>insert into ins_premium_det (premium_rcv_code,assorted_code, rec_amount,premium_rcv_detail_code,remaining_amt, payrec, mode_code,coinsurance_code,class_cd,it_remarks) values</v>
      </c>
      <c r="G77" s="49" t="str">
        <f t="shared" si="6"/>
        <v>('28Oct240058','070000165136','73350',(select max(to_number(i.premium_rcv_detail_code))+1
from ins_premium_det i),'73350','73350','02', '11000003','00','Request by Mr. Reheel Malik 29-Oct-2024');</v>
      </c>
      <c r="H77" s="50" t="str">
        <f t="shared" si="7"/>
        <v>insert into ins_premium_det (premium_rcv_code,assorted_code, rec_amount,premium_rcv_detail_code,remaining_amt, payrec, mode_code,coinsurance_code,class_cd,it_remarks) values('28Oct240058','070000165136','73350',(select max(to_number(i.premium_rcv_detail_code))+1
from ins_premium_det i),'73350','73350','02', '11000003','00','Request by Mr. Reheel Malik 29-Oct-2024');</v>
      </c>
    </row>
    <row r="78" spans="1:8" ht="105" x14ac:dyDescent="0.25">
      <c r="A78" s="28" t="s">
        <v>1016</v>
      </c>
      <c r="B78" s="17" t="str">
        <f>VLOOKUP(A78,policy!B:C,2,0)</f>
        <v>070000165137</v>
      </c>
      <c r="C78" s="29">
        <v>47672</v>
      </c>
      <c r="D78" s="47">
        <f t="shared" si="5"/>
        <v>47672</v>
      </c>
      <c r="E78" s="46" t="s">
        <v>1857</v>
      </c>
      <c r="F78" s="48" t="str">
        <f t="shared" si="4"/>
        <v>insert into ins_premium_det (premium_rcv_code,assorted_code, rec_amount,premium_rcv_detail_code,remaining_amt, payrec, mode_code,coinsurance_code,class_cd,it_remarks) values</v>
      </c>
      <c r="G78" s="49" t="str">
        <f t="shared" si="6"/>
        <v>('28Oct240058','070000165137','47672',(select max(to_number(i.premium_rcv_detail_code))+1
from ins_premium_det i),'47672','47672','02', '11000003','00','Request by Mr. Reheel Malik 29-Oct-2024');</v>
      </c>
      <c r="H78" s="50" t="str">
        <f t="shared" si="7"/>
        <v>insert into ins_premium_det (premium_rcv_code,assorted_code, rec_amount,premium_rcv_detail_code,remaining_amt, payrec, mode_code,coinsurance_code,class_cd,it_remarks) values('28Oct240058','070000165137','47672',(select max(to_number(i.premium_rcv_detail_code))+1
from ins_premium_det i),'47672','47672','02', '11000003','00','Request by Mr. Reheel Malik 29-Oct-2024');</v>
      </c>
    </row>
    <row r="79" spans="1:8" ht="105" x14ac:dyDescent="0.25">
      <c r="A79" s="28" t="s">
        <v>1023</v>
      </c>
      <c r="B79" s="17" t="str">
        <f>VLOOKUP(A79,policy!B:C,2,0)</f>
        <v>070000165139</v>
      </c>
      <c r="C79" s="29">
        <v>25106</v>
      </c>
      <c r="D79" s="47">
        <f t="shared" si="5"/>
        <v>25106</v>
      </c>
      <c r="E79" s="46" t="s">
        <v>1857</v>
      </c>
      <c r="F79" s="48" t="str">
        <f t="shared" si="4"/>
        <v>insert into ins_premium_det (premium_rcv_code,assorted_code, rec_amount,premium_rcv_detail_code,remaining_amt, payrec, mode_code,coinsurance_code,class_cd,it_remarks) values</v>
      </c>
      <c r="G79" s="49" t="str">
        <f t="shared" si="6"/>
        <v>('28Oct240058','070000165139','25106',(select max(to_number(i.premium_rcv_detail_code))+1
from ins_premium_det i),'25106','25106','02', '11000003','00','Request by Mr. Reheel Malik 29-Oct-2024');</v>
      </c>
      <c r="H79" s="50" t="str">
        <f t="shared" si="7"/>
        <v>insert into ins_premium_det (premium_rcv_code,assorted_code, rec_amount,premium_rcv_detail_code,remaining_amt, payrec, mode_code,coinsurance_code,class_cd,it_remarks) values('28Oct240058','070000165139','25106',(select max(to_number(i.premium_rcv_detail_code))+1
from ins_premium_det i),'25106','25106','02', '11000003','00','Request by Mr. Reheel Malik 29-Oct-2024');</v>
      </c>
    </row>
    <row r="80" spans="1:8" ht="105" x14ac:dyDescent="0.25">
      <c r="A80" s="28" t="s">
        <v>1029</v>
      </c>
      <c r="B80" s="17" t="str">
        <f>VLOOKUP(A80,policy!B:C,2,0)</f>
        <v>070000165141</v>
      </c>
      <c r="C80" s="29">
        <v>26213</v>
      </c>
      <c r="D80" s="47">
        <f t="shared" si="5"/>
        <v>26213</v>
      </c>
      <c r="E80" s="46" t="s">
        <v>1857</v>
      </c>
      <c r="F80" s="48" t="str">
        <f t="shared" si="4"/>
        <v>insert into ins_premium_det (premium_rcv_code,assorted_code, rec_amount,premium_rcv_detail_code,remaining_amt, payrec, mode_code,coinsurance_code,class_cd,it_remarks) values</v>
      </c>
      <c r="G80" s="49" t="str">
        <f t="shared" si="6"/>
        <v>('28Oct240058','070000165141','26213',(select max(to_number(i.premium_rcv_detail_code))+1
from ins_premium_det i),'26213','26213','02', '11000003','00','Request by Mr. Reheel Malik 29-Oct-2024');</v>
      </c>
      <c r="H80" s="50" t="str">
        <f t="shared" si="7"/>
        <v>insert into ins_premium_det (premium_rcv_code,assorted_code, rec_amount,premium_rcv_detail_code,remaining_amt, payrec, mode_code,coinsurance_code,class_cd,it_remarks) values('28Oct240058','070000165141','26213',(select max(to_number(i.premium_rcv_detail_code))+1
from ins_premium_det i),'26213','26213','02', '11000003','00','Request by Mr. Reheel Malik 29-Oct-2024');</v>
      </c>
    </row>
    <row r="81" spans="1:8" ht="105" x14ac:dyDescent="0.25">
      <c r="A81" s="28" t="s">
        <v>1036</v>
      </c>
      <c r="B81" s="17" t="str">
        <f>VLOOKUP(A81,policy!B:C,2,0)</f>
        <v>070000165142</v>
      </c>
      <c r="C81" s="29">
        <v>21263</v>
      </c>
      <c r="D81" s="47">
        <f t="shared" si="5"/>
        <v>21263</v>
      </c>
      <c r="E81" s="46" t="s">
        <v>1857</v>
      </c>
      <c r="F81" s="48" t="str">
        <f t="shared" si="4"/>
        <v>insert into ins_premium_det (premium_rcv_code,assorted_code, rec_amount,premium_rcv_detail_code,remaining_amt, payrec, mode_code,coinsurance_code,class_cd,it_remarks) values</v>
      </c>
      <c r="G81" s="49" t="str">
        <f t="shared" si="6"/>
        <v>('28Oct240058','070000165142','21263',(select max(to_number(i.premium_rcv_detail_code))+1
from ins_premium_det i),'21263','21263','02', '11000003','00','Request by Mr. Reheel Malik 29-Oct-2024');</v>
      </c>
      <c r="H81" s="50" t="str">
        <f t="shared" si="7"/>
        <v>insert into ins_premium_det (premium_rcv_code,assorted_code, rec_amount,premium_rcv_detail_code,remaining_amt, payrec, mode_code,coinsurance_code,class_cd,it_remarks) values('28Oct240058','070000165142','21263',(select max(to_number(i.premium_rcv_detail_code))+1
from ins_premium_det i),'21263','21263','02', '11000003','00','Request by Mr. Reheel Malik 29-Oct-2024');</v>
      </c>
    </row>
    <row r="82" spans="1:8" ht="105" x14ac:dyDescent="0.25">
      <c r="A82" s="28" t="s">
        <v>1043</v>
      </c>
      <c r="B82" s="17" t="str">
        <f>VLOOKUP(A82,policy!B:C,2,0)</f>
        <v>070000165143</v>
      </c>
      <c r="C82" s="29">
        <v>33375</v>
      </c>
      <c r="D82" s="47">
        <f t="shared" si="5"/>
        <v>33375</v>
      </c>
      <c r="E82" s="46" t="s">
        <v>1857</v>
      </c>
      <c r="F82" s="48" t="str">
        <f t="shared" si="4"/>
        <v>insert into ins_premium_det (premium_rcv_code,assorted_code, rec_amount,premium_rcv_detail_code,remaining_amt, payrec, mode_code,coinsurance_code,class_cd,it_remarks) values</v>
      </c>
      <c r="G82" s="49" t="str">
        <f t="shared" si="6"/>
        <v>('28Oct240058','070000165143','33375',(select max(to_number(i.premium_rcv_detail_code))+1
from ins_premium_det i),'33375','33375','02', '11000003','00','Request by Mr. Reheel Malik 29-Oct-2024');</v>
      </c>
      <c r="H82" s="50" t="str">
        <f t="shared" si="7"/>
        <v>insert into ins_premium_det (premium_rcv_code,assorted_code, rec_amount,premium_rcv_detail_code,remaining_amt, payrec, mode_code,coinsurance_code,class_cd,it_remarks) values('28Oct240058','070000165143','33375',(select max(to_number(i.premium_rcv_detail_code))+1
from ins_premium_det i),'33375','33375','02', '11000003','00','Request by Mr. Reheel Malik 29-Oct-2024');</v>
      </c>
    </row>
    <row r="83" spans="1:8" ht="105" x14ac:dyDescent="0.25">
      <c r="A83" s="28" t="s">
        <v>1050</v>
      </c>
      <c r="B83" s="17" t="str">
        <f>VLOOKUP(A83,policy!B:C,2,0)</f>
        <v>070000165144</v>
      </c>
      <c r="C83" s="29">
        <v>39319</v>
      </c>
      <c r="D83" s="47">
        <f t="shared" si="5"/>
        <v>39319</v>
      </c>
      <c r="E83" s="46" t="s">
        <v>1857</v>
      </c>
      <c r="F83" s="48" t="str">
        <f t="shared" si="4"/>
        <v>insert into ins_premium_det (premium_rcv_code,assorted_code, rec_amount,premium_rcv_detail_code,remaining_amt, payrec, mode_code,coinsurance_code,class_cd,it_remarks) values</v>
      </c>
      <c r="G83" s="49" t="str">
        <f t="shared" si="6"/>
        <v>('28Oct240058','070000165144','39319',(select max(to_number(i.premium_rcv_detail_code))+1
from ins_premium_det i),'39319','39319','02', '11000003','00','Request by Mr. Reheel Malik 29-Oct-2024');</v>
      </c>
      <c r="H83" s="50" t="str">
        <f t="shared" si="7"/>
        <v>insert into ins_premium_det (premium_rcv_code,assorted_code, rec_amount,premium_rcv_detail_code,remaining_amt, payrec, mode_code,coinsurance_code,class_cd,it_remarks) values('28Oct240058','070000165144','39319',(select max(to_number(i.premium_rcv_detail_code))+1
from ins_premium_det i),'39319','39319','02', '11000003','00','Request by Mr. Reheel Malik 29-Oct-2024');</v>
      </c>
    </row>
    <row r="84" spans="1:8" ht="105" x14ac:dyDescent="0.25">
      <c r="A84" s="28" t="s">
        <v>1056</v>
      </c>
      <c r="B84" s="17" t="str">
        <f>VLOOKUP(A84,policy!B:C,2,0)</f>
        <v>070000165145</v>
      </c>
      <c r="C84" s="29">
        <v>46513</v>
      </c>
      <c r="D84" s="47">
        <f t="shared" si="5"/>
        <v>46513</v>
      </c>
      <c r="E84" s="46" t="s">
        <v>1857</v>
      </c>
      <c r="F84" s="48" t="str">
        <f t="shared" si="4"/>
        <v>insert into ins_premium_det (premium_rcv_code,assorted_code, rec_amount,premium_rcv_detail_code,remaining_amt, payrec, mode_code,coinsurance_code,class_cd,it_remarks) values</v>
      </c>
      <c r="G84" s="49" t="str">
        <f t="shared" si="6"/>
        <v>('28Oct240058','070000165145','46513',(select max(to_number(i.premium_rcv_detail_code))+1
from ins_premium_det i),'46513','46513','02', '11000003','00','Request by Mr. Reheel Malik 29-Oct-2024');</v>
      </c>
      <c r="H84" s="50" t="str">
        <f t="shared" si="7"/>
        <v>insert into ins_premium_det (premium_rcv_code,assorted_code, rec_amount,premium_rcv_detail_code,remaining_amt, payrec, mode_code,coinsurance_code,class_cd,it_remarks) values('28Oct240058','070000165145','46513',(select max(to_number(i.premium_rcv_detail_code))+1
from ins_premium_det i),'46513','46513','02', '11000003','00','Request by Mr. Reheel Malik 29-Oct-2024');</v>
      </c>
    </row>
    <row r="85" spans="1:8" ht="105" x14ac:dyDescent="0.25">
      <c r="A85" s="28" t="s">
        <v>1063</v>
      </c>
      <c r="B85" s="17" t="str">
        <f>VLOOKUP(A85,policy!B:C,2,0)</f>
        <v>070000165146</v>
      </c>
      <c r="C85" s="29">
        <v>60739</v>
      </c>
      <c r="D85" s="47">
        <f t="shared" si="5"/>
        <v>60739</v>
      </c>
      <c r="E85" s="46" t="s">
        <v>1857</v>
      </c>
      <c r="F85" s="48" t="str">
        <f t="shared" si="4"/>
        <v>insert into ins_premium_det (premium_rcv_code,assorted_code, rec_amount,premium_rcv_detail_code,remaining_amt, payrec, mode_code,coinsurance_code,class_cd,it_remarks) values</v>
      </c>
      <c r="G85" s="49" t="str">
        <f t="shared" si="6"/>
        <v>('28Oct240058','070000165146','60739',(select max(to_number(i.premium_rcv_detail_code))+1
from ins_premium_det i),'60739','60739','02', '11000003','00','Request by Mr. Reheel Malik 29-Oct-2024');</v>
      </c>
      <c r="H85" s="50" t="str">
        <f t="shared" si="7"/>
        <v>insert into ins_premium_det (premium_rcv_code,assorted_code, rec_amount,premium_rcv_detail_code,remaining_amt, payrec, mode_code,coinsurance_code,class_cd,it_remarks) values('28Oct240058','070000165146','60739',(select max(to_number(i.premium_rcv_detail_code))+1
from ins_premium_det i),'60739','60739','02', '11000003','00','Request by Mr. Reheel Malik 29-Oct-2024');</v>
      </c>
    </row>
    <row r="86" spans="1:8" ht="105" x14ac:dyDescent="0.25">
      <c r="A86" s="28" t="s">
        <v>1069</v>
      </c>
      <c r="B86" s="17" t="str">
        <f>VLOOKUP(A86,policy!B:C,2,0)</f>
        <v>070000165114</v>
      </c>
      <c r="C86" s="29">
        <v>40500</v>
      </c>
      <c r="D86" s="47">
        <f t="shared" si="5"/>
        <v>40500</v>
      </c>
      <c r="E86" s="46" t="s">
        <v>1857</v>
      </c>
      <c r="F86" s="48" t="str">
        <f t="shared" si="4"/>
        <v>insert into ins_premium_det (premium_rcv_code,assorted_code, rec_amount,premium_rcv_detail_code,remaining_amt, payrec, mode_code,coinsurance_code,class_cd,it_remarks) values</v>
      </c>
      <c r="G86" s="49" t="str">
        <f t="shared" si="6"/>
        <v>('28Oct240058','070000165114','40500',(select max(to_number(i.premium_rcv_detail_code))+1
from ins_premium_det i),'40500','40500','02', '11000003','00','Request by Mr. Reheel Malik 29-Oct-2024');</v>
      </c>
      <c r="H86" s="50" t="str">
        <f t="shared" si="7"/>
        <v>insert into ins_premium_det (premium_rcv_code,assorted_code, rec_amount,premium_rcv_detail_code,remaining_amt, payrec, mode_code,coinsurance_code,class_cd,it_remarks) values('28Oct240058','070000165114','40500',(select max(to_number(i.premium_rcv_detail_code))+1
from ins_premium_det i),'40500','40500','02', '11000003','00','Request by Mr. Reheel Malik 29-Oct-2024');</v>
      </c>
    </row>
    <row r="87" spans="1:8" ht="105" x14ac:dyDescent="0.25">
      <c r="A87" s="28" t="s">
        <v>1077</v>
      </c>
      <c r="B87" s="17" t="str">
        <f>VLOOKUP(A87,policy!B:C,2,0)</f>
        <v>070000165147</v>
      </c>
      <c r="C87" s="29">
        <v>26213</v>
      </c>
      <c r="D87" s="47">
        <f t="shared" si="5"/>
        <v>26213</v>
      </c>
      <c r="E87" s="46" t="s">
        <v>1857</v>
      </c>
      <c r="F87" s="48" t="str">
        <f t="shared" si="4"/>
        <v>insert into ins_premium_det (premium_rcv_code,assorted_code, rec_amount,premium_rcv_detail_code,remaining_amt, payrec, mode_code,coinsurance_code,class_cd,it_remarks) values</v>
      </c>
      <c r="G87" s="49" t="str">
        <f t="shared" si="6"/>
        <v>('28Oct240058','070000165147','26213',(select max(to_number(i.premium_rcv_detail_code))+1
from ins_premium_det i),'26213','26213','02', '11000003','00','Request by Mr. Reheel Malik 29-Oct-2024');</v>
      </c>
      <c r="H87" s="50" t="str">
        <f t="shared" si="7"/>
        <v>insert into ins_premium_det (premium_rcv_code,assorted_code, rec_amount,premium_rcv_detail_code,remaining_amt, payrec, mode_code,coinsurance_code,class_cd,it_remarks) values('28Oct240058','070000165147','26213',(select max(to_number(i.premium_rcv_detail_code))+1
from ins_premium_det i),'26213','26213','02', '11000003','00','Request by Mr. Reheel Malik 29-Oct-2024');</v>
      </c>
    </row>
    <row r="88" spans="1:8" ht="105" x14ac:dyDescent="0.25">
      <c r="A88" s="28" t="s">
        <v>1084</v>
      </c>
      <c r="B88" s="17" t="str">
        <f>VLOOKUP(A88,policy!B:C,2,0)</f>
        <v>070000165148</v>
      </c>
      <c r="C88" s="29">
        <v>29963</v>
      </c>
      <c r="D88" s="47">
        <f t="shared" si="5"/>
        <v>29963</v>
      </c>
      <c r="E88" s="46" t="s">
        <v>1857</v>
      </c>
      <c r="F88" s="48" t="str">
        <f t="shared" si="4"/>
        <v>insert into ins_premium_det (premium_rcv_code,assorted_code, rec_amount,premium_rcv_detail_code,remaining_amt, payrec, mode_code,coinsurance_code,class_cd,it_remarks) values</v>
      </c>
      <c r="G88" s="49" t="str">
        <f t="shared" si="6"/>
        <v>('28Oct240058','070000165148','29963',(select max(to_number(i.premium_rcv_detail_code))+1
from ins_premium_det i),'29963','29963','02', '11000003','00','Request by Mr. Reheel Malik 29-Oct-2024');</v>
      </c>
      <c r="H88" s="50" t="str">
        <f t="shared" si="7"/>
        <v>insert into ins_premium_det (premium_rcv_code,assorted_code, rec_amount,premium_rcv_detail_code,remaining_amt, payrec, mode_code,coinsurance_code,class_cd,it_remarks) values('28Oct240058','070000165148','29963',(select max(to_number(i.premium_rcv_detail_code))+1
from ins_premium_det i),'29963','29963','02', '11000003','00','Request by Mr. Reheel Malik 29-Oct-2024');</v>
      </c>
    </row>
    <row r="89" spans="1:8" ht="105" x14ac:dyDescent="0.25">
      <c r="A89" s="28" t="s">
        <v>1091</v>
      </c>
      <c r="B89" s="17" t="str">
        <f>VLOOKUP(A89,policy!B:C,2,0)</f>
        <v>070000165149</v>
      </c>
      <c r="C89" s="29">
        <v>50625</v>
      </c>
      <c r="D89" s="47">
        <f t="shared" si="5"/>
        <v>50625</v>
      </c>
      <c r="E89" s="46" t="s">
        <v>1857</v>
      </c>
      <c r="F89" s="48" t="str">
        <f t="shared" si="4"/>
        <v>insert into ins_premium_det (premium_rcv_code,assorted_code, rec_amount,premium_rcv_detail_code,remaining_amt, payrec, mode_code,coinsurance_code,class_cd,it_remarks) values</v>
      </c>
      <c r="G89" s="49" t="str">
        <f t="shared" si="6"/>
        <v>('28Oct240058','070000165149','50625',(select max(to_number(i.premium_rcv_detail_code))+1
from ins_premium_det i),'50625','50625','02', '11000003','00','Request by Mr. Reheel Malik 29-Oct-2024');</v>
      </c>
      <c r="H89" s="50" t="str">
        <f t="shared" si="7"/>
        <v>insert into ins_premium_det (premium_rcv_code,assorted_code, rec_amount,premium_rcv_detail_code,remaining_amt, payrec, mode_code,coinsurance_code,class_cd,it_remarks) values('28Oct240058','070000165149','50625',(select max(to_number(i.premium_rcv_detail_code))+1
from ins_premium_det i),'50625','50625','02', '11000003','00','Request by Mr. Reheel Malik 29-Oct-2024');</v>
      </c>
    </row>
    <row r="90" spans="1:8" ht="105" x14ac:dyDescent="0.25">
      <c r="A90" s="28" t="s">
        <v>1098</v>
      </c>
      <c r="B90" s="17" t="str">
        <f>VLOOKUP(A90,policy!B:C,2,0)</f>
        <v>070000165150</v>
      </c>
      <c r="C90" s="29">
        <v>46429</v>
      </c>
      <c r="D90" s="47">
        <f t="shared" si="5"/>
        <v>46429</v>
      </c>
      <c r="E90" s="46" t="s">
        <v>1857</v>
      </c>
      <c r="F90" s="48" t="str">
        <f t="shared" si="4"/>
        <v>insert into ins_premium_det (premium_rcv_code,assorted_code, rec_amount,premium_rcv_detail_code,remaining_amt, payrec, mode_code,coinsurance_code,class_cd,it_remarks) values</v>
      </c>
      <c r="G90" s="49" t="str">
        <f t="shared" si="6"/>
        <v>('28Oct240058','070000165150','46429',(select max(to_number(i.premium_rcv_detail_code))+1
from ins_premium_det i),'46429','46429','02', '11000003','00','Request by Mr. Reheel Malik 29-Oct-2024');</v>
      </c>
      <c r="H90" s="50" t="str">
        <f t="shared" si="7"/>
        <v>insert into ins_premium_det (premium_rcv_code,assorted_code, rec_amount,premium_rcv_detail_code,remaining_amt, payrec, mode_code,coinsurance_code,class_cd,it_remarks) values('28Oct240058','070000165150','46429',(select max(to_number(i.premium_rcv_detail_code))+1
from ins_premium_det i),'46429','46429','02', '11000003','00','Request by Mr. Reheel Malik 29-Oct-2024');</v>
      </c>
    </row>
    <row r="91" spans="1:8" ht="105" x14ac:dyDescent="0.25">
      <c r="A91" s="28" t="s">
        <v>1105</v>
      </c>
      <c r="B91" s="17" t="str">
        <f>VLOOKUP(A91,policy!B:C,2,0)</f>
        <v>070000165152</v>
      </c>
      <c r="C91" s="29">
        <v>26213</v>
      </c>
      <c r="D91" s="47">
        <f t="shared" si="5"/>
        <v>26213</v>
      </c>
      <c r="E91" s="46" t="s">
        <v>1857</v>
      </c>
      <c r="F91" s="48" t="str">
        <f t="shared" si="4"/>
        <v>insert into ins_premium_det (premium_rcv_code,assorted_code, rec_amount,premium_rcv_detail_code,remaining_amt, payrec, mode_code,coinsurance_code,class_cd,it_remarks) values</v>
      </c>
      <c r="G91" s="49" t="str">
        <f t="shared" si="6"/>
        <v>('28Oct240058','070000165152','26213',(select max(to_number(i.premium_rcv_detail_code))+1
from ins_premium_det i),'26213','26213','02', '11000003','00','Request by Mr. Reheel Malik 29-Oct-2024');</v>
      </c>
      <c r="H91" s="50" t="str">
        <f t="shared" si="7"/>
        <v>insert into ins_premium_det (premium_rcv_code,assorted_code, rec_amount,premium_rcv_detail_code,remaining_amt, payrec, mode_code,coinsurance_code,class_cd,it_remarks) values('28Oct240058','070000165152','26213',(select max(to_number(i.premium_rcv_detail_code))+1
from ins_premium_det i),'26213','26213','02', '11000003','00','Request by Mr. Reheel Malik 29-Oct-2024');</v>
      </c>
    </row>
    <row r="92" spans="1:8" ht="105" x14ac:dyDescent="0.25">
      <c r="A92" s="28" t="s">
        <v>1111</v>
      </c>
      <c r="B92" s="17" t="str">
        <f>VLOOKUP(A92,policy!B:C,2,0)</f>
        <v>070000165153</v>
      </c>
      <c r="C92" s="29">
        <v>29963</v>
      </c>
      <c r="D92" s="47">
        <f t="shared" si="5"/>
        <v>29963</v>
      </c>
      <c r="E92" s="46" t="s">
        <v>1857</v>
      </c>
      <c r="F92" s="48" t="str">
        <f t="shared" si="4"/>
        <v>insert into ins_premium_det (premium_rcv_code,assorted_code, rec_amount,premium_rcv_detail_code,remaining_amt, payrec, mode_code,coinsurance_code,class_cd,it_remarks) values</v>
      </c>
      <c r="G92" s="49" t="str">
        <f t="shared" si="6"/>
        <v>('28Oct240058','070000165153','29963',(select max(to_number(i.premium_rcv_detail_code))+1
from ins_premium_det i),'29963','29963','02', '11000003','00','Request by Mr. Reheel Malik 29-Oct-2024');</v>
      </c>
      <c r="H92" s="50" t="str">
        <f t="shared" si="7"/>
        <v>insert into ins_premium_det (premium_rcv_code,assorted_code, rec_amount,premium_rcv_detail_code,remaining_amt, payrec, mode_code,coinsurance_code,class_cd,it_remarks) values('28Oct240058','070000165153','29963',(select max(to_number(i.premium_rcv_detail_code))+1
from ins_premium_det i),'29963','29963','02', '11000003','00','Request by Mr. Reheel Malik 29-Oct-2024');</v>
      </c>
    </row>
    <row r="93" spans="1:8" ht="105" x14ac:dyDescent="0.25">
      <c r="A93" s="28" t="s">
        <v>1118</v>
      </c>
      <c r="B93" s="17" t="str">
        <f>VLOOKUP(A93,policy!B:C,2,0)</f>
        <v>070000165154</v>
      </c>
      <c r="C93" s="29">
        <v>45469</v>
      </c>
      <c r="D93" s="47">
        <f t="shared" si="5"/>
        <v>45469</v>
      </c>
      <c r="E93" s="46" t="s">
        <v>1857</v>
      </c>
      <c r="F93" s="48" t="str">
        <f t="shared" si="4"/>
        <v>insert into ins_premium_det (premium_rcv_code,assorted_code, rec_amount,premium_rcv_detail_code,remaining_amt, payrec, mode_code,coinsurance_code,class_cd,it_remarks) values</v>
      </c>
      <c r="G93" s="49" t="str">
        <f t="shared" si="6"/>
        <v>('28Oct240058','070000165154','45469',(select max(to_number(i.premium_rcv_detail_code))+1
from ins_premium_det i),'45469','45469','02', '11000003','00','Request by Mr. Reheel Malik 29-Oct-2024');</v>
      </c>
      <c r="H93" s="50" t="str">
        <f t="shared" si="7"/>
        <v>insert into ins_premium_det (premium_rcv_code,assorted_code, rec_amount,premium_rcv_detail_code,remaining_amt, payrec, mode_code,coinsurance_code,class_cd,it_remarks) values('28Oct240058','070000165154','45469',(select max(to_number(i.premium_rcv_detail_code))+1
from ins_premium_det i),'45469','45469','02', '11000003','00','Request by Mr. Reheel Malik 29-Oct-2024');</v>
      </c>
    </row>
    <row r="94" spans="1:8" ht="105" x14ac:dyDescent="0.25">
      <c r="A94" s="28" t="s">
        <v>1126</v>
      </c>
      <c r="B94" s="17" t="str">
        <f>VLOOKUP(A94,policy!B:C,2,0)</f>
        <v>070000165155</v>
      </c>
      <c r="C94" s="29">
        <v>55463</v>
      </c>
      <c r="D94" s="47">
        <f t="shared" si="5"/>
        <v>55463</v>
      </c>
      <c r="E94" s="46" t="s">
        <v>1857</v>
      </c>
      <c r="F94" s="48" t="str">
        <f t="shared" si="4"/>
        <v>insert into ins_premium_det (premium_rcv_code,assorted_code, rec_amount,premium_rcv_detail_code,remaining_amt, payrec, mode_code,coinsurance_code,class_cd,it_remarks) values</v>
      </c>
      <c r="G94" s="49" t="str">
        <f t="shared" si="6"/>
        <v>('28Oct240058','070000165155','55463',(select max(to_number(i.premium_rcv_detail_code))+1
from ins_premium_det i),'55463','55463','02', '11000003','00','Request by Mr. Reheel Malik 29-Oct-2024');</v>
      </c>
      <c r="H94" s="50" t="str">
        <f t="shared" si="7"/>
        <v>insert into ins_premium_det (premium_rcv_code,assorted_code, rec_amount,premium_rcv_detail_code,remaining_amt, payrec, mode_code,coinsurance_code,class_cd,it_remarks) values('28Oct240058','070000165155','55463',(select max(to_number(i.premium_rcv_detail_code))+1
from ins_premium_det i),'55463','55463','02', '11000003','00','Request by Mr. Reheel Malik 29-Oct-2024');</v>
      </c>
    </row>
    <row r="95" spans="1:8" ht="105" x14ac:dyDescent="0.25">
      <c r="A95" s="28" t="s">
        <v>1132</v>
      </c>
      <c r="B95" s="17" t="str">
        <f>VLOOKUP(A95,policy!B:C,2,0)</f>
        <v>070000165157</v>
      </c>
      <c r="C95" s="29">
        <v>29963</v>
      </c>
      <c r="D95" s="47">
        <f t="shared" si="5"/>
        <v>29963</v>
      </c>
      <c r="E95" s="46" t="s">
        <v>1857</v>
      </c>
      <c r="F95" s="48" t="str">
        <f t="shared" si="4"/>
        <v>insert into ins_premium_det (premium_rcv_code,assorted_code, rec_amount,premium_rcv_detail_code,remaining_amt, payrec, mode_code,coinsurance_code,class_cd,it_remarks) values</v>
      </c>
      <c r="G95" s="49" t="str">
        <f t="shared" si="6"/>
        <v>('28Oct240058','070000165157','29963',(select max(to_number(i.premium_rcv_detail_code))+1
from ins_premium_det i),'29963','29963','02', '11000003','00','Request by Mr. Reheel Malik 29-Oct-2024');</v>
      </c>
      <c r="H95" s="50" t="str">
        <f t="shared" si="7"/>
        <v>insert into ins_premium_det (premium_rcv_code,assorted_code, rec_amount,premium_rcv_detail_code,remaining_amt, payrec, mode_code,coinsurance_code,class_cd,it_remarks) values('28Oct240058','070000165157','29963',(select max(to_number(i.premium_rcv_detail_code))+1
from ins_premium_det i),'29963','29963','02', '11000003','00','Request by Mr. Reheel Malik 29-Oct-2024');</v>
      </c>
    </row>
    <row r="96" spans="1:8" ht="105" x14ac:dyDescent="0.25">
      <c r="A96" s="28" t="s">
        <v>1139</v>
      </c>
      <c r="B96" s="17" t="str">
        <f>VLOOKUP(A96,policy!B:C,2,0)</f>
        <v>070000165159</v>
      </c>
      <c r="C96" s="29">
        <v>53906</v>
      </c>
      <c r="D96" s="47">
        <f t="shared" si="5"/>
        <v>53906</v>
      </c>
      <c r="E96" s="46" t="s">
        <v>1857</v>
      </c>
      <c r="F96" s="48" t="str">
        <f t="shared" si="4"/>
        <v>insert into ins_premium_det (premium_rcv_code,assorted_code, rec_amount,premium_rcv_detail_code,remaining_amt, payrec, mode_code,coinsurance_code,class_cd,it_remarks) values</v>
      </c>
      <c r="G96" s="49" t="str">
        <f t="shared" si="6"/>
        <v>('28Oct240058','070000165159','53906',(select max(to_number(i.premium_rcv_detail_code))+1
from ins_premium_det i),'53906','53906','02', '11000003','00','Request by Mr. Reheel Malik 29-Oct-2024');</v>
      </c>
      <c r="H96" s="50" t="str">
        <f t="shared" si="7"/>
        <v>insert into ins_premium_det (premium_rcv_code,assorted_code, rec_amount,premium_rcv_detail_code,remaining_amt, payrec, mode_code,coinsurance_code,class_cd,it_remarks) values('28Oct240058','070000165159','53906',(select max(to_number(i.premium_rcv_detail_code))+1
from ins_premium_det i),'53906','53906','02', '11000003','00','Request by Mr. Reheel Malik 29-Oct-2024');</v>
      </c>
    </row>
    <row r="97" spans="1:8" ht="105" x14ac:dyDescent="0.25">
      <c r="A97" s="28" t="s">
        <v>1146</v>
      </c>
      <c r="B97" s="17" t="str">
        <f>VLOOKUP(A97,policy!B:C,2,0)</f>
        <v>070000165115</v>
      </c>
      <c r="C97" s="29">
        <v>35438</v>
      </c>
      <c r="D97" s="47">
        <f t="shared" si="5"/>
        <v>35438</v>
      </c>
      <c r="E97" s="46" t="s">
        <v>1857</v>
      </c>
      <c r="F97" s="48" t="str">
        <f t="shared" si="4"/>
        <v>insert into ins_premium_det (premium_rcv_code,assorted_code, rec_amount,premium_rcv_detail_code,remaining_amt, payrec, mode_code,coinsurance_code,class_cd,it_remarks) values</v>
      </c>
      <c r="G97" s="49" t="str">
        <f t="shared" si="6"/>
        <v>('28Oct240058','070000165115','35438',(select max(to_number(i.premium_rcv_detail_code))+1
from ins_premium_det i),'35438','35438','02', '11000003','00','Request by Mr. Reheel Malik 29-Oct-2024');</v>
      </c>
      <c r="H97" s="50" t="str">
        <f t="shared" si="7"/>
        <v>insert into ins_premium_det (premium_rcv_code,assorted_code, rec_amount,premium_rcv_detail_code,remaining_amt, payrec, mode_code,coinsurance_code,class_cd,it_remarks) values('28Oct240058','070000165115','35438',(select max(to_number(i.premium_rcv_detail_code))+1
from ins_premium_det i),'35438','35438','02', '11000003','00','Request by Mr. Reheel Malik 29-Oct-2024');</v>
      </c>
    </row>
    <row r="98" spans="1:8" ht="105" x14ac:dyDescent="0.25">
      <c r="A98" s="28" t="s">
        <v>1153</v>
      </c>
      <c r="B98" s="17" t="str">
        <f>VLOOKUP(A98,policy!B:C,2,0)</f>
        <v>070000165160</v>
      </c>
      <c r="C98" s="29">
        <v>26213</v>
      </c>
      <c r="D98" s="47">
        <f t="shared" si="5"/>
        <v>26213</v>
      </c>
      <c r="E98" s="46" t="s">
        <v>1857</v>
      </c>
      <c r="F98" s="48" t="str">
        <f t="shared" si="4"/>
        <v>insert into ins_premium_det (premium_rcv_code,assorted_code, rec_amount,premium_rcv_detail_code,remaining_amt, payrec, mode_code,coinsurance_code,class_cd,it_remarks) values</v>
      </c>
      <c r="G98" s="49" t="str">
        <f t="shared" si="6"/>
        <v>('28Oct240058','070000165160','26213',(select max(to_number(i.premium_rcv_detail_code))+1
from ins_premium_det i),'26213','26213','02', '11000003','00','Request by Mr. Reheel Malik 29-Oct-2024');</v>
      </c>
      <c r="H98" s="50" t="str">
        <f t="shared" si="7"/>
        <v>insert into ins_premium_det (premium_rcv_code,assorted_code, rec_amount,premium_rcv_detail_code,remaining_amt, payrec, mode_code,coinsurance_code,class_cd,it_remarks) values('28Oct240058','070000165160','26213',(select max(to_number(i.premium_rcv_detail_code))+1
from ins_premium_det i),'26213','26213','02', '11000003','00','Request by Mr. Reheel Malik 29-Oct-2024');</v>
      </c>
    </row>
    <row r="99" spans="1:8" ht="105" x14ac:dyDescent="0.25">
      <c r="A99" s="28" t="s">
        <v>1160</v>
      </c>
      <c r="B99" s="17" t="str">
        <f>VLOOKUP(A99,policy!B:C,2,0)</f>
        <v>070000165161</v>
      </c>
      <c r="C99" s="29">
        <v>61088</v>
      </c>
      <c r="D99" s="47">
        <f t="shared" si="5"/>
        <v>61088</v>
      </c>
      <c r="E99" s="46" t="s">
        <v>1857</v>
      </c>
      <c r="F99" s="48" t="str">
        <f t="shared" si="4"/>
        <v>insert into ins_premium_det (premium_rcv_code,assorted_code, rec_amount,premium_rcv_detail_code,remaining_amt, payrec, mode_code,coinsurance_code,class_cd,it_remarks) values</v>
      </c>
      <c r="G99" s="49" t="str">
        <f t="shared" si="6"/>
        <v>('28Oct240058','070000165161','61088',(select max(to_number(i.premium_rcv_detail_code))+1
from ins_premium_det i),'61088','61088','02', '11000003','00','Request by Mr. Reheel Malik 29-Oct-2024');</v>
      </c>
      <c r="H99" s="50" t="str">
        <f t="shared" si="7"/>
        <v>insert into ins_premium_det (premium_rcv_code,assorted_code, rec_amount,premium_rcv_detail_code,remaining_amt, payrec, mode_code,coinsurance_code,class_cd,it_remarks) values('28Oct240058','070000165161','61088',(select max(to_number(i.premium_rcv_detail_code))+1
from ins_premium_det i),'61088','61088','02', '11000003','00','Request by Mr. Reheel Malik 29-Oct-2024');</v>
      </c>
    </row>
    <row r="100" spans="1:8" ht="105" x14ac:dyDescent="0.25">
      <c r="A100" s="28" t="s">
        <v>1166</v>
      </c>
      <c r="B100" s="17" t="str">
        <f>VLOOKUP(A100,policy!B:C,2,0)</f>
        <v>070000165162</v>
      </c>
      <c r="C100" s="29">
        <v>30094</v>
      </c>
      <c r="D100" s="47">
        <f t="shared" si="5"/>
        <v>30094</v>
      </c>
      <c r="E100" s="46" t="s">
        <v>1857</v>
      </c>
      <c r="F100" s="48" t="str">
        <f t="shared" si="4"/>
        <v>insert into ins_premium_det (premium_rcv_code,assorted_code, rec_amount,premium_rcv_detail_code,remaining_amt, payrec, mode_code,coinsurance_code,class_cd,it_remarks) values</v>
      </c>
      <c r="G100" s="49" t="str">
        <f t="shared" si="6"/>
        <v>('28Oct240058','070000165162','30094',(select max(to_number(i.premium_rcv_detail_code))+1
from ins_premium_det i),'30094','30094','02', '11000003','00','Request by Mr. Reheel Malik 29-Oct-2024');</v>
      </c>
      <c r="H100" s="50" t="str">
        <f t="shared" si="7"/>
        <v>insert into ins_premium_det (premium_rcv_code,assorted_code, rec_amount,premium_rcv_detail_code,remaining_amt, payrec, mode_code,coinsurance_code,class_cd,it_remarks) values('28Oct240058','070000165162','30094',(select max(to_number(i.premium_rcv_detail_code))+1
from ins_premium_det i),'30094','30094','02', '11000003','00','Request by Mr. Reheel Malik 29-Oct-2024');</v>
      </c>
    </row>
    <row r="101" spans="1:8" ht="105" x14ac:dyDescent="0.25">
      <c r="A101" s="28" t="s">
        <v>1173</v>
      </c>
      <c r="B101" s="17" t="str">
        <f>VLOOKUP(A101,policy!B:C,2,0)</f>
        <v>070000165163</v>
      </c>
      <c r="C101" s="29">
        <v>52500</v>
      </c>
      <c r="D101" s="47">
        <f t="shared" si="5"/>
        <v>52500</v>
      </c>
      <c r="E101" s="46" t="s">
        <v>1857</v>
      </c>
      <c r="F101" s="48" t="str">
        <f t="shared" si="4"/>
        <v>insert into ins_premium_det (premium_rcv_code,assorted_code, rec_amount,premium_rcv_detail_code,remaining_amt, payrec, mode_code,coinsurance_code,class_cd,it_remarks) values</v>
      </c>
      <c r="G101" s="49" t="str">
        <f t="shared" si="6"/>
        <v>('28Oct240058','070000165163','52500',(select max(to_number(i.premium_rcv_detail_code))+1
from ins_premium_det i),'52500','52500','02', '11000003','00','Request by Mr. Reheel Malik 29-Oct-2024');</v>
      </c>
      <c r="H101" s="50" t="str">
        <f t="shared" si="7"/>
        <v>insert into ins_premium_det (premium_rcv_code,assorted_code, rec_amount,premium_rcv_detail_code,remaining_amt, payrec, mode_code,coinsurance_code,class_cd,it_remarks) values('28Oct240058','070000165163','52500',(select max(to_number(i.premium_rcv_detail_code))+1
from ins_premium_det i),'52500','52500','02', '11000003','00','Request by Mr. Reheel Malik 29-Oct-2024');</v>
      </c>
    </row>
    <row r="102" spans="1:8" ht="105" x14ac:dyDescent="0.25">
      <c r="A102" s="28" t="s">
        <v>1180</v>
      </c>
      <c r="B102" s="17" t="str">
        <f>VLOOKUP(A102,policy!B:C,2,0)</f>
        <v>070000165164</v>
      </c>
      <c r="C102" s="29">
        <v>29963</v>
      </c>
      <c r="D102" s="47">
        <f t="shared" si="5"/>
        <v>29963</v>
      </c>
      <c r="E102" s="46" t="s">
        <v>1857</v>
      </c>
      <c r="F102" s="48" t="str">
        <f t="shared" si="4"/>
        <v>insert into ins_premium_det (premium_rcv_code,assorted_code, rec_amount,premium_rcv_detail_code,remaining_amt, payrec, mode_code,coinsurance_code,class_cd,it_remarks) values</v>
      </c>
      <c r="G102" s="49" t="str">
        <f t="shared" si="6"/>
        <v>('28Oct240058','070000165164','29963',(select max(to_number(i.premium_rcv_detail_code))+1
from ins_premium_det i),'29963','29963','02', '11000003','00','Request by Mr. Reheel Malik 29-Oct-2024');</v>
      </c>
      <c r="H102" s="50" t="str">
        <f t="shared" si="7"/>
        <v>insert into ins_premium_det (premium_rcv_code,assorted_code, rec_amount,premium_rcv_detail_code,remaining_amt, payrec, mode_code,coinsurance_code,class_cd,it_remarks) values('28Oct240058','070000165164','29963',(select max(to_number(i.premium_rcv_detail_code))+1
from ins_premium_det i),'29963','29963','02', '11000003','00','Request by Mr. Reheel Malik 29-Oct-2024');</v>
      </c>
    </row>
    <row r="103" spans="1:8" ht="105" x14ac:dyDescent="0.25">
      <c r="A103" s="28" t="s">
        <v>1186</v>
      </c>
      <c r="B103" s="17" t="str">
        <f>VLOOKUP(A103,policy!B:C,2,0)</f>
        <v>070000165116</v>
      </c>
      <c r="C103" s="29">
        <v>29963</v>
      </c>
      <c r="D103" s="47">
        <f t="shared" si="5"/>
        <v>29963</v>
      </c>
      <c r="E103" s="46" t="s">
        <v>1857</v>
      </c>
      <c r="F103" s="48" t="str">
        <f t="shared" si="4"/>
        <v>insert into ins_premium_det (premium_rcv_code,assorted_code, rec_amount,premium_rcv_detail_code,remaining_amt, payrec, mode_code,coinsurance_code,class_cd,it_remarks) values</v>
      </c>
      <c r="G103" s="49" t="str">
        <f t="shared" si="6"/>
        <v>('28Oct240058','070000165116','29963',(select max(to_number(i.premium_rcv_detail_code))+1
from ins_premium_det i),'29963','29963','02', '11000003','00','Request by Mr. Reheel Malik 29-Oct-2024');</v>
      </c>
      <c r="H103" s="50" t="str">
        <f t="shared" si="7"/>
        <v>insert into ins_premium_det (premium_rcv_code,assorted_code, rec_amount,premium_rcv_detail_code,remaining_amt, payrec, mode_code,coinsurance_code,class_cd,it_remarks) values('28Oct240058','070000165116','29963',(select max(to_number(i.premium_rcv_detail_code))+1
from ins_premium_det i),'29963','29963','02', '11000003','00','Request by Mr. Reheel Malik 29-Oct-2024');</v>
      </c>
    </row>
    <row r="104" spans="1:8" ht="105" x14ac:dyDescent="0.25">
      <c r="A104" s="28" t="s">
        <v>1192</v>
      </c>
      <c r="B104" s="17" t="str">
        <f>VLOOKUP(A104,policy!B:C,2,0)</f>
        <v>070000165118</v>
      </c>
      <c r="C104" s="29">
        <v>29963</v>
      </c>
      <c r="D104" s="47">
        <f t="shared" si="5"/>
        <v>29963</v>
      </c>
      <c r="E104" s="46" t="s">
        <v>1857</v>
      </c>
      <c r="F104" s="48" t="str">
        <f t="shared" si="4"/>
        <v>insert into ins_premium_det (premium_rcv_code,assorted_code, rec_amount,premium_rcv_detail_code,remaining_amt, payrec, mode_code,coinsurance_code,class_cd,it_remarks) values</v>
      </c>
      <c r="G104" s="49" t="str">
        <f t="shared" si="6"/>
        <v>('28Oct240058','070000165118','29963',(select max(to_number(i.premium_rcv_detail_code))+1
from ins_premium_det i),'29963','29963','02', '11000003','00','Request by Mr. Reheel Malik 29-Oct-2024');</v>
      </c>
      <c r="H104" s="50" t="str">
        <f t="shared" si="7"/>
        <v>insert into ins_premium_det (premium_rcv_code,assorted_code, rec_amount,premium_rcv_detail_code,remaining_amt, payrec, mode_code,coinsurance_code,class_cd,it_remarks) values('28Oct240058','070000165118','29963',(select max(to_number(i.premium_rcv_detail_code))+1
from ins_premium_det i),'29963','29963','02', '11000003','00','Request by Mr. Reheel Malik 29-Oct-2024');</v>
      </c>
    </row>
    <row r="105" spans="1:8" ht="105" x14ac:dyDescent="0.25">
      <c r="A105" s="28" t="s">
        <v>1200</v>
      </c>
      <c r="B105" s="17" t="str">
        <f>VLOOKUP(A105,policy!B:C,2,0)</f>
        <v>070000165120</v>
      </c>
      <c r="C105" s="29">
        <v>23573</v>
      </c>
      <c r="D105" s="47">
        <f t="shared" si="5"/>
        <v>23573</v>
      </c>
      <c r="E105" s="46" t="s">
        <v>1857</v>
      </c>
      <c r="F105" s="48" t="str">
        <f t="shared" si="4"/>
        <v>insert into ins_premium_det (premium_rcv_code,assorted_code, rec_amount,premium_rcv_detail_code,remaining_amt, payrec, mode_code,coinsurance_code,class_cd,it_remarks) values</v>
      </c>
      <c r="G105" s="49" t="str">
        <f t="shared" si="6"/>
        <v>('28Oct240058','070000165120','23573',(select max(to_number(i.premium_rcv_detail_code))+1
from ins_premium_det i),'23573','23573','02', '11000003','00','Request by Mr. Reheel Malik 29-Oct-2024');</v>
      </c>
      <c r="H105" s="50" t="str">
        <f t="shared" si="7"/>
        <v>insert into ins_premium_det (premium_rcv_code,assorted_code, rec_amount,premium_rcv_detail_code,remaining_amt, payrec, mode_code,coinsurance_code,class_cd,it_remarks) values('28Oct240058','070000165120','23573',(select max(to_number(i.premium_rcv_detail_code))+1
from ins_premium_det i),'23573','23573','02', '11000003','00','Request by Mr. Reheel Malik 29-Oct-2024');</v>
      </c>
    </row>
    <row r="106" spans="1:8" ht="105" x14ac:dyDescent="0.25">
      <c r="A106" s="28" t="s">
        <v>1207</v>
      </c>
      <c r="B106" s="17" t="str">
        <f>VLOOKUP(A106,policy!B:C,2,0)</f>
        <v>070000165121</v>
      </c>
      <c r="C106" s="29">
        <v>89033</v>
      </c>
      <c r="D106" s="47">
        <f t="shared" si="5"/>
        <v>89033</v>
      </c>
      <c r="E106" s="46" t="s">
        <v>1857</v>
      </c>
      <c r="F106" s="48" t="str">
        <f t="shared" si="4"/>
        <v>insert into ins_premium_det (premium_rcv_code,assorted_code, rec_amount,premium_rcv_detail_code,remaining_amt, payrec, mode_code,coinsurance_code,class_cd,it_remarks) values</v>
      </c>
      <c r="G106" s="49" t="str">
        <f t="shared" si="6"/>
        <v>('28Oct240058','070000165121','89033',(select max(to_number(i.premium_rcv_detail_code))+1
from ins_premium_det i),'89033','89033','02', '11000003','00','Request by Mr. Reheel Malik 29-Oct-2024');</v>
      </c>
      <c r="H106" s="50" t="str">
        <f t="shared" si="7"/>
        <v>insert into ins_premium_det (premium_rcv_code,assorted_code, rec_amount,premium_rcv_detail_code,remaining_amt, payrec, mode_code,coinsurance_code,class_cd,it_remarks) values('28Oct240058','070000165121','89033',(select max(to_number(i.premium_rcv_detail_code))+1
from ins_premium_det i),'89033','89033','02', '11000003','00','Request by Mr. Reheel Malik 29-Oct-2024');</v>
      </c>
    </row>
    <row r="107" spans="1:8" ht="105" x14ac:dyDescent="0.25">
      <c r="A107" s="28" t="s">
        <v>1213</v>
      </c>
      <c r="B107" s="17" t="str">
        <f>VLOOKUP(A107,policy!B:C,2,0)</f>
        <v>070000165179</v>
      </c>
      <c r="C107" s="29">
        <v>88217</v>
      </c>
      <c r="D107" s="47">
        <f t="shared" si="5"/>
        <v>88217</v>
      </c>
      <c r="E107" s="46" t="s">
        <v>1857</v>
      </c>
      <c r="F107" s="48" t="str">
        <f t="shared" si="4"/>
        <v>insert into ins_premium_det (premium_rcv_code,assorted_code, rec_amount,premium_rcv_detail_code,remaining_amt, payrec, mode_code,coinsurance_code,class_cd,it_remarks) values</v>
      </c>
      <c r="G107" s="49" t="str">
        <f t="shared" si="6"/>
        <v>('28Oct240058','070000165179','88217',(select max(to_number(i.premium_rcv_detail_code))+1
from ins_premium_det i),'88217','88217','02', '11000003','00','Request by Mr. Reheel Malik 29-Oct-2024');</v>
      </c>
      <c r="H107" s="50" t="str">
        <f t="shared" si="7"/>
        <v>insert into ins_premium_det (premium_rcv_code,assorted_code, rec_amount,premium_rcv_detail_code,remaining_amt, payrec, mode_code,coinsurance_code,class_cd,it_remarks) values('28Oct240058','070000165179','88217',(select max(to_number(i.premium_rcv_detail_code))+1
from ins_premium_det i),'88217','88217','02', '11000003','00','Request by Mr. Reheel Malik 29-Oct-2024');</v>
      </c>
    </row>
    <row r="108" spans="1:8" ht="105" x14ac:dyDescent="0.25">
      <c r="A108" s="28" t="s">
        <v>1220</v>
      </c>
      <c r="B108" s="17" t="str">
        <f>VLOOKUP(A108,policy!B:C,2,0)</f>
        <v>070000165180</v>
      </c>
      <c r="C108" s="29">
        <v>19125</v>
      </c>
      <c r="D108" s="47">
        <f t="shared" si="5"/>
        <v>19125</v>
      </c>
      <c r="E108" s="46" t="s">
        <v>1857</v>
      </c>
      <c r="F108" s="48" t="str">
        <f t="shared" si="4"/>
        <v>insert into ins_premium_det (premium_rcv_code,assorted_code, rec_amount,premium_rcv_detail_code,remaining_amt, payrec, mode_code,coinsurance_code,class_cd,it_remarks) values</v>
      </c>
      <c r="G108" s="49" t="str">
        <f t="shared" si="6"/>
        <v>('28Oct240058','070000165180','19125',(select max(to_number(i.premium_rcv_detail_code))+1
from ins_premium_det i),'19125','19125','02', '11000003','00','Request by Mr. Reheel Malik 29-Oct-2024');</v>
      </c>
      <c r="H108" s="50" t="str">
        <f t="shared" si="7"/>
        <v>insert into ins_premium_det (premium_rcv_code,assorted_code, rec_amount,premium_rcv_detail_code,remaining_amt, payrec, mode_code,coinsurance_code,class_cd,it_remarks) values('28Oct240058','070000165180','19125',(select max(to_number(i.premium_rcv_detail_code))+1
from ins_premium_det i),'19125','19125','02', '11000003','00','Request by Mr. Reheel Malik 29-Oct-2024');</v>
      </c>
    </row>
    <row r="109" spans="1:8" ht="105" x14ac:dyDescent="0.25">
      <c r="A109" s="28" t="s">
        <v>1226</v>
      </c>
      <c r="B109" s="17" t="str">
        <f>VLOOKUP(A109,policy!B:C,2,0)</f>
        <v>070000165182</v>
      </c>
      <c r="C109" s="29">
        <v>30600</v>
      </c>
      <c r="D109" s="47">
        <f t="shared" si="5"/>
        <v>30600</v>
      </c>
      <c r="E109" s="46" t="s">
        <v>1857</v>
      </c>
      <c r="F109" s="48" t="str">
        <f t="shared" si="4"/>
        <v>insert into ins_premium_det (premium_rcv_code,assorted_code, rec_amount,premium_rcv_detail_code,remaining_amt, payrec, mode_code,coinsurance_code,class_cd,it_remarks) values</v>
      </c>
      <c r="G109" s="49" t="str">
        <f t="shared" si="6"/>
        <v>('28Oct240058','070000165182','30600',(select max(to_number(i.premium_rcv_detail_code))+1
from ins_premium_det i),'30600','30600','02', '11000003','00','Request by Mr. Reheel Malik 29-Oct-2024');</v>
      </c>
      <c r="H109" s="50" t="str">
        <f t="shared" si="7"/>
        <v>insert into ins_premium_det (premium_rcv_code,assorted_code, rec_amount,premium_rcv_detail_code,remaining_amt, payrec, mode_code,coinsurance_code,class_cd,it_remarks) values('28Oct240058','070000165182','30600',(select max(to_number(i.premium_rcv_detail_code))+1
from ins_premium_det i),'30600','30600','02', '11000003','00','Request by Mr. Reheel Malik 29-Oct-2024');</v>
      </c>
    </row>
    <row r="110" spans="1:8" ht="105" x14ac:dyDescent="0.25">
      <c r="A110" s="28" t="s">
        <v>1233</v>
      </c>
      <c r="B110" s="17" t="str">
        <f>VLOOKUP(A110,policy!B:C,2,0)</f>
        <v>070000165184</v>
      </c>
      <c r="C110" s="29">
        <v>37383</v>
      </c>
      <c r="D110" s="47">
        <f t="shared" si="5"/>
        <v>37383</v>
      </c>
      <c r="E110" s="46" t="s">
        <v>1857</v>
      </c>
      <c r="F110" s="48" t="str">
        <f t="shared" si="4"/>
        <v>insert into ins_premium_det (premium_rcv_code,assorted_code, rec_amount,premium_rcv_detail_code,remaining_amt, payrec, mode_code,coinsurance_code,class_cd,it_remarks) values</v>
      </c>
      <c r="G110" s="49" t="str">
        <f t="shared" si="6"/>
        <v>('28Oct240058','070000165184','37383',(select max(to_number(i.premium_rcv_detail_code))+1
from ins_premium_det i),'37383','37383','02', '11000003','00','Request by Mr. Reheel Malik 29-Oct-2024');</v>
      </c>
      <c r="H110" s="50" t="str">
        <f t="shared" si="7"/>
        <v>insert into ins_premium_det (premium_rcv_code,assorted_code, rec_amount,premium_rcv_detail_code,remaining_amt, payrec, mode_code,coinsurance_code,class_cd,it_remarks) values('28Oct240058','070000165184','37383',(select max(to_number(i.premium_rcv_detail_code))+1
from ins_premium_det i),'37383','37383','02', '11000003','00','Request by Mr. Reheel Malik 29-Oct-2024');</v>
      </c>
    </row>
    <row r="111" spans="1:8" ht="105" x14ac:dyDescent="0.25">
      <c r="A111" s="28" t="s">
        <v>1239</v>
      </c>
      <c r="B111" s="17" t="str">
        <f>VLOOKUP(A111,policy!B:C,2,0)</f>
        <v>070000165185</v>
      </c>
      <c r="C111" s="29">
        <v>43588</v>
      </c>
      <c r="D111" s="47">
        <f t="shared" si="5"/>
        <v>43588</v>
      </c>
      <c r="E111" s="46" t="s">
        <v>1857</v>
      </c>
      <c r="F111" s="48" t="str">
        <f t="shared" si="4"/>
        <v>insert into ins_premium_det (premium_rcv_code,assorted_code, rec_amount,premium_rcv_detail_code,remaining_amt, payrec, mode_code,coinsurance_code,class_cd,it_remarks) values</v>
      </c>
      <c r="G111" s="49" t="str">
        <f t="shared" si="6"/>
        <v>('28Oct240058','070000165185','43588',(select max(to_number(i.premium_rcv_detail_code))+1
from ins_premium_det i),'43588','43588','02', '11000003','00','Request by Mr. Reheel Malik 29-Oct-2024');</v>
      </c>
      <c r="H111" s="50" t="str">
        <f t="shared" si="7"/>
        <v>insert into ins_premium_det (premium_rcv_code,assorted_code, rec_amount,premium_rcv_detail_code,remaining_amt, payrec, mode_code,coinsurance_code,class_cd,it_remarks) values('28Oct240058','070000165185','43588',(select max(to_number(i.premium_rcv_detail_code))+1
from ins_premium_det i),'43588','43588','02', '11000003','00','Request by Mr. Reheel Malik 29-Oct-2024');</v>
      </c>
    </row>
    <row r="112" spans="1:8" ht="105" x14ac:dyDescent="0.25">
      <c r="A112" s="28" t="s">
        <v>1245</v>
      </c>
      <c r="B112" s="17" t="str">
        <f>VLOOKUP(A112,policy!B:C,2,0)</f>
        <v>070000165186</v>
      </c>
      <c r="C112" s="29">
        <v>50150</v>
      </c>
      <c r="D112" s="47">
        <f t="shared" si="5"/>
        <v>50150</v>
      </c>
      <c r="E112" s="46" t="s">
        <v>1857</v>
      </c>
      <c r="F112" s="48" t="str">
        <f t="shared" si="4"/>
        <v>insert into ins_premium_det (premium_rcv_code,assorted_code, rec_amount,premium_rcv_detail_code,remaining_amt, payrec, mode_code,coinsurance_code,class_cd,it_remarks) values</v>
      </c>
      <c r="G112" s="49" t="str">
        <f t="shared" si="6"/>
        <v>('28Oct240058','070000165186','50150',(select max(to_number(i.premium_rcv_detail_code))+1
from ins_premium_det i),'50150','50150','02', '11000003','00','Request by Mr. Reheel Malik 29-Oct-2024');</v>
      </c>
      <c r="H112" s="50" t="str">
        <f t="shared" si="7"/>
        <v>insert into ins_premium_det (premium_rcv_code,assorted_code, rec_amount,premium_rcv_detail_code,remaining_amt, payrec, mode_code,coinsurance_code,class_cd,it_remarks) values('28Oct240058','070000165186','50150',(select max(to_number(i.premium_rcv_detail_code))+1
from ins_premium_det i),'50150','50150','02', '11000003','00','Request by Mr. Reheel Malik 29-Oct-2024');</v>
      </c>
    </row>
    <row r="113" spans="1:8" ht="105" x14ac:dyDescent="0.25">
      <c r="A113" s="28" t="s">
        <v>1253</v>
      </c>
      <c r="B113" s="17" t="str">
        <f>VLOOKUP(A113,policy!B:C,2,0)</f>
        <v>070000165187</v>
      </c>
      <c r="C113" s="29">
        <v>28900</v>
      </c>
      <c r="D113" s="47">
        <f t="shared" si="5"/>
        <v>28900</v>
      </c>
      <c r="E113" s="46" t="s">
        <v>1857</v>
      </c>
      <c r="F113" s="48" t="str">
        <f t="shared" si="4"/>
        <v>insert into ins_premium_det (premium_rcv_code,assorted_code, rec_amount,premium_rcv_detail_code,remaining_amt, payrec, mode_code,coinsurance_code,class_cd,it_remarks) values</v>
      </c>
      <c r="G113" s="49" t="str">
        <f t="shared" si="6"/>
        <v>('28Oct240058','070000165187','28900',(select max(to_number(i.premium_rcv_detail_code))+1
from ins_premium_det i),'28900','28900','02', '11000003','00','Request by Mr. Reheel Malik 29-Oct-2024');</v>
      </c>
      <c r="H113" s="50" t="str">
        <f t="shared" si="7"/>
        <v>insert into ins_premium_det (premium_rcv_code,assorted_code, rec_amount,premium_rcv_detail_code,remaining_amt, payrec, mode_code,coinsurance_code,class_cd,it_remarks) values('28Oct240058','070000165187','28900',(select max(to_number(i.premium_rcv_detail_code))+1
from ins_premium_det i),'28900','28900','02', '11000003','00','Request by Mr. Reheel Malik 29-Oct-2024');</v>
      </c>
    </row>
    <row r="114" spans="1:8" ht="105" x14ac:dyDescent="0.25">
      <c r="A114" s="28" t="s">
        <v>1260</v>
      </c>
      <c r="B114" s="17" t="str">
        <f>VLOOKUP(A114,policy!B:C,2,0)</f>
        <v>070000165188</v>
      </c>
      <c r="C114" s="29">
        <v>43673</v>
      </c>
      <c r="D114" s="47">
        <f t="shared" si="5"/>
        <v>43673</v>
      </c>
      <c r="E114" s="46" t="s">
        <v>1857</v>
      </c>
      <c r="F114" s="48" t="str">
        <f t="shared" si="4"/>
        <v>insert into ins_premium_det (premium_rcv_code,assorted_code, rec_amount,premium_rcv_detail_code,remaining_amt, payrec, mode_code,coinsurance_code,class_cd,it_remarks) values</v>
      </c>
      <c r="G114" s="49" t="str">
        <f t="shared" si="6"/>
        <v>('28Oct240058','070000165188','43673',(select max(to_number(i.premium_rcv_detail_code))+1
from ins_premium_det i),'43673','43673','02', '11000003','00','Request by Mr. Reheel Malik 29-Oct-2024');</v>
      </c>
      <c r="H114" s="50" t="str">
        <f t="shared" si="7"/>
        <v>insert into ins_premium_det (premium_rcv_code,assorted_code, rec_amount,premium_rcv_detail_code,remaining_amt, payrec, mode_code,coinsurance_code,class_cd,it_remarks) values('28Oct240058','070000165188','43673',(select max(to_number(i.premium_rcv_detail_code))+1
from ins_premium_det i),'43673','43673','02', '11000003','00','Request by Mr. Reheel Malik 29-Oct-2024');</v>
      </c>
    </row>
    <row r="115" spans="1:8" ht="105" x14ac:dyDescent="0.25">
      <c r="A115" s="28" t="s">
        <v>1267</v>
      </c>
      <c r="B115" s="17" t="str">
        <f>VLOOKUP(A115,policy!B:C,2,0)</f>
        <v>070000165189</v>
      </c>
      <c r="C115" s="29">
        <v>34489</v>
      </c>
      <c r="D115" s="47">
        <f t="shared" si="5"/>
        <v>34489</v>
      </c>
      <c r="E115" s="46" t="s">
        <v>1857</v>
      </c>
      <c r="F115" s="48" t="str">
        <f t="shared" si="4"/>
        <v>insert into ins_premium_det (premium_rcv_code,assorted_code, rec_amount,premium_rcv_detail_code,remaining_amt, payrec, mode_code,coinsurance_code,class_cd,it_remarks) values</v>
      </c>
      <c r="G115" s="49" t="str">
        <f t="shared" si="6"/>
        <v>('28Oct240058','070000165189','34489',(select max(to_number(i.premium_rcv_detail_code))+1
from ins_premium_det i),'34489','34489','02', '11000003','00','Request by Mr. Reheel Malik 29-Oct-2024');</v>
      </c>
      <c r="H115" s="50" t="str">
        <f t="shared" si="7"/>
        <v>insert into ins_premium_det (premium_rcv_code,assorted_code, rec_amount,premium_rcv_detail_code,remaining_amt, payrec, mode_code,coinsurance_code,class_cd,it_remarks) values('28Oct240058','070000165189','34489',(select max(to_number(i.premium_rcv_detail_code))+1
from ins_premium_det i),'34489','34489','02', '11000003','00','Request by Mr. Reheel Malik 29-Oct-2024');</v>
      </c>
    </row>
    <row r="116" spans="1:8" ht="105" x14ac:dyDescent="0.25">
      <c r="A116" s="28" t="s">
        <v>1275</v>
      </c>
      <c r="B116" s="17" t="str">
        <f>VLOOKUP(A116,policy!B:C,2,0)</f>
        <v>070000165168</v>
      </c>
      <c r="C116" s="29">
        <v>35114</v>
      </c>
      <c r="D116" s="47">
        <f t="shared" si="5"/>
        <v>35114</v>
      </c>
      <c r="E116" s="46" t="s">
        <v>1857</v>
      </c>
      <c r="F116" s="48" t="str">
        <f t="shared" si="4"/>
        <v>insert into ins_premium_det (premium_rcv_code,assorted_code, rec_amount,premium_rcv_detail_code,remaining_amt, payrec, mode_code,coinsurance_code,class_cd,it_remarks) values</v>
      </c>
      <c r="G116" s="49" t="str">
        <f t="shared" si="6"/>
        <v>('28Oct240058','070000165168','35114',(select max(to_number(i.premium_rcv_detail_code))+1
from ins_premium_det i),'35114','35114','02', '11000003','00','Request by Mr. Reheel Malik 29-Oct-2024');</v>
      </c>
      <c r="H116" s="50" t="str">
        <f t="shared" si="7"/>
        <v>insert into ins_premium_det (premium_rcv_code,assorted_code, rec_amount,premium_rcv_detail_code,remaining_amt, payrec, mode_code,coinsurance_code,class_cd,it_remarks) values('28Oct240058','070000165168','35114',(select max(to_number(i.premium_rcv_detail_code))+1
from ins_premium_det i),'35114','35114','02', '11000003','00','Request by Mr. Reheel Malik 29-Oct-2024');</v>
      </c>
    </row>
    <row r="117" spans="1:8" ht="105" x14ac:dyDescent="0.25">
      <c r="A117" s="28" t="s">
        <v>1281</v>
      </c>
      <c r="B117" s="17" t="str">
        <f>VLOOKUP(A117,policy!B:C,2,0)</f>
        <v>070000165190</v>
      </c>
      <c r="C117" s="29">
        <v>31195</v>
      </c>
      <c r="D117" s="47">
        <f t="shared" si="5"/>
        <v>31195</v>
      </c>
      <c r="E117" s="46" t="s">
        <v>1857</v>
      </c>
      <c r="F117" s="48" t="str">
        <f t="shared" si="4"/>
        <v>insert into ins_premium_det (premium_rcv_code,assorted_code, rec_amount,premium_rcv_detail_code,remaining_amt, payrec, mode_code,coinsurance_code,class_cd,it_remarks) values</v>
      </c>
      <c r="G117" s="49" t="str">
        <f t="shared" si="6"/>
        <v>('28Oct240058','070000165190','31195',(select max(to_number(i.premium_rcv_detail_code))+1
from ins_premium_det i),'31195','31195','02', '11000003','00','Request by Mr. Reheel Malik 29-Oct-2024');</v>
      </c>
      <c r="H117" s="50" t="str">
        <f t="shared" si="7"/>
        <v>insert into ins_premium_det (premium_rcv_code,assorted_code, rec_amount,premium_rcv_detail_code,remaining_amt, payrec, mode_code,coinsurance_code,class_cd,it_remarks) values('28Oct240058','070000165190','31195',(select max(to_number(i.premium_rcv_detail_code))+1
from ins_premium_det i),'31195','31195','02', '11000003','00','Request by Mr. Reheel Malik 29-Oct-2024');</v>
      </c>
    </row>
    <row r="118" spans="1:8" ht="105" x14ac:dyDescent="0.25">
      <c r="A118" s="28" t="s">
        <v>1288</v>
      </c>
      <c r="B118" s="17" t="str">
        <f>VLOOKUP(A118,policy!B:C,2,0)</f>
        <v>070000165191</v>
      </c>
      <c r="C118" s="29">
        <v>34000</v>
      </c>
      <c r="D118" s="47">
        <f t="shared" si="5"/>
        <v>34000</v>
      </c>
      <c r="E118" s="46" t="s">
        <v>1857</v>
      </c>
      <c r="F118" s="48" t="str">
        <f t="shared" si="4"/>
        <v>insert into ins_premium_det (premium_rcv_code,assorted_code, rec_amount,premium_rcv_detail_code,remaining_amt, payrec, mode_code,coinsurance_code,class_cd,it_remarks) values</v>
      </c>
      <c r="G118" s="49" t="str">
        <f t="shared" si="6"/>
        <v>('28Oct240058','070000165191','34000',(select max(to_number(i.premium_rcv_detail_code))+1
from ins_premium_det i),'34000','34000','02', '11000003','00','Request by Mr. Reheel Malik 29-Oct-2024');</v>
      </c>
      <c r="H118" s="50" t="str">
        <f t="shared" si="7"/>
        <v>insert into ins_premium_det (premium_rcv_code,assorted_code, rec_amount,premium_rcv_detail_code,remaining_amt, payrec, mode_code,coinsurance_code,class_cd,it_remarks) values('28Oct240058','070000165191','34000',(select max(to_number(i.premium_rcv_detail_code))+1
from ins_premium_det i),'34000','34000','02', '11000003','00','Request by Mr. Reheel Malik 29-Oct-2024');</v>
      </c>
    </row>
    <row r="119" spans="1:8" ht="105" x14ac:dyDescent="0.25">
      <c r="A119" s="28" t="s">
        <v>1295</v>
      </c>
      <c r="B119" s="17" t="str">
        <f>VLOOKUP(A119,policy!B:C,2,0)</f>
        <v>070000165192</v>
      </c>
      <c r="C119" s="29">
        <v>55250</v>
      </c>
      <c r="D119" s="47">
        <f t="shared" si="5"/>
        <v>55250</v>
      </c>
      <c r="E119" s="46" t="s">
        <v>1857</v>
      </c>
      <c r="F119" s="48" t="str">
        <f t="shared" si="4"/>
        <v>insert into ins_premium_det (premium_rcv_code,assorted_code, rec_amount,premium_rcv_detail_code,remaining_amt, payrec, mode_code,coinsurance_code,class_cd,it_remarks) values</v>
      </c>
      <c r="G119" s="49" t="str">
        <f t="shared" si="6"/>
        <v>('28Oct240058','070000165192','55250',(select max(to_number(i.premium_rcv_detail_code))+1
from ins_premium_det i),'55250','55250','02', '11000003','00','Request by Mr. Reheel Malik 29-Oct-2024');</v>
      </c>
      <c r="H119" s="50" t="str">
        <f t="shared" si="7"/>
        <v>insert into ins_premium_det (premium_rcv_code,assorted_code, rec_amount,premium_rcv_detail_code,remaining_amt, payrec, mode_code,coinsurance_code,class_cd,it_remarks) values('28Oct240058','070000165192','55250',(select max(to_number(i.premium_rcv_detail_code))+1
from ins_premium_det i),'55250','55250','02', '11000003','00','Request by Mr. Reheel Malik 29-Oct-2024');</v>
      </c>
    </row>
    <row r="120" spans="1:8" ht="105" x14ac:dyDescent="0.25">
      <c r="A120" s="28" t="s">
        <v>1302</v>
      </c>
      <c r="B120" s="17" t="str">
        <f>VLOOKUP(A120,policy!B:C,2,0)</f>
        <v>070000165193</v>
      </c>
      <c r="C120" s="29">
        <v>42500</v>
      </c>
      <c r="D120" s="47">
        <f t="shared" si="5"/>
        <v>42500</v>
      </c>
      <c r="E120" s="46" t="s">
        <v>1857</v>
      </c>
      <c r="F120" s="48" t="str">
        <f t="shared" si="4"/>
        <v>insert into ins_premium_det (premium_rcv_code,assorted_code, rec_amount,premium_rcv_detail_code,remaining_amt, payrec, mode_code,coinsurance_code,class_cd,it_remarks) values</v>
      </c>
      <c r="G120" s="49" t="str">
        <f t="shared" si="6"/>
        <v>('28Oct240058','070000165193','42500',(select max(to_number(i.premium_rcv_detail_code))+1
from ins_premium_det i),'42500','42500','02', '11000003','00','Request by Mr. Reheel Malik 29-Oct-2024');</v>
      </c>
      <c r="H120" s="50" t="str">
        <f t="shared" si="7"/>
        <v>insert into ins_premium_det (premium_rcv_code,assorted_code, rec_amount,premium_rcv_detail_code,remaining_amt, payrec, mode_code,coinsurance_code,class_cd,it_remarks) values('28Oct240058','070000165193','42500',(select max(to_number(i.premium_rcv_detail_code))+1
from ins_premium_det i),'42500','42500','02', '11000003','00','Request by Mr. Reheel Malik 29-Oct-2024');</v>
      </c>
    </row>
    <row r="121" spans="1:8" ht="105" x14ac:dyDescent="0.25">
      <c r="A121" s="28" t="s">
        <v>1309</v>
      </c>
      <c r="B121" s="17" t="str">
        <f>VLOOKUP(A121,policy!B:C,2,0)</f>
        <v>070000165194</v>
      </c>
      <c r="C121" s="29">
        <v>55973</v>
      </c>
      <c r="D121" s="47">
        <f t="shared" si="5"/>
        <v>55973</v>
      </c>
      <c r="E121" s="46" t="s">
        <v>1857</v>
      </c>
      <c r="F121" s="48" t="str">
        <f t="shared" si="4"/>
        <v>insert into ins_premium_det (premium_rcv_code,assorted_code, rec_amount,premium_rcv_detail_code,remaining_amt, payrec, mode_code,coinsurance_code,class_cd,it_remarks) values</v>
      </c>
      <c r="G121" s="49" t="str">
        <f t="shared" si="6"/>
        <v>('28Oct240058','070000165194','55973',(select max(to_number(i.premium_rcv_detail_code))+1
from ins_premium_det i),'55973','55973','02', '11000003','00','Request by Mr. Reheel Malik 29-Oct-2024');</v>
      </c>
      <c r="H121" s="50" t="str">
        <f t="shared" si="7"/>
        <v>insert into ins_premium_det (premium_rcv_code,assorted_code, rec_amount,premium_rcv_detail_code,remaining_amt, payrec, mode_code,coinsurance_code,class_cd,it_remarks) values('28Oct240058','070000165194','55973',(select max(to_number(i.premium_rcv_detail_code))+1
from ins_premium_det i),'55973','55973','02', '11000003','00','Request by Mr. Reheel Malik 29-Oct-2024');</v>
      </c>
    </row>
    <row r="122" spans="1:8" ht="105" x14ac:dyDescent="0.25">
      <c r="A122" s="28" t="s">
        <v>1317</v>
      </c>
      <c r="B122" s="17" t="str">
        <f>VLOOKUP(A122,policy!B:C,2,0)</f>
        <v>070000165195</v>
      </c>
      <c r="C122" s="29">
        <v>31025</v>
      </c>
      <c r="D122" s="47">
        <f t="shared" si="5"/>
        <v>31025</v>
      </c>
      <c r="E122" s="46" t="s">
        <v>1857</v>
      </c>
      <c r="F122" s="48" t="str">
        <f t="shared" si="4"/>
        <v>insert into ins_premium_det (premium_rcv_code,assorted_code, rec_amount,premium_rcv_detail_code,remaining_amt, payrec, mode_code,coinsurance_code,class_cd,it_remarks) values</v>
      </c>
      <c r="G122" s="49" t="str">
        <f t="shared" si="6"/>
        <v>('28Oct240058','070000165195','31025',(select max(to_number(i.premium_rcv_detail_code))+1
from ins_premium_det i),'31025','31025','02', '11000003','00','Request by Mr. Reheel Malik 29-Oct-2024');</v>
      </c>
      <c r="H122" s="50" t="str">
        <f t="shared" si="7"/>
        <v>insert into ins_premium_det (premium_rcv_code,assorted_code, rec_amount,premium_rcv_detail_code,remaining_amt, payrec, mode_code,coinsurance_code,class_cd,it_remarks) values('28Oct240058','070000165195','31025',(select max(to_number(i.premium_rcv_detail_code))+1
from ins_premium_det i),'31025','31025','02', '11000003','00','Request by Mr. Reheel Malik 29-Oct-2024');</v>
      </c>
    </row>
    <row r="123" spans="1:8" ht="105" x14ac:dyDescent="0.25">
      <c r="A123" s="28" t="s">
        <v>1324</v>
      </c>
      <c r="B123" s="17" t="str">
        <f>VLOOKUP(A123,policy!B:C,2,0)</f>
        <v>070000165196</v>
      </c>
      <c r="C123" s="29">
        <v>51000</v>
      </c>
      <c r="D123" s="47">
        <f t="shared" si="5"/>
        <v>51000</v>
      </c>
      <c r="E123" s="46" t="s">
        <v>1857</v>
      </c>
      <c r="F123" s="48" t="str">
        <f t="shared" si="4"/>
        <v>insert into ins_premium_det (premium_rcv_code,assorted_code, rec_amount,premium_rcv_detail_code,remaining_amt, payrec, mode_code,coinsurance_code,class_cd,it_remarks) values</v>
      </c>
      <c r="G123" s="49" t="str">
        <f t="shared" si="6"/>
        <v>('28Oct240058','070000165196','51000',(select max(to_number(i.premium_rcv_detail_code))+1
from ins_premium_det i),'51000','51000','02', '11000003','00','Request by Mr. Reheel Malik 29-Oct-2024');</v>
      </c>
      <c r="H123" s="50" t="str">
        <f t="shared" si="7"/>
        <v>insert into ins_premium_det (premium_rcv_code,assorted_code, rec_amount,premium_rcv_detail_code,remaining_amt, payrec, mode_code,coinsurance_code,class_cd,it_remarks) values('28Oct240058','070000165196','51000',(select max(to_number(i.premium_rcv_detail_code))+1
from ins_premium_det i),'51000','51000','02', '11000003','00','Request by Mr. Reheel Malik 29-Oct-2024');</v>
      </c>
    </row>
    <row r="124" spans="1:8" ht="105" x14ac:dyDescent="0.25">
      <c r="A124" s="28" t="s">
        <v>1331</v>
      </c>
      <c r="B124" s="17" t="str">
        <f>VLOOKUP(A124,policy!B:C,2,0)</f>
        <v>070000165197</v>
      </c>
      <c r="C124" s="29">
        <v>46818</v>
      </c>
      <c r="D124" s="47">
        <f t="shared" si="5"/>
        <v>46818</v>
      </c>
      <c r="E124" s="46" t="s">
        <v>1857</v>
      </c>
      <c r="F124" s="48" t="str">
        <f t="shared" si="4"/>
        <v>insert into ins_premium_det (premium_rcv_code,assorted_code, rec_amount,premium_rcv_detail_code,remaining_amt, payrec, mode_code,coinsurance_code,class_cd,it_remarks) values</v>
      </c>
      <c r="G124" s="49" t="str">
        <f t="shared" si="6"/>
        <v>('28Oct240058','070000165197','46818',(select max(to_number(i.premium_rcv_detail_code))+1
from ins_premium_det i),'46818','46818','02', '11000003','00','Request by Mr. Reheel Malik 29-Oct-2024');</v>
      </c>
      <c r="H124" s="50" t="str">
        <f t="shared" si="7"/>
        <v>insert into ins_premium_det (premium_rcv_code,assorted_code, rec_amount,premium_rcv_detail_code,remaining_amt, payrec, mode_code,coinsurance_code,class_cd,it_remarks) values('28Oct240058','070000165197','46818',(select max(to_number(i.premium_rcv_detail_code))+1
from ins_premium_det i),'46818','46818','02', '11000003','00','Request by Mr. Reheel Malik 29-Oct-2024');</v>
      </c>
    </row>
    <row r="125" spans="1:8" ht="105" x14ac:dyDescent="0.25">
      <c r="A125" s="42" t="s">
        <v>1627</v>
      </c>
      <c r="B125" s="17" t="str">
        <f>VLOOKUP(A125,policy!B:C,2,0)</f>
        <v>040000152682</v>
      </c>
      <c r="C125" s="40">
        <v>44200</v>
      </c>
      <c r="D125" s="47">
        <f t="shared" si="5"/>
        <v>44200</v>
      </c>
      <c r="E125" s="46" t="s">
        <v>1857</v>
      </c>
      <c r="F125" s="48" t="str">
        <f t="shared" si="4"/>
        <v>insert into ins_premium_det (premium_rcv_code,assorted_code, rec_amount,premium_rcv_detail_code,remaining_amt, payrec, mode_code,coinsurance_code,class_cd,it_remarks) values</v>
      </c>
      <c r="G125" s="49" t="str">
        <f t="shared" si="6"/>
        <v>('28Oct240058','040000152682','44200',(select max(to_number(i.premium_rcv_detail_code))+1
from ins_premium_det i),'44200','44200','02', '11000003','00','Request by Mr. Reheel Malik 29-Oct-2024');</v>
      </c>
      <c r="H125" s="50" t="str">
        <f t="shared" si="7"/>
        <v>insert into ins_premium_det (premium_rcv_code,assorted_code, rec_amount,premium_rcv_detail_code,remaining_amt, payrec, mode_code,coinsurance_code,class_cd,it_remarks) values('28Oct240058','040000152682','44200',(select max(to_number(i.premium_rcv_detail_code))+1
from ins_premium_det i),'44200','44200','02', '11000003','00','Request by Mr. Reheel Malik 29-Oct-2024');</v>
      </c>
    </row>
    <row r="126" spans="1:8" ht="105" x14ac:dyDescent="0.25">
      <c r="A126" s="28" t="s">
        <v>1346</v>
      </c>
      <c r="B126" s="17" t="str">
        <f>VLOOKUP(A126,policy!B:C,2,0)</f>
        <v>070000165201</v>
      </c>
      <c r="C126" s="29">
        <v>28050</v>
      </c>
      <c r="D126" s="47">
        <f t="shared" si="5"/>
        <v>28050</v>
      </c>
      <c r="E126" s="46" t="s">
        <v>1857</v>
      </c>
      <c r="F126" s="48" t="str">
        <f t="shared" si="4"/>
        <v>insert into ins_premium_det (premium_rcv_code,assorted_code, rec_amount,premium_rcv_detail_code,remaining_amt, payrec, mode_code,coinsurance_code,class_cd,it_remarks) values</v>
      </c>
      <c r="G126" s="49" t="str">
        <f t="shared" si="6"/>
        <v>('28Oct240058','070000165201','28050',(select max(to_number(i.premium_rcv_detail_code))+1
from ins_premium_det i),'28050','28050','02', '11000003','00','Request by Mr. Reheel Malik 29-Oct-2024');</v>
      </c>
      <c r="H126" s="50" t="str">
        <f t="shared" si="7"/>
        <v>insert into ins_premium_det (premium_rcv_code,assorted_code, rec_amount,premium_rcv_detail_code,remaining_amt, payrec, mode_code,coinsurance_code,class_cd,it_remarks) values('28Oct240058','070000165201','28050',(select max(to_number(i.premium_rcv_detail_code))+1
from ins_premium_det i),'28050','28050','02', '11000003','00','Request by Mr. Reheel Malik 29-Oct-2024');</v>
      </c>
    </row>
    <row r="127" spans="1:8" ht="105" x14ac:dyDescent="0.25">
      <c r="A127" s="28" t="s">
        <v>1353</v>
      </c>
      <c r="B127" s="17" t="str">
        <f>VLOOKUP(A127,policy!B:C,2,0)</f>
        <v>070000165202</v>
      </c>
      <c r="C127" s="29">
        <v>33826</v>
      </c>
      <c r="D127" s="47">
        <f t="shared" si="5"/>
        <v>33826</v>
      </c>
      <c r="E127" s="46" t="s">
        <v>1857</v>
      </c>
      <c r="F127" s="48" t="str">
        <f t="shared" si="4"/>
        <v>insert into ins_premium_det (premium_rcv_code,assorted_code, rec_amount,premium_rcv_detail_code,remaining_amt, payrec, mode_code,coinsurance_code,class_cd,it_remarks) values</v>
      </c>
      <c r="G127" s="49" t="str">
        <f t="shared" si="6"/>
        <v>('28Oct240058','070000165202','33826',(select max(to_number(i.premium_rcv_detail_code))+1
from ins_premium_det i),'33826','33826','02', '11000003','00','Request by Mr. Reheel Malik 29-Oct-2024');</v>
      </c>
      <c r="H127" s="50" t="str">
        <f t="shared" si="7"/>
        <v>insert into ins_premium_det (premium_rcv_code,assorted_code, rec_amount,premium_rcv_detail_code,remaining_amt, payrec, mode_code,coinsurance_code,class_cd,it_remarks) values('28Oct240058','070000165202','33826',(select max(to_number(i.premium_rcv_detail_code))+1
from ins_premium_det i),'33826','33826','02', '11000003','00','Request by Mr. Reheel Malik 29-Oct-2024');</v>
      </c>
    </row>
    <row r="128" spans="1:8" ht="105" x14ac:dyDescent="0.25">
      <c r="A128" s="28" t="s">
        <v>1360</v>
      </c>
      <c r="B128" s="17" t="str">
        <f>VLOOKUP(A128,policy!B:C,2,0)</f>
        <v>070000165203</v>
      </c>
      <c r="C128" s="29">
        <v>64497</v>
      </c>
      <c r="D128" s="47">
        <f t="shared" si="5"/>
        <v>64497</v>
      </c>
      <c r="E128" s="46" t="s">
        <v>1857</v>
      </c>
      <c r="F128" s="48" t="str">
        <f t="shared" si="4"/>
        <v>insert into ins_premium_det (premium_rcv_code,assorted_code, rec_amount,premium_rcv_detail_code,remaining_amt, payrec, mode_code,coinsurance_code,class_cd,it_remarks) values</v>
      </c>
      <c r="G128" s="49" t="str">
        <f t="shared" si="6"/>
        <v>('28Oct240058','070000165203','64497',(select max(to_number(i.premium_rcv_detail_code))+1
from ins_premium_det i),'64497','64497','02', '11000003','00','Request by Mr. Reheel Malik 29-Oct-2024');</v>
      </c>
      <c r="H128" s="50" t="str">
        <f t="shared" si="7"/>
        <v>insert into ins_premium_det (premium_rcv_code,assorted_code, rec_amount,premium_rcv_detail_code,remaining_amt, payrec, mode_code,coinsurance_code,class_cd,it_remarks) values('28Oct240058','070000165203','64497',(select max(to_number(i.premium_rcv_detail_code))+1
from ins_premium_det i),'64497','64497','02', '11000003','00','Request by Mr. Reheel Malik 29-Oct-2024');</v>
      </c>
    </row>
    <row r="129" spans="1:8" ht="105" x14ac:dyDescent="0.25">
      <c r="A129" s="28" t="s">
        <v>1367</v>
      </c>
      <c r="B129" s="17" t="str">
        <f>VLOOKUP(A129,policy!B:C,2,0)</f>
        <v>070000165205</v>
      </c>
      <c r="C129" s="29">
        <v>43588</v>
      </c>
      <c r="D129" s="47">
        <f t="shared" si="5"/>
        <v>43588</v>
      </c>
      <c r="E129" s="46" t="s">
        <v>1857</v>
      </c>
      <c r="F129" s="48" t="str">
        <f t="shared" si="4"/>
        <v>insert into ins_premium_det (premium_rcv_code,assorted_code, rec_amount,premium_rcv_detail_code,remaining_amt, payrec, mode_code,coinsurance_code,class_cd,it_remarks) values</v>
      </c>
      <c r="G129" s="49" t="str">
        <f t="shared" si="6"/>
        <v>('28Oct240058','070000165205','43588',(select max(to_number(i.premium_rcv_detail_code))+1
from ins_premium_det i),'43588','43588','02', '11000003','00','Request by Mr. Reheel Malik 29-Oct-2024');</v>
      </c>
      <c r="H129" s="50" t="str">
        <f t="shared" si="7"/>
        <v>insert into ins_premium_det (premium_rcv_code,assorted_code, rec_amount,premium_rcv_detail_code,remaining_amt, payrec, mode_code,coinsurance_code,class_cd,it_remarks) values('28Oct240058','070000165205','43588',(select max(to_number(i.premium_rcv_detail_code))+1
from ins_premium_det i),'43588','43588','02', '11000003','00','Request by Mr. Reheel Malik 29-Oct-2024');</v>
      </c>
    </row>
    <row r="130" spans="1:8" ht="105" x14ac:dyDescent="0.25">
      <c r="A130" s="28" t="s">
        <v>1374</v>
      </c>
      <c r="B130" s="17" t="str">
        <f>VLOOKUP(A130,policy!B:C,2,0)</f>
        <v>070000165207</v>
      </c>
      <c r="C130" s="29">
        <v>50025</v>
      </c>
      <c r="D130" s="47">
        <f t="shared" si="5"/>
        <v>50025</v>
      </c>
      <c r="E130" s="46" t="s">
        <v>1857</v>
      </c>
      <c r="F130" s="48" t="str">
        <f t="shared" ref="F130:F164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49" t="str">
        <f t="shared" si="6"/>
        <v>('28Oct240058','070000165207','50025',(select max(to_number(i.premium_rcv_detail_code))+1
from ins_premium_det i),'50025','50025','02', '11000003','00','Request by Mr. Reheel Malik 29-Oct-2024');</v>
      </c>
      <c r="H130" s="50" t="str">
        <f t="shared" si="7"/>
        <v>insert into ins_premium_det (premium_rcv_code,assorted_code, rec_amount,premium_rcv_detail_code,remaining_amt, payrec, mode_code,coinsurance_code,class_cd,it_remarks) values('28Oct240058','070000165207','50025',(select max(to_number(i.premium_rcv_detail_code))+1
from ins_premium_det i),'50025','50025','02', '11000003','00','Request by Mr. Reheel Malik 29-Oct-2024');</v>
      </c>
    </row>
    <row r="131" spans="1:8" ht="105" x14ac:dyDescent="0.25">
      <c r="A131" s="28" t="s">
        <v>1380</v>
      </c>
      <c r="B131" s="17" t="str">
        <f>VLOOKUP(A131,policy!B:C,2,0)</f>
        <v>070000165208</v>
      </c>
      <c r="C131" s="29">
        <v>81772</v>
      </c>
      <c r="D131" s="47">
        <f t="shared" ref="D131:D164" si="9">ROUND(C131,0)</f>
        <v>81772</v>
      </c>
      <c r="E131" s="46" t="s">
        <v>1857</v>
      </c>
      <c r="F131" s="48" t="str">
        <f t="shared" si="8"/>
        <v>insert into ins_premium_det (premium_rcv_code,assorted_code, rec_amount,premium_rcv_detail_code,remaining_amt, payrec, mode_code,coinsurance_code,class_cd,it_remarks) values</v>
      </c>
      <c r="G131" s="49" t="str">
        <f t="shared" ref="G131:G164" si="10">"('"&amp;E131&amp;"','"&amp;B131&amp;"','"&amp;D131&amp;"',(select max(to_number(i.premium_rcv_detail_code))+1
from ins_premium_det i),'"&amp;D131&amp;"','"&amp;D131&amp;"','02', '11000003','00','Request by Mr. Reheel Malik 29-Oct-2024');"</f>
        <v>('28Oct240058','070000165208','81772',(select max(to_number(i.premium_rcv_detail_code))+1
from ins_premium_det i),'81772','81772','02', '11000003','00','Request by Mr. Reheel Malik 29-Oct-2024');</v>
      </c>
      <c r="H131" s="50" t="str">
        <f t="shared" ref="H131:H164" si="11">F131&amp;G131</f>
        <v>insert into ins_premium_det (premium_rcv_code,assorted_code, rec_amount,premium_rcv_detail_code,remaining_amt, payrec, mode_code,coinsurance_code,class_cd,it_remarks) values('28Oct240058','070000165208','81772',(select max(to_number(i.premium_rcv_detail_code))+1
from ins_premium_det i),'81772','81772','02', '11000003','00','Request by Mr. Reheel Malik 29-Oct-2024');</v>
      </c>
    </row>
    <row r="132" spans="1:8" ht="105" x14ac:dyDescent="0.25">
      <c r="A132" s="28" t="s">
        <v>1388</v>
      </c>
      <c r="B132" s="17" t="str">
        <f>VLOOKUP(A132,policy!B:C,2,0)</f>
        <v>070000165209</v>
      </c>
      <c r="C132" s="29">
        <v>47634</v>
      </c>
      <c r="D132" s="47">
        <f t="shared" si="9"/>
        <v>47634</v>
      </c>
      <c r="E132" s="46" t="s">
        <v>1857</v>
      </c>
      <c r="F132" s="48" t="str">
        <f t="shared" si="8"/>
        <v>insert into ins_premium_det (premium_rcv_code,assorted_code, rec_amount,premium_rcv_detail_code,remaining_amt, payrec, mode_code,coinsurance_code,class_cd,it_remarks) values</v>
      </c>
      <c r="G132" s="49" t="str">
        <f t="shared" si="10"/>
        <v>('28Oct240058','070000165209','47634',(select max(to_number(i.premium_rcv_detail_code))+1
from ins_premium_det i),'47634','47634','02', '11000003','00','Request by Mr. Reheel Malik 29-Oct-2024');</v>
      </c>
      <c r="H132" s="50" t="str">
        <f t="shared" si="11"/>
        <v>insert into ins_premium_det (premium_rcv_code,assorted_code, rec_amount,premium_rcv_detail_code,remaining_amt, payrec, mode_code,coinsurance_code,class_cd,it_remarks) values('28Oct240058','070000165209','47634',(select max(to_number(i.premium_rcv_detail_code))+1
from ins_premium_det i),'47634','47634','02', '11000003','00','Request by Mr. Reheel Malik 29-Oct-2024');</v>
      </c>
    </row>
    <row r="133" spans="1:8" ht="105" x14ac:dyDescent="0.25">
      <c r="A133" s="28" t="s">
        <v>1395</v>
      </c>
      <c r="B133" s="17" t="str">
        <f>VLOOKUP(A133,policy!B:C,2,0)</f>
        <v>070000165211</v>
      </c>
      <c r="C133" s="29">
        <v>48450</v>
      </c>
      <c r="D133" s="47">
        <f t="shared" si="9"/>
        <v>48450</v>
      </c>
      <c r="E133" s="46" t="s">
        <v>1857</v>
      </c>
      <c r="F133" s="48" t="str">
        <f t="shared" si="8"/>
        <v>insert into ins_premium_det (premium_rcv_code,assorted_code, rec_amount,premium_rcv_detail_code,remaining_amt, payrec, mode_code,coinsurance_code,class_cd,it_remarks) values</v>
      </c>
      <c r="G133" s="49" t="str">
        <f t="shared" si="10"/>
        <v>('28Oct240058','070000165211','48450',(select max(to_number(i.premium_rcv_detail_code))+1
from ins_premium_det i),'48450','48450','02', '11000003','00','Request by Mr. Reheel Malik 29-Oct-2024');</v>
      </c>
      <c r="H133" s="50" t="str">
        <f t="shared" si="11"/>
        <v>insert into ins_premium_det (premium_rcv_code,assorted_code, rec_amount,premium_rcv_detail_code,remaining_amt, payrec, mode_code,coinsurance_code,class_cd,it_remarks) values('28Oct240058','070000165211','48450',(select max(to_number(i.premium_rcv_detail_code))+1
from ins_premium_det i),'48450','48450','02', '11000003','00','Request by Mr. Reheel Malik 29-Oct-2024');</v>
      </c>
    </row>
    <row r="134" spans="1:8" ht="105" x14ac:dyDescent="0.25">
      <c r="A134" s="28" t="s">
        <v>1402</v>
      </c>
      <c r="B134" s="17" t="str">
        <f>VLOOKUP(A134,policy!B:C,2,0)</f>
        <v>070000165171</v>
      </c>
      <c r="C134" s="29">
        <v>49300</v>
      </c>
      <c r="D134" s="47">
        <f t="shared" si="9"/>
        <v>49300</v>
      </c>
      <c r="E134" s="46" t="s">
        <v>1857</v>
      </c>
      <c r="F134" s="48" t="str">
        <f t="shared" si="8"/>
        <v>insert into ins_premium_det (premium_rcv_code,assorted_code, rec_amount,premium_rcv_detail_code,remaining_amt, payrec, mode_code,coinsurance_code,class_cd,it_remarks) values</v>
      </c>
      <c r="G134" s="49" t="str">
        <f t="shared" si="10"/>
        <v>('28Oct240058','070000165171','49300',(select max(to_number(i.premium_rcv_detail_code))+1
from ins_premium_det i),'49300','49300','02', '11000003','00','Request by Mr. Reheel Malik 29-Oct-2024');</v>
      </c>
      <c r="H134" s="50" t="str">
        <f t="shared" si="11"/>
        <v>insert into ins_premium_det (premium_rcv_code,assorted_code, rec_amount,premium_rcv_detail_code,remaining_amt, payrec, mode_code,coinsurance_code,class_cd,it_remarks) values('28Oct240058','070000165171','49300',(select max(to_number(i.premium_rcv_detail_code))+1
from ins_premium_det i),'49300','49300','02', '11000003','00','Request by Mr. Reheel Malik 29-Oct-2024');</v>
      </c>
    </row>
    <row r="135" spans="1:8" ht="105" x14ac:dyDescent="0.25">
      <c r="A135" s="28" t="s">
        <v>1408</v>
      </c>
      <c r="B135" s="17" t="str">
        <f>VLOOKUP(A135,policy!B:C,2,0)</f>
        <v>070000165212</v>
      </c>
      <c r="C135" s="29">
        <v>32725</v>
      </c>
      <c r="D135" s="47">
        <f t="shared" si="9"/>
        <v>32725</v>
      </c>
      <c r="E135" s="46" t="s">
        <v>1857</v>
      </c>
      <c r="F135" s="48" t="str">
        <f t="shared" si="8"/>
        <v>insert into ins_premium_det (premium_rcv_code,assorted_code, rec_amount,premium_rcv_detail_code,remaining_amt, payrec, mode_code,coinsurance_code,class_cd,it_remarks) values</v>
      </c>
      <c r="G135" s="49" t="str">
        <f t="shared" si="10"/>
        <v>('28Oct240058','070000165212','32725',(select max(to_number(i.premium_rcv_detail_code))+1
from ins_premium_det i),'32725','32725','02', '11000003','00','Request by Mr. Reheel Malik 29-Oct-2024');</v>
      </c>
      <c r="H135" s="50" t="str">
        <f t="shared" si="11"/>
        <v>insert into ins_premium_det (premium_rcv_code,assorted_code, rec_amount,premium_rcv_detail_code,remaining_amt, payrec, mode_code,coinsurance_code,class_cd,it_remarks) values('28Oct240058','070000165212','32725',(select max(to_number(i.premium_rcv_detail_code))+1
from ins_premium_det i),'32725','32725','02', '11000003','00','Request by Mr. Reheel Malik 29-Oct-2024');</v>
      </c>
    </row>
    <row r="136" spans="1:8" ht="105" x14ac:dyDescent="0.25">
      <c r="A136" s="28" t="s">
        <v>1415</v>
      </c>
      <c r="B136" s="17" t="str">
        <f>VLOOKUP(A136,policy!B:C,2,0)</f>
        <v>070000165213</v>
      </c>
      <c r="C136" s="29">
        <v>45900</v>
      </c>
      <c r="D136" s="47">
        <f t="shared" si="9"/>
        <v>45900</v>
      </c>
      <c r="E136" s="46" t="s">
        <v>1857</v>
      </c>
      <c r="F136" s="48" t="str">
        <f t="shared" si="8"/>
        <v>insert into ins_premium_det (premium_rcv_code,assorted_code, rec_amount,premium_rcv_detail_code,remaining_amt, payrec, mode_code,coinsurance_code,class_cd,it_remarks) values</v>
      </c>
      <c r="G136" s="49" t="str">
        <f t="shared" si="10"/>
        <v>('28Oct240058','070000165213','45900',(select max(to_number(i.premium_rcv_detail_code))+1
from ins_premium_det i),'45900','45900','02', '11000003','00','Request by Mr. Reheel Malik 29-Oct-2024');</v>
      </c>
      <c r="H136" s="50" t="str">
        <f t="shared" si="11"/>
        <v>insert into ins_premium_det (premium_rcv_code,assorted_code, rec_amount,premium_rcv_detail_code,remaining_amt, payrec, mode_code,coinsurance_code,class_cd,it_remarks) values('28Oct240058','070000165213','45900',(select max(to_number(i.premium_rcv_detail_code))+1
from ins_premium_det i),'45900','45900','02', '11000003','00','Request by Mr. Reheel Malik 29-Oct-2024');</v>
      </c>
    </row>
    <row r="137" spans="1:8" ht="105" x14ac:dyDescent="0.25">
      <c r="A137" s="28" t="s">
        <v>1422</v>
      </c>
      <c r="B137" s="17" t="str">
        <f>VLOOKUP(A137,policy!B:C,2,0)</f>
        <v>070000165214</v>
      </c>
      <c r="C137" s="29">
        <v>49725</v>
      </c>
      <c r="D137" s="47">
        <f t="shared" si="9"/>
        <v>49725</v>
      </c>
      <c r="E137" s="46" t="s">
        <v>1857</v>
      </c>
      <c r="F137" s="48" t="str">
        <f t="shared" si="8"/>
        <v>insert into ins_premium_det (premium_rcv_code,assorted_code, rec_amount,premium_rcv_detail_code,remaining_amt, payrec, mode_code,coinsurance_code,class_cd,it_remarks) values</v>
      </c>
      <c r="G137" s="49" t="str">
        <f t="shared" si="10"/>
        <v>('28Oct240058','070000165214','49725',(select max(to_number(i.premium_rcv_detail_code))+1
from ins_premium_det i),'49725','49725','02', '11000003','00','Request by Mr. Reheel Malik 29-Oct-2024');</v>
      </c>
      <c r="H137" s="50" t="str">
        <f t="shared" si="11"/>
        <v>insert into ins_premium_det (premium_rcv_code,assorted_code, rec_amount,premium_rcv_detail_code,remaining_amt, payrec, mode_code,coinsurance_code,class_cd,it_remarks) values('28Oct240058','070000165214','49725',(select max(to_number(i.premium_rcv_detail_code))+1
from ins_premium_det i),'49725','49725','02', '11000003','00','Request by Mr. Reheel Malik 29-Oct-2024');</v>
      </c>
    </row>
    <row r="138" spans="1:8" ht="105" x14ac:dyDescent="0.25">
      <c r="A138" s="28" t="s">
        <v>1429</v>
      </c>
      <c r="B138" s="17" t="str">
        <f>VLOOKUP(A138,policy!B:C,2,0)</f>
        <v>070000165217</v>
      </c>
      <c r="C138" s="29">
        <v>66938</v>
      </c>
      <c r="D138" s="47">
        <f t="shared" si="9"/>
        <v>66938</v>
      </c>
      <c r="E138" s="46" t="s">
        <v>1857</v>
      </c>
      <c r="F138" s="48" t="str">
        <f t="shared" si="8"/>
        <v>insert into ins_premium_det (premium_rcv_code,assorted_code, rec_amount,premium_rcv_detail_code,remaining_amt, payrec, mode_code,coinsurance_code,class_cd,it_remarks) values</v>
      </c>
      <c r="G138" s="49" t="str">
        <f t="shared" si="10"/>
        <v>('28Oct240058','070000165217','66938',(select max(to_number(i.premium_rcv_detail_code))+1
from ins_premium_det i),'66938','66938','02', '11000003','00','Request by Mr. Reheel Malik 29-Oct-2024');</v>
      </c>
      <c r="H138" s="50" t="str">
        <f t="shared" si="11"/>
        <v>insert into ins_premium_det (premium_rcv_code,assorted_code, rec_amount,premium_rcv_detail_code,remaining_amt, payrec, mode_code,coinsurance_code,class_cd,it_remarks) values('28Oct240058','070000165217','66938',(select max(to_number(i.premium_rcv_detail_code))+1
from ins_premium_det i),'66938','66938','02', '11000003','00','Request by Mr. Reheel Malik 29-Oct-2024');</v>
      </c>
    </row>
    <row r="139" spans="1:8" ht="105" x14ac:dyDescent="0.25">
      <c r="A139" s="28" t="s">
        <v>1437</v>
      </c>
      <c r="B139" s="17" t="str">
        <f>VLOOKUP(A139,policy!B:C,2,0)</f>
        <v>070000165218</v>
      </c>
      <c r="C139" s="29">
        <v>44200</v>
      </c>
      <c r="D139" s="47">
        <f t="shared" si="9"/>
        <v>44200</v>
      </c>
      <c r="E139" s="46" t="s">
        <v>1857</v>
      </c>
      <c r="F139" s="48" t="str">
        <f t="shared" si="8"/>
        <v>insert into ins_premium_det (premium_rcv_code,assorted_code, rec_amount,premium_rcv_detail_code,remaining_amt, payrec, mode_code,coinsurance_code,class_cd,it_remarks) values</v>
      </c>
      <c r="G139" s="49" t="str">
        <f t="shared" si="10"/>
        <v>('28Oct240058','070000165218','44200',(select max(to_number(i.premium_rcv_detail_code))+1
from ins_premium_det i),'44200','44200','02', '11000003','00','Request by Mr. Reheel Malik 29-Oct-2024');</v>
      </c>
      <c r="H139" s="50" t="str">
        <f t="shared" si="11"/>
        <v>insert into ins_premium_det (premium_rcv_code,assorted_code, rec_amount,premium_rcv_detail_code,remaining_amt, payrec, mode_code,coinsurance_code,class_cd,it_remarks) values('28Oct240058','070000165218','44200',(select max(to_number(i.premium_rcv_detail_code))+1
from ins_premium_det i),'44200','44200','02', '11000003','00','Request by Mr. Reheel Malik 29-Oct-2024');</v>
      </c>
    </row>
    <row r="140" spans="1:8" ht="105" x14ac:dyDescent="0.25">
      <c r="A140" s="28" t="s">
        <v>1445</v>
      </c>
      <c r="B140" s="17" t="str">
        <f>VLOOKUP(A140,policy!B:C,2,0)</f>
        <v>070000165219</v>
      </c>
      <c r="C140" s="29">
        <v>17425</v>
      </c>
      <c r="D140" s="47">
        <f t="shared" si="9"/>
        <v>17425</v>
      </c>
      <c r="E140" s="46" t="s">
        <v>1857</v>
      </c>
      <c r="F140" s="48" t="str">
        <f t="shared" si="8"/>
        <v>insert into ins_premium_det (premium_rcv_code,assorted_code, rec_amount,premium_rcv_detail_code,remaining_amt, payrec, mode_code,coinsurance_code,class_cd,it_remarks) values</v>
      </c>
      <c r="G140" s="49" t="str">
        <f t="shared" si="10"/>
        <v>('28Oct240058','070000165219','17425',(select max(to_number(i.premium_rcv_detail_code))+1
from ins_premium_det i),'17425','17425','02', '11000003','00','Request by Mr. Reheel Malik 29-Oct-2024');</v>
      </c>
      <c r="H140" s="50" t="str">
        <f t="shared" si="11"/>
        <v>insert into ins_premium_det (premium_rcv_code,assorted_code, rec_amount,premium_rcv_detail_code,remaining_amt, payrec, mode_code,coinsurance_code,class_cd,it_remarks) values('28Oct240058','070000165219','17425',(select max(to_number(i.premium_rcv_detail_code))+1
from ins_premium_det i),'17425','17425','02', '11000003','00','Request by Mr. Reheel Malik 29-Oct-2024');</v>
      </c>
    </row>
    <row r="141" spans="1:8" ht="105" x14ac:dyDescent="0.25">
      <c r="A141" s="28" t="s">
        <v>1453</v>
      </c>
      <c r="B141" s="17" t="str">
        <f>VLOOKUP(A141,policy!B:C,2,0)</f>
        <v>070000165222</v>
      </c>
      <c r="C141" s="29">
        <v>43673</v>
      </c>
      <c r="D141" s="47">
        <f t="shared" si="9"/>
        <v>43673</v>
      </c>
      <c r="E141" s="46" t="s">
        <v>1857</v>
      </c>
      <c r="F141" s="48" t="str">
        <f t="shared" si="8"/>
        <v>insert into ins_premium_det (premium_rcv_code,assorted_code, rec_amount,premium_rcv_detail_code,remaining_amt, payrec, mode_code,coinsurance_code,class_cd,it_remarks) values</v>
      </c>
      <c r="G141" s="49" t="str">
        <f t="shared" si="10"/>
        <v>('28Oct240058','070000165222','43673',(select max(to_number(i.premium_rcv_detail_code))+1
from ins_premium_det i),'43673','43673','02', '11000003','00','Request by Mr. Reheel Malik 29-Oct-2024');</v>
      </c>
      <c r="H141" s="50" t="str">
        <f t="shared" si="11"/>
        <v>insert into ins_premium_det (premium_rcv_code,assorted_code, rec_amount,premium_rcv_detail_code,remaining_amt, payrec, mode_code,coinsurance_code,class_cd,it_remarks) values('28Oct240058','070000165222','43673',(select max(to_number(i.premium_rcv_detail_code))+1
from ins_premium_det i),'43673','43673','02', '11000003','00','Request by Mr. Reheel Malik 29-Oct-2024');</v>
      </c>
    </row>
    <row r="142" spans="1:8" ht="105" x14ac:dyDescent="0.25">
      <c r="A142" s="28" t="s">
        <v>1459</v>
      </c>
      <c r="B142" s="17" t="str">
        <f>VLOOKUP(A142,policy!B:C,2,0)</f>
        <v>070000165223</v>
      </c>
      <c r="C142" s="29">
        <v>25500</v>
      </c>
      <c r="D142" s="47">
        <f t="shared" si="9"/>
        <v>25500</v>
      </c>
      <c r="E142" s="46" t="s">
        <v>1857</v>
      </c>
      <c r="F142" s="48" t="str">
        <f t="shared" si="8"/>
        <v>insert into ins_premium_det (premium_rcv_code,assorted_code, rec_amount,premium_rcv_detail_code,remaining_amt, payrec, mode_code,coinsurance_code,class_cd,it_remarks) values</v>
      </c>
      <c r="G142" s="49" t="str">
        <f t="shared" si="10"/>
        <v>('28Oct240058','070000165223','25500',(select max(to_number(i.premium_rcv_detail_code))+1
from ins_premium_det i),'25500','25500','02', '11000003','00','Request by Mr. Reheel Malik 29-Oct-2024');</v>
      </c>
      <c r="H142" s="50" t="str">
        <f t="shared" si="11"/>
        <v>insert into ins_premium_det (premium_rcv_code,assorted_code, rec_amount,premium_rcv_detail_code,remaining_amt, payrec, mode_code,coinsurance_code,class_cd,it_remarks) values('28Oct240058','070000165223','25500',(select max(to_number(i.premium_rcv_detail_code))+1
from ins_premium_det i),'25500','25500','02', '11000003','00','Request by Mr. Reheel Malik 29-Oct-2024');</v>
      </c>
    </row>
    <row r="143" spans="1:8" ht="105" x14ac:dyDescent="0.25">
      <c r="A143" s="28" t="s">
        <v>1465</v>
      </c>
      <c r="B143" s="17" t="str">
        <f>VLOOKUP(A143,policy!B:C,2,0)</f>
        <v>070000165224</v>
      </c>
      <c r="C143" s="29">
        <v>31960</v>
      </c>
      <c r="D143" s="47">
        <f t="shared" si="9"/>
        <v>31960</v>
      </c>
      <c r="E143" s="46" t="s">
        <v>1857</v>
      </c>
      <c r="F143" s="48" t="str">
        <f t="shared" si="8"/>
        <v>insert into ins_premium_det (premium_rcv_code,assorted_code, rec_amount,premium_rcv_detail_code,remaining_amt, payrec, mode_code,coinsurance_code,class_cd,it_remarks) values</v>
      </c>
      <c r="G143" s="49" t="str">
        <f t="shared" si="10"/>
        <v>('28Oct240058','070000165224','31960',(select max(to_number(i.premium_rcv_detail_code))+1
from ins_premium_det i),'31960','31960','02', '11000003','00','Request by Mr. Reheel Malik 29-Oct-2024');</v>
      </c>
      <c r="H143" s="50" t="str">
        <f t="shared" si="11"/>
        <v>insert into ins_premium_det (premium_rcv_code,assorted_code, rec_amount,premium_rcv_detail_code,remaining_amt, payrec, mode_code,coinsurance_code,class_cd,it_remarks) values('28Oct240058','070000165224','31960',(select max(to_number(i.premium_rcv_detail_code))+1
from ins_premium_det i),'31960','31960','02', '11000003','00','Request by Mr. Reheel Malik 29-Oct-2024');</v>
      </c>
    </row>
    <row r="144" spans="1:8" ht="105" x14ac:dyDescent="0.25">
      <c r="A144" s="28" t="s">
        <v>1472</v>
      </c>
      <c r="B144" s="17" t="str">
        <f>VLOOKUP(A144,policy!B:C,2,0)</f>
        <v>070000165172</v>
      </c>
      <c r="C144" s="29">
        <v>43673</v>
      </c>
      <c r="D144" s="47">
        <f t="shared" si="9"/>
        <v>43673</v>
      </c>
      <c r="E144" s="46" t="s">
        <v>1857</v>
      </c>
      <c r="F144" s="48" t="str">
        <f t="shared" si="8"/>
        <v>insert into ins_premium_det (premium_rcv_code,assorted_code, rec_amount,premium_rcv_detail_code,remaining_amt, payrec, mode_code,coinsurance_code,class_cd,it_remarks) values</v>
      </c>
      <c r="G144" s="49" t="str">
        <f t="shared" si="10"/>
        <v>('28Oct240058','070000165172','43673',(select max(to_number(i.premium_rcv_detail_code))+1
from ins_premium_det i),'43673','43673','02', '11000003','00','Request by Mr. Reheel Malik 29-Oct-2024');</v>
      </c>
      <c r="H144" s="50" t="str">
        <f t="shared" si="11"/>
        <v>insert into ins_premium_det (premium_rcv_code,assorted_code, rec_amount,premium_rcv_detail_code,remaining_amt, payrec, mode_code,coinsurance_code,class_cd,it_remarks) values('28Oct240058','070000165172','43673',(select max(to_number(i.premium_rcv_detail_code))+1
from ins_premium_det i),'43673','43673','02', '11000003','00','Request by Mr. Reheel Malik 29-Oct-2024');</v>
      </c>
    </row>
    <row r="145" spans="1:8" ht="105" x14ac:dyDescent="0.25">
      <c r="A145" s="28" t="s">
        <v>1478</v>
      </c>
      <c r="B145" s="17" t="str">
        <f>VLOOKUP(A145,policy!B:C,2,0)</f>
        <v>070000165173</v>
      </c>
      <c r="C145" s="29">
        <v>63100</v>
      </c>
      <c r="D145" s="47">
        <f t="shared" si="9"/>
        <v>63100</v>
      </c>
      <c r="E145" s="46" t="s">
        <v>1857</v>
      </c>
      <c r="F145" s="48" t="str">
        <f t="shared" si="8"/>
        <v>insert into ins_premium_det (premium_rcv_code,assorted_code, rec_amount,premium_rcv_detail_code,remaining_amt, payrec, mode_code,coinsurance_code,class_cd,it_remarks) values</v>
      </c>
      <c r="G145" s="49" t="str">
        <f t="shared" si="10"/>
        <v>('28Oct240058','070000165173','63100',(select max(to_number(i.premium_rcv_detail_code))+1
from ins_premium_det i),'63100','63100','02', '11000003','00','Request by Mr. Reheel Malik 29-Oct-2024');</v>
      </c>
      <c r="H145" s="50" t="str">
        <f t="shared" si="11"/>
        <v>insert into ins_premium_det (premium_rcv_code,assorted_code, rec_amount,premium_rcv_detail_code,remaining_amt, payrec, mode_code,coinsurance_code,class_cd,it_remarks) values('28Oct240058','070000165173','63100',(select max(to_number(i.premium_rcv_detail_code))+1
from ins_premium_det i),'63100','63100','02', '11000003','00','Request by Mr. Reheel Malik 29-Oct-2024');</v>
      </c>
    </row>
    <row r="146" spans="1:8" ht="105" x14ac:dyDescent="0.25">
      <c r="A146" s="28" t="s">
        <v>1485</v>
      </c>
      <c r="B146" s="17" t="str">
        <f>VLOOKUP(A146,policy!B:C,2,0)</f>
        <v>070000165175</v>
      </c>
      <c r="C146" s="29">
        <v>51404</v>
      </c>
      <c r="D146" s="47">
        <f t="shared" si="9"/>
        <v>51404</v>
      </c>
      <c r="E146" s="46" t="s">
        <v>1857</v>
      </c>
      <c r="F146" s="48" t="str">
        <f t="shared" si="8"/>
        <v>insert into ins_premium_det (premium_rcv_code,assorted_code, rec_amount,premium_rcv_detail_code,remaining_amt, payrec, mode_code,coinsurance_code,class_cd,it_remarks) values</v>
      </c>
      <c r="G146" s="49" t="str">
        <f t="shared" si="10"/>
        <v>('28Oct240058','070000165175','51404',(select max(to_number(i.premium_rcv_detail_code))+1
from ins_premium_det i),'51404','51404','02', '11000003','00','Request by Mr. Reheel Malik 29-Oct-2024');</v>
      </c>
      <c r="H146" s="50" t="str">
        <f t="shared" si="11"/>
        <v>insert into ins_premium_det (premium_rcv_code,assorted_code, rec_amount,premium_rcv_detail_code,remaining_amt, payrec, mode_code,coinsurance_code,class_cd,it_remarks) values('28Oct240058','070000165175','51404',(select max(to_number(i.premium_rcv_detail_code))+1
from ins_premium_det i),'51404','51404','02', '11000003','00','Request by Mr. Reheel Malik 29-Oct-2024');</v>
      </c>
    </row>
    <row r="147" spans="1:8" ht="105" x14ac:dyDescent="0.25">
      <c r="A147" s="28" t="s">
        <v>1491</v>
      </c>
      <c r="B147" s="17" t="str">
        <f>VLOOKUP(A147,policy!B:C,2,0)</f>
        <v>070000165176</v>
      </c>
      <c r="C147" s="29">
        <v>41728</v>
      </c>
      <c r="D147" s="47">
        <f t="shared" si="9"/>
        <v>41728</v>
      </c>
      <c r="E147" s="46" t="s">
        <v>1857</v>
      </c>
      <c r="F147" s="48" t="str">
        <f t="shared" si="8"/>
        <v>insert into ins_premium_det (premium_rcv_code,assorted_code, rec_amount,premium_rcv_detail_code,remaining_amt, payrec, mode_code,coinsurance_code,class_cd,it_remarks) values</v>
      </c>
      <c r="G147" s="49" t="str">
        <f t="shared" si="10"/>
        <v>('28Oct240058','070000165176','41728',(select max(to_number(i.premium_rcv_detail_code))+1
from ins_premium_det i),'41728','41728','02', '11000003','00','Request by Mr. Reheel Malik 29-Oct-2024');</v>
      </c>
      <c r="H147" s="50" t="str">
        <f t="shared" si="11"/>
        <v>insert into ins_premium_det (premium_rcv_code,assorted_code, rec_amount,premium_rcv_detail_code,remaining_amt, payrec, mode_code,coinsurance_code,class_cd,it_remarks) values('28Oct240058','070000165176','41728',(select max(to_number(i.premium_rcv_detail_code))+1
from ins_premium_det i),'41728','41728','02', '11000003','00','Request by Mr. Reheel Malik 29-Oct-2024');</v>
      </c>
    </row>
    <row r="148" spans="1:8" ht="105" x14ac:dyDescent="0.25">
      <c r="A148" s="28" t="s">
        <v>1499</v>
      </c>
      <c r="B148" s="17" t="str">
        <f>VLOOKUP(A148,policy!B:C,2,0)</f>
        <v>070000165177</v>
      </c>
      <c r="C148" s="29">
        <v>22997</v>
      </c>
      <c r="D148" s="47">
        <f t="shared" si="9"/>
        <v>22997</v>
      </c>
      <c r="E148" s="46" t="s">
        <v>1857</v>
      </c>
      <c r="F148" s="48" t="str">
        <f t="shared" si="8"/>
        <v>insert into ins_premium_det (premium_rcv_code,assorted_code, rec_amount,premium_rcv_detail_code,remaining_amt, payrec, mode_code,coinsurance_code,class_cd,it_remarks) values</v>
      </c>
      <c r="G148" s="49" t="str">
        <f t="shared" si="10"/>
        <v>('28Oct240058','070000165177','22997',(select max(to_number(i.premium_rcv_detail_code))+1
from ins_premium_det i),'22997','22997','02', '11000003','00','Request by Mr. Reheel Malik 29-Oct-2024');</v>
      </c>
      <c r="H148" s="50" t="str">
        <f t="shared" si="11"/>
        <v>insert into ins_premium_det (premium_rcv_code,assorted_code, rec_amount,premium_rcv_detail_code,remaining_amt, payrec, mode_code,coinsurance_code,class_cd,it_remarks) values('28Oct240058','070000165177','22997',(select max(to_number(i.premium_rcv_detail_code))+1
from ins_premium_det i),'22997','22997','02', '11000003','00','Request by Mr. Reheel Malik 29-Oct-2024');</v>
      </c>
    </row>
    <row r="149" spans="1:8" ht="105" x14ac:dyDescent="0.25">
      <c r="A149" s="28" t="s">
        <v>1505</v>
      </c>
      <c r="B149" s="17" t="str">
        <f>VLOOKUP(A149,policy!B:C,2,0)</f>
        <v>070000165239</v>
      </c>
      <c r="C149" s="29">
        <v>40294</v>
      </c>
      <c r="D149" s="47">
        <f t="shared" si="9"/>
        <v>40294</v>
      </c>
      <c r="E149" s="46" t="s">
        <v>1857</v>
      </c>
      <c r="F149" s="48" t="str">
        <f t="shared" si="8"/>
        <v>insert into ins_premium_det (premium_rcv_code,assorted_code, rec_amount,premium_rcv_detail_code,remaining_amt, payrec, mode_code,coinsurance_code,class_cd,it_remarks) values</v>
      </c>
      <c r="G149" s="49" t="str">
        <f t="shared" si="10"/>
        <v>('28Oct240058','070000165239','40294',(select max(to_number(i.premium_rcv_detail_code))+1
from ins_premium_det i),'40294','40294','02', '11000003','00','Request by Mr. Reheel Malik 29-Oct-2024');</v>
      </c>
      <c r="H149" s="50" t="str">
        <f t="shared" si="11"/>
        <v>insert into ins_premium_det (premium_rcv_code,assorted_code, rec_amount,premium_rcv_detail_code,remaining_amt, payrec, mode_code,coinsurance_code,class_cd,it_remarks) values('28Oct240058','070000165239','40294',(select max(to_number(i.premium_rcv_detail_code))+1
from ins_premium_det i),'40294','40294','02', '11000003','00','Request by Mr. Reheel Malik 29-Oct-2024');</v>
      </c>
    </row>
    <row r="150" spans="1:8" ht="105" x14ac:dyDescent="0.25">
      <c r="A150" s="28" t="s">
        <v>1513</v>
      </c>
      <c r="B150" s="17" t="str">
        <f>VLOOKUP(A150,policy!B:C,2,0)</f>
        <v>070000165240</v>
      </c>
      <c r="C150" s="29">
        <v>45806</v>
      </c>
      <c r="D150" s="47">
        <f t="shared" si="9"/>
        <v>45806</v>
      </c>
      <c r="E150" s="46" t="s">
        <v>1857</v>
      </c>
      <c r="F150" s="48" t="str">
        <f t="shared" si="8"/>
        <v>insert into ins_premium_det (premium_rcv_code,assorted_code, rec_amount,premium_rcv_detail_code,remaining_amt, payrec, mode_code,coinsurance_code,class_cd,it_remarks) values</v>
      </c>
      <c r="G150" s="49" t="str">
        <f t="shared" si="10"/>
        <v>('28Oct240058','070000165240','45806',(select max(to_number(i.premium_rcv_detail_code))+1
from ins_premium_det i),'45806','45806','02', '11000003','00','Request by Mr. Reheel Malik 29-Oct-2024');</v>
      </c>
      <c r="H150" s="50" t="str">
        <f t="shared" si="11"/>
        <v>insert into ins_premium_det (premium_rcv_code,assorted_code, rec_amount,premium_rcv_detail_code,remaining_amt, payrec, mode_code,coinsurance_code,class_cd,it_remarks) values('28Oct240058','070000165240','45806',(select max(to_number(i.premium_rcv_detail_code))+1
from ins_premium_det i),'45806','45806','02', '11000003','00','Request by Mr. Reheel Malik 29-Oct-2024');</v>
      </c>
    </row>
    <row r="151" spans="1:8" ht="105" x14ac:dyDescent="0.25">
      <c r="A151" s="28" t="s">
        <v>1520</v>
      </c>
      <c r="B151" s="51" t="s">
        <v>1856</v>
      </c>
      <c r="C151" s="29">
        <v>153000</v>
      </c>
      <c r="D151" s="47">
        <f t="shared" si="9"/>
        <v>153000</v>
      </c>
      <c r="E151" s="46" t="s">
        <v>1857</v>
      </c>
      <c r="F151" s="48" t="str">
        <f t="shared" si="8"/>
        <v>insert into ins_premium_det (premium_rcv_code,assorted_code, rec_amount,premium_rcv_detail_code,remaining_amt, payrec, mode_code,coinsurance_code,class_cd,it_remarks) values</v>
      </c>
      <c r="G151" s="49" t="str">
        <f t="shared" si="10"/>
        <v>('28Oct240058','040000183298','153000',(select max(to_number(i.premium_rcv_detail_code))+1
from ins_premium_det i),'153000','153000','02', '11000003','00','Request by Mr. Reheel Malik 29-Oct-2024');</v>
      </c>
      <c r="H151" s="50" t="str">
        <f t="shared" si="11"/>
        <v>insert into ins_premium_det (premium_rcv_code,assorted_code, rec_amount,premium_rcv_detail_code,remaining_amt, payrec, mode_code,coinsurance_code,class_cd,it_remarks) values('28Oct240058','040000183298','153000',(select max(to_number(i.premium_rcv_detail_code))+1
from ins_premium_det i),'153000','153000','02', '11000003','00','Request by Mr. Reheel Malik 29-Oct-2024');</v>
      </c>
    </row>
    <row r="152" spans="1:8" ht="105" x14ac:dyDescent="0.25">
      <c r="A152" s="28" t="s">
        <v>1529</v>
      </c>
      <c r="B152" s="17" t="str">
        <f>VLOOKUP(A152,policy!B:C,2,0)</f>
        <v>070000165264</v>
      </c>
      <c r="C152" s="29">
        <v>40240</v>
      </c>
      <c r="D152" s="47">
        <f t="shared" si="9"/>
        <v>40240</v>
      </c>
      <c r="E152" s="46" t="s">
        <v>1857</v>
      </c>
      <c r="F152" s="48" t="str">
        <f t="shared" si="8"/>
        <v>insert into ins_premium_det (premium_rcv_code,assorted_code, rec_amount,premium_rcv_detail_code,remaining_amt, payrec, mode_code,coinsurance_code,class_cd,it_remarks) values</v>
      </c>
      <c r="G152" s="49" t="str">
        <f t="shared" si="10"/>
        <v>('28Oct240058','070000165264','40240',(select max(to_number(i.premium_rcv_detail_code))+1
from ins_premium_det i),'40240','40240','02', '11000003','00','Request by Mr. Reheel Malik 29-Oct-2024');</v>
      </c>
      <c r="H152" s="50" t="str">
        <f t="shared" si="11"/>
        <v>insert into ins_premium_det (premium_rcv_code,assorted_code, rec_amount,premium_rcv_detail_code,remaining_amt, payrec, mode_code,coinsurance_code,class_cd,it_remarks) values('28Oct240058','070000165264','40240',(select max(to_number(i.premium_rcv_detail_code))+1
from ins_premium_det i),'40240','40240','02', '11000003','00','Request by Mr. Reheel Malik 29-Oct-2024');</v>
      </c>
    </row>
    <row r="153" spans="1:8" ht="105" x14ac:dyDescent="0.25">
      <c r="A153" s="28" t="s">
        <v>1537</v>
      </c>
      <c r="B153" s="17" t="str">
        <f>VLOOKUP(A153,policy!B:C,2,0)</f>
        <v>070000165268</v>
      </c>
      <c r="C153" s="29">
        <v>20475</v>
      </c>
      <c r="D153" s="47">
        <f t="shared" si="9"/>
        <v>20475</v>
      </c>
      <c r="E153" s="46" t="s">
        <v>1857</v>
      </c>
      <c r="F153" s="48" t="str">
        <f t="shared" si="8"/>
        <v>insert into ins_premium_det (premium_rcv_code,assorted_code, rec_amount,premium_rcv_detail_code,remaining_amt, payrec, mode_code,coinsurance_code,class_cd,it_remarks) values</v>
      </c>
      <c r="G153" s="49" t="str">
        <f t="shared" si="10"/>
        <v>('28Oct240058','070000165268','20475',(select max(to_number(i.premium_rcv_detail_code))+1
from ins_premium_det i),'20475','20475','02', '11000003','00','Request by Mr. Reheel Malik 29-Oct-2024');</v>
      </c>
      <c r="H153" s="50" t="str">
        <f t="shared" si="11"/>
        <v>insert into ins_premium_det (premium_rcv_code,assorted_code, rec_amount,premium_rcv_detail_code,remaining_amt, payrec, mode_code,coinsurance_code,class_cd,it_remarks) values('28Oct240058','070000165268','20475',(select max(to_number(i.premium_rcv_detail_code))+1
from ins_premium_det i),'20475','20475','02', '11000003','00','Request by Mr. Reheel Malik 29-Oct-2024');</v>
      </c>
    </row>
    <row r="154" spans="1:8" ht="105" x14ac:dyDescent="0.25">
      <c r="A154" s="28" t="s">
        <v>1545</v>
      </c>
      <c r="B154" s="17" t="str">
        <f>VLOOKUP(A154,policy!B:C,2,0)</f>
        <v>070000162606</v>
      </c>
      <c r="C154" s="29">
        <v>65114</v>
      </c>
      <c r="D154" s="47">
        <f t="shared" si="9"/>
        <v>65114</v>
      </c>
      <c r="E154" s="46" t="s">
        <v>1857</v>
      </c>
      <c r="F154" s="48" t="str">
        <f t="shared" si="8"/>
        <v>insert into ins_premium_det (premium_rcv_code,assorted_code, rec_amount,premium_rcv_detail_code,remaining_amt, payrec, mode_code,coinsurance_code,class_cd,it_remarks) values</v>
      </c>
      <c r="G154" s="49" t="str">
        <f t="shared" si="10"/>
        <v>('28Oct240058','070000162606','65114',(select max(to_number(i.premium_rcv_detail_code))+1
from ins_premium_det i),'65114','65114','02', '11000003','00','Request by Mr. Reheel Malik 29-Oct-2024');</v>
      </c>
      <c r="H154" s="50" t="str">
        <f t="shared" si="11"/>
        <v>insert into ins_premium_det (premium_rcv_code,assorted_code, rec_amount,premium_rcv_detail_code,remaining_amt, payrec, mode_code,coinsurance_code,class_cd,it_remarks) values('28Oct240058','070000162606','65114',(select max(to_number(i.premium_rcv_detail_code))+1
from ins_premium_det i),'65114','65114','02', '11000003','00','Request by Mr. Reheel Malik 29-Oct-2024');</v>
      </c>
    </row>
    <row r="155" spans="1:8" ht="105" x14ac:dyDescent="0.25">
      <c r="A155" s="28" t="s">
        <v>1552</v>
      </c>
      <c r="B155" s="17" t="str">
        <f>VLOOKUP(A155,policy!B:C,2,0)</f>
        <v>070000163778</v>
      </c>
      <c r="C155" s="29">
        <v>33408</v>
      </c>
      <c r="D155" s="47">
        <f t="shared" si="9"/>
        <v>33408</v>
      </c>
      <c r="E155" s="46" t="s">
        <v>1857</v>
      </c>
      <c r="F155" s="48" t="str">
        <f t="shared" si="8"/>
        <v>insert into ins_premium_det (premium_rcv_code,assorted_code, rec_amount,premium_rcv_detail_code,remaining_amt, payrec, mode_code,coinsurance_code,class_cd,it_remarks) values</v>
      </c>
      <c r="G155" s="49" t="str">
        <f t="shared" si="10"/>
        <v>('28Oct240058','070000163778','33408',(select max(to_number(i.premium_rcv_detail_code))+1
from ins_premium_det i),'33408','33408','02', '11000003','00','Request by Mr. Reheel Malik 29-Oct-2024');</v>
      </c>
      <c r="H155" s="50" t="str">
        <f t="shared" si="11"/>
        <v>insert into ins_premium_det (premium_rcv_code,assorted_code, rec_amount,premium_rcv_detail_code,remaining_amt, payrec, mode_code,coinsurance_code,class_cd,it_remarks) values('28Oct240058','070000163778','33408',(select max(to_number(i.premium_rcv_detail_code))+1
from ins_premium_det i),'33408','33408','02', '11000003','00','Request by Mr. Reheel Malik 29-Oct-2024');</v>
      </c>
    </row>
    <row r="156" spans="1:8" ht="105" x14ac:dyDescent="0.25">
      <c r="A156" s="28" t="s">
        <v>1559</v>
      </c>
      <c r="B156" s="17" t="str">
        <f>VLOOKUP(A156,policy!B:C,2,0)</f>
        <v>070000163864</v>
      </c>
      <c r="C156" s="29">
        <v>25500</v>
      </c>
      <c r="D156" s="47">
        <f t="shared" si="9"/>
        <v>25500</v>
      </c>
      <c r="E156" s="46" t="s">
        <v>1857</v>
      </c>
      <c r="F156" s="48" t="str">
        <f t="shared" si="8"/>
        <v>insert into ins_premium_det (premium_rcv_code,assorted_code, rec_amount,premium_rcv_detail_code,remaining_amt, payrec, mode_code,coinsurance_code,class_cd,it_remarks) values</v>
      </c>
      <c r="G156" s="49" t="str">
        <f t="shared" si="10"/>
        <v>('28Oct240058','070000163864','25500',(select max(to_number(i.premium_rcv_detail_code))+1
from ins_premium_det i),'25500','25500','02', '11000003','00','Request by Mr. Reheel Malik 29-Oct-2024');</v>
      </c>
      <c r="H156" s="50" t="str">
        <f t="shared" si="11"/>
        <v>insert into ins_premium_det (premium_rcv_code,assorted_code, rec_amount,premium_rcv_detail_code,remaining_amt, payrec, mode_code,coinsurance_code,class_cd,it_remarks) values('28Oct240058','070000163864','25500',(select max(to_number(i.premium_rcv_detail_code))+1
from ins_premium_det i),'25500','25500','02', '11000003','00','Request by Mr. Reheel Malik 29-Oct-2024');</v>
      </c>
    </row>
    <row r="157" spans="1:8" ht="105" x14ac:dyDescent="0.25">
      <c r="A157" s="28" t="s">
        <v>1566</v>
      </c>
      <c r="B157" s="17" t="str">
        <f>VLOOKUP(A157,policy!B:C,2,0)</f>
        <v>070000163906</v>
      </c>
      <c r="C157" s="29">
        <v>49513</v>
      </c>
      <c r="D157" s="47">
        <f t="shared" si="9"/>
        <v>49513</v>
      </c>
      <c r="E157" s="46" t="s">
        <v>1857</v>
      </c>
      <c r="F157" s="48" t="str">
        <f t="shared" si="8"/>
        <v>insert into ins_premium_det (premium_rcv_code,assorted_code, rec_amount,premium_rcv_detail_code,remaining_amt, payrec, mode_code,coinsurance_code,class_cd,it_remarks) values</v>
      </c>
      <c r="G157" s="49" t="str">
        <f t="shared" si="10"/>
        <v>('28Oct240058','070000163906','49513',(select max(to_number(i.premium_rcv_detail_code))+1
from ins_premium_det i),'49513','49513','02', '11000003','00','Request by Mr. Reheel Malik 29-Oct-2024');</v>
      </c>
      <c r="H157" s="50" t="str">
        <f t="shared" si="11"/>
        <v>insert into ins_premium_det (premium_rcv_code,assorted_code, rec_amount,premium_rcv_detail_code,remaining_amt, payrec, mode_code,coinsurance_code,class_cd,it_remarks) values('28Oct240058','070000163906','49513',(select max(to_number(i.premium_rcv_detail_code))+1
from ins_premium_det i),'49513','49513','02', '11000003','00','Request by Mr. Reheel Malik 29-Oct-2024');</v>
      </c>
    </row>
    <row r="158" spans="1:8" ht="105" x14ac:dyDescent="0.25">
      <c r="A158" s="28" t="s">
        <v>1573</v>
      </c>
      <c r="B158" s="17" t="str">
        <f>VLOOKUP(A158,policy!B:C,2,0)</f>
        <v>070000162624</v>
      </c>
      <c r="C158" s="29">
        <v>32400</v>
      </c>
      <c r="D158" s="47">
        <f t="shared" si="9"/>
        <v>32400</v>
      </c>
      <c r="E158" s="46" t="s">
        <v>1857</v>
      </c>
      <c r="F158" s="48" t="str">
        <f t="shared" si="8"/>
        <v>insert into ins_premium_det (premium_rcv_code,assorted_code, rec_amount,premium_rcv_detail_code,remaining_amt, payrec, mode_code,coinsurance_code,class_cd,it_remarks) values</v>
      </c>
      <c r="G158" s="49" t="str">
        <f t="shared" si="10"/>
        <v>('28Oct240058','070000162624','32400',(select max(to_number(i.premium_rcv_detail_code))+1
from ins_premium_det i),'32400','32400','02', '11000003','00','Request by Mr. Reheel Malik 29-Oct-2024');</v>
      </c>
      <c r="H158" s="50" t="str">
        <f t="shared" si="11"/>
        <v>insert into ins_premium_det (premium_rcv_code,assorted_code, rec_amount,premium_rcv_detail_code,remaining_amt, payrec, mode_code,coinsurance_code,class_cd,it_remarks) values('28Oct240058','070000162624','32400',(select max(to_number(i.premium_rcv_detail_code))+1
from ins_premium_det i),'32400','32400','02', '11000003','00','Request by Mr. Reheel Malik 29-Oct-2024');</v>
      </c>
    </row>
    <row r="159" spans="1:8" ht="105" x14ac:dyDescent="0.25">
      <c r="A159" s="28" t="s">
        <v>1580</v>
      </c>
      <c r="B159" s="17" t="str">
        <f>VLOOKUP(A159,policy!B:C,2,0)</f>
        <v>070000162627</v>
      </c>
      <c r="C159" s="29">
        <v>52830</v>
      </c>
      <c r="D159" s="47">
        <f t="shared" si="9"/>
        <v>52830</v>
      </c>
      <c r="E159" s="46" t="s">
        <v>1857</v>
      </c>
      <c r="F159" s="48" t="str">
        <f t="shared" si="8"/>
        <v>insert into ins_premium_det (premium_rcv_code,assorted_code, rec_amount,premium_rcv_detail_code,remaining_amt, payrec, mode_code,coinsurance_code,class_cd,it_remarks) values</v>
      </c>
      <c r="G159" s="49" t="str">
        <f t="shared" si="10"/>
        <v>('28Oct240058','070000162627','52830',(select max(to_number(i.premium_rcv_detail_code))+1
from ins_premium_det i),'52830','52830','02', '11000003','00','Request by Mr. Reheel Malik 29-Oct-2024');</v>
      </c>
      <c r="H159" s="50" t="str">
        <f t="shared" si="11"/>
        <v>insert into ins_premium_det (premium_rcv_code,assorted_code, rec_amount,premium_rcv_detail_code,remaining_amt, payrec, mode_code,coinsurance_code,class_cd,it_remarks) values('28Oct240058','070000162627','52830',(select max(to_number(i.premium_rcv_detail_code))+1
from ins_premium_det i),'52830','52830','02', '11000003','00','Request by Mr. Reheel Malik 29-Oct-2024');</v>
      </c>
    </row>
    <row r="160" spans="1:8" ht="105" x14ac:dyDescent="0.25">
      <c r="A160" s="28" t="s">
        <v>1587</v>
      </c>
      <c r="B160" s="17" t="str">
        <f>VLOOKUP(A160,policy!B:C,2,0)</f>
        <v>070000162613</v>
      </c>
      <c r="C160" s="29">
        <v>21600</v>
      </c>
      <c r="D160" s="47">
        <f t="shared" si="9"/>
        <v>21600</v>
      </c>
      <c r="E160" s="46" t="s">
        <v>1857</v>
      </c>
      <c r="F160" s="48" t="str">
        <f t="shared" si="8"/>
        <v>insert into ins_premium_det (premium_rcv_code,assorted_code, rec_amount,premium_rcv_detail_code,remaining_amt, payrec, mode_code,coinsurance_code,class_cd,it_remarks) values</v>
      </c>
      <c r="G160" s="49" t="str">
        <f t="shared" si="10"/>
        <v>('28Oct240058','070000162613','21600',(select max(to_number(i.premium_rcv_detail_code))+1
from ins_premium_det i),'21600','21600','02', '11000003','00','Request by Mr. Reheel Malik 29-Oct-2024');</v>
      </c>
      <c r="H160" s="50" t="str">
        <f t="shared" si="11"/>
        <v>insert into ins_premium_det (premium_rcv_code,assorted_code, rec_amount,premium_rcv_detail_code,remaining_amt, payrec, mode_code,coinsurance_code,class_cd,it_remarks) values('28Oct240058','070000162613','21600',(select max(to_number(i.premium_rcv_detail_code))+1
from ins_premium_det i),'21600','21600','02', '11000003','00','Request by Mr. Reheel Malik 29-Oct-2024');</v>
      </c>
    </row>
    <row r="161" spans="1:8" ht="105" x14ac:dyDescent="0.25">
      <c r="A161" s="28" t="s">
        <v>1594</v>
      </c>
      <c r="B161" s="17" t="str">
        <f>VLOOKUP(A161,policy!B:C,2,0)</f>
        <v>070000161444</v>
      </c>
      <c r="C161" s="29">
        <v>49078</v>
      </c>
      <c r="D161" s="47">
        <f t="shared" si="9"/>
        <v>49078</v>
      </c>
      <c r="E161" s="46" t="s">
        <v>1857</v>
      </c>
      <c r="F161" s="48" t="str">
        <f t="shared" si="8"/>
        <v>insert into ins_premium_det (premium_rcv_code,assorted_code, rec_amount,premium_rcv_detail_code,remaining_amt, payrec, mode_code,coinsurance_code,class_cd,it_remarks) values</v>
      </c>
      <c r="G161" s="49" t="str">
        <f t="shared" si="10"/>
        <v>('28Oct240058','070000161444','49078',(select max(to_number(i.premium_rcv_detail_code))+1
from ins_premium_det i),'49078','49078','02', '11000003','00','Request by Mr. Reheel Malik 29-Oct-2024');</v>
      </c>
      <c r="H161" s="50" t="str">
        <f t="shared" si="11"/>
        <v>insert into ins_premium_det (premium_rcv_code,assorted_code, rec_amount,premium_rcv_detail_code,remaining_amt, payrec, mode_code,coinsurance_code,class_cd,it_remarks) values('28Oct240058','070000161444','49078',(select max(to_number(i.premium_rcv_detail_code))+1
from ins_premium_det i),'49078','49078','02', '11000003','00','Request by Mr. Reheel Malik 29-Oct-2024');</v>
      </c>
    </row>
    <row r="162" spans="1:8" ht="105" x14ac:dyDescent="0.25">
      <c r="A162" s="28" t="s">
        <v>1602</v>
      </c>
      <c r="B162" s="17" t="str">
        <f>VLOOKUP(A162,policy!B:C,2,0)</f>
        <v>070000161475</v>
      </c>
      <c r="C162" s="29">
        <v>27000</v>
      </c>
      <c r="D162" s="47">
        <f t="shared" si="9"/>
        <v>27000</v>
      </c>
      <c r="E162" s="46" t="s">
        <v>1857</v>
      </c>
      <c r="F162" s="48" t="str">
        <f t="shared" si="8"/>
        <v>insert into ins_premium_det (premium_rcv_code,assorted_code, rec_amount,premium_rcv_detail_code,remaining_amt, payrec, mode_code,coinsurance_code,class_cd,it_remarks) values</v>
      </c>
      <c r="G162" s="49" t="str">
        <f t="shared" si="10"/>
        <v>('28Oct240058','070000161475','27000',(select max(to_number(i.premium_rcv_detail_code))+1
from ins_premium_det i),'27000','27000','02', '11000003','00','Request by Mr. Reheel Malik 29-Oct-2024');</v>
      </c>
      <c r="H162" s="50" t="str">
        <f t="shared" si="11"/>
        <v>insert into ins_premium_det (premium_rcv_code,assorted_code, rec_amount,premium_rcv_detail_code,remaining_amt, payrec, mode_code,coinsurance_code,class_cd,it_remarks) values('28Oct240058','070000161475','27000',(select max(to_number(i.premium_rcv_detail_code))+1
from ins_premium_det i),'27000','27000','02', '11000003','00','Request by Mr. Reheel Malik 29-Oct-2024');</v>
      </c>
    </row>
    <row r="163" spans="1:8" ht="105" x14ac:dyDescent="0.25">
      <c r="A163" s="28" t="s">
        <v>1610</v>
      </c>
      <c r="B163" s="17" t="str">
        <f>VLOOKUP(A163,policy!B:C,2,0)</f>
        <v>070000161384</v>
      </c>
      <c r="C163" s="29">
        <v>22997</v>
      </c>
      <c r="D163" s="47">
        <f t="shared" si="9"/>
        <v>22997</v>
      </c>
      <c r="E163" s="46" t="s">
        <v>1857</v>
      </c>
      <c r="F163" s="48" t="str">
        <f t="shared" si="8"/>
        <v>insert into ins_premium_det (premium_rcv_code,assorted_code, rec_amount,premium_rcv_detail_code,remaining_amt, payrec, mode_code,coinsurance_code,class_cd,it_remarks) values</v>
      </c>
      <c r="G163" s="49" t="str">
        <f t="shared" si="10"/>
        <v>('28Oct240058','070000161384','22997',(select max(to_number(i.premium_rcv_detail_code))+1
from ins_premium_det i),'22997','22997','02', '11000003','00','Request by Mr. Reheel Malik 29-Oct-2024');</v>
      </c>
      <c r="H163" s="50" t="str">
        <f t="shared" si="11"/>
        <v>insert into ins_premium_det (premium_rcv_code,assorted_code, rec_amount,premium_rcv_detail_code,remaining_amt, payrec, mode_code,coinsurance_code,class_cd,it_remarks) values('28Oct240058','070000161384','22997',(select max(to_number(i.premium_rcv_detail_code))+1
from ins_premium_det i),'22997','22997','02', '11000003','00','Request by Mr. Reheel Malik 29-Oct-2024');</v>
      </c>
    </row>
    <row r="164" spans="1:8" ht="105" x14ac:dyDescent="0.25">
      <c r="A164" s="28" t="s">
        <v>1618</v>
      </c>
      <c r="B164" s="17" t="str">
        <f>VLOOKUP(A164,policy!B:C,2,0)</f>
        <v>070000161389</v>
      </c>
      <c r="C164" s="29">
        <v>51089</v>
      </c>
      <c r="D164" s="47">
        <f t="shared" si="9"/>
        <v>51089</v>
      </c>
      <c r="E164" s="46" t="s">
        <v>1857</v>
      </c>
      <c r="F164" s="48" t="str">
        <f t="shared" si="8"/>
        <v>insert into ins_premium_det (premium_rcv_code,assorted_code, rec_amount,premium_rcv_detail_code,remaining_amt, payrec, mode_code,coinsurance_code,class_cd,it_remarks) values</v>
      </c>
      <c r="G164" s="49" t="str">
        <f t="shared" si="10"/>
        <v>('28Oct240058','070000161389','51089',(select max(to_number(i.premium_rcv_detail_code))+1
from ins_premium_det i),'51089','51089','02', '11000003','00','Request by Mr. Reheel Malik 29-Oct-2024');</v>
      </c>
      <c r="H164" s="50" t="str">
        <f t="shared" si="11"/>
        <v>insert into ins_premium_det (premium_rcv_code,assorted_code, rec_amount,premium_rcv_detail_code,remaining_amt, payrec, mode_code,coinsurance_code,class_cd,it_remarks) values('28Oct240058','070000161389','51089',(select max(to_number(i.premium_rcv_detail_code))+1
from ins_premium_det i),'51089','51089','02', '11000003','00','Request by Mr. Reheel Malik 29-Oct-2024');</v>
      </c>
    </row>
  </sheetData>
  <conditionalFormatting sqref="A1">
    <cfRule type="duplicateValues" dxfId="7" priority="1"/>
  </conditionalFormatting>
  <conditionalFormatting sqref="B2:B164"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CA33-E516-4607-99FB-C030E0100605}">
  <dimension ref="A1:H51"/>
  <sheetViews>
    <sheetView tabSelected="1" topLeftCell="A47" workbookViewId="0">
      <selection activeCell="F48" sqref="F48"/>
    </sheetView>
  </sheetViews>
  <sheetFormatPr defaultRowHeight="15" x14ac:dyDescent="0.25"/>
  <cols>
    <col min="1" max="1" width="37" bestFit="1" customWidth="1"/>
    <col min="2" max="2" width="14" bestFit="1" customWidth="1"/>
    <col min="3" max="3" width="8.5703125" bestFit="1" customWidth="1"/>
    <col min="4" max="4" width="10.5703125" bestFit="1" customWidth="1"/>
    <col min="5" max="5" width="13.7109375" bestFit="1" customWidth="1"/>
    <col min="6" max="6" width="111.42578125" customWidth="1"/>
    <col min="7" max="7" width="100.7109375" customWidth="1"/>
    <col min="8" max="8" width="90.85546875" customWidth="1"/>
  </cols>
  <sheetData>
    <row r="1" spans="1:8" x14ac:dyDescent="0.25">
      <c r="A1" s="44" t="s">
        <v>1853</v>
      </c>
      <c r="B1" t="s">
        <v>1854</v>
      </c>
      <c r="D1" s="45" t="s">
        <v>1855</v>
      </c>
      <c r="E1" s="46" t="s">
        <v>1857</v>
      </c>
    </row>
    <row r="2" spans="1:8" ht="113.25" customHeight="1" x14ac:dyDescent="0.25">
      <c r="A2" s="28" t="s">
        <v>38</v>
      </c>
      <c r="B2" s="17" t="str">
        <f>VLOOKUP(A2,'[2]Select ins_assorted'!$B:$C,2,0)</f>
        <v>070000165274</v>
      </c>
      <c r="C2" s="29">
        <v>62000</v>
      </c>
      <c r="D2" s="29">
        <v>62000</v>
      </c>
      <c r="E2" s="46" t="s">
        <v>1857</v>
      </c>
      <c r="F2" s="48" t="str">
        <f t="shared" ref="F2:F49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49" t="str">
        <f>"('"&amp;E2&amp;"','"&amp;B2&amp;"','"&amp;D2&amp;"',(select max(to_number(i.premium_rcv_detail_code))+1
from ins_premium_det i),'"&amp;D2&amp;"','"&amp;D2&amp;"','02', '11000003','00','Request by Mr. Saqib Saleem Fres 29-Oct-2024');"</f>
        <v>('28Oct240058','070000165274','62000',(select max(to_number(i.premium_rcv_detail_code))+1
from ins_premium_det i),'62000','62000','02', '11000003','00','Request by Mr. Saqib Saleem Fres 29-Oct-2024');</v>
      </c>
      <c r="H2" s="50" t="str">
        <f>F2&amp;G2</f>
        <v>insert into ins_premium_det (premium_rcv_code,assorted_code, rec_amount,premium_rcv_detail_code,remaining_amt, payrec, mode_code,coinsurance_code,class_cd,it_remarks) values('28Oct240058','070000165274','62000',(select max(to_number(i.premium_rcv_detail_code))+1
from ins_premium_det i),'62000','62000','02', '11000003','00','Request by Mr. Saqib Saleem Fres 29-Oct-2024');</v>
      </c>
    </row>
    <row r="3" spans="1:8" ht="90" x14ac:dyDescent="0.25">
      <c r="A3" s="28" t="s">
        <v>51</v>
      </c>
      <c r="B3" s="17" t="str">
        <f>VLOOKUP(A3,'[2]Select ins_assorted'!$B:$C,2,0)</f>
        <v>070000165528</v>
      </c>
      <c r="C3" s="29">
        <v>58000</v>
      </c>
      <c r="D3" s="29">
        <v>58000</v>
      </c>
      <c r="E3" s="46" t="s">
        <v>1857</v>
      </c>
      <c r="F3" s="48" t="str">
        <f t="shared" si="0"/>
        <v>insert into ins_premium_det (premium_rcv_code,assorted_code, rec_amount,premium_rcv_detail_code,remaining_amt, payrec, mode_code,coinsurance_code,class_cd,it_remarks) values</v>
      </c>
      <c r="G3" s="49" t="str">
        <f t="shared" ref="G3:G49" si="1">"('"&amp;E3&amp;"','"&amp;B3&amp;"','"&amp;D3&amp;"',(select max(to_number(i.premium_rcv_detail_code))+1
from ins_premium_det i),'"&amp;D3&amp;"','"&amp;D3&amp;"','02', '11000003','00','Request by Mr. Saqib Saleem Fres 29-Oct-2024');"</f>
        <v>('28Oct240058','070000165528','58000',(select max(to_number(i.premium_rcv_detail_code))+1
from ins_premium_det i),'58000','58000','02', '11000003','00','Request by Mr. Saqib Saleem Fres 29-Oct-2024');</v>
      </c>
      <c r="H3" s="50" t="str">
        <f t="shared" ref="H3:H49" si="2">F3&amp;G3</f>
        <v>insert into ins_premium_det (premium_rcv_code,assorted_code, rec_amount,premium_rcv_detail_code,remaining_amt, payrec, mode_code,coinsurance_code,class_cd,it_remarks) values('28Oct240058','070000165528','58000',(select max(to_number(i.premium_rcv_detail_code))+1
from ins_premium_det i),'58000','58000','02', '11000003','00','Request by Mr. Saqib Saleem Fres 29-Oct-2024');</v>
      </c>
    </row>
    <row r="4" spans="1:8" ht="90" x14ac:dyDescent="0.25">
      <c r="A4" s="28" t="s">
        <v>61</v>
      </c>
      <c r="B4" s="17" t="str">
        <f>VLOOKUP(A4,'[2]Select ins_assorted'!$B:$C,2,0)</f>
        <v>070000165584</v>
      </c>
      <c r="C4" s="29">
        <v>54000</v>
      </c>
      <c r="D4" s="29">
        <v>54000</v>
      </c>
      <c r="E4" s="46" t="s">
        <v>1857</v>
      </c>
      <c r="F4" s="48" t="str">
        <f t="shared" si="0"/>
        <v>insert into ins_premium_det (premium_rcv_code,assorted_code, rec_amount,premium_rcv_detail_code,remaining_amt, payrec, mode_code,coinsurance_code,class_cd,it_remarks) values</v>
      </c>
      <c r="G4" s="49" t="str">
        <f t="shared" si="1"/>
        <v>('28Oct240058','070000165584','54000',(select max(to_number(i.premium_rcv_detail_code))+1
from ins_premium_det i),'54000','54000','02', '11000003','00','Request by Mr. Saqib Saleem Fres 29-Oct-2024');</v>
      </c>
      <c r="H4" s="50" t="str">
        <f t="shared" si="2"/>
        <v>insert into ins_premium_det (premium_rcv_code,assorted_code, rec_amount,premium_rcv_detail_code,remaining_amt, payrec, mode_code,coinsurance_code,class_cd,it_remarks) values('28Oct240058','070000165584','54000',(select max(to_number(i.premium_rcv_detail_code))+1
from ins_premium_det i),'54000','54000','02', '11000003','00','Request by Mr. Saqib Saleem Fres 29-Oct-2024');</v>
      </c>
    </row>
    <row r="5" spans="1:8" ht="90" x14ac:dyDescent="0.25">
      <c r="A5" s="28" t="s">
        <v>70</v>
      </c>
      <c r="B5" s="17" t="str">
        <f>VLOOKUP(A5,'[2]Select ins_assorted'!$B:$C,2,0)</f>
        <v>070000165599</v>
      </c>
      <c r="C5" s="29">
        <v>60000</v>
      </c>
      <c r="D5" s="29">
        <v>60000</v>
      </c>
      <c r="E5" s="46" t="s">
        <v>1857</v>
      </c>
      <c r="F5" s="48" t="str">
        <f t="shared" si="0"/>
        <v>insert into ins_premium_det (premium_rcv_code,assorted_code, rec_amount,premium_rcv_detail_code,remaining_amt, payrec, mode_code,coinsurance_code,class_cd,it_remarks) values</v>
      </c>
      <c r="G5" s="49" t="str">
        <f t="shared" si="1"/>
        <v>('28Oct240058','070000165599','60000',(select max(to_number(i.premium_rcv_detail_code))+1
from ins_premium_det i),'60000','60000','02', '11000003','00','Request by Mr. Saqib Saleem Fres 29-Oct-2024');</v>
      </c>
      <c r="H5" s="50" t="str">
        <f t="shared" si="2"/>
        <v>insert into ins_premium_det (premium_rcv_code,assorted_code, rec_amount,premium_rcv_detail_code,remaining_amt, payrec, mode_code,coinsurance_code,class_cd,it_remarks) values('28Oct240058','070000165599','60000',(select max(to_number(i.premium_rcv_detail_code))+1
from ins_premium_det i),'60000','60000','02', '11000003','00','Request by Mr. Saqib Saleem Fres 29-Oct-2024');</v>
      </c>
    </row>
    <row r="6" spans="1:8" ht="90" x14ac:dyDescent="0.25">
      <c r="A6" s="28" t="s">
        <v>79</v>
      </c>
      <c r="B6" s="17" t="str">
        <f>VLOOKUP(A6,'[2]Select ins_assorted'!$B:$C,2,0)</f>
        <v>070000165649</v>
      </c>
      <c r="C6" s="29">
        <v>60000</v>
      </c>
      <c r="D6" s="29">
        <v>60000</v>
      </c>
      <c r="E6" s="46" t="s">
        <v>1857</v>
      </c>
      <c r="F6" s="48" t="str">
        <f t="shared" si="0"/>
        <v>insert into ins_premium_det (premium_rcv_code,assorted_code, rec_amount,premium_rcv_detail_code,remaining_amt, payrec, mode_code,coinsurance_code,class_cd,it_remarks) values</v>
      </c>
      <c r="G6" s="49" t="str">
        <f t="shared" si="1"/>
        <v>('28Oct240058','070000165649','60000',(select max(to_number(i.premium_rcv_detail_code))+1
from ins_premium_det i),'60000','60000','02', '11000003','00','Request by Mr. Saqib Saleem Fres 29-Oct-2024');</v>
      </c>
      <c r="H6" s="50" t="str">
        <f t="shared" si="2"/>
        <v>insert into ins_premium_det (premium_rcv_code,assorted_code, rec_amount,premium_rcv_detail_code,remaining_amt, payrec, mode_code,coinsurance_code,class_cd,it_remarks) values('28Oct240058','070000165649','60000',(select max(to_number(i.premium_rcv_detail_code))+1
from ins_premium_det i),'60000','60000','02', '11000003','00','Request by Mr. Saqib Saleem Fres 29-Oct-2024');</v>
      </c>
    </row>
    <row r="7" spans="1:8" ht="90" x14ac:dyDescent="0.25">
      <c r="A7" s="28" t="s">
        <v>87</v>
      </c>
      <c r="B7" s="17" t="str">
        <f>VLOOKUP(A7,'[2]Select ins_assorted'!$B:$C,2,0)</f>
        <v>070000165650</v>
      </c>
      <c r="C7" s="29">
        <v>60000</v>
      </c>
      <c r="D7" s="29">
        <v>60000</v>
      </c>
      <c r="E7" s="46" t="s">
        <v>1857</v>
      </c>
      <c r="F7" s="48" t="str">
        <f t="shared" si="0"/>
        <v>insert into ins_premium_det (premium_rcv_code,assorted_code, rec_amount,premium_rcv_detail_code,remaining_amt, payrec, mode_code,coinsurance_code,class_cd,it_remarks) values</v>
      </c>
      <c r="G7" s="49" t="str">
        <f t="shared" si="1"/>
        <v>('28Oct240058','070000165650','60000',(select max(to_number(i.premium_rcv_detail_code))+1
from ins_premium_det i),'60000','60000','02', '11000003','00','Request by Mr. Saqib Saleem Fres 29-Oct-2024');</v>
      </c>
      <c r="H7" s="50" t="str">
        <f t="shared" si="2"/>
        <v>insert into ins_premium_det (premium_rcv_code,assorted_code, rec_amount,premium_rcv_detail_code,remaining_amt, payrec, mode_code,coinsurance_code,class_cd,it_remarks) values('28Oct240058','070000165650','60000',(select max(to_number(i.premium_rcv_detail_code))+1
from ins_premium_det i),'60000','60000','02', '11000003','00','Request by Mr. Saqib Saleem Fres 29-Oct-2024');</v>
      </c>
    </row>
    <row r="8" spans="1:8" ht="90" x14ac:dyDescent="0.25">
      <c r="A8" s="28" t="s">
        <v>96</v>
      </c>
      <c r="B8" s="17" t="str">
        <f>VLOOKUP(A8,'[2]Select ins_assorted'!$B:$C,2,0)</f>
        <v>070000165654</v>
      </c>
      <c r="C8" s="29">
        <v>58500</v>
      </c>
      <c r="D8" s="29">
        <v>58500</v>
      </c>
      <c r="E8" s="46" t="s">
        <v>1857</v>
      </c>
      <c r="F8" s="48" t="str">
        <f t="shared" si="0"/>
        <v>insert into ins_premium_det (premium_rcv_code,assorted_code, rec_amount,premium_rcv_detail_code,remaining_amt, payrec, mode_code,coinsurance_code,class_cd,it_remarks) values</v>
      </c>
      <c r="G8" s="49" t="str">
        <f t="shared" si="1"/>
        <v>('28Oct240058','070000165654','58500',(select max(to_number(i.premium_rcv_detail_code))+1
from ins_premium_det i),'58500','58500','02', '11000003','00','Request by Mr. Saqib Saleem Fres 29-Oct-2024');</v>
      </c>
      <c r="H8" s="50" t="str">
        <f t="shared" si="2"/>
        <v>insert into ins_premium_det (premium_rcv_code,assorted_code, rec_amount,premium_rcv_detail_code,remaining_amt, payrec, mode_code,coinsurance_code,class_cd,it_remarks) values('28Oct240058','070000165654','58500',(select max(to_number(i.premium_rcv_detail_code))+1
from ins_premium_det i),'58500','58500','02', '11000003','00','Request by Mr. Saqib Saleem Fres 29-Oct-2024');</v>
      </c>
    </row>
    <row r="9" spans="1:8" ht="90" x14ac:dyDescent="0.25">
      <c r="A9" s="28" t="s">
        <v>103</v>
      </c>
      <c r="B9" s="17" t="str">
        <f>VLOOKUP(A9,'[2]Select ins_assorted'!$B:$C,2,0)</f>
        <v>070000165657</v>
      </c>
      <c r="C9" s="29">
        <v>70500</v>
      </c>
      <c r="D9" s="29">
        <v>70500</v>
      </c>
      <c r="E9" s="46" t="s">
        <v>1857</v>
      </c>
      <c r="F9" s="48" t="str">
        <f t="shared" si="0"/>
        <v>insert into ins_premium_det (premium_rcv_code,assorted_code, rec_amount,premium_rcv_detail_code,remaining_amt, payrec, mode_code,coinsurance_code,class_cd,it_remarks) values</v>
      </c>
      <c r="G9" s="49" t="str">
        <f t="shared" si="1"/>
        <v>('28Oct240058','070000165657','70500',(select max(to_number(i.premium_rcv_detail_code))+1
from ins_premium_det i),'70500','70500','02', '11000003','00','Request by Mr. Saqib Saleem Fres 29-Oct-2024');</v>
      </c>
      <c r="H9" s="50" t="str">
        <f t="shared" si="2"/>
        <v>insert into ins_premium_det (premium_rcv_code,assorted_code, rec_amount,premium_rcv_detail_code,remaining_amt, payrec, mode_code,coinsurance_code,class_cd,it_remarks) values('28Oct240058','070000165657','70500',(select max(to_number(i.premium_rcv_detail_code))+1
from ins_premium_det i),'70500','70500','02', '11000003','00','Request by Mr. Saqib Saleem Fres 29-Oct-2024');</v>
      </c>
    </row>
    <row r="10" spans="1:8" ht="90" x14ac:dyDescent="0.25">
      <c r="A10" s="28" t="s">
        <v>111</v>
      </c>
      <c r="B10" s="17" t="str">
        <f>VLOOKUP(A10,'[2]Select ins_assorted'!$B:$C,2,0)</f>
        <v>070000165702</v>
      </c>
      <c r="C10" s="29">
        <v>71400</v>
      </c>
      <c r="D10" s="29">
        <v>71400</v>
      </c>
      <c r="E10" s="46" t="s">
        <v>1857</v>
      </c>
      <c r="F10" s="48" t="str">
        <f t="shared" si="0"/>
        <v>insert into ins_premium_det (premium_rcv_code,assorted_code, rec_amount,premium_rcv_detail_code,remaining_amt, payrec, mode_code,coinsurance_code,class_cd,it_remarks) values</v>
      </c>
      <c r="G10" s="49" t="str">
        <f t="shared" si="1"/>
        <v>('28Oct240058','070000165702','71400',(select max(to_number(i.premium_rcv_detail_code))+1
from ins_premium_det i),'71400','71400','02', '11000003','00','Request by Mr. Saqib Saleem Fres 29-Oct-2024');</v>
      </c>
      <c r="H10" s="50" t="str">
        <f t="shared" si="2"/>
        <v>insert into ins_premium_det (premium_rcv_code,assorted_code, rec_amount,premium_rcv_detail_code,remaining_amt, payrec, mode_code,coinsurance_code,class_cd,it_remarks) values('28Oct240058','070000165702','71400',(select max(to_number(i.premium_rcv_detail_code))+1
from ins_premium_det i),'71400','71400','02', '11000003','00','Request by Mr. Saqib Saleem Fres 29-Oct-2024');</v>
      </c>
    </row>
    <row r="11" spans="1:8" ht="90" x14ac:dyDescent="0.25">
      <c r="A11" s="28" t="s">
        <v>118</v>
      </c>
      <c r="B11" s="17" t="str">
        <f>VLOOKUP(A11,'[2]Select ins_assorted'!$B:$C,2,0)</f>
        <v>070000165704</v>
      </c>
      <c r="C11" s="29">
        <v>141434</v>
      </c>
      <c r="D11" s="29">
        <v>141434</v>
      </c>
      <c r="E11" s="46" t="s">
        <v>1857</v>
      </c>
      <c r="F11" s="48" t="str">
        <f t="shared" si="0"/>
        <v>insert into ins_premium_det (premium_rcv_code,assorted_code, rec_amount,premium_rcv_detail_code,remaining_amt, payrec, mode_code,coinsurance_code,class_cd,it_remarks) values</v>
      </c>
      <c r="G11" s="49" t="str">
        <f t="shared" si="1"/>
        <v>('28Oct240058','070000165704','141434',(select max(to_number(i.premium_rcv_detail_code))+1
from ins_premium_det i),'141434','141434','02', '11000003','00','Request by Mr. Saqib Saleem Fres 29-Oct-2024');</v>
      </c>
      <c r="H11" s="50" t="str">
        <f t="shared" si="2"/>
        <v>insert into ins_premium_det (premium_rcv_code,assorted_code, rec_amount,premium_rcv_detail_code,remaining_amt, payrec, mode_code,coinsurance_code,class_cd,it_remarks) values('28Oct240058','070000165704','141434',(select max(to_number(i.premium_rcv_detail_code))+1
from ins_premium_det i),'141434','141434','02', '11000003','00','Request by Mr. Saqib Saleem Fres 29-Oct-2024');</v>
      </c>
    </row>
    <row r="12" spans="1:8" ht="90" x14ac:dyDescent="0.25">
      <c r="A12" s="28" t="s">
        <v>126</v>
      </c>
      <c r="B12" s="17" t="str">
        <f>VLOOKUP(A12,'[2]Select ins_assorted'!$B:$C,2,0)</f>
        <v>070000166126</v>
      </c>
      <c r="C12" s="29">
        <v>96060</v>
      </c>
      <c r="D12" s="29">
        <v>96060</v>
      </c>
      <c r="E12" s="46" t="s">
        <v>1857</v>
      </c>
      <c r="F12" s="48" t="str">
        <f t="shared" si="0"/>
        <v>insert into ins_premium_det (premium_rcv_code,assorted_code, rec_amount,premium_rcv_detail_code,remaining_amt, payrec, mode_code,coinsurance_code,class_cd,it_remarks) values</v>
      </c>
      <c r="G12" s="49" t="str">
        <f t="shared" si="1"/>
        <v>('28Oct240058','070000166126','96060',(select max(to_number(i.premium_rcv_detail_code))+1
from ins_premium_det i),'96060','96060','02', '11000003','00','Request by Mr. Saqib Saleem Fres 29-Oct-2024');</v>
      </c>
      <c r="H12" s="50" t="str">
        <f t="shared" si="2"/>
        <v>insert into ins_premium_det (premium_rcv_code,assorted_code, rec_amount,premium_rcv_detail_code,remaining_amt, payrec, mode_code,coinsurance_code,class_cd,it_remarks) values('28Oct240058','070000166126','96060',(select max(to_number(i.premium_rcv_detail_code))+1
from ins_premium_det i),'96060','96060','02', '11000003','00','Request by Mr. Saqib Saleem Fres 29-Oct-2024');</v>
      </c>
    </row>
    <row r="13" spans="1:8" ht="90" x14ac:dyDescent="0.25">
      <c r="A13" s="28" t="s">
        <v>136</v>
      </c>
      <c r="B13" s="17" t="str">
        <f>VLOOKUP(A13,'[2]Select ins_assorted'!$B:$C,2,0)</f>
        <v>070000165294</v>
      </c>
      <c r="C13" s="29">
        <v>49500</v>
      </c>
      <c r="D13" s="29">
        <v>49500</v>
      </c>
      <c r="E13" s="46" t="s">
        <v>1857</v>
      </c>
      <c r="F13" s="48" t="str">
        <f t="shared" si="0"/>
        <v>insert into ins_premium_det (premium_rcv_code,assorted_code, rec_amount,premium_rcv_detail_code,remaining_amt, payrec, mode_code,coinsurance_code,class_cd,it_remarks) values</v>
      </c>
      <c r="G13" s="49" t="str">
        <f t="shared" si="1"/>
        <v>('28Oct240058','070000165294','49500',(select max(to_number(i.premium_rcv_detail_code))+1
from ins_premium_det i),'49500','49500','02', '11000003','00','Request by Mr. Saqib Saleem Fres 29-Oct-2024');</v>
      </c>
      <c r="H13" s="50" t="str">
        <f t="shared" si="2"/>
        <v>insert into ins_premium_det (premium_rcv_code,assorted_code, rec_amount,premium_rcv_detail_code,remaining_amt, payrec, mode_code,coinsurance_code,class_cd,it_remarks) values('28Oct240058','070000165294','49500',(select max(to_number(i.premium_rcv_detail_code))+1
from ins_premium_det i),'49500','49500','02', '11000003','00','Request by Mr. Saqib Saleem Fres 29-Oct-2024');</v>
      </c>
    </row>
    <row r="14" spans="1:8" ht="90" x14ac:dyDescent="0.25">
      <c r="A14" s="28" t="s">
        <v>144</v>
      </c>
      <c r="B14" s="17" t="str">
        <f>VLOOKUP(A14,'[2]Select ins_assorted'!$B:$C,2,0)</f>
        <v>070000166127</v>
      </c>
      <c r="C14" s="29">
        <v>85500</v>
      </c>
      <c r="D14" s="29">
        <v>85500</v>
      </c>
      <c r="E14" s="46" t="s">
        <v>1857</v>
      </c>
      <c r="F14" s="48" t="str">
        <f t="shared" si="0"/>
        <v>insert into ins_premium_det (premium_rcv_code,assorted_code, rec_amount,premium_rcv_detail_code,remaining_amt, payrec, mode_code,coinsurance_code,class_cd,it_remarks) values</v>
      </c>
      <c r="G14" s="49" t="str">
        <f t="shared" si="1"/>
        <v>('28Oct240058','070000166127','85500',(select max(to_number(i.premium_rcv_detail_code))+1
from ins_premium_det i),'85500','85500','02', '11000003','00','Request by Mr. Saqib Saleem Fres 29-Oct-2024');</v>
      </c>
      <c r="H14" s="50" t="str">
        <f t="shared" si="2"/>
        <v>insert into ins_premium_det (premium_rcv_code,assorted_code, rec_amount,premium_rcv_detail_code,remaining_amt, payrec, mode_code,coinsurance_code,class_cd,it_remarks) values('28Oct240058','070000166127','85500',(select max(to_number(i.premium_rcv_detail_code))+1
from ins_premium_det i),'85500','85500','02', '11000003','00','Request by Mr. Saqib Saleem Fres 29-Oct-2024');</v>
      </c>
    </row>
    <row r="15" spans="1:8" ht="90" x14ac:dyDescent="0.25">
      <c r="A15" s="28" t="s">
        <v>152</v>
      </c>
      <c r="B15" s="17" t="str">
        <f>VLOOKUP(A15,'[2]Select ins_assorted'!$B:$C,2,0)</f>
        <v>070000166136</v>
      </c>
      <c r="C15" s="29">
        <v>67500</v>
      </c>
      <c r="D15" s="29">
        <v>67500</v>
      </c>
      <c r="E15" s="46" t="s">
        <v>1857</v>
      </c>
      <c r="F15" s="48" t="str">
        <f t="shared" si="0"/>
        <v>insert into ins_premium_det (premium_rcv_code,assorted_code, rec_amount,premium_rcv_detail_code,remaining_amt, payrec, mode_code,coinsurance_code,class_cd,it_remarks) values</v>
      </c>
      <c r="G15" s="49" t="str">
        <f t="shared" si="1"/>
        <v>('28Oct240058','070000166136','67500',(select max(to_number(i.premium_rcv_detail_code))+1
from ins_premium_det i),'67500','67500','02', '11000003','00','Request by Mr. Saqib Saleem Fres 29-Oct-2024');</v>
      </c>
      <c r="H15" s="50" t="str">
        <f t="shared" si="2"/>
        <v>insert into ins_premium_det (premium_rcv_code,assorted_code, rec_amount,premium_rcv_detail_code,remaining_amt, payrec, mode_code,coinsurance_code,class_cd,it_remarks) values('28Oct240058','070000166136','67500',(select max(to_number(i.premium_rcv_detail_code))+1
from ins_premium_det i),'67500','67500','02', '11000003','00','Request by Mr. Saqib Saleem Fres 29-Oct-2024');</v>
      </c>
    </row>
    <row r="16" spans="1:8" ht="90" x14ac:dyDescent="0.25">
      <c r="A16" s="28" t="s">
        <v>160</v>
      </c>
      <c r="B16" s="17" t="str">
        <f>VLOOKUP(A16,'[2]Select ins_assorted'!$B:$C,2,0)</f>
        <v>070000166145</v>
      </c>
      <c r="C16" s="29">
        <v>70785</v>
      </c>
      <c r="D16" s="29">
        <v>70785</v>
      </c>
      <c r="E16" s="46" t="s">
        <v>1857</v>
      </c>
      <c r="F16" s="48" t="str">
        <f t="shared" si="0"/>
        <v>insert into ins_premium_det (premium_rcv_code,assorted_code, rec_amount,premium_rcv_detail_code,remaining_amt, payrec, mode_code,coinsurance_code,class_cd,it_remarks) values</v>
      </c>
      <c r="G16" s="49" t="str">
        <f t="shared" si="1"/>
        <v>('28Oct240058','070000166145','70785',(select max(to_number(i.premium_rcv_detail_code))+1
from ins_premium_det i),'70785','70785','02', '11000003','00','Request by Mr. Saqib Saleem Fres 29-Oct-2024');</v>
      </c>
      <c r="H16" s="50" t="str">
        <f t="shared" si="2"/>
        <v>insert into ins_premium_det (premium_rcv_code,assorted_code, rec_amount,premium_rcv_detail_code,remaining_amt, payrec, mode_code,coinsurance_code,class_cd,it_remarks) values('28Oct240058','070000166145','70785',(select max(to_number(i.premium_rcv_detail_code))+1
from ins_premium_det i),'70785','70785','02', '11000003','00','Request by Mr. Saqib Saleem Fres 29-Oct-2024');</v>
      </c>
    </row>
    <row r="17" spans="1:8" ht="90" x14ac:dyDescent="0.25">
      <c r="A17" s="28" t="s">
        <v>167</v>
      </c>
      <c r="B17" s="17" t="str">
        <f>VLOOKUP(A17,'[2]Select ins_assorted'!$B:$C,2,0)</f>
        <v>070000166159</v>
      </c>
      <c r="C17" s="29">
        <v>70500</v>
      </c>
      <c r="D17" s="29">
        <v>70500</v>
      </c>
      <c r="E17" s="46" t="s">
        <v>1857</v>
      </c>
      <c r="F17" s="48" t="str">
        <f t="shared" si="0"/>
        <v>insert into ins_premium_det (premium_rcv_code,assorted_code, rec_amount,premium_rcv_detail_code,remaining_amt, payrec, mode_code,coinsurance_code,class_cd,it_remarks) values</v>
      </c>
      <c r="G17" s="49" t="str">
        <f t="shared" si="1"/>
        <v>('28Oct240058','070000166159','70500',(select max(to_number(i.premium_rcv_detail_code))+1
from ins_premium_det i),'70500','70500','02', '11000003','00','Request by Mr. Saqib Saleem Fres 29-Oct-2024');</v>
      </c>
      <c r="H17" s="50" t="str">
        <f t="shared" si="2"/>
        <v>insert into ins_premium_det (premium_rcv_code,assorted_code, rec_amount,premium_rcv_detail_code,remaining_amt, payrec, mode_code,coinsurance_code,class_cd,it_remarks) values('28Oct240058','070000166159','70500',(select max(to_number(i.premium_rcv_detail_code))+1
from ins_premium_det i),'70500','70500','02', '11000003','00','Request by Mr. Saqib Saleem Fres 29-Oct-2024');</v>
      </c>
    </row>
    <row r="18" spans="1:8" ht="90" x14ac:dyDescent="0.25">
      <c r="A18" s="28" t="s">
        <v>177</v>
      </c>
      <c r="B18" s="17" t="str">
        <f>VLOOKUP(A18,'[2]Select ins_assorted'!$B:$C,2,0)</f>
        <v>070000166169</v>
      </c>
      <c r="C18" s="29">
        <v>69150</v>
      </c>
      <c r="D18" s="29">
        <v>69150</v>
      </c>
      <c r="E18" s="46" t="s">
        <v>1857</v>
      </c>
      <c r="F18" s="48" t="str">
        <f t="shared" si="0"/>
        <v>insert into ins_premium_det (premium_rcv_code,assorted_code, rec_amount,premium_rcv_detail_code,remaining_amt, payrec, mode_code,coinsurance_code,class_cd,it_remarks) values</v>
      </c>
      <c r="G18" s="49" t="str">
        <f t="shared" si="1"/>
        <v>('28Oct240058','070000166169','69150',(select max(to_number(i.premium_rcv_detail_code))+1
from ins_premium_det i),'69150','69150','02', '11000003','00','Request by Mr. Saqib Saleem Fres 29-Oct-2024');</v>
      </c>
      <c r="H18" s="50" t="str">
        <f t="shared" si="2"/>
        <v>insert into ins_premium_det (premium_rcv_code,assorted_code, rec_amount,premium_rcv_detail_code,remaining_amt, payrec, mode_code,coinsurance_code,class_cd,it_remarks) values('28Oct240058','070000166169','69150',(select max(to_number(i.premium_rcv_detail_code))+1
from ins_premium_det i),'69150','69150','02', '11000003','00','Request by Mr. Saqib Saleem Fres 29-Oct-2024');</v>
      </c>
    </row>
    <row r="19" spans="1:8" ht="90" x14ac:dyDescent="0.25">
      <c r="A19" s="28" t="s">
        <v>185</v>
      </c>
      <c r="B19" s="17" t="str">
        <f>VLOOKUP(A19,'[2]Select ins_assorted'!$B:$C,2,0)</f>
        <v>070000166426</v>
      </c>
      <c r="C19" s="29">
        <v>58600</v>
      </c>
      <c r="D19" s="29">
        <v>58600</v>
      </c>
      <c r="E19" s="46" t="s">
        <v>1857</v>
      </c>
      <c r="F19" s="48" t="str">
        <f t="shared" si="0"/>
        <v>insert into ins_premium_det (premium_rcv_code,assorted_code, rec_amount,premium_rcv_detail_code,remaining_amt, payrec, mode_code,coinsurance_code,class_cd,it_remarks) values</v>
      </c>
      <c r="G19" s="49" t="str">
        <f t="shared" si="1"/>
        <v>('28Oct240058','070000166426','58600',(select max(to_number(i.premium_rcv_detail_code))+1
from ins_premium_det i),'58600','58600','02', '11000003','00','Request by Mr. Saqib Saleem Fres 29-Oct-2024');</v>
      </c>
      <c r="H19" s="50" t="str">
        <f t="shared" si="2"/>
        <v>insert into ins_premium_det (premium_rcv_code,assorted_code, rec_amount,premium_rcv_detail_code,remaining_amt, payrec, mode_code,coinsurance_code,class_cd,it_remarks) values('28Oct240058','070000166426','58600',(select max(to_number(i.premium_rcv_detail_code))+1
from ins_premium_det i),'58600','58600','02', '11000003','00','Request by Mr. Saqib Saleem Fres 29-Oct-2024');</v>
      </c>
    </row>
    <row r="20" spans="1:8" ht="90" x14ac:dyDescent="0.25">
      <c r="A20" s="28" t="s">
        <v>192</v>
      </c>
      <c r="B20" s="17" t="str">
        <f>VLOOKUP(A20,'[2]Select ins_assorted'!$B:$C,2,0)</f>
        <v>070000166628</v>
      </c>
      <c r="C20" s="29">
        <v>57750</v>
      </c>
      <c r="D20" s="29">
        <v>57750</v>
      </c>
      <c r="E20" s="46" t="s">
        <v>1857</v>
      </c>
      <c r="F20" s="48" t="str">
        <f t="shared" si="0"/>
        <v>insert into ins_premium_det (premium_rcv_code,assorted_code, rec_amount,premium_rcv_detail_code,remaining_amt, payrec, mode_code,coinsurance_code,class_cd,it_remarks) values</v>
      </c>
      <c r="G20" s="49" t="str">
        <f t="shared" si="1"/>
        <v>('28Oct240058','070000166628','57750',(select max(to_number(i.premium_rcv_detail_code))+1
from ins_premium_det i),'57750','57750','02', '11000003','00','Request by Mr. Saqib Saleem Fres 29-Oct-2024');</v>
      </c>
      <c r="H20" s="50" t="str">
        <f t="shared" si="2"/>
        <v>insert into ins_premium_det (premium_rcv_code,assorted_code, rec_amount,premium_rcv_detail_code,remaining_amt, payrec, mode_code,coinsurance_code,class_cd,it_remarks) values('28Oct240058','070000166628','57750',(select max(to_number(i.premium_rcv_detail_code))+1
from ins_premium_det i),'57750','57750','02', '11000003','00','Request by Mr. Saqib Saleem Fres 29-Oct-2024');</v>
      </c>
    </row>
    <row r="21" spans="1:8" ht="90" x14ac:dyDescent="0.25">
      <c r="A21" s="28" t="s">
        <v>200</v>
      </c>
      <c r="B21" s="17" t="str">
        <f>VLOOKUP(A21,'[2]Select ins_assorted'!$B:$C,2,0)</f>
        <v>070000166665</v>
      </c>
      <c r="C21" s="29">
        <v>54140</v>
      </c>
      <c r="D21" s="29">
        <v>54140</v>
      </c>
      <c r="E21" s="46" t="s">
        <v>1857</v>
      </c>
      <c r="F21" s="48" t="str">
        <f t="shared" si="0"/>
        <v>insert into ins_premium_det (premium_rcv_code,assorted_code, rec_amount,premium_rcv_detail_code,remaining_amt, payrec, mode_code,coinsurance_code,class_cd,it_remarks) values</v>
      </c>
      <c r="G21" s="49" t="str">
        <f t="shared" si="1"/>
        <v>('28Oct240058','070000166665','54140',(select max(to_number(i.premium_rcv_detail_code))+1
from ins_premium_det i),'54140','54140','02', '11000003','00','Request by Mr. Saqib Saleem Fres 29-Oct-2024');</v>
      </c>
      <c r="H21" s="50" t="str">
        <f t="shared" si="2"/>
        <v>insert into ins_premium_det (premium_rcv_code,assorted_code, rec_amount,premium_rcv_detail_code,remaining_amt, payrec, mode_code,coinsurance_code,class_cd,it_remarks) values('28Oct240058','070000166665','54140',(select max(to_number(i.premium_rcv_detail_code))+1
from ins_premium_det i),'54140','54140','02', '11000003','00','Request by Mr. Saqib Saleem Fres 29-Oct-2024');</v>
      </c>
    </row>
    <row r="22" spans="1:8" ht="90" x14ac:dyDescent="0.25">
      <c r="A22" s="28" t="s">
        <v>207</v>
      </c>
      <c r="B22" s="17" t="str">
        <f>VLOOKUP(A22,'[2]Select ins_assorted'!$B:$C,2,0)</f>
        <v>070000166741</v>
      </c>
      <c r="C22" s="29">
        <v>54140</v>
      </c>
      <c r="D22" s="29">
        <v>54140</v>
      </c>
      <c r="E22" s="46" t="s">
        <v>1857</v>
      </c>
      <c r="F22" s="48" t="str">
        <f t="shared" si="0"/>
        <v>insert into ins_premium_det (premium_rcv_code,assorted_code, rec_amount,premium_rcv_detail_code,remaining_amt, payrec, mode_code,coinsurance_code,class_cd,it_remarks) values</v>
      </c>
      <c r="G22" s="49" t="str">
        <f t="shared" si="1"/>
        <v>('28Oct240058','070000166741','54140',(select max(to_number(i.premium_rcv_detail_code))+1
from ins_premium_det i),'54140','54140','02', '11000003','00','Request by Mr. Saqib Saleem Fres 29-Oct-2024');</v>
      </c>
      <c r="H22" s="50" t="str">
        <f t="shared" si="2"/>
        <v>insert into ins_premium_det (premium_rcv_code,assorted_code, rec_amount,premium_rcv_detail_code,remaining_amt, payrec, mode_code,coinsurance_code,class_cd,it_remarks) values('28Oct240058','070000166741','54140',(select max(to_number(i.premium_rcv_detail_code))+1
from ins_premium_det i),'54140','54140','02', '11000003','00','Request by Mr. Saqib Saleem Fres 29-Oct-2024');</v>
      </c>
    </row>
    <row r="23" spans="1:8" ht="90" x14ac:dyDescent="0.25">
      <c r="A23" s="28" t="s">
        <v>214</v>
      </c>
      <c r="B23" s="17" t="str">
        <f>VLOOKUP(A23,'[2]Select ins_assorted'!$B:$C,2,0)</f>
        <v>070000166751</v>
      </c>
      <c r="C23" s="29">
        <v>60000</v>
      </c>
      <c r="D23" s="29">
        <v>60000</v>
      </c>
      <c r="E23" s="46" t="s">
        <v>1857</v>
      </c>
      <c r="F23" s="48" t="str">
        <f t="shared" si="0"/>
        <v>insert into ins_premium_det (premium_rcv_code,assorted_code, rec_amount,premium_rcv_detail_code,remaining_amt, payrec, mode_code,coinsurance_code,class_cd,it_remarks) values</v>
      </c>
      <c r="G23" s="49" t="str">
        <f t="shared" si="1"/>
        <v>('28Oct240058','070000166751','60000',(select max(to_number(i.premium_rcv_detail_code))+1
from ins_premium_det i),'60000','60000','02', '11000003','00','Request by Mr. Saqib Saleem Fres 29-Oct-2024');</v>
      </c>
      <c r="H23" s="50" t="str">
        <f t="shared" si="2"/>
        <v>insert into ins_premium_det (premium_rcv_code,assorted_code, rec_amount,premium_rcv_detail_code,remaining_amt, payrec, mode_code,coinsurance_code,class_cd,it_remarks) values('28Oct240058','070000166751','60000',(select max(to_number(i.premium_rcv_detail_code))+1
from ins_premium_det i),'60000','60000','02', '11000003','00','Request by Mr. Saqib Saleem Fres 29-Oct-2024');</v>
      </c>
    </row>
    <row r="24" spans="1:8" ht="90" x14ac:dyDescent="0.25">
      <c r="A24" s="28" t="s">
        <v>222</v>
      </c>
      <c r="B24" s="17" t="str">
        <f>VLOOKUP(A24,'[2]Select ins_assorted'!$B:$C,2,0)</f>
        <v>070000165318</v>
      </c>
      <c r="C24" s="29">
        <v>68240</v>
      </c>
      <c r="D24" s="29">
        <v>68240</v>
      </c>
      <c r="E24" s="46" t="s">
        <v>1857</v>
      </c>
      <c r="F24" s="48" t="str">
        <f t="shared" si="0"/>
        <v>insert into ins_premium_det (premium_rcv_code,assorted_code, rec_amount,premium_rcv_detail_code,remaining_amt, payrec, mode_code,coinsurance_code,class_cd,it_remarks) values</v>
      </c>
      <c r="G24" s="49" t="str">
        <f t="shared" si="1"/>
        <v>('28Oct240058','070000165318','68240',(select max(to_number(i.premium_rcv_detail_code))+1
from ins_premium_det i),'68240','68240','02', '11000003','00','Request by Mr. Saqib Saleem Fres 29-Oct-2024');</v>
      </c>
      <c r="H24" s="50" t="str">
        <f t="shared" si="2"/>
        <v>insert into ins_premium_det (premium_rcv_code,assorted_code, rec_amount,premium_rcv_detail_code,remaining_amt, payrec, mode_code,coinsurance_code,class_cd,it_remarks) values('28Oct240058','070000165318','68240',(select max(to_number(i.premium_rcv_detail_code))+1
from ins_premium_det i),'68240','68240','02', '11000003','00','Request by Mr. Saqib Saleem Fres 29-Oct-2024');</v>
      </c>
    </row>
    <row r="25" spans="1:8" ht="90" x14ac:dyDescent="0.25">
      <c r="A25" s="28" t="s">
        <v>230</v>
      </c>
      <c r="B25" s="17" t="str">
        <f>VLOOKUP(A25,'[2]Select ins_assorted'!$B:$C,2,0)</f>
        <v>070000166814</v>
      </c>
      <c r="C25" s="29">
        <v>48000</v>
      </c>
      <c r="D25" s="29">
        <v>48000</v>
      </c>
      <c r="E25" s="46" t="s">
        <v>1857</v>
      </c>
      <c r="F25" s="48" t="str">
        <f t="shared" si="0"/>
        <v>insert into ins_premium_det (premium_rcv_code,assorted_code, rec_amount,premium_rcv_detail_code,remaining_amt, payrec, mode_code,coinsurance_code,class_cd,it_remarks) values</v>
      </c>
      <c r="G25" s="49" t="str">
        <f t="shared" si="1"/>
        <v>('28Oct240058','070000166814','48000',(select max(to_number(i.premium_rcv_detail_code))+1
from ins_premium_det i),'48000','48000','02', '11000003','00','Request by Mr. Saqib Saleem Fres 29-Oct-2024');</v>
      </c>
      <c r="H25" s="50" t="str">
        <f t="shared" si="2"/>
        <v>insert into ins_premium_det (premium_rcv_code,assorted_code, rec_amount,premium_rcv_detail_code,remaining_amt, payrec, mode_code,coinsurance_code,class_cd,it_remarks) values('28Oct240058','070000166814','48000',(select max(to_number(i.premium_rcv_detail_code))+1
from ins_premium_det i),'48000','48000','02', '11000003','00','Request by Mr. Saqib Saleem Fres 29-Oct-2024');</v>
      </c>
    </row>
    <row r="26" spans="1:8" ht="90" x14ac:dyDescent="0.25">
      <c r="A26" s="28" t="s">
        <v>238</v>
      </c>
      <c r="B26" s="17" t="str">
        <f>VLOOKUP(A26,'[2]Select ins_assorted'!$B:$C,2,0)</f>
        <v>070000166821</v>
      </c>
      <c r="C26" s="29">
        <v>54000</v>
      </c>
      <c r="D26" s="29">
        <v>54000</v>
      </c>
      <c r="E26" s="46" t="s">
        <v>1857</v>
      </c>
      <c r="F26" s="48" t="str">
        <f t="shared" si="0"/>
        <v>insert into ins_premium_det (premium_rcv_code,assorted_code, rec_amount,premium_rcv_detail_code,remaining_amt, payrec, mode_code,coinsurance_code,class_cd,it_remarks) values</v>
      </c>
      <c r="G26" s="49" t="str">
        <f t="shared" si="1"/>
        <v>('28Oct240058','070000166821','54000',(select max(to_number(i.premium_rcv_detail_code))+1
from ins_premium_det i),'54000','54000','02', '11000003','00','Request by Mr. Saqib Saleem Fres 29-Oct-2024');</v>
      </c>
      <c r="H26" s="50" t="str">
        <f t="shared" si="2"/>
        <v>insert into ins_premium_det (premium_rcv_code,assorted_code, rec_amount,premium_rcv_detail_code,remaining_amt, payrec, mode_code,coinsurance_code,class_cd,it_remarks) values('28Oct240058','070000166821','54000',(select max(to_number(i.premium_rcv_detail_code))+1
from ins_premium_det i),'54000','54000','02', '11000003','00','Request by Mr. Saqib Saleem Fres 29-Oct-2024');</v>
      </c>
    </row>
    <row r="27" spans="1:8" ht="90" x14ac:dyDescent="0.25">
      <c r="A27" s="28" t="s">
        <v>246</v>
      </c>
      <c r="B27" s="17" t="str">
        <f>VLOOKUP(A27,'[2]Select ins_assorted'!$B:$C,2,0)</f>
        <v>070000166827</v>
      </c>
      <c r="C27" s="29">
        <v>24500</v>
      </c>
      <c r="D27" s="29">
        <v>24500</v>
      </c>
      <c r="E27" s="46" t="s">
        <v>1857</v>
      </c>
      <c r="F27" s="48" t="str">
        <f t="shared" si="0"/>
        <v>insert into ins_premium_det (premium_rcv_code,assorted_code, rec_amount,premium_rcv_detail_code,remaining_amt, payrec, mode_code,coinsurance_code,class_cd,it_remarks) values</v>
      </c>
      <c r="G27" s="49" t="str">
        <f t="shared" si="1"/>
        <v>('28Oct240058','070000166827','24500',(select max(to_number(i.premium_rcv_detail_code))+1
from ins_premium_det i),'24500','24500','02', '11000003','00','Request by Mr. Saqib Saleem Fres 29-Oct-2024');</v>
      </c>
      <c r="H27" s="50" t="str">
        <f t="shared" si="2"/>
        <v>insert into ins_premium_det (premium_rcv_code,assorted_code, rec_amount,premium_rcv_detail_code,remaining_amt, payrec, mode_code,coinsurance_code,class_cd,it_remarks) values('28Oct240058','070000166827','24500',(select max(to_number(i.premium_rcv_detail_code))+1
from ins_premium_det i),'24500','24500','02', '11000003','00','Request by Mr. Saqib Saleem Fres 29-Oct-2024');</v>
      </c>
    </row>
    <row r="28" spans="1:8" ht="90" x14ac:dyDescent="0.25">
      <c r="A28" s="28" t="s">
        <v>253</v>
      </c>
      <c r="B28" s="17" t="str">
        <f>VLOOKUP(A28,'[2]Select ins_assorted'!$B:$C,2,0)</f>
        <v>070000166840</v>
      </c>
      <c r="C28" s="29">
        <v>45600</v>
      </c>
      <c r="D28" s="29">
        <v>45600</v>
      </c>
      <c r="E28" s="46" t="s">
        <v>1857</v>
      </c>
      <c r="F28" s="48" t="str">
        <f t="shared" si="0"/>
        <v>insert into ins_premium_det (premium_rcv_code,assorted_code, rec_amount,premium_rcv_detail_code,remaining_amt, payrec, mode_code,coinsurance_code,class_cd,it_remarks) values</v>
      </c>
      <c r="G28" s="49" t="str">
        <f t="shared" si="1"/>
        <v>('28Oct240058','070000166840','45600',(select max(to_number(i.premium_rcv_detail_code))+1
from ins_premium_det i),'45600','45600','02', '11000003','00','Request by Mr. Saqib Saleem Fres 29-Oct-2024');</v>
      </c>
      <c r="H28" s="50" t="str">
        <f t="shared" si="2"/>
        <v>insert into ins_premium_det (premium_rcv_code,assorted_code, rec_amount,premium_rcv_detail_code,remaining_amt, payrec, mode_code,coinsurance_code,class_cd,it_remarks) values('28Oct240058','070000166840','45600',(select max(to_number(i.premium_rcv_detail_code))+1
from ins_premium_det i),'45600','45600','02', '11000003','00','Request by Mr. Saqib Saleem Fres 29-Oct-2024');</v>
      </c>
    </row>
    <row r="29" spans="1:8" ht="90" x14ac:dyDescent="0.25">
      <c r="A29" s="28" t="s">
        <v>261</v>
      </c>
      <c r="B29" s="17" t="str">
        <f>VLOOKUP(A29,'[2]Select ins_assorted'!$B:$C,2,0)</f>
        <v>070000166849</v>
      </c>
      <c r="C29" s="29">
        <v>78000</v>
      </c>
      <c r="D29" s="29">
        <v>78000</v>
      </c>
      <c r="E29" s="46" t="s">
        <v>1857</v>
      </c>
      <c r="F29" s="48" t="str">
        <f t="shared" si="0"/>
        <v>insert into ins_premium_det (premium_rcv_code,assorted_code, rec_amount,premium_rcv_detail_code,remaining_amt, payrec, mode_code,coinsurance_code,class_cd,it_remarks) values</v>
      </c>
      <c r="G29" s="49" t="str">
        <f t="shared" si="1"/>
        <v>('28Oct240058','070000166849','78000',(select max(to_number(i.premium_rcv_detail_code))+1
from ins_premium_det i),'78000','78000','02', '11000003','00','Request by Mr. Saqib Saleem Fres 29-Oct-2024');</v>
      </c>
      <c r="H29" s="50" t="str">
        <f t="shared" si="2"/>
        <v>insert into ins_premium_det (premium_rcv_code,assorted_code, rec_amount,premium_rcv_detail_code,remaining_amt, payrec, mode_code,coinsurance_code,class_cd,it_remarks) values('28Oct240058','070000166849','78000',(select max(to_number(i.premium_rcv_detail_code))+1
from ins_premium_det i),'78000','78000','02', '11000003','00','Request by Mr. Saqib Saleem Fres 29-Oct-2024');</v>
      </c>
    </row>
    <row r="30" spans="1:8" ht="90" x14ac:dyDescent="0.25">
      <c r="A30" s="28" t="s">
        <v>268</v>
      </c>
      <c r="B30" s="17" t="str">
        <f>VLOOKUP(A30,'[2]Select ins_assorted'!$B:$C,2,0)</f>
        <v>070000166862</v>
      </c>
      <c r="C30" s="29">
        <v>60900</v>
      </c>
      <c r="D30" s="29">
        <v>60900</v>
      </c>
      <c r="E30" s="46" t="s">
        <v>1857</v>
      </c>
      <c r="F30" s="48" t="str">
        <f t="shared" si="0"/>
        <v>insert into ins_premium_det (premium_rcv_code,assorted_code, rec_amount,premium_rcv_detail_code,remaining_amt, payrec, mode_code,coinsurance_code,class_cd,it_remarks) values</v>
      </c>
      <c r="G30" s="49" t="str">
        <f t="shared" si="1"/>
        <v>('28Oct240058','070000166862','60900',(select max(to_number(i.premium_rcv_detail_code))+1
from ins_premium_det i),'60900','60900','02', '11000003','00','Request by Mr. Saqib Saleem Fres 29-Oct-2024');</v>
      </c>
      <c r="H30" s="50" t="str">
        <f t="shared" si="2"/>
        <v>insert into ins_premium_det (premium_rcv_code,assorted_code, rec_amount,premium_rcv_detail_code,remaining_amt, payrec, mode_code,coinsurance_code,class_cd,it_remarks) values('28Oct240058','070000166862','60900',(select max(to_number(i.premium_rcv_detail_code))+1
from ins_premium_det i),'60900','60900','02', '11000003','00','Request by Mr. Saqib Saleem Fres 29-Oct-2024');</v>
      </c>
    </row>
    <row r="31" spans="1:8" ht="90" x14ac:dyDescent="0.25">
      <c r="A31" s="28" t="s">
        <v>275</v>
      </c>
      <c r="B31" s="17" t="str">
        <f>VLOOKUP(A31,'[2]Select ins_assorted'!$B:$C,2,0)</f>
        <v>070000166864</v>
      </c>
      <c r="C31" s="29">
        <v>90000</v>
      </c>
      <c r="D31" s="29">
        <v>90000</v>
      </c>
      <c r="E31" s="46" t="s">
        <v>1857</v>
      </c>
      <c r="F31" s="48" t="str">
        <f t="shared" si="0"/>
        <v>insert into ins_premium_det (premium_rcv_code,assorted_code, rec_amount,premium_rcv_detail_code,remaining_amt, payrec, mode_code,coinsurance_code,class_cd,it_remarks) values</v>
      </c>
      <c r="G31" s="49" t="str">
        <f t="shared" si="1"/>
        <v>('28Oct240058','070000166864','90000',(select max(to_number(i.premium_rcv_detail_code))+1
from ins_premium_det i),'90000','90000','02', '11000003','00','Request by Mr. Saqib Saleem Fres 29-Oct-2024');</v>
      </c>
      <c r="H31" s="50" t="str">
        <f t="shared" si="2"/>
        <v>insert into ins_premium_det (premium_rcv_code,assorted_code, rec_amount,premium_rcv_detail_code,remaining_amt, payrec, mode_code,coinsurance_code,class_cd,it_remarks) values('28Oct240058','070000166864','90000',(select max(to_number(i.premium_rcv_detail_code))+1
from ins_premium_det i),'90000','90000','02', '11000003','00','Request by Mr. Saqib Saleem Fres 29-Oct-2024');</v>
      </c>
    </row>
    <row r="32" spans="1:8" ht="90" x14ac:dyDescent="0.25">
      <c r="A32" s="28" t="s">
        <v>283</v>
      </c>
      <c r="B32" s="17" t="str">
        <f>VLOOKUP(A32,'[2]Select ins_assorted'!$B:$C,2,0)</f>
        <v>070000166870</v>
      </c>
      <c r="C32" s="29">
        <v>121485</v>
      </c>
      <c r="D32" s="29">
        <v>121485</v>
      </c>
      <c r="E32" s="46" t="s">
        <v>1857</v>
      </c>
      <c r="F32" s="48" t="str">
        <f t="shared" si="0"/>
        <v>insert into ins_premium_det (premium_rcv_code,assorted_code, rec_amount,premium_rcv_detail_code,remaining_amt, payrec, mode_code,coinsurance_code,class_cd,it_remarks) values</v>
      </c>
      <c r="G32" s="49" t="str">
        <f t="shared" si="1"/>
        <v>('28Oct240058','070000166870','121485',(select max(to_number(i.premium_rcv_detail_code))+1
from ins_premium_det i),'121485','121485','02', '11000003','00','Request by Mr. Saqib Saleem Fres 29-Oct-2024');</v>
      </c>
      <c r="H32" s="50" t="str">
        <f t="shared" si="2"/>
        <v>insert into ins_premium_det (premium_rcv_code,assorted_code, rec_amount,premium_rcv_detail_code,remaining_amt, payrec, mode_code,coinsurance_code,class_cd,it_remarks) values('28Oct240058','070000166870','121485',(select max(to_number(i.premium_rcv_detail_code))+1
from ins_premium_det i),'121485','121485','02', '11000003','00','Request by Mr. Saqib Saleem Fres 29-Oct-2024');</v>
      </c>
    </row>
    <row r="33" spans="1:8" ht="90" x14ac:dyDescent="0.25">
      <c r="A33" s="28" t="s">
        <v>290</v>
      </c>
      <c r="B33" s="17" t="str">
        <f>VLOOKUP(A33,'[2]Select ins_assorted'!$B:$C,2,0)</f>
        <v>070000166892</v>
      </c>
      <c r="C33" s="29">
        <v>50000</v>
      </c>
      <c r="D33" s="29">
        <v>50000</v>
      </c>
      <c r="E33" s="46" t="s">
        <v>1857</v>
      </c>
      <c r="F33" s="48" t="str">
        <f t="shared" si="0"/>
        <v>insert into ins_premium_det (premium_rcv_code,assorted_code, rec_amount,premium_rcv_detail_code,remaining_amt, payrec, mode_code,coinsurance_code,class_cd,it_remarks) values</v>
      </c>
      <c r="G33" s="49" t="str">
        <f t="shared" si="1"/>
        <v>('28Oct240058','070000166892','50000',(select max(to_number(i.premium_rcv_detail_code))+1
from ins_premium_det i),'50000','50000','02', '11000003','00','Request by Mr. Saqib Saleem Fres 29-Oct-2024');</v>
      </c>
      <c r="H33" s="50" t="str">
        <f t="shared" si="2"/>
        <v>insert into ins_premium_det (premium_rcv_code,assorted_code, rec_amount,premium_rcv_detail_code,remaining_amt, payrec, mode_code,coinsurance_code,class_cd,it_remarks) values('28Oct240058','070000166892','50000',(select max(to_number(i.premium_rcv_detail_code))+1
from ins_premium_det i),'50000','50000','02', '11000003','00','Request by Mr. Saqib Saleem Fres 29-Oct-2024');</v>
      </c>
    </row>
    <row r="34" spans="1:8" ht="90" x14ac:dyDescent="0.25">
      <c r="A34" s="28" t="s">
        <v>297</v>
      </c>
      <c r="B34" s="17" t="str">
        <f>VLOOKUP(A34,'[2]Select ins_assorted'!$B:$C,2,0)</f>
        <v>070000166895</v>
      </c>
      <c r="C34" s="29">
        <v>51000</v>
      </c>
      <c r="D34" s="29">
        <v>51000</v>
      </c>
      <c r="E34" s="46" t="s">
        <v>1857</v>
      </c>
      <c r="F34" s="48" t="str">
        <f t="shared" si="0"/>
        <v>insert into ins_premium_det (premium_rcv_code,assorted_code, rec_amount,premium_rcv_detail_code,remaining_amt, payrec, mode_code,coinsurance_code,class_cd,it_remarks) values</v>
      </c>
      <c r="G34" s="49" t="str">
        <f t="shared" si="1"/>
        <v>('28Oct240058','070000166895','51000',(select max(to_number(i.premium_rcv_detail_code))+1
from ins_premium_det i),'51000','51000','02', '11000003','00','Request by Mr. Saqib Saleem Fres 29-Oct-2024');</v>
      </c>
      <c r="H34" s="50" t="str">
        <f t="shared" si="2"/>
        <v>insert into ins_premium_det (premium_rcv_code,assorted_code, rec_amount,premium_rcv_detail_code,remaining_amt, payrec, mode_code,coinsurance_code,class_cd,it_remarks) values('28Oct240058','070000166895','51000',(select max(to_number(i.premium_rcv_detail_code))+1
from ins_premium_det i),'51000','51000','02', '11000003','00','Request by Mr. Saqib Saleem Fres 29-Oct-2024');</v>
      </c>
    </row>
    <row r="35" spans="1:8" ht="90" x14ac:dyDescent="0.25">
      <c r="A35" s="28" t="s">
        <v>305</v>
      </c>
      <c r="B35" s="17" t="str">
        <f>VLOOKUP(A35,'[2]Select ins_assorted'!$B:$C,2,0)</f>
        <v>070000165322</v>
      </c>
      <c r="C35" s="29">
        <v>67000</v>
      </c>
      <c r="D35" s="29">
        <v>67000</v>
      </c>
      <c r="E35" s="46" t="s">
        <v>1857</v>
      </c>
      <c r="F35" s="48" t="str">
        <f t="shared" si="0"/>
        <v>insert into ins_premium_det (premium_rcv_code,assorted_code, rec_amount,premium_rcv_detail_code,remaining_amt, payrec, mode_code,coinsurance_code,class_cd,it_remarks) values</v>
      </c>
      <c r="G35" s="49" t="str">
        <f t="shared" si="1"/>
        <v>('28Oct240058','070000165322','67000',(select max(to_number(i.premium_rcv_detail_code))+1
from ins_premium_det i),'67000','67000','02', '11000003','00','Request by Mr. Saqib Saleem Fres 29-Oct-2024');</v>
      </c>
      <c r="H35" s="50" t="str">
        <f t="shared" si="2"/>
        <v>insert into ins_premium_det (premium_rcv_code,assorted_code, rec_amount,premium_rcv_detail_code,remaining_amt, payrec, mode_code,coinsurance_code,class_cd,it_remarks) values('28Oct240058','070000165322','67000',(select max(to_number(i.premium_rcv_detail_code))+1
from ins_premium_det i),'67000','67000','02', '11000003','00','Request by Mr. Saqib Saleem Fres 29-Oct-2024');</v>
      </c>
    </row>
    <row r="36" spans="1:8" ht="90" x14ac:dyDescent="0.25">
      <c r="A36" s="28" t="s">
        <v>313</v>
      </c>
      <c r="B36" s="17" t="str">
        <f>VLOOKUP(A36,'[2]Select ins_assorted'!$B:$C,2,0)</f>
        <v>070000166896</v>
      </c>
      <c r="C36" s="29">
        <v>43000</v>
      </c>
      <c r="D36" s="29">
        <v>43000</v>
      </c>
      <c r="E36" s="46" t="s">
        <v>1857</v>
      </c>
      <c r="F36" s="48" t="str">
        <f t="shared" si="0"/>
        <v>insert into ins_premium_det (premium_rcv_code,assorted_code, rec_amount,premium_rcv_detail_code,remaining_amt, payrec, mode_code,coinsurance_code,class_cd,it_remarks) values</v>
      </c>
      <c r="G36" s="49" t="str">
        <f t="shared" si="1"/>
        <v>('28Oct240058','070000166896','43000',(select max(to_number(i.premium_rcv_detail_code))+1
from ins_premium_det i),'43000','43000','02', '11000003','00','Request by Mr. Saqib Saleem Fres 29-Oct-2024');</v>
      </c>
      <c r="H36" s="50" t="str">
        <f t="shared" si="2"/>
        <v>insert into ins_premium_det (premium_rcv_code,assorted_code, rec_amount,premium_rcv_detail_code,remaining_amt, payrec, mode_code,coinsurance_code,class_cd,it_remarks) values('28Oct240058','070000166896','43000',(select max(to_number(i.premium_rcv_detail_code))+1
from ins_premium_det i),'43000','43000','02', '11000003','00','Request by Mr. Saqib Saleem Fres 29-Oct-2024');</v>
      </c>
    </row>
    <row r="37" spans="1:8" ht="90" x14ac:dyDescent="0.25">
      <c r="A37" s="28" t="s">
        <v>320</v>
      </c>
      <c r="B37" s="17" t="str">
        <f>VLOOKUP(A37,'[2]Select ins_assorted'!$B:$C,2,0)</f>
        <v>070000166897</v>
      </c>
      <c r="C37" s="29">
        <v>66000</v>
      </c>
      <c r="D37" s="29">
        <v>66000</v>
      </c>
      <c r="E37" s="46" t="s">
        <v>1857</v>
      </c>
      <c r="F37" s="48" t="str">
        <f t="shared" si="0"/>
        <v>insert into ins_premium_det (premium_rcv_code,assorted_code, rec_amount,premium_rcv_detail_code,remaining_amt, payrec, mode_code,coinsurance_code,class_cd,it_remarks) values</v>
      </c>
      <c r="G37" s="49" t="str">
        <f t="shared" si="1"/>
        <v>('28Oct240058','070000166897','66000',(select max(to_number(i.premium_rcv_detail_code))+1
from ins_premium_det i),'66000','66000','02', '11000003','00','Request by Mr. Saqib Saleem Fres 29-Oct-2024');</v>
      </c>
      <c r="H37" s="50" t="str">
        <f t="shared" si="2"/>
        <v>insert into ins_premium_det (premium_rcv_code,assorted_code, rec_amount,premium_rcv_detail_code,remaining_amt, payrec, mode_code,coinsurance_code,class_cd,it_remarks) values('28Oct240058','070000166897','66000',(select max(to_number(i.premium_rcv_detail_code))+1
from ins_premium_det i),'66000','66000','02', '11000003','00','Request by Mr. Saqib Saleem Fres 29-Oct-2024');</v>
      </c>
    </row>
    <row r="38" spans="1:8" ht="90" x14ac:dyDescent="0.25">
      <c r="A38" s="28" t="s">
        <v>327</v>
      </c>
      <c r="B38" s="17" t="str">
        <f>VLOOKUP(A38,'[2]Select ins_assorted'!$B:$C,2,0)</f>
        <v>070000166898</v>
      </c>
      <c r="C38" s="29">
        <v>64000</v>
      </c>
      <c r="D38" s="29">
        <v>64000</v>
      </c>
      <c r="E38" s="46" t="s">
        <v>1857</v>
      </c>
      <c r="F38" s="48" t="str">
        <f t="shared" si="0"/>
        <v>insert into ins_premium_det (premium_rcv_code,assorted_code, rec_amount,premium_rcv_detail_code,remaining_amt, payrec, mode_code,coinsurance_code,class_cd,it_remarks) values</v>
      </c>
      <c r="G38" s="49" t="str">
        <f t="shared" si="1"/>
        <v>('28Oct240058','070000166898','64000',(select max(to_number(i.premium_rcv_detail_code))+1
from ins_premium_det i),'64000','64000','02', '11000003','00','Request by Mr. Saqib Saleem Fres 29-Oct-2024');</v>
      </c>
      <c r="H38" s="50" t="str">
        <f t="shared" si="2"/>
        <v>insert into ins_premium_det (premium_rcv_code,assorted_code, rec_amount,premium_rcv_detail_code,remaining_amt, payrec, mode_code,coinsurance_code,class_cd,it_remarks) values('28Oct240058','070000166898','64000',(select max(to_number(i.premium_rcv_detail_code))+1
from ins_premium_det i),'64000','64000','02', '11000003','00','Request by Mr. Saqib Saleem Fres 29-Oct-2024');</v>
      </c>
    </row>
    <row r="39" spans="1:8" ht="90" x14ac:dyDescent="0.25">
      <c r="A39" s="28" t="s">
        <v>335</v>
      </c>
      <c r="B39" s="17" t="str">
        <f>VLOOKUP(A39,'[2]Select ins_assorted'!$B:$C,2,0)</f>
        <v>070000166899</v>
      </c>
      <c r="C39" s="29">
        <v>38800</v>
      </c>
      <c r="D39" s="29">
        <v>38800</v>
      </c>
      <c r="E39" s="46" t="s">
        <v>1857</v>
      </c>
      <c r="F39" s="48" t="str">
        <f t="shared" si="0"/>
        <v>insert into ins_premium_det (premium_rcv_code,assorted_code, rec_amount,premium_rcv_detail_code,remaining_amt, payrec, mode_code,coinsurance_code,class_cd,it_remarks) values</v>
      </c>
      <c r="G39" s="49" t="str">
        <f t="shared" si="1"/>
        <v>('28Oct240058','070000166899','38800',(select max(to_number(i.premium_rcv_detail_code))+1
from ins_premium_det i),'38800','38800','02', '11000003','00','Request by Mr. Saqib Saleem Fres 29-Oct-2024');</v>
      </c>
      <c r="H39" s="50" t="str">
        <f t="shared" si="2"/>
        <v>insert into ins_premium_det (premium_rcv_code,assorted_code, rec_amount,premium_rcv_detail_code,remaining_amt, payrec, mode_code,coinsurance_code,class_cd,it_remarks) values('28Oct240058','070000166899','38800',(select max(to_number(i.premium_rcv_detail_code))+1
from ins_premium_det i),'38800','38800','02', '11000003','00','Request by Mr. Saqib Saleem Fres 29-Oct-2024');</v>
      </c>
    </row>
    <row r="40" spans="1:8" ht="90" x14ac:dyDescent="0.25">
      <c r="A40" s="28" t="s">
        <v>342</v>
      </c>
      <c r="B40" s="17" t="str">
        <f>VLOOKUP(A40,'[2]Select ins_assorted'!$B:$C,2,0)</f>
        <v>070000166900</v>
      </c>
      <c r="C40" s="29">
        <v>40000</v>
      </c>
      <c r="D40" s="29">
        <v>40000</v>
      </c>
      <c r="E40" s="46" t="s">
        <v>1857</v>
      </c>
      <c r="F40" s="48" t="str">
        <f t="shared" si="0"/>
        <v>insert into ins_premium_det (premium_rcv_code,assorted_code, rec_amount,premium_rcv_detail_code,remaining_amt, payrec, mode_code,coinsurance_code,class_cd,it_remarks) values</v>
      </c>
      <c r="G40" s="49" t="str">
        <f t="shared" si="1"/>
        <v>('28Oct240058','070000166900','40000',(select max(to_number(i.premium_rcv_detail_code))+1
from ins_premium_det i),'40000','40000','02', '11000003','00','Request by Mr. Saqib Saleem Fres 29-Oct-2024');</v>
      </c>
      <c r="H40" s="50" t="str">
        <f t="shared" si="2"/>
        <v>insert into ins_premium_det (premium_rcv_code,assorted_code, rec_amount,premium_rcv_detail_code,remaining_amt, payrec, mode_code,coinsurance_code,class_cd,it_remarks) values('28Oct240058','070000166900','40000',(select max(to_number(i.premium_rcv_detail_code))+1
from ins_premium_det i),'40000','40000','02', '11000003','00','Request by Mr. Saqib Saleem Fres 29-Oct-2024');</v>
      </c>
    </row>
    <row r="41" spans="1:8" ht="90" x14ac:dyDescent="0.25">
      <c r="A41" s="28" t="s">
        <v>349</v>
      </c>
      <c r="B41" s="17" t="str">
        <f>VLOOKUP(A41,'[2]Select ins_assorted'!$B:$C,2,0)</f>
        <v>070000166901</v>
      </c>
      <c r="C41" s="29">
        <v>46000</v>
      </c>
      <c r="D41" s="29">
        <v>46000</v>
      </c>
      <c r="E41" s="46" t="s">
        <v>1857</v>
      </c>
      <c r="F41" s="48" t="str">
        <f t="shared" si="0"/>
        <v>insert into ins_premium_det (premium_rcv_code,assorted_code, rec_amount,premium_rcv_detail_code,remaining_amt, payrec, mode_code,coinsurance_code,class_cd,it_remarks) values</v>
      </c>
      <c r="G41" s="49" t="str">
        <f t="shared" si="1"/>
        <v>('28Oct240058','070000166901','46000',(select max(to_number(i.premium_rcv_detail_code))+1
from ins_premium_det i),'46000','46000','02', '11000003','00','Request by Mr. Saqib Saleem Fres 29-Oct-2024');</v>
      </c>
      <c r="H41" s="50" t="str">
        <f t="shared" si="2"/>
        <v>insert into ins_premium_det (premium_rcv_code,assorted_code, rec_amount,premium_rcv_detail_code,remaining_amt, payrec, mode_code,coinsurance_code,class_cd,it_remarks) values('28Oct240058','070000166901','46000',(select max(to_number(i.premium_rcv_detail_code))+1
from ins_premium_det i),'46000','46000','02', '11000003','00','Request by Mr. Saqib Saleem Fres 29-Oct-2024');</v>
      </c>
    </row>
    <row r="42" spans="1:8" ht="90" x14ac:dyDescent="0.25">
      <c r="A42" s="28" t="s">
        <v>356</v>
      </c>
      <c r="B42" s="17" t="str">
        <f>VLOOKUP(A42,'[2]Select ins_assorted'!$B:$C,2,0)</f>
        <v>070000166904</v>
      </c>
      <c r="C42" s="29">
        <v>70785</v>
      </c>
      <c r="D42" s="29">
        <v>70785</v>
      </c>
      <c r="E42" s="46" t="s">
        <v>1857</v>
      </c>
      <c r="F42" s="48" t="str">
        <f t="shared" si="0"/>
        <v>insert into ins_premium_det (premium_rcv_code,assorted_code, rec_amount,premium_rcv_detail_code,remaining_amt, payrec, mode_code,coinsurance_code,class_cd,it_remarks) values</v>
      </c>
      <c r="G42" s="49" t="str">
        <f t="shared" si="1"/>
        <v>('28Oct240058','070000166904','70785',(select max(to_number(i.premium_rcv_detail_code))+1
from ins_premium_det i),'70785','70785','02', '11000003','00','Request by Mr. Saqib Saleem Fres 29-Oct-2024');</v>
      </c>
      <c r="H42" s="50" t="str">
        <f t="shared" si="2"/>
        <v>insert into ins_premium_det (premium_rcv_code,assorted_code, rec_amount,premium_rcv_detail_code,remaining_amt, payrec, mode_code,coinsurance_code,class_cd,it_remarks) values('28Oct240058','070000166904','70785',(select max(to_number(i.premium_rcv_detail_code))+1
from ins_premium_det i),'70785','70785','02', '11000003','00','Request by Mr. Saqib Saleem Fres 29-Oct-2024');</v>
      </c>
    </row>
    <row r="43" spans="1:8" ht="90" x14ac:dyDescent="0.25">
      <c r="A43" s="28" t="s">
        <v>362</v>
      </c>
      <c r="B43" s="17" t="str">
        <f>VLOOKUP(A43,'[2]Select ins_assorted'!$B:$C,2,0)</f>
        <v>070000166905</v>
      </c>
      <c r="C43" s="29">
        <v>54140</v>
      </c>
      <c r="D43" s="29">
        <v>54140</v>
      </c>
      <c r="E43" s="46" t="s">
        <v>1857</v>
      </c>
      <c r="F43" s="48" t="str">
        <f t="shared" si="0"/>
        <v>insert into ins_premium_det (premium_rcv_code,assorted_code, rec_amount,premium_rcv_detail_code,remaining_amt, payrec, mode_code,coinsurance_code,class_cd,it_remarks) values</v>
      </c>
      <c r="G43" s="49" t="str">
        <f t="shared" si="1"/>
        <v>('28Oct240058','070000166905','54140',(select max(to_number(i.premium_rcv_detail_code))+1
from ins_premium_det i),'54140','54140','02', '11000003','00','Request by Mr. Saqib Saleem Fres 29-Oct-2024');</v>
      </c>
      <c r="H43" s="50" t="str">
        <f t="shared" si="2"/>
        <v>insert into ins_premium_det (premium_rcv_code,assorted_code, rec_amount,premium_rcv_detail_code,remaining_amt, payrec, mode_code,coinsurance_code,class_cd,it_remarks) values('28Oct240058','070000166905','54140',(select max(to_number(i.premium_rcv_detail_code))+1
from ins_premium_det i),'54140','54140','02', '11000003','00','Request by Mr. Saqib Saleem Fres 29-Oct-2024');</v>
      </c>
    </row>
    <row r="44" spans="1:8" ht="90" x14ac:dyDescent="0.25">
      <c r="A44" s="28" t="s">
        <v>368</v>
      </c>
      <c r="B44" s="17" t="str">
        <f>VLOOKUP(A44,'[2]Select ins_assorted'!$B:$C,2,0)</f>
        <v>070000166906</v>
      </c>
      <c r="C44" s="29">
        <v>75000</v>
      </c>
      <c r="D44" s="29">
        <v>75000</v>
      </c>
      <c r="E44" s="46" t="s">
        <v>1857</v>
      </c>
      <c r="F44" s="48" t="str">
        <f t="shared" si="0"/>
        <v>insert into ins_premium_det (premium_rcv_code,assorted_code, rec_amount,premium_rcv_detail_code,remaining_amt, payrec, mode_code,coinsurance_code,class_cd,it_remarks) values</v>
      </c>
      <c r="G44" s="49" t="str">
        <f t="shared" si="1"/>
        <v>('28Oct240058','070000166906','75000',(select max(to_number(i.premium_rcv_detail_code))+1
from ins_premium_det i),'75000','75000','02', '11000003','00','Request by Mr. Saqib Saleem Fres 29-Oct-2024');</v>
      </c>
      <c r="H44" s="50" t="str">
        <f t="shared" si="2"/>
        <v>insert into ins_premium_det (premium_rcv_code,assorted_code, rec_amount,premium_rcv_detail_code,remaining_amt, payrec, mode_code,coinsurance_code,class_cd,it_remarks) values('28Oct240058','070000166906','75000',(select max(to_number(i.premium_rcv_detail_code))+1
from ins_premium_det i),'75000','75000','02', '11000003','00','Request by Mr. Saqib Saleem Fres 29-Oct-2024');</v>
      </c>
    </row>
    <row r="45" spans="1:8" ht="90" x14ac:dyDescent="0.25">
      <c r="A45" s="28" t="s">
        <v>375</v>
      </c>
      <c r="B45" s="17" t="str">
        <f>VLOOKUP(A45,'[2]Select ins_assorted'!$B:$C,2,0)</f>
        <v>070000165427</v>
      </c>
      <c r="C45" s="29">
        <v>46000</v>
      </c>
      <c r="D45" s="29">
        <v>46000</v>
      </c>
      <c r="E45" s="46" t="s">
        <v>1857</v>
      </c>
      <c r="F45" s="48" t="str">
        <f t="shared" si="0"/>
        <v>insert into ins_premium_det (premium_rcv_code,assorted_code, rec_amount,premium_rcv_detail_code,remaining_amt, payrec, mode_code,coinsurance_code,class_cd,it_remarks) values</v>
      </c>
      <c r="G45" s="49" t="str">
        <f t="shared" si="1"/>
        <v>('28Oct240058','070000165427','46000',(select max(to_number(i.premium_rcv_detail_code))+1
from ins_premium_det i),'46000','46000','02', '11000003','00','Request by Mr. Saqib Saleem Fres 29-Oct-2024');</v>
      </c>
      <c r="H45" s="50" t="str">
        <f t="shared" si="2"/>
        <v>insert into ins_premium_det (premium_rcv_code,assorted_code, rec_amount,premium_rcv_detail_code,remaining_amt, payrec, mode_code,coinsurance_code,class_cd,it_remarks) values('28Oct240058','070000165427','46000',(select max(to_number(i.premium_rcv_detail_code))+1
from ins_premium_det i),'46000','46000','02', '11000003','00','Request by Mr. Saqib Saleem Fres 29-Oct-2024');</v>
      </c>
    </row>
    <row r="46" spans="1:8" ht="90" x14ac:dyDescent="0.25">
      <c r="A46" s="28" t="s">
        <v>383</v>
      </c>
      <c r="B46" s="17" t="str">
        <f>VLOOKUP(A46,'[2]Select ins_assorted'!$B:$C,2,0)</f>
        <v>070000165436</v>
      </c>
      <c r="C46" s="29">
        <v>64500</v>
      </c>
      <c r="D46" s="29">
        <v>64500</v>
      </c>
      <c r="E46" s="46" t="s">
        <v>1857</v>
      </c>
      <c r="F46" s="48" t="str">
        <f t="shared" si="0"/>
        <v>insert into ins_premium_det (premium_rcv_code,assorted_code, rec_amount,premium_rcv_detail_code,remaining_amt, payrec, mode_code,coinsurance_code,class_cd,it_remarks) values</v>
      </c>
      <c r="G46" s="49" t="str">
        <f t="shared" si="1"/>
        <v>('28Oct240058','070000165436','64500',(select max(to_number(i.premium_rcv_detail_code))+1
from ins_premium_det i),'64500','64500','02', '11000003','00','Request by Mr. Saqib Saleem Fres 29-Oct-2024');</v>
      </c>
      <c r="H46" s="50" t="str">
        <f t="shared" si="2"/>
        <v>insert into ins_premium_det (premium_rcv_code,assorted_code, rec_amount,premium_rcv_detail_code,remaining_amt, payrec, mode_code,coinsurance_code,class_cd,it_remarks) values('28Oct240058','070000165436','64500',(select max(to_number(i.premium_rcv_detail_code))+1
from ins_premium_det i),'64500','64500','02', '11000003','00','Request by Mr. Saqib Saleem Fres 29-Oct-2024');</v>
      </c>
    </row>
    <row r="47" spans="1:8" ht="90" x14ac:dyDescent="0.25">
      <c r="A47" s="28" t="s">
        <v>391</v>
      </c>
      <c r="B47" s="17" t="str">
        <f>VLOOKUP(A47,'[2]Select ins_assorted'!$B:$C,2,0)</f>
        <v>070000165439</v>
      </c>
      <c r="C47" s="29">
        <v>56000</v>
      </c>
      <c r="D47" s="29">
        <v>56000</v>
      </c>
      <c r="E47" s="46" t="s">
        <v>1857</v>
      </c>
      <c r="F47" s="48" t="str">
        <f t="shared" si="0"/>
        <v>insert into ins_premium_det (premium_rcv_code,assorted_code, rec_amount,premium_rcv_detail_code,remaining_amt, payrec, mode_code,coinsurance_code,class_cd,it_remarks) values</v>
      </c>
      <c r="G47" s="49" t="str">
        <f t="shared" si="1"/>
        <v>('28Oct240058','070000165439','56000',(select max(to_number(i.premium_rcv_detail_code))+1
from ins_premium_det i),'56000','56000','02', '11000003','00','Request by Mr. Saqib Saleem Fres 29-Oct-2024');</v>
      </c>
      <c r="H47" s="50" t="str">
        <f t="shared" si="2"/>
        <v>insert into ins_premium_det (premium_rcv_code,assorted_code, rec_amount,premium_rcv_detail_code,remaining_amt, payrec, mode_code,coinsurance_code,class_cd,it_remarks) values('28Oct240058','070000165439','56000',(select max(to_number(i.premium_rcv_detail_code))+1
from ins_premium_det i),'56000','56000','02', '11000003','00','Request by Mr. Saqib Saleem Fres 29-Oct-2024');</v>
      </c>
    </row>
    <row r="48" spans="1:8" ht="90" x14ac:dyDescent="0.25">
      <c r="A48" s="28" t="s">
        <v>398</v>
      </c>
      <c r="B48" s="17" t="str">
        <f>VLOOKUP(A48,'[2]Select ins_assorted'!$B:$C,2,0)</f>
        <v>070000165478</v>
      </c>
      <c r="C48" s="29">
        <v>70785</v>
      </c>
      <c r="D48" s="29">
        <v>70785</v>
      </c>
      <c r="E48" s="46" t="s">
        <v>1857</v>
      </c>
      <c r="F48" s="48" t="str">
        <f t="shared" si="0"/>
        <v>insert into ins_premium_det (premium_rcv_code,assorted_code, rec_amount,premium_rcv_detail_code,remaining_amt, payrec, mode_code,coinsurance_code,class_cd,it_remarks) values</v>
      </c>
      <c r="G48" s="49" t="str">
        <f t="shared" si="1"/>
        <v>('28Oct240058','070000165478','70785',(select max(to_number(i.premium_rcv_detail_code))+1
from ins_premium_det i),'70785','70785','02', '11000003','00','Request by Mr. Saqib Saleem Fres 29-Oct-2024');</v>
      </c>
      <c r="H48" s="50" t="str">
        <f t="shared" si="2"/>
        <v>insert into ins_premium_det (premium_rcv_code,assorted_code, rec_amount,premium_rcv_detail_code,remaining_amt, payrec, mode_code,coinsurance_code,class_cd,it_remarks) values('28Oct240058','070000165478','70785',(select max(to_number(i.premium_rcv_detail_code))+1
from ins_premium_det i),'70785','70785','02', '11000003','00','Request by Mr. Saqib Saleem Fres 29-Oct-2024');</v>
      </c>
    </row>
    <row r="49" spans="1:8" ht="90" x14ac:dyDescent="0.25">
      <c r="A49" s="28" t="s">
        <v>405</v>
      </c>
      <c r="B49" s="17" t="str">
        <f>VLOOKUP(A49,'[2]Select ins_assorted'!$B:$C,2,0)</f>
        <v>070000165516</v>
      </c>
      <c r="C49" s="29">
        <v>15000</v>
      </c>
      <c r="D49" s="29">
        <v>15000</v>
      </c>
      <c r="E49" s="46" t="s">
        <v>1857</v>
      </c>
      <c r="F49" s="48" t="str">
        <f t="shared" si="0"/>
        <v>insert into ins_premium_det (premium_rcv_code,assorted_code, rec_amount,premium_rcv_detail_code,remaining_amt, payrec, mode_code,coinsurance_code,class_cd,it_remarks) values</v>
      </c>
      <c r="G49" s="49" t="str">
        <f t="shared" si="1"/>
        <v>('28Oct240058','070000165516','15000',(select max(to_number(i.premium_rcv_detail_code))+1
from ins_premium_det i),'15000','15000','02', '11000003','00','Request by Mr. Saqib Saleem Fres 29-Oct-2024');</v>
      </c>
      <c r="H49" s="50" t="str">
        <f t="shared" si="2"/>
        <v>insert into ins_premium_det (premium_rcv_code,assorted_code, rec_amount,premium_rcv_detail_code,remaining_amt, payrec, mode_code,coinsurance_code,class_cd,it_remarks) values('28Oct240058','070000165516','15000',(select max(to_number(i.premium_rcv_detail_code))+1
from ins_premium_det i),'15000','15000','02', '11000003','00','Request by Mr. Saqib Saleem Fres 29-Oct-2024');</v>
      </c>
    </row>
    <row r="51" spans="1:8" x14ac:dyDescent="0.25">
      <c r="D51" s="53">
        <f>SUM(D2:D49)</f>
        <v>2998194</v>
      </c>
    </row>
  </sheetData>
  <conditionalFormatting sqref="A1">
    <cfRule type="duplicateValues" dxfId="3" priority="1"/>
  </conditionalFormatting>
  <conditionalFormatting sqref="B2:B49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AB673-FBBA-4F26-B7FB-1A59245846DF}">
  <dimension ref="A1:J215"/>
  <sheetViews>
    <sheetView topLeftCell="A195" workbookViewId="0">
      <selection activeCell="G209" sqref="G209"/>
    </sheetView>
  </sheetViews>
  <sheetFormatPr defaultRowHeight="15" x14ac:dyDescent="0.25"/>
  <cols>
    <col min="1" max="1" width="38.140625" bestFit="1" customWidth="1"/>
  </cols>
  <sheetData>
    <row r="1" spans="1:10" x14ac:dyDescent="0.25">
      <c r="A1" s="28" t="s">
        <v>459</v>
      </c>
      <c r="B1" t="s">
        <v>1630</v>
      </c>
      <c r="H1">
        <v>96712</v>
      </c>
      <c r="I1" t="s">
        <v>1635</v>
      </c>
      <c r="J1" t="str">
        <f>"ia.assorted_string like '%"&amp;H1&amp;"-"&amp;I1&amp;B1&amp;"%' or"</f>
        <v>ia.assorted_string like '%96712-00001-09-2024%' or</v>
      </c>
    </row>
    <row r="2" spans="1:10" x14ac:dyDescent="0.25">
      <c r="A2" s="28" t="s">
        <v>466</v>
      </c>
      <c r="B2" t="s">
        <v>1630</v>
      </c>
      <c r="H2">
        <v>96712</v>
      </c>
      <c r="I2" t="s">
        <v>1636</v>
      </c>
      <c r="J2" t="str">
        <f t="shared" ref="J2:J65" si="0">"ia.assorted_string like '%"&amp;H2&amp;"-"&amp;I2&amp;B2&amp;"%' or"</f>
        <v>ia.assorted_string like '%96712-00002-09-2024%' or</v>
      </c>
    </row>
    <row r="3" spans="1:10" x14ac:dyDescent="0.25">
      <c r="A3" s="28" t="s">
        <v>474</v>
      </c>
      <c r="B3" t="s">
        <v>1630</v>
      </c>
      <c r="H3">
        <v>96713</v>
      </c>
      <c r="I3" t="s">
        <v>1635</v>
      </c>
      <c r="J3" t="str">
        <f t="shared" si="0"/>
        <v>ia.assorted_string like '%96713-00001-09-2024%' or</v>
      </c>
    </row>
    <row r="4" spans="1:10" x14ac:dyDescent="0.25">
      <c r="A4" s="28" t="s">
        <v>482</v>
      </c>
      <c r="B4" t="s">
        <v>1630</v>
      </c>
      <c r="H4">
        <v>96713</v>
      </c>
      <c r="I4" t="s">
        <v>1636</v>
      </c>
      <c r="J4" t="str">
        <f t="shared" si="0"/>
        <v>ia.assorted_string like '%96713-00002-09-2024%' or</v>
      </c>
    </row>
    <row r="5" spans="1:10" x14ac:dyDescent="0.25">
      <c r="A5" s="28" t="s">
        <v>489</v>
      </c>
      <c r="B5" t="s">
        <v>1630</v>
      </c>
      <c r="H5">
        <v>96713</v>
      </c>
      <c r="I5" t="s">
        <v>1637</v>
      </c>
      <c r="J5" t="str">
        <f t="shared" si="0"/>
        <v>ia.assorted_string like '%96713-00004-09-2024%' or</v>
      </c>
    </row>
    <row r="6" spans="1:10" x14ac:dyDescent="0.25">
      <c r="A6" s="28" t="s">
        <v>496</v>
      </c>
      <c r="B6" t="s">
        <v>1630</v>
      </c>
      <c r="H6">
        <v>96713</v>
      </c>
      <c r="I6" t="s">
        <v>1638</v>
      </c>
      <c r="J6" t="str">
        <f t="shared" si="0"/>
        <v>ia.assorted_string like '%96713-00005-09-2024%' or</v>
      </c>
    </row>
    <row r="7" spans="1:10" x14ac:dyDescent="0.25">
      <c r="A7" s="28" t="s">
        <v>503</v>
      </c>
      <c r="B7" t="s">
        <v>1630</v>
      </c>
      <c r="H7">
        <v>96714</v>
      </c>
      <c r="I7" t="s">
        <v>1635</v>
      </c>
      <c r="J7" t="str">
        <f t="shared" si="0"/>
        <v>ia.assorted_string like '%96714-00001-09-2024%' or</v>
      </c>
    </row>
    <row r="8" spans="1:10" x14ac:dyDescent="0.25">
      <c r="A8" s="28" t="s">
        <v>510</v>
      </c>
      <c r="B8" t="s">
        <v>1630</v>
      </c>
      <c r="H8">
        <v>96714</v>
      </c>
      <c r="I8" t="s">
        <v>1636</v>
      </c>
      <c r="J8" t="str">
        <f t="shared" si="0"/>
        <v>ia.assorted_string like '%96714-00002-09-2024%' or</v>
      </c>
    </row>
    <row r="9" spans="1:10" x14ac:dyDescent="0.25">
      <c r="A9" s="28" t="s">
        <v>517</v>
      </c>
      <c r="B9" t="s">
        <v>1630</v>
      </c>
      <c r="H9">
        <v>96715</v>
      </c>
      <c r="I9" t="s">
        <v>1635</v>
      </c>
      <c r="J9" t="str">
        <f t="shared" si="0"/>
        <v>ia.assorted_string like '%96715-00001-09-2024%' or</v>
      </c>
    </row>
    <row r="10" spans="1:10" x14ac:dyDescent="0.25">
      <c r="A10" s="28" t="s">
        <v>524</v>
      </c>
      <c r="B10" t="s">
        <v>1630</v>
      </c>
      <c r="H10">
        <v>96715</v>
      </c>
      <c r="I10" t="s">
        <v>1639</v>
      </c>
      <c r="J10" t="str">
        <f t="shared" si="0"/>
        <v>ia.assorted_string like '%96715-00010-09-2024%' or</v>
      </c>
    </row>
    <row r="11" spans="1:10" x14ac:dyDescent="0.25">
      <c r="A11" s="28" t="s">
        <v>532</v>
      </c>
      <c r="B11" t="s">
        <v>1630</v>
      </c>
      <c r="H11">
        <v>96715</v>
      </c>
      <c r="I11" t="s">
        <v>1640</v>
      </c>
      <c r="J11" t="str">
        <f t="shared" si="0"/>
        <v>ia.assorted_string like '%96715-00011-09-2024%' or</v>
      </c>
    </row>
    <row r="12" spans="1:10" x14ac:dyDescent="0.25">
      <c r="A12" s="28" t="s">
        <v>539</v>
      </c>
      <c r="B12" t="s">
        <v>1630</v>
      </c>
      <c r="H12">
        <v>96715</v>
      </c>
      <c r="I12" t="s">
        <v>1641</v>
      </c>
      <c r="J12" t="str">
        <f t="shared" si="0"/>
        <v>ia.assorted_string like '%96715-00013-09-2024%' or</v>
      </c>
    </row>
    <row r="13" spans="1:10" x14ac:dyDescent="0.25">
      <c r="A13" s="28" t="s">
        <v>545</v>
      </c>
      <c r="B13" t="s">
        <v>1630</v>
      </c>
      <c r="H13">
        <v>96715</v>
      </c>
      <c r="I13" t="s">
        <v>1642</v>
      </c>
      <c r="J13" t="str">
        <f t="shared" si="0"/>
        <v>ia.assorted_string like '%96715-00014-09-2024%' or</v>
      </c>
    </row>
    <row r="14" spans="1:10" x14ac:dyDescent="0.25">
      <c r="A14" s="28" t="s">
        <v>553</v>
      </c>
      <c r="B14" t="s">
        <v>1630</v>
      </c>
      <c r="H14">
        <v>96715</v>
      </c>
      <c r="I14" t="s">
        <v>1643</v>
      </c>
      <c r="J14" t="str">
        <f t="shared" si="0"/>
        <v>ia.assorted_string like '%96715-00015-09-2024%' or</v>
      </c>
    </row>
    <row r="15" spans="1:10" x14ac:dyDescent="0.25">
      <c r="A15" s="28" t="s">
        <v>561</v>
      </c>
      <c r="B15" t="s">
        <v>1630</v>
      </c>
      <c r="H15">
        <v>96715</v>
      </c>
      <c r="I15" t="s">
        <v>1644</v>
      </c>
      <c r="J15" t="str">
        <f t="shared" si="0"/>
        <v>ia.assorted_string like '%96715-00016-09-2024%' or</v>
      </c>
    </row>
    <row r="16" spans="1:10" x14ac:dyDescent="0.25">
      <c r="A16" s="28" t="s">
        <v>568</v>
      </c>
      <c r="B16" t="s">
        <v>1630</v>
      </c>
      <c r="H16">
        <v>96715</v>
      </c>
      <c r="I16" t="s">
        <v>1645</v>
      </c>
      <c r="J16" t="str">
        <f t="shared" si="0"/>
        <v>ia.assorted_string like '%96715-00017-09-2024%' or</v>
      </c>
    </row>
    <row r="17" spans="1:10" x14ac:dyDescent="0.25">
      <c r="A17" s="28" t="s">
        <v>575</v>
      </c>
      <c r="B17" t="s">
        <v>1630</v>
      </c>
      <c r="H17">
        <v>96715</v>
      </c>
      <c r="I17" t="s">
        <v>1646</v>
      </c>
      <c r="J17" t="str">
        <f t="shared" si="0"/>
        <v>ia.assorted_string like '%96715-00018-09-2024%' or</v>
      </c>
    </row>
    <row r="18" spans="1:10" x14ac:dyDescent="0.25">
      <c r="A18" s="28" t="s">
        <v>583</v>
      </c>
      <c r="B18" t="s">
        <v>1630</v>
      </c>
      <c r="H18">
        <v>96715</v>
      </c>
      <c r="I18" t="s">
        <v>1636</v>
      </c>
      <c r="J18" t="str">
        <f t="shared" si="0"/>
        <v>ia.assorted_string like '%96715-00002-09-2024%' or</v>
      </c>
    </row>
    <row r="19" spans="1:10" x14ac:dyDescent="0.25">
      <c r="A19" s="28" t="s">
        <v>590</v>
      </c>
      <c r="B19" t="s">
        <v>1630</v>
      </c>
      <c r="H19">
        <v>96715</v>
      </c>
      <c r="I19" t="s">
        <v>1647</v>
      </c>
      <c r="J19" t="str">
        <f t="shared" si="0"/>
        <v>ia.assorted_string like '%96715-00020-09-2024%' or</v>
      </c>
    </row>
    <row r="20" spans="1:10" x14ac:dyDescent="0.25">
      <c r="A20" s="28" t="s">
        <v>597</v>
      </c>
      <c r="B20" t="s">
        <v>1630</v>
      </c>
      <c r="H20">
        <v>96715</v>
      </c>
      <c r="I20" t="s">
        <v>1648</v>
      </c>
      <c r="J20" t="str">
        <f t="shared" si="0"/>
        <v>ia.assorted_string like '%96715-00021-09-2024%' or</v>
      </c>
    </row>
    <row r="21" spans="1:10" x14ac:dyDescent="0.25">
      <c r="A21" s="28" t="s">
        <v>604</v>
      </c>
      <c r="B21" t="s">
        <v>1630</v>
      </c>
      <c r="H21">
        <v>96715</v>
      </c>
      <c r="I21" t="s">
        <v>1649</v>
      </c>
      <c r="J21" t="str">
        <f t="shared" si="0"/>
        <v>ia.assorted_string like '%96715-00003-09-2024%' or</v>
      </c>
    </row>
    <row r="22" spans="1:10" x14ac:dyDescent="0.25">
      <c r="A22" s="28" t="s">
        <v>612</v>
      </c>
      <c r="B22" t="s">
        <v>1630</v>
      </c>
      <c r="H22">
        <v>96715</v>
      </c>
      <c r="I22" t="s">
        <v>1637</v>
      </c>
      <c r="J22" t="str">
        <f t="shared" si="0"/>
        <v>ia.assorted_string like '%96715-00004-09-2024%' or</v>
      </c>
    </row>
    <row r="23" spans="1:10" x14ac:dyDescent="0.25">
      <c r="A23" s="28" t="s">
        <v>620</v>
      </c>
      <c r="B23" t="s">
        <v>1630</v>
      </c>
      <c r="H23">
        <v>96715</v>
      </c>
      <c r="I23" t="s">
        <v>1638</v>
      </c>
      <c r="J23" t="str">
        <f t="shared" si="0"/>
        <v>ia.assorted_string like '%96715-00005-09-2024%' or</v>
      </c>
    </row>
    <row r="24" spans="1:10" x14ac:dyDescent="0.25">
      <c r="A24" s="28" t="s">
        <v>626</v>
      </c>
      <c r="B24" t="s">
        <v>1630</v>
      </c>
      <c r="H24">
        <v>96715</v>
      </c>
      <c r="I24" t="s">
        <v>1650</v>
      </c>
      <c r="J24" t="str">
        <f t="shared" si="0"/>
        <v>ia.assorted_string like '%96715-00006-09-2024%' or</v>
      </c>
    </row>
    <row r="25" spans="1:10" x14ac:dyDescent="0.25">
      <c r="A25" s="28" t="s">
        <v>633</v>
      </c>
      <c r="B25" t="s">
        <v>1630</v>
      </c>
      <c r="H25">
        <v>96715</v>
      </c>
      <c r="I25" t="s">
        <v>1651</v>
      </c>
      <c r="J25" t="str">
        <f t="shared" si="0"/>
        <v>ia.assorted_string like '%96715-00007-09-2024%' or</v>
      </c>
    </row>
    <row r="26" spans="1:10" x14ac:dyDescent="0.25">
      <c r="A26" s="28" t="s">
        <v>640</v>
      </c>
      <c r="B26" t="s">
        <v>1630</v>
      </c>
      <c r="H26">
        <v>96715</v>
      </c>
      <c r="I26" t="s">
        <v>1652</v>
      </c>
      <c r="J26" t="str">
        <f t="shared" si="0"/>
        <v>ia.assorted_string like '%96715-00008-09-2024%' or</v>
      </c>
    </row>
    <row r="27" spans="1:10" x14ac:dyDescent="0.25">
      <c r="A27" s="28" t="s">
        <v>648</v>
      </c>
      <c r="B27" t="s">
        <v>1630</v>
      </c>
      <c r="H27">
        <v>96715</v>
      </c>
      <c r="I27" t="s">
        <v>1653</v>
      </c>
      <c r="J27" t="str">
        <f t="shared" si="0"/>
        <v>ia.assorted_string like '%96715-00009-09-2024%' or</v>
      </c>
    </row>
    <row r="28" spans="1:10" x14ac:dyDescent="0.25">
      <c r="A28" s="28" t="s">
        <v>655</v>
      </c>
      <c r="B28" t="s">
        <v>1630</v>
      </c>
      <c r="H28">
        <v>96721</v>
      </c>
      <c r="I28" t="s">
        <v>1635</v>
      </c>
      <c r="J28" t="str">
        <f t="shared" si="0"/>
        <v>ia.assorted_string like '%96721-00001-09-2024%' or</v>
      </c>
    </row>
    <row r="29" spans="1:10" x14ac:dyDescent="0.25">
      <c r="A29" s="28" t="s">
        <v>662</v>
      </c>
      <c r="B29" t="s">
        <v>1630</v>
      </c>
      <c r="H29">
        <v>96721</v>
      </c>
      <c r="I29" t="s">
        <v>1639</v>
      </c>
      <c r="J29" t="str">
        <f t="shared" si="0"/>
        <v>ia.assorted_string like '%96721-00010-09-2024%' or</v>
      </c>
    </row>
    <row r="30" spans="1:10" x14ac:dyDescent="0.25">
      <c r="A30" s="28" t="s">
        <v>670</v>
      </c>
      <c r="B30" t="s">
        <v>1630</v>
      </c>
      <c r="H30">
        <v>96721</v>
      </c>
      <c r="I30" t="s">
        <v>1640</v>
      </c>
      <c r="J30" t="str">
        <f t="shared" si="0"/>
        <v>ia.assorted_string like '%96721-00011-09-2024%' or</v>
      </c>
    </row>
    <row r="31" spans="1:10" x14ac:dyDescent="0.25">
      <c r="A31" s="28" t="s">
        <v>678</v>
      </c>
      <c r="B31" t="s">
        <v>1630</v>
      </c>
      <c r="H31">
        <v>96721</v>
      </c>
      <c r="I31" t="s">
        <v>1654</v>
      </c>
      <c r="J31" t="str">
        <f t="shared" si="0"/>
        <v>ia.assorted_string like '%96721-00012-09-2024%' or</v>
      </c>
    </row>
    <row r="32" spans="1:10" x14ac:dyDescent="0.25">
      <c r="A32" s="28" t="s">
        <v>687</v>
      </c>
      <c r="B32" t="s">
        <v>1630</v>
      </c>
      <c r="H32">
        <v>96721</v>
      </c>
      <c r="I32" t="s">
        <v>1641</v>
      </c>
      <c r="J32" t="str">
        <f t="shared" si="0"/>
        <v>ia.assorted_string like '%96721-00013-09-2024%' or</v>
      </c>
    </row>
    <row r="33" spans="1:10" x14ac:dyDescent="0.25">
      <c r="A33" s="28" t="s">
        <v>696</v>
      </c>
      <c r="B33" t="s">
        <v>1630</v>
      </c>
      <c r="H33">
        <v>96721</v>
      </c>
      <c r="I33" t="s">
        <v>1642</v>
      </c>
      <c r="J33" t="str">
        <f t="shared" si="0"/>
        <v>ia.assorted_string like '%96721-00014-09-2024%' or</v>
      </c>
    </row>
    <row r="34" spans="1:10" x14ac:dyDescent="0.25">
      <c r="A34" s="28" t="s">
        <v>703</v>
      </c>
      <c r="B34" t="s">
        <v>1630</v>
      </c>
      <c r="H34">
        <v>96721</v>
      </c>
      <c r="I34" t="s">
        <v>1643</v>
      </c>
      <c r="J34" t="str">
        <f t="shared" si="0"/>
        <v>ia.assorted_string like '%96721-00015-09-2024%' or</v>
      </c>
    </row>
    <row r="35" spans="1:10" x14ac:dyDescent="0.25">
      <c r="A35" s="28" t="s">
        <v>711</v>
      </c>
      <c r="B35" t="s">
        <v>1630</v>
      </c>
      <c r="H35">
        <v>96721</v>
      </c>
      <c r="I35" t="s">
        <v>1644</v>
      </c>
      <c r="J35" t="str">
        <f t="shared" si="0"/>
        <v>ia.assorted_string like '%96721-00016-09-2024%' or</v>
      </c>
    </row>
    <row r="36" spans="1:10" x14ac:dyDescent="0.25">
      <c r="A36" s="28" t="s">
        <v>718</v>
      </c>
      <c r="B36" t="s">
        <v>1630</v>
      </c>
      <c r="H36">
        <v>96721</v>
      </c>
      <c r="I36" t="s">
        <v>1645</v>
      </c>
      <c r="J36" t="str">
        <f t="shared" si="0"/>
        <v>ia.assorted_string like '%96721-00017-09-2024%' or</v>
      </c>
    </row>
    <row r="37" spans="1:10" x14ac:dyDescent="0.25">
      <c r="A37" s="28" t="s">
        <v>725</v>
      </c>
      <c r="B37" t="s">
        <v>1630</v>
      </c>
      <c r="H37">
        <v>96721</v>
      </c>
      <c r="I37" t="s">
        <v>1646</v>
      </c>
      <c r="J37" t="str">
        <f t="shared" si="0"/>
        <v>ia.assorted_string like '%96721-00018-09-2024%' or</v>
      </c>
    </row>
    <row r="38" spans="1:10" x14ac:dyDescent="0.25">
      <c r="A38" s="28" t="s">
        <v>732</v>
      </c>
      <c r="B38" t="s">
        <v>1630</v>
      </c>
      <c r="H38">
        <v>96721</v>
      </c>
      <c r="I38" t="s">
        <v>1655</v>
      </c>
      <c r="J38" t="str">
        <f t="shared" si="0"/>
        <v>ia.assorted_string like '%96721-00019-09-2024%' or</v>
      </c>
    </row>
    <row r="39" spans="1:10" x14ac:dyDescent="0.25">
      <c r="A39" s="28" t="s">
        <v>740</v>
      </c>
      <c r="B39" t="s">
        <v>1630</v>
      </c>
      <c r="H39">
        <v>96721</v>
      </c>
      <c r="I39" t="s">
        <v>1636</v>
      </c>
      <c r="J39" t="str">
        <f t="shared" si="0"/>
        <v>ia.assorted_string like '%96721-00002-09-2024%' or</v>
      </c>
    </row>
    <row r="40" spans="1:10" x14ac:dyDescent="0.25">
      <c r="A40" s="28" t="s">
        <v>748</v>
      </c>
      <c r="B40" t="s">
        <v>1630</v>
      </c>
      <c r="H40">
        <v>96721</v>
      </c>
      <c r="I40" t="s">
        <v>1647</v>
      </c>
      <c r="J40" t="str">
        <f t="shared" si="0"/>
        <v>ia.assorted_string like '%96721-00020-09-2024%' or</v>
      </c>
    </row>
    <row r="41" spans="1:10" x14ac:dyDescent="0.25">
      <c r="A41" s="28" t="s">
        <v>755</v>
      </c>
      <c r="B41" t="s">
        <v>1630</v>
      </c>
      <c r="H41">
        <v>96721</v>
      </c>
      <c r="I41" t="s">
        <v>1648</v>
      </c>
      <c r="J41" t="str">
        <f t="shared" si="0"/>
        <v>ia.assorted_string like '%96721-00021-09-2024%' or</v>
      </c>
    </row>
    <row r="42" spans="1:10" x14ac:dyDescent="0.25">
      <c r="A42" s="28" t="s">
        <v>761</v>
      </c>
      <c r="B42" t="s">
        <v>1630</v>
      </c>
      <c r="H42">
        <v>96721</v>
      </c>
      <c r="I42" t="s">
        <v>1656</v>
      </c>
      <c r="J42" t="str">
        <f t="shared" si="0"/>
        <v>ia.assorted_string like '%96721-00022-09-2024%' or</v>
      </c>
    </row>
    <row r="43" spans="1:10" x14ac:dyDescent="0.25">
      <c r="A43" s="28" t="s">
        <v>768</v>
      </c>
      <c r="B43" t="s">
        <v>1630</v>
      </c>
      <c r="H43">
        <v>96721</v>
      </c>
      <c r="I43" t="s">
        <v>1657</v>
      </c>
      <c r="J43" t="str">
        <f t="shared" si="0"/>
        <v>ia.assorted_string like '%96721-00023-09-2024%' or</v>
      </c>
    </row>
    <row r="44" spans="1:10" x14ac:dyDescent="0.25">
      <c r="A44" s="28" t="s">
        <v>776</v>
      </c>
      <c r="B44" t="s">
        <v>1630</v>
      </c>
      <c r="H44">
        <v>96721</v>
      </c>
      <c r="I44" t="s">
        <v>1658</v>
      </c>
      <c r="J44" t="str">
        <f t="shared" si="0"/>
        <v>ia.assorted_string like '%96721-00024-09-2024%' or</v>
      </c>
    </row>
    <row r="45" spans="1:10" x14ac:dyDescent="0.25">
      <c r="A45" s="28" t="s">
        <v>785</v>
      </c>
      <c r="B45" t="s">
        <v>1630</v>
      </c>
      <c r="H45">
        <v>96721</v>
      </c>
      <c r="I45" t="s">
        <v>1659</v>
      </c>
      <c r="J45" t="str">
        <f t="shared" si="0"/>
        <v>ia.assorted_string like '%96721-00025-09-2024%' or</v>
      </c>
    </row>
    <row r="46" spans="1:10" x14ac:dyDescent="0.25">
      <c r="A46" s="28" t="s">
        <v>792</v>
      </c>
      <c r="B46" t="s">
        <v>1630</v>
      </c>
      <c r="H46">
        <v>96721</v>
      </c>
      <c r="I46" t="s">
        <v>1660</v>
      </c>
      <c r="J46" t="str">
        <f t="shared" si="0"/>
        <v>ia.assorted_string like '%96721-00027-09-2024%' or</v>
      </c>
    </row>
    <row r="47" spans="1:10" x14ac:dyDescent="0.25">
      <c r="A47" s="28" t="s">
        <v>799</v>
      </c>
      <c r="B47" t="s">
        <v>1630</v>
      </c>
      <c r="H47">
        <v>96721</v>
      </c>
      <c r="I47" t="s">
        <v>1661</v>
      </c>
      <c r="J47" t="str">
        <f t="shared" si="0"/>
        <v>ia.assorted_string like '%96721-00028-09-2024%' or</v>
      </c>
    </row>
    <row r="48" spans="1:10" x14ac:dyDescent="0.25">
      <c r="A48" s="28" t="s">
        <v>806</v>
      </c>
      <c r="B48" t="s">
        <v>1630</v>
      </c>
      <c r="H48">
        <v>96721</v>
      </c>
      <c r="I48" t="s">
        <v>1662</v>
      </c>
      <c r="J48" t="str">
        <f t="shared" si="0"/>
        <v>ia.assorted_string like '%96721-00029-09-2024%' or</v>
      </c>
    </row>
    <row r="49" spans="1:10" x14ac:dyDescent="0.25">
      <c r="A49" s="28" t="s">
        <v>813</v>
      </c>
      <c r="B49" t="s">
        <v>1630</v>
      </c>
      <c r="H49">
        <v>96721</v>
      </c>
      <c r="I49" t="s">
        <v>1649</v>
      </c>
      <c r="J49" t="str">
        <f t="shared" si="0"/>
        <v>ia.assorted_string like '%96721-00003-09-2024%' or</v>
      </c>
    </row>
    <row r="50" spans="1:10" x14ac:dyDescent="0.25">
      <c r="A50" s="28" t="s">
        <v>820</v>
      </c>
      <c r="B50" t="s">
        <v>1630</v>
      </c>
      <c r="H50">
        <v>96721</v>
      </c>
      <c r="I50" t="s">
        <v>1663</v>
      </c>
      <c r="J50" t="str">
        <f t="shared" si="0"/>
        <v>ia.assorted_string like '%96721-00030-09-2024%' or</v>
      </c>
    </row>
    <row r="51" spans="1:10" x14ac:dyDescent="0.25">
      <c r="A51" s="28" t="s">
        <v>829</v>
      </c>
      <c r="B51" t="s">
        <v>1630</v>
      </c>
      <c r="H51">
        <v>96721</v>
      </c>
      <c r="I51" t="s">
        <v>1664</v>
      </c>
      <c r="J51" t="str">
        <f t="shared" si="0"/>
        <v>ia.assorted_string like '%96721-00031-09-2024%' or</v>
      </c>
    </row>
    <row r="52" spans="1:10" x14ac:dyDescent="0.25">
      <c r="A52" s="28" t="s">
        <v>836</v>
      </c>
      <c r="B52" t="s">
        <v>1630</v>
      </c>
      <c r="H52">
        <v>96721</v>
      </c>
      <c r="I52" t="s">
        <v>1665</v>
      </c>
      <c r="J52" t="str">
        <f t="shared" si="0"/>
        <v>ia.assorted_string like '%96721-00032-09-2024%' or</v>
      </c>
    </row>
    <row r="53" spans="1:10" x14ac:dyDescent="0.25">
      <c r="A53" s="28" t="s">
        <v>844</v>
      </c>
      <c r="B53" t="s">
        <v>1630</v>
      </c>
      <c r="H53">
        <v>96721</v>
      </c>
      <c r="I53" t="s">
        <v>1666</v>
      </c>
      <c r="J53" t="str">
        <f t="shared" si="0"/>
        <v>ia.assorted_string like '%96721-00033-09-2024%' or</v>
      </c>
    </row>
    <row r="54" spans="1:10" x14ac:dyDescent="0.25">
      <c r="A54" s="28" t="s">
        <v>850</v>
      </c>
      <c r="B54" t="s">
        <v>1630</v>
      </c>
      <c r="H54">
        <v>96721</v>
      </c>
      <c r="I54" t="s">
        <v>1667</v>
      </c>
      <c r="J54" t="str">
        <f t="shared" si="0"/>
        <v>ia.assorted_string like '%96721-00034-09-2024%' or</v>
      </c>
    </row>
    <row r="55" spans="1:10" x14ac:dyDescent="0.25">
      <c r="A55" s="28" t="s">
        <v>856</v>
      </c>
      <c r="B55" t="s">
        <v>1630</v>
      </c>
      <c r="H55">
        <v>96721</v>
      </c>
      <c r="I55" t="s">
        <v>1668</v>
      </c>
      <c r="J55" t="str">
        <f t="shared" si="0"/>
        <v>ia.assorted_string like '%96721-00035-09-2024%' or</v>
      </c>
    </row>
    <row r="56" spans="1:10" x14ac:dyDescent="0.25">
      <c r="A56" s="28" t="s">
        <v>863</v>
      </c>
      <c r="B56" t="s">
        <v>1630</v>
      </c>
      <c r="H56">
        <v>96721</v>
      </c>
      <c r="I56" t="s">
        <v>1669</v>
      </c>
      <c r="J56" t="str">
        <f t="shared" si="0"/>
        <v>ia.assorted_string like '%96721-00036-09-2024%' or</v>
      </c>
    </row>
    <row r="57" spans="1:10" x14ac:dyDescent="0.25">
      <c r="A57" s="28" t="s">
        <v>870</v>
      </c>
      <c r="B57" t="s">
        <v>1630</v>
      </c>
      <c r="H57">
        <v>96721</v>
      </c>
      <c r="I57" t="s">
        <v>1670</v>
      </c>
      <c r="J57" t="str">
        <f t="shared" si="0"/>
        <v>ia.assorted_string like '%96721-00037-09-2024%' or</v>
      </c>
    </row>
    <row r="58" spans="1:10" x14ac:dyDescent="0.25">
      <c r="A58" s="28" t="s">
        <v>878</v>
      </c>
      <c r="B58" t="s">
        <v>1630</v>
      </c>
      <c r="H58">
        <v>96721</v>
      </c>
      <c r="I58" t="s">
        <v>1671</v>
      </c>
      <c r="J58" t="str">
        <f t="shared" si="0"/>
        <v>ia.assorted_string like '%96721-00039-09-2024%' or</v>
      </c>
    </row>
    <row r="59" spans="1:10" x14ac:dyDescent="0.25">
      <c r="A59" s="28" t="s">
        <v>885</v>
      </c>
      <c r="B59" t="s">
        <v>1630</v>
      </c>
      <c r="H59">
        <v>96721</v>
      </c>
      <c r="I59" t="s">
        <v>1637</v>
      </c>
      <c r="J59" t="str">
        <f t="shared" si="0"/>
        <v>ia.assorted_string like '%96721-00004-09-2024%' or</v>
      </c>
    </row>
    <row r="60" spans="1:10" x14ac:dyDescent="0.25">
      <c r="A60" s="28" t="s">
        <v>893</v>
      </c>
      <c r="B60" t="s">
        <v>1630</v>
      </c>
      <c r="H60">
        <v>96721</v>
      </c>
      <c r="I60" t="s">
        <v>1638</v>
      </c>
      <c r="J60" t="str">
        <f t="shared" si="0"/>
        <v>ia.assorted_string like '%96721-00005-09-2024%' or</v>
      </c>
    </row>
    <row r="61" spans="1:10" x14ac:dyDescent="0.25">
      <c r="A61" s="28" t="s">
        <v>900</v>
      </c>
      <c r="B61" t="s">
        <v>1630</v>
      </c>
      <c r="H61">
        <v>96721</v>
      </c>
      <c r="I61" t="s">
        <v>1650</v>
      </c>
      <c r="J61" t="str">
        <f t="shared" si="0"/>
        <v>ia.assorted_string like '%96721-00006-09-2024%' or</v>
      </c>
    </row>
    <row r="62" spans="1:10" x14ac:dyDescent="0.25">
      <c r="A62" s="28" t="s">
        <v>908</v>
      </c>
      <c r="B62" t="s">
        <v>1630</v>
      </c>
      <c r="H62">
        <v>96721</v>
      </c>
      <c r="I62" t="s">
        <v>1652</v>
      </c>
      <c r="J62" t="str">
        <f t="shared" si="0"/>
        <v>ia.assorted_string like '%96721-00008-09-2024%' or</v>
      </c>
    </row>
    <row r="63" spans="1:10" x14ac:dyDescent="0.25">
      <c r="A63" s="28" t="s">
        <v>916</v>
      </c>
      <c r="B63" t="s">
        <v>1630</v>
      </c>
      <c r="H63">
        <v>96721</v>
      </c>
      <c r="I63" t="s">
        <v>1653</v>
      </c>
      <c r="J63" t="str">
        <f t="shared" si="0"/>
        <v>ia.assorted_string like '%96721-00009-09-2024%' or</v>
      </c>
    </row>
    <row r="64" spans="1:10" x14ac:dyDescent="0.25">
      <c r="A64" s="28" t="s">
        <v>924</v>
      </c>
      <c r="B64" t="s">
        <v>1630</v>
      </c>
      <c r="H64">
        <v>96726</v>
      </c>
      <c r="I64" t="s">
        <v>1635</v>
      </c>
      <c r="J64" t="str">
        <f t="shared" si="0"/>
        <v>ia.assorted_string like '%96726-00001-09-2024%' or</v>
      </c>
    </row>
    <row r="65" spans="1:10" x14ac:dyDescent="0.25">
      <c r="A65" s="28" t="s">
        <v>930</v>
      </c>
      <c r="B65" t="s">
        <v>1630</v>
      </c>
      <c r="H65">
        <v>96726</v>
      </c>
      <c r="I65" t="s">
        <v>1639</v>
      </c>
      <c r="J65" t="str">
        <f t="shared" si="0"/>
        <v>ia.assorted_string like '%96726-00010-09-2024%' or</v>
      </c>
    </row>
    <row r="66" spans="1:10" x14ac:dyDescent="0.25">
      <c r="A66" s="28" t="s">
        <v>938</v>
      </c>
      <c r="B66" t="s">
        <v>1630</v>
      </c>
      <c r="H66">
        <v>96726</v>
      </c>
      <c r="I66" t="s">
        <v>1640</v>
      </c>
      <c r="J66" t="str">
        <f t="shared" ref="J66:J129" si="1">"ia.assorted_string like '%"&amp;H66&amp;"-"&amp;I66&amp;B66&amp;"%' or"</f>
        <v>ia.assorted_string like '%96726-00011-09-2024%' or</v>
      </c>
    </row>
    <row r="67" spans="1:10" x14ac:dyDescent="0.25">
      <c r="A67" s="28" t="s">
        <v>944</v>
      </c>
      <c r="B67" t="s">
        <v>1630</v>
      </c>
      <c r="H67">
        <v>96726</v>
      </c>
      <c r="I67" t="s">
        <v>1654</v>
      </c>
      <c r="J67" t="str">
        <f t="shared" si="1"/>
        <v>ia.assorted_string like '%96726-00012-09-2024%' or</v>
      </c>
    </row>
    <row r="68" spans="1:10" x14ac:dyDescent="0.25">
      <c r="A68" s="28" t="s">
        <v>950</v>
      </c>
      <c r="B68" t="s">
        <v>1630</v>
      </c>
      <c r="H68">
        <v>96726</v>
      </c>
      <c r="I68" t="s">
        <v>1641</v>
      </c>
      <c r="J68" t="str">
        <f t="shared" si="1"/>
        <v>ia.assorted_string like '%96726-00013-09-2024%' or</v>
      </c>
    </row>
    <row r="69" spans="1:10" x14ac:dyDescent="0.25">
      <c r="A69" s="28" t="s">
        <v>957</v>
      </c>
      <c r="B69" t="s">
        <v>1630</v>
      </c>
      <c r="H69">
        <v>96726</v>
      </c>
      <c r="I69" t="s">
        <v>1643</v>
      </c>
      <c r="J69" t="str">
        <f t="shared" si="1"/>
        <v>ia.assorted_string like '%96726-00015-09-2024%' or</v>
      </c>
    </row>
    <row r="70" spans="1:10" x14ac:dyDescent="0.25">
      <c r="A70" s="28" t="s">
        <v>964</v>
      </c>
      <c r="B70" t="s">
        <v>1630</v>
      </c>
      <c r="H70">
        <v>96726</v>
      </c>
      <c r="I70" t="s">
        <v>1644</v>
      </c>
      <c r="J70" t="str">
        <f t="shared" si="1"/>
        <v>ia.assorted_string like '%96726-00016-09-2024%' or</v>
      </c>
    </row>
    <row r="71" spans="1:10" x14ac:dyDescent="0.25">
      <c r="A71" s="28" t="s">
        <v>971</v>
      </c>
      <c r="B71" t="s">
        <v>1630</v>
      </c>
      <c r="H71">
        <v>96726</v>
      </c>
      <c r="I71" t="s">
        <v>1645</v>
      </c>
      <c r="J71" t="str">
        <f t="shared" si="1"/>
        <v>ia.assorted_string like '%96726-00017-09-2024%' or</v>
      </c>
    </row>
    <row r="72" spans="1:10" x14ac:dyDescent="0.25">
      <c r="A72" s="28" t="s">
        <v>979</v>
      </c>
      <c r="B72" t="s">
        <v>1630</v>
      </c>
      <c r="H72">
        <v>96726</v>
      </c>
      <c r="I72" t="s">
        <v>1646</v>
      </c>
      <c r="J72" t="str">
        <f t="shared" si="1"/>
        <v>ia.assorted_string like '%96726-00018-09-2024%' or</v>
      </c>
    </row>
    <row r="73" spans="1:10" x14ac:dyDescent="0.25">
      <c r="A73" s="28" t="s">
        <v>987</v>
      </c>
      <c r="B73" t="s">
        <v>1630</v>
      </c>
      <c r="H73">
        <v>96726</v>
      </c>
      <c r="I73" t="s">
        <v>1655</v>
      </c>
      <c r="J73" t="str">
        <f t="shared" si="1"/>
        <v>ia.assorted_string like '%96726-00019-09-2024%' or</v>
      </c>
    </row>
    <row r="74" spans="1:10" x14ac:dyDescent="0.25">
      <c r="A74" s="28" t="s">
        <v>993</v>
      </c>
      <c r="B74" t="s">
        <v>1630</v>
      </c>
      <c r="H74">
        <v>96726</v>
      </c>
      <c r="I74" t="s">
        <v>1636</v>
      </c>
      <c r="J74" t="str">
        <f t="shared" si="1"/>
        <v>ia.assorted_string like '%96726-00002-09-2024%' or</v>
      </c>
    </row>
    <row r="75" spans="1:10" x14ac:dyDescent="0.25">
      <c r="A75" s="28" t="s">
        <v>1001</v>
      </c>
      <c r="B75" t="s">
        <v>1630</v>
      </c>
      <c r="H75">
        <v>96726</v>
      </c>
      <c r="I75" t="s">
        <v>1647</v>
      </c>
      <c r="J75" t="str">
        <f t="shared" si="1"/>
        <v>ia.assorted_string like '%96726-00020-09-2024%' or</v>
      </c>
    </row>
    <row r="76" spans="1:10" x14ac:dyDescent="0.25">
      <c r="A76" s="28" t="s">
        <v>1008</v>
      </c>
      <c r="B76" t="s">
        <v>1630</v>
      </c>
      <c r="H76">
        <v>96726</v>
      </c>
      <c r="I76" t="s">
        <v>1648</v>
      </c>
      <c r="J76" t="str">
        <f t="shared" si="1"/>
        <v>ia.assorted_string like '%96726-00021-09-2024%' or</v>
      </c>
    </row>
    <row r="77" spans="1:10" x14ac:dyDescent="0.25">
      <c r="A77" s="28" t="s">
        <v>1016</v>
      </c>
      <c r="B77" t="s">
        <v>1630</v>
      </c>
      <c r="H77">
        <v>96726</v>
      </c>
      <c r="I77" t="s">
        <v>1656</v>
      </c>
      <c r="J77" t="str">
        <f t="shared" si="1"/>
        <v>ia.assorted_string like '%96726-00022-09-2024%' or</v>
      </c>
    </row>
    <row r="78" spans="1:10" x14ac:dyDescent="0.25">
      <c r="A78" s="28" t="s">
        <v>1023</v>
      </c>
      <c r="B78" t="s">
        <v>1630</v>
      </c>
      <c r="H78">
        <v>96726</v>
      </c>
      <c r="I78" t="s">
        <v>1657</v>
      </c>
      <c r="J78" t="str">
        <f t="shared" si="1"/>
        <v>ia.assorted_string like '%96726-00023-09-2024%' or</v>
      </c>
    </row>
    <row r="79" spans="1:10" x14ac:dyDescent="0.25">
      <c r="A79" s="28" t="s">
        <v>1029</v>
      </c>
      <c r="B79" t="s">
        <v>1630</v>
      </c>
      <c r="H79">
        <v>96726</v>
      </c>
      <c r="I79" t="s">
        <v>1658</v>
      </c>
      <c r="J79" t="str">
        <f t="shared" si="1"/>
        <v>ia.assorted_string like '%96726-00024-09-2024%' or</v>
      </c>
    </row>
    <row r="80" spans="1:10" x14ac:dyDescent="0.25">
      <c r="A80" s="28" t="s">
        <v>1036</v>
      </c>
      <c r="B80" t="s">
        <v>1630</v>
      </c>
      <c r="H80">
        <v>96726</v>
      </c>
      <c r="I80" t="s">
        <v>1659</v>
      </c>
      <c r="J80" t="str">
        <f t="shared" si="1"/>
        <v>ia.assorted_string like '%96726-00025-09-2024%' or</v>
      </c>
    </row>
    <row r="81" spans="1:10" x14ac:dyDescent="0.25">
      <c r="A81" s="28" t="s">
        <v>1043</v>
      </c>
      <c r="B81" t="s">
        <v>1630</v>
      </c>
      <c r="H81">
        <v>96726</v>
      </c>
      <c r="I81" t="s">
        <v>1672</v>
      </c>
      <c r="J81" t="str">
        <f t="shared" si="1"/>
        <v>ia.assorted_string like '%96726-00026-09-2024%' or</v>
      </c>
    </row>
    <row r="82" spans="1:10" x14ac:dyDescent="0.25">
      <c r="A82" s="28" t="s">
        <v>1050</v>
      </c>
      <c r="B82" t="s">
        <v>1630</v>
      </c>
      <c r="H82">
        <v>96726</v>
      </c>
      <c r="I82" t="s">
        <v>1660</v>
      </c>
      <c r="J82" t="str">
        <f t="shared" si="1"/>
        <v>ia.assorted_string like '%96726-00027-09-2024%' or</v>
      </c>
    </row>
    <row r="83" spans="1:10" x14ac:dyDescent="0.25">
      <c r="A83" s="28" t="s">
        <v>1056</v>
      </c>
      <c r="B83" t="s">
        <v>1630</v>
      </c>
      <c r="H83">
        <v>96726</v>
      </c>
      <c r="I83" t="s">
        <v>1661</v>
      </c>
      <c r="J83" t="str">
        <f t="shared" si="1"/>
        <v>ia.assorted_string like '%96726-00028-09-2024%' or</v>
      </c>
    </row>
    <row r="84" spans="1:10" x14ac:dyDescent="0.25">
      <c r="A84" s="28" t="s">
        <v>1063</v>
      </c>
      <c r="B84" t="s">
        <v>1630</v>
      </c>
      <c r="H84">
        <v>96726</v>
      </c>
      <c r="I84" t="s">
        <v>1662</v>
      </c>
      <c r="J84" t="str">
        <f t="shared" si="1"/>
        <v>ia.assorted_string like '%96726-00029-09-2024%' or</v>
      </c>
    </row>
    <row r="85" spans="1:10" x14ac:dyDescent="0.25">
      <c r="A85" s="28" t="s">
        <v>1069</v>
      </c>
      <c r="B85" t="s">
        <v>1630</v>
      </c>
      <c r="H85">
        <v>96726</v>
      </c>
      <c r="I85" t="s">
        <v>1649</v>
      </c>
      <c r="J85" t="str">
        <f t="shared" si="1"/>
        <v>ia.assorted_string like '%96726-00003-09-2024%' or</v>
      </c>
    </row>
    <row r="86" spans="1:10" x14ac:dyDescent="0.25">
      <c r="A86" s="28" t="s">
        <v>1077</v>
      </c>
      <c r="B86" t="s">
        <v>1630</v>
      </c>
      <c r="H86">
        <v>96726</v>
      </c>
      <c r="I86" t="s">
        <v>1663</v>
      </c>
      <c r="J86" t="str">
        <f t="shared" si="1"/>
        <v>ia.assorted_string like '%96726-00030-09-2024%' or</v>
      </c>
    </row>
    <row r="87" spans="1:10" x14ac:dyDescent="0.25">
      <c r="A87" s="28" t="s">
        <v>1084</v>
      </c>
      <c r="B87" t="s">
        <v>1630</v>
      </c>
      <c r="H87">
        <v>96726</v>
      </c>
      <c r="I87" t="s">
        <v>1664</v>
      </c>
      <c r="J87" t="str">
        <f t="shared" si="1"/>
        <v>ia.assorted_string like '%96726-00031-09-2024%' or</v>
      </c>
    </row>
    <row r="88" spans="1:10" x14ac:dyDescent="0.25">
      <c r="A88" s="28" t="s">
        <v>1091</v>
      </c>
      <c r="B88" t="s">
        <v>1630</v>
      </c>
      <c r="H88">
        <v>96726</v>
      </c>
      <c r="I88" t="s">
        <v>1665</v>
      </c>
      <c r="J88" t="str">
        <f t="shared" si="1"/>
        <v>ia.assorted_string like '%96726-00032-09-2024%' or</v>
      </c>
    </row>
    <row r="89" spans="1:10" x14ac:dyDescent="0.25">
      <c r="A89" s="28" t="s">
        <v>1098</v>
      </c>
      <c r="B89" t="s">
        <v>1630</v>
      </c>
      <c r="H89">
        <v>96726</v>
      </c>
      <c r="I89" t="s">
        <v>1666</v>
      </c>
      <c r="J89" t="str">
        <f t="shared" si="1"/>
        <v>ia.assorted_string like '%96726-00033-09-2024%' or</v>
      </c>
    </row>
    <row r="90" spans="1:10" x14ac:dyDescent="0.25">
      <c r="A90" s="28" t="s">
        <v>1105</v>
      </c>
      <c r="B90" t="s">
        <v>1630</v>
      </c>
      <c r="H90">
        <v>96726</v>
      </c>
      <c r="I90" t="s">
        <v>1667</v>
      </c>
      <c r="J90" t="str">
        <f t="shared" si="1"/>
        <v>ia.assorted_string like '%96726-00034-09-2024%' or</v>
      </c>
    </row>
    <row r="91" spans="1:10" x14ac:dyDescent="0.25">
      <c r="A91" s="28" t="s">
        <v>1111</v>
      </c>
      <c r="B91" t="s">
        <v>1630</v>
      </c>
      <c r="H91">
        <v>96726</v>
      </c>
      <c r="I91" t="s">
        <v>1668</v>
      </c>
      <c r="J91" t="str">
        <f t="shared" si="1"/>
        <v>ia.assorted_string like '%96726-00035-09-2024%' or</v>
      </c>
    </row>
    <row r="92" spans="1:10" x14ac:dyDescent="0.25">
      <c r="A92" s="28" t="s">
        <v>1118</v>
      </c>
      <c r="B92" t="s">
        <v>1630</v>
      </c>
      <c r="H92">
        <v>96726</v>
      </c>
      <c r="I92" t="s">
        <v>1669</v>
      </c>
      <c r="J92" t="str">
        <f t="shared" si="1"/>
        <v>ia.assorted_string like '%96726-00036-09-2024%' or</v>
      </c>
    </row>
    <row r="93" spans="1:10" x14ac:dyDescent="0.25">
      <c r="A93" s="28" t="s">
        <v>1126</v>
      </c>
      <c r="B93" t="s">
        <v>1630</v>
      </c>
      <c r="H93">
        <v>96726</v>
      </c>
      <c r="I93" t="s">
        <v>1670</v>
      </c>
      <c r="J93" t="str">
        <f t="shared" si="1"/>
        <v>ia.assorted_string like '%96726-00037-09-2024%' or</v>
      </c>
    </row>
    <row r="94" spans="1:10" x14ac:dyDescent="0.25">
      <c r="A94" s="28" t="s">
        <v>1132</v>
      </c>
      <c r="B94" t="s">
        <v>1630</v>
      </c>
      <c r="H94">
        <v>96726</v>
      </c>
      <c r="I94" t="s">
        <v>1673</v>
      </c>
      <c r="J94" t="str">
        <f t="shared" si="1"/>
        <v>ia.assorted_string like '%96726-00038-09-2024%' or</v>
      </c>
    </row>
    <row r="95" spans="1:10" x14ac:dyDescent="0.25">
      <c r="A95" s="28" t="s">
        <v>1139</v>
      </c>
      <c r="B95" t="s">
        <v>1630</v>
      </c>
      <c r="H95">
        <v>96726</v>
      </c>
      <c r="I95" t="s">
        <v>1671</v>
      </c>
      <c r="J95" t="str">
        <f t="shared" si="1"/>
        <v>ia.assorted_string like '%96726-00039-09-2024%' or</v>
      </c>
    </row>
    <row r="96" spans="1:10" x14ac:dyDescent="0.25">
      <c r="A96" s="28" t="s">
        <v>1146</v>
      </c>
      <c r="B96" t="s">
        <v>1630</v>
      </c>
      <c r="H96">
        <v>96726</v>
      </c>
      <c r="I96" t="s">
        <v>1637</v>
      </c>
      <c r="J96" t="str">
        <f t="shared" si="1"/>
        <v>ia.assorted_string like '%96726-00004-09-2024%' or</v>
      </c>
    </row>
    <row r="97" spans="1:10" x14ac:dyDescent="0.25">
      <c r="A97" s="28" t="s">
        <v>1153</v>
      </c>
      <c r="B97" t="s">
        <v>1630</v>
      </c>
      <c r="H97">
        <v>96726</v>
      </c>
      <c r="I97" t="s">
        <v>1674</v>
      </c>
      <c r="J97" t="str">
        <f t="shared" si="1"/>
        <v>ia.assorted_string like '%96726-00040-09-2024%' or</v>
      </c>
    </row>
    <row r="98" spans="1:10" x14ac:dyDescent="0.25">
      <c r="A98" s="28" t="s">
        <v>1160</v>
      </c>
      <c r="B98" t="s">
        <v>1630</v>
      </c>
      <c r="H98">
        <v>96726</v>
      </c>
      <c r="I98" t="s">
        <v>1675</v>
      </c>
      <c r="J98" t="str">
        <f t="shared" si="1"/>
        <v>ia.assorted_string like '%96726-00041-09-2024%' or</v>
      </c>
    </row>
    <row r="99" spans="1:10" x14ac:dyDescent="0.25">
      <c r="A99" s="28" t="s">
        <v>1166</v>
      </c>
      <c r="B99" t="s">
        <v>1630</v>
      </c>
      <c r="H99">
        <v>96726</v>
      </c>
      <c r="I99" t="s">
        <v>1676</v>
      </c>
      <c r="J99" t="str">
        <f t="shared" si="1"/>
        <v>ia.assorted_string like '%96726-00042-09-2024%' or</v>
      </c>
    </row>
    <row r="100" spans="1:10" x14ac:dyDescent="0.25">
      <c r="A100" s="28" t="s">
        <v>1173</v>
      </c>
      <c r="B100" t="s">
        <v>1630</v>
      </c>
      <c r="H100">
        <v>96726</v>
      </c>
      <c r="I100" t="s">
        <v>1677</v>
      </c>
      <c r="J100" t="str">
        <f t="shared" si="1"/>
        <v>ia.assorted_string like '%96726-00043-09-2024%' or</v>
      </c>
    </row>
    <row r="101" spans="1:10" x14ac:dyDescent="0.25">
      <c r="A101" s="28" t="s">
        <v>1180</v>
      </c>
      <c r="B101" t="s">
        <v>1630</v>
      </c>
      <c r="H101">
        <v>96726</v>
      </c>
      <c r="I101" t="s">
        <v>1678</v>
      </c>
      <c r="J101" t="str">
        <f t="shared" si="1"/>
        <v>ia.assorted_string like '%96726-00044-09-2024%' or</v>
      </c>
    </row>
    <row r="102" spans="1:10" x14ac:dyDescent="0.25">
      <c r="A102" s="28" t="s">
        <v>1186</v>
      </c>
      <c r="B102" t="s">
        <v>1630</v>
      </c>
      <c r="H102">
        <v>96726</v>
      </c>
      <c r="I102" t="s">
        <v>1638</v>
      </c>
      <c r="J102" t="str">
        <f t="shared" si="1"/>
        <v>ia.assorted_string like '%96726-00005-09-2024%' or</v>
      </c>
    </row>
    <row r="103" spans="1:10" x14ac:dyDescent="0.25">
      <c r="A103" s="28" t="s">
        <v>1192</v>
      </c>
      <c r="B103" t="s">
        <v>1630</v>
      </c>
      <c r="H103">
        <v>96726</v>
      </c>
      <c r="I103" t="s">
        <v>1651</v>
      </c>
      <c r="J103" t="str">
        <f t="shared" si="1"/>
        <v>ia.assorted_string like '%96726-00007-09-2024%' or</v>
      </c>
    </row>
    <row r="104" spans="1:10" x14ac:dyDescent="0.25">
      <c r="A104" s="28" t="s">
        <v>1200</v>
      </c>
      <c r="B104" t="s">
        <v>1630</v>
      </c>
      <c r="H104">
        <v>96726</v>
      </c>
      <c r="I104" t="s">
        <v>1652</v>
      </c>
      <c r="J104" t="str">
        <f t="shared" si="1"/>
        <v>ia.assorted_string like '%96726-00008-09-2024%' or</v>
      </c>
    </row>
    <row r="105" spans="1:10" x14ac:dyDescent="0.25">
      <c r="A105" s="28" t="s">
        <v>1207</v>
      </c>
      <c r="B105" t="s">
        <v>1630</v>
      </c>
      <c r="H105">
        <v>96726</v>
      </c>
      <c r="I105" t="s">
        <v>1653</v>
      </c>
      <c r="J105" t="str">
        <f t="shared" si="1"/>
        <v>ia.assorted_string like '%96726-00009-09-2024%' or</v>
      </c>
    </row>
    <row r="106" spans="1:10" x14ac:dyDescent="0.25">
      <c r="A106" s="28" t="s">
        <v>1213</v>
      </c>
      <c r="B106" t="s">
        <v>1630</v>
      </c>
      <c r="H106">
        <v>96729</v>
      </c>
      <c r="I106" t="s">
        <v>1639</v>
      </c>
      <c r="J106" t="str">
        <f t="shared" si="1"/>
        <v>ia.assorted_string like '%96729-00010-09-2024%' or</v>
      </c>
    </row>
    <row r="107" spans="1:10" x14ac:dyDescent="0.25">
      <c r="A107" s="28" t="s">
        <v>1220</v>
      </c>
      <c r="B107" t="s">
        <v>1630</v>
      </c>
      <c r="H107">
        <v>96729</v>
      </c>
      <c r="I107" t="s">
        <v>1640</v>
      </c>
      <c r="J107" t="str">
        <f t="shared" si="1"/>
        <v>ia.assorted_string like '%96729-00011-09-2024%' or</v>
      </c>
    </row>
    <row r="108" spans="1:10" x14ac:dyDescent="0.25">
      <c r="A108" s="28" t="s">
        <v>1226</v>
      </c>
      <c r="B108" t="s">
        <v>1630</v>
      </c>
      <c r="H108">
        <v>96729</v>
      </c>
      <c r="I108" t="s">
        <v>1654</v>
      </c>
      <c r="J108" t="str">
        <f t="shared" si="1"/>
        <v>ia.assorted_string like '%96729-00012-09-2024%' or</v>
      </c>
    </row>
    <row r="109" spans="1:10" x14ac:dyDescent="0.25">
      <c r="A109" s="28" t="s">
        <v>1233</v>
      </c>
      <c r="B109" t="s">
        <v>1630</v>
      </c>
      <c r="H109">
        <v>96729</v>
      </c>
      <c r="I109" t="s">
        <v>1642</v>
      </c>
      <c r="J109" t="str">
        <f t="shared" si="1"/>
        <v>ia.assorted_string like '%96729-00014-09-2024%' or</v>
      </c>
    </row>
    <row r="110" spans="1:10" x14ac:dyDescent="0.25">
      <c r="A110" s="28" t="s">
        <v>1239</v>
      </c>
      <c r="B110" t="s">
        <v>1630</v>
      </c>
      <c r="H110">
        <v>96729</v>
      </c>
      <c r="I110" t="s">
        <v>1643</v>
      </c>
      <c r="J110" t="str">
        <f t="shared" si="1"/>
        <v>ia.assorted_string like '%96729-00015-09-2024%' or</v>
      </c>
    </row>
    <row r="111" spans="1:10" x14ac:dyDescent="0.25">
      <c r="A111" s="28" t="s">
        <v>1245</v>
      </c>
      <c r="B111" t="s">
        <v>1630</v>
      </c>
      <c r="H111">
        <v>96729</v>
      </c>
      <c r="I111" t="s">
        <v>1644</v>
      </c>
      <c r="J111" t="str">
        <f t="shared" si="1"/>
        <v>ia.assorted_string like '%96729-00016-09-2024%' or</v>
      </c>
    </row>
    <row r="112" spans="1:10" x14ac:dyDescent="0.25">
      <c r="A112" s="28" t="s">
        <v>1253</v>
      </c>
      <c r="B112" t="s">
        <v>1630</v>
      </c>
      <c r="H112">
        <v>96729</v>
      </c>
      <c r="I112" t="s">
        <v>1645</v>
      </c>
      <c r="J112" t="str">
        <f t="shared" si="1"/>
        <v>ia.assorted_string like '%96729-00017-09-2024%' or</v>
      </c>
    </row>
    <row r="113" spans="1:10" x14ac:dyDescent="0.25">
      <c r="A113" s="28" t="s">
        <v>1260</v>
      </c>
      <c r="B113" t="s">
        <v>1630</v>
      </c>
      <c r="H113">
        <v>96729</v>
      </c>
      <c r="I113" t="s">
        <v>1646</v>
      </c>
      <c r="J113" t="str">
        <f t="shared" si="1"/>
        <v>ia.assorted_string like '%96729-00018-09-2024%' or</v>
      </c>
    </row>
    <row r="114" spans="1:10" x14ac:dyDescent="0.25">
      <c r="A114" s="28" t="s">
        <v>1267</v>
      </c>
      <c r="B114" t="s">
        <v>1630</v>
      </c>
      <c r="H114">
        <v>96729</v>
      </c>
      <c r="I114" t="s">
        <v>1655</v>
      </c>
      <c r="J114" t="str">
        <f t="shared" si="1"/>
        <v>ia.assorted_string like '%96729-00019-09-2024%' or</v>
      </c>
    </row>
    <row r="115" spans="1:10" x14ac:dyDescent="0.25">
      <c r="A115" s="28" t="s">
        <v>1275</v>
      </c>
      <c r="B115" t="s">
        <v>1630</v>
      </c>
      <c r="H115">
        <v>96729</v>
      </c>
      <c r="I115" t="s">
        <v>1636</v>
      </c>
      <c r="J115" t="str">
        <f t="shared" si="1"/>
        <v>ia.assorted_string like '%96729-00002-09-2024%' or</v>
      </c>
    </row>
    <row r="116" spans="1:10" x14ac:dyDescent="0.25">
      <c r="A116" s="28" t="s">
        <v>1281</v>
      </c>
      <c r="B116" t="s">
        <v>1630</v>
      </c>
      <c r="H116">
        <v>96729</v>
      </c>
      <c r="I116" t="s">
        <v>1647</v>
      </c>
      <c r="J116" t="str">
        <f t="shared" si="1"/>
        <v>ia.assorted_string like '%96729-00020-09-2024%' or</v>
      </c>
    </row>
    <row r="117" spans="1:10" x14ac:dyDescent="0.25">
      <c r="A117" s="28" t="s">
        <v>1288</v>
      </c>
      <c r="B117" t="s">
        <v>1630</v>
      </c>
      <c r="H117">
        <v>96729</v>
      </c>
      <c r="I117" t="s">
        <v>1648</v>
      </c>
      <c r="J117" t="str">
        <f t="shared" si="1"/>
        <v>ia.assorted_string like '%96729-00021-09-2024%' or</v>
      </c>
    </row>
    <row r="118" spans="1:10" x14ac:dyDescent="0.25">
      <c r="A118" s="28" t="s">
        <v>1295</v>
      </c>
      <c r="B118" t="s">
        <v>1630</v>
      </c>
      <c r="H118">
        <v>96729</v>
      </c>
      <c r="I118" t="s">
        <v>1656</v>
      </c>
      <c r="J118" t="str">
        <f t="shared" si="1"/>
        <v>ia.assorted_string like '%96729-00022-09-2024%' or</v>
      </c>
    </row>
    <row r="119" spans="1:10" x14ac:dyDescent="0.25">
      <c r="A119" s="28" t="s">
        <v>1302</v>
      </c>
      <c r="B119" t="s">
        <v>1630</v>
      </c>
      <c r="H119">
        <v>96729</v>
      </c>
      <c r="I119" t="s">
        <v>1657</v>
      </c>
      <c r="J119" t="str">
        <f t="shared" si="1"/>
        <v>ia.assorted_string like '%96729-00023-09-2024%' or</v>
      </c>
    </row>
    <row r="120" spans="1:10" x14ac:dyDescent="0.25">
      <c r="A120" s="28" t="s">
        <v>1309</v>
      </c>
      <c r="B120" t="s">
        <v>1630</v>
      </c>
      <c r="H120">
        <v>96729</v>
      </c>
      <c r="I120" t="s">
        <v>1658</v>
      </c>
      <c r="J120" t="str">
        <f t="shared" si="1"/>
        <v>ia.assorted_string like '%96729-00024-09-2024%' or</v>
      </c>
    </row>
    <row r="121" spans="1:10" x14ac:dyDescent="0.25">
      <c r="A121" s="28" t="s">
        <v>1317</v>
      </c>
      <c r="B121" t="s">
        <v>1630</v>
      </c>
      <c r="H121">
        <v>96729</v>
      </c>
      <c r="I121" t="s">
        <v>1659</v>
      </c>
      <c r="J121" t="str">
        <f t="shared" si="1"/>
        <v>ia.assorted_string like '%96729-00025-09-2024%' or</v>
      </c>
    </row>
    <row r="122" spans="1:10" x14ac:dyDescent="0.25">
      <c r="A122" s="28" t="s">
        <v>1324</v>
      </c>
      <c r="B122" t="s">
        <v>1630</v>
      </c>
      <c r="H122">
        <v>96729</v>
      </c>
      <c r="I122" t="s">
        <v>1672</v>
      </c>
      <c r="J122" t="str">
        <f t="shared" si="1"/>
        <v>ia.assorted_string like '%96729-00026-09-2024%' or</v>
      </c>
    </row>
    <row r="123" spans="1:10" x14ac:dyDescent="0.25">
      <c r="A123" s="28" t="s">
        <v>1331</v>
      </c>
      <c r="B123" t="s">
        <v>1630</v>
      </c>
      <c r="H123">
        <v>96729</v>
      </c>
      <c r="I123" t="s">
        <v>1660</v>
      </c>
      <c r="J123" t="str">
        <f t="shared" si="1"/>
        <v>ia.assorted_string like '%96729-00027-09-2024%' or</v>
      </c>
    </row>
    <row r="124" spans="1:10" x14ac:dyDescent="0.25">
      <c r="A124" s="42" t="s">
        <v>1627</v>
      </c>
      <c r="B124" t="s">
        <v>1631</v>
      </c>
      <c r="H124">
        <v>75216</v>
      </c>
      <c r="I124" t="s">
        <v>1653</v>
      </c>
      <c r="J124" t="str">
        <f t="shared" si="1"/>
        <v>ia.assorted_string like '%75216-00009-09-2023%' or</v>
      </c>
    </row>
    <row r="125" spans="1:10" x14ac:dyDescent="0.25">
      <c r="A125" s="28" t="s">
        <v>1346</v>
      </c>
      <c r="B125" t="s">
        <v>1630</v>
      </c>
      <c r="H125">
        <v>96729</v>
      </c>
      <c r="I125" t="s">
        <v>1664</v>
      </c>
      <c r="J125" t="str">
        <f t="shared" si="1"/>
        <v>ia.assorted_string like '%96729-00031-09-2024%' or</v>
      </c>
    </row>
    <row r="126" spans="1:10" x14ac:dyDescent="0.25">
      <c r="A126" s="28" t="s">
        <v>1353</v>
      </c>
      <c r="B126" t="s">
        <v>1630</v>
      </c>
      <c r="H126">
        <v>96729</v>
      </c>
      <c r="I126" t="s">
        <v>1665</v>
      </c>
      <c r="J126" t="str">
        <f t="shared" si="1"/>
        <v>ia.assorted_string like '%96729-00032-09-2024%' or</v>
      </c>
    </row>
    <row r="127" spans="1:10" x14ac:dyDescent="0.25">
      <c r="A127" s="28" t="s">
        <v>1360</v>
      </c>
      <c r="B127" t="s">
        <v>1630</v>
      </c>
      <c r="H127">
        <v>96729</v>
      </c>
      <c r="I127" t="s">
        <v>1666</v>
      </c>
      <c r="J127" t="str">
        <f t="shared" si="1"/>
        <v>ia.assorted_string like '%96729-00033-09-2024%' or</v>
      </c>
    </row>
    <row r="128" spans="1:10" x14ac:dyDescent="0.25">
      <c r="A128" s="28" t="s">
        <v>1367</v>
      </c>
      <c r="B128" t="s">
        <v>1630</v>
      </c>
      <c r="H128">
        <v>96729</v>
      </c>
      <c r="I128" t="s">
        <v>1667</v>
      </c>
      <c r="J128" t="str">
        <f t="shared" si="1"/>
        <v>ia.assorted_string like '%96729-00034-09-2024%' or</v>
      </c>
    </row>
    <row r="129" spans="1:10" x14ac:dyDescent="0.25">
      <c r="A129" s="28" t="s">
        <v>1374</v>
      </c>
      <c r="B129" t="s">
        <v>1630</v>
      </c>
      <c r="H129">
        <v>96729</v>
      </c>
      <c r="I129" t="s">
        <v>1669</v>
      </c>
      <c r="J129" t="str">
        <f t="shared" si="1"/>
        <v>ia.assorted_string like '%96729-00036-09-2024%' or</v>
      </c>
    </row>
    <row r="130" spans="1:10" x14ac:dyDescent="0.25">
      <c r="A130" s="28" t="s">
        <v>1380</v>
      </c>
      <c r="B130" t="s">
        <v>1630</v>
      </c>
      <c r="H130">
        <v>96729</v>
      </c>
      <c r="I130" t="s">
        <v>1670</v>
      </c>
      <c r="J130" t="str">
        <f t="shared" ref="J130:J163" si="2">"ia.assorted_string like '%"&amp;H130&amp;"-"&amp;I130&amp;B130&amp;"%' or"</f>
        <v>ia.assorted_string like '%96729-00037-09-2024%' or</v>
      </c>
    </row>
    <row r="131" spans="1:10" x14ac:dyDescent="0.25">
      <c r="A131" s="28" t="s">
        <v>1388</v>
      </c>
      <c r="B131" t="s">
        <v>1630</v>
      </c>
      <c r="H131">
        <v>96729</v>
      </c>
      <c r="I131" t="s">
        <v>1673</v>
      </c>
      <c r="J131" t="str">
        <f t="shared" si="2"/>
        <v>ia.assorted_string like '%96729-00038-09-2024%' or</v>
      </c>
    </row>
    <row r="132" spans="1:10" x14ac:dyDescent="0.25">
      <c r="A132" s="28" t="s">
        <v>1395</v>
      </c>
      <c r="B132" t="s">
        <v>1630</v>
      </c>
      <c r="H132">
        <v>96729</v>
      </c>
      <c r="I132" t="s">
        <v>1671</v>
      </c>
      <c r="J132" t="str">
        <f t="shared" si="2"/>
        <v>ia.assorted_string like '%96729-00039-09-2024%' or</v>
      </c>
    </row>
    <row r="133" spans="1:10" x14ac:dyDescent="0.25">
      <c r="A133" s="28" t="s">
        <v>1402</v>
      </c>
      <c r="B133" t="s">
        <v>1630</v>
      </c>
      <c r="H133">
        <v>96729</v>
      </c>
      <c r="I133" t="s">
        <v>1637</v>
      </c>
      <c r="J133" t="str">
        <f t="shared" si="2"/>
        <v>ia.assorted_string like '%96729-00004-09-2024%' or</v>
      </c>
    </row>
    <row r="134" spans="1:10" x14ac:dyDescent="0.25">
      <c r="A134" s="28" t="s">
        <v>1408</v>
      </c>
      <c r="B134" t="s">
        <v>1630</v>
      </c>
      <c r="H134">
        <v>96729</v>
      </c>
      <c r="I134" t="s">
        <v>1674</v>
      </c>
      <c r="J134" t="str">
        <f t="shared" si="2"/>
        <v>ia.assorted_string like '%96729-00040-09-2024%' or</v>
      </c>
    </row>
    <row r="135" spans="1:10" x14ac:dyDescent="0.25">
      <c r="A135" s="28" t="s">
        <v>1415</v>
      </c>
      <c r="B135" t="s">
        <v>1630</v>
      </c>
      <c r="H135">
        <v>96729</v>
      </c>
      <c r="I135" t="s">
        <v>1675</v>
      </c>
      <c r="J135" t="str">
        <f t="shared" si="2"/>
        <v>ia.assorted_string like '%96729-00041-09-2024%' or</v>
      </c>
    </row>
    <row r="136" spans="1:10" x14ac:dyDescent="0.25">
      <c r="A136" s="28" t="s">
        <v>1422</v>
      </c>
      <c r="B136" t="s">
        <v>1630</v>
      </c>
      <c r="H136">
        <v>96729</v>
      </c>
      <c r="I136" t="s">
        <v>1676</v>
      </c>
      <c r="J136" t="str">
        <f t="shared" si="2"/>
        <v>ia.assorted_string like '%96729-00042-09-2024%' or</v>
      </c>
    </row>
    <row r="137" spans="1:10" x14ac:dyDescent="0.25">
      <c r="A137" s="28" t="s">
        <v>1429</v>
      </c>
      <c r="B137" t="s">
        <v>1630</v>
      </c>
      <c r="H137">
        <v>96729</v>
      </c>
      <c r="I137" t="s">
        <v>1677</v>
      </c>
      <c r="J137" t="str">
        <f t="shared" si="2"/>
        <v>ia.assorted_string like '%96729-00043-09-2024%' or</v>
      </c>
    </row>
    <row r="138" spans="1:10" x14ac:dyDescent="0.25">
      <c r="A138" s="28" t="s">
        <v>1437</v>
      </c>
      <c r="B138" t="s">
        <v>1630</v>
      </c>
      <c r="H138">
        <v>96729</v>
      </c>
      <c r="I138" t="s">
        <v>1678</v>
      </c>
      <c r="J138" t="str">
        <f t="shared" si="2"/>
        <v>ia.assorted_string like '%96729-00044-09-2024%' or</v>
      </c>
    </row>
    <row r="139" spans="1:10" x14ac:dyDescent="0.25">
      <c r="A139" s="28" t="s">
        <v>1445</v>
      </c>
      <c r="B139" t="s">
        <v>1630</v>
      </c>
      <c r="H139">
        <v>96729</v>
      </c>
      <c r="I139" t="s">
        <v>1679</v>
      </c>
      <c r="J139" t="str">
        <f t="shared" si="2"/>
        <v>ia.assorted_string like '%96729-00045-09-2024%' or</v>
      </c>
    </row>
    <row r="140" spans="1:10" x14ac:dyDescent="0.25">
      <c r="A140" s="28" t="s">
        <v>1453</v>
      </c>
      <c r="B140" t="s">
        <v>1630</v>
      </c>
      <c r="H140">
        <v>96729</v>
      </c>
      <c r="I140" t="s">
        <v>1680</v>
      </c>
      <c r="J140" t="str">
        <f t="shared" si="2"/>
        <v>ia.assorted_string like '%96729-00046-09-2024%' or</v>
      </c>
    </row>
    <row r="141" spans="1:10" x14ac:dyDescent="0.25">
      <c r="A141" s="28" t="s">
        <v>1459</v>
      </c>
      <c r="B141" t="s">
        <v>1630</v>
      </c>
      <c r="H141">
        <v>96729</v>
      </c>
      <c r="I141" t="s">
        <v>1681</v>
      </c>
      <c r="J141" t="str">
        <f t="shared" si="2"/>
        <v>ia.assorted_string like '%96729-00047-09-2024%' or</v>
      </c>
    </row>
    <row r="142" spans="1:10" x14ac:dyDescent="0.25">
      <c r="A142" s="28" t="s">
        <v>1465</v>
      </c>
      <c r="B142" t="s">
        <v>1630</v>
      </c>
      <c r="H142">
        <v>96729</v>
      </c>
      <c r="I142" t="s">
        <v>1682</v>
      </c>
      <c r="J142" t="str">
        <f t="shared" si="2"/>
        <v>ia.assorted_string like '%96729-00048-09-2024%' or</v>
      </c>
    </row>
    <row r="143" spans="1:10" x14ac:dyDescent="0.25">
      <c r="A143" s="28" t="s">
        <v>1472</v>
      </c>
      <c r="B143" t="s">
        <v>1630</v>
      </c>
      <c r="H143">
        <v>96729</v>
      </c>
      <c r="I143" t="s">
        <v>1638</v>
      </c>
      <c r="J143" t="str">
        <f t="shared" si="2"/>
        <v>ia.assorted_string like '%96729-00005-09-2024%' or</v>
      </c>
    </row>
    <row r="144" spans="1:10" x14ac:dyDescent="0.25">
      <c r="A144" s="28" t="s">
        <v>1478</v>
      </c>
      <c r="B144" t="s">
        <v>1630</v>
      </c>
      <c r="H144">
        <v>96729</v>
      </c>
      <c r="I144" t="s">
        <v>1650</v>
      </c>
      <c r="J144" t="str">
        <f t="shared" si="2"/>
        <v>ia.assorted_string like '%96729-00006-09-2024%' or</v>
      </c>
    </row>
    <row r="145" spans="1:10" x14ac:dyDescent="0.25">
      <c r="A145" s="28" t="s">
        <v>1485</v>
      </c>
      <c r="B145" t="s">
        <v>1630</v>
      </c>
      <c r="H145">
        <v>96729</v>
      </c>
      <c r="I145" t="s">
        <v>1651</v>
      </c>
      <c r="J145" t="str">
        <f t="shared" si="2"/>
        <v>ia.assorted_string like '%96729-00007-09-2024%' or</v>
      </c>
    </row>
    <row r="146" spans="1:10" x14ac:dyDescent="0.25">
      <c r="A146" s="28" t="s">
        <v>1491</v>
      </c>
      <c r="B146" t="s">
        <v>1630</v>
      </c>
      <c r="H146">
        <v>96729</v>
      </c>
      <c r="I146" t="s">
        <v>1652</v>
      </c>
      <c r="J146" t="str">
        <f t="shared" si="2"/>
        <v>ia.assorted_string like '%96729-00008-09-2024%' or</v>
      </c>
    </row>
    <row r="147" spans="1:10" x14ac:dyDescent="0.25">
      <c r="A147" s="28" t="s">
        <v>1499</v>
      </c>
      <c r="B147" t="s">
        <v>1630</v>
      </c>
      <c r="H147">
        <v>96729</v>
      </c>
      <c r="I147" t="s">
        <v>1653</v>
      </c>
      <c r="J147" t="str">
        <f t="shared" si="2"/>
        <v>ia.assorted_string like '%96729-00009-09-2024%' or</v>
      </c>
    </row>
    <row r="148" spans="1:10" x14ac:dyDescent="0.25">
      <c r="A148" s="28" t="s">
        <v>1505</v>
      </c>
      <c r="B148" t="s">
        <v>1630</v>
      </c>
      <c r="H148">
        <v>96731</v>
      </c>
      <c r="I148" t="s">
        <v>1636</v>
      </c>
      <c r="J148" t="str">
        <f t="shared" si="2"/>
        <v>ia.assorted_string like '%96731-00002-09-2024%' or</v>
      </c>
    </row>
    <row r="149" spans="1:10" x14ac:dyDescent="0.25">
      <c r="A149" s="28" t="s">
        <v>1513</v>
      </c>
      <c r="B149" t="s">
        <v>1630</v>
      </c>
      <c r="H149">
        <v>96731</v>
      </c>
      <c r="I149" t="s">
        <v>1649</v>
      </c>
      <c r="J149" t="str">
        <f t="shared" si="2"/>
        <v>ia.assorted_string like '%96731-00003-09-2024%' or</v>
      </c>
    </row>
    <row r="150" spans="1:10" x14ac:dyDescent="0.25">
      <c r="A150" s="28" t="s">
        <v>1520</v>
      </c>
      <c r="B150" t="s">
        <v>1630</v>
      </c>
      <c r="H150">
        <v>96733</v>
      </c>
      <c r="I150" t="s">
        <v>1653</v>
      </c>
      <c r="J150" t="str">
        <f t="shared" si="2"/>
        <v>ia.assorted_string like '%96733-00009-09-2024%' or</v>
      </c>
    </row>
    <row r="151" spans="1:10" x14ac:dyDescent="0.25">
      <c r="A151" s="28" t="s">
        <v>1529</v>
      </c>
      <c r="B151" t="s">
        <v>1630</v>
      </c>
      <c r="H151">
        <v>96790</v>
      </c>
      <c r="I151" t="s">
        <v>1635</v>
      </c>
      <c r="J151" t="str">
        <f t="shared" si="2"/>
        <v>ia.assorted_string like '%96790-00001-09-2024%' or</v>
      </c>
    </row>
    <row r="152" spans="1:10" x14ac:dyDescent="0.25">
      <c r="A152" s="28" t="s">
        <v>1537</v>
      </c>
      <c r="B152" t="s">
        <v>1630</v>
      </c>
      <c r="H152">
        <v>96790</v>
      </c>
      <c r="I152" t="s">
        <v>1636</v>
      </c>
      <c r="J152" t="str">
        <f t="shared" si="2"/>
        <v>ia.assorted_string like '%96790-00002-09-2024%' or</v>
      </c>
    </row>
    <row r="153" spans="1:10" x14ac:dyDescent="0.25">
      <c r="A153" s="28" t="s">
        <v>1545</v>
      </c>
      <c r="B153" t="s">
        <v>1632</v>
      </c>
      <c r="H153">
        <v>93460</v>
      </c>
      <c r="I153" t="s">
        <v>1652</v>
      </c>
      <c r="J153" t="str">
        <f t="shared" si="2"/>
        <v>ia.assorted_string like '%93460-00008-07-2024%' or</v>
      </c>
    </row>
    <row r="154" spans="1:10" x14ac:dyDescent="0.25">
      <c r="A154" s="28" t="s">
        <v>1552</v>
      </c>
      <c r="B154" t="s">
        <v>1633</v>
      </c>
      <c r="H154">
        <v>95145</v>
      </c>
      <c r="I154" t="s">
        <v>1635</v>
      </c>
      <c r="J154" t="str">
        <f t="shared" si="2"/>
        <v>ia.assorted_string like '%95145-00001-08-2024%' or</v>
      </c>
    </row>
    <row r="155" spans="1:10" x14ac:dyDescent="0.25">
      <c r="A155" s="28" t="s">
        <v>1559</v>
      </c>
      <c r="B155" t="s">
        <v>1633</v>
      </c>
      <c r="H155">
        <v>95230</v>
      </c>
      <c r="I155" t="s">
        <v>1643</v>
      </c>
      <c r="J155" t="str">
        <f t="shared" si="2"/>
        <v>ia.assorted_string like '%95230-00015-08-2024%' or</v>
      </c>
    </row>
    <row r="156" spans="1:10" x14ac:dyDescent="0.25">
      <c r="A156" s="28" t="s">
        <v>1566</v>
      </c>
      <c r="B156" t="s">
        <v>1633</v>
      </c>
      <c r="H156">
        <v>95230</v>
      </c>
      <c r="I156" t="s">
        <v>1683</v>
      </c>
      <c r="J156" t="str">
        <f t="shared" si="2"/>
        <v>ia.assorted_string like '%95230-00053-08-2024%' or</v>
      </c>
    </row>
    <row r="157" spans="1:10" x14ac:dyDescent="0.25">
      <c r="A157" s="28" t="s">
        <v>1573</v>
      </c>
      <c r="B157" t="s">
        <v>1632</v>
      </c>
      <c r="H157">
        <v>93461</v>
      </c>
      <c r="I157" t="s">
        <v>1642</v>
      </c>
      <c r="J157" t="str">
        <f t="shared" si="2"/>
        <v>ia.assorted_string like '%93461-00014-07-2024%' or</v>
      </c>
    </row>
    <row r="158" spans="1:10" x14ac:dyDescent="0.25">
      <c r="A158" s="28" t="s">
        <v>1580</v>
      </c>
      <c r="B158" t="s">
        <v>1632</v>
      </c>
      <c r="H158">
        <v>93461</v>
      </c>
      <c r="I158" t="s">
        <v>1644</v>
      </c>
      <c r="J158" t="str">
        <f t="shared" si="2"/>
        <v>ia.assorted_string like '%93461-00016-07-2024%' or</v>
      </c>
    </row>
    <row r="159" spans="1:10" x14ac:dyDescent="0.25">
      <c r="A159" s="28" t="s">
        <v>1587</v>
      </c>
      <c r="B159" t="s">
        <v>1632</v>
      </c>
      <c r="H159">
        <v>93461</v>
      </c>
      <c r="I159" t="s">
        <v>1649</v>
      </c>
      <c r="J159" t="str">
        <f t="shared" si="2"/>
        <v>ia.assorted_string like '%93461-00003-07-2024%' or</v>
      </c>
    </row>
    <row r="160" spans="1:10" x14ac:dyDescent="0.25">
      <c r="A160" s="28" t="s">
        <v>1594</v>
      </c>
      <c r="B160" t="s">
        <v>1634</v>
      </c>
      <c r="H160">
        <v>90920</v>
      </c>
      <c r="I160" t="s">
        <v>1684</v>
      </c>
      <c r="J160" t="str">
        <f t="shared" si="2"/>
        <v>ia.assorted_string like '%90920-00150-06-2024%' or</v>
      </c>
    </row>
    <row r="161" spans="1:10" x14ac:dyDescent="0.25">
      <c r="A161" s="28" t="s">
        <v>1602</v>
      </c>
      <c r="B161" t="s">
        <v>1634</v>
      </c>
      <c r="H161">
        <v>90920</v>
      </c>
      <c r="I161" t="s">
        <v>1685</v>
      </c>
      <c r="J161" t="str">
        <f t="shared" si="2"/>
        <v>ia.assorted_string like '%90920-00181-06-2024%' or</v>
      </c>
    </row>
    <row r="162" spans="1:10" x14ac:dyDescent="0.25">
      <c r="A162" s="28" t="s">
        <v>1610</v>
      </c>
      <c r="B162" t="s">
        <v>1634</v>
      </c>
      <c r="H162">
        <v>90920</v>
      </c>
      <c r="I162" t="s">
        <v>1686</v>
      </c>
      <c r="J162" t="str">
        <f t="shared" si="2"/>
        <v>ia.assorted_string like '%90920-00090-06-2024%' or</v>
      </c>
    </row>
    <row r="163" spans="1:10" x14ac:dyDescent="0.25">
      <c r="A163" s="28" t="s">
        <v>1618</v>
      </c>
      <c r="B163" t="s">
        <v>1634</v>
      </c>
      <c r="H163">
        <v>90920</v>
      </c>
      <c r="I163" t="s">
        <v>1687</v>
      </c>
      <c r="J163" t="str">
        <f t="shared" si="2"/>
        <v>ia.assorted_string like '%90920-00095-06-2024%' or</v>
      </c>
    </row>
    <row r="168" spans="1:10" x14ac:dyDescent="0.25">
      <c r="A168" s="28" t="s">
        <v>38</v>
      </c>
      <c r="B168" t="str">
        <f>RIGHT(A168,8)</f>
        <v>/09/2024</v>
      </c>
      <c r="H168">
        <v>96843</v>
      </c>
      <c r="I168" t="s">
        <v>1635</v>
      </c>
      <c r="J168" t="str">
        <f t="shared" ref="J168:J215" si="3">"ia.assorted_string like '%"&amp;H168&amp;"-"&amp;I168&amp;B168&amp;"%' or"</f>
        <v>ia.assorted_string like '%96843-00001/09/2024%' or</v>
      </c>
    </row>
    <row r="169" spans="1:10" x14ac:dyDescent="0.25">
      <c r="A169" s="28" t="s">
        <v>51</v>
      </c>
      <c r="B169" t="str">
        <f t="shared" ref="B169:B215" si="4">RIGHT(A169,8)</f>
        <v>/09/2024</v>
      </c>
      <c r="H169">
        <v>96843</v>
      </c>
      <c r="I169" t="s">
        <v>1639</v>
      </c>
      <c r="J169" t="str">
        <f t="shared" si="3"/>
        <v>ia.assorted_string like '%96843-00010/09/2024%' or</v>
      </c>
    </row>
    <row r="170" spans="1:10" x14ac:dyDescent="0.25">
      <c r="A170" s="28" t="s">
        <v>61</v>
      </c>
      <c r="B170" t="str">
        <f t="shared" si="4"/>
        <v>/09/2024</v>
      </c>
      <c r="H170">
        <v>96843</v>
      </c>
      <c r="I170" t="s">
        <v>1640</v>
      </c>
      <c r="J170" t="str">
        <f t="shared" si="3"/>
        <v>ia.assorted_string like '%96843-00011/09/2024%' or</v>
      </c>
    </row>
    <row r="171" spans="1:10" x14ac:dyDescent="0.25">
      <c r="A171" s="28" t="s">
        <v>70</v>
      </c>
      <c r="B171" t="str">
        <f t="shared" si="4"/>
        <v>/09/2024</v>
      </c>
      <c r="H171">
        <v>96843</v>
      </c>
      <c r="I171" t="s">
        <v>1654</v>
      </c>
      <c r="J171" t="str">
        <f t="shared" si="3"/>
        <v>ia.assorted_string like '%96843-00012/09/2024%' or</v>
      </c>
    </row>
    <row r="172" spans="1:10" x14ac:dyDescent="0.25">
      <c r="A172" s="28" t="s">
        <v>79</v>
      </c>
      <c r="B172" t="str">
        <f t="shared" si="4"/>
        <v>/09/2024</v>
      </c>
      <c r="H172">
        <v>96843</v>
      </c>
      <c r="I172" t="s">
        <v>1641</v>
      </c>
      <c r="J172" t="str">
        <f t="shared" si="3"/>
        <v>ia.assorted_string like '%96843-00013/09/2024%' or</v>
      </c>
    </row>
    <row r="173" spans="1:10" x14ac:dyDescent="0.25">
      <c r="A173" s="28" t="s">
        <v>87</v>
      </c>
      <c r="B173" t="str">
        <f t="shared" si="4"/>
        <v>/09/2024</v>
      </c>
      <c r="H173">
        <v>96843</v>
      </c>
      <c r="I173" t="s">
        <v>1642</v>
      </c>
      <c r="J173" t="str">
        <f t="shared" si="3"/>
        <v>ia.assorted_string like '%96843-00014/09/2024%' or</v>
      </c>
    </row>
    <row r="174" spans="1:10" x14ac:dyDescent="0.25">
      <c r="A174" s="28" t="s">
        <v>96</v>
      </c>
      <c r="B174" t="str">
        <f t="shared" si="4"/>
        <v>/09/2024</v>
      </c>
      <c r="H174">
        <v>96843</v>
      </c>
      <c r="I174" t="s">
        <v>1643</v>
      </c>
      <c r="J174" t="str">
        <f t="shared" si="3"/>
        <v>ia.assorted_string like '%96843-00015/09/2024%' or</v>
      </c>
    </row>
    <row r="175" spans="1:10" x14ac:dyDescent="0.25">
      <c r="A175" s="28" t="s">
        <v>103</v>
      </c>
      <c r="B175" t="str">
        <f t="shared" si="4"/>
        <v>/09/2024</v>
      </c>
      <c r="H175">
        <v>96843</v>
      </c>
      <c r="I175" t="s">
        <v>1644</v>
      </c>
      <c r="J175" t="str">
        <f t="shared" si="3"/>
        <v>ia.assorted_string like '%96843-00016/09/2024%' or</v>
      </c>
    </row>
    <row r="176" spans="1:10" x14ac:dyDescent="0.25">
      <c r="A176" s="28" t="s">
        <v>111</v>
      </c>
      <c r="B176" t="str">
        <f t="shared" si="4"/>
        <v>/09/2024</v>
      </c>
      <c r="H176">
        <v>96843</v>
      </c>
      <c r="I176" t="s">
        <v>1645</v>
      </c>
      <c r="J176" t="str">
        <f t="shared" si="3"/>
        <v>ia.assorted_string like '%96843-00017/09/2024%' or</v>
      </c>
    </row>
    <row r="177" spans="1:10" x14ac:dyDescent="0.25">
      <c r="A177" s="28" t="s">
        <v>118</v>
      </c>
      <c r="B177" t="str">
        <f t="shared" si="4"/>
        <v>/09/2024</v>
      </c>
      <c r="H177">
        <v>96843</v>
      </c>
      <c r="I177" t="s">
        <v>1646</v>
      </c>
      <c r="J177" t="str">
        <f t="shared" si="3"/>
        <v>ia.assorted_string like '%96843-00018/09/2024%' or</v>
      </c>
    </row>
    <row r="178" spans="1:10" x14ac:dyDescent="0.25">
      <c r="A178" s="28" t="s">
        <v>126</v>
      </c>
      <c r="B178" t="str">
        <f t="shared" si="4"/>
        <v>/09/2024</v>
      </c>
      <c r="H178">
        <v>96843</v>
      </c>
      <c r="I178" t="s">
        <v>1655</v>
      </c>
      <c r="J178" t="str">
        <f t="shared" si="3"/>
        <v>ia.assorted_string like '%96843-00019/09/2024%' or</v>
      </c>
    </row>
    <row r="179" spans="1:10" x14ac:dyDescent="0.25">
      <c r="A179" s="28" t="s">
        <v>136</v>
      </c>
      <c r="B179" t="str">
        <f t="shared" si="4"/>
        <v>/09/2024</v>
      </c>
      <c r="H179">
        <v>96843</v>
      </c>
      <c r="I179" t="s">
        <v>1636</v>
      </c>
      <c r="J179" t="str">
        <f t="shared" si="3"/>
        <v>ia.assorted_string like '%96843-00002/09/2024%' or</v>
      </c>
    </row>
    <row r="180" spans="1:10" x14ac:dyDescent="0.25">
      <c r="A180" s="28" t="s">
        <v>144</v>
      </c>
      <c r="B180" t="str">
        <f t="shared" si="4"/>
        <v>/09/2024</v>
      </c>
      <c r="H180">
        <v>96843</v>
      </c>
      <c r="I180" t="s">
        <v>1647</v>
      </c>
      <c r="J180" t="str">
        <f t="shared" si="3"/>
        <v>ia.assorted_string like '%96843-00020/09/2024%' or</v>
      </c>
    </row>
    <row r="181" spans="1:10" x14ac:dyDescent="0.25">
      <c r="A181" s="28" t="s">
        <v>152</v>
      </c>
      <c r="B181" t="str">
        <f t="shared" si="4"/>
        <v>/09/2024</v>
      </c>
      <c r="H181">
        <v>96843</v>
      </c>
      <c r="I181" t="s">
        <v>1648</v>
      </c>
      <c r="J181" t="str">
        <f t="shared" si="3"/>
        <v>ia.assorted_string like '%96843-00021/09/2024%' or</v>
      </c>
    </row>
    <row r="182" spans="1:10" x14ac:dyDescent="0.25">
      <c r="A182" s="28" t="s">
        <v>160</v>
      </c>
      <c r="B182" t="str">
        <f t="shared" si="4"/>
        <v>/09/2024</v>
      </c>
      <c r="H182">
        <v>96843</v>
      </c>
      <c r="I182" t="s">
        <v>1656</v>
      </c>
      <c r="J182" t="str">
        <f t="shared" si="3"/>
        <v>ia.assorted_string like '%96843-00022/09/2024%' or</v>
      </c>
    </row>
    <row r="183" spans="1:10" x14ac:dyDescent="0.25">
      <c r="A183" s="28" t="s">
        <v>167</v>
      </c>
      <c r="B183" t="str">
        <f t="shared" si="4"/>
        <v>/09/2024</v>
      </c>
      <c r="H183">
        <v>96843</v>
      </c>
      <c r="I183" t="s">
        <v>1657</v>
      </c>
      <c r="J183" t="str">
        <f t="shared" si="3"/>
        <v>ia.assorted_string like '%96843-00023/09/2024%' or</v>
      </c>
    </row>
    <row r="184" spans="1:10" x14ac:dyDescent="0.25">
      <c r="A184" s="28" t="s">
        <v>177</v>
      </c>
      <c r="B184" t="str">
        <f t="shared" si="4"/>
        <v>/09/2024</v>
      </c>
      <c r="H184">
        <v>96843</v>
      </c>
      <c r="I184" t="s">
        <v>1658</v>
      </c>
      <c r="J184" t="str">
        <f t="shared" si="3"/>
        <v>ia.assorted_string like '%96843-00024/09/2024%' or</v>
      </c>
    </row>
    <row r="185" spans="1:10" x14ac:dyDescent="0.25">
      <c r="A185" s="28" t="s">
        <v>185</v>
      </c>
      <c r="B185" t="str">
        <f t="shared" si="4"/>
        <v>/09/2024</v>
      </c>
      <c r="H185">
        <v>96843</v>
      </c>
      <c r="I185" t="s">
        <v>1659</v>
      </c>
      <c r="J185" t="str">
        <f t="shared" si="3"/>
        <v>ia.assorted_string like '%96843-00025/09/2024%' or</v>
      </c>
    </row>
    <row r="186" spans="1:10" x14ac:dyDescent="0.25">
      <c r="A186" s="28" t="s">
        <v>192</v>
      </c>
      <c r="B186" t="str">
        <f t="shared" si="4"/>
        <v>/09/2024</v>
      </c>
      <c r="H186">
        <v>96843</v>
      </c>
      <c r="I186" t="s">
        <v>1672</v>
      </c>
      <c r="J186" t="str">
        <f t="shared" si="3"/>
        <v>ia.assorted_string like '%96843-00026/09/2024%' or</v>
      </c>
    </row>
    <row r="187" spans="1:10" x14ac:dyDescent="0.25">
      <c r="A187" s="28" t="s">
        <v>200</v>
      </c>
      <c r="B187" t="str">
        <f t="shared" si="4"/>
        <v>/09/2024</v>
      </c>
      <c r="H187">
        <v>96843</v>
      </c>
      <c r="I187" t="s">
        <v>1660</v>
      </c>
      <c r="J187" t="str">
        <f t="shared" si="3"/>
        <v>ia.assorted_string like '%96843-00027/09/2024%' or</v>
      </c>
    </row>
    <row r="188" spans="1:10" x14ac:dyDescent="0.25">
      <c r="A188" s="28" t="s">
        <v>207</v>
      </c>
      <c r="B188" t="str">
        <f t="shared" si="4"/>
        <v>/09/2024</v>
      </c>
      <c r="H188">
        <v>96843</v>
      </c>
      <c r="I188" t="s">
        <v>1661</v>
      </c>
      <c r="J188" t="str">
        <f t="shared" si="3"/>
        <v>ia.assorted_string like '%96843-00028/09/2024%' or</v>
      </c>
    </row>
    <row r="189" spans="1:10" x14ac:dyDescent="0.25">
      <c r="A189" s="28" t="s">
        <v>214</v>
      </c>
      <c r="B189" t="str">
        <f t="shared" si="4"/>
        <v>/09/2024</v>
      </c>
      <c r="H189">
        <v>96843</v>
      </c>
      <c r="I189" t="s">
        <v>1662</v>
      </c>
      <c r="J189" t="str">
        <f t="shared" si="3"/>
        <v>ia.assorted_string like '%96843-00029/09/2024%' or</v>
      </c>
    </row>
    <row r="190" spans="1:10" x14ac:dyDescent="0.25">
      <c r="A190" s="28" t="s">
        <v>222</v>
      </c>
      <c r="B190" t="str">
        <f t="shared" si="4"/>
        <v>/09/2024</v>
      </c>
      <c r="H190">
        <v>96843</v>
      </c>
      <c r="I190" t="s">
        <v>1649</v>
      </c>
      <c r="J190" t="str">
        <f t="shared" si="3"/>
        <v>ia.assorted_string like '%96843-00003/09/2024%' or</v>
      </c>
    </row>
    <row r="191" spans="1:10" x14ac:dyDescent="0.25">
      <c r="A191" s="28" t="s">
        <v>230</v>
      </c>
      <c r="B191" t="str">
        <f t="shared" si="4"/>
        <v>/09/2024</v>
      </c>
      <c r="H191">
        <v>96843</v>
      </c>
      <c r="I191" t="s">
        <v>1663</v>
      </c>
      <c r="J191" t="str">
        <f t="shared" si="3"/>
        <v>ia.assorted_string like '%96843-00030/09/2024%' or</v>
      </c>
    </row>
    <row r="192" spans="1:10" x14ac:dyDescent="0.25">
      <c r="A192" s="28" t="s">
        <v>238</v>
      </c>
      <c r="B192" t="str">
        <f t="shared" si="4"/>
        <v>/09/2024</v>
      </c>
      <c r="H192">
        <v>96843</v>
      </c>
      <c r="I192" t="s">
        <v>1664</v>
      </c>
      <c r="J192" t="str">
        <f t="shared" si="3"/>
        <v>ia.assorted_string like '%96843-00031/09/2024%' or</v>
      </c>
    </row>
    <row r="193" spans="1:10" x14ac:dyDescent="0.25">
      <c r="A193" s="28" t="s">
        <v>246</v>
      </c>
      <c r="B193" t="str">
        <f t="shared" si="4"/>
        <v>/09/2024</v>
      </c>
      <c r="H193">
        <v>96843</v>
      </c>
      <c r="I193" t="s">
        <v>1665</v>
      </c>
      <c r="J193" t="str">
        <f t="shared" si="3"/>
        <v>ia.assorted_string like '%96843-00032/09/2024%' or</v>
      </c>
    </row>
    <row r="194" spans="1:10" x14ac:dyDescent="0.25">
      <c r="A194" s="28" t="s">
        <v>253</v>
      </c>
      <c r="B194" t="str">
        <f t="shared" si="4"/>
        <v>/09/2024</v>
      </c>
      <c r="H194">
        <v>96843</v>
      </c>
      <c r="I194" t="s">
        <v>1666</v>
      </c>
      <c r="J194" t="str">
        <f t="shared" si="3"/>
        <v>ia.assorted_string like '%96843-00033/09/2024%' or</v>
      </c>
    </row>
    <row r="195" spans="1:10" x14ac:dyDescent="0.25">
      <c r="A195" s="28" t="s">
        <v>261</v>
      </c>
      <c r="B195" t="str">
        <f t="shared" si="4"/>
        <v>/09/2024</v>
      </c>
      <c r="H195">
        <v>96843</v>
      </c>
      <c r="I195" t="s">
        <v>1667</v>
      </c>
      <c r="J195" t="str">
        <f t="shared" si="3"/>
        <v>ia.assorted_string like '%96843-00034/09/2024%' or</v>
      </c>
    </row>
    <row r="196" spans="1:10" x14ac:dyDescent="0.25">
      <c r="A196" s="28" t="s">
        <v>268</v>
      </c>
      <c r="B196" t="str">
        <f t="shared" si="4"/>
        <v>/09/2024</v>
      </c>
      <c r="H196">
        <v>96843</v>
      </c>
      <c r="I196" t="s">
        <v>1668</v>
      </c>
      <c r="J196" t="str">
        <f t="shared" si="3"/>
        <v>ia.assorted_string like '%96843-00035/09/2024%' or</v>
      </c>
    </row>
    <row r="197" spans="1:10" x14ac:dyDescent="0.25">
      <c r="A197" s="28" t="s">
        <v>275</v>
      </c>
      <c r="B197" t="str">
        <f t="shared" si="4"/>
        <v>/09/2024</v>
      </c>
      <c r="H197">
        <v>96843</v>
      </c>
      <c r="I197" t="s">
        <v>1669</v>
      </c>
      <c r="J197" t="str">
        <f t="shared" si="3"/>
        <v>ia.assorted_string like '%96843-00036/09/2024%' or</v>
      </c>
    </row>
    <row r="198" spans="1:10" x14ac:dyDescent="0.25">
      <c r="A198" s="28" t="s">
        <v>283</v>
      </c>
      <c r="B198" t="str">
        <f t="shared" si="4"/>
        <v>/09/2024</v>
      </c>
      <c r="H198">
        <v>96843</v>
      </c>
      <c r="I198" t="s">
        <v>1670</v>
      </c>
      <c r="J198" t="str">
        <f t="shared" si="3"/>
        <v>ia.assorted_string like '%96843-00037/09/2024%' or</v>
      </c>
    </row>
    <row r="199" spans="1:10" x14ac:dyDescent="0.25">
      <c r="A199" s="28" t="s">
        <v>290</v>
      </c>
      <c r="B199" t="str">
        <f t="shared" si="4"/>
        <v>/09/2024</v>
      </c>
      <c r="H199">
        <v>96843</v>
      </c>
      <c r="I199" t="s">
        <v>1673</v>
      </c>
      <c r="J199" t="str">
        <f t="shared" si="3"/>
        <v>ia.assorted_string like '%96843-00038/09/2024%' or</v>
      </c>
    </row>
    <row r="200" spans="1:10" x14ac:dyDescent="0.25">
      <c r="A200" s="28" t="s">
        <v>297</v>
      </c>
      <c r="B200" t="str">
        <f t="shared" si="4"/>
        <v>/09/2024</v>
      </c>
      <c r="H200">
        <v>96843</v>
      </c>
      <c r="I200" t="s">
        <v>1671</v>
      </c>
      <c r="J200" t="str">
        <f t="shared" si="3"/>
        <v>ia.assorted_string like '%96843-00039/09/2024%' or</v>
      </c>
    </row>
    <row r="201" spans="1:10" x14ac:dyDescent="0.25">
      <c r="A201" s="28" t="s">
        <v>305</v>
      </c>
      <c r="B201" t="str">
        <f t="shared" si="4"/>
        <v>/09/2024</v>
      </c>
      <c r="H201">
        <v>96843</v>
      </c>
      <c r="I201" t="s">
        <v>1637</v>
      </c>
      <c r="J201" t="str">
        <f t="shared" si="3"/>
        <v>ia.assorted_string like '%96843-00004/09/2024%' or</v>
      </c>
    </row>
    <row r="202" spans="1:10" x14ac:dyDescent="0.25">
      <c r="A202" s="28" t="s">
        <v>313</v>
      </c>
      <c r="B202" t="str">
        <f t="shared" si="4"/>
        <v>/09/2024</v>
      </c>
      <c r="H202">
        <v>96843</v>
      </c>
      <c r="I202" t="s">
        <v>1674</v>
      </c>
      <c r="J202" t="str">
        <f t="shared" si="3"/>
        <v>ia.assorted_string like '%96843-00040/09/2024%' or</v>
      </c>
    </row>
    <row r="203" spans="1:10" x14ac:dyDescent="0.25">
      <c r="A203" s="28" t="s">
        <v>320</v>
      </c>
      <c r="B203" t="str">
        <f t="shared" si="4"/>
        <v>/09/2024</v>
      </c>
      <c r="H203">
        <v>96843</v>
      </c>
      <c r="I203" t="s">
        <v>1675</v>
      </c>
      <c r="J203" t="str">
        <f t="shared" si="3"/>
        <v>ia.assorted_string like '%96843-00041/09/2024%' or</v>
      </c>
    </row>
    <row r="204" spans="1:10" x14ac:dyDescent="0.25">
      <c r="A204" s="28" t="s">
        <v>327</v>
      </c>
      <c r="B204" t="str">
        <f t="shared" si="4"/>
        <v>/09/2024</v>
      </c>
      <c r="H204">
        <v>96843</v>
      </c>
      <c r="I204" t="s">
        <v>1676</v>
      </c>
      <c r="J204" t="str">
        <f t="shared" si="3"/>
        <v>ia.assorted_string like '%96843-00042/09/2024%' or</v>
      </c>
    </row>
    <row r="205" spans="1:10" x14ac:dyDescent="0.25">
      <c r="A205" s="28" t="s">
        <v>335</v>
      </c>
      <c r="B205" t="str">
        <f t="shared" si="4"/>
        <v>/09/2024</v>
      </c>
      <c r="H205">
        <v>96843</v>
      </c>
      <c r="I205" t="s">
        <v>1677</v>
      </c>
      <c r="J205" t="str">
        <f t="shared" si="3"/>
        <v>ia.assorted_string like '%96843-00043/09/2024%' or</v>
      </c>
    </row>
    <row r="206" spans="1:10" x14ac:dyDescent="0.25">
      <c r="A206" s="28" t="s">
        <v>342</v>
      </c>
      <c r="B206" t="str">
        <f t="shared" si="4"/>
        <v>/09/2024</v>
      </c>
      <c r="H206">
        <v>96843</v>
      </c>
      <c r="I206" t="s">
        <v>1678</v>
      </c>
      <c r="J206" t="str">
        <f t="shared" si="3"/>
        <v>ia.assorted_string like '%96843-00044/09/2024%' or</v>
      </c>
    </row>
    <row r="207" spans="1:10" x14ac:dyDescent="0.25">
      <c r="A207" s="28" t="s">
        <v>349</v>
      </c>
      <c r="B207" t="str">
        <f t="shared" si="4"/>
        <v>/09/2024</v>
      </c>
      <c r="H207">
        <v>96843</v>
      </c>
      <c r="I207" t="s">
        <v>1679</v>
      </c>
      <c r="J207" t="str">
        <f t="shared" si="3"/>
        <v>ia.assorted_string like '%96843-00045/09/2024%' or</v>
      </c>
    </row>
    <row r="208" spans="1:10" x14ac:dyDescent="0.25">
      <c r="A208" s="28" t="s">
        <v>356</v>
      </c>
      <c r="B208" t="str">
        <f t="shared" si="4"/>
        <v>/09/2024</v>
      </c>
      <c r="H208">
        <v>96843</v>
      </c>
      <c r="I208" t="s">
        <v>1680</v>
      </c>
      <c r="J208" t="str">
        <f t="shared" si="3"/>
        <v>ia.assorted_string like '%96843-00046/09/2024%' or</v>
      </c>
    </row>
    <row r="209" spans="1:10" x14ac:dyDescent="0.25">
      <c r="A209" s="28" t="s">
        <v>362</v>
      </c>
      <c r="B209" t="str">
        <f t="shared" si="4"/>
        <v>/09/2024</v>
      </c>
      <c r="H209">
        <v>96843</v>
      </c>
      <c r="I209" t="s">
        <v>1681</v>
      </c>
      <c r="J209" t="str">
        <f t="shared" si="3"/>
        <v>ia.assorted_string like '%96843-00047/09/2024%' or</v>
      </c>
    </row>
    <row r="210" spans="1:10" x14ac:dyDescent="0.25">
      <c r="A210" s="28" t="s">
        <v>368</v>
      </c>
      <c r="B210" t="str">
        <f t="shared" si="4"/>
        <v>/09/2024</v>
      </c>
      <c r="H210">
        <v>96843</v>
      </c>
      <c r="I210" t="s">
        <v>1682</v>
      </c>
      <c r="J210" t="str">
        <f t="shared" si="3"/>
        <v>ia.assorted_string like '%96843-00048/09/2024%' or</v>
      </c>
    </row>
    <row r="211" spans="1:10" x14ac:dyDescent="0.25">
      <c r="A211" s="28" t="s">
        <v>375</v>
      </c>
      <c r="B211" t="str">
        <f t="shared" si="4"/>
        <v>/09/2024</v>
      </c>
      <c r="H211">
        <v>96843</v>
      </c>
      <c r="I211" t="s">
        <v>1638</v>
      </c>
      <c r="J211" t="str">
        <f t="shared" si="3"/>
        <v>ia.assorted_string like '%96843-00005/09/2024%' or</v>
      </c>
    </row>
    <row r="212" spans="1:10" x14ac:dyDescent="0.25">
      <c r="A212" s="28" t="s">
        <v>383</v>
      </c>
      <c r="B212" t="str">
        <f t="shared" si="4"/>
        <v>/09/2024</v>
      </c>
      <c r="H212">
        <v>96843</v>
      </c>
      <c r="I212" t="s">
        <v>1650</v>
      </c>
      <c r="J212" t="str">
        <f t="shared" si="3"/>
        <v>ia.assorted_string like '%96843-00006/09/2024%' or</v>
      </c>
    </row>
    <row r="213" spans="1:10" x14ac:dyDescent="0.25">
      <c r="A213" s="28" t="s">
        <v>391</v>
      </c>
      <c r="B213" t="str">
        <f t="shared" si="4"/>
        <v>/09/2024</v>
      </c>
      <c r="H213">
        <v>96843</v>
      </c>
      <c r="I213" t="s">
        <v>1651</v>
      </c>
      <c r="J213" t="str">
        <f t="shared" si="3"/>
        <v>ia.assorted_string like '%96843-00007/09/2024%' or</v>
      </c>
    </row>
    <row r="214" spans="1:10" x14ac:dyDescent="0.25">
      <c r="A214" s="28" t="s">
        <v>398</v>
      </c>
      <c r="B214" t="str">
        <f t="shared" si="4"/>
        <v>/09/2024</v>
      </c>
      <c r="H214">
        <v>96843</v>
      </c>
      <c r="I214" t="s">
        <v>1652</v>
      </c>
      <c r="J214" t="str">
        <f t="shared" si="3"/>
        <v>ia.assorted_string like '%96843-00008/09/2024%' or</v>
      </c>
    </row>
    <row r="215" spans="1:10" x14ac:dyDescent="0.25">
      <c r="A215" s="28" t="s">
        <v>405</v>
      </c>
      <c r="B215" t="str">
        <f t="shared" si="4"/>
        <v>/09/2024</v>
      </c>
      <c r="H215">
        <v>96843</v>
      </c>
      <c r="I215" t="s">
        <v>1653</v>
      </c>
      <c r="J215" t="str">
        <f t="shared" si="3"/>
        <v>ia.assorted_string like '%96843-00009/09/2024%' or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96F8-EEE6-4405-A026-E617EFA61E7F}">
  <dimension ref="A1:C163"/>
  <sheetViews>
    <sheetView workbookViewId="0">
      <selection activeCell="E9" sqref="E9"/>
    </sheetView>
  </sheetViews>
  <sheetFormatPr defaultRowHeight="15" x14ac:dyDescent="0.25"/>
  <cols>
    <col min="1" max="1" width="4" bestFit="1" customWidth="1"/>
    <col min="2" max="2" width="41.5703125" bestFit="1" customWidth="1"/>
    <col min="3" max="3" width="15" bestFit="1" customWidth="1"/>
  </cols>
  <sheetData>
    <row r="1" spans="1:3" x14ac:dyDescent="0.25">
      <c r="A1" s="43" t="s">
        <v>1688</v>
      </c>
      <c r="B1" s="43" t="s">
        <v>1689</v>
      </c>
      <c r="C1" s="43" t="s">
        <v>1690</v>
      </c>
    </row>
    <row r="2" spans="1:3" x14ac:dyDescent="0.25">
      <c r="A2">
        <v>1</v>
      </c>
      <c r="B2" t="s">
        <v>1627</v>
      </c>
      <c r="C2" t="s">
        <v>1691</v>
      </c>
    </row>
    <row r="3" spans="1:3" x14ac:dyDescent="0.25">
      <c r="A3">
        <v>2</v>
      </c>
      <c r="B3" t="s">
        <v>1552</v>
      </c>
      <c r="C3" t="s">
        <v>1692</v>
      </c>
    </row>
    <row r="4" spans="1:3" x14ac:dyDescent="0.25">
      <c r="A4">
        <v>3</v>
      </c>
      <c r="B4" t="s">
        <v>1566</v>
      </c>
      <c r="C4" t="s">
        <v>1693</v>
      </c>
    </row>
    <row r="5" spans="1:3" x14ac:dyDescent="0.25">
      <c r="A5">
        <v>4</v>
      </c>
      <c r="B5" t="s">
        <v>1505</v>
      </c>
      <c r="C5" t="s">
        <v>1694</v>
      </c>
    </row>
    <row r="6" spans="1:3" x14ac:dyDescent="0.25">
      <c r="A6">
        <v>5</v>
      </c>
      <c r="B6" t="s">
        <v>1513</v>
      </c>
      <c r="C6" t="s">
        <v>1695</v>
      </c>
    </row>
    <row r="7" spans="1:3" x14ac:dyDescent="0.25">
      <c r="A7">
        <v>6</v>
      </c>
      <c r="B7" t="s">
        <v>687</v>
      </c>
      <c r="C7" t="s">
        <v>1696</v>
      </c>
    </row>
    <row r="8" spans="1:3" x14ac:dyDescent="0.25">
      <c r="A8">
        <v>7</v>
      </c>
      <c r="B8" t="s">
        <v>964</v>
      </c>
      <c r="C8" t="s">
        <v>1697</v>
      </c>
    </row>
    <row r="9" spans="1:3" x14ac:dyDescent="0.25">
      <c r="A9">
        <v>8</v>
      </c>
      <c r="B9" t="s">
        <v>1098</v>
      </c>
      <c r="C9" t="s">
        <v>1698</v>
      </c>
    </row>
    <row r="10" spans="1:3" x14ac:dyDescent="0.25">
      <c r="A10">
        <v>9</v>
      </c>
      <c r="B10" t="s">
        <v>718</v>
      </c>
      <c r="C10" t="s">
        <v>1699</v>
      </c>
    </row>
    <row r="11" spans="1:3" x14ac:dyDescent="0.25">
      <c r="A11">
        <v>10</v>
      </c>
      <c r="B11" t="s">
        <v>820</v>
      </c>
      <c r="C11" t="s">
        <v>1700</v>
      </c>
    </row>
    <row r="12" spans="1:3" x14ac:dyDescent="0.25">
      <c r="A12">
        <v>11</v>
      </c>
      <c r="B12" t="s">
        <v>856</v>
      </c>
      <c r="C12" t="s">
        <v>1701</v>
      </c>
    </row>
    <row r="13" spans="1:3" x14ac:dyDescent="0.25">
      <c r="A13">
        <v>12</v>
      </c>
      <c r="B13" t="s">
        <v>878</v>
      </c>
      <c r="C13" t="s">
        <v>1702</v>
      </c>
    </row>
    <row r="14" spans="1:3" x14ac:dyDescent="0.25">
      <c r="A14">
        <v>13</v>
      </c>
      <c r="B14" t="s">
        <v>655</v>
      </c>
      <c r="C14" t="s">
        <v>1703</v>
      </c>
    </row>
    <row r="15" spans="1:3" x14ac:dyDescent="0.25">
      <c r="A15">
        <v>14</v>
      </c>
      <c r="B15" t="s">
        <v>740</v>
      </c>
      <c r="C15" t="s">
        <v>1704</v>
      </c>
    </row>
    <row r="16" spans="1:3" x14ac:dyDescent="0.25">
      <c r="A16">
        <v>15</v>
      </c>
      <c r="B16" t="s">
        <v>813</v>
      </c>
      <c r="C16" t="s">
        <v>1705</v>
      </c>
    </row>
    <row r="17" spans="1:3" x14ac:dyDescent="0.25">
      <c r="A17">
        <v>16</v>
      </c>
      <c r="B17" t="s">
        <v>885</v>
      </c>
      <c r="C17" t="s">
        <v>1706</v>
      </c>
    </row>
    <row r="18" spans="1:3" x14ac:dyDescent="0.25">
      <c r="A18">
        <v>17</v>
      </c>
      <c r="B18" t="s">
        <v>893</v>
      </c>
      <c r="C18" t="s">
        <v>1707</v>
      </c>
    </row>
    <row r="19" spans="1:3" x14ac:dyDescent="0.25">
      <c r="A19">
        <v>18</v>
      </c>
      <c r="B19" t="s">
        <v>900</v>
      </c>
      <c r="C19" t="s">
        <v>1708</v>
      </c>
    </row>
    <row r="20" spans="1:3" x14ac:dyDescent="0.25">
      <c r="A20">
        <v>19</v>
      </c>
      <c r="B20" t="s">
        <v>908</v>
      </c>
      <c r="C20" t="s">
        <v>1709</v>
      </c>
    </row>
    <row r="21" spans="1:3" x14ac:dyDescent="0.25">
      <c r="A21">
        <v>20</v>
      </c>
      <c r="B21" t="s">
        <v>916</v>
      </c>
      <c r="C21" t="s">
        <v>1710</v>
      </c>
    </row>
    <row r="22" spans="1:3" x14ac:dyDescent="0.25">
      <c r="A22">
        <v>21</v>
      </c>
      <c r="B22" t="s">
        <v>662</v>
      </c>
      <c r="C22" t="s">
        <v>1711</v>
      </c>
    </row>
    <row r="23" spans="1:3" x14ac:dyDescent="0.25">
      <c r="A23">
        <v>22</v>
      </c>
      <c r="B23" t="s">
        <v>670</v>
      </c>
      <c r="C23" t="s">
        <v>1712</v>
      </c>
    </row>
    <row r="24" spans="1:3" x14ac:dyDescent="0.25">
      <c r="A24">
        <v>23</v>
      </c>
      <c r="B24" t="s">
        <v>678</v>
      </c>
      <c r="C24" t="s">
        <v>1713</v>
      </c>
    </row>
    <row r="25" spans="1:3" x14ac:dyDescent="0.25">
      <c r="A25">
        <v>24</v>
      </c>
      <c r="B25" t="s">
        <v>696</v>
      </c>
      <c r="C25" t="s">
        <v>1714</v>
      </c>
    </row>
    <row r="26" spans="1:3" x14ac:dyDescent="0.25">
      <c r="A26">
        <v>25</v>
      </c>
      <c r="B26" t="s">
        <v>703</v>
      </c>
      <c r="C26" t="s">
        <v>1715</v>
      </c>
    </row>
    <row r="27" spans="1:3" x14ac:dyDescent="0.25">
      <c r="A27">
        <v>26</v>
      </c>
      <c r="B27" t="s">
        <v>711</v>
      </c>
      <c r="C27" t="s">
        <v>1716</v>
      </c>
    </row>
    <row r="28" spans="1:3" x14ac:dyDescent="0.25">
      <c r="A28">
        <v>27</v>
      </c>
      <c r="B28" t="s">
        <v>725</v>
      </c>
      <c r="C28" t="s">
        <v>1717</v>
      </c>
    </row>
    <row r="29" spans="1:3" x14ac:dyDescent="0.25">
      <c r="A29">
        <v>28</v>
      </c>
      <c r="B29" t="s">
        <v>732</v>
      </c>
      <c r="C29" t="s">
        <v>1718</v>
      </c>
    </row>
    <row r="30" spans="1:3" x14ac:dyDescent="0.25">
      <c r="A30">
        <v>29</v>
      </c>
      <c r="B30" t="s">
        <v>748</v>
      </c>
      <c r="C30" t="s">
        <v>1719</v>
      </c>
    </row>
    <row r="31" spans="1:3" x14ac:dyDescent="0.25">
      <c r="A31">
        <v>30</v>
      </c>
      <c r="B31" t="s">
        <v>755</v>
      </c>
      <c r="C31" t="s">
        <v>1720</v>
      </c>
    </row>
    <row r="32" spans="1:3" x14ac:dyDescent="0.25">
      <c r="A32">
        <v>31</v>
      </c>
      <c r="B32" t="s">
        <v>761</v>
      </c>
      <c r="C32" t="s">
        <v>1721</v>
      </c>
    </row>
    <row r="33" spans="1:3" x14ac:dyDescent="0.25">
      <c r="A33">
        <v>32</v>
      </c>
      <c r="B33" t="s">
        <v>768</v>
      </c>
      <c r="C33" t="s">
        <v>1722</v>
      </c>
    </row>
    <row r="34" spans="1:3" x14ac:dyDescent="0.25">
      <c r="A34">
        <v>33</v>
      </c>
      <c r="B34" t="s">
        <v>776</v>
      </c>
      <c r="C34" t="s">
        <v>1723</v>
      </c>
    </row>
    <row r="35" spans="1:3" x14ac:dyDescent="0.25">
      <c r="A35">
        <v>34</v>
      </c>
      <c r="B35" t="s">
        <v>785</v>
      </c>
      <c r="C35" t="s">
        <v>1724</v>
      </c>
    </row>
    <row r="36" spans="1:3" x14ac:dyDescent="0.25">
      <c r="A36">
        <v>35</v>
      </c>
      <c r="B36" t="s">
        <v>792</v>
      </c>
      <c r="C36" t="s">
        <v>1725</v>
      </c>
    </row>
    <row r="37" spans="1:3" x14ac:dyDescent="0.25">
      <c r="A37">
        <v>36</v>
      </c>
      <c r="B37" t="s">
        <v>799</v>
      </c>
      <c r="C37" t="s">
        <v>1726</v>
      </c>
    </row>
    <row r="38" spans="1:3" x14ac:dyDescent="0.25">
      <c r="A38">
        <v>37</v>
      </c>
      <c r="B38" t="s">
        <v>806</v>
      </c>
      <c r="C38" t="s">
        <v>1727</v>
      </c>
    </row>
    <row r="39" spans="1:3" x14ac:dyDescent="0.25">
      <c r="A39">
        <v>38</v>
      </c>
      <c r="B39" t="s">
        <v>829</v>
      </c>
      <c r="C39" t="s">
        <v>1728</v>
      </c>
    </row>
    <row r="40" spans="1:3" x14ac:dyDescent="0.25">
      <c r="A40">
        <v>39</v>
      </c>
      <c r="B40" t="s">
        <v>836</v>
      </c>
      <c r="C40" t="s">
        <v>1729</v>
      </c>
    </row>
    <row r="41" spans="1:3" x14ac:dyDescent="0.25">
      <c r="A41">
        <v>40</v>
      </c>
      <c r="B41" t="s">
        <v>844</v>
      </c>
      <c r="C41" t="s">
        <v>1730</v>
      </c>
    </row>
    <row r="42" spans="1:3" x14ac:dyDescent="0.25">
      <c r="A42">
        <v>41</v>
      </c>
      <c r="B42" t="s">
        <v>850</v>
      </c>
      <c r="C42" t="s">
        <v>1731</v>
      </c>
    </row>
    <row r="43" spans="1:3" x14ac:dyDescent="0.25">
      <c r="A43">
        <v>42</v>
      </c>
      <c r="B43" t="s">
        <v>863</v>
      </c>
      <c r="C43" t="s">
        <v>1732</v>
      </c>
    </row>
    <row r="44" spans="1:3" x14ac:dyDescent="0.25">
      <c r="A44">
        <v>43</v>
      </c>
      <c r="B44" t="s">
        <v>870</v>
      </c>
      <c r="C44" t="s">
        <v>1733</v>
      </c>
    </row>
    <row r="45" spans="1:3" x14ac:dyDescent="0.25">
      <c r="A45">
        <v>44</v>
      </c>
      <c r="B45" t="s">
        <v>924</v>
      </c>
      <c r="C45" t="s">
        <v>1734</v>
      </c>
    </row>
    <row r="46" spans="1:3" x14ac:dyDescent="0.25">
      <c r="A46">
        <v>45</v>
      </c>
      <c r="B46" t="s">
        <v>993</v>
      </c>
      <c r="C46" t="s">
        <v>1735</v>
      </c>
    </row>
    <row r="47" spans="1:3" x14ac:dyDescent="0.25">
      <c r="A47">
        <v>46</v>
      </c>
      <c r="B47" t="s">
        <v>1069</v>
      </c>
      <c r="C47" t="s">
        <v>1736</v>
      </c>
    </row>
    <row r="48" spans="1:3" x14ac:dyDescent="0.25">
      <c r="A48">
        <v>47</v>
      </c>
      <c r="B48" t="s">
        <v>1146</v>
      </c>
      <c r="C48" t="s">
        <v>1737</v>
      </c>
    </row>
    <row r="49" spans="1:3" x14ac:dyDescent="0.25">
      <c r="A49">
        <v>48</v>
      </c>
      <c r="B49" t="s">
        <v>1186</v>
      </c>
      <c r="C49" t="s">
        <v>1738</v>
      </c>
    </row>
    <row r="50" spans="1:3" x14ac:dyDescent="0.25">
      <c r="A50">
        <v>49</v>
      </c>
      <c r="B50" t="s">
        <v>1192</v>
      </c>
      <c r="C50" t="s">
        <v>1739</v>
      </c>
    </row>
    <row r="51" spans="1:3" x14ac:dyDescent="0.25">
      <c r="A51">
        <v>50</v>
      </c>
      <c r="B51" t="s">
        <v>1200</v>
      </c>
      <c r="C51" t="s">
        <v>1740</v>
      </c>
    </row>
    <row r="52" spans="1:3" x14ac:dyDescent="0.25">
      <c r="A52">
        <v>51</v>
      </c>
      <c r="B52" t="s">
        <v>1207</v>
      </c>
      <c r="C52" t="s">
        <v>1741</v>
      </c>
    </row>
    <row r="53" spans="1:3" x14ac:dyDescent="0.25">
      <c r="A53">
        <v>52</v>
      </c>
      <c r="B53" t="s">
        <v>930</v>
      </c>
      <c r="C53" t="s">
        <v>1742</v>
      </c>
    </row>
    <row r="54" spans="1:3" x14ac:dyDescent="0.25">
      <c r="A54">
        <v>53</v>
      </c>
      <c r="B54" t="s">
        <v>938</v>
      </c>
      <c r="C54" t="s">
        <v>1743</v>
      </c>
    </row>
    <row r="55" spans="1:3" x14ac:dyDescent="0.25">
      <c r="A55">
        <v>54</v>
      </c>
      <c r="B55" t="s">
        <v>944</v>
      </c>
      <c r="C55" t="s">
        <v>1744</v>
      </c>
    </row>
    <row r="56" spans="1:3" x14ac:dyDescent="0.25">
      <c r="A56">
        <v>55</v>
      </c>
      <c r="B56" t="s">
        <v>950</v>
      </c>
      <c r="C56" t="s">
        <v>1745</v>
      </c>
    </row>
    <row r="57" spans="1:3" x14ac:dyDescent="0.25">
      <c r="A57">
        <v>56</v>
      </c>
      <c r="B57" t="s">
        <v>957</v>
      </c>
      <c r="C57" t="s">
        <v>1746</v>
      </c>
    </row>
    <row r="58" spans="1:3" x14ac:dyDescent="0.25">
      <c r="A58">
        <v>57</v>
      </c>
      <c r="B58" t="s">
        <v>971</v>
      </c>
      <c r="C58" t="s">
        <v>1747</v>
      </c>
    </row>
    <row r="59" spans="1:3" x14ac:dyDescent="0.25">
      <c r="A59">
        <v>58</v>
      </c>
      <c r="B59" t="s">
        <v>979</v>
      </c>
      <c r="C59" t="s">
        <v>1748</v>
      </c>
    </row>
    <row r="60" spans="1:3" x14ac:dyDescent="0.25">
      <c r="A60">
        <v>59</v>
      </c>
      <c r="B60" t="s">
        <v>987</v>
      </c>
      <c r="C60" t="s">
        <v>1749</v>
      </c>
    </row>
    <row r="61" spans="1:3" x14ac:dyDescent="0.25">
      <c r="A61">
        <v>60</v>
      </c>
      <c r="B61" t="s">
        <v>1001</v>
      </c>
      <c r="C61" t="s">
        <v>1750</v>
      </c>
    </row>
    <row r="62" spans="1:3" x14ac:dyDescent="0.25">
      <c r="A62">
        <v>61</v>
      </c>
      <c r="B62" t="s">
        <v>1008</v>
      </c>
      <c r="C62" t="s">
        <v>1751</v>
      </c>
    </row>
    <row r="63" spans="1:3" x14ac:dyDescent="0.25">
      <c r="A63">
        <v>62</v>
      </c>
      <c r="B63" t="s">
        <v>1016</v>
      </c>
      <c r="C63" t="s">
        <v>1752</v>
      </c>
    </row>
    <row r="64" spans="1:3" x14ac:dyDescent="0.25">
      <c r="A64">
        <v>63</v>
      </c>
      <c r="B64" t="s">
        <v>1023</v>
      </c>
      <c r="C64" t="s">
        <v>1753</v>
      </c>
    </row>
    <row r="65" spans="1:3" x14ac:dyDescent="0.25">
      <c r="A65">
        <v>64</v>
      </c>
      <c r="B65" t="s">
        <v>1029</v>
      </c>
      <c r="C65" t="s">
        <v>1754</v>
      </c>
    </row>
    <row r="66" spans="1:3" x14ac:dyDescent="0.25">
      <c r="A66">
        <v>65</v>
      </c>
      <c r="B66" t="s">
        <v>1036</v>
      </c>
      <c r="C66" t="s">
        <v>1755</v>
      </c>
    </row>
    <row r="67" spans="1:3" x14ac:dyDescent="0.25">
      <c r="A67">
        <v>66</v>
      </c>
      <c r="B67" t="s">
        <v>1043</v>
      </c>
      <c r="C67" t="s">
        <v>1756</v>
      </c>
    </row>
    <row r="68" spans="1:3" x14ac:dyDescent="0.25">
      <c r="A68">
        <v>67</v>
      </c>
      <c r="B68" t="s">
        <v>1050</v>
      </c>
      <c r="C68" t="s">
        <v>1757</v>
      </c>
    </row>
    <row r="69" spans="1:3" x14ac:dyDescent="0.25">
      <c r="A69">
        <v>68</v>
      </c>
      <c r="B69" t="s">
        <v>1056</v>
      </c>
      <c r="C69" t="s">
        <v>1758</v>
      </c>
    </row>
    <row r="70" spans="1:3" x14ac:dyDescent="0.25">
      <c r="A70">
        <v>69</v>
      </c>
      <c r="B70" t="s">
        <v>1063</v>
      </c>
      <c r="C70" t="s">
        <v>1759</v>
      </c>
    </row>
    <row r="71" spans="1:3" x14ac:dyDescent="0.25">
      <c r="A71">
        <v>70</v>
      </c>
      <c r="B71" t="s">
        <v>1077</v>
      </c>
      <c r="C71" t="s">
        <v>1760</v>
      </c>
    </row>
    <row r="72" spans="1:3" x14ac:dyDescent="0.25">
      <c r="A72">
        <v>71</v>
      </c>
      <c r="B72" t="s">
        <v>1084</v>
      </c>
      <c r="C72" t="s">
        <v>1761</v>
      </c>
    </row>
    <row r="73" spans="1:3" x14ac:dyDescent="0.25">
      <c r="A73">
        <v>72</v>
      </c>
      <c r="B73" t="s">
        <v>1091</v>
      </c>
      <c r="C73" t="s">
        <v>1762</v>
      </c>
    </row>
    <row r="74" spans="1:3" x14ac:dyDescent="0.25">
      <c r="A74">
        <v>73</v>
      </c>
      <c r="B74" t="s">
        <v>1105</v>
      </c>
      <c r="C74" t="s">
        <v>1763</v>
      </c>
    </row>
    <row r="75" spans="1:3" x14ac:dyDescent="0.25">
      <c r="A75">
        <v>74</v>
      </c>
      <c r="B75" t="s">
        <v>1111</v>
      </c>
      <c r="C75" t="s">
        <v>1764</v>
      </c>
    </row>
    <row r="76" spans="1:3" x14ac:dyDescent="0.25">
      <c r="A76">
        <v>75</v>
      </c>
      <c r="B76" t="s">
        <v>1118</v>
      </c>
      <c r="C76" t="s">
        <v>1765</v>
      </c>
    </row>
    <row r="77" spans="1:3" x14ac:dyDescent="0.25">
      <c r="A77">
        <v>76</v>
      </c>
      <c r="B77" t="s">
        <v>1126</v>
      </c>
      <c r="C77" t="s">
        <v>1766</v>
      </c>
    </row>
    <row r="78" spans="1:3" x14ac:dyDescent="0.25">
      <c r="A78">
        <v>77</v>
      </c>
      <c r="B78" t="s">
        <v>1132</v>
      </c>
      <c r="C78" t="s">
        <v>1767</v>
      </c>
    </row>
    <row r="79" spans="1:3" x14ac:dyDescent="0.25">
      <c r="A79">
        <v>78</v>
      </c>
      <c r="B79" t="s">
        <v>1139</v>
      </c>
      <c r="C79" t="s">
        <v>1768</v>
      </c>
    </row>
    <row r="80" spans="1:3" x14ac:dyDescent="0.25">
      <c r="A80">
        <v>79</v>
      </c>
      <c r="B80" t="s">
        <v>1153</v>
      </c>
      <c r="C80" t="s">
        <v>1769</v>
      </c>
    </row>
    <row r="81" spans="1:3" x14ac:dyDescent="0.25">
      <c r="A81">
        <v>80</v>
      </c>
      <c r="B81" t="s">
        <v>1160</v>
      </c>
      <c r="C81" t="s">
        <v>1770</v>
      </c>
    </row>
    <row r="82" spans="1:3" x14ac:dyDescent="0.25">
      <c r="A82">
        <v>81</v>
      </c>
      <c r="B82" t="s">
        <v>1166</v>
      </c>
      <c r="C82" t="s">
        <v>1771</v>
      </c>
    </row>
    <row r="83" spans="1:3" x14ac:dyDescent="0.25">
      <c r="A83">
        <v>82</v>
      </c>
      <c r="B83" t="s">
        <v>1173</v>
      </c>
      <c r="C83" t="s">
        <v>1772</v>
      </c>
    </row>
    <row r="84" spans="1:3" x14ac:dyDescent="0.25">
      <c r="A84">
        <v>83</v>
      </c>
      <c r="B84" t="s">
        <v>1180</v>
      </c>
      <c r="C84" t="s">
        <v>1773</v>
      </c>
    </row>
    <row r="85" spans="1:3" x14ac:dyDescent="0.25">
      <c r="A85">
        <v>84</v>
      </c>
      <c r="B85" t="s">
        <v>1415</v>
      </c>
      <c r="C85" t="s">
        <v>1774</v>
      </c>
    </row>
    <row r="86" spans="1:3" x14ac:dyDescent="0.25">
      <c r="A86">
        <v>85</v>
      </c>
      <c r="B86" t="s">
        <v>1422</v>
      </c>
      <c r="C86" t="s">
        <v>1775</v>
      </c>
    </row>
    <row r="87" spans="1:3" x14ac:dyDescent="0.25">
      <c r="A87">
        <v>86</v>
      </c>
      <c r="B87" t="s">
        <v>1429</v>
      </c>
      <c r="C87" t="s">
        <v>1776</v>
      </c>
    </row>
    <row r="88" spans="1:3" x14ac:dyDescent="0.25">
      <c r="A88">
        <v>87</v>
      </c>
      <c r="B88" t="s">
        <v>1437</v>
      </c>
      <c r="C88" t="s">
        <v>1777</v>
      </c>
    </row>
    <row r="89" spans="1:3" x14ac:dyDescent="0.25">
      <c r="A89">
        <v>88</v>
      </c>
      <c r="B89" t="s">
        <v>1445</v>
      </c>
      <c r="C89" t="s">
        <v>1778</v>
      </c>
    </row>
    <row r="90" spans="1:3" x14ac:dyDescent="0.25">
      <c r="A90">
        <v>89</v>
      </c>
      <c r="B90" t="s">
        <v>1453</v>
      </c>
      <c r="C90" t="s">
        <v>1779</v>
      </c>
    </row>
    <row r="91" spans="1:3" x14ac:dyDescent="0.25">
      <c r="A91">
        <v>90</v>
      </c>
      <c r="B91" t="s">
        <v>1459</v>
      </c>
      <c r="C91" t="s">
        <v>1780</v>
      </c>
    </row>
    <row r="92" spans="1:3" x14ac:dyDescent="0.25">
      <c r="A92">
        <v>91</v>
      </c>
      <c r="B92" t="s">
        <v>1465</v>
      </c>
      <c r="C92" t="s">
        <v>1781</v>
      </c>
    </row>
    <row r="93" spans="1:3" x14ac:dyDescent="0.25">
      <c r="A93">
        <v>92</v>
      </c>
      <c r="B93" t="s">
        <v>1233</v>
      </c>
      <c r="C93" t="s">
        <v>1782</v>
      </c>
    </row>
    <row r="94" spans="1:3" x14ac:dyDescent="0.25">
      <c r="A94">
        <v>93</v>
      </c>
      <c r="B94" t="s">
        <v>1275</v>
      </c>
      <c r="C94" t="s">
        <v>1783</v>
      </c>
    </row>
    <row r="95" spans="1:3" x14ac:dyDescent="0.25">
      <c r="A95">
        <v>94</v>
      </c>
      <c r="B95" t="s">
        <v>1402</v>
      </c>
      <c r="C95" t="s">
        <v>1784</v>
      </c>
    </row>
    <row r="96" spans="1:3" x14ac:dyDescent="0.25">
      <c r="A96">
        <v>95</v>
      </c>
      <c r="B96" t="s">
        <v>1472</v>
      </c>
      <c r="C96" t="s">
        <v>1785</v>
      </c>
    </row>
    <row r="97" spans="1:3" x14ac:dyDescent="0.25">
      <c r="A97">
        <v>96</v>
      </c>
      <c r="B97" t="s">
        <v>1478</v>
      </c>
      <c r="C97" t="s">
        <v>1786</v>
      </c>
    </row>
    <row r="98" spans="1:3" x14ac:dyDescent="0.25">
      <c r="A98">
        <v>97</v>
      </c>
      <c r="B98" t="s">
        <v>1485</v>
      </c>
      <c r="C98" t="s">
        <v>1787</v>
      </c>
    </row>
    <row r="99" spans="1:3" x14ac:dyDescent="0.25">
      <c r="A99">
        <v>98</v>
      </c>
      <c r="B99" t="s">
        <v>1491</v>
      </c>
      <c r="C99" t="s">
        <v>1788</v>
      </c>
    </row>
    <row r="100" spans="1:3" x14ac:dyDescent="0.25">
      <c r="A100">
        <v>99</v>
      </c>
      <c r="B100" t="s">
        <v>1499</v>
      </c>
      <c r="C100" t="s">
        <v>1789</v>
      </c>
    </row>
    <row r="101" spans="1:3" x14ac:dyDescent="0.25">
      <c r="A101">
        <v>100</v>
      </c>
      <c r="B101" t="s">
        <v>1213</v>
      </c>
      <c r="C101" t="s">
        <v>1790</v>
      </c>
    </row>
    <row r="102" spans="1:3" x14ac:dyDescent="0.25">
      <c r="A102">
        <v>101</v>
      </c>
      <c r="B102" t="s">
        <v>1220</v>
      </c>
      <c r="C102" t="s">
        <v>1791</v>
      </c>
    </row>
    <row r="103" spans="1:3" x14ac:dyDescent="0.25">
      <c r="A103">
        <v>102</v>
      </c>
      <c r="B103" t="s">
        <v>1226</v>
      </c>
      <c r="C103" t="s">
        <v>1792</v>
      </c>
    </row>
    <row r="104" spans="1:3" x14ac:dyDescent="0.25">
      <c r="A104">
        <v>103</v>
      </c>
      <c r="B104" t="s">
        <v>1239</v>
      </c>
      <c r="C104" t="s">
        <v>1793</v>
      </c>
    </row>
    <row r="105" spans="1:3" x14ac:dyDescent="0.25">
      <c r="A105">
        <v>104</v>
      </c>
      <c r="B105" t="s">
        <v>1245</v>
      </c>
      <c r="C105" t="s">
        <v>1794</v>
      </c>
    </row>
    <row r="106" spans="1:3" x14ac:dyDescent="0.25">
      <c r="A106">
        <v>105</v>
      </c>
      <c r="B106" t="s">
        <v>1253</v>
      </c>
      <c r="C106" t="s">
        <v>1795</v>
      </c>
    </row>
    <row r="107" spans="1:3" x14ac:dyDescent="0.25">
      <c r="A107">
        <v>106</v>
      </c>
      <c r="B107" t="s">
        <v>1260</v>
      </c>
      <c r="C107" t="s">
        <v>1796</v>
      </c>
    </row>
    <row r="108" spans="1:3" x14ac:dyDescent="0.25">
      <c r="A108">
        <v>107</v>
      </c>
      <c r="B108" t="s">
        <v>1395</v>
      </c>
      <c r="C108" t="s">
        <v>1797</v>
      </c>
    </row>
    <row r="109" spans="1:3" x14ac:dyDescent="0.25">
      <c r="A109">
        <v>108</v>
      </c>
      <c r="B109" t="s">
        <v>1267</v>
      </c>
      <c r="C109" t="s">
        <v>1798</v>
      </c>
    </row>
    <row r="110" spans="1:3" x14ac:dyDescent="0.25">
      <c r="A110">
        <v>109</v>
      </c>
      <c r="B110" t="s">
        <v>1281</v>
      </c>
      <c r="C110" t="s">
        <v>1799</v>
      </c>
    </row>
    <row r="111" spans="1:3" x14ac:dyDescent="0.25">
      <c r="A111">
        <v>110</v>
      </c>
      <c r="B111" t="s">
        <v>1288</v>
      </c>
      <c r="C111" t="s">
        <v>1800</v>
      </c>
    </row>
    <row r="112" spans="1:3" x14ac:dyDescent="0.25">
      <c r="A112">
        <v>111</v>
      </c>
      <c r="B112" t="s">
        <v>1295</v>
      </c>
      <c r="C112" t="s">
        <v>1801</v>
      </c>
    </row>
    <row r="113" spans="1:3" x14ac:dyDescent="0.25">
      <c r="A113">
        <v>112</v>
      </c>
      <c r="B113" t="s">
        <v>1302</v>
      </c>
      <c r="C113" t="s">
        <v>1802</v>
      </c>
    </row>
    <row r="114" spans="1:3" x14ac:dyDescent="0.25">
      <c r="A114">
        <v>113</v>
      </c>
      <c r="B114" t="s">
        <v>1309</v>
      </c>
      <c r="C114" t="s">
        <v>1803</v>
      </c>
    </row>
    <row r="115" spans="1:3" x14ac:dyDescent="0.25">
      <c r="A115">
        <v>114</v>
      </c>
      <c r="B115" t="s">
        <v>1317</v>
      </c>
      <c r="C115" t="s">
        <v>1804</v>
      </c>
    </row>
    <row r="116" spans="1:3" x14ac:dyDescent="0.25">
      <c r="A116">
        <v>115</v>
      </c>
      <c r="B116" t="s">
        <v>1324</v>
      </c>
      <c r="C116" t="s">
        <v>1805</v>
      </c>
    </row>
    <row r="117" spans="1:3" x14ac:dyDescent="0.25">
      <c r="A117">
        <v>116</v>
      </c>
      <c r="B117" t="s">
        <v>1331</v>
      </c>
      <c r="C117" t="s">
        <v>1806</v>
      </c>
    </row>
    <row r="118" spans="1:3" x14ac:dyDescent="0.25">
      <c r="A118">
        <v>117</v>
      </c>
      <c r="B118" t="s">
        <v>1346</v>
      </c>
      <c r="C118" t="s">
        <v>1807</v>
      </c>
    </row>
    <row r="119" spans="1:3" x14ac:dyDescent="0.25">
      <c r="A119">
        <v>118</v>
      </c>
      <c r="B119" t="s">
        <v>1353</v>
      </c>
      <c r="C119" t="s">
        <v>1808</v>
      </c>
    </row>
    <row r="120" spans="1:3" x14ac:dyDescent="0.25">
      <c r="A120">
        <v>119</v>
      </c>
      <c r="B120" t="s">
        <v>1360</v>
      </c>
      <c r="C120" t="s">
        <v>1809</v>
      </c>
    </row>
    <row r="121" spans="1:3" x14ac:dyDescent="0.25">
      <c r="A121">
        <v>120</v>
      </c>
      <c r="B121" t="s">
        <v>1367</v>
      </c>
      <c r="C121" t="s">
        <v>1810</v>
      </c>
    </row>
    <row r="122" spans="1:3" x14ac:dyDescent="0.25">
      <c r="A122">
        <v>121</v>
      </c>
      <c r="B122" t="s">
        <v>1374</v>
      </c>
      <c r="C122" t="s">
        <v>1811</v>
      </c>
    </row>
    <row r="123" spans="1:3" x14ac:dyDescent="0.25">
      <c r="A123">
        <v>122</v>
      </c>
      <c r="B123" t="s">
        <v>1380</v>
      </c>
      <c r="C123" t="s">
        <v>1812</v>
      </c>
    </row>
    <row r="124" spans="1:3" x14ac:dyDescent="0.25">
      <c r="A124">
        <v>123</v>
      </c>
      <c r="B124" t="s">
        <v>1388</v>
      </c>
      <c r="C124" t="s">
        <v>1813</v>
      </c>
    </row>
    <row r="125" spans="1:3" x14ac:dyDescent="0.25">
      <c r="A125">
        <v>124</v>
      </c>
      <c r="B125" t="s">
        <v>1408</v>
      </c>
      <c r="C125" t="s">
        <v>1814</v>
      </c>
    </row>
    <row r="126" spans="1:3" x14ac:dyDescent="0.25">
      <c r="A126">
        <v>125</v>
      </c>
      <c r="B126" t="s">
        <v>1529</v>
      </c>
      <c r="C126" t="s">
        <v>1815</v>
      </c>
    </row>
    <row r="127" spans="1:3" x14ac:dyDescent="0.25">
      <c r="A127">
        <v>126</v>
      </c>
      <c r="B127" t="s">
        <v>1537</v>
      </c>
      <c r="C127" t="s">
        <v>1816</v>
      </c>
    </row>
    <row r="128" spans="1:3" x14ac:dyDescent="0.25">
      <c r="A128">
        <v>127</v>
      </c>
      <c r="B128" t="s">
        <v>459</v>
      </c>
      <c r="C128" t="s">
        <v>1817</v>
      </c>
    </row>
    <row r="129" spans="1:3" x14ac:dyDescent="0.25">
      <c r="A129">
        <v>128</v>
      </c>
      <c r="B129" t="s">
        <v>466</v>
      </c>
      <c r="C129" t="s">
        <v>1818</v>
      </c>
    </row>
    <row r="130" spans="1:3" x14ac:dyDescent="0.25">
      <c r="A130">
        <v>129</v>
      </c>
      <c r="B130" t="s">
        <v>474</v>
      </c>
      <c r="C130" t="s">
        <v>1819</v>
      </c>
    </row>
    <row r="131" spans="1:3" x14ac:dyDescent="0.25">
      <c r="A131">
        <v>130</v>
      </c>
      <c r="B131" t="s">
        <v>482</v>
      </c>
      <c r="C131" t="s">
        <v>1820</v>
      </c>
    </row>
    <row r="132" spans="1:3" x14ac:dyDescent="0.25">
      <c r="A132">
        <v>131</v>
      </c>
      <c r="B132" t="s">
        <v>489</v>
      </c>
      <c r="C132" t="s">
        <v>1821</v>
      </c>
    </row>
    <row r="133" spans="1:3" x14ac:dyDescent="0.25">
      <c r="A133">
        <v>132</v>
      </c>
      <c r="B133" t="s">
        <v>496</v>
      </c>
      <c r="C133" t="s">
        <v>1822</v>
      </c>
    </row>
    <row r="134" spans="1:3" x14ac:dyDescent="0.25">
      <c r="A134">
        <v>133</v>
      </c>
      <c r="B134" t="s">
        <v>517</v>
      </c>
      <c r="C134" t="s">
        <v>1823</v>
      </c>
    </row>
    <row r="135" spans="1:3" x14ac:dyDescent="0.25">
      <c r="A135">
        <v>134</v>
      </c>
      <c r="B135" t="s">
        <v>583</v>
      </c>
      <c r="C135" t="s">
        <v>1824</v>
      </c>
    </row>
    <row r="136" spans="1:3" x14ac:dyDescent="0.25">
      <c r="A136">
        <v>135</v>
      </c>
      <c r="B136" t="s">
        <v>604</v>
      </c>
      <c r="C136" t="s">
        <v>1825</v>
      </c>
    </row>
    <row r="137" spans="1:3" x14ac:dyDescent="0.25">
      <c r="A137">
        <v>136</v>
      </c>
      <c r="B137" t="s">
        <v>612</v>
      </c>
      <c r="C137" t="s">
        <v>1826</v>
      </c>
    </row>
    <row r="138" spans="1:3" x14ac:dyDescent="0.25">
      <c r="A138">
        <v>137</v>
      </c>
      <c r="B138" t="s">
        <v>620</v>
      </c>
      <c r="C138" t="s">
        <v>1827</v>
      </c>
    </row>
    <row r="139" spans="1:3" x14ac:dyDescent="0.25">
      <c r="A139">
        <v>138</v>
      </c>
      <c r="B139" t="s">
        <v>626</v>
      </c>
      <c r="C139" t="s">
        <v>1828</v>
      </c>
    </row>
    <row r="140" spans="1:3" x14ac:dyDescent="0.25">
      <c r="A140">
        <v>139</v>
      </c>
      <c r="B140" t="s">
        <v>633</v>
      </c>
      <c r="C140" t="s">
        <v>1829</v>
      </c>
    </row>
    <row r="141" spans="1:3" x14ac:dyDescent="0.25">
      <c r="A141">
        <v>140</v>
      </c>
      <c r="B141" t="s">
        <v>640</v>
      </c>
      <c r="C141" t="s">
        <v>1830</v>
      </c>
    </row>
    <row r="142" spans="1:3" x14ac:dyDescent="0.25">
      <c r="A142">
        <v>141</v>
      </c>
      <c r="B142" t="s">
        <v>648</v>
      </c>
      <c r="C142" t="s">
        <v>1831</v>
      </c>
    </row>
    <row r="143" spans="1:3" x14ac:dyDescent="0.25">
      <c r="A143">
        <v>142</v>
      </c>
      <c r="B143" t="s">
        <v>524</v>
      </c>
      <c r="C143" t="s">
        <v>1832</v>
      </c>
    </row>
    <row r="144" spans="1:3" x14ac:dyDescent="0.25">
      <c r="A144">
        <v>143</v>
      </c>
      <c r="B144" t="s">
        <v>532</v>
      </c>
      <c r="C144" t="s">
        <v>1833</v>
      </c>
    </row>
    <row r="145" spans="1:3" x14ac:dyDescent="0.25">
      <c r="A145">
        <v>144</v>
      </c>
      <c r="B145" t="s">
        <v>539</v>
      </c>
      <c r="C145" t="s">
        <v>1834</v>
      </c>
    </row>
    <row r="146" spans="1:3" x14ac:dyDescent="0.25">
      <c r="A146">
        <v>145</v>
      </c>
      <c r="B146" t="s">
        <v>545</v>
      </c>
      <c r="C146" t="s">
        <v>1835</v>
      </c>
    </row>
    <row r="147" spans="1:3" x14ac:dyDescent="0.25">
      <c r="A147">
        <v>146</v>
      </c>
      <c r="B147" t="s">
        <v>553</v>
      </c>
      <c r="C147" t="s">
        <v>1836</v>
      </c>
    </row>
    <row r="148" spans="1:3" x14ac:dyDescent="0.25">
      <c r="A148">
        <v>147</v>
      </c>
      <c r="B148" t="s">
        <v>561</v>
      </c>
      <c r="C148" t="s">
        <v>1837</v>
      </c>
    </row>
    <row r="149" spans="1:3" x14ac:dyDescent="0.25">
      <c r="A149">
        <v>148</v>
      </c>
      <c r="B149" t="s">
        <v>568</v>
      </c>
      <c r="C149" t="s">
        <v>1838</v>
      </c>
    </row>
    <row r="150" spans="1:3" x14ac:dyDescent="0.25">
      <c r="A150">
        <v>149</v>
      </c>
      <c r="B150" t="s">
        <v>575</v>
      </c>
      <c r="C150" t="s">
        <v>1839</v>
      </c>
    </row>
    <row r="151" spans="1:3" x14ac:dyDescent="0.25">
      <c r="A151">
        <v>150</v>
      </c>
      <c r="B151" t="s">
        <v>590</v>
      </c>
      <c r="C151" t="s">
        <v>1840</v>
      </c>
    </row>
    <row r="152" spans="1:3" x14ac:dyDescent="0.25">
      <c r="A152">
        <v>151</v>
      </c>
      <c r="B152" t="s">
        <v>597</v>
      </c>
      <c r="C152" t="s">
        <v>1841</v>
      </c>
    </row>
    <row r="153" spans="1:3" x14ac:dyDescent="0.25">
      <c r="A153">
        <v>152</v>
      </c>
      <c r="B153" t="s">
        <v>1545</v>
      </c>
      <c r="C153" t="s">
        <v>1842</v>
      </c>
    </row>
    <row r="154" spans="1:3" x14ac:dyDescent="0.25">
      <c r="A154">
        <v>153</v>
      </c>
      <c r="B154" t="s">
        <v>1602</v>
      </c>
      <c r="C154" t="s">
        <v>1843</v>
      </c>
    </row>
    <row r="155" spans="1:3" x14ac:dyDescent="0.25">
      <c r="A155">
        <v>154</v>
      </c>
      <c r="B155" t="s">
        <v>1610</v>
      </c>
      <c r="C155" t="s">
        <v>1844</v>
      </c>
    </row>
    <row r="156" spans="1:3" x14ac:dyDescent="0.25">
      <c r="A156">
        <v>155</v>
      </c>
      <c r="B156" t="s">
        <v>1594</v>
      </c>
      <c r="C156" t="s">
        <v>1845</v>
      </c>
    </row>
    <row r="157" spans="1:3" x14ac:dyDescent="0.25">
      <c r="A157">
        <v>156</v>
      </c>
      <c r="B157" t="s">
        <v>1618</v>
      </c>
      <c r="C157" t="s">
        <v>1846</v>
      </c>
    </row>
    <row r="158" spans="1:3" x14ac:dyDescent="0.25">
      <c r="A158">
        <v>157</v>
      </c>
      <c r="B158" t="s">
        <v>1580</v>
      </c>
      <c r="C158" t="s">
        <v>1847</v>
      </c>
    </row>
    <row r="159" spans="1:3" x14ac:dyDescent="0.25">
      <c r="A159">
        <v>158</v>
      </c>
      <c r="B159" t="s">
        <v>1573</v>
      </c>
      <c r="C159" t="s">
        <v>1848</v>
      </c>
    </row>
    <row r="160" spans="1:3" x14ac:dyDescent="0.25">
      <c r="A160">
        <v>159</v>
      </c>
      <c r="B160" t="s">
        <v>1587</v>
      </c>
      <c r="C160" t="s">
        <v>1849</v>
      </c>
    </row>
    <row r="161" spans="1:3" x14ac:dyDescent="0.25">
      <c r="A161">
        <v>160</v>
      </c>
      <c r="B161" t="s">
        <v>503</v>
      </c>
      <c r="C161" t="s">
        <v>1850</v>
      </c>
    </row>
    <row r="162" spans="1:3" x14ac:dyDescent="0.25">
      <c r="A162">
        <v>161</v>
      </c>
      <c r="B162" t="s">
        <v>510</v>
      </c>
      <c r="C162" t="s">
        <v>1851</v>
      </c>
    </row>
    <row r="163" spans="1:3" x14ac:dyDescent="0.25">
      <c r="A163">
        <v>162</v>
      </c>
      <c r="B163" t="s">
        <v>1559</v>
      </c>
      <c r="C163" t="s">
        <v>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Fresh</vt:lpstr>
      <vt:lpstr>Renewal</vt:lpstr>
      <vt:lpstr>working</vt:lpstr>
      <vt:lpstr>working-fresh</vt:lpstr>
      <vt:lpstr>Sheet2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2024-10-29T05:16:07Z</dcterms:created>
  <dcterms:modified xsi:type="dcterms:W3CDTF">2024-10-30T12:28:38Z</dcterms:modified>
</cp:coreProperties>
</file>